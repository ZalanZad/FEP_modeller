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Curves" sheetId="3" state="visible" r:id="rId5"/>
    <sheet name="Calc_1" sheetId="4" state="visible" r:id="rId6"/>
    <sheet name="Calc_2" sheetId="5" state="visible" r:id="rId7"/>
    <sheet name="Checks" sheetId="6" state="visible" r:id="rId8"/>
  </sheets>
  <definedNames>
    <definedName function="false" hidden="false" name="Bid_Labels" vbProcedure="false">Dashboard!$E$9:$F$9</definedName>
    <definedName function="false" hidden="false" name="Buyer_IRR_L_1_Stored" vbProcedure="false">Dashboard!$H$125:$V$125</definedName>
    <definedName function="false" hidden="false" name="Buyer_IRR_L_2_Stored" vbProcedure="false">Dashboard!$H$126:$V$126</definedName>
    <definedName function="false" hidden="false" name="Buyer_IRR_U_1_Stored" vbProcedure="false">Dashboard!$H$123:$V$123</definedName>
    <definedName function="false" hidden="false" name="Buyer_IRR_U_2_Stored" vbProcedure="false">Dashboard!$H$124:$V$124</definedName>
    <definedName function="false" hidden="false" name="Checks_1_Stored" vbProcedure="false">Dashboard!$H$131:$V$131</definedName>
    <definedName function="false" hidden="false" name="Checks_2_Stored" vbProcedure="false">Dashboard!$H$132:$V$132</definedName>
    <definedName function="false" hidden="false" name="COD_IRR_1_Stored" vbProcedure="false">Dashboard!$H$109:$V$109</definedName>
    <definedName function="false" hidden="false" name="COD_IRR_2_Stored" vbProcedure="false">Dashboard!$H$110:$V$110</definedName>
    <definedName function="false" hidden="false" name="COD_MOIC_1_Stored" vbProcedure="false">Dashboard!$H$111:$V$111</definedName>
    <definedName function="false" hidden="false" name="COD_MOIC_2_Stored" vbProcedure="false">Dashboard!$H$112:$V$112</definedName>
    <definedName function="false" hidden="false" name="COD_Profit_1_Stored" vbProcedure="false">Dashboard!$H$107:$V$107</definedName>
    <definedName function="false" hidden="false" name="COD_Profit_2_Stored" vbProcedure="false">Dashboard!$H$108:$V$108</definedName>
    <definedName function="false" hidden="false" name="Dash_BESS" vbProcedure="false">Dashboard!$E$15:$F$15</definedName>
    <definedName function="false" hidden="false" name="Dash_BESS_Hours" vbProcedure="false">Dashboard!$E$16:$F$16</definedName>
    <definedName function="false" hidden="false" name="Dash_Community" vbProcedure="false">Dashboard!$E$13:$F$13</definedName>
    <definedName function="false" hidden="false" name="Dash_EU_Transformer" vbProcedure="false">Dashboard!$E$21:$F$21</definedName>
    <definedName function="false" hidden="false" name="Dash_EU_Turbine" vbProcedure="false">Dashboard!$E$20:$F$20</definedName>
    <definedName function="false" hidden="false" name="Dash_Municipal" vbProcedure="false">Dashboard!$E$12:$F$12</definedName>
    <definedName function="false" hidden="false" name="Dash_Overbuild" vbProcedure="false">Dashboard!$E$14:$F$14</definedName>
    <definedName function="false" hidden="false" name="Dash_Partial" vbProcedure="false">Dashboard!$E$18:$F$18</definedName>
    <definedName function="false" hidden="false" name="Dash_PB_Mult" vbProcedure="false">Dashboard!$E$17:$F$17</definedName>
    <definedName function="false" hidden="false" name="Dash_Shared" vbProcedure="false">Dashboard!$E$19:$F$19</definedName>
    <definedName function="false" hidden="false" name="Days_In_Year" vbProcedure="false">Inputs!$F$13</definedName>
    <definedName function="false" hidden="false" name="Debt_COD_1_Stored" vbProcedure="false">Dashboard!$H$119:$V$119</definedName>
    <definedName function="false" hidden="false" name="Debt_COD_2_Stored" vbProcedure="false">Dashboard!$H$120:$V$120</definedName>
    <definedName function="false" hidden="false" name="Debt_Share_1_Stored" vbProcedure="false">Dashboard!$H$127:$V$127</definedName>
    <definedName function="false" hidden="false" name="Debt_Share_2_Stored" vbProcedure="false">Dashboard!$H$128:$V$128</definedName>
    <definedName function="false" hidden="false" name="Equity_COD_1_Stored" vbProcedure="false">Dashboard!$H$121:$V$121</definedName>
    <definedName function="false" hidden="false" name="Equity_COD_2_Stored" vbProcedure="false">Dashboard!$H$122:$V$122</definedName>
    <definedName function="false" hidden="false" name="GoalSeek_Topics" vbProcedure="false">Inputs!$F$111</definedName>
    <definedName function="false" hidden="false" name="HTM_IRR_1_Stored" vbProcedure="false">Dashboard!$H$113:$V$113</definedName>
    <definedName function="false" hidden="false" name="HTM_IRR_2_Stored" vbProcedure="false">Dashboard!$H$114:$V$114</definedName>
    <definedName function="false" hidden="false" name="HTM_MOIC_1_Stored" vbProcedure="false">Dashboard!$H$115:$V$115</definedName>
    <definedName function="false" hidden="false" name="HTM_MOIC_2_Stored" vbProcedure="false">Dashboard!$H$116:$V$116</definedName>
    <definedName function="false" hidden="false" name="HTM_NPV_1_Stored" vbProcedure="false">Dashboard!$H$117:$V$117</definedName>
    <definedName function="false" hidden="false" name="HTM_NPV_2_Stored" vbProcedure="false">Dashboard!$H$118:$V$118</definedName>
    <definedName function="false" hidden="false" name="In_Admin" vbProcedure="false">Inputs!$F$89</definedName>
    <definedName function="false" hidden="false" name="In_Award_Date" vbProcedure="false">Inputs!$F$22</definedName>
    <definedName function="false" hidden="false" name="In_Bench_BESS" vbProcedure="false">Inputs!$F$61</definedName>
    <definedName function="false" hidden="false" name="In_Bench_Wind" vbProcedure="false">Inputs!$F$62</definedName>
    <definedName function="false" hidden="false" name="In_BESS_Built" vbProcedure="false">Inputs!$F$56</definedName>
    <definedName function="false" hidden="false" name="In_BESS_Capex" vbProcedure="false">Inputs!$F$78</definedName>
    <definedName function="false" hidden="false" name="In_BESS_Set" vbProcedure="false">Inputs!$F$54</definedName>
    <definedName function="false" hidden="false" name="In_Bid_Date" vbProcedure="false">Inputs!$F$21</definedName>
    <definedName function="false" hidden="false" name="In_Bid_Rate" vbProcedure="false">Inputs!$F$64</definedName>
    <definedName function="false" hidden="false" name="In_Bottleneck_Loss" vbProcedure="false">Inputs!$F$55</definedName>
    <definedName function="false" hidden="false" name="In_Capex_Contingency" vbProcedure="false">Inputs!$F$77</definedName>
    <definedName function="false" hidden="false" name="In_CIT" vbProcedure="false">Inputs!$F$41</definedName>
    <definedName function="false" hidden="false" name="In_Closing" vbProcedure="false">Inputs!$F$25</definedName>
    <definedName function="false" hidden="false" name="In_COD" vbProcedure="false">Inputs!$F$28</definedName>
    <definedName function="false" hidden="false" name="In_COD_Price" vbProcedure="false">Inputs!$F$37</definedName>
    <definedName function="false" hidden="false" name="In_COD_Price_CN" vbProcedure="false">Inputs!$F$38</definedName>
    <definedName function="false" hidden="false" name="In_Commitment_Fee" vbProcedure="false">Inputs!$F$106</definedName>
    <definedName function="false" hidden="false" name="In_Curtailment" vbProcedure="false">Inputs!$F$82</definedName>
    <definedName function="false" hidden="false" name="In_DD" vbProcedure="false">Inputs!$F$35</definedName>
    <definedName function="false" hidden="false" name="In_Debt_Per_MW" vbProcedure="false">Inputs!$F$97</definedName>
    <definedName function="false" hidden="false" name="In_Debt_Rate" vbProcedure="false">Inputs!$F$104</definedName>
    <definedName function="false" hidden="false" name="In_Debt_Tenor" vbProcedure="false">Inputs!$F$103</definedName>
    <definedName function="false" hidden="false" name="In_Decision_Date" vbProcedure="false">Inputs!$F$23</definedName>
    <definedName function="false" hidden="false" name="In_Degradation" vbProcedure="false">Inputs!$F$83</definedName>
    <definedName function="false" hidden="false" name="In_Deliver" vbProcedure="false">Inputs!$F$53</definedName>
    <definedName function="false" hidden="false" name="In_Dep_Years" vbProcedure="false">Inputs!$F$45</definedName>
    <definedName function="false" hidden="false" name="In_Devex" vbProcedure="false">Inputs!$F$36</definedName>
    <definedName function="false" hidden="false" name="In_Direct_Fee" vbProcedure="false">Inputs!$F$67</definedName>
    <definedName function="false" hidden="false" name="In_Discount_Rate" vbProcedure="false">Inputs!$F$40</definedName>
    <definedName function="false" hidden="false" name="In_DSCR" vbProcedure="false">Inputs!$F$102</definedName>
    <definedName function="false" hidden="false" name="In_DSCR_Max_High" vbProcedure="false">Inputs!$F$101</definedName>
    <definedName function="false" hidden="false" name="In_DSCR_Max_Low" vbProcedure="false">Inputs!$F$100</definedName>
    <definedName function="false" hidden="false" name="In_DSRA_Months" vbProcedure="false">Inputs!$F$107</definedName>
    <definedName function="false" hidden="false" name="In_Fixed_Opex" vbProcedure="false">Inputs!$F$87</definedName>
    <definedName function="false" hidden="false" name="In_FX" vbProcedure="false">Inputs!$F$33</definedName>
    <definedName function="false" hidden="false" name="In_Gearing" vbProcedure="false">Inputs!$F$98</definedName>
    <definedName function="false" hidden="false" name="In_Guarantee_Fee" vbProcedure="false">Inputs!$F$69</definedName>
    <definedName function="false" hidden="false" name="In_HCSSZ_Date" vbProcedure="false">Inputs!$F$27</definedName>
    <definedName function="false" hidden="false" name="In_HIPA" vbProcedure="false">Inputs!$F$93</definedName>
    <definedName function="false" hidden="false" name="In_Indirect_Fee" vbProcedure="false">Inputs!$F$68</definedName>
    <definedName function="false" hidden="false" name="In_Innovation" vbProcedure="false">Inputs!$F$94</definedName>
    <definedName function="false" hidden="false" name="In_Lease" vbProcedure="false">Inputs!$F$88</definedName>
    <definedName function="false" hidden="false" name="In_Life" vbProcedure="false">Inputs!$F$29</definedName>
    <definedName function="false" hidden="false" name="In_Loss_Cap" vbProcedure="false">Inputs!$F$46</definedName>
    <definedName function="false" hidden="false" name="In_Loss_Years" vbProcedure="false">Inputs!$F$47</definedName>
    <definedName function="false" hidden="false" name="In_MEKH" vbProcedure="false">Inputs!$F$92</definedName>
    <definedName function="false" hidden="false" name="In_Min_Hours" vbProcedure="false">Inputs!$F$57</definedName>
    <definedName function="false" hidden="false" name="In_Model_Start" vbProcedure="false">Inputs!$F$19</definedName>
    <definedName function="false" hidden="false" name="In_MVA" vbProcedure="false">Inputs!$F$51</definedName>
    <definedName function="false" hidden="false" name="In_NTP" vbProcedure="false">Inputs!$F$26</definedName>
    <definedName function="false" hidden="false" name="In_Opex_Contingency" vbProcedure="false">Inputs!$F$90</definedName>
    <definedName function="false" hidden="false" name="In_Opex_Esc" vbProcedure="false">Inputs!$F$91</definedName>
    <definedName function="false" hidden="false" name="In_Other_Wind" vbProcedure="false">Inputs!$F$74</definedName>
    <definedName function="false" hidden="false" name="In_Overbuild_Built" vbProcedure="false">Inputs!$F$52</definedName>
    <definedName function="false" hidden="false" name="In_P50_Hours" vbProcedure="false">Inputs!$F$81</definedName>
    <definedName function="false" hidden="false" name="In_Part_Fee" vbProcedure="false">Inputs!$F$63</definedName>
    <definedName function="false" hidden="false" name="In_PB_Days" vbProcedure="false">Inputs!$F$24</definedName>
    <definedName function="false" hidden="false" name="In_PB_Rate" vbProcedure="false">Inputs!$F$65</definedName>
    <definedName function="false" hidden="false" name="In_PB_Release" vbProcedure="false">Inputs!$F$30</definedName>
    <definedName function="false" hidden="false" name="In_PPA_Esc" vbProcedure="false">Inputs!$F$85</definedName>
    <definedName function="false" hidden="false" name="In_PPA_Price" vbProcedure="false">Inputs!$F$84</definedName>
    <definedName function="false" hidden="false" name="In_Purchase_Price" vbProcedure="false">Inputs!$F$34</definedName>
    <definedName function="false" hidden="false" name="In_RH_On" vbProcedure="false">Inputs!$F$42</definedName>
    <definedName function="false" hidden="false" name="In_RH_Rate" vbProcedure="false">Inputs!$F$43</definedName>
    <definedName function="false" hidden="false" name="In_Sale_Costs" vbProcedure="false">Inputs!$F$39</definedName>
    <definedName function="false" hidden="false" name="In_Sale_Gain_Taxed" vbProcedure="false">Inputs!$F$44</definedName>
    <definedName function="false" hidden="false" name="In_Sanction_Lag" vbProcedure="false">Inputs!$F$60</definedName>
    <definedName function="false" hidden="false" name="In_Sanction_Regime" vbProcedure="false">Inputs!$F$59</definedName>
    <definedName function="false" hidden="false" name="In_Substation" vbProcedure="false">Inputs!$F$75</definedName>
    <definedName function="false" hidden="false" name="In_Substation_CN" vbProcedure="false">Inputs!$F$76</definedName>
    <definedName function="false" hidden="false" name="In_Sweep" vbProcedure="false">Inputs!$F$99</definedName>
    <definedName function="false" hidden="false" name="In_Tolerance_Cap" vbProcedure="false">Inputs!$F$58</definedName>
    <definedName function="false" hidden="false" name="In_TSO_Security" vbProcedure="false">Inputs!$F$66</definedName>
    <definedName function="false" hidden="false" name="In_Turbine" vbProcedure="false">Inputs!$F$72</definedName>
    <definedName function="false" hidden="false" name="In_Turbine_CN" vbProcedure="false">Inputs!$F$73</definedName>
    <definedName function="false" hidden="false" name="In_Upfront_Fee" vbProcedure="false">Inputs!$F$105</definedName>
    <definedName function="false" hidden="false" name="In_Var_Opex" vbProcedure="false">Inputs!$F$86</definedName>
    <definedName function="false" hidden="false" name="Live_Results" vbProcedure="false">Dashboard!$E$101:$E$132</definedName>
    <definedName function="false" hidden="false" name="Master_Check" vbProcedure="false">Checks!$F$32</definedName>
    <definedName function="false" hidden="false" name="Million" vbProcedure="false">Inputs!$F$12</definedName>
    <definedName function="false" hidden="false" name="Min_DSCR_1_Stored" vbProcedure="false">Dashboard!$H$129:$V$129</definedName>
    <definedName function="false" hidden="false" name="Min_DSCR_2_Stored" vbProcedure="false">Dashboard!$H$130:$V$130</definedName>
    <definedName function="false" hidden="false" name="Model_Checks" vbProcedure="false">Checks!$F$30</definedName>
    <definedName function="false" hidden="false" name="Months_In_Year" vbProcedure="false">Inputs!$F$14</definedName>
    <definedName function="false" hidden="false" name="Months_Per_Period" vbProcedure="false">Inputs!$F$15</definedName>
    <definedName function="false" hidden="false" name="MVA_At_Risk_1_Stored" vbProcedure="false">Dashboard!$H$103:$V$103</definedName>
    <definedName function="false" hidden="false" name="MVA_At_Risk_2_Stored" vbProcedure="false">Dashboard!$H$104:$V$104</definedName>
    <definedName function="false" hidden="false" name="Osz1_Incl" vbProcedure="false">Curves!$J$8:$R$8</definedName>
    <definedName function="false" hidden="false" name="Osz1_LB" vbProcedure="false">Curves!$J$7:$R$7</definedName>
    <definedName function="false" hidden="false" name="Osz1_Max" vbProcedure="false">Curves!$F$7</definedName>
    <definedName function="false" hidden="false" name="Osz1_Min" vbProcedure="false">Curves!$E$7</definedName>
    <definedName function="false" hidden="false" name="Osz1_Pts" vbProcedure="false">Curves!$J$9:$S$9</definedName>
    <definedName function="false" hidden="false" name="Osz1_W" vbProcedure="false">Curves!$E$9</definedName>
    <definedName function="false" hidden="false" name="Osz2_Incl" vbProcedure="false">Curves!$J$11:$T$11</definedName>
    <definedName function="false" hidden="false" name="Osz2_LB" vbProcedure="false">Curves!$J$10:$T$10</definedName>
    <definedName function="false" hidden="false" name="Osz2_Max" vbProcedure="false">Curves!$F$10</definedName>
    <definedName function="false" hidden="false" name="Osz2_Min" vbProcedure="false">Curves!$E$10</definedName>
    <definedName function="false" hidden="false" name="Osz2_Pts" vbProcedure="false">Curves!$J$12:$U$12</definedName>
    <definedName function="false" hidden="false" name="Osz2_W" vbProcedure="false">Curves!$E$12</definedName>
    <definedName function="false" hidden="false" name="Osz3_Incl" vbProcedure="false">Curves!$J$17:$S$17</definedName>
    <definedName function="false" hidden="false" name="Osz3_LB" vbProcedure="false">Curves!$J$16:$S$16</definedName>
    <definedName function="false" hidden="false" name="Osz3_Pts" vbProcedure="false">Curves!$J$18:$T$18</definedName>
    <definedName function="false" hidden="false" name="Osz3_W" vbProcedure="false">Curves!$E$18</definedName>
    <definedName function="false" hidden="false" name="Osz4_Incl" vbProcedure="false">Curves!$J$14:$S$14</definedName>
    <definedName function="false" hidden="false" name="Osz4_LB" vbProcedure="false">Curves!$J$13:$S$13</definedName>
    <definedName function="false" hidden="false" name="Osz4_Min" vbProcedure="false">Curves!$E$13</definedName>
    <definedName function="false" hidden="false" name="Osz4_Pts" vbProcedure="false">Curves!$J$15:$T$15</definedName>
    <definedName function="false" hidden="false" name="Osz4_W" vbProcedure="false">Curves!$E$15</definedName>
    <definedName function="false" hidden="false" name="Osz5_Pts" vbProcedure="false">Curves!$J$22:$J$22</definedName>
    <definedName function="false" hidden="false" name="Osz5_W" vbProcedure="false">Curves!$E$22</definedName>
    <definedName function="false" hidden="false" name="Osz6_Incl" vbProcedure="false">Curves!$J$20:$S$20</definedName>
    <definedName function="false" hidden="false" name="Osz6_LB" vbProcedure="false">Curves!$J$19:$S$19</definedName>
    <definedName function="false" hidden="false" name="Osz6_Pts" vbProcedure="false">Curves!$J$21:$T$21</definedName>
    <definedName function="false" hidden="false" name="Osz6_W" vbProcedure="false">Curves!$E$21</definedName>
    <definedName function="false" hidden="false" name="Osz8_Pts" vbProcedure="false">Curves!$J$23:$J$23</definedName>
    <definedName function="false" hidden="false" name="Osz8_W" vbProcedure="false">Curves!$E$23</definedName>
    <definedName function="false" hidden="false" name="Osz9a_Pts" vbProcedure="false">Curves!$J$24:$J$24</definedName>
    <definedName function="false" hidden="false" name="Osz9b_Pts" vbProcedure="false">Curves!$J$25:$J$25</definedName>
    <definedName function="false" hidden="false" name="Osz9_W" vbProcedure="false">Curves!$E$24</definedName>
    <definedName function="false" hidden="false" name="Out_BESS_Built_1" vbProcedure="false">Dashboard!$E$30</definedName>
    <definedName function="false" hidden="false" name="Out_BESS_Built_2" vbProcedure="false">Dashboard!$F$30</definedName>
    <definedName function="false" hidden="false" name="Out_BESS_MWh_1" vbProcedure="false">Dashboard!$E$29</definedName>
    <definedName function="false" hidden="false" name="Out_BESS_MWh_2" vbProcedure="false">Dashboard!$F$29</definedName>
    <definedName function="false" hidden="false" name="Out_BESS_MW_1" vbProcedure="false">Dashboard!$E$28</definedName>
    <definedName function="false" hidden="false" name="Out_BESS_MW_2" vbProcedure="false">Dashboard!$F$28</definedName>
    <definedName function="false" hidden="false" name="Out_Bottleneck_Loss_1" vbProcedure="false">Dashboard!$E$33</definedName>
    <definedName function="false" hidden="false" name="Out_Bottleneck_Loss_2" vbProcedure="false">Dashboard!$F$33</definedName>
    <definedName function="false" hidden="false" name="Out_Buyer_IRR_L_1" vbProcedure="false">Dashboard!$E$77</definedName>
    <definedName function="false" hidden="false" name="Out_Buyer_IRR_L_2" vbProcedure="false">Dashboard!$F$77</definedName>
    <definedName function="false" hidden="false" name="Out_Buyer_IRR_U_1" vbProcedure="false">Dashboard!$E$76</definedName>
    <definedName function="false" hidden="false" name="Out_Buyer_IRR_U_2" vbProcedure="false">Dashboard!$F$76</definedName>
    <definedName function="false" hidden="false" name="Out_Capacity_Used_1" vbProcedure="false">Dashboard!$E$82</definedName>
    <definedName function="false" hidden="false" name="Out_Capacity_Used_2" vbProcedure="false">Dashboard!$F$82</definedName>
    <definedName function="false" hidden="false" name="Out_Checks_1" vbProcedure="false">Dashboard!$E$98</definedName>
    <definedName function="false" hidden="false" name="Out_Checks_2" vbProcedure="false">Dashboard!$F$98</definedName>
    <definedName function="false" hidden="false" name="Out_COD_IRR_1" vbProcedure="false">Dashboard!$E$40</definedName>
    <definedName function="false" hidden="false" name="Out_COD_IRR_2" vbProcedure="false">Dashboard!$F$40</definedName>
    <definedName function="false" hidden="false" name="Out_COD_MOIC_1" vbProcedure="false">Dashboard!$E$41</definedName>
    <definedName function="false" hidden="false" name="Out_COD_MOIC_2" vbProcedure="false">Dashboard!$F$41</definedName>
    <definedName function="false" hidden="false" name="Out_COD_NPV_1" vbProcedure="false">Dashboard!$E$42</definedName>
    <definedName function="false" hidden="false" name="Out_COD_NPV_2" vbProcedure="false">Dashboard!$F$42</definedName>
    <definedName function="false" hidden="false" name="Out_COD_Price_1" vbProcedure="false">Dashboard!$E$73</definedName>
    <definedName function="false" hidden="false" name="Out_COD_Price_2" vbProcedure="false">Dashboard!$F$73</definedName>
    <definedName function="false" hidden="false" name="Out_COD_Proceeds_1" vbProcedure="false">Dashboard!$E$74</definedName>
    <definedName function="false" hidden="false" name="Out_COD_Proceeds_2" vbProcedure="false">Dashboard!$F$74</definedName>
    <definedName function="false" hidden="false" name="Out_COD_Profit_1" vbProcedure="false">Dashboard!$E$39</definedName>
    <definedName function="false" hidden="false" name="Out_COD_Profit_2" vbProcedure="false">Dashboard!$F$39</definedName>
    <definedName function="false" hidden="false" name="Out_COD_Tax_1" vbProcedure="false">Dashboard!$E$75</definedName>
    <definedName function="false" hidden="false" name="Out_COD_Tax_2" vbProcedure="false">Dashboard!$F$75</definedName>
    <definedName function="false" hidden="false" name="Out_Debt_Capacity_1" vbProcedure="false">Dashboard!$E$80</definedName>
    <definedName function="false" hidden="false" name="Out_Debt_Capacity_2" vbProcedure="false">Dashboard!$F$80</definedName>
    <definedName function="false" hidden="false" name="Out_Debt_COD_1" vbProcedure="false">Dashboard!$E$58</definedName>
    <definedName function="false" hidden="false" name="Out_Debt_COD_2" vbProcedure="false">Dashboard!$F$58</definedName>
    <definedName function="false" hidden="false" name="Out_Debt_Max_High_1" vbProcedure="false">Dashboard!$E$87</definedName>
    <definedName function="false" hidden="false" name="Out_Debt_Max_High_2" vbProcedure="false">Dashboard!$F$87</definedName>
    <definedName function="false" hidden="false" name="Out_Debt_Max_High_Pct_1" vbProcedure="false">Dashboard!$E$88</definedName>
    <definedName function="false" hidden="false" name="Out_Debt_Max_High_Pct_2" vbProcedure="false">Dashboard!$F$88</definedName>
    <definedName function="false" hidden="false" name="Out_Debt_Max_Low_1" vbProcedure="false">Dashboard!$E$84</definedName>
    <definedName function="false" hidden="false" name="Out_Debt_Max_Low_2" vbProcedure="false">Dashboard!$F$84</definedName>
    <definedName function="false" hidden="false" name="Out_Debt_Max_Low_Pct_1" vbProcedure="false">Dashboard!$E$85</definedName>
    <definedName function="false" hidden="false" name="Out_Debt_Max_Low_Pct_2" vbProcedure="false">Dashboard!$F$85</definedName>
    <definedName function="false" hidden="false" name="Out_Debt_Share_1" vbProcedure="false">Dashboard!$E$81</definedName>
    <definedName function="false" hidden="false" name="Out_Debt_Share_2" vbProcedure="false">Dashboard!$F$81</definedName>
    <definedName function="false" hidden="false" name="Out_DSCR_Max_High_1" vbProcedure="false">Dashboard!$E$86</definedName>
    <definedName function="false" hidden="false" name="Out_DSCR_Max_High_2" vbProcedure="false">Dashboard!$F$86</definedName>
    <definedName function="false" hidden="false" name="Out_DSCR_Max_Low_1" vbProcedure="false">Dashboard!$E$83</definedName>
    <definedName function="false" hidden="false" name="Out_DSCR_Max_Low_2" vbProcedure="false">Dashboard!$F$83</definedName>
    <definedName function="false" hidden="false" name="Out_DSRA_1" vbProcedure="false">Dashboard!$E$89</definedName>
    <definedName function="false" hidden="false" name="Out_DSRA_2" vbProcedure="false">Dashboard!$F$89</definedName>
    <definedName function="false" hidden="false" name="Out_EBITDA_Life_1" vbProcedure="false">Dashboard!$E$95</definedName>
    <definedName function="false" hidden="false" name="Out_EBITDA_Life_2" vbProcedure="false">Dashboard!$F$95</definedName>
    <definedName function="false" hidden="false" name="Out_EBITDA_Year1_1" vbProcedure="false">Dashboard!$E$93</definedName>
    <definedName function="false" hidden="false" name="Out_EBITDA_Year1_2" vbProcedure="false">Dashboard!$F$93</definedName>
    <definedName function="false" hidden="false" name="Out_Equity_COD_1" vbProcedure="false">Dashboard!$E$59</definedName>
    <definedName function="false" hidden="false" name="Out_Equity_COD_2" vbProcedure="false">Dashboard!$F$59</definedName>
    <definedName function="false" hidden="false" name="Out_Equity_Peak_HTM_1" vbProcedure="false">Dashboard!$E$60</definedName>
    <definedName function="false" hidden="false" name="Out_Equity_Peak_HTM_2" vbProcedure="false">Dashboard!$F$60</definedName>
    <definedName function="false" hidden="false" name="Out_Gearing_Uses_1" vbProcedure="false">Dashboard!$E$61</definedName>
    <definedName function="false" hidden="false" name="Out_Gearing_Uses_2" vbProcedure="false">Dashboard!$F$61</definedName>
    <definedName function="false" hidden="false" name="Out_Gen_Year1_1" vbProcedure="false">Dashboard!$E$91</definedName>
    <definedName function="false" hidden="false" name="Out_Gen_Year1_2" vbProcedure="false">Dashboard!$F$91</definedName>
    <definedName function="false" hidden="false" name="Out_Guarantee_Fees_COD_1" vbProcedure="false">Dashboard!$E$70</definedName>
    <definedName function="false" hidden="false" name="Out_Guarantee_Fees_COD_2" vbProcedure="false">Dashboard!$F$70</definedName>
    <definedName function="false" hidden="false" name="Out_HTM_IRR_1" vbProcedure="false">Dashboard!$E$44</definedName>
    <definedName function="false" hidden="false" name="Out_HTM_IRR_2" vbProcedure="false">Dashboard!$F$44</definedName>
    <definedName function="false" hidden="false" name="Out_HTM_MOIC_1" vbProcedure="false">Dashboard!$E$45</definedName>
    <definedName function="false" hidden="false" name="Out_HTM_MOIC_2" vbProcedure="false">Dashboard!$F$45</definedName>
    <definedName function="false" hidden="false" name="Out_HTM_NPV_1" vbProcedure="false">Dashboard!$E$46</definedName>
    <definedName function="false" hidden="false" name="Out_HTM_NPV_2" vbProcedure="false">Dashboard!$F$46</definedName>
    <definedName function="false" hidden="false" name="Out_HTM_Profit_1" vbProcedure="false">Dashboard!$E$43</definedName>
    <definedName function="false" hidden="false" name="Out_HTM_Profit_2" vbProcedure="false">Dashboard!$F$43</definedName>
    <definedName function="false" hidden="false" name="Out_Min_DSCR_1" vbProcedure="false">Dashboard!$E$90</definedName>
    <definedName function="false" hidden="false" name="Out_Min_DSCR_2" vbProcedure="false">Dashboard!$F$90</definedName>
    <definedName function="false" hidden="false" name="Out_MVA_At_Risk_1" vbProcedure="false">Dashboard!$E$32</definedName>
    <definedName function="false" hidden="false" name="Out_MVA_At_Risk_2" vbProcedure="false">Dashboard!$F$32</definedName>
    <definedName function="false" hidden="false" name="Out_PB_Call_Applied_1" vbProcedure="false">Dashboard!$E$36</definedName>
    <definedName function="false" hidden="false" name="Out_PB_Call_Applied_2" vbProcedure="false">Dashboard!$F$36</definedName>
    <definedName function="false" hidden="false" name="Out_PB_Call_Full_1" vbProcedure="false">Dashboard!$E$35</definedName>
    <definedName function="false" hidden="false" name="Out_PB_Call_Full_2" vbProcedure="false">Dashboard!$F$35</definedName>
    <definedName function="false" hidden="false" name="Out_PB_Call_ProRata_1" vbProcedure="false">Dashboard!$E$34</definedName>
    <definedName function="false" hidden="false" name="Out_PB_Call_ProRata_2" vbProcedure="false">Dashboard!$F$34</definedName>
    <definedName function="false" hidden="false" name="Out_Points_1" vbProcedure="false">Dashboard!$E$22</definedName>
    <definedName function="false" hidden="false" name="Out_Points_2" vbProcedure="false">Dashboard!$F$22</definedName>
    <definedName function="false" hidden="false" name="Out_Project_IRR_1" vbProcedure="false">Dashboard!$E$47</definedName>
    <definedName function="false" hidden="false" name="Out_Project_IRR_2" vbProcedure="false">Dashboard!$F$47</definedName>
    <definedName function="false" hidden="false" name="Out_Revenue_Life_1" vbProcedure="false">Dashboard!$E$94</definedName>
    <definedName function="false" hidden="false" name="Out_Revenue_Life_2" vbProcedure="false">Dashboard!$F$94</definedName>
    <definedName function="false" hidden="false" name="Out_Revenue_Year1_1" vbProcedure="false">Dashboard!$E$92</definedName>
    <definedName function="false" hidden="false" name="Out_Revenue_Year1_2" vbProcedure="false">Dashboard!$F$92</definedName>
    <definedName function="false" hidden="false" name="Out_Sec_bid_1" vbProcedure="false">Dashboard!$E$65</definedName>
    <definedName function="false" hidden="false" name="Out_Sec_bid_2" vbProcedure="false">Dashboard!$F$65</definedName>
    <definedName function="false" hidden="false" name="Out_Sec_direct_1" vbProcedure="false">Dashboard!$E$68</definedName>
    <definedName function="false" hidden="false" name="Out_Sec_direct_2" vbProcedure="false">Dashboard!$F$68</definedName>
    <definedName function="false" hidden="false" name="Out_Sec_fee_1" vbProcedure="false">Dashboard!$E$64</definedName>
    <definedName function="false" hidden="false" name="Out_Sec_fee_2" vbProcedure="false">Dashboard!$F$64</definedName>
    <definedName function="false" hidden="false" name="Out_Sec_indirect_1" vbProcedure="false">Dashboard!$E$69</definedName>
    <definedName function="false" hidden="false" name="Out_Sec_indirect_2" vbProcedure="false">Dashboard!$F$69</definedName>
    <definedName function="false" hidden="false" name="Out_Sec_pb_1" vbProcedure="false">Dashboard!$E$66</definedName>
    <definedName function="false" hidden="false" name="Out_Sec_pb_2" vbProcedure="false">Dashboard!$F$66</definedName>
    <definedName function="false" hidden="false" name="Out_Sec_tso_1" vbProcedure="false">Dashboard!$E$67</definedName>
    <definedName function="false" hidden="false" name="Out_Sec_tso_2" vbProcedure="false">Dashboard!$F$67</definedName>
    <definedName function="false" hidden="false" name="Out_Shortfall_1" vbProcedure="false">Dashboard!$E$31</definedName>
    <definedName function="false" hidden="false" name="Out_Shortfall_2" vbProcedure="false">Dashboard!$F$31</definedName>
    <definedName function="false" hidden="false" name="Out_Tax_Life_1" vbProcedure="false">Dashboard!$E$96</definedName>
    <definedName function="false" hidden="false" name="Out_Tax_Life_2" vbProcedure="false">Dashboard!$F$96</definedName>
    <definedName function="false" hidden="false" name="Out_Tax_Losses_Lapsed_1" vbProcedure="false">Dashboard!$E$97</definedName>
    <definedName function="false" hidden="false" name="Out_Tax_Losses_Lapsed_2" vbProcedure="false">Dashboard!$F$97</definedName>
    <definedName function="false" hidden="false" name="Out_Uses_Capex_1" vbProcedure="false">Dashboard!$E$52</definedName>
    <definedName function="false" hidden="false" name="Out_Uses_Capex_2" vbProcedure="false">Dashboard!$F$52</definedName>
    <definedName function="false" hidden="false" name="Out_Uses_Connection_1" vbProcedure="false">Dashboard!$E$53</definedName>
    <definedName function="false" hidden="false" name="Out_Uses_Connection_2" vbProcedure="false">Dashboard!$F$53</definedName>
    <definedName function="false" hidden="false" name="Out_Uses_Development_1" vbProcedure="false">Dashboard!$E$50</definedName>
    <definedName function="false" hidden="false" name="Out_Uses_Development_2" vbProcedure="false">Dashboard!$F$50</definedName>
    <definedName function="false" hidden="false" name="Out_Uses_Financing_1" vbProcedure="false">Dashboard!$E$55</definedName>
    <definedName function="false" hidden="false" name="Out_Uses_Financing_2" vbProcedure="false">Dashboard!$F$55</definedName>
    <definedName function="false" hidden="false" name="Out_Uses_Lease_1" vbProcedure="false">Dashboard!$E$56</definedName>
    <definedName function="false" hidden="false" name="Out_Uses_Lease_2" vbProcedure="false">Dashboard!$F$56</definedName>
    <definedName function="false" hidden="false" name="Out_Uses_Municipal_1" vbProcedure="false">Dashboard!$E$54</definedName>
    <definedName function="false" hidden="false" name="Out_Uses_Municipal_2" vbProcedure="false">Dashboard!$F$54</definedName>
    <definedName function="false" hidden="false" name="Out_Uses_Securities_1" vbProcedure="false">Dashboard!$E$51</definedName>
    <definedName function="false" hidden="false" name="Out_Uses_Securities_2" vbProcedure="false">Dashboard!$F$51</definedName>
    <definedName function="false" hidden="false" name="Out_Uses_Total_1" vbProcedure="false">Dashboard!$E$57</definedName>
    <definedName function="false" hidden="false" name="Out_Uses_Total_2" vbProcedure="false">Dashboard!$F$57</definedName>
    <definedName function="false" hidden="false" name="Out_Wind_Built_1" vbProcedure="false">Dashboard!$E$27</definedName>
    <definedName function="false" hidden="false" name="Out_Wind_Built_2" vbProcedure="false">Dashboard!$F$27</definedName>
    <definedName function="false" hidden="false" name="Out_Wind_MW_1" vbProcedure="false">Dashboard!$E$26</definedName>
    <definedName function="false" hidden="false" name="Out_Wind_MW_2" vbProcedure="false">Dashboard!$F$26</definedName>
    <definedName function="false" hidden="false" name="PB_Call_Applied_1_Stored" vbProcedure="false">Dashboard!$H$105:$V$105</definedName>
    <definedName function="false" hidden="false" name="PB_Call_Applied_2_Stored" vbProcedure="false">Dashboard!$H$106:$V$106</definedName>
    <definedName function="false" hidden="false" name="Points_1_Stored" vbProcedure="false">Dashboard!$H$101:$V$101</definedName>
    <definedName function="false" hidden="false" name="Points_2_Stored" vbProcedure="false">Dashboard!$H$102:$V$102</definedName>
    <definedName function="false" hidden="false" name="Points_Decimals" vbProcedure="false">Inputs!$F$50</definedName>
    <definedName function="false" hidden="false" name="Scenario_Name" vbProcedure="false">Dashboard!$Z$12</definedName>
    <definedName function="false" hidden="false" name="Scenario_Names" vbProcedure="false">Inputs!$H$7:$V$7</definedName>
    <definedName function="false" hidden="false" name="Scenario_Selected" vbProcedure="false">Inputs!$F$5</definedName>
    <definedName function="false" hidden="false" name="Sens_Step" vbProcedure="false">Inputs!$F$20</definedName>
    <definedName function="false" hidden="false" name="Solver_Topics" vbProcedure="false">Inputs!$F$110</definedName>
    <definedName function="false" hidden="false" name="Stored_Results" vbProcedure="false">Dashboard!$H$101:$V$132</definedName>
    <definedName function="false" hidden="false" name="Tax_1_Copy" vbProcedure="false">Calc_1!$J$117:$EO$117</definedName>
    <definedName function="false" hidden="false" name="Tax_1_Delta" vbProcedure="false">Calc_1!$I$118</definedName>
    <definedName function="false" hidden="false" name="Tax_1_Paste" vbProcedure="false">Calc_1!$J$86:$EO$86</definedName>
    <definedName function="false" hidden="false" name="Tax_2_Copy" vbProcedure="false">Calc_2!$J$117:$EO$117</definedName>
    <definedName function="false" hidden="false" name="Tax_2_Delta" vbProcedure="false">Calc_2!$I$118</definedName>
    <definedName function="false" hidden="false" name="Tax_2_Paste" vbProcedure="false">Calc_2!$J$86:$EO$86</definedName>
    <definedName function="false" hidden="false" name="Thousand" vbProcedure="false">Inputs!$F$11</definedName>
    <definedName function="false" hidden="false" name="Tolerance" vbProcedure="false">Inputs!$F$16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<sst xmlns="http://schemas.openxmlformats.org/spreadsheetml/2006/main" count="1276" uniqueCount="542">
  <si>
    <t xml:space="preserve">Project Bana</t>
  </si>
  <si>
    <t xml:space="preserve">50 MVA onshore wind, Ács Katódgyár – sale at COD vs hold to maturity</t>
  </si>
  <si>
    <t xml:space="preserve">Version</t>
  </si>
  <si>
    <t xml:space="preserve">v2</t>
  </si>
  <si>
    <t xml:space="preserve">Model date</t>
  </si>
  <si>
    <t xml:space="preserve">Key-assumption set</t>
  </si>
  <si>
    <t xml:space="preserve">Master check</t>
  </si>
  <si>
    <t xml:space="preserve">Item</t>
  </si>
  <si>
    <t xml:space="preserve">Unit</t>
  </si>
  <si>
    <t xml:space="preserve">European turbine</t>
  </si>
  <si>
    <t xml:space="preserve">Chinese turbine</t>
  </si>
  <si>
    <t xml:space="preserve">Key assumptions</t>
  </si>
  <si>
    <t xml:space="preserve">Live</t>
  </si>
  <si>
    <t xml:space="preserve">x</t>
  </si>
  <si>
    <t xml:space="preserve">The bid: commitments and points</t>
  </si>
  <si>
    <t xml:space="preserve">Offerable range</t>
  </si>
  <si>
    <t xml:space="preserve">Points EU</t>
  </si>
  <si>
    <t xml:space="preserve">Points CN</t>
  </si>
  <si>
    <t xml:space="preserve">Municipal one-off (ÖSZ-1)</t>
  </si>
  <si>
    <t xml:space="preserve">EUR k/MW</t>
  </si>
  <si>
    <t xml:space="preserve">0 or 10–50</t>
  </si>
  <si>
    <t xml:space="preserve">text</t>
  </si>
  <si>
    <t xml:space="preserve">Base: Raiffeisen</t>
  </si>
  <si>
    <t xml:space="preserve">Community contribution (ÖSZ-2)</t>
  </si>
  <si>
    <t xml:space="preserve">EUR/MWh</t>
  </si>
  <si>
    <t xml:space="preserve">0 or 2–3</t>
  </si>
  <si>
    <t xml:space="preserve">Overbuild committed (ÖSZ-3)</t>
  </si>
  <si>
    <t xml:space="preserve">%</t>
  </si>
  <si>
    <t xml:space="preserve">≥ 0 %</t>
  </si>
  <si>
    <t xml:space="preserve">Key assumptions (live)</t>
  </si>
  <si>
    <t xml:space="preserve">BESS power, share of MVA (ÖSZ-4)</t>
  </si>
  <si>
    <t xml:space="preserve">≤ wind MW</t>
  </si>
  <si>
    <t xml:space="preserve">Purchase price</t>
  </si>
  <si>
    <t xml:space="preserve">EUR k</t>
  </si>
  <si>
    <t xml:space="preserve">BESS duration</t>
  </si>
  <si>
    <t xml:space="preserve">h</t>
  </si>
  <si>
    <t xml:space="preserve">≥ 4 h</t>
  </si>
  <si>
    <t xml:space="preserve">COD</t>
  </si>
  <si>
    <t xml:space="preserve">date</t>
  </si>
  <si>
    <t xml:space="preserve">Performance security multiple (ÖSZ-6)</t>
  </si>
  <si>
    <t xml:space="preserve">≥ 1.0</t>
  </si>
  <si>
    <t xml:space="preserve">Overbuild built</t>
  </si>
  <si>
    <t xml:space="preserve">Partial award accepted (ÖSZ-5)</t>
  </si>
  <si>
    <t xml:space="preserve">flag</t>
  </si>
  <si>
    <t xml:space="preserve">0 / 1</t>
  </si>
  <si>
    <t xml:space="preserve">Sanction regime (1 pro rata, 2 full)</t>
  </si>
  <si>
    <t xml:space="preserve">Shared connection (ÖSZ-8)</t>
  </si>
  <si>
    <t xml:space="preserve">COD price, EU</t>
  </si>
  <si>
    <t xml:space="preserve">EU turbines ≥ 80 % (ÖSZ-9), sets the route</t>
  </si>
  <si>
    <t xml:space="preserve">COD price, CN</t>
  </si>
  <si>
    <t xml:space="preserve">EU transformers ≥ 80 % (ÖSZ-9)</t>
  </si>
  <si>
    <t xml:space="preserve">Turbine price, EU</t>
  </si>
  <si>
    <t xml:space="preserve">Points total</t>
  </si>
  <si>
    <t xml:space="preserve">points</t>
  </si>
  <si>
    <t xml:space="preserve">Turbine price, CN</t>
  </si>
  <si>
    <t xml:space="preserve">Commitments within the offerable range</t>
  </si>
  <si>
    <t xml:space="preserve">Net P50 hours</t>
  </si>
  <si>
    <t xml:space="preserve">h/yr</t>
  </si>
  <si>
    <t xml:space="preserve">PPA price at COD, whole life</t>
  </si>
  <si>
    <t xml:space="preserve">Capacity: committed vs built</t>
  </si>
  <si>
    <t xml:space="preserve">Debt rate</t>
  </si>
  <si>
    <t xml:space="preserve">Wind committed in the bid</t>
  </si>
  <si>
    <t xml:space="preserve">MW</t>
  </si>
  <si>
    <t xml:space="preserve">Target DSCR</t>
  </si>
  <si>
    <t xml:space="preserve">Wind built</t>
  </si>
  <si>
    <t xml:space="preserve">Tenor from COD</t>
  </si>
  <si>
    <t xml:space="preserve">years</t>
  </si>
  <si>
    <t xml:space="preserve">BESS committed</t>
  </si>
  <si>
    <t xml:space="preserve">Debt share cap</t>
  </si>
  <si>
    <t xml:space="preserve">BESS energy committed</t>
  </si>
  <si>
    <t xml:space="preserve">MWh</t>
  </si>
  <si>
    <t xml:space="preserve">CIT</t>
  </si>
  <si>
    <t xml:space="preserve">BESS built</t>
  </si>
  <si>
    <t xml:space="preserve">Robin Hood tax on (1 = yes)</t>
  </si>
  <si>
    <t xml:space="preserve">Wind build shortfall vs commitment</t>
  </si>
  <si>
    <t xml:space="preserve">Discount rate</t>
  </si>
  <si>
    <t xml:space="preserve">Memo: connection right lost pro rata</t>
  </si>
  <si>
    <t xml:space="preserve">MVA</t>
  </si>
  <si>
    <t xml:space="preserve">FX</t>
  </si>
  <si>
    <t xml:space="preserve">HUF/EUR</t>
  </si>
  <si>
    <t xml:space="preserve">Grid-bottleneck energy loss</t>
  </si>
  <si>
    <t xml:space="preserve">PB call if the pro-rata rule applies (GYIK 28/30)</t>
  </si>
  <si>
    <t xml:space="preserve">EUR m</t>
  </si>
  <si>
    <t xml:space="preserve">PB call if the full-call rule applies (GYIK 72)</t>
  </si>
  <si>
    <t xml:space="preserve">PB call paid, selected regime</t>
  </si>
  <si>
    <t xml:space="preserve">Returns at a glance</t>
  </si>
  <si>
    <t xml:space="preserve">FEP profit – sale at COD</t>
  </si>
  <si>
    <t xml:space="preserve">FEP IRR – sale at COD</t>
  </si>
  <si>
    <t xml:space="preserve">FEP MOIC – sale at COD</t>
  </si>
  <si>
    <t xml:space="preserve">FEP NPV – sale at COD</t>
  </si>
  <si>
    <t xml:space="preserve">FEP profit – hold to maturity</t>
  </si>
  <si>
    <t xml:space="preserve">FEP IRR – hold to maturity</t>
  </si>
  <si>
    <t xml:space="preserve">FEP MOIC – hold to maturity</t>
  </si>
  <si>
    <t xml:space="preserve">FEP NPV – hold to maturity</t>
  </si>
  <si>
    <t xml:space="preserve">Project IRR, actual tax, before financing</t>
  </si>
  <si>
    <t xml:space="preserve">Funding to COD</t>
  </si>
  <si>
    <t xml:space="preserve">Purchase price, DD and devex</t>
  </si>
  <si>
    <t xml:space="preserve">Participation fee, TSO security, guarantee fees</t>
  </si>
  <si>
    <t xml:space="preserve">Construction capex (wind, substation, BESS)</t>
  </si>
  <si>
    <t xml:space="preserve">Connection fees, net of TSO security</t>
  </si>
  <si>
    <t xml:space="preserve">Municipal one-off</t>
  </si>
  <si>
    <t xml:space="preserve">Capitalised interest and debt fees</t>
  </si>
  <si>
    <t xml:space="preserve">Land lease during construction</t>
  </si>
  <si>
    <t xml:space="preserve">Total uses</t>
  </si>
  <si>
    <t xml:space="preserve">Senior debt at COD (incl. capitalised interest)</t>
  </si>
  <si>
    <t xml:space="preserve">FEP equity to COD</t>
  </si>
  <si>
    <t xml:space="preserve">FEP peak equity, hold (incl. DSRA)</t>
  </si>
  <si>
    <t xml:space="preserve">Debt share of total uses</t>
  </si>
  <si>
    <t xml:space="preserve">Securities and fees</t>
  </si>
  <si>
    <t xml:space="preserve">Form</t>
  </si>
  <si>
    <t xml:space="preserve">Posted</t>
  </si>
  <si>
    <t xml:space="preserve">Released</t>
  </si>
  <si>
    <t xml:space="preserve">Participation fee</t>
  </si>
  <si>
    <t xml:space="preserve">cash</t>
  </si>
  <si>
    <t xml:space="preserve">–</t>
  </si>
  <si>
    <t xml:space="preserve">Bid security</t>
  </si>
  <si>
    <t xml:space="preserve">guarantee</t>
  </si>
  <si>
    <t xml:space="preserve">Performance security</t>
  </si>
  <si>
    <t xml:space="preserve">TSO connection-request security</t>
  </si>
  <si>
    <t xml:space="preserve">credited</t>
  </si>
  <si>
    <t xml:space="preserve">Direct connection fee</t>
  </si>
  <si>
    <t xml:space="preserve">Indirect connection fee, net</t>
  </si>
  <si>
    <t xml:space="preserve">Guarantee fees to COD</t>
  </si>
  <si>
    <t xml:space="preserve">Sale at COD</t>
  </si>
  <si>
    <t xml:space="preserve">Sale price (enterprise value)</t>
  </si>
  <si>
    <t xml:space="preserve">Net proceeds to FEP (after debt and sale costs)</t>
  </si>
  <si>
    <t xml:space="preserve">Tax on the gain</t>
  </si>
  <si>
    <t xml:space="preserve">Buyer IRR, unlevered, at the SPV's actual tax</t>
  </si>
  <si>
    <t xml:space="preserve">Buyer IRR, levered (takes the debt, funds the DSRA)</t>
  </si>
  <si>
    <t xml:space="preserve">Hold to maturity: debt and tax</t>
  </si>
  <si>
    <t xml:space="preserve">Debt capacity at target DSCR (PV at COD)</t>
  </si>
  <si>
    <t xml:space="preserve">Debt share of construction cost, sized</t>
  </si>
  <si>
    <t xml:space="preserve">Share of the DSCR capacity used</t>
  </si>
  <si>
    <t xml:space="preserve">Info: DSCR for maximum debt, low</t>
  </si>
  <si>
    <t xml:space="preserve">Info: maximum debt at COD, low DSCR, no cap</t>
  </si>
  <si>
    <t xml:space="preserve">Info: maximum debt, share of total uses, low DSCR</t>
  </si>
  <si>
    <t xml:space="preserve">Info: DSCR for maximum debt, high</t>
  </si>
  <si>
    <t xml:space="preserve">Info: maximum debt at COD, high DSCR, no cap</t>
  </si>
  <si>
    <t xml:space="preserve">Info: maximum debt, share of total uses, high DSCR</t>
  </si>
  <si>
    <t xml:space="preserve">DSRA funded at COD</t>
  </si>
  <si>
    <t xml:space="preserve">Minimum DSCR</t>
  </si>
  <si>
    <t xml:space="preserve">Net generation, first full year</t>
  </si>
  <si>
    <t xml:space="preserve">GWh</t>
  </si>
  <si>
    <t xml:space="preserve">Revenue, first full year</t>
  </si>
  <si>
    <t xml:space="preserve">EBITDA, first full year</t>
  </si>
  <si>
    <t xml:space="preserve">Lifetime revenue</t>
  </si>
  <si>
    <t xml:space="preserve">Lifetime EBITDA</t>
  </si>
  <si>
    <t xml:space="preserve">Lifetime corporate income tax and Robin Hood tax</t>
  </si>
  <si>
    <t xml:space="preserve">Tax losses lapsed</t>
  </si>
  <si>
    <t xml:space="preserve">Checks failed in this set (0 = OK)</t>
  </si>
  <si>
    <t xml:space="preserve">#</t>
  </si>
  <si>
    <t xml:space="preserve">Stored results by key-assumption set</t>
  </si>
  <si>
    <t xml:space="preserve">Points total – European turbine</t>
  </si>
  <si>
    <t xml:space="preserve">Points total – Chinese turbine</t>
  </si>
  <si>
    <t xml:space="preserve">Memo: connection right lost pro rata – European turbine</t>
  </si>
  <si>
    <t xml:space="preserve">Memo: connection right lost pro rata – Chinese turbine</t>
  </si>
  <si>
    <t xml:space="preserve">PB call paid, selected regime – European turbine</t>
  </si>
  <si>
    <t xml:space="preserve">PB call paid, selected regime – Chinese turbine</t>
  </si>
  <si>
    <t xml:space="preserve">FEP profit – sale at COD – European turbine</t>
  </si>
  <si>
    <t xml:space="preserve">FEP profit – sale at COD – Chinese turbine</t>
  </si>
  <si>
    <t xml:space="preserve">FEP IRR – sale at COD – European turbine</t>
  </si>
  <si>
    <t xml:space="preserve">FEP IRR – sale at COD – Chinese turbine</t>
  </si>
  <si>
    <t xml:space="preserve">FEP MOIC – sale at COD – European turbine</t>
  </si>
  <si>
    <t xml:space="preserve">FEP MOIC – sale at COD – Chinese turbine</t>
  </si>
  <si>
    <t xml:space="preserve">FEP IRR – hold to maturity – European turbine</t>
  </si>
  <si>
    <t xml:space="preserve">FEP IRR – hold to maturity – Chinese turbine</t>
  </si>
  <si>
    <t xml:space="preserve">FEP MOIC – hold to maturity – European turbine</t>
  </si>
  <si>
    <t xml:space="preserve">FEP MOIC – hold to maturity – Chinese turbine</t>
  </si>
  <si>
    <t xml:space="preserve">FEP NPV – hold to maturity – European turbine</t>
  </si>
  <si>
    <t xml:space="preserve">FEP NPV – hold to maturity – Chinese turbine</t>
  </si>
  <si>
    <t xml:space="preserve">Senior debt at COD (incl. capitalised interest) – European turbine</t>
  </si>
  <si>
    <t xml:space="preserve">Senior debt at COD (incl. capitalised interest) – Chinese turbine</t>
  </si>
  <si>
    <t xml:space="preserve">FEP equity to COD – European turbine</t>
  </si>
  <si>
    <t xml:space="preserve">FEP equity to COD – Chinese turbine</t>
  </si>
  <si>
    <t xml:space="preserve">Buyer IRR, unlevered, at the SPV's actual tax – European turbine</t>
  </si>
  <si>
    <t xml:space="preserve">Buyer IRR, unlevered, at the SPV's actual tax – Chinese turbine</t>
  </si>
  <si>
    <t xml:space="preserve">Buyer IRR, levered (takes the debt, funds the DSRA) – European turbine</t>
  </si>
  <si>
    <t xml:space="preserve">Buyer IRR, levered (takes the debt, funds the DSRA) – Chinese turbine</t>
  </si>
  <si>
    <t xml:space="preserve">Debt share of construction cost, sized – European turbine</t>
  </si>
  <si>
    <t xml:space="preserve">Debt share of construction cost, sized – Chinese turbine</t>
  </si>
  <si>
    <t xml:space="preserve">Minimum DSCR – European turbine</t>
  </si>
  <si>
    <t xml:space="preserve">Minimum DSCR – Chinese turbine</t>
  </si>
  <si>
    <t xml:space="preserve">Checks failed in this set (0 = OK) – European turbine</t>
  </si>
  <si>
    <t xml:space="preserve">Checks failed in this set (0 = OK) – Chinese turbine</t>
  </si>
  <si>
    <t xml:space="preserve">***END***</t>
  </si>
  <si>
    <t xml:space="preserve">Scenario selected</t>
  </si>
  <si>
    <t xml:space="preserve">Set on the Dashboard</t>
  </si>
  <si>
    <t xml:space="preserve">Scenario number</t>
  </si>
  <si>
    <t xml:space="preserve">Input</t>
  </si>
  <si>
    <t xml:space="preserve">Source / note</t>
  </si>
  <si>
    <t xml:space="preserve">Base: UniCredit</t>
  </si>
  <si>
    <t xml:space="preserve">COD price −10%</t>
  </si>
  <si>
    <t xml:space="preserve">COD price +10%</t>
  </si>
  <si>
    <t xml:space="preserve">Turbine +10%</t>
  </si>
  <si>
    <t xml:space="preserve">Yield −10%</t>
  </si>
  <si>
    <t xml:space="preserve">PPA +10%</t>
  </si>
  <si>
    <t xml:space="preserve">Full PB call</t>
  </si>
  <si>
    <t xml:space="preserve">Rate +1 pp</t>
  </si>
  <si>
    <t xml:space="preserve">Tenor 10 years</t>
  </si>
  <si>
    <t xml:space="preserve">Robin Hood 31%</t>
  </si>
  <si>
    <t xml:space="preserve">CIT 9%</t>
  </si>
  <si>
    <t xml:space="preserve">BESS 100 MWh</t>
  </si>
  <si>
    <t xml:space="preserve">Promise all, deliver nothing</t>
  </si>
  <si>
    <t xml:space="preserve">Full cash sweep</t>
  </si>
  <si>
    <t xml:space="preserve">Constants</t>
  </si>
  <si>
    <t xml:space="preserve">Thousand</t>
  </si>
  <si>
    <t xml:space="preserve">Scale</t>
  </si>
  <si>
    <t xml:space="preserve">Million</t>
  </si>
  <si>
    <t xml:space="preserve">Days In Year</t>
  </si>
  <si>
    <t xml:space="preserve">days</t>
  </si>
  <si>
    <t xml:space="preserve">Day count for year fractions and XIRR</t>
  </si>
  <si>
    <t xml:space="preserve">Months In Year</t>
  </si>
  <si>
    <t xml:space="preserve">months</t>
  </si>
  <si>
    <t xml:space="preserve">Months Per Period</t>
  </si>
  <si>
    <t xml:space="preserve">Timeline periodicity (quarterly)</t>
  </si>
  <si>
    <t xml:space="preserve">Tolerance</t>
  </si>
  <si>
    <t xml:space="preserve">Check and solver tolerance</t>
  </si>
  <si>
    <t xml:space="preserve">Timing</t>
  </si>
  <si>
    <t xml:space="preserve">Model start date</t>
  </si>
  <si>
    <t xml:space="preserve">Timeline start</t>
  </si>
  <si>
    <t xml:space="preserve">Sensitivity step for the turbine and yield sets</t>
  </si>
  <si>
    <t xml:space="preserve">User 13-Oct-26</t>
  </si>
  <si>
    <t xml:space="preserve">Bid submission: fee paid, bid security posted, DD</t>
  </si>
  <si>
    <t xml:space="preserve">Kiírás VI.5</t>
  </si>
  <si>
    <t xml:space="preserve">Award decision</t>
  </si>
  <si>
    <t xml:space="preserve">Bana v3 Inputs E96</t>
  </si>
  <si>
    <t xml:space="preserve">Award decision received</t>
  </si>
  <si>
    <t xml:space="preserve">GYIK Q68</t>
  </si>
  <si>
    <t xml:space="preserve">PB posted, TSO security paid after the decision</t>
  </si>
  <si>
    <t xml:space="preserve">Kiírás XII.5, XIII.6</t>
  </si>
  <si>
    <t xml:space="preserve">Closing of the rights transfer: price paid</t>
  </si>
  <si>
    <t xml:space="preserve">Bana deck p2: closing after the award</t>
  </si>
  <si>
    <t xml:space="preserve">Notice to proceed</t>
  </si>
  <si>
    <t xml:space="preserve">Bana v3 Inputs E154</t>
  </si>
  <si>
    <t xml:space="preserve">Connection agreement (HCSSZ): fees paid</t>
  </si>
  <si>
    <t xml:space="preserve">Bana v3 Inputs E99</t>
  </si>
  <si>
    <t xml:space="preserve">Commercial operation date</t>
  </si>
  <si>
    <t xml:space="preserve">Bana v3 Inputs E155, E237</t>
  </si>
  <si>
    <t xml:space="preserve">Operating life</t>
  </si>
  <si>
    <t xml:space="preserve">Bana v3 Inputs E157</t>
  </si>
  <si>
    <t xml:space="preserve">Performance security released (hold route)</t>
  </si>
  <si>
    <t xml:space="preserve">Kiírás XII.8 (COD deadline + 6 m)</t>
  </si>
  <si>
    <t xml:space="preserve">Acquisition, exit and tax</t>
  </si>
  <si>
    <t xml:space="preserve">FX rate</t>
  </si>
  <si>
    <t xml:space="preserve">Bana v3 Inputs E11</t>
  </si>
  <si>
    <t xml:space="preserve">Purchase price to GEI</t>
  </si>
  <si>
    <t xml:space="preserve">Bana v3 Inputs E283</t>
  </si>
  <si>
    <t xml:space="preserve">Transaction and DD costs</t>
  </si>
  <si>
    <t xml:space="preserve">Bana v3 Inputs E25</t>
  </si>
  <si>
    <t xml:space="preserve">Devex to NTP incl. contingency</t>
  </si>
  <si>
    <t xml:space="preserve">Bana v3 Inputs E292</t>
  </si>
  <si>
    <t xml:space="preserve">Sale price at COD per MW, EU turbines</t>
  </si>
  <si>
    <t xml:space="preserve">Bana v3 Inputs M230</t>
  </si>
  <si>
    <t xml:space="preserve">Sale price at COD per MW, CN turbines</t>
  </si>
  <si>
    <t xml:space="preserve">Bana v3 Inputs N230</t>
  </si>
  <si>
    <t xml:space="preserve">Sale costs at COD</t>
  </si>
  <si>
    <t xml:space="preserve">Bana v3 Inputs E26</t>
  </si>
  <si>
    <t xml:space="preserve">FEP discount rate (NPV)</t>
  </si>
  <si>
    <t xml:space="preserve">Bana v3 Inputs E253</t>
  </si>
  <si>
    <t xml:space="preserve">Corporate income tax: 9 % + possible Pillar Two top-up (proxy)</t>
  </si>
  <si>
    <t xml:space="preserve">User 14-Oct-26; set 12: Tao. 19. §</t>
  </si>
  <si>
    <t xml:space="preserve">Robin Hood tax applies (1 = yes)</t>
  </si>
  <si>
    <t xml:space="preserve">User 14-Oct-26: sensitivity only (Thtv.)</t>
  </si>
  <si>
    <t xml:space="preserve">Robin Hood tax on positive pre-tax profit</t>
  </si>
  <si>
    <t xml:space="preserve">Thtv.; 41 % to 2025, 31 % from 2026</t>
  </si>
  <si>
    <t xml:space="preserve">Gain on the COD share sale taxed (0 = exempt)</t>
  </si>
  <si>
    <t xml:space="preserve">Bana v3 E231; participation exemption</t>
  </si>
  <si>
    <t xml:space="preserve">Tax depreciation period</t>
  </si>
  <si>
    <t xml:space="preserve">Bana v3 Inputs E213 (to confirm)</t>
  </si>
  <si>
    <t xml:space="preserve">Tax losses usable, share of the tax base</t>
  </si>
  <si>
    <t xml:space="preserve">Tao. 17. § (2); Bana v3 E214</t>
  </si>
  <si>
    <t xml:space="preserve">Tax losses usable within</t>
  </si>
  <si>
    <t xml:space="preserve">Tao. 17. § (1)</t>
  </si>
  <si>
    <t xml:space="preserve">Tender and grid</t>
  </si>
  <si>
    <t xml:space="preserve">Points rounded to decimals</t>
  </si>
  <si>
    <t xml:space="preserve">Kiírás X.1 b</t>
  </si>
  <si>
    <t xml:space="preserve">Net connection capacity</t>
  </si>
  <si>
    <t xml:space="preserve">MEKH Annex 1; Bana v3 Inputs E281</t>
  </si>
  <si>
    <t xml:space="preserve">Overbuild built, share of MVA (bid: Dashboard)</t>
  </si>
  <si>
    <t xml:space="preserve">Commitments delivered (0 = none: no municipal, community, EU kit)</t>
  </si>
  <si>
    <t xml:space="preserve">User 15-Oct-26</t>
  </si>
  <si>
    <t xml:space="preserve">BESS commitment, share of MVA (0 = Dashboard bid)</t>
  </si>
  <si>
    <t xml:space="preserve">User 15-Oct-26: 100 MWh = 25 MW x 4 h</t>
  </si>
  <si>
    <t xml:space="preserve">Energy lost on overbuilt MW</t>
  </si>
  <si>
    <t xml:space="preserve">Bora!N18 (as Bora)</t>
  </si>
  <si>
    <t xml:space="preserve">BESS built (1 = yes)</t>
  </si>
  <si>
    <t xml:space="preserve">Minimum BESS duration for ÖSZ-4</t>
  </si>
  <si>
    <t xml:space="preserve">Kiírás Annex 8; GYIK Q5</t>
  </si>
  <si>
    <t xml:space="preserve">Build shortfall tolerated without sanction</t>
  </si>
  <si>
    <t xml:space="preserve">GYIK 28, 30</t>
  </si>
  <si>
    <t xml:space="preserve">Sanction regime (1 pro rata, 2 full PB call)</t>
  </si>
  <si>
    <t xml:space="preserve">GYIK 28/30 (1); Kiírás XIII.17, GYIK 72 (2)</t>
  </si>
  <si>
    <t xml:space="preserve">Sanction paid after COD</t>
  </si>
  <si>
    <t xml:space="preserve">Kiírás XIII.17</t>
  </si>
  <si>
    <t xml:space="preserve">Security base: benchmark investment, BESS</t>
  </si>
  <si>
    <t xml:space="preserve">mHUF/MWh</t>
  </si>
  <si>
    <t xml:space="preserve">Kiírás Annex 2</t>
  </si>
  <si>
    <t xml:space="preserve">Security base: benchmark investment, wind</t>
  </si>
  <si>
    <t xml:space="preserve">mHUF/MW</t>
  </si>
  <si>
    <t xml:space="preserve">Participation fee (cash, not refunded)</t>
  </si>
  <si>
    <t xml:space="preserve">mHUF</t>
  </si>
  <si>
    <t xml:space="preserve">Kiírás VI.4</t>
  </si>
  <si>
    <t xml:space="preserve">Bid security (guarantee), share of base</t>
  </si>
  <si>
    <t xml:space="preserve">Kiírás VIII.2</t>
  </si>
  <si>
    <t xml:space="preserve">Performance security (guarantee), minimum share</t>
  </si>
  <si>
    <t xml:space="preserve">Kiírás XII.3</t>
  </si>
  <si>
    <t xml:space="preserve">TSO security (cash, credited to the indirect fee)</t>
  </si>
  <si>
    <t xml:space="preserve">mHUF/MVA</t>
  </si>
  <si>
    <t xml:space="preserve">Bana v3 Inputs E83</t>
  </si>
  <si>
    <t xml:space="preserve">Direct connection fee per connection point (cash)</t>
  </si>
  <si>
    <t xml:space="preserve">MEKH Annex 1; Bana v3 Inputs E289</t>
  </si>
  <si>
    <t xml:space="preserve">Indirect connection fee (cash)</t>
  </si>
  <si>
    <t xml:space="preserve">MEKH Annex 1; Bana v3 Inputs E288</t>
  </si>
  <si>
    <t xml:space="preserve">Bank guarantee fee on guarantees outstanding</t>
  </si>
  <si>
    <t xml:space="preserve">Bana v3 Inputs E113</t>
  </si>
  <si>
    <t xml:space="preserve">Capex</t>
  </si>
  <si>
    <t xml:space="preserve">Turbine supply, EU</t>
  </si>
  <si>
    <t xml:space="preserve">User 13-Oct-26 (Bana v3 E162)</t>
  </si>
  <si>
    <t xml:space="preserve">Turbine supply, CN</t>
  </si>
  <si>
    <t xml:space="preserve">Bana v3 Inputs I162</t>
  </si>
  <si>
    <t xml:space="preserve">Other wind capex (install, foundations, BoP, owner, land)</t>
  </si>
  <si>
    <t xml:space="preserve">Bana v3 Inputs E163:E166, E169:E170</t>
  </si>
  <si>
    <t xml:space="preserve">Substation and 132 kV bay, EU</t>
  </si>
  <si>
    <t xml:space="preserve">Bana v3 Inputs E167</t>
  </si>
  <si>
    <t xml:space="preserve">Substation and 132 kV bay, CN transformer</t>
  </si>
  <si>
    <t xml:space="preserve">Bana v3 Inputs I167</t>
  </si>
  <si>
    <t xml:space="preserve">Contingency on wind and substation capex</t>
  </si>
  <si>
    <t xml:space="preserve">Bana v3 Inputs E171</t>
  </si>
  <si>
    <t xml:space="preserve">BESS capex, all-in (no BESS revenue or opex)</t>
  </si>
  <si>
    <t xml:space="preserve">EUR k/MWh</t>
  </si>
  <si>
    <t xml:space="preserve">Operations</t>
  </si>
  <si>
    <t xml:space="preserve">Curtailment</t>
  </si>
  <si>
    <t xml:space="preserve">Bana v3 Inputs E181</t>
  </si>
  <si>
    <t xml:space="preserve">Degradation per year</t>
  </si>
  <si>
    <t xml:space="preserve">Bana v3 Inputs E182</t>
  </si>
  <si>
    <t xml:space="preserve">PPA price at COD, whole life, 100 % of output</t>
  </si>
  <si>
    <t xml:space="preserve">PPA escalation</t>
  </si>
  <si>
    <t xml:space="preserve">Bana v3 Inputs E192</t>
  </si>
  <si>
    <t xml:space="preserve">Variable opex (balancing 4, grid 1)</t>
  </si>
  <si>
    <t xml:space="preserve">Bana v3 Inputs E194:E195</t>
  </si>
  <si>
    <t xml:space="preserve">Fixed opex (O&amp;M, BoP, insurance, AM, property tax)</t>
  </si>
  <si>
    <t xml:space="preserve">Bana v3 Inputs E201:E202, E204:E206</t>
  </si>
  <si>
    <t xml:space="preserve">Land lease from NTP</t>
  </si>
  <si>
    <t xml:space="preserve">Bana v3 Inputs E203</t>
  </si>
  <si>
    <t xml:space="preserve">Administration</t>
  </si>
  <si>
    <t xml:space="preserve">Bana v3 Inputs E207</t>
  </si>
  <si>
    <t xml:space="preserve">Opex contingency</t>
  </si>
  <si>
    <t xml:space="preserve">Bana v3 Inputs E208</t>
  </si>
  <si>
    <t xml:space="preserve">Opex escalation from the COD year</t>
  </si>
  <si>
    <t xml:space="preserve">Bana v3 Inputs E209</t>
  </si>
  <si>
    <t xml:space="preserve">MEKH supervisory fee</t>
  </si>
  <si>
    <t xml:space="preserve">Bana v3 Inputs E196</t>
  </si>
  <si>
    <t xml:space="preserve">Local business tax (HIPA), on revenue</t>
  </si>
  <si>
    <t xml:space="preserve">Bana v3 Inputs E210</t>
  </si>
  <si>
    <t xml:space="preserve">Innovation contribution, on the HIPA base</t>
  </si>
  <si>
    <t xml:space="preserve">Act LXXVI of 2014, 15. §</t>
  </si>
  <si>
    <t xml:space="preserve">Senior debt</t>
  </si>
  <si>
    <t xml:space="preserve">Debt per built wind MW (bank indication)</t>
  </si>
  <si>
    <t xml:space="preserve">Raiffeisen 0.9 M€/MW; UniCredit pro rata 12y/1.30x</t>
  </si>
  <si>
    <t xml:space="preserve">Maximum debt share of construction cost (LTC)</t>
  </si>
  <si>
    <t xml:space="preserve">Info cap; Raiffeisen ~48-58 %, UniCredit lower</t>
  </si>
  <si>
    <t xml:space="preserve">Cash sweep, share of cash after debt service</t>
  </si>
  <si>
    <t xml:space="preserve">Raiffeisen: significant, up to full</t>
  </si>
  <si>
    <t xml:space="preserve">User 14-Oct-26</t>
  </si>
  <si>
    <t xml:space="preserve">Minimum DSCR on PPA revenue (sizing)</t>
  </si>
  <si>
    <t xml:space="preserve">Raiffeisen 1.20x; UniCredit 1.30x</t>
  </si>
  <si>
    <t xml:space="preserve">Annuity tenor from COD</t>
  </si>
  <si>
    <t xml:space="preserve">Raiffeisen 15 y; UniCredit 12 y</t>
  </si>
  <si>
    <t xml:space="preserve">All-in fixed interest rate</t>
  </si>
  <si>
    <t xml:space="preserve">Bana v3 E218; UniCredit margin &gt;2.3 %</t>
  </si>
  <si>
    <t xml:space="preserve">Upfront fee on the facility</t>
  </si>
  <si>
    <t xml:space="preserve">Bana v3 Inputs E219</t>
  </si>
  <si>
    <t xml:space="preserve">Commitment fee on undrawn debt</t>
  </si>
  <si>
    <t xml:space="preserve">Bana v3 Inputs E222</t>
  </si>
  <si>
    <t xml:space="preserve">DSRA: months of debt service, funded at COD</t>
  </si>
  <si>
    <t xml:space="preserve">Bana v3 Inputs E268</t>
  </si>
  <si>
    <t xml:space="preserve">Macro control</t>
  </si>
  <si>
    <t xml:space="preserve">Solver Topics</t>
  </si>
  <si>
    <t xml:space="preserve">COPY/PASTE topics for Solver.bas</t>
  </si>
  <si>
    <t xml:space="preserve">Tax_1,Tax_2</t>
  </si>
  <si>
    <t xml:space="preserve">GoalSeek Topics</t>
  </si>
  <si>
    <t xml:space="preserve">Topics for GoalSeek.bas</t>
  </si>
  <si>
    <t xml:space="preserve">Tender scoring bands</t>
  </si>
  <si>
    <t xml:space="preserve">Kiírás Annex 3-4</t>
  </si>
  <si>
    <t xml:space="preserve">Weight / min</t>
  </si>
  <si>
    <t xml:space="preserve">Max</t>
  </si>
  <si>
    <t xml:space="preserve">Bands →</t>
  </si>
  <si>
    <t xml:space="preserve">ÖSZ-1 municipal one-off – lower bound</t>
  </si>
  <si>
    <t xml:space="preserve">ÖSZ-1 municipal one-off – lower bound included</t>
  </si>
  <si>
    <t xml:space="preserve">ÖSZ-1 municipal one-off – inner points (below, bands)</t>
  </si>
  <si>
    <t xml:space="preserve">ÖSZ-2 community contribution – lower bound</t>
  </si>
  <si>
    <t xml:space="preserve">ÖSZ-2 community contribution – lower bound included</t>
  </si>
  <si>
    <t xml:space="preserve">ÖSZ-2 community contribution – inner points (below, bands)</t>
  </si>
  <si>
    <t xml:space="preserve">ÖSZ-4 BESS ratio – lower bound</t>
  </si>
  <si>
    <t xml:space="preserve">ÖSZ-4 BESS ratio – lower bound included</t>
  </si>
  <si>
    <t xml:space="preserve">ÖSZ-4 BESS ratio – inner points (below, bands)</t>
  </si>
  <si>
    <t xml:space="preserve">ÖSZ-3 overbuild – lower bound</t>
  </si>
  <si>
    <t xml:space="preserve">ÖSZ-3 overbuild – lower bound included</t>
  </si>
  <si>
    <t xml:space="preserve">ÖSZ-3 overbuild – inner points (below, bands)</t>
  </si>
  <si>
    <t xml:space="preserve">ÖSZ-6 performance security multiple – lower bound</t>
  </si>
  <si>
    <t xml:space="preserve">ÖSZ-6 performance security multiple – lower bound included</t>
  </si>
  <si>
    <t xml:space="preserve">ÖSZ-6 performance security multiple – inner points (below, bands)</t>
  </si>
  <si>
    <t xml:space="preserve">ÖSZ-5 partial award – inner points</t>
  </si>
  <si>
    <t xml:space="preserve">ÖSZ-8 shared connection – inner points</t>
  </si>
  <si>
    <t xml:space="preserve">ÖSZ-9 EU turbines – inner points</t>
  </si>
  <si>
    <t xml:space="preserve">ÖSZ-9 EU transformers – inner points</t>
  </si>
  <si>
    <t xml:space="preserve">Bid number</t>
  </si>
  <si>
    <t xml:space="preserve">Period start</t>
  </si>
  <si>
    <t xml:space="preserve">Period end</t>
  </si>
  <si>
    <t xml:space="preserve">Days in period</t>
  </si>
  <si>
    <t xml:space="preserve">Year fraction</t>
  </si>
  <si>
    <t xml:space="preserve">factor</t>
  </si>
  <si>
    <t xml:space="preserve">Year</t>
  </si>
  <si>
    <t xml:space="preserve">year</t>
  </si>
  <si>
    <t xml:space="preserve">Period counter</t>
  </si>
  <si>
    <t xml:space="preserve">Timing and flags</t>
  </si>
  <si>
    <t xml:space="preserve">Construction share (NTP → COD)</t>
  </si>
  <si>
    <t xml:space="preserve">Devex share (closing → NTP)</t>
  </si>
  <si>
    <t xml:space="preserve">COD column on the timeline (buyer IRR start)</t>
  </si>
  <si>
    <t xml:space="preserve">Land lease period (NTP → end of life)</t>
  </si>
  <si>
    <t xml:space="preserve">Debt repayment period</t>
  </si>
  <si>
    <t xml:space="preserve">Last debt repayment</t>
  </si>
  <si>
    <t xml:space="preserve">Tax depreciation share</t>
  </si>
  <si>
    <t xml:space="preserve">Operating year</t>
  </si>
  <si>
    <t xml:space="preserve">Debt compounding index (E: at COD, F: rate per period)</t>
  </si>
  <si>
    <t xml:space="preserve">Capacity (E: committed in the bid, F: built)</t>
  </si>
  <si>
    <t xml:space="preserve">Wind</t>
  </si>
  <si>
    <t xml:space="preserve">BESS power, share of MVA (bid, or the set's commitment)</t>
  </si>
  <si>
    <t xml:space="preserve">BESS power</t>
  </si>
  <si>
    <t xml:space="preserve">BESS energy</t>
  </si>
  <si>
    <t xml:space="preserve">Grid-bottleneck loss on built wind</t>
  </si>
  <si>
    <t xml:space="preserve">Build shortfall vs commitment (E: wind, F: BESS)</t>
  </si>
  <si>
    <t xml:space="preserve">Memo: connection right lost pro rata (GYIK 28/30)</t>
  </si>
  <si>
    <t xml:space="preserve">Tender points (E: commitment, F: weighted points)</t>
  </si>
  <si>
    <t xml:space="preserve">ÖSZ-1 municipal one-off</t>
  </si>
  <si>
    <t xml:space="preserve">ÖSZ-2 community contribution</t>
  </si>
  <si>
    <t xml:space="preserve">ÖSZ-3 overbuild</t>
  </si>
  <si>
    <t xml:space="preserve">ÖSZ-4 BESS power, share of MVA</t>
  </si>
  <si>
    <t xml:space="preserve">ÖSZ-5 partial award</t>
  </si>
  <si>
    <t xml:space="preserve">ÖSZ-6 performance security multiple</t>
  </si>
  <si>
    <t xml:space="preserve">ÖSZ-8 shared connection</t>
  </si>
  <si>
    <t xml:space="preserve">ÖSZ-9 EU turbines (1 = European turbine route)</t>
  </si>
  <si>
    <t xml:space="preserve">ÖSZ-9 EU transformers</t>
  </si>
  <si>
    <t xml:space="preserve">European turbines installed (bid and delivered)</t>
  </si>
  <si>
    <t xml:space="preserve">Failed tests (E: ÖSZ-1 and -2 range, F: ÖSZ-6, BESS ≤ wind, 4 h)</t>
  </si>
  <si>
    <t xml:space="preserve">Development, securities and fees (E: amount, F: date)</t>
  </si>
  <si>
    <t xml:space="preserve">Devex</t>
  </si>
  <si>
    <t xml:space="preserve">Security base</t>
  </si>
  <si>
    <t xml:space="preserve">Participation fee (cash)</t>
  </si>
  <si>
    <t xml:space="preserve">Bid security outstanding (guarantee)</t>
  </si>
  <si>
    <t xml:space="preserve">Performance security outstanding (guarantee)</t>
  </si>
  <si>
    <t xml:space="preserve">TSO connection-request security (cash)</t>
  </si>
  <si>
    <t xml:space="preserve">Direct connection fee (cash)</t>
  </si>
  <si>
    <t xml:space="preserve">Indirect connection fee, net of TSO security</t>
  </si>
  <si>
    <t xml:space="preserve">Connection fees</t>
  </si>
  <si>
    <t xml:space="preserve">Guarantee fees (E: to COD)</t>
  </si>
  <si>
    <t xml:space="preserve">Performance security by technology (E: wind, F: BESS)</t>
  </si>
  <si>
    <t xml:space="preserve">PB call (E: pro rata above the tolerance, F: full call)</t>
  </si>
  <si>
    <t xml:space="preserve">PB call paid, selected regime (E: date)</t>
  </si>
  <si>
    <t xml:space="preserve">Development cash flow</t>
  </si>
  <si>
    <t xml:space="preserve">Construction</t>
  </si>
  <si>
    <t xml:space="preserve">Turbine supply, this route</t>
  </si>
  <si>
    <t xml:space="preserve">Substation and 132 kV bay, this route</t>
  </si>
  <si>
    <t xml:space="preserve">Capex (E: total)</t>
  </si>
  <si>
    <t xml:space="preserve">Municipal one-off at COD</t>
  </si>
  <si>
    <t xml:space="preserve">Construction cost (E: compounded to COD at the debt rate)</t>
  </si>
  <si>
    <t xml:space="preserve">Opex escalation index</t>
  </si>
  <si>
    <t xml:space="preserve">PPA price</t>
  </si>
  <si>
    <t xml:space="preserve">Net generation (E: first full year)</t>
  </si>
  <si>
    <t xml:space="preserve">Revenue (E: first full year)</t>
  </si>
  <si>
    <t xml:space="preserve">Variable opex (balancing, grid)</t>
  </si>
  <si>
    <t xml:space="preserve">Fixed opex and administration</t>
  </si>
  <si>
    <t xml:space="preserve">Land lease</t>
  </si>
  <si>
    <t xml:space="preserve">MEKH fee, HIPA and innovation contribution</t>
  </si>
  <si>
    <t xml:space="preserve">EBITDA (E: first full year)</t>
  </si>
  <si>
    <t xml:space="preserve">Debt sizing on CFADS</t>
  </si>
  <si>
    <t xml:space="preserve">Corporate income tax – paste (macro)</t>
  </si>
  <si>
    <t xml:space="preserve">CFADS (EBITDA, guarantee fees, tax; after COD)</t>
  </si>
  <si>
    <t xml:space="preserve">CFADS ÷ target DSCR (E: annuity debt capacity, F: lowest quarter)</t>
  </si>
  <si>
    <t xml:space="preserve">Debt quantum: per built wind MW</t>
  </si>
  <si>
    <t xml:space="preserve">Debt share of construction cost (E), share of capacity used (F)</t>
  </si>
  <si>
    <t xml:space="preserve">Debt at COD (E) and level annuity per quarter (F)</t>
  </si>
  <si>
    <t xml:space="preserve">Interest paid</t>
  </si>
  <si>
    <t xml:space="preserve">Scheduled repayment (annuity)</t>
  </si>
  <si>
    <t xml:space="preserve">Scheduled debt service</t>
  </si>
  <si>
    <t xml:space="preserve">Cash sweep</t>
  </si>
  <si>
    <t xml:space="preserve">Debt service incl. sweep</t>
  </si>
  <si>
    <t xml:space="preserve">Opening balance</t>
  </si>
  <si>
    <t xml:space="preserve">Drawdown</t>
  </si>
  <si>
    <t xml:space="preserve">Interest capitalised</t>
  </si>
  <si>
    <t xml:space="preserve">Repayment</t>
  </si>
  <si>
    <t xml:space="preserve">Closing balance (E: at COD)</t>
  </si>
  <si>
    <t xml:space="preserve">Upfront fee</t>
  </si>
  <si>
    <t xml:space="preserve">Commitment fee</t>
  </si>
  <si>
    <t xml:space="preserve">DSRA funded at COD, released at the end (E: balance)</t>
  </si>
  <si>
    <t xml:space="preserve">DSCR on scheduled debt service (E: minimum)</t>
  </si>
  <si>
    <t xml:space="preserve">Tax</t>
  </si>
  <si>
    <t xml:space="preserve">Tax depreciation (E: base)</t>
  </si>
  <si>
    <t xml:space="preserve">Tax base before losses</t>
  </si>
  <si>
    <t xml:space="preserve">Tax losses: opening</t>
  </si>
  <si>
    <t xml:space="preserve">Losses added</t>
  </si>
  <si>
    <t xml:space="preserve">Losses used (capped)</t>
  </si>
  <si>
    <t xml:space="preserve">Losses lapsed (E: date, the NTP year + carry-forward period)</t>
  </si>
  <si>
    <t xml:space="preserve">Tax losses: closing</t>
  </si>
  <si>
    <t xml:space="preserve">Corporate income tax and Robin Hood tax – copy</t>
  </si>
  <si>
    <t xml:space="preserve">Corporate income tax and Robin Hood tax – delta</t>
  </si>
  <si>
    <t xml:space="preserve">Funding to COD (E: uses and sources)</t>
  </si>
  <si>
    <t xml:space="preserve">FEP equity (E), peak including the DSRA (F)</t>
  </si>
  <si>
    <t xml:space="preserve">Info: maximum debt at COD, no cap (E: low, F: high DSCR)</t>
  </si>
  <si>
    <t xml:space="preserve">Info: maximum debt, share of total uses (E: low, F: high)</t>
  </si>
  <si>
    <t xml:space="preserve">FEP contributions to COD</t>
  </si>
  <si>
    <t xml:space="preserve">Sale price (built MW, after bottleneck loss)</t>
  </si>
  <si>
    <t xml:space="preserve">Net proceeds to FEP (after debt, sale costs, any PB call)</t>
  </si>
  <si>
    <t xml:space="preserve">FEP cash flow – sale at COD</t>
  </si>
  <si>
    <t xml:space="preserve">Buyer at COD (share deal: SPV tax, debt and DSRA stay in the SPV)</t>
  </si>
  <si>
    <t xml:space="preserve">Buyer cash flow, unlevered: price net of any PB call, post-COD flows</t>
  </si>
  <si>
    <t xml:space="preserve">Buyer cash flow, levered: pays price less debt, funds the DSRA</t>
  </si>
  <si>
    <t xml:space="preserve">Buyer IRR, levered, post-tax</t>
  </si>
  <si>
    <t xml:space="preserve">Hold to maturity</t>
  </si>
  <si>
    <t xml:space="preserve">Project cash flow before financing, with actual tax</t>
  </si>
  <si>
    <t xml:space="preserve">FEP equity cash flow – hold to maturity</t>
  </si>
  <si>
    <t xml:space="preserve">Status</t>
  </si>
  <si>
    <t xml:space="preserve">Fails</t>
  </si>
  <si>
    <t xml:space="preserve">Checks (0 = OK)</t>
  </si>
  <si>
    <t xml:space="preserve">Solver Tax_1: delta = 0</t>
  </si>
  <si>
    <t xml:space="preserve">Solver Tax_2: delta = 0</t>
  </si>
  <si>
    <t xml:space="preserve">Levers within the tender rules – Calc_1</t>
  </si>
  <si>
    <t xml:space="preserve">Levers within the tender rules – Calc_2</t>
  </si>
  <si>
    <t xml:space="preserve">COD falls on a quarter end – Calc_1</t>
  </si>
  <si>
    <t xml:space="preserve">COD falls on a quarter end – Calc_2</t>
  </si>
  <si>
    <t xml:space="preserve">Debt at COD within the DSCR capacity – Calc_1</t>
  </si>
  <si>
    <t xml:space="preserve">Debt at COD within the DSCR capacity – Calc_2</t>
  </si>
  <si>
    <t xml:space="preserve">Debt repaid by the end of the tenor – Calc_1</t>
  </si>
  <si>
    <t xml:space="preserve">Debt repaid by the end of the tenor – Calc_2</t>
  </si>
  <si>
    <t xml:space="preserve">DSCR not below target – Calc_1</t>
  </si>
  <si>
    <t xml:space="preserve">DSCR not below target – Calc_2</t>
  </si>
  <si>
    <t xml:space="preserve">Sources = uses to COD – Calc_1</t>
  </si>
  <si>
    <t xml:space="preserve">Sources = uses to COD – Calc_2</t>
  </si>
  <si>
    <t xml:space="preserve">XIRR returned a number on every route – Calc_1</t>
  </si>
  <si>
    <t xml:space="preserve">XIRR returned a number on every route – Calc_2</t>
  </si>
  <si>
    <t xml:space="preserve">Stored results = live case</t>
  </si>
  <si>
    <t xml:space="preserve">Checks excluding stored = live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</si>
</sst>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dd\-mmm\-yy"/>
    <numFmt numFmtId="167" formatCode="#,##0;\(#,##0\);\–"/>
    <numFmt numFmtId="168" formatCode="#,##0.00;\(#,##0.00\);\–"/>
    <numFmt numFmtId="169" formatCode="0.0%;\(0.0%\);\–"/>
    <numFmt numFmtId="170" formatCode="#,##0.0;\(#,##0.0\);\–"/>
    <numFmt numFmtId="171" formatCode="0.00\x"/>
    <numFmt numFmtId="172" formatCode="0;\-0;\–"/>
    <numFmt numFmtId="173" formatCode="0"/>
    <numFmt numFmtId="174" formatCode="0.00%"/>
    <numFmt numFmtId="175" formatCode="0.000"/>
    <numFmt numFmtId="176" formatCode="0.000;\(0.000\);\–"/>
    <numFmt numFmtId="177" formatCode="0.000%"/>
  </numFmts>
  <fonts count="15">
    <font>
      <sz val="10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ptos Narrow"/>
      <family val="0"/>
      <charset val="1"/>
    </font>
    <font>
      <b val="true"/>
      <sz val="10"/>
      <color rgb="FF808080"/>
      <name val="Aptos Narrow"/>
      <family val="0"/>
      <charset val="1"/>
    </font>
    <font>
      <b val="true"/>
      <sz val="10"/>
      <color rgb="FF3C3C3B"/>
      <name val="Aptos Narrow"/>
      <family val="0"/>
      <charset val="1"/>
    </font>
    <font>
      <sz val="10"/>
      <color rgb="FF0000FF"/>
      <name val="Aptos Narrow"/>
      <family val="0"/>
      <charset val="1"/>
    </font>
    <font>
      <sz val="10"/>
      <color rgb="FF00B050"/>
      <name val="Aptos Narrow"/>
      <family val="0"/>
      <charset val="1"/>
    </font>
    <font>
      <sz val="10"/>
      <color rgb="FF7030A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i val="true"/>
      <sz val="10"/>
      <color rgb="FF808080"/>
      <name val="Aptos Narrow"/>
      <family val="0"/>
      <charset val="1"/>
    </font>
    <font>
      <b val="true"/>
      <sz val="16"/>
      <color rgb="FF0000FF"/>
      <name val="Aptos Narrow"/>
      <family val="0"/>
      <charset val="1"/>
    </font>
    <font>
      <b val="true"/>
      <sz val="10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6F4EC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4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5" borderId="0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6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ep_banner" xfId="20"/>
    <cellStyle name="fep_calc" xfId="21"/>
    <cellStyle name="fep_end" xfId="22"/>
    <cellStyle name="fep_header" xfId="23"/>
    <cellStyle name="fep_input" xfId="24"/>
    <cellStyle name="fep_label" xfId="25"/>
    <cellStyle name="fep_link" xfId="26"/>
    <cellStyle name="fep_macro" xfId="27"/>
    <cellStyle name="fep_section" xfId="28"/>
    <cellStyle name="fep_seed" xfId="29"/>
    <cellStyle name="fep_subheader" xfId="30"/>
    <cellStyle name="fep_total" xfId="31"/>
    <cellStyle name="fep_unit" xfId="32"/>
  </cellStyles>
  <dxfs count="2">
    <dxf>
      <font>
        <b val="1"/>
        <color rgb="FF00B050"/>
      </font>
    </dxf>
    <dxf>
      <font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"/>
    <col collapsed="false" customWidth="true" hidden="false" outlineLevel="0" max="22" min="8" style="1" width="12"/>
    <col collapsed="false" customWidth="true" hidden="false" outlineLevel="0" max="23" min="23" style="1" width="3"/>
    <col collapsed="false" customWidth="true" hidden="false" outlineLevel="0" max="24" min="24" style="1" width="34"/>
    <col collapsed="false" customWidth="true" hidden="false" outlineLevel="0" max="25" min="25" style="1" width="10"/>
    <col collapsed="false" customWidth="true" hidden="false" outlineLevel="0" max="26" min="26" style="1" width="12"/>
    <col collapsed="false" customWidth="false" hidden="true" outlineLevel="1" max="16384" min="27" style="1" width="13"/>
  </cols>
  <sheetData>
    <row r="2" customFormat="false" ht="15" hidden="false" customHeight="false" outlineLevel="0" collapsed="false">
      <c r="A2" s="2"/>
      <c r="B2" s="2" t="str">
        <f aca="false">C3&amp;" – Dashboard"</f>
        <v>Project Bana – Dashboard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7" hidden="false" customHeight="false" outlineLevel="0" collapsed="false">
      <c r="C3" s="3" t="s">
        <v>0</v>
      </c>
    </row>
    <row r="4" customFormat="false" ht="15" hidden="false" customHeight="false" outlineLevel="0" collapsed="false">
      <c r="C4" s="1" t="s">
        <v>1</v>
      </c>
    </row>
    <row r="5" customFormat="false" ht="15" hidden="false" customHeight="false" outlineLevel="0" collapsed="false">
      <c r="C5" s="1" t="s">
        <v>2</v>
      </c>
      <c r="E5" s="4" t="s">
        <v>3</v>
      </c>
    </row>
    <row r="6" customFormat="false" ht="15" hidden="false" customHeight="false" outlineLevel="0" collapsed="false">
      <c r="C6" s="1" t="s">
        <v>4</v>
      </c>
      <c r="E6" s="5" t="n">
        <v>46309</v>
      </c>
    </row>
    <row r="7" customFormat="false" ht="15" hidden="false" customHeight="false" outlineLevel="0" collapsed="false">
      <c r="C7" s="1" t="s">
        <v>5</v>
      </c>
      <c r="E7" s="6" t="str">
        <f aca="false">Scenario_Name</f>
        <v>Base: Raiffeisen</v>
      </c>
    </row>
    <row r="8" customFormat="false" ht="15" hidden="false" customHeight="false" outlineLevel="0" collapsed="false">
      <c r="C8" s="1" t="s">
        <v>6</v>
      </c>
      <c r="E8" s="7" t="str">
        <f aca="false">IF(Master_Check=0,"OK","CHECK")</f>
        <v>OK</v>
      </c>
    </row>
    <row r="9" customFormat="false" ht="15" hidden="false" customHeight="false" outlineLevel="0" collapsed="false">
      <c r="C9" s="8" t="s">
        <v>7</v>
      </c>
      <c r="D9" s="8" t="s">
        <v>8</v>
      </c>
      <c r="E9" s="9" t="s">
        <v>9</v>
      </c>
      <c r="F9" s="9" t="s">
        <v>10</v>
      </c>
      <c r="X9" s="8" t="s">
        <v>11</v>
      </c>
      <c r="Y9" s="8" t="s">
        <v>8</v>
      </c>
      <c r="Z9" s="9" t="s">
        <v>12</v>
      </c>
    </row>
    <row r="11" customFormat="false" ht="15" hidden="false" customHeight="false" outlineLevel="0" collapsed="false">
      <c r="A11" s="10" t="s">
        <v>13</v>
      </c>
      <c r="B11" s="10"/>
      <c r="C11" s="10" t="s">
        <v>14</v>
      </c>
      <c r="D11" s="10"/>
      <c r="E11" s="11" t="s">
        <v>9</v>
      </c>
      <c r="F11" s="11" t="s">
        <v>10</v>
      </c>
      <c r="G11" s="10"/>
      <c r="H11" s="11" t="s">
        <v>15</v>
      </c>
      <c r="I11" s="11" t="s">
        <v>16</v>
      </c>
      <c r="J11" s="11" t="s">
        <v>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X11" s="10" t="s">
        <v>5</v>
      </c>
      <c r="Y11" s="10"/>
      <c r="Z11" s="10"/>
    </row>
    <row r="12" customFormat="false" ht="15" hidden="false" customHeight="false" outlineLevel="0" collapsed="false">
      <c r="C12" s="1" t="s">
        <v>18</v>
      </c>
      <c r="D12" s="12" t="s">
        <v>19</v>
      </c>
      <c r="E12" s="13" t="n">
        <v>50</v>
      </c>
      <c r="F12" s="13" t="n">
        <v>50</v>
      </c>
      <c r="H12" s="14" t="s">
        <v>20</v>
      </c>
      <c r="I12" s="15" t="n">
        <f aca="false">Calc_1!$F$34</f>
        <v>20</v>
      </c>
      <c r="J12" s="15" t="n">
        <f aca="false">Calc_2!$F$34</f>
        <v>20</v>
      </c>
      <c r="X12" s="14" t="s">
        <v>5</v>
      </c>
      <c r="Y12" s="12" t="s">
        <v>21</v>
      </c>
      <c r="Z12" s="16" t="s">
        <v>22</v>
      </c>
    </row>
    <row r="13" customFormat="false" ht="15" hidden="false" customHeight="false" outlineLevel="0" collapsed="false">
      <c r="C13" s="1" t="s">
        <v>23</v>
      </c>
      <c r="D13" s="12" t="s">
        <v>24</v>
      </c>
      <c r="E13" s="17" t="n">
        <v>3</v>
      </c>
      <c r="F13" s="17" t="n">
        <v>3</v>
      </c>
      <c r="H13" s="14" t="s">
        <v>25</v>
      </c>
      <c r="I13" s="15" t="n">
        <f aca="false">Calc_1!$F$35</f>
        <v>15</v>
      </c>
      <c r="J13" s="15" t="n">
        <f aca="false">Calc_2!$F$35</f>
        <v>15</v>
      </c>
    </row>
    <row r="14" customFormat="false" ht="15" hidden="false" customHeight="false" outlineLevel="0" collapsed="false">
      <c r="C14" s="1" t="s">
        <v>26</v>
      </c>
      <c r="D14" s="12" t="s">
        <v>27</v>
      </c>
      <c r="E14" s="18" t="n">
        <v>0.2</v>
      </c>
      <c r="F14" s="18" t="n">
        <v>0.2</v>
      </c>
      <c r="H14" s="14" t="s">
        <v>28</v>
      </c>
      <c r="I14" s="15" t="n">
        <f aca="false">Calc_1!$F$36</f>
        <v>5</v>
      </c>
      <c r="J14" s="15" t="n">
        <f aca="false">Calc_2!$F$36</f>
        <v>5</v>
      </c>
      <c r="X14" s="10" t="s">
        <v>29</v>
      </c>
      <c r="Y14" s="10"/>
      <c r="Z14" s="10"/>
    </row>
    <row r="15" customFormat="false" ht="15" hidden="false" customHeight="false" outlineLevel="0" collapsed="false">
      <c r="C15" s="1" t="s">
        <v>30</v>
      </c>
      <c r="D15" s="12" t="s">
        <v>27</v>
      </c>
      <c r="E15" s="18" t="n">
        <v>0.2</v>
      </c>
      <c r="F15" s="18" t="n">
        <v>0.2</v>
      </c>
      <c r="H15" s="14" t="s">
        <v>31</v>
      </c>
      <c r="I15" s="15" t="n">
        <f aca="false">Calc_1!$F$37</f>
        <v>7.5</v>
      </c>
      <c r="J15" s="15" t="n">
        <f aca="false">Calc_2!$F$37</f>
        <v>7.5</v>
      </c>
      <c r="X15" s="14" t="s">
        <v>32</v>
      </c>
      <c r="Y15" s="12" t="s">
        <v>33</v>
      </c>
      <c r="Z15" s="19" t="n">
        <f aca="false">In_Purchase_Price</f>
        <v>4500</v>
      </c>
    </row>
    <row r="16" customFormat="false" ht="15" hidden="false" customHeight="false" outlineLevel="0" collapsed="false">
      <c r="C16" s="1" t="s">
        <v>34</v>
      </c>
      <c r="D16" s="12" t="s">
        <v>35</v>
      </c>
      <c r="E16" s="20" t="n">
        <v>4</v>
      </c>
      <c r="F16" s="20" t="n">
        <v>4</v>
      </c>
      <c r="H16" s="14" t="s">
        <v>36</v>
      </c>
      <c r="X16" s="14" t="s">
        <v>37</v>
      </c>
      <c r="Y16" s="12" t="s">
        <v>38</v>
      </c>
      <c r="Z16" s="21" t="n">
        <f aca="false">In_COD</f>
        <v>47756</v>
      </c>
    </row>
    <row r="17" customFormat="false" ht="15" hidden="false" customHeight="false" outlineLevel="0" collapsed="false">
      <c r="C17" s="1" t="s">
        <v>39</v>
      </c>
      <c r="D17" s="12" t="s">
        <v>13</v>
      </c>
      <c r="E17" s="22" t="n">
        <v>1</v>
      </c>
      <c r="F17" s="22" t="n">
        <v>1</v>
      </c>
      <c r="H17" s="14" t="s">
        <v>40</v>
      </c>
      <c r="I17" s="15" t="n">
        <f aca="false">Calc_1!$F$39</f>
        <v>0</v>
      </c>
      <c r="J17" s="15" t="n">
        <f aca="false">Calc_2!$F$39</f>
        <v>0</v>
      </c>
      <c r="X17" s="14" t="s">
        <v>41</v>
      </c>
      <c r="Y17" s="12" t="s">
        <v>27</v>
      </c>
      <c r="Z17" s="23" t="n">
        <f aca="false">In_Overbuild_Built</f>
        <v>0.1</v>
      </c>
    </row>
    <row r="18" customFormat="false" ht="15" hidden="false" customHeight="false" outlineLevel="0" collapsed="false">
      <c r="C18" s="1" t="s">
        <v>42</v>
      </c>
      <c r="D18" s="12" t="s">
        <v>43</v>
      </c>
      <c r="E18" s="24" t="n">
        <v>0</v>
      </c>
      <c r="F18" s="24" t="n">
        <v>0</v>
      </c>
      <c r="H18" s="14" t="s">
        <v>44</v>
      </c>
      <c r="I18" s="15" t="n">
        <f aca="false">Calc_1!$F$38</f>
        <v>0</v>
      </c>
      <c r="J18" s="15" t="n">
        <f aca="false">Calc_2!$F$38</f>
        <v>0</v>
      </c>
      <c r="X18" s="14" t="s">
        <v>45</v>
      </c>
      <c r="Y18" s="12" t="s">
        <v>43</v>
      </c>
      <c r="Z18" s="25" t="n">
        <f aca="false">In_Sanction_Regime</f>
        <v>1</v>
      </c>
    </row>
    <row r="19" customFormat="false" ht="15" hidden="false" customHeight="false" outlineLevel="0" collapsed="false">
      <c r="C19" s="1" t="s">
        <v>46</v>
      </c>
      <c r="D19" s="12" t="s">
        <v>43</v>
      </c>
      <c r="E19" s="24" t="n">
        <v>0</v>
      </c>
      <c r="F19" s="24" t="n">
        <v>0</v>
      </c>
      <c r="H19" s="14" t="s">
        <v>44</v>
      </c>
      <c r="I19" s="15" t="n">
        <f aca="false">Calc_1!$F$40</f>
        <v>0</v>
      </c>
      <c r="J19" s="15" t="n">
        <f aca="false">Calc_2!$F$40</f>
        <v>0</v>
      </c>
      <c r="X19" s="14" t="s">
        <v>47</v>
      </c>
      <c r="Y19" s="12" t="s">
        <v>19</v>
      </c>
      <c r="Z19" s="19" t="n">
        <f aca="false">In_COD_Price</f>
        <v>2450</v>
      </c>
    </row>
    <row r="20" customFormat="false" ht="15" hidden="false" customHeight="false" outlineLevel="0" collapsed="false">
      <c r="C20" s="1" t="s">
        <v>48</v>
      </c>
      <c r="D20" s="12" t="s">
        <v>43</v>
      </c>
      <c r="E20" s="24" t="n">
        <v>1</v>
      </c>
      <c r="F20" s="24" t="n">
        <v>0</v>
      </c>
      <c r="H20" s="14" t="s">
        <v>44</v>
      </c>
      <c r="I20" s="15" t="n">
        <f aca="false">Calc_1!$F$41</f>
        <v>12</v>
      </c>
      <c r="J20" s="15" t="n">
        <f aca="false">Calc_2!$F$41</f>
        <v>0</v>
      </c>
      <c r="X20" s="14" t="s">
        <v>49</v>
      </c>
      <c r="Y20" s="12" t="s">
        <v>19</v>
      </c>
      <c r="Z20" s="19" t="n">
        <f aca="false">In_COD_Price_CN</f>
        <v>2100</v>
      </c>
    </row>
    <row r="21" customFormat="false" ht="15" hidden="false" customHeight="false" outlineLevel="0" collapsed="false">
      <c r="C21" s="1" t="s">
        <v>50</v>
      </c>
      <c r="D21" s="12" t="s">
        <v>43</v>
      </c>
      <c r="E21" s="24" t="n">
        <v>0</v>
      </c>
      <c r="F21" s="24" t="n">
        <v>0</v>
      </c>
      <c r="H21" s="14" t="s">
        <v>44</v>
      </c>
      <c r="I21" s="15" t="n">
        <f aca="false">Calc_1!$F$42</f>
        <v>0</v>
      </c>
      <c r="J21" s="15" t="n">
        <f aca="false">Calc_2!$F$42</f>
        <v>0</v>
      </c>
      <c r="X21" s="14" t="s">
        <v>51</v>
      </c>
      <c r="Y21" s="12" t="s">
        <v>19</v>
      </c>
      <c r="Z21" s="19" t="n">
        <f aca="false">In_Turbine</f>
        <v>950</v>
      </c>
    </row>
    <row r="22" customFormat="false" ht="15" hidden="false" customHeight="false" outlineLevel="0" collapsed="false">
      <c r="C22" s="26" t="s">
        <v>52</v>
      </c>
      <c r="D22" s="12" t="s">
        <v>53</v>
      </c>
      <c r="E22" s="27" t="n">
        <f aca="false">Calc_1!$E43</f>
        <v>59.5</v>
      </c>
      <c r="F22" s="27" t="n">
        <f aca="false">Calc_2!$E43</f>
        <v>47.5</v>
      </c>
      <c r="X22" s="14" t="s">
        <v>54</v>
      </c>
      <c r="Y22" s="12" t="s">
        <v>19</v>
      </c>
      <c r="Z22" s="19" t="n">
        <f aca="false">In_Turbine_CN</f>
        <v>500</v>
      </c>
    </row>
    <row r="23" customFormat="false" ht="15" hidden="false" customHeight="false" outlineLevel="0" collapsed="false">
      <c r="C23" s="1" t="s">
        <v>55</v>
      </c>
      <c r="D23" s="12" t="s">
        <v>43</v>
      </c>
      <c r="E23" s="28" t="str">
        <f aca="false">IF(Calc_1!$E45+Calc_1!$F45=0,"OK","CHECK")</f>
        <v>OK</v>
      </c>
      <c r="F23" s="28" t="str">
        <f aca="false">IF(Calc_2!$E45+Calc_2!$F45=0,"OK","CHECK")</f>
        <v>OK</v>
      </c>
      <c r="X23" s="14" t="s">
        <v>56</v>
      </c>
      <c r="Y23" s="12" t="s">
        <v>57</v>
      </c>
      <c r="Z23" s="19" t="n">
        <f aca="false">In_P50_Hours</f>
        <v>2600</v>
      </c>
    </row>
    <row r="24" customFormat="false" ht="15" hidden="false" customHeight="false" outlineLevel="0" collapsed="false">
      <c r="X24" s="1" t="s">
        <v>58</v>
      </c>
      <c r="Y24" s="12" t="s">
        <v>24</v>
      </c>
      <c r="Z24" s="29" t="n">
        <f aca="false">In_PPA_Price</f>
        <v>90</v>
      </c>
    </row>
    <row r="25" customFormat="false" ht="15" hidden="false" customHeight="false" outlineLevel="0" collapsed="false">
      <c r="A25" s="10" t="s">
        <v>13</v>
      </c>
      <c r="B25" s="10"/>
      <c r="C25" s="10" t="s">
        <v>59</v>
      </c>
      <c r="D25" s="10"/>
      <c r="E25" s="11" t="s">
        <v>9</v>
      </c>
      <c r="F25" s="11" t="s">
        <v>10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4" t="s">
        <v>60</v>
      </c>
      <c r="Y25" s="12" t="s">
        <v>27</v>
      </c>
      <c r="Z25" s="23" t="n">
        <f aca="false">In_Debt_Rate</f>
        <v>0.05</v>
      </c>
    </row>
    <row r="26" customFormat="false" ht="15" hidden="false" customHeight="false" outlineLevel="0" collapsed="false">
      <c r="C26" s="1" t="s">
        <v>61</v>
      </c>
      <c r="D26" s="12" t="s">
        <v>62</v>
      </c>
      <c r="E26" s="29" t="n">
        <f aca="false">Calc_1!$E25</f>
        <v>60</v>
      </c>
      <c r="F26" s="29" t="n">
        <f aca="false">Calc_2!$E25</f>
        <v>60</v>
      </c>
      <c r="X26" s="14" t="s">
        <v>63</v>
      </c>
      <c r="Y26" s="12" t="s">
        <v>13</v>
      </c>
      <c r="Z26" s="30" t="n">
        <f aca="false">In_DSCR</f>
        <v>1.2</v>
      </c>
    </row>
    <row r="27" customFormat="false" ht="15" hidden="false" customHeight="false" outlineLevel="0" collapsed="false">
      <c r="C27" s="1" t="s">
        <v>64</v>
      </c>
      <c r="D27" s="12" t="s">
        <v>62</v>
      </c>
      <c r="E27" s="29" t="n">
        <f aca="false">Calc_1!$F25</f>
        <v>55</v>
      </c>
      <c r="F27" s="29" t="n">
        <f aca="false">Calc_2!$F25</f>
        <v>55</v>
      </c>
      <c r="X27" s="14" t="s">
        <v>65</v>
      </c>
      <c r="Y27" s="12" t="s">
        <v>66</v>
      </c>
      <c r="Z27" s="31" t="n">
        <f aca="false">In_Debt_Tenor</f>
        <v>15</v>
      </c>
    </row>
    <row r="28" customFormat="false" ht="15" hidden="false" customHeight="false" outlineLevel="0" collapsed="false">
      <c r="C28" s="1" t="s">
        <v>67</v>
      </c>
      <c r="D28" s="12" t="s">
        <v>62</v>
      </c>
      <c r="E28" s="29" t="n">
        <f aca="false">Calc_1!$E27</f>
        <v>10</v>
      </c>
      <c r="F28" s="29" t="n">
        <f aca="false">Calc_2!$E27</f>
        <v>10</v>
      </c>
      <c r="X28" s="14" t="s">
        <v>68</v>
      </c>
      <c r="Y28" s="12" t="s">
        <v>27</v>
      </c>
      <c r="Z28" s="23" t="n">
        <f aca="false">In_Gearing</f>
        <v>0.7</v>
      </c>
    </row>
    <row r="29" customFormat="false" ht="15" hidden="false" customHeight="false" outlineLevel="0" collapsed="false">
      <c r="C29" s="1" t="s">
        <v>69</v>
      </c>
      <c r="D29" s="12" t="s">
        <v>70</v>
      </c>
      <c r="E29" s="29" t="n">
        <f aca="false">Calc_1!$E28</f>
        <v>40</v>
      </c>
      <c r="F29" s="29" t="n">
        <f aca="false">Calc_2!$E28</f>
        <v>40</v>
      </c>
      <c r="X29" s="14" t="s">
        <v>71</v>
      </c>
      <c r="Y29" s="12" t="s">
        <v>27</v>
      </c>
      <c r="Z29" s="23" t="n">
        <f aca="false">In_CIT</f>
        <v>0.15</v>
      </c>
    </row>
    <row r="30" customFormat="false" ht="15" hidden="false" customHeight="false" outlineLevel="0" collapsed="false">
      <c r="C30" s="1" t="s">
        <v>72</v>
      </c>
      <c r="D30" s="12" t="s">
        <v>62</v>
      </c>
      <c r="E30" s="29" t="n">
        <f aca="false">Calc_1!$F27</f>
        <v>10</v>
      </c>
      <c r="F30" s="29" t="n">
        <f aca="false">Calc_2!$F27</f>
        <v>10</v>
      </c>
      <c r="X30" s="14" t="s">
        <v>73</v>
      </c>
      <c r="Y30" s="12" t="s">
        <v>43</v>
      </c>
      <c r="Z30" s="25" t="n">
        <f aca="false">In_RH_On</f>
        <v>0</v>
      </c>
    </row>
    <row r="31" customFormat="false" ht="15" hidden="false" customHeight="false" outlineLevel="0" collapsed="false">
      <c r="C31" s="1" t="s">
        <v>74</v>
      </c>
      <c r="D31" s="12" t="s">
        <v>27</v>
      </c>
      <c r="E31" s="23" t="n">
        <f aca="false">Calc_1!$E30</f>
        <v>0.0833333333333333</v>
      </c>
      <c r="F31" s="23" t="n">
        <f aca="false">Calc_2!$E30</f>
        <v>0.0833333333333333</v>
      </c>
      <c r="X31" s="14" t="s">
        <v>75</v>
      </c>
      <c r="Y31" s="12" t="s">
        <v>27</v>
      </c>
      <c r="Z31" s="23" t="n">
        <f aca="false">In_Discount_Rate</f>
        <v>0.08</v>
      </c>
    </row>
    <row r="32" customFormat="false" ht="15" hidden="false" customHeight="false" outlineLevel="0" collapsed="false">
      <c r="C32" s="1" t="s">
        <v>76</v>
      </c>
      <c r="D32" s="12" t="s">
        <v>77</v>
      </c>
      <c r="E32" s="29" t="n">
        <f aca="false">Calc_1!$E31</f>
        <v>0</v>
      </c>
      <c r="F32" s="29" t="n">
        <f aca="false">Calc_2!$E31</f>
        <v>0</v>
      </c>
      <c r="X32" s="14" t="s">
        <v>78</v>
      </c>
      <c r="Y32" s="12" t="s">
        <v>79</v>
      </c>
      <c r="Z32" s="19" t="n">
        <f aca="false">In_FX</f>
        <v>365</v>
      </c>
    </row>
    <row r="33" customFormat="false" ht="15" hidden="false" customHeight="false" outlineLevel="0" collapsed="false">
      <c r="C33" s="1" t="s">
        <v>80</v>
      </c>
      <c r="D33" s="12" t="s">
        <v>27</v>
      </c>
      <c r="E33" s="32" t="n">
        <f aca="false">Calc_1!$E29</f>
        <v>0.00454545454545455</v>
      </c>
      <c r="F33" s="32" t="n">
        <f aca="false">Calc_2!$E29</f>
        <v>0.00454545454545455</v>
      </c>
    </row>
    <row r="34" customFormat="false" ht="15" hidden="false" customHeight="false" outlineLevel="0" collapsed="false">
      <c r="C34" s="1" t="s">
        <v>81</v>
      </c>
      <c r="D34" s="12" t="s">
        <v>82</v>
      </c>
      <c r="E34" s="33" t="n">
        <f aca="false">Calc_1!$E61/Thousand</f>
        <v>0</v>
      </c>
      <c r="F34" s="33" t="n">
        <f aca="false">Calc_2!$E61/Thousand</f>
        <v>0</v>
      </c>
    </row>
    <row r="35" customFormat="false" ht="15" hidden="false" customHeight="false" outlineLevel="0" collapsed="false">
      <c r="C35" s="1" t="s">
        <v>83</v>
      </c>
      <c r="D35" s="12" t="s">
        <v>82</v>
      </c>
      <c r="E35" s="33" t="n">
        <f aca="false">Calc_1!$F61/Thousand</f>
        <v>2.21643835616438</v>
      </c>
      <c r="F35" s="33" t="n">
        <f aca="false">Calc_2!$F61/Thousand</f>
        <v>2.21643835616438</v>
      </c>
    </row>
    <row r="36" customFormat="false" ht="15" hidden="false" customHeight="false" outlineLevel="0" collapsed="false">
      <c r="C36" s="1" t="s">
        <v>84</v>
      </c>
      <c r="D36" s="12" t="s">
        <v>82</v>
      </c>
      <c r="E36" s="33" t="n">
        <f aca="false">(-Calc_1!$I62)/Thousand</f>
        <v>-0</v>
      </c>
      <c r="F36" s="33" t="n">
        <f aca="false">(-Calc_2!$I62)/Thousand</f>
        <v>-0</v>
      </c>
    </row>
    <row r="38" customFormat="false" ht="15" hidden="false" customHeight="false" outlineLevel="0" collapsed="false">
      <c r="A38" s="10" t="s">
        <v>13</v>
      </c>
      <c r="B38" s="10"/>
      <c r="C38" s="10" t="s">
        <v>85</v>
      </c>
      <c r="D38" s="10"/>
      <c r="E38" s="11" t="s">
        <v>9</v>
      </c>
      <c r="F38" s="11" t="s">
        <v>10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customFormat="false" ht="15" hidden="false" customHeight="false" outlineLevel="0" collapsed="false">
      <c r="C39" s="1" t="s">
        <v>86</v>
      </c>
      <c r="D39" s="12" t="s">
        <v>82</v>
      </c>
      <c r="E39" s="33" t="n">
        <f aca="false">Calc_1!$I139/Thousand</f>
        <v>20.8885902677913</v>
      </c>
      <c r="F39" s="33" t="n">
        <f aca="false">Calc_2!$I139/Thousand</f>
        <v>28.9538137248486</v>
      </c>
    </row>
    <row r="40" customFormat="false" ht="15" hidden="false" customHeight="false" outlineLevel="0" collapsed="false">
      <c r="C40" s="26" t="s">
        <v>87</v>
      </c>
      <c r="D40" s="12" t="s">
        <v>27</v>
      </c>
      <c r="E40" s="34" t="n">
        <f aca="false">Calc_1!$E140</f>
        <v>0.248075895436541</v>
      </c>
      <c r="F40" s="34" t="n">
        <f aca="false">Calc_2!$E140</f>
        <v>0.430590128449621</v>
      </c>
    </row>
    <row r="41" customFormat="false" ht="15" hidden="false" customHeight="false" outlineLevel="0" collapsed="false">
      <c r="C41" s="1" t="s">
        <v>88</v>
      </c>
      <c r="D41" s="12" t="s">
        <v>13</v>
      </c>
      <c r="E41" s="30" t="n">
        <f aca="false">Calc_1!$E141</f>
        <v>1.33026008442252</v>
      </c>
      <c r="F41" s="30" t="n">
        <f aca="false">Calc_2!$E141</f>
        <v>1.80379956128269</v>
      </c>
    </row>
    <row r="42" customFormat="false" ht="15" hidden="false" customHeight="false" outlineLevel="0" collapsed="false">
      <c r="C42" s="1" t="s">
        <v>89</v>
      </c>
      <c r="D42" s="12" t="s">
        <v>82</v>
      </c>
      <c r="E42" s="33" t="n">
        <f aca="false">Calc_1!$E142/Thousand</f>
        <v>11.0244284137116</v>
      </c>
      <c r="F42" s="33" t="n">
        <f aca="false">Calc_2!$E142/Thousand</f>
        <v>18.5404291372498</v>
      </c>
    </row>
    <row r="43" customFormat="false" ht="15" hidden="false" customHeight="false" outlineLevel="0" collapsed="false">
      <c r="C43" s="1" t="s">
        <v>90</v>
      </c>
      <c r="D43" s="12" t="s">
        <v>82</v>
      </c>
      <c r="E43" s="33" t="n">
        <f aca="false">Calc_1!$I152/Thousand</f>
        <v>137.254470722004</v>
      </c>
      <c r="F43" s="33" t="n">
        <f aca="false">Calc_2!$I152/Thousand</f>
        <v>160.398035660502</v>
      </c>
    </row>
    <row r="44" customFormat="false" ht="15" hidden="false" customHeight="false" outlineLevel="0" collapsed="false">
      <c r="C44" s="26" t="s">
        <v>91</v>
      </c>
      <c r="D44" s="12" t="s">
        <v>27</v>
      </c>
      <c r="E44" s="34" t="n">
        <f aca="false">Calc_1!$E153</f>
        <v>0.0740585134078263</v>
      </c>
      <c r="F44" s="34" t="n">
        <f aca="false">Calc_2!$E153</f>
        <v>0.118465201099218</v>
      </c>
    </row>
    <row r="45" customFormat="false" ht="15" hidden="false" customHeight="false" outlineLevel="0" collapsed="false">
      <c r="C45" s="1" t="s">
        <v>92</v>
      </c>
      <c r="D45" s="12" t="s">
        <v>13</v>
      </c>
      <c r="E45" s="30" t="n">
        <f aca="false">Calc_1!$E154</f>
        <v>3.130403587176</v>
      </c>
      <c r="F45" s="30" t="n">
        <f aca="false">Calc_2!$E154</f>
        <v>5.31191565866826</v>
      </c>
    </row>
    <row r="46" customFormat="false" ht="15" hidden="false" customHeight="false" outlineLevel="0" collapsed="false">
      <c r="C46" s="1" t="s">
        <v>93</v>
      </c>
      <c r="D46" s="12" t="s">
        <v>82</v>
      </c>
      <c r="E46" s="33" t="n">
        <f aca="false">Calc_1!$E155/Thousand</f>
        <v>-3.72609993839986</v>
      </c>
      <c r="F46" s="33" t="n">
        <f aca="false">Calc_2!$E155/Thousand</f>
        <v>16.6125621146329</v>
      </c>
    </row>
    <row r="47" customFormat="false" ht="15" hidden="false" customHeight="false" outlineLevel="0" collapsed="false">
      <c r="C47" s="1" t="s">
        <v>94</v>
      </c>
      <c r="D47" s="12" t="s">
        <v>27</v>
      </c>
      <c r="E47" s="23" t="n">
        <f aca="false">Calc_1!$E151</f>
        <v>0.0696595033736404</v>
      </c>
      <c r="F47" s="23" t="n">
        <f aca="false">Calc_2!$E151</f>
        <v>0.0963433191717315</v>
      </c>
    </row>
    <row r="49" customFormat="false" ht="15" hidden="false" customHeight="false" outlineLevel="0" collapsed="false">
      <c r="A49" s="10" t="s">
        <v>13</v>
      </c>
      <c r="B49" s="10"/>
      <c r="C49" s="10" t="s">
        <v>95</v>
      </c>
      <c r="D49" s="10"/>
      <c r="E49" s="11" t="s">
        <v>9</v>
      </c>
      <c r="F49" s="11" t="s">
        <v>10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customFormat="false" ht="15" hidden="false" customHeight="false" outlineLevel="0" collapsed="false">
      <c r="C50" s="1" t="s">
        <v>96</v>
      </c>
      <c r="D50" s="12" t="s">
        <v>82</v>
      </c>
      <c r="E50" s="33" t="n">
        <f aca="false">Calc_1!$E121/Thousand</f>
        <v>5.15</v>
      </c>
      <c r="F50" s="33" t="n">
        <f aca="false">Calc_2!$E121/Thousand</f>
        <v>5.15</v>
      </c>
    </row>
    <row r="51" customFormat="false" ht="15" hidden="false" customHeight="false" outlineLevel="0" collapsed="false">
      <c r="C51" s="1" t="s">
        <v>97</v>
      </c>
      <c r="D51" s="12" t="s">
        <v>82</v>
      </c>
      <c r="E51" s="33" t="n">
        <f aca="false">Calc_1!$E122/Thousand</f>
        <v>1.11492155376243</v>
      </c>
      <c r="F51" s="33" t="n">
        <f aca="false">Calc_2!$E122/Thousand</f>
        <v>1.11492155376243</v>
      </c>
    </row>
    <row r="52" customFormat="false" ht="15" hidden="false" customHeight="false" outlineLevel="0" collapsed="false">
      <c r="C52" s="1" t="s">
        <v>98</v>
      </c>
      <c r="D52" s="12" t="s">
        <v>82</v>
      </c>
      <c r="E52" s="33" t="n">
        <f aca="false">Calc_1!$E123/Thousand</f>
        <v>91.96375</v>
      </c>
      <c r="F52" s="33" t="n">
        <f aca="false">Calc_2!$E123/Thousand</f>
        <v>64.71625</v>
      </c>
    </row>
    <row r="53" customFormat="false" ht="15" hidden="false" customHeight="false" outlineLevel="0" collapsed="false">
      <c r="C53" s="1" t="s">
        <v>99</v>
      </c>
      <c r="D53" s="12" t="s">
        <v>82</v>
      </c>
      <c r="E53" s="33" t="n">
        <f aca="false">Calc_1!$E124/Thousand</f>
        <v>8.15482315068493</v>
      </c>
      <c r="F53" s="33" t="n">
        <f aca="false">Calc_2!$E124/Thousand</f>
        <v>8.15482315068493</v>
      </c>
    </row>
    <row r="54" customFormat="false" ht="15" hidden="false" customHeight="false" outlineLevel="0" collapsed="false">
      <c r="C54" s="1" t="s">
        <v>100</v>
      </c>
      <c r="D54" s="12" t="s">
        <v>82</v>
      </c>
      <c r="E54" s="33" t="n">
        <f aca="false">Calc_1!$E125/Thousand</f>
        <v>2.5</v>
      </c>
      <c r="F54" s="33" t="n">
        <f aca="false">Calc_2!$E125/Thousand</f>
        <v>2.5</v>
      </c>
    </row>
    <row r="55" customFormat="false" ht="15" hidden="false" customHeight="false" outlineLevel="0" collapsed="false">
      <c r="C55" s="1" t="s">
        <v>101</v>
      </c>
      <c r="D55" s="12" t="s">
        <v>82</v>
      </c>
      <c r="E55" s="33" t="n">
        <f aca="false">Calc_1!$E126/Thousand</f>
        <v>3.5252448302272</v>
      </c>
      <c r="F55" s="33" t="n">
        <f aca="false">Calc_2!$E126/Thousand</f>
        <v>3.54502137316999</v>
      </c>
    </row>
    <row r="56" customFormat="false" ht="15" hidden="false" customHeight="false" outlineLevel="0" collapsed="false">
      <c r="C56" s="1" t="s">
        <v>102</v>
      </c>
      <c r="D56" s="12" t="s">
        <v>82</v>
      </c>
      <c r="E56" s="33" t="n">
        <f aca="false">Calc_1!$E127/Thousand</f>
        <v>0.340170197534084</v>
      </c>
      <c r="F56" s="33" t="n">
        <f aca="false">Calc_2!$E127/Thousand</f>
        <v>0.340170197534084</v>
      </c>
    </row>
    <row r="57" customFormat="false" ht="15" hidden="false" customHeight="false" outlineLevel="0" collapsed="false">
      <c r="C57" s="26" t="s">
        <v>103</v>
      </c>
      <c r="D57" s="12" t="s">
        <v>82</v>
      </c>
      <c r="E57" s="27" t="n">
        <f aca="false">Calc_1!$E128/Thousand</f>
        <v>112.748909732209</v>
      </c>
      <c r="F57" s="27" t="n">
        <f aca="false">Calc_2!$E128/Thousand</f>
        <v>85.5211862751514</v>
      </c>
    </row>
    <row r="58" customFormat="false" ht="15" hidden="false" customHeight="false" outlineLevel="0" collapsed="false">
      <c r="C58" s="1" t="s">
        <v>104</v>
      </c>
      <c r="D58" s="12" t="s">
        <v>82</v>
      </c>
      <c r="E58" s="33" t="n">
        <f aca="false">Calc_1!$E103/Thousand</f>
        <v>49.5</v>
      </c>
      <c r="F58" s="33" t="n">
        <f aca="false">Calc_2!$E103/Thousand</f>
        <v>49.5</v>
      </c>
    </row>
    <row r="59" customFormat="false" ht="15" hidden="false" customHeight="false" outlineLevel="0" collapsed="false">
      <c r="C59" s="26" t="s">
        <v>105</v>
      </c>
      <c r="D59" s="12" t="s">
        <v>82</v>
      </c>
      <c r="E59" s="27" t="n">
        <f aca="false">Calc_1!$E129/Thousand</f>
        <v>63.2489097322087</v>
      </c>
      <c r="F59" s="27" t="n">
        <f aca="false">Calc_2!$E129/Thousand</f>
        <v>36.0211862751514</v>
      </c>
    </row>
    <row r="60" customFormat="false" ht="15" hidden="false" customHeight="false" outlineLevel="0" collapsed="false">
      <c r="C60" s="1" t="s">
        <v>106</v>
      </c>
      <c r="D60" s="12" t="s">
        <v>82</v>
      </c>
      <c r="E60" s="33" t="n">
        <f aca="false">Calc_1!$F129/Thousand</f>
        <v>64.4265112714834</v>
      </c>
      <c r="F60" s="33" t="n">
        <f aca="false">Calc_2!$F129/Thousand</f>
        <v>37.1987878144262</v>
      </c>
    </row>
    <row r="61" customFormat="false" ht="15" hidden="false" customHeight="false" outlineLevel="0" collapsed="false">
      <c r="C61" s="1" t="s">
        <v>107</v>
      </c>
      <c r="D61" s="12" t="s">
        <v>27</v>
      </c>
      <c r="E61" s="23" t="n">
        <f aca="false">Calc_1!$E130</f>
        <v>0.439028635554597</v>
      </c>
      <c r="F61" s="23" t="n">
        <f aca="false">Calc_2!$E130</f>
        <v>0.578803945033471</v>
      </c>
    </row>
    <row r="63" customFormat="false" ht="15" hidden="false" customHeight="false" outlineLevel="0" collapsed="false">
      <c r="A63" s="10" t="s">
        <v>13</v>
      </c>
      <c r="B63" s="10"/>
      <c r="C63" s="10" t="s">
        <v>108</v>
      </c>
      <c r="D63" s="10"/>
      <c r="E63" s="11" t="s">
        <v>9</v>
      </c>
      <c r="F63" s="11" t="s">
        <v>10</v>
      </c>
      <c r="G63" s="10"/>
      <c r="H63" s="11" t="s">
        <v>109</v>
      </c>
      <c r="I63" s="11" t="s">
        <v>110</v>
      </c>
      <c r="J63" s="11" t="s">
        <v>111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customFormat="false" ht="15" hidden="false" customHeight="false" outlineLevel="0" collapsed="false">
      <c r="C64" s="1" t="s">
        <v>112</v>
      </c>
      <c r="D64" s="12" t="s">
        <v>82</v>
      </c>
      <c r="E64" s="35" t="n">
        <f aca="false">Calc_1!$E52/Thousand</f>
        <v>0.00821917808219178</v>
      </c>
      <c r="F64" s="35" t="n">
        <f aca="false">Calc_2!$E52/Thousand</f>
        <v>0.00821917808219178</v>
      </c>
      <c r="H64" s="14" t="s">
        <v>113</v>
      </c>
      <c r="I64" s="21" t="n">
        <f aca="false">In_Bid_Date</f>
        <v>46325</v>
      </c>
      <c r="J64" s="36" t="s">
        <v>114</v>
      </c>
    </row>
    <row r="65" customFormat="false" ht="15" hidden="false" customHeight="false" outlineLevel="0" collapsed="false">
      <c r="C65" s="1" t="s">
        <v>115</v>
      </c>
      <c r="D65" s="12" t="s">
        <v>82</v>
      </c>
      <c r="E65" s="35" t="n">
        <f aca="false">Calc_1!$E53/Thousand</f>
        <v>0.443287671232877</v>
      </c>
      <c r="F65" s="35" t="n">
        <f aca="false">Calc_2!$E53/Thousand</f>
        <v>0.443287671232877</v>
      </c>
      <c r="H65" s="14" t="s">
        <v>116</v>
      </c>
      <c r="I65" s="21" t="n">
        <f aca="false">In_Bid_Date</f>
        <v>46325</v>
      </c>
      <c r="J65" s="21" t="n">
        <f aca="false">Calc_1!$F$54</f>
        <v>46433</v>
      </c>
    </row>
    <row r="66" customFormat="false" ht="15" hidden="false" customHeight="false" outlineLevel="0" collapsed="false">
      <c r="C66" s="1" t="s">
        <v>117</v>
      </c>
      <c r="D66" s="12" t="s">
        <v>82</v>
      </c>
      <c r="E66" s="35" t="n">
        <f aca="false">Calc_1!$E54/Thousand</f>
        <v>2.21643835616438</v>
      </c>
      <c r="F66" s="35" t="n">
        <f aca="false">Calc_2!$E54/Thousand</f>
        <v>2.21643835616438</v>
      </c>
      <c r="H66" s="14" t="s">
        <v>116</v>
      </c>
      <c r="I66" s="21" t="n">
        <f aca="false">Calc_1!$F$54</f>
        <v>46433</v>
      </c>
      <c r="J66" s="21" t="n">
        <f aca="false">In_PB_Release</f>
        <v>48669</v>
      </c>
    </row>
    <row r="67" customFormat="false" ht="15" hidden="false" customHeight="false" outlineLevel="0" collapsed="false">
      <c r="C67" s="1" t="s">
        <v>118</v>
      </c>
      <c r="D67" s="12" t="s">
        <v>82</v>
      </c>
      <c r="E67" s="35" t="n">
        <f aca="false">Calc_1!$E55/Thousand</f>
        <v>0.616438356164384</v>
      </c>
      <c r="F67" s="35" t="n">
        <f aca="false">Calc_2!$E55/Thousand</f>
        <v>0.616438356164384</v>
      </c>
      <c r="H67" s="14" t="s">
        <v>113</v>
      </c>
      <c r="I67" s="21" t="n">
        <f aca="false">Calc_1!$F$54</f>
        <v>46433</v>
      </c>
      <c r="J67" s="36" t="s">
        <v>119</v>
      </c>
    </row>
    <row r="68" customFormat="false" ht="15" hidden="false" customHeight="false" outlineLevel="0" collapsed="false">
      <c r="C68" s="1" t="s">
        <v>120</v>
      </c>
      <c r="D68" s="12" t="s">
        <v>82</v>
      </c>
      <c r="E68" s="35" t="n">
        <f aca="false">Calc_1!$E56/Thousand</f>
        <v>1.26027397260274</v>
      </c>
      <c r="F68" s="35" t="n">
        <f aca="false">Calc_2!$E56/Thousand</f>
        <v>1.26027397260274</v>
      </c>
      <c r="H68" s="14" t="s">
        <v>113</v>
      </c>
      <c r="I68" s="21" t="n">
        <f aca="false">In_HCSSZ_Date</f>
        <v>47126</v>
      </c>
      <c r="J68" s="36" t="s">
        <v>114</v>
      </c>
    </row>
    <row r="69" customFormat="false" ht="15" hidden="false" customHeight="false" outlineLevel="0" collapsed="false">
      <c r="C69" s="1" t="s">
        <v>121</v>
      </c>
      <c r="D69" s="12" t="s">
        <v>82</v>
      </c>
      <c r="E69" s="35" t="n">
        <f aca="false">Calc_1!$E57/Thousand</f>
        <v>6.89454917808219</v>
      </c>
      <c r="F69" s="35" t="n">
        <f aca="false">Calc_2!$E57/Thousand</f>
        <v>6.89454917808219</v>
      </c>
      <c r="H69" s="14" t="s">
        <v>113</v>
      </c>
      <c r="I69" s="21" t="n">
        <f aca="false">In_HCSSZ_Date</f>
        <v>47126</v>
      </c>
      <c r="J69" s="36" t="s">
        <v>114</v>
      </c>
    </row>
    <row r="70" customFormat="false" ht="15" hidden="false" customHeight="false" outlineLevel="0" collapsed="false">
      <c r="C70" s="1" t="s">
        <v>122</v>
      </c>
      <c r="D70" s="12" t="s">
        <v>82</v>
      </c>
      <c r="E70" s="35" t="n">
        <f aca="false">(-Calc_1!$E59)/Thousand</f>
        <v>0.490264019515857</v>
      </c>
      <c r="F70" s="35" t="n">
        <f aca="false">(-Calc_2!$E59)/Thousand</f>
        <v>0.490264019515857</v>
      </c>
    </row>
    <row r="72" customFormat="false" ht="15" hidden="false" customHeight="false" outlineLevel="0" collapsed="false">
      <c r="A72" s="10" t="s">
        <v>13</v>
      </c>
      <c r="B72" s="10"/>
      <c r="C72" s="10" t="s">
        <v>123</v>
      </c>
      <c r="D72" s="10"/>
      <c r="E72" s="11" t="s">
        <v>9</v>
      </c>
      <c r="F72" s="11" t="s">
        <v>10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customFormat="false" ht="15" hidden="false" customHeight="false" outlineLevel="0" collapsed="false">
      <c r="C73" s="1" t="s">
        <v>124</v>
      </c>
      <c r="D73" s="12" t="s">
        <v>82</v>
      </c>
      <c r="E73" s="33" t="n">
        <f aca="false">Calc_1!$E136/Thousand</f>
        <v>134.1375</v>
      </c>
      <c r="F73" s="33" t="n">
        <f aca="false">Calc_2!$E136/Thousand</f>
        <v>114.975</v>
      </c>
    </row>
    <row r="74" customFormat="false" ht="15" hidden="false" customHeight="false" outlineLevel="0" collapsed="false">
      <c r="C74" s="1" t="s">
        <v>125</v>
      </c>
      <c r="D74" s="12" t="s">
        <v>82</v>
      </c>
      <c r="E74" s="33" t="n">
        <f aca="false">Calc_1!$E137/Thousand</f>
        <v>84.1375</v>
      </c>
      <c r="F74" s="33" t="n">
        <f aca="false">Calc_2!$E137/Thousand</f>
        <v>64.975</v>
      </c>
    </row>
    <row r="75" customFormat="false" ht="15" hidden="false" customHeight="false" outlineLevel="0" collapsed="false">
      <c r="C75" s="1" t="s">
        <v>126</v>
      </c>
      <c r="D75" s="12" t="s">
        <v>82</v>
      </c>
      <c r="E75" s="33" t="n">
        <f aca="false">Calc_1!$E138/Thousand</f>
        <v>-0</v>
      </c>
      <c r="F75" s="33" t="n">
        <f aca="false">Calc_2!$E138/Thousand</f>
        <v>-0</v>
      </c>
    </row>
    <row r="76" customFormat="false" ht="15" hidden="false" customHeight="false" outlineLevel="0" collapsed="false">
      <c r="C76" s="26" t="s">
        <v>127</v>
      </c>
      <c r="D76" s="12" t="s">
        <v>27</v>
      </c>
      <c r="E76" s="34" t="n">
        <f aca="false">Calc_1!$E145</f>
        <v>0.0562961227328924</v>
      </c>
      <c r="F76" s="34" t="n">
        <f aca="false">Calc_2!$E145</f>
        <v>0.0698829968732872</v>
      </c>
    </row>
    <row r="77" customFormat="false" ht="15" hidden="false" customHeight="false" outlineLevel="0" collapsed="false">
      <c r="C77" s="1" t="s">
        <v>128</v>
      </c>
      <c r="D77" s="12" t="s">
        <v>27</v>
      </c>
      <c r="E77" s="23" t="n">
        <f aca="false">Calc_1!$E147</f>
        <v>0.0572094471619621</v>
      </c>
      <c r="F77" s="23" t="n">
        <f aca="false">Calc_2!$E147</f>
        <v>0.0757916899883517</v>
      </c>
    </row>
    <row r="79" customFormat="false" ht="15" hidden="false" customHeight="false" outlineLevel="0" collapsed="false">
      <c r="A79" s="10" t="s">
        <v>13</v>
      </c>
      <c r="B79" s="10"/>
      <c r="C79" s="10" t="s">
        <v>129</v>
      </c>
      <c r="D79" s="10"/>
      <c r="E79" s="11" t="s">
        <v>9</v>
      </c>
      <c r="F79" s="11" t="s">
        <v>10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customFormat="false" ht="15" hidden="false" customHeight="false" outlineLevel="0" collapsed="false">
      <c r="C80" s="1" t="s">
        <v>130</v>
      </c>
      <c r="D80" s="12" t="s">
        <v>82</v>
      </c>
      <c r="E80" s="33" t="n">
        <f aca="false">Calc_1!$E88/Thousand</f>
        <v>80.0843388281759</v>
      </c>
      <c r="F80" s="33" t="n">
        <f aca="false">Calc_2!$E88/Thousand</f>
        <v>77.9839921058252</v>
      </c>
    </row>
    <row r="81" customFormat="false" ht="15" hidden="false" customHeight="false" outlineLevel="0" collapsed="false">
      <c r="C81" s="1" t="s">
        <v>131</v>
      </c>
      <c r="D81" s="12" t="s">
        <v>27</v>
      </c>
      <c r="E81" s="23" t="n">
        <f aca="false">Calc_1!$E90</f>
        <v>0.461007037155847</v>
      </c>
      <c r="F81" s="23" t="n">
        <f aca="false">Calc_2!$E90</f>
        <v>0.627342649123279</v>
      </c>
    </row>
    <row r="82" customFormat="false" ht="15" hidden="false" customHeight="false" outlineLevel="0" collapsed="false">
      <c r="C82" s="1" t="s">
        <v>132</v>
      </c>
      <c r="D82" s="12" t="s">
        <v>27</v>
      </c>
      <c r="E82" s="23" t="n">
        <f aca="false">Calc_1!$F90</f>
        <v>0.618098378837892</v>
      </c>
      <c r="F82" s="23" t="n">
        <f aca="false">Calc_2!$F90</f>
        <v>0.634745653092854</v>
      </c>
    </row>
    <row r="83" customFormat="false" ht="15" hidden="false" customHeight="false" outlineLevel="0" collapsed="false">
      <c r="C83" s="1" t="s">
        <v>133</v>
      </c>
      <c r="D83" s="12" t="s">
        <v>13</v>
      </c>
      <c r="E83" s="30" t="n">
        <f aca="false">In_DSCR_Max_Low</f>
        <v>1.1</v>
      </c>
      <c r="F83" s="30" t="n">
        <f aca="false">In_DSCR_Max_Low</f>
        <v>1.1</v>
      </c>
    </row>
    <row r="84" customFormat="false" ht="15" hidden="false" customHeight="false" outlineLevel="0" collapsed="false">
      <c r="C84" s="1" t="s">
        <v>134</v>
      </c>
      <c r="D84" s="12" t="s">
        <v>82</v>
      </c>
      <c r="E84" s="33" t="n">
        <f aca="false">Calc_1!$E131/Thousand</f>
        <v>87.364733267101</v>
      </c>
      <c r="F84" s="33" t="n">
        <f aca="false">Calc_2!$E131/Thousand</f>
        <v>85.0734459336275</v>
      </c>
    </row>
    <row r="85" customFormat="false" ht="15" hidden="false" customHeight="false" outlineLevel="0" collapsed="false">
      <c r="C85" s="1" t="s">
        <v>135</v>
      </c>
      <c r="D85" s="12" t="s">
        <v>27</v>
      </c>
      <c r="E85" s="23" t="n">
        <f aca="false">Calc_1!$E132</f>
        <v>0.774861002865589</v>
      </c>
      <c r="F85" s="23" t="n">
        <f aca="false">Calc_2!$E132</f>
        <v>0.994764568161118</v>
      </c>
    </row>
    <row r="86" customFormat="false" ht="15" hidden="false" customHeight="false" outlineLevel="0" collapsed="false">
      <c r="C86" s="1" t="s">
        <v>136</v>
      </c>
      <c r="D86" s="12" t="s">
        <v>13</v>
      </c>
      <c r="E86" s="30" t="n">
        <f aca="false">In_DSCR_Max_High</f>
        <v>1.2</v>
      </c>
      <c r="F86" s="30" t="n">
        <f aca="false">In_DSCR_Max_High</f>
        <v>1.2</v>
      </c>
    </row>
    <row r="87" customFormat="false" ht="15" hidden="false" customHeight="false" outlineLevel="0" collapsed="false">
      <c r="C87" s="1" t="s">
        <v>137</v>
      </c>
      <c r="D87" s="12" t="s">
        <v>82</v>
      </c>
      <c r="E87" s="33" t="n">
        <f aca="false">Calc_1!$F131/Thousand</f>
        <v>80.0843388281759</v>
      </c>
      <c r="F87" s="33" t="n">
        <f aca="false">Calc_2!$F131/Thousand</f>
        <v>77.9839921058252</v>
      </c>
    </row>
    <row r="88" customFormat="false" ht="15" hidden="false" customHeight="false" outlineLevel="0" collapsed="false">
      <c r="C88" s="1" t="s">
        <v>138</v>
      </c>
      <c r="D88" s="12" t="s">
        <v>27</v>
      </c>
      <c r="E88" s="23" t="n">
        <f aca="false">Calc_1!$F132</f>
        <v>0.71028925262679</v>
      </c>
      <c r="F88" s="23" t="n">
        <f aca="false">Calc_2!$F132</f>
        <v>0.911867520814358</v>
      </c>
    </row>
    <row r="89" customFormat="false" ht="15" hidden="false" customHeight="false" outlineLevel="0" collapsed="false">
      <c r="C89" s="1" t="s">
        <v>139</v>
      </c>
      <c r="D89" s="12" t="s">
        <v>82</v>
      </c>
      <c r="E89" s="33" t="n">
        <f aca="false">Calc_1!$E106/Thousand</f>
        <v>1.17760153927476</v>
      </c>
      <c r="F89" s="33" t="n">
        <f aca="false">Calc_2!$E106/Thousand</f>
        <v>1.17760153927476</v>
      </c>
    </row>
    <row r="90" customFormat="false" ht="15" hidden="false" customHeight="false" outlineLevel="0" collapsed="false">
      <c r="C90" s="1" t="s">
        <v>140</v>
      </c>
      <c r="D90" s="12" t="s">
        <v>13</v>
      </c>
      <c r="E90" s="30" t="n">
        <f aca="false">Calc_1!$E107</f>
        <v>1.94143851704669</v>
      </c>
      <c r="F90" s="30" t="n">
        <f aca="false">Calc_2!$E107</f>
        <v>1.89052102074728</v>
      </c>
    </row>
    <row r="91" customFormat="false" ht="15" hidden="false" customHeight="false" outlineLevel="0" collapsed="false">
      <c r="C91" s="1" t="s">
        <v>141</v>
      </c>
      <c r="D91" s="12" t="s">
        <v>142</v>
      </c>
      <c r="E91" s="37" t="n">
        <f aca="false">Calc_1!$E75/Thousand</f>
        <v>139.3975128</v>
      </c>
      <c r="F91" s="37" t="n">
        <f aca="false">Calc_2!$E75/Thousand</f>
        <v>139.3975128</v>
      </c>
    </row>
    <row r="92" customFormat="false" ht="15" hidden="false" customHeight="false" outlineLevel="0" collapsed="false">
      <c r="C92" s="1" t="s">
        <v>143</v>
      </c>
      <c r="D92" s="12" t="s">
        <v>82</v>
      </c>
      <c r="E92" s="33" t="n">
        <f aca="false">Calc_1!$E76/Thousand</f>
        <v>12.67123391352</v>
      </c>
      <c r="F92" s="33" t="n">
        <f aca="false">Calc_2!$E76/Thousand</f>
        <v>12.67123391352</v>
      </c>
    </row>
    <row r="93" customFormat="false" ht="15" hidden="false" customHeight="false" outlineLevel="0" collapsed="false">
      <c r="C93" s="1" t="s">
        <v>144</v>
      </c>
      <c r="D93" s="12" t="s">
        <v>82</v>
      </c>
      <c r="E93" s="33" t="n">
        <f aca="false">Calc_1!$E83/Thousand</f>
        <v>9.55688408374485</v>
      </c>
      <c r="F93" s="33" t="n">
        <f aca="false">Calc_2!$E83/Thousand</f>
        <v>9.55688408374485</v>
      </c>
    </row>
    <row r="94" customFormat="false" ht="15" hidden="false" customHeight="false" outlineLevel="0" collapsed="false">
      <c r="C94" s="1" t="s">
        <v>145</v>
      </c>
      <c r="D94" s="12" t="s">
        <v>82</v>
      </c>
      <c r="E94" s="33" t="n">
        <f aca="false">Calc_1!$I76/Thousand</f>
        <v>420.752711777652</v>
      </c>
      <c r="F94" s="33" t="n">
        <f aca="false">Calc_2!$I76/Thousand</f>
        <v>420.752711777652</v>
      </c>
    </row>
    <row r="95" customFormat="false" ht="15" hidden="false" customHeight="false" outlineLevel="0" collapsed="false">
      <c r="C95" s="1" t="s">
        <v>146</v>
      </c>
      <c r="D95" s="12" t="s">
        <v>82</v>
      </c>
      <c r="E95" s="33" t="n">
        <f aca="false">Calc_1!$I83/Thousand</f>
        <v>295.37332772584</v>
      </c>
      <c r="F95" s="33" t="n">
        <f aca="false">Calc_2!$I83/Thousand</f>
        <v>295.37332772584</v>
      </c>
    </row>
    <row r="96" customFormat="false" ht="15" hidden="false" customHeight="false" outlineLevel="0" collapsed="false">
      <c r="C96" s="1" t="s">
        <v>147</v>
      </c>
      <c r="D96" s="12" t="s">
        <v>82</v>
      </c>
      <c r="E96" s="33" t="n">
        <f aca="false">(SUM(Calc_1!$J117:$EO117))/Thousand</f>
        <v>-24.2213771862359</v>
      </c>
      <c r="F96" s="33" t="n">
        <f aca="false">(SUM(Calc_2!$J117:$EO117))/Thousand</f>
        <v>-28.3055357047945</v>
      </c>
    </row>
    <row r="97" customFormat="false" ht="15" hidden="false" customHeight="false" outlineLevel="0" collapsed="false">
      <c r="C97" s="1" t="s">
        <v>148</v>
      </c>
      <c r="D97" s="12" t="s">
        <v>82</v>
      </c>
      <c r="E97" s="33" t="n">
        <f aca="false">(-Calc_1!$I115)/Thousand</f>
        <v>-0</v>
      </c>
      <c r="F97" s="33" t="n">
        <f aca="false">(-Calc_2!$I115)/Thousand</f>
        <v>-0</v>
      </c>
    </row>
    <row r="98" customFormat="false" ht="15" hidden="false" customHeight="false" outlineLevel="0" collapsed="false">
      <c r="C98" s="1" t="s">
        <v>149</v>
      </c>
      <c r="D98" s="12" t="s">
        <v>150</v>
      </c>
      <c r="E98" s="31" t="n">
        <f aca="false">Model_Checks</f>
        <v>0</v>
      </c>
      <c r="F98" s="31" t="n">
        <f aca="false">Model_Checks</f>
        <v>0</v>
      </c>
    </row>
    <row r="100" customFormat="false" ht="15" hidden="false" customHeight="false" outlineLevel="0" collapsed="false">
      <c r="A100" s="10" t="s">
        <v>13</v>
      </c>
      <c r="B100" s="10"/>
      <c r="C100" s="10" t="s">
        <v>151</v>
      </c>
      <c r="D100" s="10"/>
      <c r="E100" s="11" t="s">
        <v>12</v>
      </c>
      <c r="F100" s="11"/>
      <c r="G100" s="10"/>
      <c r="H100" s="11" t="str">
        <f aca="false">Inputs!H$7</f>
        <v>Base: Raiffeisen</v>
      </c>
      <c r="I100" s="11" t="str">
        <f aca="false">Inputs!I$7</f>
        <v>Base: UniCredit</v>
      </c>
      <c r="J100" s="11" t="str">
        <f aca="false">Inputs!J$7</f>
        <v>COD price −10%</v>
      </c>
      <c r="K100" s="11" t="str">
        <f aca="false">Inputs!K$7</f>
        <v>COD price +10%</v>
      </c>
      <c r="L100" s="11" t="str">
        <f aca="false">Inputs!L$7</f>
        <v>Turbine +10%</v>
      </c>
      <c r="M100" s="11" t="str">
        <f aca="false">Inputs!M$7</f>
        <v>Yield −10%</v>
      </c>
      <c r="N100" s="11" t="str">
        <f aca="false">Inputs!N$7</f>
        <v>PPA +10%</v>
      </c>
      <c r="O100" s="11" t="str">
        <f aca="false">Inputs!O$7</f>
        <v>Full PB call</v>
      </c>
      <c r="P100" s="11" t="str">
        <f aca="false">Inputs!P$7</f>
        <v>Rate +1 pp</v>
      </c>
      <c r="Q100" s="11" t="str">
        <f aca="false">Inputs!Q$7</f>
        <v>Tenor 10 years</v>
      </c>
      <c r="R100" s="11" t="str">
        <f aca="false">Inputs!R$7</f>
        <v>Robin Hood 31%</v>
      </c>
      <c r="S100" s="11" t="str">
        <f aca="false">Inputs!S$7</f>
        <v>CIT 9%</v>
      </c>
      <c r="T100" s="11" t="str">
        <f aca="false">Inputs!T$7</f>
        <v>BESS 100 MWh</v>
      </c>
      <c r="U100" s="11" t="str">
        <f aca="false">Inputs!U$7</f>
        <v>Promise all, deliver nothing</v>
      </c>
      <c r="V100" s="11" t="str">
        <f aca="false">Inputs!V$7</f>
        <v>Full cash sweep</v>
      </c>
    </row>
    <row r="101" customFormat="false" ht="15" hidden="false" customHeight="false" outlineLevel="0" collapsed="false">
      <c r="C101" s="1" t="s">
        <v>152</v>
      </c>
      <c r="D101" s="12" t="s">
        <v>53</v>
      </c>
      <c r="E101" s="15" t="n">
        <f aca="false">Calc_1!$E43</f>
        <v>59.5</v>
      </c>
      <c r="H101" s="38" t="n">
        <v>59.5</v>
      </c>
      <c r="I101" s="38" t="n">
        <v>59.5</v>
      </c>
      <c r="J101" s="38" t="n">
        <v>59.5</v>
      </c>
      <c r="K101" s="38" t="n">
        <v>59.5</v>
      </c>
      <c r="L101" s="38" t="n">
        <v>59.5</v>
      </c>
      <c r="M101" s="38" t="n">
        <v>59.5</v>
      </c>
      <c r="N101" s="38" t="n">
        <v>59.5</v>
      </c>
      <c r="O101" s="38" t="n">
        <v>59.5</v>
      </c>
      <c r="P101" s="38" t="n">
        <v>59.5</v>
      </c>
      <c r="Q101" s="38" t="n">
        <v>59.5</v>
      </c>
      <c r="R101" s="38" t="n">
        <v>59.5</v>
      </c>
      <c r="S101" s="38" t="n">
        <v>59.5</v>
      </c>
      <c r="T101" s="38" t="n">
        <v>65.5</v>
      </c>
      <c r="U101" s="38" t="n">
        <v>59.5</v>
      </c>
      <c r="V101" s="38" t="n">
        <v>59.5</v>
      </c>
    </row>
    <row r="102" customFormat="false" ht="15" hidden="false" customHeight="false" outlineLevel="0" collapsed="false">
      <c r="C102" s="1" t="s">
        <v>153</v>
      </c>
      <c r="D102" s="12" t="s">
        <v>53</v>
      </c>
      <c r="E102" s="15" t="n">
        <f aca="false">Calc_2!$E43</f>
        <v>47.5</v>
      </c>
      <c r="H102" s="38" t="n">
        <v>47.5</v>
      </c>
      <c r="I102" s="38" t="n">
        <v>47.5</v>
      </c>
      <c r="J102" s="38" t="n">
        <v>47.5</v>
      </c>
      <c r="K102" s="38" t="n">
        <v>47.5</v>
      </c>
      <c r="L102" s="38" t="n">
        <v>47.5</v>
      </c>
      <c r="M102" s="38" t="n">
        <v>47.5</v>
      </c>
      <c r="N102" s="38" t="n">
        <v>47.5</v>
      </c>
      <c r="O102" s="38" t="n">
        <v>47.5</v>
      </c>
      <c r="P102" s="38" t="n">
        <v>47.5</v>
      </c>
      <c r="Q102" s="38" t="n">
        <v>47.5</v>
      </c>
      <c r="R102" s="38" t="n">
        <v>47.5</v>
      </c>
      <c r="S102" s="38" t="n">
        <v>47.5</v>
      </c>
      <c r="T102" s="38" t="n">
        <v>53.5</v>
      </c>
      <c r="U102" s="38" t="n">
        <v>47.5</v>
      </c>
      <c r="V102" s="38" t="n">
        <v>47.5</v>
      </c>
    </row>
    <row r="103" customFormat="false" ht="15" hidden="false" customHeight="false" outlineLevel="0" collapsed="false">
      <c r="C103" s="1" t="s">
        <v>154</v>
      </c>
      <c r="D103" s="12" t="s">
        <v>77</v>
      </c>
      <c r="E103" s="29" t="n">
        <f aca="false">Calc_1!$E31</f>
        <v>0</v>
      </c>
      <c r="H103" s="39" t="n">
        <v>0</v>
      </c>
      <c r="I103" s="39" t="n">
        <v>0</v>
      </c>
      <c r="J103" s="39" t="n">
        <v>0</v>
      </c>
      <c r="K103" s="39" t="n">
        <v>0</v>
      </c>
      <c r="L103" s="39" t="n">
        <v>0</v>
      </c>
      <c r="M103" s="39" t="n">
        <v>0</v>
      </c>
      <c r="N103" s="39" t="n">
        <v>0</v>
      </c>
      <c r="O103" s="39" t="n">
        <v>0</v>
      </c>
      <c r="P103" s="39" t="n">
        <v>0</v>
      </c>
      <c r="Q103" s="39" t="n">
        <v>0</v>
      </c>
      <c r="R103" s="39" t="n">
        <v>0</v>
      </c>
      <c r="S103" s="39" t="n">
        <v>0</v>
      </c>
      <c r="T103" s="39" t="n">
        <v>0</v>
      </c>
      <c r="U103" s="39" t="n">
        <v>0</v>
      </c>
      <c r="V103" s="39" t="n">
        <v>0</v>
      </c>
    </row>
    <row r="104" customFormat="false" ht="15" hidden="false" customHeight="false" outlineLevel="0" collapsed="false">
      <c r="C104" s="1" t="s">
        <v>155</v>
      </c>
      <c r="D104" s="12" t="s">
        <v>77</v>
      </c>
      <c r="E104" s="29" t="n">
        <f aca="false">Calc_2!$E31</f>
        <v>0</v>
      </c>
      <c r="H104" s="39" t="n">
        <v>0</v>
      </c>
      <c r="I104" s="39" t="n">
        <v>0</v>
      </c>
      <c r="J104" s="39" t="n">
        <v>0</v>
      </c>
      <c r="K104" s="39" t="n">
        <v>0</v>
      </c>
      <c r="L104" s="39" t="n">
        <v>0</v>
      </c>
      <c r="M104" s="39" t="n">
        <v>0</v>
      </c>
      <c r="N104" s="39" t="n">
        <v>0</v>
      </c>
      <c r="O104" s="39" t="n">
        <v>0</v>
      </c>
      <c r="P104" s="39" t="n">
        <v>0</v>
      </c>
      <c r="Q104" s="39" t="n">
        <v>0</v>
      </c>
      <c r="R104" s="39" t="n">
        <v>0</v>
      </c>
      <c r="S104" s="39" t="n">
        <v>0</v>
      </c>
      <c r="T104" s="39" t="n">
        <v>0</v>
      </c>
      <c r="U104" s="39" t="n">
        <v>0</v>
      </c>
      <c r="V104" s="39" t="n">
        <v>0</v>
      </c>
    </row>
    <row r="105" customFormat="false" ht="15" hidden="false" customHeight="false" outlineLevel="0" collapsed="false">
      <c r="C105" s="1" t="s">
        <v>156</v>
      </c>
      <c r="D105" s="12" t="s">
        <v>82</v>
      </c>
      <c r="E105" s="33" t="n">
        <f aca="false">(-Calc_1!$I62)/Thousand</f>
        <v>-0</v>
      </c>
      <c r="H105" s="38" t="n">
        <v>0</v>
      </c>
      <c r="I105" s="38" t="n">
        <v>0</v>
      </c>
      <c r="J105" s="38" t="n">
        <v>0</v>
      </c>
      <c r="K105" s="38" t="n">
        <v>0</v>
      </c>
      <c r="L105" s="38" t="n">
        <v>0</v>
      </c>
      <c r="M105" s="38" t="n">
        <v>0</v>
      </c>
      <c r="N105" s="38" t="n">
        <v>0</v>
      </c>
      <c r="O105" s="38" t="n">
        <v>2.21643835616438</v>
      </c>
      <c r="P105" s="38" t="n">
        <v>0</v>
      </c>
      <c r="Q105" s="38" t="n">
        <v>0</v>
      </c>
      <c r="R105" s="38" t="n">
        <v>0</v>
      </c>
      <c r="S105" s="38" t="n">
        <v>0</v>
      </c>
      <c r="T105" s="38" t="n">
        <v>0</v>
      </c>
      <c r="U105" s="38" t="n">
        <v>2.21643835616438</v>
      </c>
      <c r="V105" s="38" t="n">
        <v>0</v>
      </c>
    </row>
    <row r="106" customFormat="false" ht="15" hidden="false" customHeight="false" outlineLevel="0" collapsed="false">
      <c r="C106" s="1" t="s">
        <v>157</v>
      </c>
      <c r="D106" s="12" t="s">
        <v>82</v>
      </c>
      <c r="E106" s="33" t="n">
        <f aca="false">(-Calc_2!$I62)/Thousand</f>
        <v>-0</v>
      </c>
      <c r="H106" s="38" t="n">
        <v>0</v>
      </c>
      <c r="I106" s="38" t="n">
        <v>0</v>
      </c>
      <c r="J106" s="38" t="n">
        <v>0</v>
      </c>
      <c r="K106" s="38" t="n">
        <v>0</v>
      </c>
      <c r="L106" s="38" t="n">
        <v>0</v>
      </c>
      <c r="M106" s="38" t="n">
        <v>0</v>
      </c>
      <c r="N106" s="38" t="n">
        <v>0</v>
      </c>
      <c r="O106" s="38" t="n">
        <v>2.21643835616438</v>
      </c>
      <c r="P106" s="38" t="n">
        <v>0</v>
      </c>
      <c r="Q106" s="38" t="n">
        <v>0</v>
      </c>
      <c r="R106" s="38" t="n">
        <v>0</v>
      </c>
      <c r="S106" s="38" t="n">
        <v>0</v>
      </c>
      <c r="T106" s="38" t="n">
        <v>0</v>
      </c>
      <c r="U106" s="38" t="n">
        <v>2.21643835616438</v>
      </c>
      <c r="V106" s="38" t="n">
        <v>0</v>
      </c>
    </row>
    <row r="107" customFormat="false" ht="15" hidden="false" customHeight="false" outlineLevel="0" collapsed="false">
      <c r="C107" s="1" t="s">
        <v>158</v>
      </c>
      <c r="D107" s="12" t="s">
        <v>82</v>
      </c>
      <c r="E107" s="33" t="n">
        <f aca="false">Calc_1!$I139/Thousand</f>
        <v>20.8885902677913</v>
      </c>
      <c r="H107" s="38" t="n">
        <v>20.8885902677913</v>
      </c>
      <c r="I107" s="38" t="n">
        <v>21.6328086208393</v>
      </c>
      <c r="J107" s="38" t="n">
        <v>7.47484026779135</v>
      </c>
      <c r="K107" s="38" t="n">
        <v>34.3023402677913</v>
      </c>
      <c r="L107" s="38" t="n">
        <v>15.4051181537226</v>
      </c>
      <c r="M107" s="38" t="n">
        <v>20.8885902677913</v>
      </c>
      <c r="N107" s="38" t="n">
        <v>20.8885902677913</v>
      </c>
      <c r="O107" s="38" t="n">
        <v>18.672151911627</v>
      </c>
      <c r="P107" s="38" t="n">
        <v>20.4646156165795</v>
      </c>
      <c r="Q107" s="38" t="n">
        <v>20.8885902677913</v>
      </c>
      <c r="R107" s="38" t="n">
        <v>20.8885902677913</v>
      </c>
      <c r="S107" s="38" t="n">
        <v>20.8885902677913</v>
      </c>
      <c r="T107" s="38" t="n">
        <v>14.7098102183324</v>
      </c>
      <c r="U107" s="38" t="n">
        <v>28.0352561046759</v>
      </c>
      <c r="V107" s="38" t="n">
        <v>20.8885902677913</v>
      </c>
    </row>
    <row r="108" customFormat="false" ht="15" hidden="false" customHeight="false" outlineLevel="0" collapsed="false">
      <c r="C108" s="1" t="s">
        <v>159</v>
      </c>
      <c r="D108" s="12" t="s">
        <v>82</v>
      </c>
      <c r="E108" s="33" t="n">
        <f aca="false">Calc_2!$I139/Thousand</f>
        <v>28.9538137248486</v>
      </c>
      <c r="H108" s="38" t="n">
        <v>28.9538137248486</v>
      </c>
      <c r="I108" s="38" t="n">
        <v>29.7022071258511</v>
      </c>
      <c r="J108" s="38" t="n">
        <v>17.4563137248486</v>
      </c>
      <c r="K108" s="38" t="n">
        <v>40.4513137248486</v>
      </c>
      <c r="L108" s="38" t="n">
        <v>26.0690606502322</v>
      </c>
      <c r="M108" s="38" t="n">
        <v>28.9538137248486</v>
      </c>
      <c r="N108" s="38" t="n">
        <v>28.9538137248486</v>
      </c>
      <c r="O108" s="38" t="n">
        <v>26.7373753686842</v>
      </c>
      <c r="P108" s="38" t="n">
        <v>28.5252049429613</v>
      </c>
      <c r="Q108" s="38" t="n">
        <v>28.9538137248486</v>
      </c>
      <c r="R108" s="38" t="n">
        <v>28.9538137248486</v>
      </c>
      <c r="S108" s="38" t="n">
        <v>28.9538137248486</v>
      </c>
      <c r="T108" s="38" t="n">
        <v>22.7774999680318</v>
      </c>
      <c r="U108" s="38" t="n">
        <v>28.0352561046759</v>
      </c>
      <c r="V108" s="38" t="n">
        <v>28.9538137248486</v>
      </c>
    </row>
    <row r="109" customFormat="false" ht="15" hidden="false" customHeight="false" outlineLevel="0" collapsed="false">
      <c r="C109" s="1" t="s">
        <v>160</v>
      </c>
      <c r="D109" s="12" t="s">
        <v>27</v>
      </c>
      <c r="E109" s="23" t="n">
        <f aca="false">Calc_1!$E140</f>
        <v>0.248075895436541</v>
      </c>
      <c r="H109" s="40" t="n">
        <v>0.248075895436541</v>
      </c>
      <c r="I109" s="40" t="n">
        <v>0.23404236710695</v>
      </c>
      <c r="J109" s="40" t="n">
        <v>0.0960567323467009</v>
      </c>
      <c r="K109" s="40" t="n">
        <v>0.379536532995649</v>
      </c>
      <c r="L109" s="40" t="n">
        <v>0.178766673619431</v>
      </c>
      <c r="M109" s="40" t="n">
        <v>0.248075895436541</v>
      </c>
      <c r="N109" s="40" t="n">
        <v>0.248075895436541</v>
      </c>
      <c r="O109" s="40" t="n">
        <v>0.224529030227288</v>
      </c>
      <c r="P109" s="40" t="n">
        <v>0.242604968779591</v>
      </c>
      <c r="Q109" s="40" t="n">
        <v>0.248075895436541</v>
      </c>
      <c r="R109" s="40" t="n">
        <v>0.248075895436541</v>
      </c>
      <c r="S109" s="40" t="n">
        <v>0.248075895436541</v>
      </c>
      <c r="T109" s="40" t="n">
        <v>0.169838605385035</v>
      </c>
      <c r="U109" s="40" t="n">
        <v>0.449164219098652</v>
      </c>
      <c r="V109" s="40" t="n">
        <v>0.248075895436541</v>
      </c>
    </row>
    <row r="110" customFormat="false" ht="15" hidden="false" customHeight="false" outlineLevel="0" collapsed="false">
      <c r="C110" s="1" t="s">
        <v>161</v>
      </c>
      <c r="D110" s="12" t="s">
        <v>27</v>
      </c>
      <c r="E110" s="23" t="n">
        <f aca="false">Calc_2!$E140</f>
        <v>0.430590128449621</v>
      </c>
      <c r="H110" s="40" t="n">
        <v>0.430590128449621</v>
      </c>
      <c r="I110" s="40" t="n">
        <v>0.397063407929472</v>
      </c>
      <c r="J110" s="40" t="n">
        <v>0.287411191448247</v>
      </c>
      <c r="K110" s="40" t="n">
        <v>0.55149792903843</v>
      </c>
      <c r="L110" s="40" t="n">
        <v>0.384535533917833</v>
      </c>
      <c r="M110" s="40" t="n">
        <v>0.430590128449621</v>
      </c>
      <c r="N110" s="40" t="n">
        <v>0.430590128449621</v>
      </c>
      <c r="O110" s="40" t="n">
        <v>0.40497777844814</v>
      </c>
      <c r="P110" s="40" t="n">
        <v>0.423692083147379</v>
      </c>
      <c r="Q110" s="40" t="n">
        <v>0.430590128449621</v>
      </c>
      <c r="R110" s="40" t="n">
        <v>0.430590128449621</v>
      </c>
      <c r="S110" s="40" t="n">
        <v>0.430590128449621</v>
      </c>
      <c r="T110" s="40" t="n">
        <v>0.331642736465738</v>
      </c>
      <c r="U110" s="40" t="n">
        <v>0.449164219098652</v>
      </c>
      <c r="V110" s="40" t="n">
        <v>0.430590128449621</v>
      </c>
    </row>
    <row r="111" customFormat="false" ht="15" hidden="false" customHeight="false" outlineLevel="0" collapsed="false">
      <c r="C111" s="1" t="s">
        <v>162</v>
      </c>
      <c r="D111" s="12" t="s">
        <v>13</v>
      </c>
      <c r="E111" s="30" t="n">
        <f aca="false">Calc_1!$E141</f>
        <v>1.33026008442252</v>
      </c>
      <c r="H111" s="41" t="n">
        <v>1.33026008442252</v>
      </c>
      <c r="I111" s="41" t="n">
        <v>1.29652388642711</v>
      </c>
      <c r="J111" s="41" t="n">
        <v>1.11818132991445</v>
      </c>
      <c r="K111" s="41" t="n">
        <v>1.54233883893058</v>
      </c>
      <c r="L111" s="41" t="n">
        <v>1.22413188281728</v>
      </c>
      <c r="M111" s="41" t="n">
        <v>1.33026008442252</v>
      </c>
      <c r="N111" s="41" t="n">
        <v>1.33026008442252</v>
      </c>
      <c r="O111" s="41" t="n">
        <v>1.29521697671444</v>
      </c>
      <c r="P111" s="41" t="n">
        <v>1.32140236483316</v>
      </c>
      <c r="Q111" s="41" t="n">
        <v>1.33026008442252</v>
      </c>
      <c r="R111" s="41" t="n">
        <v>1.33026008442252</v>
      </c>
      <c r="S111" s="41" t="n">
        <v>1.33026008442252</v>
      </c>
      <c r="T111" s="41" t="n">
        <v>1.2118723849892</v>
      </c>
      <c r="U111" s="41" t="n">
        <v>1.95852582185113</v>
      </c>
      <c r="V111" s="41" t="n">
        <v>1.33026008442252</v>
      </c>
    </row>
    <row r="112" customFormat="false" ht="15" hidden="false" customHeight="false" outlineLevel="0" collapsed="false">
      <c r="C112" s="1" t="s">
        <v>163</v>
      </c>
      <c r="D112" s="12" t="s">
        <v>13</v>
      </c>
      <c r="E112" s="30" t="n">
        <f aca="false">Calc_2!$E141</f>
        <v>1.80379956128269</v>
      </c>
      <c r="H112" s="41" t="n">
        <v>1.80379956128269</v>
      </c>
      <c r="I112" s="41" t="n">
        <v>1.64961489136514</v>
      </c>
      <c r="J112" s="41" t="n">
        <v>1.48461240536352</v>
      </c>
      <c r="K112" s="41" t="n">
        <v>2.12298671720185</v>
      </c>
      <c r="L112" s="41" t="n">
        <v>1.67005349532546</v>
      </c>
      <c r="M112" s="41" t="n">
        <v>1.80379956128269</v>
      </c>
      <c r="N112" s="41" t="n">
        <v>1.80379956128269</v>
      </c>
      <c r="O112" s="41" t="n">
        <v>1.74226804093702</v>
      </c>
      <c r="P112" s="41" t="n">
        <v>1.78258889791626</v>
      </c>
      <c r="Q112" s="41" t="n">
        <v>1.80379956128269</v>
      </c>
      <c r="R112" s="41" t="n">
        <v>1.80379956128269</v>
      </c>
      <c r="S112" s="41" t="n">
        <v>1.80379956128269</v>
      </c>
      <c r="T112" s="41" t="n">
        <v>1.53978316134311</v>
      </c>
      <c r="U112" s="41" t="n">
        <v>1.95852582185113</v>
      </c>
      <c r="V112" s="41" t="n">
        <v>1.80379956128269</v>
      </c>
    </row>
    <row r="113" customFormat="false" ht="15" hidden="false" customHeight="false" outlineLevel="0" collapsed="false">
      <c r="C113" s="1" t="s">
        <v>164</v>
      </c>
      <c r="D113" s="12" t="s">
        <v>27</v>
      </c>
      <c r="E113" s="23" t="n">
        <f aca="false">Calc_1!$E153</f>
        <v>0.0740585134078263</v>
      </c>
      <c r="H113" s="40" t="n">
        <v>0.0740585134078263</v>
      </c>
      <c r="I113" s="40" t="n">
        <v>0.0712462533399166</v>
      </c>
      <c r="J113" s="40" t="n">
        <v>0.0740585134078263</v>
      </c>
      <c r="K113" s="40" t="n">
        <v>0.0740585134078263</v>
      </c>
      <c r="L113" s="40" t="n">
        <v>0.0682004491468102</v>
      </c>
      <c r="M113" s="40" t="n">
        <v>0.0593650212572594</v>
      </c>
      <c r="N113" s="40" t="n">
        <v>0.0893416424789257</v>
      </c>
      <c r="O113" s="40" t="n">
        <v>0.0716631002014391</v>
      </c>
      <c r="P113" s="40" t="n">
        <v>0.070738434385586</v>
      </c>
      <c r="Q113" s="40" t="n">
        <v>0.0715084121207986</v>
      </c>
      <c r="R113" s="40" t="n">
        <v>0.0556701340401207</v>
      </c>
      <c r="S113" s="40" t="n">
        <v>0.0770294058342759</v>
      </c>
      <c r="T113" s="40" t="n">
        <v>0.0673677804399101</v>
      </c>
      <c r="U113" s="40" t="n">
        <v>0.129255973775779</v>
      </c>
      <c r="V113" s="40" t="n">
        <v>0.0696866922154781</v>
      </c>
    </row>
    <row r="114" customFormat="false" ht="15" hidden="false" customHeight="false" outlineLevel="0" collapsed="false">
      <c r="C114" s="1" t="s">
        <v>165</v>
      </c>
      <c r="D114" s="12" t="s">
        <v>27</v>
      </c>
      <c r="E114" s="23" t="n">
        <f aca="false">Calc_2!$E153</f>
        <v>0.118465201099218</v>
      </c>
      <c r="H114" s="40" t="n">
        <v>0.118465201099218</v>
      </c>
      <c r="I114" s="40" t="n">
        <v>0.107429706179022</v>
      </c>
      <c r="J114" s="40" t="n">
        <v>0.118465201099218</v>
      </c>
      <c r="K114" s="40" t="n">
        <v>0.118465201099218</v>
      </c>
      <c r="L114" s="40" t="n">
        <v>0.111857706203215</v>
      </c>
      <c r="M114" s="40" t="n">
        <v>0.0986048068299355</v>
      </c>
      <c r="N114" s="40" t="n">
        <v>0.139657143018352</v>
      </c>
      <c r="O114" s="40" t="n">
        <v>0.113784117718572</v>
      </c>
      <c r="P114" s="40" t="n">
        <v>0.113056997649923</v>
      </c>
      <c r="Q114" s="40" t="n">
        <v>0.109705297652446</v>
      </c>
      <c r="R114" s="40" t="n">
        <v>0.0892001298973217</v>
      </c>
      <c r="S114" s="40" t="n">
        <v>0.123246802128408</v>
      </c>
      <c r="T114" s="40" t="n">
        <v>0.104892388699799</v>
      </c>
      <c r="U114" s="40" t="n">
        <v>0.129255973775779</v>
      </c>
      <c r="V114" s="40" t="n">
        <v>0.10372140364497</v>
      </c>
    </row>
    <row r="115" customFormat="false" ht="15" hidden="false" customHeight="false" outlineLevel="0" collapsed="false">
      <c r="C115" s="1" t="s">
        <v>166</v>
      </c>
      <c r="D115" s="12" t="s">
        <v>13</v>
      </c>
      <c r="E115" s="30" t="n">
        <f aca="false">Calc_1!$E154</f>
        <v>3.130403587176</v>
      </c>
      <c r="H115" s="41" t="n">
        <v>3.130403587176</v>
      </c>
      <c r="I115" s="41" t="n">
        <v>2.95459584754917</v>
      </c>
      <c r="J115" s="41" t="n">
        <v>3.130403587176</v>
      </c>
      <c r="K115" s="41" t="n">
        <v>3.130403587176</v>
      </c>
      <c r="L115" s="41" t="n">
        <v>2.89634123799537</v>
      </c>
      <c r="M115" s="41" t="n">
        <v>2.64241682511351</v>
      </c>
      <c r="N115" s="41" t="n">
        <v>3.67216591577656</v>
      </c>
      <c r="O115" s="41" t="n">
        <v>3.06098427085044</v>
      </c>
      <c r="P115" s="41" t="n">
        <v>3.04491552253293</v>
      </c>
      <c r="Q115" s="41" t="n">
        <v>3.21487861817944</v>
      </c>
      <c r="R115" s="41" t="n">
        <v>2.34298293605763</v>
      </c>
      <c r="S115" s="41" t="n">
        <v>3.28078501685902</v>
      </c>
      <c r="T115" s="41" t="n">
        <v>2.86721150615099</v>
      </c>
      <c r="U115" s="41" t="n">
        <v>5.98061529952772</v>
      </c>
      <c r="V115" s="41" t="n">
        <v>3.29804733398676</v>
      </c>
    </row>
    <row r="116" customFormat="false" ht="15" hidden="false" customHeight="false" outlineLevel="0" collapsed="false">
      <c r="C116" s="1" t="s">
        <v>167</v>
      </c>
      <c r="D116" s="12" t="s">
        <v>13</v>
      </c>
      <c r="E116" s="30" t="n">
        <f aca="false">Calc_2!$E154</f>
        <v>5.31191565866826</v>
      </c>
      <c r="H116" s="41" t="n">
        <v>5.31191565866826</v>
      </c>
      <c r="I116" s="41" t="n">
        <v>4.58619484083524</v>
      </c>
      <c r="J116" s="41" t="n">
        <v>5.31191565866826</v>
      </c>
      <c r="K116" s="41" t="n">
        <v>5.31191565866826</v>
      </c>
      <c r="L116" s="41" t="n">
        <v>4.94042023343938</v>
      </c>
      <c r="M116" s="41" t="n">
        <v>4.47244328292997</v>
      </c>
      <c r="N116" s="41" t="n">
        <v>6.25022195359846</v>
      </c>
      <c r="O116" s="41" t="n">
        <v>5.12806649270853</v>
      </c>
      <c r="P116" s="41" t="n">
        <v>5.13680859801795</v>
      </c>
      <c r="Q116" s="41" t="n">
        <v>5.43420815565506</v>
      </c>
      <c r="R116" s="41" t="n">
        <v>3.72127436968707</v>
      </c>
      <c r="S116" s="41" t="n">
        <v>5.61628617575072</v>
      </c>
      <c r="T116" s="41" t="n">
        <v>4.57447732474697</v>
      </c>
      <c r="U116" s="41" t="n">
        <v>5.98061529952772</v>
      </c>
      <c r="V116" s="41" t="n">
        <v>5.59734704307907</v>
      </c>
    </row>
    <row r="117" customFormat="false" ht="15" hidden="false" customHeight="false" outlineLevel="0" collapsed="false">
      <c r="C117" s="1" t="s">
        <v>168</v>
      </c>
      <c r="D117" s="12" t="s">
        <v>82</v>
      </c>
      <c r="E117" s="33" t="n">
        <f aca="false">Calc_1!$E155/Thousand</f>
        <v>-3.72609993839986</v>
      </c>
      <c r="H117" s="38" t="n">
        <v>-3.72609993839986</v>
      </c>
      <c r="I117" s="38" t="n">
        <v>-6.16682786743725</v>
      </c>
      <c r="J117" s="38" t="n">
        <v>-3.72609993839986</v>
      </c>
      <c r="K117" s="38" t="n">
        <v>-3.72609993839986</v>
      </c>
      <c r="L117" s="38" t="n">
        <v>-7.83434327306657</v>
      </c>
      <c r="M117" s="38" t="n">
        <v>-12.6145009396136</v>
      </c>
      <c r="N117" s="38" t="n">
        <v>6.01195970486151</v>
      </c>
      <c r="O117" s="38" t="n">
        <v>-5.32428692228232</v>
      </c>
      <c r="P117" s="38" t="n">
        <v>-5.87161712325322</v>
      </c>
      <c r="Q117" s="38" t="n">
        <v>-5.809723835009</v>
      </c>
      <c r="R117" s="38" t="n">
        <v>-13.6133595509912</v>
      </c>
      <c r="S117" s="38" t="n">
        <v>-1.89922883069751</v>
      </c>
      <c r="T117" s="38" t="n">
        <v>-8.45442850482082</v>
      </c>
      <c r="U117" s="38" t="n">
        <v>18.9236160450971</v>
      </c>
      <c r="V117" s="38" t="n">
        <v>-7.58029010367331</v>
      </c>
    </row>
    <row r="118" customFormat="false" ht="15" hidden="false" customHeight="false" outlineLevel="0" collapsed="false">
      <c r="C118" s="1" t="s">
        <v>169</v>
      </c>
      <c r="D118" s="12" t="s">
        <v>82</v>
      </c>
      <c r="E118" s="33" t="n">
        <f aca="false">Calc_2!$E155/Thousand</f>
        <v>16.6125621146329</v>
      </c>
      <c r="H118" s="38" t="n">
        <v>16.6125621146329</v>
      </c>
      <c r="I118" s="38" t="n">
        <v>14.1630576927205</v>
      </c>
      <c r="J118" s="38" t="n">
        <v>16.6125621146329</v>
      </c>
      <c r="K118" s="38" t="n">
        <v>16.6125621146329</v>
      </c>
      <c r="L118" s="38" t="n">
        <v>14.4571082699729</v>
      </c>
      <c r="M118" s="38" t="n">
        <v>7.85930831505566</v>
      </c>
      <c r="N118" s="38" t="n">
        <v>26.3442705129827</v>
      </c>
      <c r="O118" s="38" t="n">
        <v>15.0143751307504</v>
      </c>
      <c r="P118" s="38" t="n">
        <v>14.5097445956097</v>
      </c>
      <c r="Q118" s="38" t="n">
        <v>14.5283044182244</v>
      </c>
      <c r="R118" s="38" t="n">
        <v>3.53085516937081</v>
      </c>
      <c r="S118" s="38" t="n">
        <v>19.0535190048433</v>
      </c>
      <c r="T118" s="38" t="n">
        <v>11.9243780385959</v>
      </c>
      <c r="U118" s="38" t="n">
        <v>18.9236160450971</v>
      </c>
      <c r="V118" s="38" t="n">
        <v>12.836467346665</v>
      </c>
    </row>
    <row r="119" customFormat="false" ht="15" hidden="false" customHeight="false" outlineLevel="0" collapsed="false">
      <c r="C119" s="1" t="s">
        <v>170</v>
      </c>
      <c r="D119" s="12" t="s">
        <v>82</v>
      </c>
      <c r="E119" s="33" t="n">
        <f aca="false">Calc_1!$E103/Thousand</f>
        <v>49.5</v>
      </c>
      <c r="H119" s="38" t="n">
        <v>49.5</v>
      </c>
      <c r="I119" s="38" t="n">
        <v>39.05</v>
      </c>
      <c r="J119" s="38" t="n">
        <v>49.5</v>
      </c>
      <c r="K119" s="38" t="n">
        <v>49.5</v>
      </c>
      <c r="L119" s="38" t="n">
        <v>49.5</v>
      </c>
      <c r="M119" s="38" t="n">
        <v>49.5</v>
      </c>
      <c r="N119" s="38" t="n">
        <v>49.5</v>
      </c>
      <c r="O119" s="38" t="n">
        <v>49.5</v>
      </c>
      <c r="P119" s="38" t="n">
        <v>49.5</v>
      </c>
      <c r="Q119" s="38" t="n">
        <v>49.5</v>
      </c>
      <c r="R119" s="38" t="n">
        <v>49.5</v>
      </c>
      <c r="S119" s="38" t="n">
        <v>49.5</v>
      </c>
      <c r="T119" s="38" t="n">
        <v>49.5</v>
      </c>
      <c r="U119" s="38" t="n">
        <v>45</v>
      </c>
      <c r="V119" s="38" t="n">
        <v>49.5</v>
      </c>
    </row>
    <row r="120" customFormat="false" ht="15" hidden="false" customHeight="false" outlineLevel="0" collapsed="false">
      <c r="C120" s="1" t="s">
        <v>171</v>
      </c>
      <c r="D120" s="12" t="s">
        <v>82</v>
      </c>
      <c r="E120" s="33" t="n">
        <f aca="false">Calc_2!$E103/Thousand</f>
        <v>49.5</v>
      </c>
      <c r="H120" s="38" t="n">
        <v>49.5</v>
      </c>
      <c r="I120" s="38" t="n">
        <v>39.05</v>
      </c>
      <c r="J120" s="38" t="n">
        <v>49.5</v>
      </c>
      <c r="K120" s="38" t="n">
        <v>49.5</v>
      </c>
      <c r="L120" s="38" t="n">
        <v>49.5</v>
      </c>
      <c r="M120" s="38" t="n">
        <v>49.5</v>
      </c>
      <c r="N120" s="38" t="n">
        <v>49.5</v>
      </c>
      <c r="O120" s="38" t="n">
        <v>49.5</v>
      </c>
      <c r="P120" s="38" t="n">
        <v>49.5</v>
      </c>
      <c r="Q120" s="38" t="n">
        <v>49.5</v>
      </c>
      <c r="R120" s="38" t="n">
        <v>49.5</v>
      </c>
      <c r="S120" s="38" t="n">
        <v>49.5</v>
      </c>
      <c r="T120" s="38" t="n">
        <v>49.5</v>
      </c>
      <c r="U120" s="38" t="n">
        <v>45</v>
      </c>
      <c r="V120" s="38" t="n">
        <v>49.5</v>
      </c>
    </row>
    <row r="121" customFormat="false" ht="15" hidden="false" customHeight="false" outlineLevel="0" collapsed="false">
      <c r="C121" s="1" t="s">
        <v>172</v>
      </c>
      <c r="D121" s="12" t="s">
        <v>82</v>
      </c>
      <c r="E121" s="33" t="n">
        <f aca="false">Calc_1!$E129/Thousand</f>
        <v>63.2489097322087</v>
      </c>
      <c r="H121" s="38" t="n">
        <v>63.2489097322087</v>
      </c>
      <c r="I121" s="38" t="n">
        <v>72.9546913791607</v>
      </c>
      <c r="J121" s="38" t="n">
        <v>63.2489097322087</v>
      </c>
      <c r="K121" s="38" t="n">
        <v>63.2489097322087</v>
      </c>
      <c r="L121" s="38" t="n">
        <v>68.7323818462775</v>
      </c>
      <c r="M121" s="38" t="n">
        <v>63.2489097322087</v>
      </c>
      <c r="N121" s="38" t="n">
        <v>63.2489097322087</v>
      </c>
      <c r="O121" s="38" t="n">
        <v>63.2489097322087</v>
      </c>
      <c r="P121" s="38" t="n">
        <v>63.6728843834206</v>
      </c>
      <c r="Q121" s="38" t="n">
        <v>63.2489097322087</v>
      </c>
      <c r="R121" s="38" t="n">
        <v>63.2489097322087</v>
      </c>
      <c r="S121" s="38" t="n">
        <v>63.2489097322087</v>
      </c>
      <c r="T121" s="38" t="n">
        <v>69.4276897816676</v>
      </c>
      <c r="U121" s="38" t="n">
        <v>29.2483055391597</v>
      </c>
      <c r="V121" s="38" t="n">
        <v>63.2489097322087</v>
      </c>
    </row>
    <row r="122" customFormat="false" ht="15" hidden="false" customHeight="false" outlineLevel="0" collapsed="false">
      <c r="C122" s="1" t="s">
        <v>173</v>
      </c>
      <c r="D122" s="12" t="s">
        <v>82</v>
      </c>
      <c r="E122" s="33" t="n">
        <f aca="false">Calc_2!$E129/Thousand</f>
        <v>36.0211862751514</v>
      </c>
      <c r="H122" s="38" t="n">
        <v>36.0211862751514</v>
      </c>
      <c r="I122" s="38" t="n">
        <v>45.7227928741489</v>
      </c>
      <c r="J122" s="38" t="n">
        <v>36.0211862751514</v>
      </c>
      <c r="K122" s="38" t="n">
        <v>36.0211862751514</v>
      </c>
      <c r="L122" s="38" t="n">
        <v>38.9059393497678</v>
      </c>
      <c r="M122" s="38" t="n">
        <v>36.0211862751514</v>
      </c>
      <c r="N122" s="38" t="n">
        <v>36.0211862751514</v>
      </c>
      <c r="O122" s="38" t="n">
        <v>36.0211862751514</v>
      </c>
      <c r="P122" s="38" t="n">
        <v>36.4497950570387</v>
      </c>
      <c r="Q122" s="38" t="n">
        <v>36.0211862751514</v>
      </c>
      <c r="R122" s="38" t="n">
        <v>36.0211862751514</v>
      </c>
      <c r="S122" s="38" t="n">
        <v>36.0211862751514</v>
      </c>
      <c r="T122" s="38" t="n">
        <v>42.1975000319683</v>
      </c>
      <c r="U122" s="38" t="n">
        <v>29.2483055391597</v>
      </c>
      <c r="V122" s="38" t="n">
        <v>36.0211862751514</v>
      </c>
    </row>
    <row r="123" customFormat="false" ht="15" hidden="false" customHeight="false" outlineLevel="0" collapsed="false">
      <c r="C123" s="1" t="s">
        <v>174</v>
      </c>
      <c r="D123" s="12" t="s">
        <v>27</v>
      </c>
      <c r="E123" s="23" t="n">
        <f aca="false">Calc_1!$E145</f>
        <v>0.0562961227328924</v>
      </c>
      <c r="H123" s="40" t="n">
        <v>0.0562961227328924</v>
      </c>
      <c r="I123" s="40" t="n">
        <v>0.0556490264108512</v>
      </c>
      <c r="J123" s="40" t="n">
        <v>0.0667857638807504</v>
      </c>
      <c r="K123" s="40" t="n">
        <v>0.0473832371968899</v>
      </c>
      <c r="L123" s="40" t="n">
        <v>0.056636930283023</v>
      </c>
      <c r="M123" s="40" t="n">
        <v>0.0451789595772149</v>
      </c>
      <c r="N123" s="40" t="n">
        <v>0.067846570241022</v>
      </c>
      <c r="O123" s="40" t="n">
        <v>0.0563390194200723</v>
      </c>
      <c r="P123" s="40" t="n">
        <v>0.0566571537286839</v>
      </c>
      <c r="Q123" s="40" t="n">
        <v>0.0557952164582265</v>
      </c>
      <c r="R123" s="40" t="n">
        <v>0.0413609046898816</v>
      </c>
      <c r="S123" s="40" t="n">
        <v>0.0587547948642159</v>
      </c>
      <c r="T123" s="40" t="n">
        <v>0.0565903126383442</v>
      </c>
      <c r="U123" s="40" t="n">
        <v>0.0734997500785467</v>
      </c>
      <c r="V123" s="40" t="n">
        <v>0.0553823928256928</v>
      </c>
    </row>
    <row r="124" customFormat="false" ht="15" hidden="false" customHeight="false" outlineLevel="0" collapsed="false">
      <c r="C124" s="1" t="s">
        <v>175</v>
      </c>
      <c r="D124" s="12" t="s">
        <v>27</v>
      </c>
      <c r="E124" s="23" t="n">
        <f aca="false">Calc_2!$E145</f>
        <v>0.0698829968732872</v>
      </c>
      <c r="H124" s="40" t="n">
        <v>0.0698829968732872</v>
      </c>
      <c r="I124" s="40" t="n">
        <v>0.0691202696015077</v>
      </c>
      <c r="J124" s="40" t="n">
        <v>0.0813213114574836</v>
      </c>
      <c r="K124" s="40" t="n">
        <v>0.0602160296319145</v>
      </c>
      <c r="L124" s="40" t="n">
        <v>0.0700964039944031</v>
      </c>
      <c r="M124" s="40" t="n">
        <v>0.0578383220587189</v>
      </c>
      <c r="N124" s="40" t="n">
        <v>0.0826142231497845</v>
      </c>
      <c r="O124" s="40" t="n">
        <v>0.0699499207149638</v>
      </c>
      <c r="P124" s="40" t="n">
        <v>0.0703662372045241</v>
      </c>
      <c r="Q124" s="40" t="n">
        <v>0.0693105900107367</v>
      </c>
      <c r="R124" s="40" t="n">
        <v>0.0499018562507525</v>
      </c>
      <c r="S124" s="40" t="n">
        <v>0.0732031257640695</v>
      </c>
      <c r="T124" s="40" t="n">
        <v>0.070260730433115</v>
      </c>
      <c r="U124" s="40" t="n">
        <v>0.0734997500785467</v>
      </c>
      <c r="V124" s="40" t="n">
        <v>0.0688431565355214</v>
      </c>
    </row>
    <row r="125" customFormat="false" ht="15" hidden="false" customHeight="false" outlineLevel="0" collapsed="false">
      <c r="C125" s="1" t="s">
        <v>176</v>
      </c>
      <c r="D125" s="12" t="s">
        <v>27</v>
      </c>
      <c r="E125" s="23" t="n">
        <f aca="false">Calc_1!$E147</f>
        <v>0.0572094471619621</v>
      </c>
      <c r="H125" s="40" t="n">
        <v>0.0572094471619621</v>
      </c>
      <c r="I125" s="40" t="n">
        <v>0.0560106672310367</v>
      </c>
      <c r="J125" s="40" t="n">
        <v>0.0712733434056177</v>
      </c>
      <c r="K125" s="40" t="n">
        <v>0.0460791709086351</v>
      </c>
      <c r="L125" s="40" t="n">
        <v>0.0576450083990026</v>
      </c>
      <c r="M125" s="40" t="n">
        <v>0.0431277715443733</v>
      </c>
      <c r="N125" s="40" t="n">
        <v>0.0720279803213696</v>
      </c>
      <c r="O125" s="40" t="n">
        <v>0.0572655420806427</v>
      </c>
      <c r="P125" s="40" t="n">
        <v>0.0546891303153138</v>
      </c>
      <c r="Q125" s="40" t="n">
        <v>0.0561350577802016</v>
      </c>
      <c r="R125" s="40" t="n">
        <v>0.0380137968206791</v>
      </c>
      <c r="S125" s="40" t="n">
        <v>0.0603225730764963</v>
      </c>
      <c r="T125" s="40" t="n">
        <v>0.0575847133245499</v>
      </c>
      <c r="U125" s="40" t="n">
        <v>0.0807398982812387</v>
      </c>
      <c r="V125" s="40" t="n">
        <v>0.0553757219792907</v>
      </c>
    </row>
    <row r="126" customFormat="false" ht="15" hidden="false" customHeight="false" outlineLevel="0" collapsed="false">
      <c r="C126" s="1" t="s">
        <v>177</v>
      </c>
      <c r="D126" s="12" t="s">
        <v>27</v>
      </c>
      <c r="E126" s="23" t="n">
        <f aca="false">Calc_2!$E147</f>
        <v>0.0757916899883517</v>
      </c>
      <c r="H126" s="40" t="n">
        <v>0.0757916899883517</v>
      </c>
      <c r="I126" s="40" t="n">
        <v>0.0722883003226288</v>
      </c>
      <c r="J126" s="40" t="n">
        <v>0.0933990418900064</v>
      </c>
      <c r="K126" s="40" t="n">
        <v>0.0623692697134978</v>
      </c>
      <c r="L126" s="40" t="n">
        <v>0.0760880058991273</v>
      </c>
      <c r="M126" s="40" t="n">
        <v>0.0594833114368884</v>
      </c>
      <c r="N126" s="40" t="n">
        <v>0.0934068831455154</v>
      </c>
      <c r="O126" s="40" t="n">
        <v>0.0758965867571579</v>
      </c>
      <c r="P126" s="40" t="n">
        <v>0.0726493723992949</v>
      </c>
      <c r="Q126" s="40" t="n">
        <v>0.0727579546203511</v>
      </c>
      <c r="R126" s="40" t="n">
        <v>0.0488154530619781</v>
      </c>
      <c r="S126" s="40" t="n">
        <v>0.080248780033829</v>
      </c>
      <c r="T126" s="40" t="n">
        <v>0.0763127106529969</v>
      </c>
      <c r="U126" s="40" t="n">
        <v>0.0807398982812387</v>
      </c>
      <c r="V126" s="40" t="n">
        <v>0.0707247999980913</v>
      </c>
    </row>
    <row r="127" customFormat="false" ht="15" hidden="false" customHeight="false" outlineLevel="0" collapsed="false">
      <c r="C127" s="1" t="s">
        <v>178</v>
      </c>
      <c r="D127" s="12" t="s">
        <v>27</v>
      </c>
      <c r="E127" s="23" t="n">
        <f aca="false">Calc_1!$E90</f>
        <v>0.461007037155847</v>
      </c>
      <c r="H127" s="40" t="n">
        <v>0.461007037155847</v>
      </c>
      <c r="I127" s="40" t="n">
        <v>0.363683329311835</v>
      </c>
      <c r="J127" s="40" t="n">
        <v>0.461007037155847</v>
      </c>
      <c r="K127" s="40" t="n">
        <v>0.461007037155847</v>
      </c>
      <c r="L127" s="40" t="n">
        <v>0.437642925557491</v>
      </c>
      <c r="M127" s="40" t="n">
        <v>0.461007037155847</v>
      </c>
      <c r="N127" s="40" t="n">
        <v>0.461007037155847</v>
      </c>
      <c r="O127" s="40" t="n">
        <v>0.461007037155847</v>
      </c>
      <c r="P127" s="40" t="n">
        <v>0.456834297969829</v>
      </c>
      <c r="Q127" s="40" t="n">
        <v>0.461007037155847</v>
      </c>
      <c r="R127" s="40" t="n">
        <v>0.461007037155847</v>
      </c>
      <c r="S127" s="40" t="n">
        <v>0.461007037155847</v>
      </c>
      <c r="T127" s="40" t="n">
        <v>0.435575729676326</v>
      </c>
      <c r="U127" s="40" t="n">
        <v>0.666322849659133</v>
      </c>
      <c r="V127" s="40" t="n">
        <v>0.461007037155847</v>
      </c>
    </row>
    <row r="128" customFormat="false" ht="15" hidden="false" customHeight="false" outlineLevel="0" collapsed="false">
      <c r="C128" s="1" t="s">
        <v>179</v>
      </c>
      <c r="D128" s="12" t="s">
        <v>27</v>
      </c>
      <c r="E128" s="23" t="n">
        <f aca="false">Calc_2!$E90</f>
        <v>0.627342649123279</v>
      </c>
      <c r="H128" s="40" t="n">
        <v>0.627342649123279</v>
      </c>
      <c r="I128" s="40" t="n">
        <v>0.494903645419476</v>
      </c>
      <c r="J128" s="40" t="n">
        <v>0.627342649123279</v>
      </c>
      <c r="K128" s="40" t="n">
        <v>0.627342649123279</v>
      </c>
      <c r="L128" s="40" t="n">
        <v>0.604238939034509</v>
      </c>
      <c r="M128" s="40" t="n">
        <v>0.627342649123279</v>
      </c>
      <c r="N128" s="40" t="n">
        <v>0.627342649123279</v>
      </c>
      <c r="O128" s="40" t="n">
        <v>0.627342649123279</v>
      </c>
      <c r="P128" s="40" t="n">
        <v>0.621599857305284</v>
      </c>
      <c r="Q128" s="40" t="n">
        <v>0.627342649123279</v>
      </c>
      <c r="R128" s="40" t="n">
        <v>0.627342649123279</v>
      </c>
      <c r="S128" s="40" t="n">
        <v>0.627342649123279</v>
      </c>
      <c r="T128" s="40" t="n">
        <v>0.581167964143004</v>
      </c>
      <c r="U128" s="40" t="n">
        <v>0.666322849659133</v>
      </c>
      <c r="V128" s="40" t="n">
        <v>0.627342649123279</v>
      </c>
    </row>
    <row r="129" customFormat="false" ht="15" hidden="false" customHeight="false" outlineLevel="0" collapsed="false">
      <c r="C129" s="1" t="s">
        <v>180</v>
      </c>
      <c r="D129" s="12" t="s">
        <v>13</v>
      </c>
      <c r="E129" s="30" t="n">
        <f aca="false">Calc_1!$E107</f>
        <v>1.94143851704669</v>
      </c>
      <c r="H129" s="41" t="n">
        <v>1.94143851704669</v>
      </c>
      <c r="I129" s="41" t="n">
        <v>2.07531644800964</v>
      </c>
      <c r="J129" s="41" t="n">
        <v>1.94143851704669</v>
      </c>
      <c r="K129" s="41" t="n">
        <v>1.94143851704669</v>
      </c>
      <c r="L129" s="41" t="n">
        <v>1.95004289408903</v>
      </c>
      <c r="M129" s="41" t="n">
        <v>1.72392160338652</v>
      </c>
      <c r="N129" s="41" t="n">
        <v>2.1565891905875</v>
      </c>
      <c r="O129" s="41" t="n">
        <v>1.94143851704669</v>
      </c>
      <c r="P129" s="41" t="n">
        <v>1.82088539158087</v>
      </c>
      <c r="Q129" s="41" t="n">
        <v>1.43929214216058</v>
      </c>
      <c r="R129" s="41" t="n">
        <v>1.66864784943016</v>
      </c>
      <c r="S129" s="41" t="n">
        <v>1.96158434450089</v>
      </c>
      <c r="T129" s="41" t="n">
        <v>1.94777868118952</v>
      </c>
      <c r="U129" s="41" t="n">
        <v>1.96264794542234</v>
      </c>
      <c r="V129" s="41" t="n">
        <v>1.92442104995032</v>
      </c>
    </row>
    <row r="130" customFormat="false" ht="15" hidden="false" customHeight="false" outlineLevel="0" collapsed="false">
      <c r="C130" s="1" t="s">
        <v>181</v>
      </c>
      <c r="D130" s="12" t="s">
        <v>13</v>
      </c>
      <c r="E130" s="30" t="n">
        <f aca="false">Calc_2!$E107</f>
        <v>1.89052102074728</v>
      </c>
      <c r="H130" s="41" t="n">
        <v>1.89052102074728</v>
      </c>
      <c r="I130" s="41" t="n">
        <v>2.02901576168952</v>
      </c>
      <c r="J130" s="41" t="n">
        <v>1.89052102074728</v>
      </c>
      <c r="K130" s="41" t="n">
        <v>1.89052102074728</v>
      </c>
      <c r="L130" s="41" t="n">
        <v>1.8950471528747</v>
      </c>
      <c r="M130" s="41" t="n">
        <v>1.6811994798851</v>
      </c>
      <c r="N130" s="41" t="n">
        <v>2.11386706708607</v>
      </c>
      <c r="O130" s="41" t="n">
        <v>1.89052102074728</v>
      </c>
      <c r="P130" s="41" t="n">
        <v>1.7808678276339</v>
      </c>
      <c r="Q130" s="41" t="n">
        <v>1.40442022398132</v>
      </c>
      <c r="R130" s="41" t="n">
        <v>1.53763333735912</v>
      </c>
      <c r="S130" s="41" t="n">
        <v>1.92928511349184</v>
      </c>
      <c r="T130" s="41" t="n">
        <v>1.89114931677075</v>
      </c>
      <c r="U130" s="41" t="n">
        <v>1.96264794542234</v>
      </c>
      <c r="V130" s="41" t="n">
        <v>1.86581404584131</v>
      </c>
    </row>
    <row r="131" customFormat="false" ht="15" hidden="false" customHeight="false" outlineLevel="0" collapsed="false">
      <c r="C131" s="1" t="s">
        <v>182</v>
      </c>
      <c r="D131" s="12" t="s">
        <v>150</v>
      </c>
      <c r="E131" s="31" t="n">
        <f aca="false">Model_Checks</f>
        <v>0</v>
      </c>
      <c r="H131" s="42" t="n">
        <v>0</v>
      </c>
      <c r="I131" s="42" t="n">
        <v>0</v>
      </c>
      <c r="J131" s="42" t="n">
        <v>0</v>
      </c>
      <c r="K131" s="42" t="n">
        <v>0</v>
      </c>
      <c r="L131" s="42" t="n">
        <v>0</v>
      </c>
      <c r="M131" s="42" t="n">
        <v>0</v>
      </c>
      <c r="N131" s="42" t="n">
        <v>0</v>
      </c>
      <c r="O131" s="42" t="n">
        <v>0</v>
      </c>
      <c r="P131" s="42" t="n">
        <v>0</v>
      </c>
      <c r="Q131" s="42" t="n">
        <v>0</v>
      </c>
      <c r="R131" s="42" t="n">
        <v>0</v>
      </c>
      <c r="S131" s="42" t="n">
        <v>0</v>
      </c>
      <c r="T131" s="42" t="n">
        <v>0</v>
      </c>
      <c r="U131" s="42" t="n">
        <v>0</v>
      </c>
      <c r="V131" s="42" t="n">
        <v>0</v>
      </c>
    </row>
    <row r="132" customFormat="false" ht="15" hidden="false" customHeight="false" outlineLevel="0" collapsed="false">
      <c r="C132" s="1" t="s">
        <v>183</v>
      </c>
      <c r="D132" s="12" t="s">
        <v>150</v>
      </c>
      <c r="E132" s="31" t="n">
        <f aca="false">Model_Checks</f>
        <v>0</v>
      </c>
      <c r="H132" s="42" t="n">
        <v>0</v>
      </c>
      <c r="I132" s="42" t="n">
        <v>0</v>
      </c>
      <c r="J132" s="42" t="n">
        <v>0</v>
      </c>
      <c r="K132" s="42" t="n">
        <v>0</v>
      </c>
      <c r="L132" s="42" t="n">
        <v>0</v>
      </c>
      <c r="M132" s="42" t="n">
        <v>0</v>
      </c>
      <c r="N132" s="42" t="n">
        <v>0</v>
      </c>
      <c r="O132" s="42" t="n">
        <v>0</v>
      </c>
      <c r="P132" s="42" t="n">
        <v>0</v>
      </c>
      <c r="Q132" s="42" t="n">
        <v>0</v>
      </c>
      <c r="R132" s="42" t="n">
        <v>0</v>
      </c>
      <c r="S132" s="42" t="n">
        <v>0</v>
      </c>
      <c r="T132" s="42" t="n">
        <v>0</v>
      </c>
      <c r="U132" s="42" t="n">
        <v>0</v>
      </c>
      <c r="V132" s="42" t="n">
        <v>0</v>
      </c>
    </row>
    <row r="134" customFormat="false" ht="15" hidden="false" customHeight="false" outlineLevel="0" collapsed="false">
      <c r="C134" s="43" t="s">
        <v>184</v>
      </c>
    </row>
  </sheetData>
  <conditionalFormatting sqref="E23:F2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E8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dataValidations count="5">
    <dataValidation allowBlank="false" errorStyle="stop" operator="between" showDropDown="false" showErrorMessage="false" showInputMessage="false" sqref="E18:F18" type="list">
      <formula1>"0,1"</formula1>
      <formula2>0</formula2>
    </dataValidation>
    <dataValidation allowBlank="false" errorStyle="stop" operator="between" showDropDown="false" showErrorMessage="false" showInputMessage="false" sqref="E19:F19" type="list">
      <formula1>"0,1"</formula1>
      <formula2>0</formula2>
    </dataValidation>
    <dataValidation allowBlank="false" errorStyle="stop" operator="between" showDropDown="false" showErrorMessage="false" showInputMessage="false" sqref="E20:F20" type="list">
      <formula1>"0,1"</formula1>
      <formula2>0</formula2>
    </dataValidation>
    <dataValidation allowBlank="false" errorStyle="stop" operator="between" showDropDown="false" showErrorMessage="false" showInputMessage="false" sqref="E21:F21" type="list">
      <formula1>"0,1"</formula1>
      <formula2>0</formula2>
    </dataValidation>
    <dataValidation allowBlank="false" errorStyle="stop" operator="between" showDropDown="false" showErrorMessage="false" showInputMessage="false" sqref="Z12" type="list">
      <formula1>Scenario_Names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36"/>
    <col collapsed="false" customWidth="true" hidden="false" outlineLevel="0" max="5" min="5" style="1" width="2"/>
    <col collapsed="false" customWidth="true" hidden="false" outlineLevel="0" max="6" min="6" style="1" width="12"/>
    <col collapsed="false" customWidth="true" hidden="false" outlineLevel="0" max="7" min="7" style="1" width="2"/>
    <col collapsed="false" customWidth="true" hidden="false" outlineLevel="0" max="23" min="8" style="1" width="12"/>
    <col collapsed="false" customWidth="true" hidden="false" outlineLevel="0" max="24" min="24" style="1" width="2"/>
    <col collapsed="false" customWidth="false" hidden="true" outlineLevel="1" max="16384" min="25" style="1" width="13"/>
  </cols>
  <sheetData>
    <row r="2" customFormat="false" ht="15" hidden="false" customHeight="false" outlineLevel="0" collapsed="false">
      <c r="A2" s="2"/>
      <c r="B2" s="2" t="str">
        <f aca="false">Dashboard!$C$3&amp;" – Inputs and scenarios"</f>
        <v>Project Bana – Inputs and scenarios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15" hidden="false" customHeight="false" outlineLevel="0" collapsed="false">
      <c r="B4" s="1" t="s">
        <v>185</v>
      </c>
      <c r="D4" s="1" t="s">
        <v>186</v>
      </c>
      <c r="F4" s="44" t="str">
        <f aca="false">Scenario_Name</f>
        <v>Base: Raiffeisen</v>
      </c>
    </row>
    <row r="5" customFormat="false" ht="15" hidden="false" customHeight="false" outlineLevel="0" collapsed="false">
      <c r="B5" s="1" t="s">
        <v>187</v>
      </c>
      <c r="F5" s="45" t="n">
        <f aca="false">MATCH(Scenario_Name,Scenario_Names,0)</f>
        <v>1</v>
      </c>
    </row>
    <row r="7" customFormat="false" ht="15" hidden="false" customHeight="false" outlineLevel="0" collapsed="false">
      <c r="B7" s="8" t="s">
        <v>188</v>
      </c>
      <c r="C7" s="8" t="s">
        <v>8</v>
      </c>
      <c r="D7" s="8" t="s">
        <v>189</v>
      </c>
      <c r="F7" s="9" t="s">
        <v>12</v>
      </c>
      <c r="H7" s="46" t="s">
        <v>22</v>
      </c>
      <c r="I7" s="46" t="s">
        <v>190</v>
      </c>
      <c r="J7" s="46" t="s">
        <v>191</v>
      </c>
      <c r="K7" s="46" t="s">
        <v>192</v>
      </c>
      <c r="L7" s="46" t="s">
        <v>193</v>
      </c>
      <c r="M7" s="46" t="s">
        <v>194</v>
      </c>
      <c r="N7" s="46" t="s">
        <v>195</v>
      </c>
      <c r="O7" s="46" t="s">
        <v>196</v>
      </c>
      <c r="P7" s="46" t="s">
        <v>197</v>
      </c>
      <c r="Q7" s="46" t="s">
        <v>198</v>
      </c>
      <c r="R7" s="46" t="s">
        <v>199</v>
      </c>
      <c r="S7" s="46" t="s">
        <v>200</v>
      </c>
      <c r="T7" s="46" t="s">
        <v>201</v>
      </c>
      <c r="U7" s="46" t="s">
        <v>202</v>
      </c>
      <c r="V7" s="46" t="s">
        <v>203</v>
      </c>
      <c r="W7" s="9"/>
    </row>
    <row r="10" customFormat="false" ht="15" hidden="false" customHeight="false" outlineLevel="0" collapsed="false">
      <c r="A10" s="10" t="s">
        <v>13</v>
      </c>
      <c r="B10" s="10"/>
      <c r="C10" s="10" t="s">
        <v>204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customFormat="false" ht="15" hidden="false" customHeight="false" outlineLevel="0" collapsed="false">
      <c r="B11" s="1" t="s">
        <v>205</v>
      </c>
      <c r="C11" s="12" t="s">
        <v>150</v>
      </c>
      <c r="D11" s="14" t="s">
        <v>206</v>
      </c>
      <c r="F11" s="46" t="n">
        <v>1000</v>
      </c>
    </row>
    <row r="12" customFormat="false" ht="15" hidden="false" customHeight="false" outlineLevel="0" collapsed="false">
      <c r="B12" s="1" t="s">
        <v>207</v>
      </c>
      <c r="C12" s="12" t="s">
        <v>150</v>
      </c>
      <c r="D12" s="14" t="s">
        <v>206</v>
      </c>
      <c r="F12" s="46" t="n">
        <v>1000000</v>
      </c>
    </row>
    <row r="13" customFormat="false" ht="15" hidden="false" customHeight="false" outlineLevel="0" collapsed="false">
      <c r="B13" s="1" t="s">
        <v>208</v>
      </c>
      <c r="C13" s="12" t="s">
        <v>209</v>
      </c>
      <c r="D13" s="14" t="s">
        <v>210</v>
      </c>
      <c r="F13" s="46" t="n">
        <v>365</v>
      </c>
    </row>
    <row r="14" customFormat="false" ht="15" hidden="false" customHeight="false" outlineLevel="0" collapsed="false">
      <c r="B14" s="1" t="s">
        <v>211</v>
      </c>
      <c r="C14" s="12" t="s">
        <v>212</v>
      </c>
      <c r="F14" s="46" t="n">
        <v>12</v>
      </c>
    </row>
    <row r="15" customFormat="false" ht="15" hidden="false" customHeight="false" outlineLevel="0" collapsed="false">
      <c r="B15" s="1" t="s">
        <v>213</v>
      </c>
      <c r="C15" s="12" t="s">
        <v>212</v>
      </c>
      <c r="D15" s="14" t="s">
        <v>214</v>
      </c>
      <c r="F15" s="46" t="n">
        <v>3</v>
      </c>
    </row>
    <row r="16" customFormat="false" ht="15" hidden="false" customHeight="false" outlineLevel="0" collapsed="false">
      <c r="B16" s="1" t="s">
        <v>215</v>
      </c>
      <c r="C16" s="12" t="s">
        <v>150</v>
      </c>
      <c r="D16" s="14" t="s">
        <v>216</v>
      </c>
      <c r="F16" s="46" t="n">
        <v>1E-006</v>
      </c>
    </row>
    <row r="18" customFormat="false" ht="15" hidden="false" customHeight="false" outlineLevel="0" collapsed="false">
      <c r="A18" s="10" t="s">
        <v>13</v>
      </c>
      <c r="B18" s="10"/>
      <c r="C18" s="10" t="s">
        <v>217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customFormat="false" ht="15" hidden="false" customHeight="false" outlineLevel="0" collapsed="false">
      <c r="B19" s="1" t="s">
        <v>218</v>
      </c>
      <c r="C19" s="12" t="s">
        <v>38</v>
      </c>
      <c r="D19" s="14" t="s">
        <v>219</v>
      </c>
      <c r="F19" s="47" t="n">
        <f aca="false">IF(INDEX($H19:$W19,1,Scenario_Selected)="",$H19,INDEX($H19:$W19,1,Scenario_Selected))</f>
        <v>46296</v>
      </c>
      <c r="H19" s="5" t="n">
        <v>46296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customFormat="false" ht="15" hidden="false" customHeight="false" outlineLevel="0" collapsed="false">
      <c r="B20" s="1" t="s">
        <v>220</v>
      </c>
      <c r="C20" s="12" t="s">
        <v>27</v>
      </c>
      <c r="D20" s="14" t="s">
        <v>221</v>
      </c>
      <c r="F20" s="46" t="n">
        <v>0.1</v>
      </c>
    </row>
    <row r="21" customFormat="false" ht="15" hidden="false" customHeight="false" outlineLevel="0" collapsed="false">
      <c r="B21" s="1" t="s">
        <v>222</v>
      </c>
      <c r="C21" s="12" t="s">
        <v>38</v>
      </c>
      <c r="D21" s="14" t="s">
        <v>223</v>
      </c>
      <c r="F21" s="47" t="n">
        <f aca="false">IF(INDEX($H21:$W21,1,Scenario_Selected)="",$H21,INDEX($H21:$W21,1,Scenario_Selected))</f>
        <v>46325</v>
      </c>
      <c r="H21" s="5" t="n">
        <v>46325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customFormat="false" ht="15" hidden="false" customHeight="false" outlineLevel="0" collapsed="false">
      <c r="B22" s="1" t="s">
        <v>224</v>
      </c>
      <c r="C22" s="12" t="s">
        <v>38</v>
      </c>
      <c r="D22" s="14" t="s">
        <v>225</v>
      </c>
      <c r="F22" s="47" t="n">
        <f aca="false">IF(INDEX($H22:$W22,1,Scenario_Selected)="",$H22,INDEX($H22:$W22,1,Scenario_Selected))</f>
        <v>46369</v>
      </c>
      <c r="H22" s="5" t="n">
        <v>46369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customFormat="false" ht="15" hidden="false" customHeight="false" outlineLevel="0" collapsed="false">
      <c r="B23" s="1" t="s">
        <v>226</v>
      </c>
      <c r="C23" s="12" t="s">
        <v>38</v>
      </c>
      <c r="D23" s="14" t="s">
        <v>227</v>
      </c>
      <c r="F23" s="47" t="n">
        <f aca="false">IF(INDEX($H23:$W23,1,Scenario_Selected)="",$H23,INDEX($H23:$W23,1,Scenario_Selected))</f>
        <v>46418</v>
      </c>
      <c r="H23" s="5" t="n">
        <v>46418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15" hidden="false" customHeight="false" outlineLevel="0" collapsed="false">
      <c r="B24" s="1" t="s">
        <v>228</v>
      </c>
      <c r="C24" s="12" t="s">
        <v>209</v>
      </c>
      <c r="D24" s="14" t="s">
        <v>229</v>
      </c>
      <c r="F24" s="45" t="n">
        <f aca="false">IF(INDEX($H24:$W24,1,Scenario_Selected)="",$H24,INDEX($H24:$W24,1,Scenario_Selected))</f>
        <v>15</v>
      </c>
      <c r="H24" s="48" t="n">
        <v>15</v>
      </c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</row>
    <row r="25" customFormat="false" ht="15" hidden="false" customHeight="false" outlineLevel="0" collapsed="false">
      <c r="B25" s="1" t="s">
        <v>230</v>
      </c>
      <c r="C25" s="12" t="s">
        <v>38</v>
      </c>
      <c r="D25" s="14" t="s">
        <v>231</v>
      </c>
      <c r="F25" s="47" t="n">
        <f aca="false">IF(INDEX($H25:$W25,1,Scenario_Selected)="",$H25,INDEX($H25:$W25,1,Scenario_Selected))</f>
        <v>46387</v>
      </c>
      <c r="H25" s="5" t="n">
        <v>46387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15" hidden="false" customHeight="false" outlineLevel="0" collapsed="false">
      <c r="B26" s="1" t="s">
        <v>232</v>
      </c>
      <c r="C26" s="12" t="s">
        <v>38</v>
      </c>
      <c r="D26" s="14" t="s">
        <v>233</v>
      </c>
      <c r="F26" s="47" t="n">
        <f aca="false">IF(INDEX($H26:$W26,1,Scenario_Selected)="",$H26,INDEX($H26:$W26,1,Scenario_Selected))</f>
        <v>47026</v>
      </c>
      <c r="H26" s="5" t="n">
        <v>47026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15" hidden="false" customHeight="false" outlineLevel="0" collapsed="false">
      <c r="B27" s="1" t="s">
        <v>234</v>
      </c>
      <c r="C27" s="12" t="s">
        <v>38</v>
      </c>
      <c r="D27" s="14" t="s">
        <v>235</v>
      </c>
      <c r="F27" s="47" t="n">
        <f aca="false">IF(INDEX($H27:$W27,1,Scenario_Selected)="",$H27,INDEX($H27:$W27,1,Scenario_Selected))</f>
        <v>47126</v>
      </c>
      <c r="H27" s="5" t="n">
        <v>47126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15" hidden="false" customHeight="false" outlineLevel="0" collapsed="false">
      <c r="B28" s="1" t="s">
        <v>236</v>
      </c>
      <c r="C28" s="12" t="s">
        <v>38</v>
      </c>
      <c r="D28" s="14" t="s">
        <v>237</v>
      </c>
      <c r="F28" s="47" t="n">
        <f aca="false">IF(INDEX($H28:$W28,1,Scenario_Selected)="",$H28,INDEX($H28:$W28,1,Scenario_Selected))</f>
        <v>47756</v>
      </c>
      <c r="H28" s="5" t="n">
        <v>47756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15" hidden="false" customHeight="false" outlineLevel="0" collapsed="false">
      <c r="B29" s="1" t="s">
        <v>238</v>
      </c>
      <c r="C29" s="12" t="s">
        <v>66</v>
      </c>
      <c r="D29" s="14" t="s">
        <v>239</v>
      </c>
      <c r="F29" s="45" t="n">
        <f aca="false">IF(INDEX($H29:$W29,1,Scenario_Selected)="",$H29,INDEX($H29:$W29,1,Scenario_Selected))</f>
        <v>30</v>
      </c>
      <c r="H29" s="48" t="n">
        <v>30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</row>
    <row r="30" customFormat="false" ht="15" hidden="false" customHeight="false" outlineLevel="0" collapsed="false">
      <c r="B30" s="1" t="s">
        <v>240</v>
      </c>
      <c r="C30" s="12" t="s">
        <v>38</v>
      </c>
      <c r="D30" s="14" t="s">
        <v>241</v>
      </c>
      <c r="F30" s="47" t="n">
        <f aca="false">IF(INDEX($H30:$W30,1,Scenario_Selected)="",$H30,INDEX($H30:$W30,1,Scenario_Selected))</f>
        <v>48669</v>
      </c>
      <c r="H30" s="5" t="n">
        <v>48669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2" customFormat="false" ht="15" hidden="false" customHeight="false" outlineLevel="0" collapsed="false">
      <c r="A32" s="10" t="s">
        <v>13</v>
      </c>
      <c r="B32" s="10"/>
      <c r="C32" s="10" t="s">
        <v>242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customFormat="false" ht="15" hidden="false" customHeight="false" outlineLevel="0" collapsed="false">
      <c r="B33" s="1" t="s">
        <v>243</v>
      </c>
      <c r="C33" s="12" t="s">
        <v>79</v>
      </c>
      <c r="D33" s="14" t="s">
        <v>244</v>
      </c>
      <c r="F33" s="49" t="n">
        <f aca="false">IF(INDEX($H33:$W33,1,Scenario_Selected)="",$H33,INDEX($H33:$W33,1,Scenario_Selected))</f>
        <v>365</v>
      </c>
      <c r="H33" s="13" t="n">
        <v>365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15" hidden="false" customHeight="false" outlineLevel="0" collapsed="false">
      <c r="B34" s="1" t="s">
        <v>245</v>
      </c>
      <c r="C34" s="12" t="s">
        <v>33</v>
      </c>
      <c r="D34" s="14" t="s">
        <v>246</v>
      </c>
      <c r="F34" s="49" t="n">
        <f aca="false">IF(INDEX($H34:$W34,1,Scenario_Selected)="",$H34,INDEX($H34:$W34,1,Scenario_Selected))</f>
        <v>4500</v>
      </c>
      <c r="H34" s="13" t="n">
        <v>4500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15" hidden="false" customHeight="false" outlineLevel="0" collapsed="false">
      <c r="B35" s="1" t="s">
        <v>247</v>
      </c>
      <c r="C35" s="12" t="s">
        <v>33</v>
      </c>
      <c r="D35" s="14" t="s">
        <v>248</v>
      </c>
      <c r="F35" s="49" t="n">
        <f aca="false">IF(INDEX($H35:$W35,1,Scenario_Selected)="",$H35,INDEX($H35:$W35,1,Scenario_Selected))</f>
        <v>150</v>
      </c>
      <c r="H35" s="13" t="n">
        <v>150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15" hidden="false" customHeight="false" outlineLevel="0" collapsed="false">
      <c r="B36" s="1" t="s">
        <v>249</v>
      </c>
      <c r="C36" s="12" t="s">
        <v>33</v>
      </c>
      <c r="D36" s="14" t="s">
        <v>250</v>
      </c>
      <c r="F36" s="49" t="n">
        <f aca="false">IF(INDEX($H36:$W36,1,Scenario_Selected)="",$H36,INDEX($H36:$W36,1,Scenario_Selected))</f>
        <v>500</v>
      </c>
      <c r="H36" s="13" t="n">
        <v>500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15" hidden="false" customHeight="false" outlineLevel="0" collapsed="false">
      <c r="B37" s="1" t="s">
        <v>251</v>
      </c>
      <c r="C37" s="12" t="s">
        <v>19</v>
      </c>
      <c r="D37" s="14" t="s">
        <v>252</v>
      </c>
      <c r="F37" s="49" t="n">
        <f aca="false">IF(INDEX($H37:$W37,1,Scenario_Selected)="",$H37,INDEX($H37:$W37,1,Scenario_Selected))</f>
        <v>2450</v>
      </c>
      <c r="H37" s="13" t="n">
        <v>2450</v>
      </c>
      <c r="I37" s="13"/>
      <c r="J37" s="13" t="n">
        <f aca="false">H37*(1-Sens_Step)</f>
        <v>2205</v>
      </c>
      <c r="K37" s="13" t="n">
        <f aca="false">H37*(1+Sens_Step)</f>
        <v>2695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15" hidden="false" customHeight="false" outlineLevel="0" collapsed="false">
      <c r="B38" s="1" t="s">
        <v>253</v>
      </c>
      <c r="C38" s="12" t="s">
        <v>19</v>
      </c>
      <c r="D38" s="14" t="s">
        <v>254</v>
      </c>
      <c r="F38" s="49" t="n">
        <f aca="false">IF(INDEX($H38:$W38,1,Scenario_Selected)="",$H38,INDEX($H38:$W38,1,Scenario_Selected))</f>
        <v>2100</v>
      </c>
      <c r="H38" s="13" t="n">
        <v>2100</v>
      </c>
      <c r="I38" s="13"/>
      <c r="J38" s="13" t="n">
        <f aca="false">H38*(1-Sens_Step)</f>
        <v>1890</v>
      </c>
      <c r="K38" s="13" t="n">
        <f aca="false">H38*(1+Sens_Step)</f>
        <v>2310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15" hidden="false" customHeight="false" outlineLevel="0" collapsed="false">
      <c r="B39" s="1" t="s">
        <v>255</v>
      </c>
      <c r="C39" s="12" t="s">
        <v>33</v>
      </c>
      <c r="D39" s="14" t="s">
        <v>256</v>
      </c>
      <c r="F39" s="49" t="n">
        <f aca="false">IF(INDEX($H39:$W39,1,Scenario_Selected)="",$H39,INDEX($H39:$W39,1,Scenario_Selected))</f>
        <v>500</v>
      </c>
      <c r="H39" s="13" t="n">
        <v>500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15" hidden="false" customHeight="false" outlineLevel="0" collapsed="false">
      <c r="B40" s="1" t="s">
        <v>257</v>
      </c>
      <c r="C40" s="12" t="s">
        <v>27</v>
      </c>
      <c r="D40" s="14" t="s">
        <v>258</v>
      </c>
      <c r="F40" s="50" t="n">
        <f aca="false">IF(INDEX($H40:$W40,1,Scenario_Selected)="",$H40,INDEX($H40:$W40,1,Scenario_Selected))</f>
        <v>0.08</v>
      </c>
      <c r="H40" s="18" t="n">
        <v>0.08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customFormat="false" ht="15" hidden="false" customHeight="false" outlineLevel="0" collapsed="false">
      <c r="B41" s="1" t="s">
        <v>259</v>
      </c>
      <c r="C41" s="12" t="s">
        <v>27</v>
      </c>
      <c r="D41" s="14" t="s">
        <v>260</v>
      </c>
      <c r="F41" s="50" t="n">
        <f aca="false">IF(INDEX($H41:$W41,1,Scenario_Selected)="",$H41,INDEX($H41:$W41,1,Scenario_Selected))</f>
        <v>0.15</v>
      </c>
      <c r="H41" s="18" t="n">
        <v>0.15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n">
        <v>0.09</v>
      </c>
      <c r="T41" s="18"/>
      <c r="U41" s="18"/>
      <c r="V41" s="18"/>
    </row>
    <row r="42" customFormat="false" ht="15" hidden="false" customHeight="false" outlineLevel="0" collapsed="false">
      <c r="B42" s="1" t="s">
        <v>261</v>
      </c>
      <c r="C42" s="12" t="s">
        <v>43</v>
      </c>
      <c r="D42" s="14" t="s">
        <v>262</v>
      </c>
      <c r="F42" s="51" t="n">
        <f aca="false">IF(INDEX($H42:$W42,1,Scenario_Selected)="",$H42,INDEX($H42:$W42,1,Scenario_Selected))</f>
        <v>0</v>
      </c>
      <c r="H42" s="24" t="n">
        <v>0</v>
      </c>
      <c r="I42" s="24"/>
      <c r="J42" s="24"/>
      <c r="K42" s="24"/>
      <c r="L42" s="24"/>
      <c r="M42" s="24"/>
      <c r="N42" s="24"/>
      <c r="O42" s="24"/>
      <c r="P42" s="24"/>
      <c r="Q42" s="24"/>
      <c r="R42" s="24" t="n">
        <v>1</v>
      </c>
      <c r="S42" s="24"/>
      <c r="T42" s="24"/>
      <c r="U42" s="24"/>
      <c r="V42" s="24"/>
    </row>
    <row r="43" customFormat="false" ht="15" hidden="false" customHeight="false" outlineLevel="0" collapsed="false">
      <c r="B43" s="1" t="s">
        <v>263</v>
      </c>
      <c r="C43" s="12" t="s">
        <v>27</v>
      </c>
      <c r="D43" s="14" t="s">
        <v>264</v>
      </c>
      <c r="F43" s="50" t="n">
        <f aca="false">IF(INDEX($H43:$W43,1,Scenario_Selected)="",$H43,INDEX($H43:$W43,1,Scenario_Selected))</f>
        <v>0.31</v>
      </c>
      <c r="H43" s="18" t="n">
        <v>0.31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customFormat="false" ht="15" hidden="false" customHeight="false" outlineLevel="0" collapsed="false">
      <c r="B44" s="1" t="s">
        <v>265</v>
      </c>
      <c r="C44" s="12" t="s">
        <v>43</v>
      </c>
      <c r="D44" s="14" t="s">
        <v>266</v>
      </c>
      <c r="F44" s="51" t="n">
        <f aca="false">IF(INDEX($H44:$W44,1,Scenario_Selected)="",$H44,INDEX($H44:$W44,1,Scenario_Selected))</f>
        <v>0</v>
      </c>
      <c r="H44" s="24" t="n">
        <v>0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customFormat="false" ht="15" hidden="false" customHeight="false" outlineLevel="0" collapsed="false">
      <c r="B45" s="1" t="s">
        <v>267</v>
      </c>
      <c r="C45" s="12" t="s">
        <v>66</v>
      </c>
      <c r="D45" s="14" t="s">
        <v>268</v>
      </c>
      <c r="F45" s="45" t="n">
        <f aca="false">IF(INDEX($H45:$W45,1,Scenario_Selected)="",$H45,INDEX($H45:$W45,1,Scenario_Selected))</f>
        <v>20</v>
      </c>
      <c r="H45" s="48" t="n">
        <v>20</v>
      </c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</row>
    <row r="46" customFormat="false" ht="15" hidden="false" customHeight="false" outlineLevel="0" collapsed="false">
      <c r="B46" s="1" t="s">
        <v>269</v>
      </c>
      <c r="C46" s="12" t="s">
        <v>27</v>
      </c>
      <c r="D46" s="14" t="s">
        <v>270</v>
      </c>
      <c r="F46" s="50" t="n">
        <f aca="false">IF(INDEX($H46:$W46,1,Scenario_Selected)="",$H46,INDEX($H46:$W46,1,Scenario_Selected))</f>
        <v>0.5</v>
      </c>
      <c r="H46" s="18" t="n">
        <v>0.5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customFormat="false" ht="15" hidden="false" customHeight="false" outlineLevel="0" collapsed="false">
      <c r="B47" s="1" t="s">
        <v>271</v>
      </c>
      <c r="C47" s="12" t="s">
        <v>66</v>
      </c>
      <c r="D47" s="14" t="s">
        <v>272</v>
      </c>
      <c r="F47" s="45" t="n">
        <f aca="false">IF(INDEX($H47:$W47,1,Scenario_Selected)="",$H47,INDEX($H47:$W47,1,Scenario_Selected))</f>
        <v>5</v>
      </c>
      <c r="H47" s="48" t="n">
        <v>5</v>
      </c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</row>
    <row r="49" customFormat="false" ht="15" hidden="false" customHeight="false" outlineLevel="0" collapsed="false">
      <c r="A49" s="10" t="s">
        <v>13</v>
      </c>
      <c r="B49" s="10"/>
      <c r="C49" s="10" t="s">
        <v>273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customFormat="false" ht="15" hidden="false" customHeight="false" outlineLevel="0" collapsed="false">
      <c r="B50" s="1" t="s">
        <v>274</v>
      </c>
      <c r="C50" s="12" t="s">
        <v>150</v>
      </c>
      <c r="D50" s="14" t="s">
        <v>275</v>
      </c>
      <c r="F50" s="46" t="n">
        <v>2</v>
      </c>
    </row>
    <row r="51" customFormat="false" ht="15" hidden="false" customHeight="false" outlineLevel="0" collapsed="false">
      <c r="B51" s="1" t="s">
        <v>276</v>
      </c>
      <c r="C51" s="12" t="s">
        <v>77</v>
      </c>
      <c r="D51" s="14" t="s">
        <v>277</v>
      </c>
      <c r="F51" s="49" t="n">
        <f aca="false">IF(INDEX($H51:$W51,1,Scenario_Selected)="",$H51,INDEX($H51:$W51,1,Scenario_Selected))</f>
        <v>50</v>
      </c>
      <c r="H51" s="13" t="n">
        <v>50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15" hidden="false" customHeight="false" outlineLevel="0" collapsed="false">
      <c r="B52" s="1" t="s">
        <v>278</v>
      </c>
      <c r="C52" s="12" t="s">
        <v>27</v>
      </c>
      <c r="D52" s="14" t="s">
        <v>221</v>
      </c>
      <c r="F52" s="50" t="n">
        <f aca="false">IF(INDEX($H52:$W52,1,Scenario_Selected)="",$H52,INDEX($H52:$W52,1,Scenario_Selected))</f>
        <v>0.1</v>
      </c>
      <c r="H52" s="18" t="n">
        <v>0.1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 t="n">
        <v>0</v>
      </c>
      <c r="V52" s="18"/>
    </row>
    <row r="53" customFormat="false" ht="15" hidden="false" customHeight="false" outlineLevel="0" collapsed="false">
      <c r="B53" s="1" t="s">
        <v>279</v>
      </c>
      <c r="C53" s="12" t="s">
        <v>43</v>
      </c>
      <c r="D53" s="14" t="s">
        <v>280</v>
      </c>
      <c r="F53" s="51" t="n">
        <f aca="false">IF(INDEX($H53:$W53,1,Scenario_Selected)="",$H53,INDEX($H53:$W53,1,Scenario_Selected))</f>
        <v>1</v>
      </c>
      <c r="H53" s="24" t="n">
        <v>1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 t="n">
        <v>0</v>
      </c>
      <c r="V53" s="24"/>
    </row>
    <row r="54" customFormat="false" ht="15" hidden="false" customHeight="false" outlineLevel="0" collapsed="false">
      <c r="B54" s="1" t="s">
        <v>281</v>
      </c>
      <c r="C54" s="12" t="s">
        <v>27</v>
      </c>
      <c r="D54" s="14" t="s">
        <v>282</v>
      </c>
      <c r="F54" s="50" t="n">
        <f aca="false">IF(INDEX($H54:$W54,1,Scenario_Selected)="",$H54,INDEX($H54:$W54,1,Scenario_Selected))</f>
        <v>0</v>
      </c>
      <c r="H54" s="18" t="n">
        <v>0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 t="n">
        <v>0.5</v>
      </c>
      <c r="U54" s="18"/>
      <c r="V54" s="18"/>
    </row>
    <row r="55" customFormat="false" ht="15" hidden="false" customHeight="false" outlineLevel="0" collapsed="false">
      <c r="B55" s="1" t="s">
        <v>283</v>
      </c>
      <c r="C55" s="12" t="s">
        <v>27</v>
      </c>
      <c r="D55" s="14" t="s">
        <v>284</v>
      </c>
      <c r="F55" s="50" t="n">
        <f aca="false">IF(INDEX($H55:$W55,1,Scenario_Selected)="",$H55,INDEX($H55:$W55,1,Scenario_Selected))</f>
        <v>0.05</v>
      </c>
      <c r="H55" s="18" t="n">
        <v>0.05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customFormat="false" ht="15" hidden="false" customHeight="false" outlineLevel="0" collapsed="false">
      <c r="B56" s="1" t="s">
        <v>285</v>
      </c>
      <c r="C56" s="12" t="s">
        <v>43</v>
      </c>
      <c r="D56" s="14" t="s">
        <v>221</v>
      </c>
      <c r="F56" s="51" t="n">
        <f aca="false">IF(INDEX($H56:$W56,1,Scenario_Selected)="",$H56,INDEX($H56:$W56,1,Scenario_Selected))</f>
        <v>1</v>
      </c>
      <c r="H56" s="24" t="n">
        <v>1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 t="n">
        <v>0</v>
      </c>
      <c r="V56" s="24"/>
    </row>
    <row r="57" customFormat="false" ht="15" hidden="false" customHeight="false" outlineLevel="0" collapsed="false">
      <c r="B57" s="1" t="s">
        <v>286</v>
      </c>
      <c r="C57" s="12" t="s">
        <v>35</v>
      </c>
      <c r="D57" s="14" t="s">
        <v>287</v>
      </c>
      <c r="F57" s="37" t="n">
        <f aca="false">IF(INDEX($H57:$W57,1,Scenario_Selected)="",$H57,INDEX($H57:$W57,1,Scenario_Selected))</f>
        <v>4</v>
      </c>
      <c r="H57" s="20" t="n">
        <v>4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customFormat="false" ht="15" hidden="false" customHeight="false" outlineLevel="0" collapsed="false">
      <c r="B58" s="1" t="s">
        <v>288</v>
      </c>
      <c r="C58" s="12" t="s">
        <v>27</v>
      </c>
      <c r="D58" s="14" t="s">
        <v>289</v>
      </c>
      <c r="F58" s="50" t="n">
        <f aca="false">IF(INDEX($H58:$W58,1,Scenario_Selected)="",$H58,INDEX($H58:$W58,1,Scenario_Selected))</f>
        <v>0.1</v>
      </c>
      <c r="H58" s="18" t="n">
        <v>0.1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customFormat="false" ht="15" hidden="false" customHeight="false" outlineLevel="0" collapsed="false">
      <c r="B59" s="1" t="s">
        <v>290</v>
      </c>
      <c r="C59" s="12" t="s">
        <v>43</v>
      </c>
      <c r="D59" s="14" t="s">
        <v>291</v>
      </c>
      <c r="F59" s="51" t="n">
        <f aca="false">IF(INDEX($H59:$W59,1,Scenario_Selected)="",$H59,INDEX($H59:$W59,1,Scenario_Selected))</f>
        <v>1</v>
      </c>
      <c r="H59" s="24" t="n">
        <v>1</v>
      </c>
      <c r="I59" s="24"/>
      <c r="J59" s="24"/>
      <c r="K59" s="24"/>
      <c r="L59" s="24"/>
      <c r="M59" s="24"/>
      <c r="N59" s="24"/>
      <c r="O59" s="24" t="n">
        <v>2</v>
      </c>
      <c r="P59" s="24"/>
      <c r="Q59" s="24"/>
      <c r="R59" s="24"/>
      <c r="S59" s="24"/>
      <c r="T59" s="24"/>
      <c r="U59" s="24" t="n">
        <v>2</v>
      </c>
      <c r="V59" s="24"/>
    </row>
    <row r="60" customFormat="false" ht="15" hidden="false" customHeight="false" outlineLevel="0" collapsed="false">
      <c r="B60" s="1" t="s">
        <v>292</v>
      </c>
      <c r="C60" s="12" t="s">
        <v>212</v>
      </c>
      <c r="D60" s="14" t="s">
        <v>293</v>
      </c>
      <c r="F60" s="45" t="n">
        <f aca="false">IF(INDEX($H60:$W60,1,Scenario_Selected)="",$H60,INDEX($H60:$W60,1,Scenario_Selected))</f>
        <v>6</v>
      </c>
      <c r="H60" s="48" t="n">
        <v>6</v>
      </c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</row>
    <row r="61" customFormat="false" ht="15" hidden="false" customHeight="false" outlineLevel="0" collapsed="false">
      <c r="B61" s="1" t="s">
        <v>294</v>
      </c>
      <c r="C61" s="12" t="s">
        <v>295</v>
      </c>
      <c r="D61" s="14" t="s">
        <v>296</v>
      </c>
      <c r="F61" s="49" t="n">
        <f aca="false">IF(INDEX($H61:$W61,1,Scenario_Selected)="",$H61,INDEX($H61:$W61,1,Scenario_Selected))</f>
        <v>200</v>
      </c>
      <c r="H61" s="13" t="n">
        <v>200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15" hidden="false" customHeight="false" outlineLevel="0" collapsed="false">
      <c r="B62" s="1" t="s">
        <v>297</v>
      </c>
      <c r="C62" s="12" t="s">
        <v>298</v>
      </c>
      <c r="D62" s="14" t="s">
        <v>296</v>
      </c>
      <c r="F62" s="49" t="n">
        <f aca="false">IF(INDEX($H62:$W62,1,Scenario_Selected)="",$H62,INDEX($H62:$W62,1,Scenario_Selected))</f>
        <v>406</v>
      </c>
      <c r="H62" s="13" t="n">
        <v>406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15" hidden="false" customHeight="false" outlineLevel="0" collapsed="false">
      <c r="B63" s="1" t="s">
        <v>299</v>
      </c>
      <c r="C63" s="12" t="s">
        <v>300</v>
      </c>
      <c r="D63" s="14" t="s">
        <v>301</v>
      </c>
      <c r="F63" s="37" t="n">
        <f aca="false">IF(INDEX($H63:$W63,1,Scenario_Selected)="",$H63,INDEX($H63:$W63,1,Scenario_Selected))</f>
        <v>3</v>
      </c>
      <c r="H63" s="20" t="n">
        <v>3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customFormat="false" ht="15" hidden="false" customHeight="false" outlineLevel="0" collapsed="false">
      <c r="B64" s="1" t="s">
        <v>302</v>
      </c>
      <c r="C64" s="12" t="s">
        <v>27</v>
      </c>
      <c r="D64" s="14" t="s">
        <v>303</v>
      </c>
      <c r="F64" s="52" t="n">
        <f aca="false">IF(INDEX($H64:$W64,1,Scenario_Selected)="",$H64,INDEX($H64:$W64,1,Scenario_Selected))</f>
        <v>0.005</v>
      </c>
      <c r="H64" s="53" t="n">
        <v>0.005</v>
      </c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customFormat="false" ht="15" hidden="false" customHeight="false" outlineLevel="0" collapsed="false">
      <c r="B65" s="1" t="s">
        <v>304</v>
      </c>
      <c r="C65" s="12" t="s">
        <v>27</v>
      </c>
      <c r="D65" s="14" t="s">
        <v>305</v>
      </c>
      <c r="F65" s="52" t="n">
        <f aca="false">IF(INDEX($H65:$W65,1,Scenario_Selected)="",$H65,INDEX($H65:$W65,1,Scenario_Selected))</f>
        <v>0.025</v>
      </c>
      <c r="H65" s="53" t="n">
        <v>0.025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customFormat="false" ht="15" hidden="false" customHeight="false" outlineLevel="0" collapsed="false">
      <c r="B66" s="1" t="s">
        <v>306</v>
      </c>
      <c r="C66" s="12" t="s">
        <v>307</v>
      </c>
      <c r="D66" s="14" t="s">
        <v>308</v>
      </c>
      <c r="F66" s="37" t="n">
        <f aca="false">IF(INDEX($H66:$W66,1,Scenario_Selected)="",$H66,INDEX($H66:$W66,1,Scenario_Selected))</f>
        <v>4.5</v>
      </c>
      <c r="H66" s="20" t="n">
        <v>4.5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customFormat="false" ht="15" hidden="false" customHeight="false" outlineLevel="0" collapsed="false">
      <c r="B67" s="1" t="s">
        <v>309</v>
      </c>
      <c r="C67" s="12" t="s">
        <v>300</v>
      </c>
      <c r="D67" s="14" t="s">
        <v>310</v>
      </c>
      <c r="F67" s="37" t="n">
        <f aca="false">IF(INDEX($H67:$W67,1,Scenario_Selected)="",$H67,INDEX($H67:$W67,1,Scenario_Selected))</f>
        <v>460</v>
      </c>
      <c r="H67" s="20" t="n">
        <v>460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customFormat="false" ht="15" hidden="false" customHeight="false" outlineLevel="0" collapsed="false">
      <c r="B68" s="1" t="s">
        <v>311</v>
      </c>
      <c r="C68" s="12" t="s">
        <v>307</v>
      </c>
      <c r="D68" s="14" t="s">
        <v>312</v>
      </c>
      <c r="F68" s="33" t="n">
        <f aca="false">IF(INDEX($H68:$W68,1,Scenario_Selected)="",$H68,INDEX($H68:$W68,1,Scenario_Selected))</f>
        <v>54.830209</v>
      </c>
      <c r="H68" s="17" t="n">
        <v>54.830209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customFormat="false" ht="15" hidden="false" customHeight="false" outlineLevel="0" collapsed="false">
      <c r="B69" s="1" t="s">
        <v>313</v>
      </c>
      <c r="C69" s="12" t="s">
        <v>27</v>
      </c>
      <c r="D69" s="14" t="s">
        <v>314</v>
      </c>
      <c r="F69" s="50" t="n">
        <f aca="false">IF(INDEX($H69:$W69,1,Scenario_Selected)="",$H69,INDEX($H69:$W69,1,Scenario_Selected))</f>
        <v>0.06</v>
      </c>
      <c r="H69" s="18" t="n">
        <v>0.06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1" customFormat="false" ht="15" hidden="false" customHeight="false" outlineLevel="0" collapsed="false">
      <c r="A71" s="10" t="s">
        <v>13</v>
      </c>
      <c r="B71" s="10"/>
      <c r="C71" s="10" t="s">
        <v>315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customFormat="false" ht="15" hidden="false" customHeight="false" outlineLevel="0" collapsed="false">
      <c r="B72" s="1" t="s">
        <v>316</v>
      </c>
      <c r="C72" s="12" t="s">
        <v>19</v>
      </c>
      <c r="D72" s="14" t="s">
        <v>317</v>
      </c>
      <c r="F72" s="49" t="n">
        <f aca="false">IF(INDEX($H72:$W72,1,Scenario_Selected)="",$H72,INDEX($H72:$W72,1,Scenario_Selected))</f>
        <v>950</v>
      </c>
      <c r="H72" s="13" t="n">
        <v>950</v>
      </c>
      <c r="I72" s="13"/>
      <c r="J72" s="13"/>
      <c r="K72" s="13"/>
      <c r="L72" s="13" t="n">
        <f aca="false">H72*(1+Sens_Step)</f>
        <v>1045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15" hidden="false" customHeight="false" outlineLevel="0" collapsed="false">
      <c r="B73" s="1" t="s">
        <v>318</v>
      </c>
      <c r="C73" s="12" t="s">
        <v>19</v>
      </c>
      <c r="D73" s="14" t="s">
        <v>319</v>
      </c>
      <c r="F73" s="49" t="n">
        <f aca="false">IF(INDEX($H73:$W73,1,Scenario_Selected)="",$H73,INDEX($H73:$W73,1,Scenario_Selected))</f>
        <v>500</v>
      </c>
      <c r="H73" s="13" t="n">
        <v>500</v>
      </c>
      <c r="I73" s="13"/>
      <c r="J73" s="13"/>
      <c r="K73" s="13"/>
      <c r="L73" s="13" t="n">
        <f aca="false">H73*(1+Sens_Step)</f>
        <v>550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15" hidden="false" customHeight="false" outlineLevel="0" collapsed="false">
      <c r="B74" s="1" t="s">
        <v>320</v>
      </c>
      <c r="C74" s="12" t="s">
        <v>19</v>
      </c>
      <c r="D74" s="14" t="s">
        <v>321</v>
      </c>
      <c r="F74" s="49" t="n">
        <f aca="false">IF(INDEX($H74:$W74,1,Scenario_Selected)="",$H74,INDEX($H74:$W74,1,Scenario_Selected))</f>
        <v>355</v>
      </c>
      <c r="H74" s="13" t="n">
        <v>355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15" hidden="false" customHeight="false" outlineLevel="0" collapsed="false">
      <c r="B75" s="1" t="s">
        <v>322</v>
      </c>
      <c r="C75" s="12" t="s">
        <v>33</v>
      </c>
      <c r="D75" s="14" t="s">
        <v>323</v>
      </c>
      <c r="F75" s="49" t="n">
        <f aca="false">IF(INDEX($H75:$W75,1,Scenario_Selected)="",$H75,INDEX($H75:$W75,1,Scenario_Selected))</f>
        <v>12000</v>
      </c>
      <c r="H75" s="13" t="n">
        <v>12000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15" hidden="false" customHeight="false" outlineLevel="0" collapsed="false">
      <c r="B76" s="1" t="s">
        <v>324</v>
      </c>
      <c r="C76" s="12" t="s">
        <v>33</v>
      </c>
      <c r="D76" s="14" t="s">
        <v>325</v>
      </c>
      <c r="F76" s="49" t="n">
        <f aca="false">IF(INDEX($H76:$W76,1,Scenario_Selected)="",$H76,INDEX($H76:$W76,1,Scenario_Selected))</f>
        <v>10800</v>
      </c>
      <c r="H76" s="13" t="n">
        <v>10800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5" hidden="false" customHeight="false" outlineLevel="0" collapsed="false">
      <c r="B77" s="1" t="s">
        <v>326</v>
      </c>
      <c r="C77" s="12" t="s">
        <v>27</v>
      </c>
      <c r="D77" s="14" t="s">
        <v>327</v>
      </c>
      <c r="F77" s="50" t="n">
        <f aca="false">IF(INDEX($H77:$W77,1,Scenario_Selected)="",$H77,INDEX($H77:$W77,1,Scenario_Selected))</f>
        <v>0.05</v>
      </c>
      <c r="H77" s="18" t="n">
        <v>0.05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customFormat="false" ht="15" hidden="false" customHeight="false" outlineLevel="0" collapsed="false">
      <c r="B78" s="1" t="s">
        <v>328</v>
      </c>
      <c r="C78" s="12" t="s">
        <v>329</v>
      </c>
      <c r="D78" s="14" t="s">
        <v>280</v>
      </c>
      <c r="F78" s="49" t="n">
        <f aca="false">IF(INDEX($H78:$W78,1,Scenario_Selected)="",$H78,INDEX($H78:$W78,1,Scenario_Selected))</f>
        <v>100</v>
      </c>
      <c r="H78" s="13" t="n">
        <v>100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80" customFormat="false" ht="15" hidden="false" customHeight="false" outlineLevel="0" collapsed="false">
      <c r="A80" s="10" t="s">
        <v>13</v>
      </c>
      <c r="B80" s="10"/>
      <c r="C80" s="10" t="s">
        <v>330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customFormat="false" ht="15" hidden="false" customHeight="false" outlineLevel="0" collapsed="false">
      <c r="B81" s="1" t="s">
        <v>56</v>
      </c>
      <c r="C81" s="12" t="s">
        <v>57</v>
      </c>
      <c r="D81" s="14" t="s">
        <v>221</v>
      </c>
      <c r="F81" s="49" t="n">
        <f aca="false">IF(INDEX($H81:$W81,1,Scenario_Selected)="",$H81,INDEX($H81:$W81,1,Scenario_Selected))</f>
        <v>2600</v>
      </c>
      <c r="H81" s="13" t="n">
        <v>2600</v>
      </c>
      <c r="I81" s="13"/>
      <c r="J81" s="13"/>
      <c r="K81" s="13"/>
      <c r="L81" s="13"/>
      <c r="M81" s="13" t="n">
        <f aca="false">H81*(1-Sens_Step)</f>
        <v>2340</v>
      </c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5" hidden="false" customHeight="false" outlineLevel="0" collapsed="false">
      <c r="B82" s="1" t="s">
        <v>331</v>
      </c>
      <c r="C82" s="12" t="s">
        <v>27</v>
      </c>
      <c r="D82" s="14" t="s">
        <v>332</v>
      </c>
      <c r="F82" s="50" t="n">
        <f aca="false">IF(INDEX($H82:$W82,1,Scenario_Selected)="",$H82,INDEX($H82:$W82,1,Scenario_Selected))</f>
        <v>0.02</v>
      </c>
      <c r="H82" s="18" t="n">
        <v>0.02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customFormat="false" ht="15" hidden="false" customHeight="false" outlineLevel="0" collapsed="false">
      <c r="B83" s="1" t="s">
        <v>333</v>
      </c>
      <c r="C83" s="12" t="s">
        <v>27</v>
      </c>
      <c r="D83" s="14" t="s">
        <v>334</v>
      </c>
      <c r="F83" s="52" t="n">
        <f aca="false">IF(INDEX($H83:$W83,1,Scenario_Selected)="",$H83,INDEX($H83:$W83,1,Scenario_Selected))</f>
        <v>0.003</v>
      </c>
      <c r="H83" s="53" t="n">
        <v>0.003</v>
      </c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customFormat="false" ht="15" hidden="false" customHeight="false" outlineLevel="0" collapsed="false">
      <c r="B84" s="1" t="s">
        <v>335</v>
      </c>
      <c r="C84" s="12" t="s">
        <v>24</v>
      </c>
      <c r="D84" s="14" t="s">
        <v>221</v>
      </c>
      <c r="F84" s="37" t="n">
        <f aca="false">IF(INDEX($H84:$W84,1,Scenario_Selected)="",$H84,INDEX($H84:$W84,1,Scenario_Selected))</f>
        <v>90</v>
      </c>
      <c r="H84" s="20" t="n">
        <v>90</v>
      </c>
      <c r="I84" s="20"/>
      <c r="J84" s="20"/>
      <c r="K84" s="20"/>
      <c r="L84" s="20"/>
      <c r="M84" s="20"/>
      <c r="N84" s="20" t="n">
        <v>99</v>
      </c>
      <c r="O84" s="20"/>
      <c r="P84" s="20"/>
      <c r="Q84" s="20"/>
      <c r="R84" s="20"/>
      <c r="S84" s="20"/>
      <c r="T84" s="20"/>
      <c r="U84" s="20"/>
      <c r="V84" s="20"/>
    </row>
    <row r="85" customFormat="false" ht="15" hidden="false" customHeight="false" outlineLevel="0" collapsed="false">
      <c r="B85" s="1" t="s">
        <v>336</v>
      </c>
      <c r="C85" s="12" t="s">
        <v>27</v>
      </c>
      <c r="D85" s="14" t="s">
        <v>337</v>
      </c>
      <c r="F85" s="50" t="n">
        <f aca="false">IF(INDEX($H85:$W85,1,Scenario_Selected)="",$H85,INDEX($H85:$W85,1,Scenario_Selected))</f>
        <v>0.01</v>
      </c>
      <c r="H85" s="18" t="n">
        <v>0.01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customFormat="false" ht="15" hidden="false" customHeight="false" outlineLevel="0" collapsed="false">
      <c r="B86" s="1" t="s">
        <v>338</v>
      </c>
      <c r="C86" s="12" t="s">
        <v>24</v>
      </c>
      <c r="D86" s="14" t="s">
        <v>339</v>
      </c>
      <c r="F86" s="37" t="n">
        <f aca="false">IF(INDEX($H86:$W86,1,Scenario_Selected)="",$H86,INDEX($H86:$W86,1,Scenario_Selected))</f>
        <v>5</v>
      </c>
      <c r="H86" s="20" t="n">
        <v>5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customFormat="false" ht="15" hidden="false" customHeight="false" outlineLevel="0" collapsed="false">
      <c r="B87" s="1" t="s">
        <v>340</v>
      </c>
      <c r="C87" s="12" t="s">
        <v>19</v>
      </c>
      <c r="D87" s="14" t="s">
        <v>341</v>
      </c>
      <c r="F87" s="49" t="n">
        <f aca="false">IF(INDEX($H87:$W87,1,Scenario_Selected)="",$H87,INDEX($H87:$W87,1,Scenario_Selected))</f>
        <v>22</v>
      </c>
      <c r="H87" s="13" t="n">
        <v>22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customFormat="false" ht="15" hidden="false" customHeight="false" outlineLevel="0" collapsed="false">
      <c r="B88" s="1" t="s">
        <v>342</v>
      </c>
      <c r="C88" s="12" t="s">
        <v>19</v>
      </c>
      <c r="D88" s="14" t="s">
        <v>343</v>
      </c>
      <c r="F88" s="49" t="n">
        <f aca="false">IF(INDEX($H88:$W88,1,Scenario_Selected)="",$H88,INDEX($H88:$W88,1,Scenario_Selected))</f>
        <v>3</v>
      </c>
      <c r="H88" s="13" t="n">
        <v>3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customFormat="false" ht="15" hidden="false" customHeight="false" outlineLevel="0" collapsed="false">
      <c r="B89" s="1" t="s">
        <v>344</v>
      </c>
      <c r="C89" s="12" t="s">
        <v>33</v>
      </c>
      <c r="D89" s="14" t="s">
        <v>345</v>
      </c>
      <c r="F89" s="49" t="n">
        <f aca="false">IF(INDEX($H89:$W89,1,Scenario_Selected)="",$H89,INDEX($H89:$W89,1,Scenario_Selected))</f>
        <v>150</v>
      </c>
      <c r="H89" s="13" t="n">
        <v>150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customFormat="false" ht="15" hidden="false" customHeight="false" outlineLevel="0" collapsed="false">
      <c r="B90" s="1" t="s">
        <v>346</v>
      </c>
      <c r="C90" s="12" t="s">
        <v>27</v>
      </c>
      <c r="D90" s="14" t="s">
        <v>347</v>
      </c>
      <c r="F90" s="50" t="n">
        <f aca="false">IF(INDEX($H90:$W90,1,Scenario_Selected)="",$H90,INDEX($H90:$W90,1,Scenario_Selected))</f>
        <v>0.05</v>
      </c>
      <c r="H90" s="18" t="n">
        <v>0.05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customFormat="false" ht="15" hidden="false" customHeight="false" outlineLevel="0" collapsed="false">
      <c r="B91" s="1" t="s">
        <v>348</v>
      </c>
      <c r="C91" s="12" t="s">
        <v>27</v>
      </c>
      <c r="D91" s="14" t="s">
        <v>349</v>
      </c>
      <c r="F91" s="50" t="n">
        <f aca="false">IF(INDEX($H91:$W91,1,Scenario_Selected)="",$H91,INDEX($H91:$W91,1,Scenario_Selected))</f>
        <v>0.025</v>
      </c>
      <c r="H91" s="18" t="n">
        <v>0.025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customFormat="false" ht="15" hidden="false" customHeight="false" outlineLevel="0" collapsed="false">
      <c r="B92" s="1" t="s">
        <v>350</v>
      </c>
      <c r="C92" s="12" t="s">
        <v>27</v>
      </c>
      <c r="D92" s="14" t="s">
        <v>351</v>
      </c>
      <c r="F92" s="52" t="n">
        <f aca="false">IF(INDEX($H92:$W92,1,Scenario_Selected)="",$H92,INDEX($H92:$W92,1,Scenario_Selected))</f>
        <v>0.001</v>
      </c>
      <c r="H92" s="53" t="n">
        <v>0.001</v>
      </c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customFormat="false" ht="15" hidden="false" customHeight="false" outlineLevel="0" collapsed="false">
      <c r="B93" s="1" t="s">
        <v>352</v>
      </c>
      <c r="C93" s="12" t="s">
        <v>27</v>
      </c>
      <c r="D93" s="14" t="s">
        <v>353</v>
      </c>
      <c r="F93" s="50" t="n">
        <f aca="false">IF(INDEX($H93:$W93,1,Scenario_Selected)="",$H93,INDEX($H93:$W93,1,Scenario_Selected))</f>
        <v>0.02</v>
      </c>
      <c r="H93" s="18" t="n">
        <v>0.02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customFormat="false" ht="15" hidden="false" customHeight="false" outlineLevel="0" collapsed="false">
      <c r="B94" s="1" t="s">
        <v>354</v>
      </c>
      <c r="C94" s="12" t="s">
        <v>27</v>
      </c>
      <c r="D94" s="14" t="s">
        <v>355</v>
      </c>
      <c r="F94" s="52" t="n">
        <f aca="false">IF(INDEX($H94:$W94,1,Scenario_Selected)="",$H94,INDEX($H94:$W94,1,Scenario_Selected))</f>
        <v>0.003</v>
      </c>
      <c r="H94" s="53" t="n">
        <v>0.003</v>
      </c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6" customFormat="false" ht="15" hidden="false" customHeight="false" outlineLevel="0" collapsed="false">
      <c r="A96" s="10" t="s">
        <v>13</v>
      </c>
      <c r="B96" s="10"/>
      <c r="C96" s="10" t="s">
        <v>356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customFormat="false" ht="15" hidden="false" customHeight="false" outlineLevel="0" collapsed="false">
      <c r="B97" s="1" t="s">
        <v>357</v>
      </c>
      <c r="C97" s="12" t="s">
        <v>19</v>
      </c>
      <c r="D97" s="14" t="s">
        <v>358</v>
      </c>
      <c r="F97" s="49" t="n">
        <f aca="false">IF(INDEX($H97:$W97,1,Scenario_Selected)="",$H97,INDEX($H97:$W97,1,Scenario_Selected))</f>
        <v>900</v>
      </c>
      <c r="H97" s="13" t="n">
        <v>900</v>
      </c>
      <c r="I97" s="13" t="n">
        <v>710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customFormat="false" ht="15" hidden="false" customHeight="false" outlineLevel="0" collapsed="false">
      <c r="B98" s="1" t="s">
        <v>359</v>
      </c>
      <c r="C98" s="12" t="s">
        <v>27</v>
      </c>
      <c r="D98" s="14" t="s">
        <v>360</v>
      </c>
      <c r="F98" s="50" t="n">
        <f aca="false">IF(INDEX($H98:$W98,1,Scenario_Selected)="",$H98,INDEX($H98:$W98,1,Scenario_Selected))</f>
        <v>0.7</v>
      </c>
      <c r="H98" s="18" t="n">
        <v>0.7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customFormat="false" ht="15" hidden="false" customHeight="false" outlineLevel="0" collapsed="false">
      <c r="B99" s="1" t="s">
        <v>361</v>
      </c>
      <c r="C99" s="12" t="s">
        <v>27</v>
      </c>
      <c r="D99" s="14" t="s">
        <v>362</v>
      </c>
      <c r="F99" s="50" t="n">
        <f aca="false">IF(INDEX($H99:$W99,1,Scenario_Selected)="",$H99,INDEX($H99:$W99,1,Scenario_Selected))</f>
        <v>0</v>
      </c>
      <c r="H99" s="18" t="n">
        <v>0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 t="n">
        <v>1</v>
      </c>
    </row>
    <row r="100" customFormat="false" ht="15" hidden="false" customHeight="false" outlineLevel="0" collapsed="false">
      <c r="B100" s="1" t="s">
        <v>133</v>
      </c>
      <c r="C100" s="12" t="s">
        <v>13</v>
      </c>
      <c r="D100" s="14" t="s">
        <v>363</v>
      </c>
      <c r="F100" s="54" t="n">
        <f aca="false">IF(INDEX($H100:$W100,1,Scenario_Selected)="",$H100,INDEX($H100:$W100,1,Scenario_Selected))</f>
        <v>1.1</v>
      </c>
      <c r="H100" s="22" t="n">
        <v>1.1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customFormat="false" ht="15" hidden="false" customHeight="false" outlineLevel="0" collapsed="false">
      <c r="B101" s="1" t="s">
        <v>136</v>
      </c>
      <c r="C101" s="12" t="s">
        <v>13</v>
      </c>
      <c r="D101" s="14" t="s">
        <v>363</v>
      </c>
      <c r="F101" s="54" t="n">
        <f aca="false">IF(INDEX($H101:$W101,1,Scenario_Selected)="",$H101,INDEX($H101:$W101,1,Scenario_Selected))</f>
        <v>1.2</v>
      </c>
      <c r="H101" s="22" t="n">
        <v>1.2</v>
      </c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customFormat="false" ht="15" hidden="false" customHeight="false" outlineLevel="0" collapsed="false">
      <c r="B102" s="1" t="s">
        <v>364</v>
      </c>
      <c r="C102" s="12" t="s">
        <v>13</v>
      </c>
      <c r="D102" s="14" t="s">
        <v>365</v>
      </c>
      <c r="F102" s="54" t="n">
        <f aca="false">IF(INDEX($H102:$W102,1,Scenario_Selected)="",$H102,INDEX($H102:$W102,1,Scenario_Selected))</f>
        <v>1.2</v>
      </c>
      <c r="H102" s="22" t="n">
        <v>1.2</v>
      </c>
      <c r="I102" s="22" t="n">
        <v>1.3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customFormat="false" ht="15" hidden="false" customHeight="false" outlineLevel="0" collapsed="false">
      <c r="B103" s="1" t="s">
        <v>366</v>
      </c>
      <c r="C103" s="12" t="s">
        <v>66</v>
      </c>
      <c r="D103" s="14" t="s">
        <v>367</v>
      </c>
      <c r="F103" s="45" t="n">
        <f aca="false">IF(INDEX($H103:$W103,1,Scenario_Selected)="",$H103,INDEX($H103:$W103,1,Scenario_Selected))</f>
        <v>15</v>
      </c>
      <c r="H103" s="48" t="n">
        <v>15</v>
      </c>
      <c r="I103" s="48" t="n">
        <v>12</v>
      </c>
      <c r="J103" s="48"/>
      <c r="K103" s="48"/>
      <c r="L103" s="48"/>
      <c r="M103" s="48"/>
      <c r="N103" s="48"/>
      <c r="O103" s="48"/>
      <c r="P103" s="48"/>
      <c r="Q103" s="48" t="n">
        <v>10</v>
      </c>
      <c r="R103" s="48"/>
      <c r="S103" s="48"/>
      <c r="T103" s="48"/>
      <c r="U103" s="48"/>
      <c r="V103" s="48"/>
    </row>
    <row r="104" customFormat="false" ht="15" hidden="false" customHeight="false" outlineLevel="0" collapsed="false">
      <c r="B104" s="1" t="s">
        <v>368</v>
      </c>
      <c r="C104" s="12" t="s">
        <v>27</v>
      </c>
      <c r="D104" s="14" t="s">
        <v>369</v>
      </c>
      <c r="F104" s="50" t="n">
        <f aca="false">IF(INDEX($H104:$W104,1,Scenario_Selected)="",$H104,INDEX($H104:$W104,1,Scenario_Selected))</f>
        <v>0.05</v>
      </c>
      <c r="H104" s="18" t="n">
        <v>0.05</v>
      </c>
      <c r="I104" s="18"/>
      <c r="J104" s="18"/>
      <c r="K104" s="18"/>
      <c r="L104" s="18"/>
      <c r="M104" s="18"/>
      <c r="N104" s="18"/>
      <c r="O104" s="18"/>
      <c r="P104" s="18" t="n">
        <v>0.06</v>
      </c>
      <c r="Q104" s="18"/>
      <c r="R104" s="18"/>
      <c r="S104" s="18"/>
      <c r="T104" s="18"/>
      <c r="U104" s="18"/>
      <c r="V104" s="18"/>
    </row>
    <row r="105" customFormat="false" ht="15" hidden="false" customHeight="false" outlineLevel="0" collapsed="false">
      <c r="B105" s="1" t="s">
        <v>370</v>
      </c>
      <c r="C105" s="12" t="s">
        <v>27</v>
      </c>
      <c r="D105" s="14" t="s">
        <v>371</v>
      </c>
      <c r="F105" s="52" t="n">
        <f aca="false">IF(INDEX($H105:$W105,1,Scenario_Selected)="",$H105,INDEX($H105:$W105,1,Scenario_Selected))</f>
        <v>0.0175</v>
      </c>
      <c r="H105" s="53" t="n">
        <v>0.0175</v>
      </c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customFormat="false" ht="15" hidden="false" customHeight="false" outlineLevel="0" collapsed="false">
      <c r="B106" s="1" t="s">
        <v>372</v>
      </c>
      <c r="C106" s="12" t="s">
        <v>27</v>
      </c>
      <c r="D106" s="14" t="s">
        <v>373</v>
      </c>
      <c r="F106" s="52" t="n">
        <f aca="false">IF(INDEX($H106:$W106,1,Scenario_Selected)="",$H106,INDEX($H106:$W106,1,Scenario_Selected))</f>
        <v>0.009</v>
      </c>
      <c r="H106" s="53" t="n">
        <v>0.009</v>
      </c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customFormat="false" ht="15" hidden="false" customHeight="false" outlineLevel="0" collapsed="false">
      <c r="B107" s="1" t="s">
        <v>374</v>
      </c>
      <c r="C107" s="12" t="s">
        <v>212</v>
      </c>
      <c r="D107" s="14" t="s">
        <v>375</v>
      </c>
      <c r="F107" s="45" t="n">
        <f aca="false">IF(INDEX($H107:$W107,1,Scenario_Selected)="",$H107,INDEX($H107:$W107,1,Scenario_Selected))</f>
        <v>6</v>
      </c>
      <c r="H107" s="48" t="n">
        <v>6</v>
      </c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9" customFormat="false" ht="15" hidden="false" customHeight="false" outlineLevel="0" collapsed="false">
      <c r="A109" s="10" t="s">
        <v>13</v>
      </c>
      <c r="B109" s="10"/>
      <c r="C109" s="10" t="s">
        <v>376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customFormat="false" ht="15" hidden="false" customHeight="false" outlineLevel="0" collapsed="false">
      <c r="B110" s="1" t="s">
        <v>377</v>
      </c>
      <c r="C110" s="12" t="s">
        <v>21</v>
      </c>
      <c r="D110" s="14" t="s">
        <v>378</v>
      </c>
      <c r="F110" s="4" t="s">
        <v>379</v>
      </c>
    </row>
    <row r="111" customFormat="false" ht="15" hidden="false" customHeight="false" outlineLevel="0" collapsed="false">
      <c r="B111" s="1" t="s">
        <v>380</v>
      </c>
      <c r="C111" s="12" t="s">
        <v>21</v>
      </c>
      <c r="D111" s="14" t="s">
        <v>381</v>
      </c>
      <c r="F111" s="4"/>
    </row>
    <row r="113" customFormat="false" ht="15" hidden="false" customHeight="false" outlineLevel="0" collapsed="false">
      <c r="C113" s="4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45" min="10" style="1" width="11"/>
    <col collapsed="false" customWidth="false" hidden="true" outlineLevel="1" max="16384" min="146" style="1" width="13"/>
  </cols>
  <sheetData>
    <row r="2" customFormat="false" ht="15" hidden="false" customHeight="false" outlineLevel="0" collapsed="false">
      <c r="A2" s="2"/>
      <c r="B2" s="2" t="str">
        <f aca="false">Dashboard!$C$3&amp;" – Time-series inputs"</f>
        <v>Project Bana – Time-series inputs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</row>
    <row r="5" customFormat="false" ht="15" hidden="false" customHeight="false" outlineLevel="0" collapsed="false">
      <c r="A5" s="10" t="s">
        <v>13</v>
      </c>
      <c r="B5" s="10"/>
      <c r="C5" s="10" t="s">
        <v>382</v>
      </c>
      <c r="D5" s="10"/>
      <c r="E5" s="10" t="s">
        <v>383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customFormat="false" ht="15" hidden="false" customHeight="false" outlineLevel="0" collapsed="false">
      <c r="E6" s="9" t="s">
        <v>384</v>
      </c>
      <c r="F6" s="9" t="s">
        <v>385</v>
      </c>
      <c r="J6" s="9" t="s">
        <v>386</v>
      </c>
    </row>
    <row r="7" customFormat="false" ht="15" hidden="false" customHeight="false" outlineLevel="0" collapsed="false">
      <c r="C7" s="1" t="s">
        <v>387</v>
      </c>
      <c r="D7" s="12" t="s">
        <v>19</v>
      </c>
      <c r="E7" s="46" t="n">
        <v>10</v>
      </c>
      <c r="F7" s="46" t="n">
        <v>50</v>
      </c>
      <c r="J7" s="46" t="n">
        <v>10</v>
      </c>
      <c r="K7" s="46" t="n">
        <v>15</v>
      </c>
      <c r="L7" s="46" t="n">
        <v>20</v>
      </c>
      <c r="M7" s="46" t="n">
        <v>25</v>
      </c>
      <c r="N7" s="46" t="n">
        <v>30</v>
      </c>
      <c r="O7" s="46" t="n">
        <v>35</v>
      </c>
      <c r="P7" s="46" t="n">
        <v>40</v>
      </c>
      <c r="Q7" s="46" t="n">
        <v>45</v>
      </c>
      <c r="R7" s="46" t="n">
        <v>50</v>
      </c>
    </row>
    <row r="8" customFormat="false" ht="15" hidden="false" customHeight="false" outlineLevel="0" collapsed="false">
      <c r="C8" s="1" t="s">
        <v>388</v>
      </c>
      <c r="D8" s="12" t="s">
        <v>43</v>
      </c>
      <c r="J8" s="24" t="n">
        <v>0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1</v>
      </c>
    </row>
    <row r="9" customFormat="false" ht="15" hidden="false" customHeight="false" outlineLevel="0" collapsed="false">
      <c r="C9" s="1" t="s">
        <v>389</v>
      </c>
      <c r="D9" s="12" t="s">
        <v>53</v>
      </c>
      <c r="E9" s="18" t="n">
        <v>0.2</v>
      </c>
      <c r="J9" s="48" t="n">
        <v>0</v>
      </c>
      <c r="K9" s="48" t="n">
        <v>10</v>
      </c>
      <c r="L9" s="48" t="n">
        <v>20</v>
      </c>
      <c r="M9" s="48" t="n">
        <v>30</v>
      </c>
      <c r="N9" s="48" t="n">
        <v>40</v>
      </c>
      <c r="O9" s="48" t="n">
        <v>55</v>
      </c>
      <c r="P9" s="48" t="n">
        <v>70</v>
      </c>
      <c r="Q9" s="48" t="n">
        <v>80</v>
      </c>
      <c r="R9" s="48" t="n">
        <v>90</v>
      </c>
      <c r="S9" s="48" t="n">
        <v>100</v>
      </c>
    </row>
    <row r="10" customFormat="false" ht="15" hidden="false" customHeight="false" outlineLevel="0" collapsed="false">
      <c r="C10" s="1" t="s">
        <v>390</v>
      </c>
      <c r="D10" s="12" t="s">
        <v>24</v>
      </c>
      <c r="E10" s="46" t="n">
        <v>2</v>
      </c>
      <c r="F10" s="46" t="n">
        <v>3</v>
      </c>
      <c r="J10" s="46" t="n">
        <v>2</v>
      </c>
      <c r="K10" s="46" t="n">
        <v>2.1</v>
      </c>
      <c r="L10" s="46" t="n">
        <v>2.2</v>
      </c>
      <c r="M10" s="46" t="n">
        <v>2.3</v>
      </c>
      <c r="N10" s="46" t="n">
        <v>2.4</v>
      </c>
      <c r="O10" s="46" t="n">
        <v>2.5</v>
      </c>
      <c r="P10" s="46" t="n">
        <v>2.6</v>
      </c>
      <c r="Q10" s="46" t="n">
        <v>2.7</v>
      </c>
      <c r="R10" s="46" t="n">
        <v>2.8</v>
      </c>
      <c r="S10" s="46" t="n">
        <v>2.9</v>
      </c>
      <c r="T10" s="46" t="n">
        <v>3</v>
      </c>
    </row>
    <row r="11" customFormat="false" ht="15" hidden="false" customHeight="false" outlineLevel="0" collapsed="false">
      <c r="C11" s="1" t="s">
        <v>391</v>
      </c>
      <c r="D11" s="12" t="s">
        <v>43</v>
      </c>
      <c r="J11" s="24" t="n">
        <v>0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1</v>
      </c>
    </row>
    <row r="12" customFormat="false" ht="15" hidden="false" customHeight="false" outlineLevel="0" collapsed="false">
      <c r="C12" s="1" t="s">
        <v>392</v>
      </c>
      <c r="D12" s="12" t="s">
        <v>53</v>
      </c>
      <c r="E12" s="18" t="n">
        <v>0.15</v>
      </c>
      <c r="J12" s="48" t="n">
        <v>0</v>
      </c>
      <c r="K12" s="48" t="n">
        <v>5</v>
      </c>
      <c r="L12" s="48" t="n">
        <v>10</v>
      </c>
      <c r="M12" s="48" t="n">
        <v>20</v>
      </c>
      <c r="N12" s="48" t="n">
        <v>30</v>
      </c>
      <c r="O12" s="48" t="n">
        <v>40</v>
      </c>
      <c r="P12" s="48" t="n">
        <v>50</v>
      </c>
      <c r="Q12" s="48" t="n">
        <v>60</v>
      </c>
      <c r="R12" s="48" t="n">
        <v>70</v>
      </c>
      <c r="S12" s="48" t="n">
        <v>80</v>
      </c>
      <c r="T12" s="48" t="n">
        <v>90</v>
      </c>
      <c r="U12" s="48" t="n">
        <v>100</v>
      </c>
    </row>
    <row r="13" customFormat="false" ht="15" hidden="false" customHeight="false" outlineLevel="0" collapsed="false">
      <c r="C13" s="1" t="s">
        <v>393</v>
      </c>
      <c r="D13" s="12" t="s">
        <v>27</v>
      </c>
      <c r="E13" s="46" t="n">
        <v>0.05</v>
      </c>
      <c r="J13" s="46" t="n">
        <v>0.02</v>
      </c>
      <c r="K13" s="46" t="n">
        <v>0.05</v>
      </c>
      <c r="L13" s="46" t="n">
        <v>0.1</v>
      </c>
      <c r="M13" s="46" t="n">
        <v>0.15</v>
      </c>
      <c r="N13" s="46" t="n">
        <v>0.2</v>
      </c>
      <c r="O13" s="46" t="n">
        <v>0.25</v>
      </c>
      <c r="P13" s="46" t="n">
        <v>0.3</v>
      </c>
      <c r="Q13" s="46" t="n">
        <v>0.35</v>
      </c>
      <c r="R13" s="46" t="n">
        <v>0.4</v>
      </c>
      <c r="S13" s="46" t="n">
        <v>0.5</v>
      </c>
    </row>
    <row r="14" customFormat="false" ht="15" hidden="false" customHeight="false" outlineLevel="0" collapsed="false">
      <c r="C14" s="1" t="s">
        <v>394</v>
      </c>
      <c r="D14" s="12" t="s">
        <v>43</v>
      </c>
      <c r="J14" s="24" t="n">
        <v>0</v>
      </c>
      <c r="K14" s="24" t="n">
        <v>1</v>
      </c>
      <c r="L14" s="24" t="n">
        <v>1</v>
      </c>
      <c r="M14" s="24" t="n">
        <v>1</v>
      </c>
      <c r="N14" s="24" t="n">
        <v>1</v>
      </c>
      <c r="O14" s="24" t="n">
        <v>1</v>
      </c>
      <c r="P14" s="24" t="n">
        <v>1</v>
      </c>
      <c r="Q14" s="24" t="n">
        <v>1</v>
      </c>
      <c r="R14" s="24" t="n">
        <v>1</v>
      </c>
      <c r="S14" s="24" t="n">
        <v>0</v>
      </c>
    </row>
    <row r="15" customFormat="false" ht="15" hidden="false" customHeight="false" outlineLevel="0" collapsed="false">
      <c r="C15" s="1" t="s">
        <v>395</v>
      </c>
      <c r="D15" s="12" t="s">
        <v>53</v>
      </c>
      <c r="E15" s="18" t="n">
        <v>0.15</v>
      </c>
      <c r="J15" s="48" t="n">
        <v>0</v>
      </c>
      <c r="K15" s="48" t="n">
        <v>10</v>
      </c>
      <c r="L15" s="48" t="n">
        <v>20</v>
      </c>
      <c r="M15" s="48" t="n">
        <v>30</v>
      </c>
      <c r="N15" s="48" t="n">
        <v>40</v>
      </c>
      <c r="O15" s="48" t="n">
        <v>50</v>
      </c>
      <c r="P15" s="48" t="n">
        <v>60</v>
      </c>
      <c r="Q15" s="48" t="n">
        <v>70</v>
      </c>
      <c r="R15" s="48" t="n">
        <v>80</v>
      </c>
      <c r="S15" s="48" t="n">
        <v>90</v>
      </c>
      <c r="T15" s="48" t="n">
        <v>100</v>
      </c>
    </row>
    <row r="16" customFormat="false" ht="15" hidden="false" customHeight="false" outlineLevel="0" collapsed="false">
      <c r="C16" s="1" t="s">
        <v>396</v>
      </c>
      <c r="D16" s="12" t="s">
        <v>27</v>
      </c>
      <c r="J16" s="46" t="n">
        <v>0.02</v>
      </c>
      <c r="K16" s="46" t="n">
        <v>0.05</v>
      </c>
      <c r="L16" s="46" t="n">
        <v>0.1</v>
      </c>
      <c r="M16" s="46" t="n">
        <v>0.15</v>
      </c>
      <c r="N16" s="46" t="n">
        <v>0.2</v>
      </c>
      <c r="O16" s="46" t="n">
        <v>0.25</v>
      </c>
      <c r="P16" s="46" t="n">
        <v>0.3</v>
      </c>
      <c r="Q16" s="46" t="n">
        <v>0.35</v>
      </c>
      <c r="R16" s="46" t="n">
        <v>0.4</v>
      </c>
      <c r="S16" s="46" t="n">
        <v>0.5</v>
      </c>
    </row>
    <row r="17" customFormat="false" ht="15" hidden="false" customHeight="false" outlineLevel="0" collapsed="false">
      <c r="C17" s="1" t="s">
        <v>397</v>
      </c>
      <c r="D17" s="12" t="s">
        <v>43</v>
      </c>
      <c r="J17" s="24" t="n">
        <v>0</v>
      </c>
      <c r="K17" s="24" t="n">
        <v>1</v>
      </c>
      <c r="L17" s="24" t="n">
        <v>1</v>
      </c>
      <c r="M17" s="24" t="n">
        <v>1</v>
      </c>
      <c r="N17" s="24" t="n">
        <v>1</v>
      </c>
      <c r="O17" s="24" t="n">
        <v>1</v>
      </c>
      <c r="P17" s="24" t="n">
        <v>1</v>
      </c>
      <c r="Q17" s="24" t="n">
        <v>1</v>
      </c>
      <c r="R17" s="24" t="n">
        <v>1</v>
      </c>
      <c r="S17" s="24" t="n">
        <v>0</v>
      </c>
    </row>
    <row r="18" customFormat="false" ht="15" hidden="false" customHeight="false" outlineLevel="0" collapsed="false">
      <c r="C18" s="1" t="s">
        <v>398</v>
      </c>
      <c r="D18" s="12" t="s">
        <v>53</v>
      </c>
      <c r="E18" s="18" t="n">
        <v>0.1</v>
      </c>
      <c r="J18" s="48" t="n">
        <v>0</v>
      </c>
      <c r="K18" s="48" t="n">
        <v>10</v>
      </c>
      <c r="L18" s="48" t="n">
        <v>20</v>
      </c>
      <c r="M18" s="48" t="n">
        <v>30</v>
      </c>
      <c r="N18" s="48" t="n">
        <v>40</v>
      </c>
      <c r="O18" s="48" t="n">
        <v>50</v>
      </c>
      <c r="P18" s="48" t="n">
        <v>60</v>
      </c>
      <c r="Q18" s="48" t="n">
        <v>70</v>
      </c>
      <c r="R18" s="48" t="n">
        <v>80</v>
      </c>
      <c r="S18" s="48" t="n">
        <v>90</v>
      </c>
      <c r="T18" s="48" t="n">
        <v>100</v>
      </c>
    </row>
    <row r="19" customFormat="false" ht="15" hidden="false" customHeight="false" outlineLevel="0" collapsed="false">
      <c r="C19" s="1" t="s">
        <v>399</v>
      </c>
      <c r="D19" s="12" t="s">
        <v>13</v>
      </c>
      <c r="J19" s="46" t="n">
        <v>1</v>
      </c>
      <c r="K19" s="46" t="n">
        <v>1.2</v>
      </c>
      <c r="L19" s="46" t="n">
        <v>1.3</v>
      </c>
      <c r="M19" s="46" t="n">
        <v>1.4</v>
      </c>
      <c r="N19" s="46" t="n">
        <v>1.5</v>
      </c>
      <c r="O19" s="46" t="n">
        <v>1.6</v>
      </c>
      <c r="P19" s="46" t="n">
        <v>1.7</v>
      </c>
      <c r="Q19" s="46" t="n">
        <v>1.8</v>
      </c>
      <c r="R19" s="46" t="n">
        <v>1.9</v>
      </c>
      <c r="S19" s="46" t="n">
        <v>2</v>
      </c>
    </row>
    <row r="20" customFormat="false" ht="15" hidden="false" customHeight="false" outlineLevel="0" collapsed="false">
      <c r="C20" s="1" t="s">
        <v>400</v>
      </c>
      <c r="D20" s="12" t="s">
        <v>43</v>
      </c>
      <c r="J20" s="24" t="n">
        <v>0</v>
      </c>
      <c r="K20" s="24" t="n">
        <v>1</v>
      </c>
      <c r="L20" s="24" t="n">
        <v>1</v>
      </c>
      <c r="M20" s="24" t="n">
        <v>1</v>
      </c>
      <c r="N20" s="24" t="n">
        <v>1</v>
      </c>
      <c r="O20" s="24" t="n">
        <v>1</v>
      </c>
      <c r="P20" s="24" t="n">
        <v>1</v>
      </c>
      <c r="Q20" s="24" t="n">
        <v>1</v>
      </c>
      <c r="R20" s="24" t="n">
        <v>1</v>
      </c>
      <c r="S20" s="24" t="n">
        <v>1</v>
      </c>
    </row>
    <row r="21" customFormat="false" ht="15" hidden="false" customHeight="false" outlineLevel="0" collapsed="false">
      <c r="C21" s="1" t="s">
        <v>401</v>
      </c>
      <c r="D21" s="12" t="s">
        <v>53</v>
      </c>
      <c r="E21" s="18" t="n">
        <v>0.05</v>
      </c>
      <c r="J21" s="48" t="n">
        <v>0</v>
      </c>
      <c r="K21" s="48" t="n">
        <v>10</v>
      </c>
      <c r="L21" s="48" t="n">
        <v>20</v>
      </c>
      <c r="M21" s="48" t="n">
        <v>30</v>
      </c>
      <c r="N21" s="48" t="n">
        <v>40</v>
      </c>
      <c r="O21" s="48" t="n">
        <v>50</v>
      </c>
      <c r="P21" s="48" t="n">
        <v>60</v>
      </c>
      <c r="Q21" s="48" t="n">
        <v>70</v>
      </c>
      <c r="R21" s="48" t="n">
        <v>80</v>
      </c>
      <c r="S21" s="48" t="n">
        <v>90</v>
      </c>
      <c r="T21" s="48" t="n">
        <v>100</v>
      </c>
    </row>
    <row r="22" customFormat="false" ht="15" hidden="false" customHeight="false" outlineLevel="0" collapsed="false">
      <c r="C22" s="1" t="s">
        <v>402</v>
      </c>
      <c r="D22" s="12" t="s">
        <v>53</v>
      </c>
      <c r="E22" s="18" t="n">
        <v>0.05</v>
      </c>
      <c r="J22" s="48" t="n">
        <v>100</v>
      </c>
    </row>
    <row r="23" customFormat="false" ht="15" hidden="false" customHeight="false" outlineLevel="0" collapsed="false">
      <c r="C23" s="1" t="s">
        <v>403</v>
      </c>
      <c r="D23" s="12" t="s">
        <v>53</v>
      </c>
      <c r="E23" s="18" t="n">
        <v>0.05</v>
      </c>
      <c r="J23" s="48" t="n">
        <v>100</v>
      </c>
    </row>
    <row r="24" customFormat="false" ht="15" hidden="false" customHeight="false" outlineLevel="0" collapsed="false">
      <c r="C24" s="1" t="s">
        <v>404</v>
      </c>
      <c r="D24" s="12" t="s">
        <v>53</v>
      </c>
      <c r="E24" s="18" t="n">
        <v>0.15</v>
      </c>
      <c r="J24" s="48" t="n">
        <v>80</v>
      </c>
    </row>
    <row r="25" customFormat="false" ht="15" hidden="false" customHeight="false" outlineLevel="0" collapsed="false">
      <c r="C25" s="1" t="s">
        <v>405</v>
      </c>
      <c r="D25" s="12" t="s">
        <v>53</v>
      </c>
      <c r="J25" s="48" t="n">
        <v>20</v>
      </c>
    </row>
    <row r="27" customFormat="false" ht="15" hidden="false" customHeight="false" outlineLevel="0" collapsed="false">
      <c r="C27" s="4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O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45" min="10" style="1" width="11"/>
    <col collapsed="false" customWidth="false" hidden="true" outlineLevel="1" max="16384" min="146" style="1" width="13"/>
  </cols>
  <sheetData>
    <row r="1" customFormat="false" ht="15" hidden="false" customHeight="false" outlineLevel="0" collapsed="false">
      <c r="A1" s="48" t="n">
        <v>1</v>
      </c>
      <c r="C1" s="14" t="s">
        <v>406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Bana – Calculations – European turbine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</row>
    <row r="3" customFormat="false" ht="15" hidden="false" customHeight="false" outlineLevel="0" collapsed="false">
      <c r="C3" s="1" t="s">
        <v>407</v>
      </c>
      <c r="D3" s="12" t="s">
        <v>38</v>
      </c>
      <c r="J3" s="47" t="n">
        <f aca="false">I$4+1</f>
        <v>46296</v>
      </c>
      <c r="K3" s="47" t="n">
        <f aca="false">J$4+1</f>
        <v>46388</v>
      </c>
      <c r="L3" s="47" t="n">
        <f aca="false">K$4+1</f>
        <v>46478</v>
      </c>
      <c r="M3" s="47" t="n">
        <f aca="false">L$4+1</f>
        <v>46569</v>
      </c>
      <c r="N3" s="47" t="n">
        <f aca="false">M$4+1</f>
        <v>46661</v>
      </c>
      <c r="O3" s="47" t="n">
        <f aca="false">N$4+1</f>
        <v>46753</v>
      </c>
      <c r="P3" s="47" t="n">
        <f aca="false">O$4+1</f>
        <v>46844</v>
      </c>
      <c r="Q3" s="47" t="n">
        <f aca="false">P$4+1</f>
        <v>46935</v>
      </c>
      <c r="R3" s="47" t="n">
        <f aca="false">Q$4+1</f>
        <v>47027</v>
      </c>
      <c r="S3" s="47" t="n">
        <f aca="false">R$4+1</f>
        <v>47119</v>
      </c>
      <c r="T3" s="47" t="n">
        <f aca="false">S$4+1</f>
        <v>47209</v>
      </c>
      <c r="U3" s="47" t="n">
        <f aca="false">T$4+1</f>
        <v>47300</v>
      </c>
      <c r="V3" s="47" t="n">
        <f aca="false">U$4+1</f>
        <v>47392</v>
      </c>
      <c r="W3" s="47" t="n">
        <f aca="false">V$4+1</f>
        <v>47484</v>
      </c>
      <c r="X3" s="47" t="n">
        <f aca="false">W$4+1</f>
        <v>47574</v>
      </c>
      <c r="Y3" s="47" t="n">
        <f aca="false">X$4+1</f>
        <v>47665</v>
      </c>
      <c r="Z3" s="47" t="n">
        <f aca="false">Y$4+1</f>
        <v>47757</v>
      </c>
      <c r="AA3" s="47" t="n">
        <f aca="false">Z$4+1</f>
        <v>47849</v>
      </c>
      <c r="AB3" s="47" t="n">
        <f aca="false">AA$4+1</f>
        <v>47939</v>
      </c>
      <c r="AC3" s="47" t="n">
        <f aca="false">AB$4+1</f>
        <v>48030</v>
      </c>
      <c r="AD3" s="47" t="n">
        <f aca="false">AC$4+1</f>
        <v>48122</v>
      </c>
      <c r="AE3" s="47" t="n">
        <f aca="false">AD$4+1</f>
        <v>48214</v>
      </c>
      <c r="AF3" s="47" t="n">
        <f aca="false">AE$4+1</f>
        <v>48305</v>
      </c>
      <c r="AG3" s="47" t="n">
        <f aca="false">AF$4+1</f>
        <v>48396</v>
      </c>
      <c r="AH3" s="47" t="n">
        <f aca="false">AG$4+1</f>
        <v>48488</v>
      </c>
      <c r="AI3" s="47" t="n">
        <f aca="false">AH$4+1</f>
        <v>48580</v>
      </c>
      <c r="AJ3" s="47" t="n">
        <f aca="false">AI$4+1</f>
        <v>48670</v>
      </c>
      <c r="AK3" s="47" t="n">
        <f aca="false">AJ$4+1</f>
        <v>48761</v>
      </c>
      <c r="AL3" s="47" t="n">
        <f aca="false">AK$4+1</f>
        <v>48853</v>
      </c>
      <c r="AM3" s="47" t="n">
        <f aca="false">AL$4+1</f>
        <v>48945</v>
      </c>
      <c r="AN3" s="47" t="n">
        <f aca="false">AM$4+1</f>
        <v>49035</v>
      </c>
      <c r="AO3" s="47" t="n">
        <f aca="false">AN$4+1</f>
        <v>49126</v>
      </c>
      <c r="AP3" s="47" t="n">
        <f aca="false">AO$4+1</f>
        <v>49218</v>
      </c>
      <c r="AQ3" s="47" t="n">
        <f aca="false">AP$4+1</f>
        <v>49310</v>
      </c>
      <c r="AR3" s="47" t="n">
        <f aca="false">AQ$4+1</f>
        <v>49400</v>
      </c>
      <c r="AS3" s="47" t="n">
        <f aca="false">AR$4+1</f>
        <v>49491</v>
      </c>
      <c r="AT3" s="47" t="n">
        <f aca="false">AS$4+1</f>
        <v>49583</v>
      </c>
      <c r="AU3" s="47" t="n">
        <f aca="false">AT$4+1</f>
        <v>49675</v>
      </c>
      <c r="AV3" s="47" t="n">
        <f aca="false">AU$4+1</f>
        <v>49766</v>
      </c>
      <c r="AW3" s="47" t="n">
        <f aca="false">AV$4+1</f>
        <v>49857</v>
      </c>
      <c r="AX3" s="47" t="n">
        <f aca="false">AW$4+1</f>
        <v>49949</v>
      </c>
      <c r="AY3" s="47" t="n">
        <f aca="false">AX$4+1</f>
        <v>50041</v>
      </c>
      <c r="AZ3" s="47" t="n">
        <f aca="false">AY$4+1</f>
        <v>50131</v>
      </c>
      <c r="BA3" s="47" t="n">
        <f aca="false">AZ$4+1</f>
        <v>50222</v>
      </c>
      <c r="BB3" s="47" t="n">
        <f aca="false">BA$4+1</f>
        <v>50314</v>
      </c>
      <c r="BC3" s="47" t="n">
        <f aca="false">BB$4+1</f>
        <v>50406</v>
      </c>
      <c r="BD3" s="47" t="n">
        <f aca="false">BC$4+1</f>
        <v>50496</v>
      </c>
      <c r="BE3" s="47" t="n">
        <f aca="false">BD$4+1</f>
        <v>50587</v>
      </c>
      <c r="BF3" s="47" t="n">
        <f aca="false">BE$4+1</f>
        <v>50679</v>
      </c>
      <c r="BG3" s="47" t="n">
        <f aca="false">BF$4+1</f>
        <v>50771</v>
      </c>
      <c r="BH3" s="47" t="n">
        <f aca="false">BG$4+1</f>
        <v>50861</v>
      </c>
      <c r="BI3" s="47" t="n">
        <f aca="false">BH$4+1</f>
        <v>50952</v>
      </c>
      <c r="BJ3" s="47" t="n">
        <f aca="false">BI$4+1</f>
        <v>51044</v>
      </c>
      <c r="BK3" s="47" t="n">
        <f aca="false">BJ$4+1</f>
        <v>51136</v>
      </c>
      <c r="BL3" s="47" t="n">
        <f aca="false">BK$4+1</f>
        <v>51227</v>
      </c>
      <c r="BM3" s="47" t="n">
        <f aca="false">BL$4+1</f>
        <v>51318</v>
      </c>
      <c r="BN3" s="47" t="n">
        <f aca="false">BM$4+1</f>
        <v>51410</v>
      </c>
      <c r="BO3" s="47" t="n">
        <f aca="false">BN$4+1</f>
        <v>51502</v>
      </c>
      <c r="BP3" s="47" t="n">
        <f aca="false">BO$4+1</f>
        <v>51592</v>
      </c>
      <c r="BQ3" s="47" t="n">
        <f aca="false">BP$4+1</f>
        <v>51683</v>
      </c>
      <c r="BR3" s="47" t="n">
        <f aca="false">BQ$4+1</f>
        <v>51775</v>
      </c>
      <c r="BS3" s="47" t="n">
        <f aca="false">BR$4+1</f>
        <v>51867</v>
      </c>
      <c r="BT3" s="47" t="n">
        <f aca="false">BS$4+1</f>
        <v>51957</v>
      </c>
      <c r="BU3" s="47" t="n">
        <f aca="false">BT$4+1</f>
        <v>52048</v>
      </c>
      <c r="BV3" s="47" t="n">
        <f aca="false">BU$4+1</f>
        <v>52140</v>
      </c>
      <c r="BW3" s="47" t="n">
        <f aca="false">BV$4+1</f>
        <v>52232</v>
      </c>
      <c r="BX3" s="47" t="n">
        <f aca="false">BW$4+1</f>
        <v>52322</v>
      </c>
      <c r="BY3" s="47" t="n">
        <f aca="false">BX$4+1</f>
        <v>52413</v>
      </c>
      <c r="BZ3" s="47" t="n">
        <f aca="false">BY$4+1</f>
        <v>52505</v>
      </c>
      <c r="CA3" s="47" t="n">
        <f aca="false">BZ$4+1</f>
        <v>52597</v>
      </c>
      <c r="CB3" s="47" t="n">
        <f aca="false">CA$4+1</f>
        <v>52688</v>
      </c>
      <c r="CC3" s="47" t="n">
        <f aca="false">CB$4+1</f>
        <v>52779</v>
      </c>
      <c r="CD3" s="47" t="n">
        <f aca="false">CC$4+1</f>
        <v>52871</v>
      </c>
      <c r="CE3" s="47" t="n">
        <f aca="false">CD$4+1</f>
        <v>52963</v>
      </c>
      <c r="CF3" s="47" t="n">
        <f aca="false">CE$4+1</f>
        <v>53053</v>
      </c>
      <c r="CG3" s="47" t="n">
        <f aca="false">CF$4+1</f>
        <v>53144</v>
      </c>
      <c r="CH3" s="47" t="n">
        <f aca="false">CG$4+1</f>
        <v>53236</v>
      </c>
      <c r="CI3" s="47" t="n">
        <f aca="false">CH$4+1</f>
        <v>53328</v>
      </c>
      <c r="CJ3" s="47" t="n">
        <f aca="false">CI$4+1</f>
        <v>53418</v>
      </c>
      <c r="CK3" s="47" t="n">
        <f aca="false">CJ$4+1</f>
        <v>53509</v>
      </c>
      <c r="CL3" s="47" t="n">
        <f aca="false">CK$4+1</f>
        <v>53601</v>
      </c>
      <c r="CM3" s="47" t="n">
        <f aca="false">CL$4+1</f>
        <v>53693</v>
      </c>
      <c r="CN3" s="47" t="n">
        <f aca="false">CM$4+1</f>
        <v>53783</v>
      </c>
      <c r="CO3" s="47" t="n">
        <f aca="false">CN$4+1</f>
        <v>53874</v>
      </c>
      <c r="CP3" s="47" t="n">
        <f aca="false">CO$4+1</f>
        <v>53966</v>
      </c>
      <c r="CQ3" s="47" t="n">
        <f aca="false">CP$4+1</f>
        <v>54058</v>
      </c>
      <c r="CR3" s="47" t="n">
        <f aca="false">CQ$4+1</f>
        <v>54149</v>
      </c>
      <c r="CS3" s="47" t="n">
        <f aca="false">CR$4+1</f>
        <v>54240</v>
      </c>
      <c r="CT3" s="47" t="n">
        <f aca="false">CS$4+1</f>
        <v>54332</v>
      </c>
      <c r="CU3" s="47" t="n">
        <f aca="false">CT$4+1</f>
        <v>54424</v>
      </c>
      <c r="CV3" s="47" t="n">
        <f aca="false">CU$4+1</f>
        <v>54514</v>
      </c>
      <c r="CW3" s="47" t="n">
        <f aca="false">CV$4+1</f>
        <v>54605</v>
      </c>
      <c r="CX3" s="47" t="n">
        <f aca="false">CW$4+1</f>
        <v>54697</v>
      </c>
      <c r="CY3" s="47" t="n">
        <f aca="false">CX$4+1</f>
        <v>54789</v>
      </c>
      <c r="CZ3" s="47" t="n">
        <f aca="false">CY$4+1</f>
        <v>54879</v>
      </c>
      <c r="DA3" s="47" t="n">
        <f aca="false">CZ$4+1</f>
        <v>54970</v>
      </c>
      <c r="DB3" s="47" t="n">
        <f aca="false">DA$4+1</f>
        <v>55062</v>
      </c>
      <c r="DC3" s="47" t="n">
        <f aca="false">DB$4+1</f>
        <v>55154</v>
      </c>
      <c r="DD3" s="47" t="n">
        <f aca="false">DC$4+1</f>
        <v>55244</v>
      </c>
      <c r="DE3" s="47" t="n">
        <f aca="false">DD$4+1</f>
        <v>55335</v>
      </c>
      <c r="DF3" s="47" t="n">
        <f aca="false">DE$4+1</f>
        <v>55427</v>
      </c>
      <c r="DG3" s="47" t="n">
        <f aca="false">DF$4+1</f>
        <v>55519</v>
      </c>
      <c r="DH3" s="47" t="n">
        <f aca="false">DG$4+1</f>
        <v>55610</v>
      </c>
      <c r="DI3" s="47" t="n">
        <f aca="false">DH$4+1</f>
        <v>55701</v>
      </c>
      <c r="DJ3" s="47" t="n">
        <f aca="false">DI$4+1</f>
        <v>55793</v>
      </c>
      <c r="DK3" s="47" t="n">
        <f aca="false">DJ$4+1</f>
        <v>55885</v>
      </c>
      <c r="DL3" s="47" t="n">
        <f aca="false">DK$4+1</f>
        <v>55975</v>
      </c>
      <c r="DM3" s="47" t="n">
        <f aca="false">DL$4+1</f>
        <v>56066</v>
      </c>
      <c r="DN3" s="47" t="n">
        <f aca="false">DM$4+1</f>
        <v>56158</v>
      </c>
      <c r="DO3" s="47" t="n">
        <f aca="false">DN$4+1</f>
        <v>56250</v>
      </c>
      <c r="DP3" s="47" t="n">
        <f aca="false">DO$4+1</f>
        <v>56340</v>
      </c>
      <c r="DQ3" s="47" t="n">
        <f aca="false">DP$4+1</f>
        <v>56431</v>
      </c>
      <c r="DR3" s="47" t="n">
        <f aca="false">DQ$4+1</f>
        <v>56523</v>
      </c>
      <c r="DS3" s="47" t="n">
        <f aca="false">DR$4+1</f>
        <v>56615</v>
      </c>
      <c r="DT3" s="47" t="n">
        <f aca="false">DS$4+1</f>
        <v>56705</v>
      </c>
      <c r="DU3" s="47" t="n">
        <f aca="false">DT$4+1</f>
        <v>56796</v>
      </c>
      <c r="DV3" s="47" t="n">
        <f aca="false">DU$4+1</f>
        <v>56888</v>
      </c>
      <c r="DW3" s="47" t="n">
        <f aca="false">DV$4+1</f>
        <v>56980</v>
      </c>
      <c r="DX3" s="47" t="n">
        <f aca="false">DW$4+1</f>
        <v>57071</v>
      </c>
      <c r="DY3" s="47" t="n">
        <f aca="false">DX$4+1</f>
        <v>57162</v>
      </c>
      <c r="DZ3" s="47" t="n">
        <f aca="false">DY$4+1</f>
        <v>57254</v>
      </c>
      <c r="EA3" s="47" t="n">
        <f aca="false">DZ$4+1</f>
        <v>57346</v>
      </c>
      <c r="EB3" s="47" t="n">
        <f aca="false">EA$4+1</f>
        <v>57436</v>
      </c>
      <c r="EC3" s="47" t="n">
        <f aca="false">EB$4+1</f>
        <v>57527</v>
      </c>
      <c r="ED3" s="47" t="n">
        <f aca="false">EC$4+1</f>
        <v>57619</v>
      </c>
      <c r="EE3" s="47" t="n">
        <f aca="false">ED$4+1</f>
        <v>57711</v>
      </c>
      <c r="EF3" s="47" t="n">
        <f aca="false">EE$4+1</f>
        <v>57801</v>
      </c>
      <c r="EG3" s="47" t="n">
        <f aca="false">EF$4+1</f>
        <v>57892</v>
      </c>
      <c r="EH3" s="47" t="n">
        <f aca="false">EG$4+1</f>
        <v>57984</v>
      </c>
      <c r="EI3" s="47" t="n">
        <f aca="false">EH$4+1</f>
        <v>58076</v>
      </c>
      <c r="EJ3" s="47" t="n">
        <f aca="false">EI$4+1</f>
        <v>58166</v>
      </c>
      <c r="EK3" s="47" t="n">
        <f aca="false">EJ$4+1</f>
        <v>58257</v>
      </c>
      <c r="EL3" s="47" t="n">
        <f aca="false">EK$4+1</f>
        <v>58349</v>
      </c>
      <c r="EM3" s="47" t="n">
        <f aca="false">EL$4+1</f>
        <v>58441</v>
      </c>
      <c r="EN3" s="47" t="n">
        <f aca="false">EM$4+1</f>
        <v>58532</v>
      </c>
      <c r="EO3" s="47" t="n">
        <f aca="false">EN$4+1</f>
        <v>58623</v>
      </c>
    </row>
    <row r="4" customFormat="false" ht="15" hidden="false" customHeight="false" outlineLevel="0" collapsed="false">
      <c r="C4" s="1" t="s">
        <v>408</v>
      </c>
      <c r="D4" s="12" t="s">
        <v>38</v>
      </c>
      <c r="I4" s="47" t="n">
        <f aca="false">In_Model_Start-1</f>
        <v>46295</v>
      </c>
      <c r="J4" s="55" t="n">
        <f aca="false">EOMONTH(J$3,Months_Per_Period-1)</f>
        <v>46387</v>
      </c>
      <c r="K4" s="55" t="n">
        <f aca="false">EOMONTH(K$3,Months_Per_Period-1)</f>
        <v>46477</v>
      </c>
      <c r="L4" s="55" t="n">
        <f aca="false">EOMONTH(L$3,Months_Per_Period-1)</f>
        <v>46568</v>
      </c>
      <c r="M4" s="55" t="n">
        <f aca="false">EOMONTH(M$3,Months_Per_Period-1)</f>
        <v>46660</v>
      </c>
      <c r="N4" s="55" t="n">
        <f aca="false">EOMONTH(N$3,Months_Per_Period-1)</f>
        <v>46752</v>
      </c>
      <c r="O4" s="55" t="n">
        <f aca="false">EOMONTH(O$3,Months_Per_Period-1)</f>
        <v>46843</v>
      </c>
      <c r="P4" s="55" t="n">
        <f aca="false">EOMONTH(P$3,Months_Per_Period-1)</f>
        <v>46934</v>
      </c>
      <c r="Q4" s="55" t="n">
        <f aca="false">EOMONTH(Q$3,Months_Per_Period-1)</f>
        <v>47026</v>
      </c>
      <c r="R4" s="55" t="n">
        <f aca="false">EOMONTH(R$3,Months_Per_Period-1)</f>
        <v>47118</v>
      </c>
      <c r="S4" s="55" t="n">
        <f aca="false">EOMONTH(S$3,Months_Per_Period-1)</f>
        <v>47208</v>
      </c>
      <c r="T4" s="55" t="n">
        <f aca="false">EOMONTH(T$3,Months_Per_Period-1)</f>
        <v>47299</v>
      </c>
      <c r="U4" s="55" t="n">
        <f aca="false">EOMONTH(U$3,Months_Per_Period-1)</f>
        <v>47391</v>
      </c>
      <c r="V4" s="55" t="n">
        <f aca="false">EOMONTH(V$3,Months_Per_Period-1)</f>
        <v>47483</v>
      </c>
      <c r="W4" s="55" t="n">
        <f aca="false">EOMONTH(W$3,Months_Per_Period-1)</f>
        <v>47573</v>
      </c>
      <c r="X4" s="55" t="n">
        <f aca="false">EOMONTH(X$3,Months_Per_Period-1)</f>
        <v>47664</v>
      </c>
      <c r="Y4" s="55" t="n">
        <f aca="false">EOMONTH(Y$3,Months_Per_Period-1)</f>
        <v>47756</v>
      </c>
      <c r="Z4" s="55" t="n">
        <f aca="false">EOMONTH(Z$3,Months_Per_Period-1)</f>
        <v>47848</v>
      </c>
      <c r="AA4" s="55" t="n">
        <f aca="false">EOMONTH(AA$3,Months_Per_Period-1)</f>
        <v>47938</v>
      </c>
      <c r="AB4" s="55" t="n">
        <f aca="false">EOMONTH(AB$3,Months_Per_Period-1)</f>
        <v>48029</v>
      </c>
      <c r="AC4" s="55" t="n">
        <f aca="false">EOMONTH(AC$3,Months_Per_Period-1)</f>
        <v>48121</v>
      </c>
      <c r="AD4" s="55" t="n">
        <f aca="false">EOMONTH(AD$3,Months_Per_Period-1)</f>
        <v>48213</v>
      </c>
      <c r="AE4" s="55" t="n">
        <f aca="false">EOMONTH(AE$3,Months_Per_Period-1)</f>
        <v>48304</v>
      </c>
      <c r="AF4" s="55" t="n">
        <f aca="false">EOMONTH(AF$3,Months_Per_Period-1)</f>
        <v>48395</v>
      </c>
      <c r="AG4" s="55" t="n">
        <f aca="false">EOMONTH(AG$3,Months_Per_Period-1)</f>
        <v>48487</v>
      </c>
      <c r="AH4" s="55" t="n">
        <f aca="false">EOMONTH(AH$3,Months_Per_Period-1)</f>
        <v>48579</v>
      </c>
      <c r="AI4" s="55" t="n">
        <f aca="false">EOMONTH(AI$3,Months_Per_Period-1)</f>
        <v>48669</v>
      </c>
      <c r="AJ4" s="55" t="n">
        <f aca="false">EOMONTH(AJ$3,Months_Per_Period-1)</f>
        <v>48760</v>
      </c>
      <c r="AK4" s="55" t="n">
        <f aca="false">EOMONTH(AK$3,Months_Per_Period-1)</f>
        <v>48852</v>
      </c>
      <c r="AL4" s="55" t="n">
        <f aca="false">EOMONTH(AL$3,Months_Per_Period-1)</f>
        <v>48944</v>
      </c>
      <c r="AM4" s="55" t="n">
        <f aca="false">EOMONTH(AM$3,Months_Per_Period-1)</f>
        <v>49034</v>
      </c>
      <c r="AN4" s="55" t="n">
        <f aca="false">EOMONTH(AN$3,Months_Per_Period-1)</f>
        <v>49125</v>
      </c>
      <c r="AO4" s="55" t="n">
        <f aca="false">EOMONTH(AO$3,Months_Per_Period-1)</f>
        <v>49217</v>
      </c>
      <c r="AP4" s="55" t="n">
        <f aca="false">EOMONTH(AP$3,Months_Per_Period-1)</f>
        <v>49309</v>
      </c>
      <c r="AQ4" s="55" t="n">
        <f aca="false">EOMONTH(AQ$3,Months_Per_Period-1)</f>
        <v>49399</v>
      </c>
      <c r="AR4" s="55" t="n">
        <f aca="false">EOMONTH(AR$3,Months_Per_Period-1)</f>
        <v>49490</v>
      </c>
      <c r="AS4" s="55" t="n">
        <f aca="false">EOMONTH(AS$3,Months_Per_Period-1)</f>
        <v>49582</v>
      </c>
      <c r="AT4" s="55" t="n">
        <f aca="false">EOMONTH(AT$3,Months_Per_Period-1)</f>
        <v>49674</v>
      </c>
      <c r="AU4" s="55" t="n">
        <f aca="false">EOMONTH(AU$3,Months_Per_Period-1)</f>
        <v>49765</v>
      </c>
      <c r="AV4" s="55" t="n">
        <f aca="false">EOMONTH(AV$3,Months_Per_Period-1)</f>
        <v>49856</v>
      </c>
      <c r="AW4" s="55" t="n">
        <f aca="false">EOMONTH(AW$3,Months_Per_Period-1)</f>
        <v>49948</v>
      </c>
      <c r="AX4" s="55" t="n">
        <f aca="false">EOMONTH(AX$3,Months_Per_Period-1)</f>
        <v>50040</v>
      </c>
      <c r="AY4" s="55" t="n">
        <f aca="false">EOMONTH(AY$3,Months_Per_Period-1)</f>
        <v>50130</v>
      </c>
      <c r="AZ4" s="55" t="n">
        <f aca="false">EOMONTH(AZ$3,Months_Per_Period-1)</f>
        <v>50221</v>
      </c>
      <c r="BA4" s="55" t="n">
        <f aca="false">EOMONTH(BA$3,Months_Per_Period-1)</f>
        <v>50313</v>
      </c>
      <c r="BB4" s="55" t="n">
        <f aca="false">EOMONTH(BB$3,Months_Per_Period-1)</f>
        <v>50405</v>
      </c>
      <c r="BC4" s="55" t="n">
        <f aca="false">EOMONTH(BC$3,Months_Per_Period-1)</f>
        <v>50495</v>
      </c>
      <c r="BD4" s="55" t="n">
        <f aca="false">EOMONTH(BD$3,Months_Per_Period-1)</f>
        <v>50586</v>
      </c>
      <c r="BE4" s="55" t="n">
        <f aca="false">EOMONTH(BE$3,Months_Per_Period-1)</f>
        <v>50678</v>
      </c>
      <c r="BF4" s="55" t="n">
        <f aca="false">EOMONTH(BF$3,Months_Per_Period-1)</f>
        <v>50770</v>
      </c>
      <c r="BG4" s="55" t="n">
        <f aca="false">EOMONTH(BG$3,Months_Per_Period-1)</f>
        <v>50860</v>
      </c>
      <c r="BH4" s="55" t="n">
        <f aca="false">EOMONTH(BH$3,Months_Per_Period-1)</f>
        <v>50951</v>
      </c>
      <c r="BI4" s="55" t="n">
        <f aca="false">EOMONTH(BI$3,Months_Per_Period-1)</f>
        <v>51043</v>
      </c>
      <c r="BJ4" s="55" t="n">
        <f aca="false">EOMONTH(BJ$3,Months_Per_Period-1)</f>
        <v>51135</v>
      </c>
      <c r="BK4" s="55" t="n">
        <f aca="false">EOMONTH(BK$3,Months_Per_Period-1)</f>
        <v>51226</v>
      </c>
      <c r="BL4" s="55" t="n">
        <f aca="false">EOMONTH(BL$3,Months_Per_Period-1)</f>
        <v>51317</v>
      </c>
      <c r="BM4" s="55" t="n">
        <f aca="false">EOMONTH(BM$3,Months_Per_Period-1)</f>
        <v>51409</v>
      </c>
      <c r="BN4" s="55" t="n">
        <f aca="false">EOMONTH(BN$3,Months_Per_Period-1)</f>
        <v>51501</v>
      </c>
      <c r="BO4" s="55" t="n">
        <f aca="false">EOMONTH(BO$3,Months_Per_Period-1)</f>
        <v>51591</v>
      </c>
      <c r="BP4" s="55" t="n">
        <f aca="false">EOMONTH(BP$3,Months_Per_Period-1)</f>
        <v>51682</v>
      </c>
      <c r="BQ4" s="55" t="n">
        <f aca="false">EOMONTH(BQ$3,Months_Per_Period-1)</f>
        <v>51774</v>
      </c>
      <c r="BR4" s="55" t="n">
        <f aca="false">EOMONTH(BR$3,Months_Per_Period-1)</f>
        <v>51866</v>
      </c>
      <c r="BS4" s="55" t="n">
        <f aca="false">EOMONTH(BS$3,Months_Per_Period-1)</f>
        <v>51956</v>
      </c>
      <c r="BT4" s="55" t="n">
        <f aca="false">EOMONTH(BT$3,Months_Per_Period-1)</f>
        <v>52047</v>
      </c>
      <c r="BU4" s="55" t="n">
        <f aca="false">EOMONTH(BU$3,Months_Per_Period-1)</f>
        <v>52139</v>
      </c>
      <c r="BV4" s="55" t="n">
        <f aca="false">EOMONTH(BV$3,Months_Per_Period-1)</f>
        <v>52231</v>
      </c>
      <c r="BW4" s="55" t="n">
        <f aca="false">EOMONTH(BW$3,Months_Per_Period-1)</f>
        <v>52321</v>
      </c>
      <c r="BX4" s="55" t="n">
        <f aca="false">EOMONTH(BX$3,Months_Per_Period-1)</f>
        <v>52412</v>
      </c>
      <c r="BY4" s="55" t="n">
        <f aca="false">EOMONTH(BY$3,Months_Per_Period-1)</f>
        <v>52504</v>
      </c>
      <c r="BZ4" s="55" t="n">
        <f aca="false">EOMONTH(BZ$3,Months_Per_Period-1)</f>
        <v>52596</v>
      </c>
      <c r="CA4" s="55" t="n">
        <f aca="false">EOMONTH(CA$3,Months_Per_Period-1)</f>
        <v>52687</v>
      </c>
      <c r="CB4" s="55" t="n">
        <f aca="false">EOMONTH(CB$3,Months_Per_Period-1)</f>
        <v>52778</v>
      </c>
      <c r="CC4" s="55" t="n">
        <f aca="false">EOMONTH(CC$3,Months_Per_Period-1)</f>
        <v>52870</v>
      </c>
      <c r="CD4" s="55" t="n">
        <f aca="false">EOMONTH(CD$3,Months_Per_Period-1)</f>
        <v>52962</v>
      </c>
      <c r="CE4" s="55" t="n">
        <f aca="false">EOMONTH(CE$3,Months_Per_Period-1)</f>
        <v>53052</v>
      </c>
      <c r="CF4" s="55" t="n">
        <f aca="false">EOMONTH(CF$3,Months_Per_Period-1)</f>
        <v>53143</v>
      </c>
      <c r="CG4" s="55" t="n">
        <f aca="false">EOMONTH(CG$3,Months_Per_Period-1)</f>
        <v>53235</v>
      </c>
      <c r="CH4" s="55" t="n">
        <f aca="false">EOMONTH(CH$3,Months_Per_Period-1)</f>
        <v>53327</v>
      </c>
      <c r="CI4" s="55" t="n">
        <f aca="false">EOMONTH(CI$3,Months_Per_Period-1)</f>
        <v>53417</v>
      </c>
      <c r="CJ4" s="55" t="n">
        <f aca="false">EOMONTH(CJ$3,Months_Per_Period-1)</f>
        <v>53508</v>
      </c>
      <c r="CK4" s="55" t="n">
        <f aca="false">EOMONTH(CK$3,Months_Per_Period-1)</f>
        <v>53600</v>
      </c>
      <c r="CL4" s="55" t="n">
        <f aca="false">EOMONTH(CL$3,Months_Per_Period-1)</f>
        <v>53692</v>
      </c>
      <c r="CM4" s="55" t="n">
        <f aca="false">EOMONTH(CM$3,Months_Per_Period-1)</f>
        <v>53782</v>
      </c>
      <c r="CN4" s="55" t="n">
        <f aca="false">EOMONTH(CN$3,Months_Per_Period-1)</f>
        <v>53873</v>
      </c>
      <c r="CO4" s="55" t="n">
        <f aca="false">EOMONTH(CO$3,Months_Per_Period-1)</f>
        <v>53965</v>
      </c>
      <c r="CP4" s="55" t="n">
        <f aca="false">EOMONTH(CP$3,Months_Per_Period-1)</f>
        <v>54057</v>
      </c>
      <c r="CQ4" s="55" t="n">
        <f aca="false">EOMONTH(CQ$3,Months_Per_Period-1)</f>
        <v>54148</v>
      </c>
      <c r="CR4" s="55" t="n">
        <f aca="false">EOMONTH(CR$3,Months_Per_Period-1)</f>
        <v>54239</v>
      </c>
      <c r="CS4" s="55" t="n">
        <f aca="false">EOMONTH(CS$3,Months_Per_Period-1)</f>
        <v>54331</v>
      </c>
      <c r="CT4" s="55" t="n">
        <f aca="false">EOMONTH(CT$3,Months_Per_Period-1)</f>
        <v>54423</v>
      </c>
      <c r="CU4" s="55" t="n">
        <f aca="false">EOMONTH(CU$3,Months_Per_Period-1)</f>
        <v>54513</v>
      </c>
      <c r="CV4" s="55" t="n">
        <f aca="false">EOMONTH(CV$3,Months_Per_Period-1)</f>
        <v>54604</v>
      </c>
      <c r="CW4" s="55" t="n">
        <f aca="false">EOMONTH(CW$3,Months_Per_Period-1)</f>
        <v>54696</v>
      </c>
      <c r="CX4" s="55" t="n">
        <f aca="false">EOMONTH(CX$3,Months_Per_Period-1)</f>
        <v>54788</v>
      </c>
      <c r="CY4" s="55" t="n">
        <f aca="false">EOMONTH(CY$3,Months_Per_Period-1)</f>
        <v>54878</v>
      </c>
      <c r="CZ4" s="55" t="n">
        <f aca="false">EOMONTH(CZ$3,Months_Per_Period-1)</f>
        <v>54969</v>
      </c>
      <c r="DA4" s="55" t="n">
        <f aca="false">EOMONTH(DA$3,Months_Per_Period-1)</f>
        <v>55061</v>
      </c>
      <c r="DB4" s="55" t="n">
        <f aca="false">EOMONTH(DB$3,Months_Per_Period-1)</f>
        <v>55153</v>
      </c>
      <c r="DC4" s="55" t="n">
        <f aca="false">EOMONTH(DC$3,Months_Per_Period-1)</f>
        <v>55243</v>
      </c>
      <c r="DD4" s="55" t="n">
        <f aca="false">EOMONTH(DD$3,Months_Per_Period-1)</f>
        <v>55334</v>
      </c>
      <c r="DE4" s="55" t="n">
        <f aca="false">EOMONTH(DE$3,Months_Per_Period-1)</f>
        <v>55426</v>
      </c>
      <c r="DF4" s="55" t="n">
        <f aca="false">EOMONTH(DF$3,Months_Per_Period-1)</f>
        <v>55518</v>
      </c>
      <c r="DG4" s="55" t="n">
        <f aca="false">EOMONTH(DG$3,Months_Per_Period-1)</f>
        <v>55609</v>
      </c>
      <c r="DH4" s="55" t="n">
        <f aca="false">EOMONTH(DH$3,Months_Per_Period-1)</f>
        <v>55700</v>
      </c>
      <c r="DI4" s="55" t="n">
        <f aca="false">EOMONTH(DI$3,Months_Per_Period-1)</f>
        <v>55792</v>
      </c>
      <c r="DJ4" s="55" t="n">
        <f aca="false">EOMONTH(DJ$3,Months_Per_Period-1)</f>
        <v>55884</v>
      </c>
      <c r="DK4" s="55" t="n">
        <f aca="false">EOMONTH(DK$3,Months_Per_Period-1)</f>
        <v>55974</v>
      </c>
      <c r="DL4" s="55" t="n">
        <f aca="false">EOMONTH(DL$3,Months_Per_Period-1)</f>
        <v>56065</v>
      </c>
      <c r="DM4" s="55" t="n">
        <f aca="false">EOMONTH(DM$3,Months_Per_Period-1)</f>
        <v>56157</v>
      </c>
      <c r="DN4" s="55" t="n">
        <f aca="false">EOMONTH(DN$3,Months_Per_Period-1)</f>
        <v>56249</v>
      </c>
      <c r="DO4" s="55" t="n">
        <f aca="false">EOMONTH(DO$3,Months_Per_Period-1)</f>
        <v>56339</v>
      </c>
      <c r="DP4" s="55" t="n">
        <f aca="false">EOMONTH(DP$3,Months_Per_Period-1)</f>
        <v>56430</v>
      </c>
      <c r="DQ4" s="55" t="n">
        <f aca="false">EOMONTH(DQ$3,Months_Per_Period-1)</f>
        <v>56522</v>
      </c>
      <c r="DR4" s="55" t="n">
        <f aca="false">EOMONTH(DR$3,Months_Per_Period-1)</f>
        <v>56614</v>
      </c>
      <c r="DS4" s="55" t="n">
        <f aca="false">EOMONTH(DS$3,Months_Per_Period-1)</f>
        <v>56704</v>
      </c>
      <c r="DT4" s="55" t="n">
        <f aca="false">EOMONTH(DT$3,Months_Per_Period-1)</f>
        <v>56795</v>
      </c>
      <c r="DU4" s="55" t="n">
        <f aca="false">EOMONTH(DU$3,Months_Per_Period-1)</f>
        <v>56887</v>
      </c>
      <c r="DV4" s="55" t="n">
        <f aca="false">EOMONTH(DV$3,Months_Per_Period-1)</f>
        <v>56979</v>
      </c>
      <c r="DW4" s="55" t="n">
        <f aca="false">EOMONTH(DW$3,Months_Per_Period-1)</f>
        <v>57070</v>
      </c>
      <c r="DX4" s="55" t="n">
        <f aca="false">EOMONTH(DX$3,Months_Per_Period-1)</f>
        <v>57161</v>
      </c>
      <c r="DY4" s="55" t="n">
        <f aca="false">EOMONTH(DY$3,Months_Per_Period-1)</f>
        <v>57253</v>
      </c>
      <c r="DZ4" s="55" t="n">
        <f aca="false">EOMONTH(DZ$3,Months_Per_Period-1)</f>
        <v>57345</v>
      </c>
      <c r="EA4" s="55" t="n">
        <f aca="false">EOMONTH(EA$3,Months_Per_Period-1)</f>
        <v>57435</v>
      </c>
      <c r="EB4" s="55" t="n">
        <f aca="false">EOMONTH(EB$3,Months_Per_Period-1)</f>
        <v>57526</v>
      </c>
      <c r="EC4" s="55" t="n">
        <f aca="false">EOMONTH(EC$3,Months_Per_Period-1)</f>
        <v>57618</v>
      </c>
      <c r="ED4" s="55" t="n">
        <f aca="false">EOMONTH(ED$3,Months_Per_Period-1)</f>
        <v>57710</v>
      </c>
      <c r="EE4" s="55" t="n">
        <f aca="false">EOMONTH(EE$3,Months_Per_Period-1)</f>
        <v>57800</v>
      </c>
      <c r="EF4" s="55" t="n">
        <f aca="false">EOMONTH(EF$3,Months_Per_Period-1)</f>
        <v>57891</v>
      </c>
      <c r="EG4" s="55" t="n">
        <f aca="false">EOMONTH(EG$3,Months_Per_Period-1)</f>
        <v>57983</v>
      </c>
      <c r="EH4" s="55" t="n">
        <f aca="false">EOMONTH(EH$3,Months_Per_Period-1)</f>
        <v>58075</v>
      </c>
      <c r="EI4" s="55" t="n">
        <f aca="false">EOMONTH(EI$3,Months_Per_Period-1)</f>
        <v>58165</v>
      </c>
      <c r="EJ4" s="55" t="n">
        <f aca="false">EOMONTH(EJ$3,Months_Per_Period-1)</f>
        <v>58256</v>
      </c>
      <c r="EK4" s="55" t="n">
        <f aca="false">EOMONTH(EK$3,Months_Per_Period-1)</f>
        <v>58348</v>
      </c>
      <c r="EL4" s="55" t="n">
        <f aca="false">EOMONTH(EL$3,Months_Per_Period-1)</f>
        <v>58440</v>
      </c>
      <c r="EM4" s="55" t="n">
        <f aca="false">EOMONTH(EM$3,Months_Per_Period-1)</f>
        <v>58531</v>
      </c>
      <c r="EN4" s="55" t="n">
        <f aca="false">EOMONTH(EN$3,Months_Per_Period-1)</f>
        <v>58622</v>
      </c>
      <c r="EO4" s="55" t="n">
        <f aca="false">EOMONTH(EO$3,Months_Per_Period-1)</f>
        <v>58714</v>
      </c>
    </row>
    <row r="5" customFormat="false" ht="15" hidden="false" customHeight="false" outlineLevel="0" collapsed="false">
      <c r="C5" s="1" t="s">
        <v>409</v>
      </c>
      <c r="D5" s="12" t="s">
        <v>209</v>
      </c>
      <c r="J5" s="45" t="n">
        <f aca="false">J$4-J$3+1</f>
        <v>92</v>
      </c>
      <c r="K5" s="45" t="n">
        <f aca="false">K$4-K$3+1</f>
        <v>90</v>
      </c>
      <c r="L5" s="45" t="n">
        <f aca="false">L$4-L$3+1</f>
        <v>91</v>
      </c>
      <c r="M5" s="45" t="n">
        <f aca="false">M$4-M$3+1</f>
        <v>92</v>
      </c>
      <c r="N5" s="45" t="n">
        <f aca="false">N$4-N$3+1</f>
        <v>92</v>
      </c>
      <c r="O5" s="45" t="n">
        <f aca="false">O$4-O$3+1</f>
        <v>91</v>
      </c>
      <c r="P5" s="45" t="n">
        <f aca="false">P$4-P$3+1</f>
        <v>91</v>
      </c>
      <c r="Q5" s="45" t="n">
        <f aca="false">Q$4-Q$3+1</f>
        <v>92</v>
      </c>
      <c r="R5" s="45" t="n">
        <f aca="false">R$4-R$3+1</f>
        <v>92</v>
      </c>
      <c r="S5" s="45" t="n">
        <f aca="false">S$4-S$3+1</f>
        <v>90</v>
      </c>
      <c r="T5" s="45" t="n">
        <f aca="false">T$4-T$3+1</f>
        <v>91</v>
      </c>
      <c r="U5" s="45" t="n">
        <f aca="false">U$4-U$3+1</f>
        <v>92</v>
      </c>
      <c r="V5" s="45" t="n">
        <f aca="false">V$4-V$3+1</f>
        <v>92</v>
      </c>
      <c r="W5" s="45" t="n">
        <f aca="false">W$4-W$3+1</f>
        <v>90</v>
      </c>
      <c r="X5" s="45" t="n">
        <f aca="false">X$4-X$3+1</f>
        <v>91</v>
      </c>
      <c r="Y5" s="45" t="n">
        <f aca="false">Y$4-Y$3+1</f>
        <v>92</v>
      </c>
      <c r="Z5" s="45" t="n">
        <f aca="false">Z$4-Z$3+1</f>
        <v>92</v>
      </c>
      <c r="AA5" s="45" t="n">
        <f aca="false">AA$4-AA$3+1</f>
        <v>90</v>
      </c>
      <c r="AB5" s="45" t="n">
        <f aca="false">AB$4-AB$3+1</f>
        <v>91</v>
      </c>
      <c r="AC5" s="45" t="n">
        <f aca="false">AC$4-AC$3+1</f>
        <v>92</v>
      </c>
      <c r="AD5" s="45" t="n">
        <f aca="false">AD$4-AD$3+1</f>
        <v>92</v>
      </c>
      <c r="AE5" s="45" t="n">
        <f aca="false">AE$4-AE$3+1</f>
        <v>91</v>
      </c>
      <c r="AF5" s="45" t="n">
        <f aca="false">AF$4-AF$3+1</f>
        <v>91</v>
      </c>
      <c r="AG5" s="45" t="n">
        <f aca="false">AG$4-AG$3+1</f>
        <v>92</v>
      </c>
      <c r="AH5" s="45" t="n">
        <f aca="false">AH$4-AH$3+1</f>
        <v>92</v>
      </c>
      <c r="AI5" s="45" t="n">
        <f aca="false">AI$4-AI$3+1</f>
        <v>90</v>
      </c>
      <c r="AJ5" s="45" t="n">
        <f aca="false">AJ$4-AJ$3+1</f>
        <v>91</v>
      </c>
      <c r="AK5" s="45" t="n">
        <f aca="false">AK$4-AK$3+1</f>
        <v>92</v>
      </c>
      <c r="AL5" s="45" t="n">
        <f aca="false">AL$4-AL$3+1</f>
        <v>92</v>
      </c>
      <c r="AM5" s="45" t="n">
        <f aca="false">AM$4-AM$3+1</f>
        <v>90</v>
      </c>
      <c r="AN5" s="45" t="n">
        <f aca="false">AN$4-AN$3+1</f>
        <v>91</v>
      </c>
      <c r="AO5" s="45" t="n">
        <f aca="false">AO$4-AO$3+1</f>
        <v>92</v>
      </c>
      <c r="AP5" s="45" t="n">
        <f aca="false">AP$4-AP$3+1</f>
        <v>92</v>
      </c>
      <c r="AQ5" s="45" t="n">
        <f aca="false">AQ$4-AQ$3+1</f>
        <v>90</v>
      </c>
      <c r="AR5" s="45" t="n">
        <f aca="false">AR$4-AR$3+1</f>
        <v>91</v>
      </c>
      <c r="AS5" s="45" t="n">
        <f aca="false">AS$4-AS$3+1</f>
        <v>92</v>
      </c>
      <c r="AT5" s="45" t="n">
        <f aca="false">AT$4-AT$3+1</f>
        <v>92</v>
      </c>
      <c r="AU5" s="45" t="n">
        <f aca="false">AU$4-AU$3+1</f>
        <v>91</v>
      </c>
      <c r="AV5" s="45" t="n">
        <f aca="false">AV$4-AV$3+1</f>
        <v>91</v>
      </c>
      <c r="AW5" s="45" t="n">
        <f aca="false">AW$4-AW$3+1</f>
        <v>92</v>
      </c>
      <c r="AX5" s="45" t="n">
        <f aca="false">AX$4-AX$3+1</f>
        <v>92</v>
      </c>
      <c r="AY5" s="45" t="n">
        <f aca="false">AY$4-AY$3+1</f>
        <v>90</v>
      </c>
      <c r="AZ5" s="45" t="n">
        <f aca="false">AZ$4-AZ$3+1</f>
        <v>91</v>
      </c>
      <c r="BA5" s="45" t="n">
        <f aca="false">BA$4-BA$3+1</f>
        <v>92</v>
      </c>
      <c r="BB5" s="45" t="n">
        <f aca="false">BB$4-BB$3+1</f>
        <v>92</v>
      </c>
      <c r="BC5" s="45" t="n">
        <f aca="false">BC$4-BC$3+1</f>
        <v>90</v>
      </c>
      <c r="BD5" s="45" t="n">
        <f aca="false">BD$4-BD$3+1</f>
        <v>91</v>
      </c>
      <c r="BE5" s="45" t="n">
        <f aca="false">BE$4-BE$3+1</f>
        <v>92</v>
      </c>
      <c r="BF5" s="45" t="n">
        <f aca="false">BF$4-BF$3+1</f>
        <v>92</v>
      </c>
      <c r="BG5" s="45" t="n">
        <f aca="false">BG$4-BG$3+1</f>
        <v>90</v>
      </c>
      <c r="BH5" s="45" t="n">
        <f aca="false">BH$4-BH$3+1</f>
        <v>91</v>
      </c>
      <c r="BI5" s="45" t="n">
        <f aca="false">BI$4-BI$3+1</f>
        <v>92</v>
      </c>
      <c r="BJ5" s="45" t="n">
        <f aca="false">BJ$4-BJ$3+1</f>
        <v>92</v>
      </c>
      <c r="BK5" s="45" t="n">
        <f aca="false">BK$4-BK$3+1</f>
        <v>91</v>
      </c>
      <c r="BL5" s="45" t="n">
        <f aca="false">BL$4-BL$3+1</f>
        <v>91</v>
      </c>
      <c r="BM5" s="45" t="n">
        <f aca="false">BM$4-BM$3+1</f>
        <v>92</v>
      </c>
      <c r="BN5" s="45" t="n">
        <f aca="false">BN$4-BN$3+1</f>
        <v>92</v>
      </c>
      <c r="BO5" s="45" t="n">
        <f aca="false">BO$4-BO$3+1</f>
        <v>90</v>
      </c>
      <c r="BP5" s="45" t="n">
        <f aca="false">BP$4-BP$3+1</f>
        <v>91</v>
      </c>
      <c r="BQ5" s="45" t="n">
        <f aca="false">BQ$4-BQ$3+1</f>
        <v>92</v>
      </c>
      <c r="BR5" s="45" t="n">
        <f aca="false">BR$4-BR$3+1</f>
        <v>92</v>
      </c>
      <c r="BS5" s="45" t="n">
        <f aca="false">BS$4-BS$3+1</f>
        <v>90</v>
      </c>
      <c r="BT5" s="45" t="n">
        <f aca="false">BT$4-BT$3+1</f>
        <v>91</v>
      </c>
      <c r="BU5" s="45" t="n">
        <f aca="false">BU$4-BU$3+1</f>
        <v>92</v>
      </c>
      <c r="BV5" s="45" t="n">
        <f aca="false">BV$4-BV$3+1</f>
        <v>92</v>
      </c>
      <c r="BW5" s="45" t="n">
        <f aca="false">BW$4-BW$3+1</f>
        <v>90</v>
      </c>
      <c r="BX5" s="45" t="n">
        <f aca="false">BX$4-BX$3+1</f>
        <v>91</v>
      </c>
      <c r="BY5" s="45" t="n">
        <f aca="false">BY$4-BY$3+1</f>
        <v>92</v>
      </c>
      <c r="BZ5" s="45" t="n">
        <f aca="false">BZ$4-BZ$3+1</f>
        <v>92</v>
      </c>
      <c r="CA5" s="45" t="n">
        <f aca="false">CA$4-CA$3+1</f>
        <v>91</v>
      </c>
      <c r="CB5" s="45" t="n">
        <f aca="false">CB$4-CB$3+1</f>
        <v>91</v>
      </c>
      <c r="CC5" s="45" t="n">
        <f aca="false">CC$4-CC$3+1</f>
        <v>92</v>
      </c>
      <c r="CD5" s="45" t="n">
        <f aca="false">CD$4-CD$3+1</f>
        <v>92</v>
      </c>
      <c r="CE5" s="45" t="n">
        <f aca="false">CE$4-CE$3+1</f>
        <v>90</v>
      </c>
      <c r="CF5" s="45" t="n">
        <f aca="false">CF$4-CF$3+1</f>
        <v>91</v>
      </c>
      <c r="CG5" s="45" t="n">
        <f aca="false">CG$4-CG$3+1</f>
        <v>92</v>
      </c>
      <c r="CH5" s="45" t="n">
        <f aca="false">CH$4-CH$3+1</f>
        <v>92</v>
      </c>
      <c r="CI5" s="45" t="n">
        <f aca="false">CI$4-CI$3+1</f>
        <v>90</v>
      </c>
      <c r="CJ5" s="45" t="n">
        <f aca="false">CJ$4-CJ$3+1</f>
        <v>91</v>
      </c>
      <c r="CK5" s="45" t="n">
        <f aca="false">CK$4-CK$3+1</f>
        <v>92</v>
      </c>
      <c r="CL5" s="45" t="n">
        <f aca="false">CL$4-CL$3+1</f>
        <v>92</v>
      </c>
      <c r="CM5" s="45" t="n">
        <f aca="false">CM$4-CM$3+1</f>
        <v>90</v>
      </c>
      <c r="CN5" s="45" t="n">
        <f aca="false">CN$4-CN$3+1</f>
        <v>91</v>
      </c>
      <c r="CO5" s="45" t="n">
        <f aca="false">CO$4-CO$3+1</f>
        <v>92</v>
      </c>
      <c r="CP5" s="45" t="n">
        <f aca="false">CP$4-CP$3+1</f>
        <v>92</v>
      </c>
      <c r="CQ5" s="45" t="n">
        <f aca="false">CQ$4-CQ$3+1</f>
        <v>91</v>
      </c>
      <c r="CR5" s="45" t="n">
        <f aca="false">CR$4-CR$3+1</f>
        <v>91</v>
      </c>
      <c r="CS5" s="45" t="n">
        <f aca="false">CS$4-CS$3+1</f>
        <v>92</v>
      </c>
      <c r="CT5" s="45" t="n">
        <f aca="false">CT$4-CT$3+1</f>
        <v>92</v>
      </c>
      <c r="CU5" s="45" t="n">
        <f aca="false">CU$4-CU$3+1</f>
        <v>90</v>
      </c>
      <c r="CV5" s="45" t="n">
        <f aca="false">CV$4-CV$3+1</f>
        <v>91</v>
      </c>
      <c r="CW5" s="45" t="n">
        <f aca="false">CW$4-CW$3+1</f>
        <v>92</v>
      </c>
      <c r="CX5" s="45" t="n">
        <f aca="false">CX$4-CX$3+1</f>
        <v>92</v>
      </c>
      <c r="CY5" s="45" t="n">
        <f aca="false">CY$4-CY$3+1</f>
        <v>90</v>
      </c>
      <c r="CZ5" s="45" t="n">
        <f aca="false">CZ$4-CZ$3+1</f>
        <v>91</v>
      </c>
      <c r="DA5" s="45" t="n">
        <f aca="false">DA$4-DA$3+1</f>
        <v>92</v>
      </c>
      <c r="DB5" s="45" t="n">
        <f aca="false">DB$4-DB$3+1</f>
        <v>92</v>
      </c>
      <c r="DC5" s="45" t="n">
        <f aca="false">DC$4-DC$3+1</f>
        <v>90</v>
      </c>
      <c r="DD5" s="45" t="n">
        <f aca="false">DD$4-DD$3+1</f>
        <v>91</v>
      </c>
      <c r="DE5" s="45" t="n">
        <f aca="false">DE$4-DE$3+1</f>
        <v>92</v>
      </c>
      <c r="DF5" s="45" t="n">
        <f aca="false">DF$4-DF$3+1</f>
        <v>92</v>
      </c>
      <c r="DG5" s="45" t="n">
        <f aca="false">DG$4-DG$3+1</f>
        <v>91</v>
      </c>
      <c r="DH5" s="45" t="n">
        <f aca="false">DH$4-DH$3+1</f>
        <v>91</v>
      </c>
      <c r="DI5" s="45" t="n">
        <f aca="false">DI$4-DI$3+1</f>
        <v>92</v>
      </c>
      <c r="DJ5" s="45" t="n">
        <f aca="false">DJ$4-DJ$3+1</f>
        <v>92</v>
      </c>
      <c r="DK5" s="45" t="n">
        <f aca="false">DK$4-DK$3+1</f>
        <v>90</v>
      </c>
      <c r="DL5" s="45" t="n">
        <f aca="false">DL$4-DL$3+1</f>
        <v>91</v>
      </c>
      <c r="DM5" s="45" t="n">
        <f aca="false">DM$4-DM$3+1</f>
        <v>92</v>
      </c>
      <c r="DN5" s="45" t="n">
        <f aca="false">DN$4-DN$3+1</f>
        <v>92</v>
      </c>
      <c r="DO5" s="45" t="n">
        <f aca="false">DO$4-DO$3+1</f>
        <v>90</v>
      </c>
      <c r="DP5" s="45" t="n">
        <f aca="false">DP$4-DP$3+1</f>
        <v>91</v>
      </c>
      <c r="DQ5" s="45" t="n">
        <f aca="false">DQ$4-DQ$3+1</f>
        <v>92</v>
      </c>
      <c r="DR5" s="45" t="n">
        <f aca="false">DR$4-DR$3+1</f>
        <v>92</v>
      </c>
      <c r="DS5" s="45" t="n">
        <f aca="false">DS$4-DS$3+1</f>
        <v>90</v>
      </c>
      <c r="DT5" s="45" t="n">
        <f aca="false">DT$4-DT$3+1</f>
        <v>91</v>
      </c>
      <c r="DU5" s="45" t="n">
        <f aca="false">DU$4-DU$3+1</f>
        <v>92</v>
      </c>
      <c r="DV5" s="45" t="n">
        <f aca="false">DV$4-DV$3+1</f>
        <v>92</v>
      </c>
      <c r="DW5" s="45" t="n">
        <f aca="false">DW$4-DW$3+1</f>
        <v>91</v>
      </c>
      <c r="DX5" s="45" t="n">
        <f aca="false">DX$4-DX$3+1</f>
        <v>91</v>
      </c>
      <c r="DY5" s="45" t="n">
        <f aca="false">DY$4-DY$3+1</f>
        <v>92</v>
      </c>
      <c r="DZ5" s="45" t="n">
        <f aca="false">DZ$4-DZ$3+1</f>
        <v>92</v>
      </c>
      <c r="EA5" s="45" t="n">
        <f aca="false">EA$4-EA$3+1</f>
        <v>90</v>
      </c>
      <c r="EB5" s="45" t="n">
        <f aca="false">EB$4-EB$3+1</f>
        <v>91</v>
      </c>
      <c r="EC5" s="45" t="n">
        <f aca="false">EC$4-EC$3+1</f>
        <v>92</v>
      </c>
      <c r="ED5" s="45" t="n">
        <f aca="false">ED$4-ED$3+1</f>
        <v>92</v>
      </c>
      <c r="EE5" s="45" t="n">
        <f aca="false">EE$4-EE$3+1</f>
        <v>90</v>
      </c>
      <c r="EF5" s="45" t="n">
        <f aca="false">EF$4-EF$3+1</f>
        <v>91</v>
      </c>
      <c r="EG5" s="45" t="n">
        <f aca="false">EG$4-EG$3+1</f>
        <v>92</v>
      </c>
      <c r="EH5" s="45" t="n">
        <f aca="false">EH$4-EH$3+1</f>
        <v>92</v>
      </c>
      <c r="EI5" s="45" t="n">
        <f aca="false">EI$4-EI$3+1</f>
        <v>90</v>
      </c>
      <c r="EJ5" s="45" t="n">
        <f aca="false">EJ$4-EJ$3+1</f>
        <v>91</v>
      </c>
      <c r="EK5" s="45" t="n">
        <f aca="false">EK$4-EK$3+1</f>
        <v>92</v>
      </c>
      <c r="EL5" s="45" t="n">
        <f aca="false">EL$4-EL$3+1</f>
        <v>92</v>
      </c>
      <c r="EM5" s="45" t="n">
        <f aca="false">EM$4-EM$3+1</f>
        <v>91</v>
      </c>
      <c r="EN5" s="45" t="n">
        <f aca="false">EN$4-EN$3+1</f>
        <v>91</v>
      </c>
      <c r="EO5" s="45" t="n">
        <f aca="false">EO$4-EO$3+1</f>
        <v>92</v>
      </c>
    </row>
    <row r="6" customFormat="false" ht="15" hidden="false" customHeight="false" outlineLevel="0" collapsed="false">
      <c r="C6" s="1" t="s">
        <v>410</v>
      </c>
      <c r="D6" s="12" t="s">
        <v>411</v>
      </c>
      <c r="J6" s="56" t="n">
        <f aca="false">J$5/Days_In_Year</f>
        <v>0.252054794520548</v>
      </c>
      <c r="K6" s="56" t="n">
        <f aca="false">K$5/Days_In_Year</f>
        <v>0.246575342465753</v>
      </c>
      <c r="L6" s="56" t="n">
        <f aca="false">L$5/Days_In_Year</f>
        <v>0.249315068493151</v>
      </c>
      <c r="M6" s="56" t="n">
        <f aca="false">M$5/Days_In_Year</f>
        <v>0.252054794520548</v>
      </c>
      <c r="N6" s="56" t="n">
        <f aca="false">N$5/Days_In_Year</f>
        <v>0.252054794520548</v>
      </c>
      <c r="O6" s="56" t="n">
        <f aca="false">O$5/Days_In_Year</f>
        <v>0.249315068493151</v>
      </c>
      <c r="P6" s="56" t="n">
        <f aca="false">P$5/Days_In_Year</f>
        <v>0.249315068493151</v>
      </c>
      <c r="Q6" s="56" t="n">
        <f aca="false">Q$5/Days_In_Year</f>
        <v>0.252054794520548</v>
      </c>
      <c r="R6" s="56" t="n">
        <f aca="false">R$5/Days_In_Year</f>
        <v>0.252054794520548</v>
      </c>
      <c r="S6" s="56" t="n">
        <f aca="false">S$5/Days_In_Year</f>
        <v>0.246575342465753</v>
      </c>
      <c r="T6" s="56" t="n">
        <f aca="false">T$5/Days_In_Year</f>
        <v>0.249315068493151</v>
      </c>
      <c r="U6" s="56" t="n">
        <f aca="false">U$5/Days_In_Year</f>
        <v>0.252054794520548</v>
      </c>
      <c r="V6" s="56" t="n">
        <f aca="false">V$5/Days_In_Year</f>
        <v>0.252054794520548</v>
      </c>
      <c r="W6" s="56" t="n">
        <f aca="false">W$5/Days_In_Year</f>
        <v>0.246575342465753</v>
      </c>
      <c r="X6" s="56" t="n">
        <f aca="false">X$5/Days_In_Year</f>
        <v>0.249315068493151</v>
      </c>
      <c r="Y6" s="56" t="n">
        <f aca="false">Y$5/Days_In_Year</f>
        <v>0.252054794520548</v>
      </c>
      <c r="Z6" s="56" t="n">
        <f aca="false">Z$5/Days_In_Year</f>
        <v>0.252054794520548</v>
      </c>
      <c r="AA6" s="56" t="n">
        <f aca="false">AA$5/Days_In_Year</f>
        <v>0.246575342465753</v>
      </c>
      <c r="AB6" s="56" t="n">
        <f aca="false">AB$5/Days_In_Year</f>
        <v>0.249315068493151</v>
      </c>
      <c r="AC6" s="56" t="n">
        <f aca="false">AC$5/Days_In_Year</f>
        <v>0.252054794520548</v>
      </c>
      <c r="AD6" s="56" t="n">
        <f aca="false">AD$5/Days_In_Year</f>
        <v>0.252054794520548</v>
      </c>
      <c r="AE6" s="56" t="n">
        <f aca="false">AE$5/Days_In_Year</f>
        <v>0.249315068493151</v>
      </c>
      <c r="AF6" s="56" t="n">
        <f aca="false">AF$5/Days_In_Year</f>
        <v>0.249315068493151</v>
      </c>
      <c r="AG6" s="56" t="n">
        <f aca="false">AG$5/Days_In_Year</f>
        <v>0.252054794520548</v>
      </c>
      <c r="AH6" s="56" t="n">
        <f aca="false">AH$5/Days_In_Year</f>
        <v>0.252054794520548</v>
      </c>
      <c r="AI6" s="56" t="n">
        <f aca="false">AI$5/Days_In_Year</f>
        <v>0.246575342465753</v>
      </c>
      <c r="AJ6" s="56" t="n">
        <f aca="false">AJ$5/Days_In_Year</f>
        <v>0.249315068493151</v>
      </c>
      <c r="AK6" s="56" t="n">
        <f aca="false">AK$5/Days_In_Year</f>
        <v>0.252054794520548</v>
      </c>
      <c r="AL6" s="56" t="n">
        <f aca="false">AL$5/Days_In_Year</f>
        <v>0.252054794520548</v>
      </c>
      <c r="AM6" s="56" t="n">
        <f aca="false">AM$5/Days_In_Year</f>
        <v>0.246575342465753</v>
      </c>
      <c r="AN6" s="56" t="n">
        <f aca="false">AN$5/Days_In_Year</f>
        <v>0.249315068493151</v>
      </c>
      <c r="AO6" s="56" t="n">
        <f aca="false">AO$5/Days_In_Year</f>
        <v>0.252054794520548</v>
      </c>
      <c r="AP6" s="56" t="n">
        <f aca="false">AP$5/Days_In_Year</f>
        <v>0.252054794520548</v>
      </c>
      <c r="AQ6" s="56" t="n">
        <f aca="false">AQ$5/Days_In_Year</f>
        <v>0.246575342465753</v>
      </c>
      <c r="AR6" s="56" t="n">
        <f aca="false">AR$5/Days_In_Year</f>
        <v>0.249315068493151</v>
      </c>
      <c r="AS6" s="56" t="n">
        <f aca="false">AS$5/Days_In_Year</f>
        <v>0.252054794520548</v>
      </c>
      <c r="AT6" s="56" t="n">
        <f aca="false">AT$5/Days_In_Year</f>
        <v>0.252054794520548</v>
      </c>
      <c r="AU6" s="56" t="n">
        <f aca="false">AU$5/Days_In_Year</f>
        <v>0.249315068493151</v>
      </c>
      <c r="AV6" s="56" t="n">
        <f aca="false">AV$5/Days_In_Year</f>
        <v>0.249315068493151</v>
      </c>
      <c r="AW6" s="56" t="n">
        <f aca="false">AW$5/Days_In_Year</f>
        <v>0.252054794520548</v>
      </c>
      <c r="AX6" s="56" t="n">
        <f aca="false">AX$5/Days_In_Year</f>
        <v>0.252054794520548</v>
      </c>
      <c r="AY6" s="56" t="n">
        <f aca="false">AY$5/Days_In_Year</f>
        <v>0.246575342465753</v>
      </c>
      <c r="AZ6" s="56" t="n">
        <f aca="false">AZ$5/Days_In_Year</f>
        <v>0.249315068493151</v>
      </c>
      <c r="BA6" s="56" t="n">
        <f aca="false">BA$5/Days_In_Year</f>
        <v>0.252054794520548</v>
      </c>
      <c r="BB6" s="56" t="n">
        <f aca="false">BB$5/Days_In_Year</f>
        <v>0.252054794520548</v>
      </c>
      <c r="BC6" s="56" t="n">
        <f aca="false">BC$5/Days_In_Year</f>
        <v>0.246575342465753</v>
      </c>
      <c r="BD6" s="56" t="n">
        <f aca="false">BD$5/Days_In_Year</f>
        <v>0.249315068493151</v>
      </c>
      <c r="BE6" s="56" t="n">
        <f aca="false">BE$5/Days_In_Year</f>
        <v>0.252054794520548</v>
      </c>
      <c r="BF6" s="56" t="n">
        <f aca="false">BF$5/Days_In_Year</f>
        <v>0.252054794520548</v>
      </c>
      <c r="BG6" s="56" t="n">
        <f aca="false">BG$5/Days_In_Year</f>
        <v>0.246575342465753</v>
      </c>
      <c r="BH6" s="56" t="n">
        <f aca="false">BH$5/Days_In_Year</f>
        <v>0.249315068493151</v>
      </c>
      <c r="BI6" s="56" t="n">
        <f aca="false">BI$5/Days_In_Year</f>
        <v>0.252054794520548</v>
      </c>
      <c r="BJ6" s="56" t="n">
        <f aca="false">BJ$5/Days_In_Year</f>
        <v>0.252054794520548</v>
      </c>
      <c r="BK6" s="56" t="n">
        <f aca="false">BK$5/Days_In_Year</f>
        <v>0.249315068493151</v>
      </c>
      <c r="BL6" s="56" t="n">
        <f aca="false">BL$5/Days_In_Year</f>
        <v>0.249315068493151</v>
      </c>
      <c r="BM6" s="56" t="n">
        <f aca="false">BM$5/Days_In_Year</f>
        <v>0.252054794520548</v>
      </c>
      <c r="BN6" s="56" t="n">
        <f aca="false">BN$5/Days_In_Year</f>
        <v>0.252054794520548</v>
      </c>
      <c r="BO6" s="56" t="n">
        <f aca="false">BO$5/Days_In_Year</f>
        <v>0.246575342465753</v>
      </c>
      <c r="BP6" s="56" t="n">
        <f aca="false">BP$5/Days_In_Year</f>
        <v>0.249315068493151</v>
      </c>
      <c r="BQ6" s="56" t="n">
        <f aca="false">BQ$5/Days_In_Year</f>
        <v>0.252054794520548</v>
      </c>
      <c r="BR6" s="56" t="n">
        <f aca="false">BR$5/Days_In_Year</f>
        <v>0.252054794520548</v>
      </c>
      <c r="BS6" s="56" t="n">
        <f aca="false">BS$5/Days_In_Year</f>
        <v>0.246575342465753</v>
      </c>
      <c r="BT6" s="56" t="n">
        <f aca="false">BT$5/Days_In_Year</f>
        <v>0.249315068493151</v>
      </c>
      <c r="BU6" s="56" t="n">
        <f aca="false">BU$5/Days_In_Year</f>
        <v>0.252054794520548</v>
      </c>
      <c r="BV6" s="56" t="n">
        <f aca="false">BV$5/Days_In_Year</f>
        <v>0.252054794520548</v>
      </c>
      <c r="BW6" s="56" t="n">
        <f aca="false">BW$5/Days_In_Year</f>
        <v>0.246575342465753</v>
      </c>
      <c r="BX6" s="56" t="n">
        <f aca="false">BX$5/Days_In_Year</f>
        <v>0.249315068493151</v>
      </c>
      <c r="BY6" s="56" t="n">
        <f aca="false">BY$5/Days_In_Year</f>
        <v>0.252054794520548</v>
      </c>
      <c r="BZ6" s="56" t="n">
        <f aca="false">BZ$5/Days_In_Year</f>
        <v>0.252054794520548</v>
      </c>
      <c r="CA6" s="56" t="n">
        <f aca="false">CA$5/Days_In_Year</f>
        <v>0.249315068493151</v>
      </c>
      <c r="CB6" s="56" t="n">
        <f aca="false">CB$5/Days_In_Year</f>
        <v>0.249315068493151</v>
      </c>
      <c r="CC6" s="56" t="n">
        <f aca="false">CC$5/Days_In_Year</f>
        <v>0.252054794520548</v>
      </c>
      <c r="CD6" s="56" t="n">
        <f aca="false">CD$5/Days_In_Year</f>
        <v>0.252054794520548</v>
      </c>
      <c r="CE6" s="56" t="n">
        <f aca="false">CE$5/Days_In_Year</f>
        <v>0.246575342465753</v>
      </c>
      <c r="CF6" s="56" t="n">
        <f aca="false">CF$5/Days_In_Year</f>
        <v>0.249315068493151</v>
      </c>
      <c r="CG6" s="56" t="n">
        <f aca="false">CG$5/Days_In_Year</f>
        <v>0.252054794520548</v>
      </c>
      <c r="CH6" s="56" t="n">
        <f aca="false">CH$5/Days_In_Year</f>
        <v>0.252054794520548</v>
      </c>
      <c r="CI6" s="56" t="n">
        <f aca="false">CI$5/Days_In_Year</f>
        <v>0.246575342465753</v>
      </c>
      <c r="CJ6" s="56" t="n">
        <f aca="false">CJ$5/Days_In_Year</f>
        <v>0.249315068493151</v>
      </c>
      <c r="CK6" s="56" t="n">
        <f aca="false">CK$5/Days_In_Year</f>
        <v>0.252054794520548</v>
      </c>
      <c r="CL6" s="56" t="n">
        <f aca="false">CL$5/Days_In_Year</f>
        <v>0.252054794520548</v>
      </c>
      <c r="CM6" s="56" t="n">
        <f aca="false">CM$5/Days_In_Year</f>
        <v>0.246575342465753</v>
      </c>
      <c r="CN6" s="56" t="n">
        <f aca="false">CN$5/Days_In_Year</f>
        <v>0.249315068493151</v>
      </c>
      <c r="CO6" s="56" t="n">
        <f aca="false">CO$5/Days_In_Year</f>
        <v>0.252054794520548</v>
      </c>
      <c r="CP6" s="56" t="n">
        <f aca="false">CP$5/Days_In_Year</f>
        <v>0.252054794520548</v>
      </c>
      <c r="CQ6" s="56" t="n">
        <f aca="false">CQ$5/Days_In_Year</f>
        <v>0.249315068493151</v>
      </c>
      <c r="CR6" s="56" t="n">
        <f aca="false">CR$5/Days_In_Year</f>
        <v>0.249315068493151</v>
      </c>
      <c r="CS6" s="56" t="n">
        <f aca="false">CS$5/Days_In_Year</f>
        <v>0.252054794520548</v>
      </c>
      <c r="CT6" s="56" t="n">
        <f aca="false">CT$5/Days_In_Year</f>
        <v>0.252054794520548</v>
      </c>
      <c r="CU6" s="56" t="n">
        <f aca="false">CU$5/Days_In_Year</f>
        <v>0.246575342465753</v>
      </c>
      <c r="CV6" s="56" t="n">
        <f aca="false">CV$5/Days_In_Year</f>
        <v>0.249315068493151</v>
      </c>
      <c r="CW6" s="56" t="n">
        <f aca="false">CW$5/Days_In_Year</f>
        <v>0.252054794520548</v>
      </c>
      <c r="CX6" s="56" t="n">
        <f aca="false">CX$5/Days_In_Year</f>
        <v>0.252054794520548</v>
      </c>
      <c r="CY6" s="56" t="n">
        <f aca="false">CY$5/Days_In_Year</f>
        <v>0.246575342465753</v>
      </c>
      <c r="CZ6" s="56" t="n">
        <f aca="false">CZ$5/Days_In_Year</f>
        <v>0.249315068493151</v>
      </c>
      <c r="DA6" s="56" t="n">
        <f aca="false">DA$5/Days_In_Year</f>
        <v>0.252054794520548</v>
      </c>
      <c r="DB6" s="56" t="n">
        <f aca="false">DB$5/Days_In_Year</f>
        <v>0.252054794520548</v>
      </c>
      <c r="DC6" s="56" t="n">
        <f aca="false">DC$5/Days_In_Year</f>
        <v>0.246575342465753</v>
      </c>
      <c r="DD6" s="56" t="n">
        <f aca="false">DD$5/Days_In_Year</f>
        <v>0.249315068493151</v>
      </c>
      <c r="DE6" s="56" t="n">
        <f aca="false">DE$5/Days_In_Year</f>
        <v>0.252054794520548</v>
      </c>
      <c r="DF6" s="56" t="n">
        <f aca="false">DF$5/Days_In_Year</f>
        <v>0.252054794520548</v>
      </c>
      <c r="DG6" s="56" t="n">
        <f aca="false">DG$5/Days_In_Year</f>
        <v>0.249315068493151</v>
      </c>
      <c r="DH6" s="56" t="n">
        <f aca="false">DH$5/Days_In_Year</f>
        <v>0.249315068493151</v>
      </c>
      <c r="DI6" s="56" t="n">
        <f aca="false">DI$5/Days_In_Year</f>
        <v>0.252054794520548</v>
      </c>
      <c r="DJ6" s="56" t="n">
        <f aca="false">DJ$5/Days_In_Year</f>
        <v>0.252054794520548</v>
      </c>
      <c r="DK6" s="56" t="n">
        <f aca="false">DK$5/Days_In_Year</f>
        <v>0.246575342465753</v>
      </c>
      <c r="DL6" s="56" t="n">
        <f aca="false">DL$5/Days_In_Year</f>
        <v>0.249315068493151</v>
      </c>
      <c r="DM6" s="56" t="n">
        <f aca="false">DM$5/Days_In_Year</f>
        <v>0.252054794520548</v>
      </c>
      <c r="DN6" s="56" t="n">
        <f aca="false">DN$5/Days_In_Year</f>
        <v>0.252054794520548</v>
      </c>
      <c r="DO6" s="56" t="n">
        <f aca="false">DO$5/Days_In_Year</f>
        <v>0.246575342465753</v>
      </c>
      <c r="DP6" s="56" t="n">
        <f aca="false">DP$5/Days_In_Year</f>
        <v>0.249315068493151</v>
      </c>
      <c r="DQ6" s="56" t="n">
        <f aca="false">DQ$5/Days_In_Year</f>
        <v>0.252054794520548</v>
      </c>
      <c r="DR6" s="56" t="n">
        <f aca="false">DR$5/Days_In_Year</f>
        <v>0.252054794520548</v>
      </c>
      <c r="DS6" s="56" t="n">
        <f aca="false">DS$5/Days_In_Year</f>
        <v>0.246575342465753</v>
      </c>
      <c r="DT6" s="56" t="n">
        <f aca="false">DT$5/Days_In_Year</f>
        <v>0.249315068493151</v>
      </c>
      <c r="DU6" s="56" t="n">
        <f aca="false">DU$5/Days_In_Year</f>
        <v>0.252054794520548</v>
      </c>
      <c r="DV6" s="56" t="n">
        <f aca="false">DV$5/Days_In_Year</f>
        <v>0.252054794520548</v>
      </c>
      <c r="DW6" s="56" t="n">
        <f aca="false">DW$5/Days_In_Year</f>
        <v>0.249315068493151</v>
      </c>
      <c r="DX6" s="56" t="n">
        <f aca="false">DX$5/Days_In_Year</f>
        <v>0.249315068493151</v>
      </c>
      <c r="DY6" s="56" t="n">
        <f aca="false">DY$5/Days_In_Year</f>
        <v>0.252054794520548</v>
      </c>
      <c r="DZ6" s="56" t="n">
        <f aca="false">DZ$5/Days_In_Year</f>
        <v>0.252054794520548</v>
      </c>
      <c r="EA6" s="56" t="n">
        <f aca="false">EA$5/Days_In_Year</f>
        <v>0.246575342465753</v>
      </c>
      <c r="EB6" s="56" t="n">
        <f aca="false">EB$5/Days_In_Year</f>
        <v>0.249315068493151</v>
      </c>
      <c r="EC6" s="56" t="n">
        <f aca="false">EC$5/Days_In_Year</f>
        <v>0.252054794520548</v>
      </c>
      <c r="ED6" s="56" t="n">
        <f aca="false">ED$5/Days_In_Year</f>
        <v>0.252054794520548</v>
      </c>
      <c r="EE6" s="56" t="n">
        <f aca="false">EE$5/Days_In_Year</f>
        <v>0.246575342465753</v>
      </c>
      <c r="EF6" s="56" t="n">
        <f aca="false">EF$5/Days_In_Year</f>
        <v>0.249315068493151</v>
      </c>
      <c r="EG6" s="56" t="n">
        <f aca="false">EG$5/Days_In_Year</f>
        <v>0.252054794520548</v>
      </c>
      <c r="EH6" s="56" t="n">
        <f aca="false">EH$5/Days_In_Year</f>
        <v>0.252054794520548</v>
      </c>
      <c r="EI6" s="56" t="n">
        <f aca="false">EI$5/Days_In_Year</f>
        <v>0.246575342465753</v>
      </c>
      <c r="EJ6" s="56" t="n">
        <f aca="false">EJ$5/Days_In_Year</f>
        <v>0.249315068493151</v>
      </c>
      <c r="EK6" s="56" t="n">
        <f aca="false">EK$5/Days_In_Year</f>
        <v>0.252054794520548</v>
      </c>
      <c r="EL6" s="56" t="n">
        <f aca="false">EL$5/Days_In_Year</f>
        <v>0.252054794520548</v>
      </c>
      <c r="EM6" s="56" t="n">
        <f aca="false">EM$5/Days_In_Year</f>
        <v>0.249315068493151</v>
      </c>
      <c r="EN6" s="56" t="n">
        <f aca="false">EN$5/Days_In_Year</f>
        <v>0.249315068493151</v>
      </c>
      <c r="EO6" s="56" t="n">
        <f aca="false">EO$5/Days_In_Year</f>
        <v>0.252054794520548</v>
      </c>
    </row>
    <row r="7" customFormat="false" ht="15" hidden="false" customHeight="false" outlineLevel="0" collapsed="false">
      <c r="C7" s="1" t="s">
        <v>412</v>
      </c>
      <c r="D7" s="12" t="s">
        <v>413</v>
      </c>
      <c r="J7" s="45" t="n">
        <f aca="false">YEAR(J$4)</f>
        <v>2026</v>
      </c>
      <c r="K7" s="45" t="n">
        <f aca="false">YEAR(K$4)</f>
        <v>2027</v>
      </c>
      <c r="L7" s="45" t="n">
        <f aca="false">YEAR(L$4)</f>
        <v>2027</v>
      </c>
      <c r="M7" s="45" t="n">
        <f aca="false">YEAR(M$4)</f>
        <v>2027</v>
      </c>
      <c r="N7" s="45" t="n">
        <f aca="false">YEAR(N$4)</f>
        <v>2027</v>
      </c>
      <c r="O7" s="45" t="n">
        <f aca="false">YEAR(O$4)</f>
        <v>2028</v>
      </c>
      <c r="P7" s="45" t="n">
        <f aca="false">YEAR(P$4)</f>
        <v>2028</v>
      </c>
      <c r="Q7" s="45" t="n">
        <f aca="false">YEAR(Q$4)</f>
        <v>2028</v>
      </c>
      <c r="R7" s="45" t="n">
        <f aca="false">YEAR(R$4)</f>
        <v>2028</v>
      </c>
      <c r="S7" s="45" t="n">
        <f aca="false">YEAR(S$4)</f>
        <v>2029</v>
      </c>
      <c r="T7" s="45" t="n">
        <f aca="false">YEAR(T$4)</f>
        <v>2029</v>
      </c>
      <c r="U7" s="45" t="n">
        <f aca="false">YEAR(U$4)</f>
        <v>2029</v>
      </c>
      <c r="V7" s="45" t="n">
        <f aca="false">YEAR(V$4)</f>
        <v>2029</v>
      </c>
      <c r="W7" s="45" t="n">
        <f aca="false">YEAR(W$4)</f>
        <v>2030</v>
      </c>
      <c r="X7" s="45" t="n">
        <f aca="false">YEAR(X$4)</f>
        <v>2030</v>
      </c>
      <c r="Y7" s="45" t="n">
        <f aca="false">YEAR(Y$4)</f>
        <v>2030</v>
      </c>
      <c r="Z7" s="45" t="n">
        <f aca="false">YEAR(Z$4)</f>
        <v>2030</v>
      </c>
      <c r="AA7" s="45" t="n">
        <f aca="false">YEAR(AA$4)</f>
        <v>2031</v>
      </c>
      <c r="AB7" s="45" t="n">
        <f aca="false">YEAR(AB$4)</f>
        <v>2031</v>
      </c>
      <c r="AC7" s="45" t="n">
        <f aca="false">YEAR(AC$4)</f>
        <v>2031</v>
      </c>
      <c r="AD7" s="45" t="n">
        <f aca="false">YEAR(AD$4)</f>
        <v>2031</v>
      </c>
      <c r="AE7" s="45" t="n">
        <f aca="false">YEAR(AE$4)</f>
        <v>2032</v>
      </c>
      <c r="AF7" s="45" t="n">
        <f aca="false">YEAR(AF$4)</f>
        <v>2032</v>
      </c>
      <c r="AG7" s="45" t="n">
        <f aca="false">YEAR(AG$4)</f>
        <v>2032</v>
      </c>
      <c r="AH7" s="45" t="n">
        <f aca="false">YEAR(AH$4)</f>
        <v>2032</v>
      </c>
      <c r="AI7" s="45" t="n">
        <f aca="false">YEAR(AI$4)</f>
        <v>2033</v>
      </c>
      <c r="AJ7" s="45" t="n">
        <f aca="false">YEAR(AJ$4)</f>
        <v>2033</v>
      </c>
      <c r="AK7" s="45" t="n">
        <f aca="false">YEAR(AK$4)</f>
        <v>2033</v>
      </c>
      <c r="AL7" s="45" t="n">
        <f aca="false">YEAR(AL$4)</f>
        <v>2033</v>
      </c>
      <c r="AM7" s="45" t="n">
        <f aca="false">YEAR(AM$4)</f>
        <v>2034</v>
      </c>
      <c r="AN7" s="45" t="n">
        <f aca="false">YEAR(AN$4)</f>
        <v>2034</v>
      </c>
      <c r="AO7" s="45" t="n">
        <f aca="false">YEAR(AO$4)</f>
        <v>2034</v>
      </c>
      <c r="AP7" s="45" t="n">
        <f aca="false">YEAR(AP$4)</f>
        <v>2034</v>
      </c>
      <c r="AQ7" s="45" t="n">
        <f aca="false">YEAR(AQ$4)</f>
        <v>2035</v>
      </c>
      <c r="AR7" s="45" t="n">
        <f aca="false">YEAR(AR$4)</f>
        <v>2035</v>
      </c>
      <c r="AS7" s="45" t="n">
        <f aca="false">YEAR(AS$4)</f>
        <v>2035</v>
      </c>
      <c r="AT7" s="45" t="n">
        <f aca="false">YEAR(AT$4)</f>
        <v>2035</v>
      </c>
      <c r="AU7" s="45" t="n">
        <f aca="false">YEAR(AU$4)</f>
        <v>2036</v>
      </c>
      <c r="AV7" s="45" t="n">
        <f aca="false">YEAR(AV$4)</f>
        <v>2036</v>
      </c>
      <c r="AW7" s="45" t="n">
        <f aca="false">YEAR(AW$4)</f>
        <v>2036</v>
      </c>
      <c r="AX7" s="45" t="n">
        <f aca="false">YEAR(AX$4)</f>
        <v>2036</v>
      </c>
      <c r="AY7" s="45" t="n">
        <f aca="false">YEAR(AY$4)</f>
        <v>2037</v>
      </c>
      <c r="AZ7" s="45" t="n">
        <f aca="false">YEAR(AZ$4)</f>
        <v>2037</v>
      </c>
      <c r="BA7" s="45" t="n">
        <f aca="false">YEAR(BA$4)</f>
        <v>2037</v>
      </c>
      <c r="BB7" s="45" t="n">
        <f aca="false">YEAR(BB$4)</f>
        <v>2037</v>
      </c>
      <c r="BC7" s="45" t="n">
        <f aca="false">YEAR(BC$4)</f>
        <v>2038</v>
      </c>
      <c r="BD7" s="45" t="n">
        <f aca="false">YEAR(BD$4)</f>
        <v>2038</v>
      </c>
      <c r="BE7" s="45" t="n">
        <f aca="false">YEAR(BE$4)</f>
        <v>2038</v>
      </c>
      <c r="BF7" s="45" t="n">
        <f aca="false">YEAR(BF$4)</f>
        <v>2038</v>
      </c>
      <c r="BG7" s="45" t="n">
        <f aca="false">YEAR(BG$4)</f>
        <v>2039</v>
      </c>
      <c r="BH7" s="45" t="n">
        <f aca="false">YEAR(BH$4)</f>
        <v>2039</v>
      </c>
      <c r="BI7" s="45" t="n">
        <f aca="false">YEAR(BI$4)</f>
        <v>2039</v>
      </c>
      <c r="BJ7" s="45" t="n">
        <f aca="false">YEAR(BJ$4)</f>
        <v>2039</v>
      </c>
      <c r="BK7" s="45" t="n">
        <f aca="false">YEAR(BK$4)</f>
        <v>2040</v>
      </c>
      <c r="BL7" s="45" t="n">
        <f aca="false">YEAR(BL$4)</f>
        <v>2040</v>
      </c>
      <c r="BM7" s="45" t="n">
        <f aca="false">YEAR(BM$4)</f>
        <v>2040</v>
      </c>
      <c r="BN7" s="45" t="n">
        <f aca="false">YEAR(BN$4)</f>
        <v>2040</v>
      </c>
      <c r="BO7" s="45" t="n">
        <f aca="false">YEAR(BO$4)</f>
        <v>2041</v>
      </c>
      <c r="BP7" s="45" t="n">
        <f aca="false">YEAR(BP$4)</f>
        <v>2041</v>
      </c>
      <c r="BQ7" s="45" t="n">
        <f aca="false">YEAR(BQ$4)</f>
        <v>2041</v>
      </c>
      <c r="BR7" s="45" t="n">
        <f aca="false">YEAR(BR$4)</f>
        <v>2041</v>
      </c>
      <c r="BS7" s="45" t="n">
        <f aca="false">YEAR(BS$4)</f>
        <v>2042</v>
      </c>
      <c r="BT7" s="45" t="n">
        <f aca="false">YEAR(BT$4)</f>
        <v>2042</v>
      </c>
      <c r="BU7" s="45" t="n">
        <f aca="false">YEAR(BU$4)</f>
        <v>2042</v>
      </c>
      <c r="BV7" s="45" t="n">
        <f aca="false">YEAR(BV$4)</f>
        <v>2042</v>
      </c>
      <c r="BW7" s="45" t="n">
        <f aca="false">YEAR(BW$4)</f>
        <v>2043</v>
      </c>
      <c r="BX7" s="45" t="n">
        <f aca="false">YEAR(BX$4)</f>
        <v>2043</v>
      </c>
      <c r="BY7" s="45" t="n">
        <f aca="false">YEAR(BY$4)</f>
        <v>2043</v>
      </c>
      <c r="BZ7" s="45" t="n">
        <f aca="false">YEAR(BZ$4)</f>
        <v>2043</v>
      </c>
      <c r="CA7" s="45" t="n">
        <f aca="false">YEAR(CA$4)</f>
        <v>2044</v>
      </c>
      <c r="CB7" s="45" t="n">
        <f aca="false">YEAR(CB$4)</f>
        <v>2044</v>
      </c>
      <c r="CC7" s="45" t="n">
        <f aca="false">YEAR(CC$4)</f>
        <v>2044</v>
      </c>
      <c r="CD7" s="45" t="n">
        <f aca="false">YEAR(CD$4)</f>
        <v>2044</v>
      </c>
      <c r="CE7" s="45" t="n">
        <f aca="false">YEAR(CE$4)</f>
        <v>2045</v>
      </c>
      <c r="CF7" s="45" t="n">
        <f aca="false">YEAR(CF$4)</f>
        <v>2045</v>
      </c>
      <c r="CG7" s="45" t="n">
        <f aca="false">YEAR(CG$4)</f>
        <v>2045</v>
      </c>
      <c r="CH7" s="45" t="n">
        <f aca="false">YEAR(CH$4)</f>
        <v>2045</v>
      </c>
      <c r="CI7" s="45" t="n">
        <f aca="false">YEAR(CI$4)</f>
        <v>2046</v>
      </c>
      <c r="CJ7" s="45" t="n">
        <f aca="false">YEAR(CJ$4)</f>
        <v>2046</v>
      </c>
      <c r="CK7" s="45" t="n">
        <f aca="false">YEAR(CK$4)</f>
        <v>2046</v>
      </c>
      <c r="CL7" s="45" t="n">
        <f aca="false">YEAR(CL$4)</f>
        <v>2046</v>
      </c>
      <c r="CM7" s="45" t="n">
        <f aca="false">YEAR(CM$4)</f>
        <v>2047</v>
      </c>
      <c r="CN7" s="45" t="n">
        <f aca="false">YEAR(CN$4)</f>
        <v>2047</v>
      </c>
      <c r="CO7" s="45" t="n">
        <f aca="false">YEAR(CO$4)</f>
        <v>2047</v>
      </c>
      <c r="CP7" s="45" t="n">
        <f aca="false">YEAR(CP$4)</f>
        <v>2047</v>
      </c>
      <c r="CQ7" s="45" t="n">
        <f aca="false">YEAR(CQ$4)</f>
        <v>2048</v>
      </c>
      <c r="CR7" s="45" t="n">
        <f aca="false">YEAR(CR$4)</f>
        <v>2048</v>
      </c>
      <c r="CS7" s="45" t="n">
        <f aca="false">YEAR(CS$4)</f>
        <v>2048</v>
      </c>
      <c r="CT7" s="45" t="n">
        <f aca="false">YEAR(CT$4)</f>
        <v>2048</v>
      </c>
      <c r="CU7" s="45" t="n">
        <f aca="false">YEAR(CU$4)</f>
        <v>2049</v>
      </c>
      <c r="CV7" s="45" t="n">
        <f aca="false">YEAR(CV$4)</f>
        <v>2049</v>
      </c>
      <c r="CW7" s="45" t="n">
        <f aca="false">YEAR(CW$4)</f>
        <v>2049</v>
      </c>
      <c r="CX7" s="45" t="n">
        <f aca="false">YEAR(CX$4)</f>
        <v>2049</v>
      </c>
      <c r="CY7" s="45" t="n">
        <f aca="false">YEAR(CY$4)</f>
        <v>2050</v>
      </c>
      <c r="CZ7" s="45" t="n">
        <f aca="false">YEAR(CZ$4)</f>
        <v>2050</v>
      </c>
      <c r="DA7" s="45" t="n">
        <f aca="false">YEAR(DA$4)</f>
        <v>2050</v>
      </c>
      <c r="DB7" s="45" t="n">
        <f aca="false">YEAR(DB$4)</f>
        <v>2050</v>
      </c>
      <c r="DC7" s="45" t="n">
        <f aca="false">YEAR(DC$4)</f>
        <v>2051</v>
      </c>
      <c r="DD7" s="45" t="n">
        <f aca="false">YEAR(DD$4)</f>
        <v>2051</v>
      </c>
      <c r="DE7" s="45" t="n">
        <f aca="false">YEAR(DE$4)</f>
        <v>2051</v>
      </c>
      <c r="DF7" s="45" t="n">
        <f aca="false">YEAR(DF$4)</f>
        <v>2051</v>
      </c>
      <c r="DG7" s="45" t="n">
        <f aca="false">YEAR(DG$4)</f>
        <v>2052</v>
      </c>
      <c r="DH7" s="45" t="n">
        <f aca="false">YEAR(DH$4)</f>
        <v>2052</v>
      </c>
      <c r="DI7" s="45" t="n">
        <f aca="false">YEAR(DI$4)</f>
        <v>2052</v>
      </c>
      <c r="DJ7" s="45" t="n">
        <f aca="false">YEAR(DJ$4)</f>
        <v>2052</v>
      </c>
      <c r="DK7" s="45" t="n">
        <f aca="false">YEAR(DK$4)</f>
        <v>2053</v>
      </c>
      <c r="DL7" s="45" t="n">
        <f aca="false">YEAR(DL$4)</f>
        <v>2053</v>
      </c>
      <c r="DM7" s="45" t="n">
        <f aca="false">YEAR(DM$4)</f>
        <v>2053</v>
      </c>
      <c r="DN7" s="45" t="n">
        <f aca="false">YEAR(DN$4)</f>
        <v>2053</v>
      </c>
      <c r="DO7" s="45" t="n">
        <f aca="false">YEAR(DO$4)</f>
        <v>2054</v>
      </c>
      <c r="DP7" s="45" t="n">
        <f aca="false">YEAR(DP$4)</f>
        <v>2054</v>
      </c>
      <c r="DQ7" s="45" t="n">
        <f aca="false">YEAR(DQ$4)</f>
        <v>2054</v>
      </c>
      <c r="DR7" s="45" t="n">
        <f aca="false">YEAR(DR$4)</f>
        <v>2054</v>
      </c>
      <c r="DS7" s="45" t="n">
        <f aca="false">YEAR(DS$4)</f>
        <v>2055</v>
      </c>
      <c r="DT7" s="45" t="n">
        <f aca="false">YEAR(DT$4)</f>
        <v>2055</v>
      </c>
      <c r="DU7" s="45" t="n">
        <f aca="false">YEAR(DU$4)</f>
        <v>2055</v>
      </c>
      <c r="DV7" s="45" t="n">
        <f aca="false">YEAR(DV$4)</f>
        <v>2055</v>
      </c>
      <c r="DW7" s="45" t="n">
        <f aca="false">YEAR(DW$4)</f>
        <v>2056</v>
      </c>
      <c r="DX7" s="45" t="n">
        <f aca="false">YEAR(DX$4)</f>
        <v>2056</v>
      </c>
      <c r="DY7" s="45" t="n">
        <f aca="false">YEAR(DY$4)</f>
        <v>2056</v>
      </c>
      <c r="DZ7" s="45" t="n">
        <f aca="false">YEAR(DZ$4)</f>
        <v>2056</v>
      </c>
      <c r="EA7" s="45" t="n">
        <f aca="false">YEAR(EA$4)</f>
        <v>2057</v>
      </c>
      <c r="EB7" s="45" t="n">
        <f aca="false">YEAR(EB$4)</f>
        <v>2057</v>
      </c>
      <c r="EC7" s="45" t="n">
        <f aca="false">YEAR(EC$4)</f>
        <v>2057</v>
      </c>
      <c r="ED7" s="45" t="n">
        <f aca="false">YEAR(ED$4)</f>
        <v>2057</v>
      </c>
      <c r="EE7" s="45" t="n">
        <f aca="false">YEAR(EE$4)</f>
        <v>2058</v>
      </c>
      <c r="EF7" s="45" t="n">
        <f aca="false">YEAR(EF$4)</f>
        <v>2058</v>
      </c>
      <c r="EG7" s="45" t="n">
        <f aca="false">YEAR(EG$4)</f>
        <v>2058</v>
      </c>
      <c r="EH7" s="45" t="n">
        <f aca="false">YEAR(EH$4)</f>
        <v>2058</v>
      </c>
      <c r="EI7" s="45" t="n">
        <f aca="false">YEAR(EI$4)</f>
        <v>2059</v>
      </c>
      <c r="EJ7" s="45" t="n">
        <f aca="false">YEAR(EJ$4)</f>
        <v>2059</v>
      </c>
      <c r="EK7" s="45" t="n">
        <f aca="false">YEAR(EK$4)</f>
        <v>2059</v>
      </c>
      <c r="EL7" s="45" t="n">
        <f aca="false">YEAR(EL$4)</f>
        <v>2059</v>
      </c>
      <c r="EM7" s="45" t="n">
        <f aca="false">YEAR(EM$4)</f>
        <v>2060</v>
      </c>
      <c r="EN7" s="45" t="n">
        <f aca="false">YEAR(EN$4)</f>
        <v>2060</v>
      </c>
      <c r="EO7" s="45" t="n">
        <f aca="false">YEAR(EO$4)</f>
        <v>2060</v>
      </c>
    </row>
    <row r="8" customFormat="false" ht="15" hidden="false" customHeight="false" outlineLevel="0" collapsed="false">
      <c r="C8" s="1" t="s">
        <v>414</v>
      </c>
      <c r="D8" s="12" t="s">
        <v>150</v>
      </c>
      <c r="J8" s="45" t="n">
        <f aca="false">I$8+1</f>
        <v>1</v>
      </c>
      <c r="K8" s="45" t="n">
        <f aca="false">J$8+1</f>
        <v>2</v>
      </c>
      <c r="L8" s="45" t="n">
        <f aca="false">K$8+1</f>
        <v>3</v>
      </c>
      <c r="M8" s="45" t="n">
        <f aca="false">L$8+1</f>
        <v>4</v>
      </c>
      <c r="N8" s="45" t="n">
        <f aca="false">M$8+1</f>
        <v>5</v>
      </c>
      <c r="O8" s="45" t="n">
        <f aca="false">N$8+1</f>
        <v>6</v>
      </c>
      <c r="P8" s="45" t="n">
        <f aca="false">O$8+1</f>
        <v>7</v>
      </c>
      <c r="Q8" s="45" t="n">
        <f aca="false">P$8+1</f>
        <v>8</v>
      </c>
      <c r="R8" s="45" t="n">
        <f aca="false">Q$8+1</f>
        <v>9</v>
      </c>
      <c r="S8" s="45" t="n">
        <f aca="false">R$8+1</f>
        <v>10</v>
      </c>
      <c r="T8" s="45" t="n">
        <f aca="false">S$8+1</f>
        <v>11</v>
      </c>
      <c r="U8" s="45" t="n">
        <f aca="false">T$8+1</f>
        <v>12</v>
      </c>
      <c r="V8" s="45" t="n">
        <f aca="false">U$8+1</f>
        <v>13</v>
      </c>
      <c r="W8" s="45" t="n">
        <f aca="false">V$8+1</f>
        <v>14</v>
      </c>
      <c r="X8" s="45" t="n">
        <f aca="false">W$8+1</f>
        <v>15</v>
      </c>
      <c r="Y8" s="45" t="n">
        <f aca="false">X$8+1</f>
        <v>16</v>
      </c>
      <c r="Z8" s="45" t="n">
        <f aca="false">Y$8+1</f>
        <v>17</v>
      </c>
      <c r="AA8" s="45" t="n">
        <f aca="false">Z$8+1</f>
        <v>18</v>
      </c>
      <c r="AB8" s="45" t="n">
        <f aca="false">AA$8+1</f>
        <v>19</v>
      </c>
      <c r="AC8" s="45" t="n">
        <f aca="false">AB$8+1</f>
        <v>20</v>
      </c>
      <c r="AD8" s="45" t="n">
        <f aca="false">AC$8+1</f>
        <v>21</v>
      </c>
      <c r="AE8" s="45" t="n">
        <f aca="false">AD$8+1</f>
        <v>22</v>
      </c>
      <c r="AF8" s="45" t="n">
        <f aca="false">AE$8+1</f>
        <v>23</v>
      </c>
      <c r="AG8" s="45" t="n">
        <f aca="false">AF$8+1</f>
        <v>24</v>
      </c>
      <c r="AH8" s="45" t="n">
        <f aca="false">AG$8+1</f>
        <v>25</v>
      </c>
      <c r="AI8" s="45" t="n">
        <f aca="false">AH$8+1</f>
        <v>26</v>
      </c>
      <c r="AJ8" s="45" t="n">
        <f aca="false">AI$8+1</f>
        <v>27</v>
      </c>
      <c r="AK8" s="45" t="n">
        <f aca="false">AJ$8+1</f>
        <v>28</v>
      </c>
      <c r="AL8" s="45" t="n">
        <f aca="false">AK$8+1</f>
        <v>29</v>
      </c>
      <c r="AM8" s="45" t="n">
        <f aca="false">AL$8+1</f>
        <v>30</v>
      </c>
      <c r="AN8" s="45" t="n">
        <f aca="false">AM$8+1</f>
        <v>31</v>
      </c>
      <c r="AO8" s="45" t="n">
        <f aca="false">AN$8+1</f>
        <v>32</v>
      </c>
      <c r="AP8" s="45" t="n">
        <f aca="false">AO$8+1</f>
        <v>33</v>
      </c>
      <c r="AQ8" s="45" t="n">
        <f aca="false">AP$8+1</f>
        <v>34</v>
      </c>
      <c r="AR8" s="45" t="n">
        <f aca="false">AQ$8+1</f>
        <v>35</v>
      </c>
      <c r="AS8" s="45" t="n">
        <f aca="false">AR$8+1</f>
        <v>36</v>
      </c>
      <c r="AT8" s="45" t="n">
        <f aca="false">AS$8+1</f>
        <v>37</v>
      </c>
      <c r="AU8" s="45" t="n">
        <f aca="false">AT$8+1</f>
        <v>38</v>
      </c>
      <c r="AV8" s="45" t="n">
        <f aca="false">AU$8+1</f>
        <v>39</v>
      </c>
      <c r="AW8" s="45" t="n">
        <f aca="false">AV$8+1</f>
        <v>40</v>
      </c>
      <c r="AX8" s="45" t="n">
        <f aca="false">AW$8+1</f>
        <v>41</v>
      </c>
      <c r="AY8" s="45" t="n">
        <f aca="false">AX$8+1</f>
        <v>42</v>
      </c>
      <c r="AZ8" s="45" t="n">
        <f aca="false">AY$8+1</f>
        <v>43</v>
      </c>
      <c r="BA8" s="45" t="n">
        <f aca="false">AZ$8+1</f>
        <v>44</v>
      </c>
      <c r="BB8" s="45" t="n">
        <f aca="false">BA$8+1</f>
        <v>45</v>
      </c>
      <c r="BC8" s="45" t="n">
        <f aca="false">BB$8+1</f>
        <v>46</v>
      </c>
      <c r="BD8" s="45" t="n">
        <f aca="false">BC$8+1</f>
        <v>47</v>
      </c>
      <c r="BE8" s="45" t="n">
        <f aca="false">BD$8+1</f>
        <v>48</v>
      </c>
      <c r="BF8" s="45" t="n">
        <f aca="false">BE$8+1</f>
        <v>49</v>
      </c>
      <c r="BG8" s="45" t="n">
        <f aca="false">BF$8+1</f>
        <v>50</v>
      </c>
      <c r="BH8" s="45" t="n">
        <f aca="false">BG$8+1</f>
        <v>51</v>
      </c>
      <c r="BI8" s="45" t="n">
        <f aca="false">BH$8+1</f>
        <v>52</v>
      </c>
      <c r="BJ8" s="45" t="n">
        <f aca="false">BI$8+1</f>
        <v>53</v>
      </c>
      <c r="BK8" s="45" t="n">
        <f aca="false">BJ$8+1</f>
        <v>54</v>
      </c>
      <c r="BL8" s="45" t="n">
        <f aca="false">BK$8+1</f>
        <v>55</v>
      </c>
      <c r="BM8" s="45" t="n">
        <f aca="false">BL$8+1</f>
        <v>56</v>
      </c>
      <c r="BN8" s="45" t="n">
        <f aca="false">BM$8+1</f>
        <v>57</v>
      </c>
      <c r="BO8" s="45" t="n">
        <f aca="false">BN$8+1</f>
        <v>58</v>
      </c>
      <c r="BP8" s="45" t="n">
        <f aca="false">BO$8+1</f>
        <v>59</v>
      </c>
      <c r="BQ8" s="45" t="n">
        <f aca="false">BP$8+1</f>
        <v>60</v>
      </c>
      <c r="BR8" s="45" t="n">
        <f aca="false">BQ$8+1</f>
        <v>61</v>
      </c>
      <c r="BS8" s="45" t="n">
        <f aca="false">BR$8+1</f>
        <v>62</v>
      </c>
      <c r="BT8" s="45" t="n">
        <f aca="false">BS$8+1</f>
        <v>63</v>
      </c>
      <c r="BU8" s="45" t="n">
        <f aca="false">BT$8+1</f>
        <v>64</v>
      </c>
      <c r="BV8" s="45" t="n">
        <f aca="false">BU$8+1</f>
        <v>65</v>
      </c>
      <c r="BW8" s="45" t="n">
        <f aca="false">BV$8+1</f>
        <v>66</v>
      </c>
      <c r="BX8" s="45" t="n">
        <f aca="false">BW$8+1</f>
        <v>67</v>
      </c>
      <c r="BY8" s="45" t="n">
        <f aca="false">BX$8+1</f>
        <v>68</v>
      </c>
      <c r="BZ8" s="45" t="n">
        <f aca="false">BY$8+1</f>
        <v>69</v>
      </c>
      <c r="CA8" s="45" t="n">
        <f aca="false">BZ$8+1</f>
        <v>70</v>
      </c>
      <c r="CB8" s="45" t="n">
        <f aca="false">CA$8+1</f>
        <v>71</v>
      </c>
      <c r="CC8" s="45" t="n">
        <f aca="false">CB$8+1</f>
        <v>72</v>
      </c>
      <c r="CD8" s="45" t="n">
        <f aca="false">CC$8+1</f>
        <v>73</v>
      </c>
      <c r="CE8" s="45" t="n">
        <f aca="false">CD$8+1</f>
        <v>74</v>
      </c>
      <c r="CF8" s="45" t="n">
        <f aca="false">CE$8+1</f>
        <v>75</v>
      </c>
      <c r="CG8" s="45" t="n">
        <f aca="false">CF$8+1</f>
        <v>76</v>
      </c>
      <c r="CH8" s="45" t="n">
        <f aca="false">CG$8+1</f>
        <v>77</v>
      </c>
      <c r="CI8" s="45" t="n">
        <f aca="false">CH$8+1</f>
        <v>78</v>
      </c>
      <c r="CJ8" s="45" t="n">
        <f aca="false">CI$8+1</f>
        <v>79</v>
      </c>
      <c r="CK8" s="45" t="n">
        <f aca="false">CJ$8+1</f>
        <v>80</v>
      </c>
      <c r="CL8" s="45" t="n">
        <f aca="false">CK$8+1</f>
        <v>81</v>
      </c>
      <c r="CM8" s="45" t="n">
        <f aca="false">CL$8+1</f>
        <v>82</v>
      </c>
      <c r="CN8" s="45" t="n">
        <f aca="false">CM$8+1</f>
        <v>83</v>
      </c>
      <c r="CO8" s="45" t="n">
        <f aca="false">CN$8+1</f>
        <v>84</v>
      </c>
      <c r="CP8" s="45" t="n">
        <f aca="false">CO$8+1</f>
        <v>85</v>
      </c>
      <c r="CQ8" s="45" t="n">
        <f aca="false">CP$8+1</f>
        <v>86</v>
      </c>
      <c r="CR8" s="45" t="n">
        <f aca="false">CQ$8+1</f>
        <v>87</v>
      </c>
      <c r="CS8" s="45" t="n">
        <f aca="false">CR$8+1</f>
        <v>88</v>
      </c>
      <c r="CT8" s="45" t="n">
        <f aca="false">CS$8+1</f>
        <v>89</v>
      </c>
      <c r="CU8" s="45" t="n">
        <f aca="false">CT$8+1</f>
        <v>90</v>
      </c>
      <c r="CV8" s="45" t="n">
        <f aca="false">CU$8+1</f>
        <v>91</v>
      </c>
      <c r="CW8" s="45" t="n">
        <f aca="false">CV$8+1</f>
        <v>92</v>
      </c>
      <c r="CX8" s="45" t="n">
        <f aca="false">CW$8+1</f>
        <v>93</v>
      </c>
      <c r="CY8" s="45" t="n">
        <f aca="false">CX$8+1</f>
        <v>94</v>
      </c>
      <c r="CZ8" s="45" t="n">
        <f aca="false">CY$8+1</f>
        <v>95</v>
      </c>
      <c r="DA8" s="45" t="n">
        <f aca="false">CZ$8+1</f>
        <v>96</v>
      </c>
      <c r="DB8" s="45" t="n">
        <f aca="false">DA$8+1</f>
        <v>97</v>
      </c>
      <c r="DC8" s="45" t="n">
        <f aca="false">DB$8+1</f>
        <v>98</v>
      </c>
      <c r="DD8" s="45" t="n">
        <f aca="false">DC$8+1</f>
        <v>99</v>
      </c>
      <c r="DE8" s="45" t="n">
        <f aca="false">DD$8+1</f>
        <v>100</v>
      </c>
      <c r="DF8" s="45" t="n">
        <f aca="false">DE$8+1</f>
        <v>101</v>
      </c>
      <c r="DG8" s="45" t="n">
        <f aca="false">DF$8+1</f>
        <v>102</v>
      </c>
      <c r="DH8" s="45" t="n">
        <f aca="false">DG$8+1</f>
        <v>103</v>
      </c>
      <c r="DI8" s="45" t="n">
        <f aca="false">DH$8+1</f>
        <v>104</v>
      </c>
      <c r="DJ8" s="45" t="n">
        <f aca="false">DI$8+1</f>
        <v>105</v>
      </c>
      <c r="DK8" s="45" t="n">
        <f aca="false">DJ$8+1</f>
        <v>106</v>
      </c>
      <c r="DL8" s="45" t="n">
        <f aca="false">DK$8+1</f>
        <v>107</v>
      </c>
      <c r="DM8" s="45" t="n">
        <f aca="false">DL$8+1</f>
        <v>108</v>
      </c>
      <c r="DN8" s="45" t="n">
        <f aca="false">DM$8+1</f>
        <v>109</v>
      </c>
      <c r="DO8" s="45" t="n">
        <f aca="false">DN$8+1</f>
        <v>110</v>
      </c>
      <c r="DP8" s="45" t="n">
        <f aca="false">DO$8+1</f>
        <v>111</v>
      </c>
      <c r="DQ8" s="45" t="n">
        <f aca="false">DP$8+1</f>
        <v>112</v>
      </c>
      <c r="DR8" s="45" t="n">
        <f aca="false">DQ$8+1</f>
        <v>113</v>
      </c>
      <c r="DS8" s="45" t="n">
        <f aca="false">DR$8+1</f>
        <v>114</v>
      </c>
      <c r="DT8" s="45" t="n">
        <f aca="false">DS$8+1</f>
        <v>115</v>
      </c>
      <c r="DU8" s="45" t="n">
        <f aca="false">DT$8+1</f>
        <v>116</v>
      </c>
      <c r="DV8" s="45" t="n">
        <f aca="false">DU$8+1</f>
        <v>117</v>
      </c>
      <c r="DW8" s="45" t="n">
        <f aca="false">DV$8+1</f>
        <v>118</v>
      </c>
      <c r="DX8" s="45" t="n">
        <f aca="false">DW$8+1</f>
        <v>119</v>
      </c>
      <c r="DY8" s="45" t="n">
        <f aca="false">DX$8+1</f>
        <v>120</v>
      </c>
      <c r="DZ8" s="45" t="n">
        <f aca="false">DY$8+1</f>
        <v>121</v>
      </c>
      <c r="EA8" s="45" t="n">
        <f aca="false">DZ$8+1</f>
        <v>122</v>
      </c>
      <c r="EB8" s="45" t="n">
        <f aca="false">EA$8+1</f>
        <v>123</v>
      </c>
      <c r="EC8" s="45" t="n">
        <f aca="false">EB$8+1</f>
        <v>124</v>
      </c>
      <c r="ED8" s="45" t="n">
        <f aca="false">EC$8+1</f>
        <v>125</v>
      </c>
      <c r="EE8" s="45" t="n">
        <f aca="false">ED$8+1</f>
        <v>126</v>
      </c>
      <c r="EF8" s="45" t="n">
        <f aca="false">EE$8+1</f>
        <v>127</v>
      </c>
      <c r="EG8" s="45" t="n">
        <f aca="false">EF$8+1</f>
        <v>128</v>
      </c>
      <c r="EH8" s="45" t="n">
        <f aca="false">EG$8+1</f>
        <v>129</v>
      </c>
      <c r="EI8" s="45" t="n">
        <f aca="false">EH$8+1</f>
        <v>130</v>
      </c>
      <c r="EJ8" s="45" t="n">
        <f aca="false">EI$8+1</f>
        <v>131</v>
      </c>
      <c r="EK8" s="45" t="n">
        <f aca="false">EJ$8+1</f>
        <v>132</v>
      </c>
      <c r="EL8" s="45" t="n">
        <f aca="false">EK$8+1</f>
        <v>133</v>
      </c>
      <c r="EM8" s="45" t="n">
        <f aca="false">EL$8+1</f>
        <v>134</v>
      </c>
      <c r="EN8" s="45" t="n">
        <f aca="false">EM$8+1</f>
        <v>135</v>
      </c>
      <c r="EO8" s="45" t="n">
        <f aca="false">EN$8+1</f>
        <v>136</v>
      </c>
    </row>
    <row r="11" customFormat="false" ht="15" hidden="false" customHeight="false" outlineLevel="0" collapsed="false">
      <c r="A11" s="10" t="s">
        <v>13</v>
      </c>
      <c r="B11" s="10"/>
      <c r="C11" s="10" t="s">
        <v>415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customFormat="false" ht="15" hidden="false" customHeight="false" outlineLevel="0" collapsed="false">
      <c r="C12" s="1" t="s">
        <v>416</v>
      </c>
      <c r="D12" s="12" t="s">
        <v>411</v>
      </c>
      <c r="E12" s="47" t="n">
        <f aca="false">In_NTP+1</f>
        <v>47027</v>
      </c>
      <c r="F12" s="21" t="n">
        <f aca="false">In_COD</f>
        <v>47756</v>
      </c>
      <c r="I12" s="56" t="n">
        <f aca="false">SUM(J12:EO12)</f>
        <v>1</v>
      </c>
      <c r="J12" s="56" t="n">
        <f aca="false">MAX(0,MIN($F12,J$4)-MAX($E12,J$3)+1)/($F12-$E12+1)</f>
        <v>0</v>
      </c>
      <c r="K12" s="56" t="n">
        <f aca="false">MAX(0,MIN($F12,K$4)-MAX($E12,K$3)+1)/($F12-$E12+1)</f>
        <v>0</v>
      </c>
      <c r="L12" s="56" t="n">
        <f aca="false">MAX(0,MIN($F12,L$4)-MAX($E12,L$3)+1)/($F12-$E12+1)</f>
        <v>0</v>
      </c>
      <c r="M12" s="56" t="n">
        <f aca="false">MAX(0,MIN($F12,M$4)-MAX($E12,M$3)+1)/($F12-$E12+1)</f>
        <v>0</v>
      </c>
      <c r="N12" s="56" t="n">
        <f aca="false">MAX(0,MIN($F12,N$4)-MAX($E12,N$3)+1)/($F12-$E12+1)</f>
        <v>0</v>
      </c>
      <c r="O12" s="56" t="n">
        <f aca="false">MAX(0,MIN($F12,O$4)-MAX($E12,O$3)+1)/($F12-$E12+1)</f>
        <v>0</v>
      </c>
      <c r="P12" s="56" t="n">
        <f aca="false">MAX(0,MIN($F12,P$4)-MAX($E12,P$3)+1)/($F12-$E12+1)</f>
        <v>0</v>
      </c>
      <c r="Q12" s="56" t="n">
        <f aca="false">MAX(0,MIN($F12,Q$4)-MAX($E12,Q$3)+1)/($F12-$E12+1)</f>
        <v>0</v>
      </c>
      <c r="R12" s="56" t="n">
        <f aca="false">MAX(0,MIN($F12,R$4)-MAX($E12,R$3)+1)/($F12-$E12+1)</f>
        <v>0.126027397260274</v>
      </c>
      <c r="S12" s="56" t="n">
        <f aca="false">MAX(0,MIN($F12,S$4)-MAX($E12,S$3)+1)/($F12-$E12+1)</f>
        <v>0.123287671232877</v>
      </c>
      <c r="T12" s="56" t="n">
        <f aca="false">MAX(0,MIN($F12,T$4)-MAX($E12,T$3)+1)/($F12-$E12+1)</f>
        <v>0.124657534246575</v>
      </c>
      <c r="U12" s="56" t="n">
        <f aca="false">MAX(0,MIN($F12,U$4)-MAX($E12,U$3)+1)/($F12-$E12+1)</f>
        <v>0.126027397260274</v>
      </c>
      <c r="V12" s="56" t="n">
        <f aca="false">MAX(0,MIN($F12,V$4)-MAX($E12,V$3)+1)/($F12-$E12+1)</f>
        <v>0.126027397260274</v>
      </c>
      <c r="W12" s="56" t="n">
        <f aca="false">MAX(0,MIN($F12,W$4)-MAX($E12,W$3)+1)/($F12-$E12+1)</f>
        <v>0.123287671232877</v>
      </c>
      <c r="X12" s="56" t="n">
        <f aca="false">MAX(0,MIN($F12,X$4)-MAX($E12,X$3)+1)/($F12-$E12+1)</f>
        <v>0.124657534246575</v>
      </c>
      <c r="Y12" s="56" t="n">
        <f aca="false">MAX(0,MIN($F12,Y$4)-MAX($E12,Y$3)+1)/($F12-$E12+1)</f>
        <v>0.126027397260274</v>
      </c>
      <c r="Z12" s="56" t="n">
        <f aca="false">MAX(0,MIN($F12,Z$4)-MAX($E12,Z$3)+1)/($F12-$E12+1)</f>
        <v>0</v>
      </c>
      <c r="AA12" s="56" t="n">
        <f aca="false">MAX(0,MIN($F12,AA$4)-MAX($E12,AA$3)+1)/($F12-$E12+1)</f>
        <v>0</v>
      </c>
      <c r="AB12" s="56" t="n">
        <f aca="false">MAX(0,MIN($F12,AB$4)-MAX($E12,AB$3)+1)/($F12-$E12+1)</f>
        <v>0</v>
      </c>
      <c r="AC12" s="56" t="n">
        <f aca="false">MAX(0,MIN($F12,AC$4)-MAX($E12,AC$3)+1)/($F12-$E12+1)</f>
        <v>0</v>
      </c>
      <c r="AD12" s="56" t="n">
        <f aca="false">MAX(0,MIN($F12,AD$4)-MAX($E12,AD$3)+1)/($F12-$E12+1)</f>
        <v>0</v>
      </c>
      <c r="AE12" s="56" t="n">
        <f aca="false">MAX(0,MIN($F12,AE$4)-MAX($E12,AE$3)+1)/($F12-$E12+1)</f>
        <v>0</v>
      </c>
      <c r="AF12" s="56" t="n">
        <f aca="false">MAX(0,MIN($F12,AF$4)-MAX($E12,AF$3)+1)/($F12-$E12+1)</f>
        <v>0</v>
      </c>
      <c r="AG12" s="56" t="n">
        <f aca="false">MAX(0,MIN($F12,AG$4)-MAX($E12,AG$3)+1)/($F12-$E12+1)</f>
        <v>0</v>
      </c>
      <c r="AH12" s="56" t="n">
        <f aca="false">MAX(0,MIN($F12,AH$4)-MAX($E12,AH$3)+1)/($F12-$E12+1)</f>
        <v>0</v>
      </c>
      <c r="AI12" s="56" t="n">
        <f aca="false">MAX(0,MIN($F12,AI$4)-MAX($E12,AI$3)+1)/($F12-$E12+1)</f>
        <v>0</v>
      </c>
      <c r="AJ12" s="56" t="n">
        <f aca="false">MAX(0,MIN($F12,AJ$4)-MAX($E12,AJ$3)+1)/($F12-$E12+1)</f>
        <v>0</v>
      </c>
      <c r="AK12" s="56" t="n">
        <f aca="false">MAX(0,MIN($F12,AK$4)-MAX($E12,AK$3)+1)/($F12-$E12+1)</f>
        <v>0</v>
      </c>
      <c r="AL12" s="56" t="n">
        <f aca="false">MAX(0,MIN($F12,AL$4)-MAX($E12,AL$3)+1)/($F12-$E12+1)</f>
        <v>0</v>
      </c>
      <c r="AM12" s="56" t="n">
        <f aca="false">MAX(0,MIN($F12,AM$4)-MAX($E12,AM$3)+1)/($F12-$E12+1)</f>
        <v>0</v>
      </c>
      <c r="AN12" s="56" t="n">
        <f aca="false">MAX(0,MIN($F12,AN$4)-MAX($E12,AN$3)+1)/($F12-$E12+1)</f>
        <v>0</v>
      </c>
      <c r="AO12" s="56" t="n">
        <f aca="false">MAX(0,MIN($F12,AO$4)-MAX($E12,AO$3)+1)/($F12-$E12+1)</f>
        <v>0</v>
      </c>
      <c r="AP12" s="56" t="n">
        <f aca="false">MAX(0,MIN($F12,AP$4)-MAX($E12,AP$3)+1)/($F12-$E12+1)</f>
        <v>0</v>
      </c>
      <c r="AQ12" s="56" t="n">
        <f aca="false">MAX(0,MIN($F12,AQ$4)-MAX($E12,AQ$3)+1)/($F12-$E12+1)</f>
        <v>0</v>
      </c>
      <c r="AR12" s="56" t="n">
        <f aca="false">MAX(0,MIN($F12,AR$4)-MAX($E12,AR$3)+1)/($F12-$E12+1)</f>
        <v>0</v>
      </c>
      <c r="AS12" s="56" t="n">
        <f aca="false">MAX(0,MIN($F12,AS$4)-MAX($E12,AS$3)+1)/($F12-$E12+1)</f>
        <v>0</v>
      </c>
      <c r="AT12" s="56" t="n">
        <f aca="false">MAX(0,MIN($F12,AT$4)-MAX($E12,AT$3)+1)/($F12-$E12+1)</f>
        <v>0</v>
      </c>
      <c r="AU12" s="56" t="n">
        <f aca="false">MAX(0,MIN($F12,AU$4)-MAX($E12,AU$3)+1)/($F12-$E12+1)</f>
        <v>0</v>
      </c>
      <c r="AV12" s="56" t="n">
        <f aca="false">MAX(0,MIN($F12,AV$4)-MAX($E12,AV$3)+1)/($F12-$E12+1)</f>
        <v>0</v>
      </c>
      <c r="AW12" s="56" t="n">
        <f aca="false">MAX(0,MIN($F12,AW$4)-MAX($E12,AW$3)+1)/($F12-$E12+1)</f>
        <v>0</v>
      </c>
      <c r="AX12" s="56" t="n">
        <f aca="false">MAX(0,MIN($F12,AX$4)-MAX($E12,AX$3)+1)/($F12-$E12+1)</f>
        <v>0</v>
      </c>
      <c r="AY12" s="56" t="n">
        <f aca="false">MAX(0,MIN($F12,AY$4)-MAX($E12,AY$3)+1)/($F12-$E12+1)</f>
        <v>0</v>
      </c>
      <c r="AZ12" s="56" t="n">
        <f aca="false">MAX(0,MIN($F12,AZ$4)-MAX($E12,AZ$3)+1)/($F12-$E12+1)</f>
        <v>0</v>
      </c>
      <c r="BA12" s="56" t="n">
        <f aca="false">MAX(0,MIN($F12,BA$4)-MAX($E12,BA$3)+1)/($F12-$E12+1)</f>
        <v>0</v>
      </c>
      <c r="BB12" s="56" t="n">
        <f aca="false">MAX(0,MIN($F12,BB$4)-MAX($E12,BB$3)+1)/($F12-$E12+1)</f>
        <v>0</v>
      </c>
      <c r="BC12" s="56" t="n">
        <f aca="false">MAX(0,MIN($F12,BC$4)-MAX($E12,BC$3)+1)/($F12-$E12+1)</f>
        <v>0</v>
      </c>
      <c r="BD12" s="56" t="n">
        <f aca="false">MAX(0,MIN($F12,BD$4)-MAX($E12,BD$3)+1)/($F12-$E12+1)</f>
        <v>0</v>
      </c>
      <c r="BE12" s="56" t="n">
        <f aca="false">MAX(0,MIN($F12,BE$4)-MAX($E12,BE$3)+1)/($F12-$E12+1)</f>
        <v>0</v>
      </c>
      <c r="BF12" s="56" t="n">
        <f aca="false">MAX(0,MIN($F12,BF$4)-MAX($E12,BF$3)+1)/($F12-$E12+1)</f>
        <v>0</v>
      </c>
      <c r="BG12" s="56" t="n">
        <f aca="false">MAX(0,MIN($F12,BG$4)-MAX($E12,BG$3)+1)/($F12-$E12+1)</f>
        <v>0</v>
      </c>
      <c r="BH12" s="56" t="n">
        <f aca="false">MAX(0,MIN($F12,BH$4)-MAX($E12,BH$3)+1)/($F12-$E12+1)</f>
        <v>0</v>
      </c>
      <c r="BI12" s="56" t="n">
        <f aca="false">MAX(0,MIN($F12,BI$4)-MAX($E12,BI$3)+1)/($F12-$E12+1)</f>
        <v>0</v>
      </c>
      <c r="BJ12" s="56" t="n">
        <f aca="false">MAX(0,MIN($F12,BJ$4)-MAX($E12,BJ$3)+1)/($F12-$E12+1)</f>
        <v>0</v>
      </c>
      <c r="BK12" s="56" t="n">
        <f aca="false">MAX(0,MIN($F12,BK$4)-MAX($E12,BK$3)+1)/($F12-$E12+1)</f>
        <v>0</v>
      </c>
      <c r="BL12" s="56" t="n">
        <f aca="false">MAX(0,MIN($F12,BL$4)-MAX($E12,BL$3)+1)/($F12-$E12+1)</f>
        <v>0</v>
      </c>
      <c r="BM12" s="56" t="n">
        <f aca="false">MAX(0,MIN($F12,BM$4)-MAX($E12,BM$3)+1)/($F12-$E12+1)</f>
        <v>0</v>
      </c>
      <c r="BN12" s="56" t="n">
        <f aca="false">MAX(0,MIN($F12,BN$4)-MAX($E12,BN$3)+1)/($F12-$E12+1)</f>
        <v>0</v>
      </c>
      <c r="BO12" s="56" t="n">
        <f aca="false">MAX(0,MIN($F12,BO$4)-MAX($E12,BO$3)+1)/($F12-$E12+1)</f>
        <v>0</v>
      </c>
      <c r="BP12" s="56" t="n">
        <f aca="false">MAX(0,MIN($F12,BP$4)-MAX($E12,BP$3)+1)/($F12-$E12+1)</f>
        <v>0</v>
      </c>
      <c r="BQ12" s="56" t="n">
        <f aca="false">MAX(0,MIN($F12,BQ$4)-MAX($E12,BQ$3)+1)/($F12-$E12+1)</f>
        <v>0</v>
      </c>
      <c r="BR12" s="56" t="n">
        <f aca="false">MAX(0,MIN($F12,BR$4)-MAX($E12,BR$3)+1)/($F12-$E12+1)</f>
        <v>0</v>
      </c>
      <c r="BS12" s="56" t="n">
        <f aca="false">MAX(0,MIN($F12,BS$4)-MAX($E12,BS$3)+1)/($F12-$E12+1)</f>
        <v>0</v>
      </c>
      <c r="BT12" s="56" t="n">
        <f aca="false">MAX(0,MIN($F12,BT$4)-MAX($E12,BT$3)+1)/($F12-$E12+1)</f>
        <v>0</v>
      </c>
      <c r="BU12" s="56" t="n">
        <f aca="false">MAX(0,MIN($F12,BU$4)-MAX($E12,BU$3)+1)/($F12-$E12+1)</f>
        <v>0</v>
      </c>
      <c r="BV12" s="56" t="n">
        <f aca="false">MAX(0,MIN($F12,BV$4)-MAX($E12,BV$3)+1)/($F12-$E12+1)</f>
        <v>0</v>
      </c>
      <c r="BW12" s="56" t="n">
        <f aca="false">MAX(0,MIN($F12,BW$4)-MAX($E12,BW$3)+1)/($F12-$E12+1)</f>
        <v>0</v>
      </c>
      <c r="BX12" s="56" t="n">
        <f aca="false">MAX(0,MIN($F12,BX$4)-MAX($E12,BX$3)+1)/($F12-$E12+1)</f>
        <v>0</v>
      </c>
      <c r="BY12" s="56" t="n">
        <f aca="false">MAX(0,MIN($F12,BY$4)-MAX($E12,BY$3)+1)/($F12-$E12+1)</f>
        <v>0</v>
      </c>
      <c r="BZ12" s="56" t="n">
        <f aca="false">MAX(0,MIN($F12,BZ$4)-MAX($E12,BZ$3)+1)/($F12-$E12+1)</f>
        <v>0</v>
      </c>
      <c r="CA12" s="56" t="n">
        <f aca="false">MAX(0,MIN($F12,CA$4)-MAX($E12,CA$3)+1)/($F12-$E12+1)</f>
        <v>0</v>
      </c>
      <c r="CB12" s="56" t="n">
        <f aca="false">MAX(0,MIN($F12,CB$4)-MAX($E12,CB$3)+1)/($F12-$E12+1)</f>
        <v>0</v>
      </c>
      <c r="CC12" s="56" t="n">
        <f aca="false">MAX(0,MIN($F12,CC$4)-MAX($E12,CC$3)+1)/($F12-$E12+1)</f>
        <v>0</v>
      </c>
      <c r="CD12" s="56" t="n">
        <f aca="false">MAX(0,MIN($F12,CD$4)-MAX($E12,CD$3)+1)/($F12-$E12+1)</f>
        <v>0</v>
      </c>
      <c r="CE12" s="56" t="n">
        <f aca="false">MAX(0,MIN($F12,CE$4)-MAX($E12,CE$3)+1)/($F12-$E12+1)</f>
        <v>0</v>
      </c>
      <c r="CF12" s="56" t="n">
        <f aca="false">MAX(0,MIN($F12,CF$4)-MAX($E12,CF$3)+1)/($F12-$E12+1)</f>
        <v>0</v>
      </c>
      <c r="CG12" s="56" t="n">
        <f aca="false">MAX(0,MIN($F12,CG$4)-MAX($E12,CG$3)+1)/($F12-$E12+1)</f>
        <v>0</v>
      </c>
      <c r="CH12" s="56" t="n">
        <f aca="false">MAX(0,MIN($F12,CH$4)-MAX($E12,CH$3)+1)/($F12-$E12+1)</f>
        <v>0</v>
      </c>
      <c r="CI12" s="56" t="n">
        <f aca="false">MAX(0,MIN($F12,CI$4)-MAX($E12,CI$3)+1)/($F12-$E12+1)</f>
        <v>0</v>
      </c>
      <c r="CJ12" s="56" t="n">
        <f aca="false">MAX(0,MIN($F12,CJ$4)-MAX($E12,CJ$3)+1)/($F12-$E12+1)</f>
        <v>0</v>
      </c>
      <c r="CK12" s="56" t="n">
        <f aca="false">MAX(0,MIN($F12,CK$4)-MAX($E12,CK$3)+1)/($F12-$E12+1)</f>
        <v>0</v>
      </c>
      <c r="CL12" s="56" t="n">
        <f aca="false">MAX(0,MIN($F12,CL$4)-MAX($E12,CL$3)+1)/($F12-$E12+1)</f>
        <v>0</v>
      </c>
      <c r="CM12" s="56" t="n">
        <f aca="false">MAX(0,MIN($F12,CM$4)-MAX($E12,CM$3)+1)/($F12-$E12+1)</f>
        <v>0</v>
      </c>
      <c r="CN12" s="56" t="n">
        <f aca="false">MAX(0,MIN($F12,CN$4)-MAX($E12,CN$3)+1)/($F12-$E12+1)</f>
        <v>0</v>
      </c>
      <c r="CO12" s="56" t="n">
        <f aca="false">MAX(0,MIN($F12,CO$4)-MAX($E12,CO$3)+1)/($F12-$E12+1)</f>
        <v>0</v>
      </c>
      <c r="CP12" s="56" t="n">
        <f aca="false">MAX(0,MIN($F12,CP$4)-MAX($E12,CP$3)+1)/($F12-$E12+1)</f>
        <v>0</v>
      </c>
      <c r="CQ12" s="56" t="n">
        <f aca="false">MAX(0,MIN($F12,CQ$4)-MAX($E12,CQ$3)+1)/($F12-$E12+1)</f>
        <v>0</v>
      </c>
      <c r="CR12" s="56" t="n">
        <f aca="false">MAX(0,MIN($F12,CR$4)-MAX($E12,CR$3)+1)/($F12-$E12+1)</f>
        <v>0</v>
      </c>
      <c r="CS12" s="56" t="n">
        <f aca="false">MAX(0,MIN($F12,CS$4)-MAX($E12,CS$3)+1)/($F12-$E12+1)</f>
        <v>0</v>
      </c>
      <c r="CT12" s="56" t="n">
        <f aca="false">MAX(0,MIN($F12,CT$4)-MAX($E12,CT$3)+1)/($F12-$E12+1)</f>
        <v>0</v>
      </c>
      <c r="CU12" s="56" t="n">
        <f aca="false">MAX(0,MIN($F12,CU$4)-MAX($E12,CU$3)+1)/($F12-$E12+1)</f>
        <v>0</v>
      </c>
      <c r="CV12" s="56" t="n">
        <f aca="false">MAX(0,MIN($F12,CV$4)-MAX($E12,CV$3)+1)/($F12-$E12+1)</f>
        <v>0</v>
      </c>
      <c r="CW12" s="56" t="n">
        <f aca="false">MAX(0,MIN($F12,CW$4)-MAX($E12,CW$3)+1)/($F12-$E12+1)</f>
        <v>0</v>
      </c>
      <c r="CX12" s="56" t="n">
        <f aca="false">MAX(0,MIN($F12,CX$4)-MAX($E12,CX$3)+1)/($F12-$E12+1)</f>
        <v>0</v>
      </c>
      <c r="CY12" s="56" t="n">
        <f aca="false">MAX(0,MIN($F12,CY$4)-MAX($E12,CY$3)+1)/($F12-$E12+1)</f>
        <v>0</v>
      </c>
      <c r="CZ12" s="56" t="n">
        <f aca="false">MAX(0,MIN($F12,CZ$4)-MAX($E12,CZ$3)+1)/($F12-$E12+1)</f>
        <v>0</v>
      </c>
      <c r="DA12" s="56" t="n">
        <f aca="false">MAX(0,MIN($F12,DA$4)-MAX($E12,DA$3)+1)/($F12-$E12+1)</f>
        <v>0</v>
      </c>
      <c r="DB12" s="56" t="n">
        <f aca="false">MAX(0,MIN($F12,DB$4)-MAX($E12,DB$3)+1)/($F12-$E12+1)</f>
        <v>0</v>
      </c>
      <c r="DC12" s="56" t="n">
        <f aca="false">MAX(0,MIN($F12,DC$4)-MAX($E12,DC$3)+1)/($F12-$E12+1)</f>
        <v>0</v>
      </c>
      <c r="DD12" s="56" t="n">
        <f aca="false">MAX(0,MIN($F12,DD$4)-MAX($E12,DD$3)+1)/($F12-$E12+1)</f>
        <v>0</v>
      </c>
      <c r="DE12" s="56" t="n">
        <f aca="false">MAX(0,MIN($F12,DE$4)-MAX($E12,DE$3)+1)/($F12-$E12+1)</f>
        <v>0</v>
      </c>
      <c r="DF12" s="56" t="n">
        <f aca="false">MAX(0,MIN($F12,DF$4)-MAX($E12,DF$3)+1)/($F12-$E12+1)</f>
        <v>0</v>
      </c>
      <c r="DG12" s="56" t="n">
        <f aca="false">MAX(0,MIN($F12,DG$4)-MAX($E12,DG$3)+1)/($F12-$E12+1)</f>
        <v>0</v>
      </c>
      <c r="DH12" s="56" t="n">
        <f aca="false">MAX(0,MIN($F12,DH$4)-MAX($E12,DH$3)+1)/($F12-$E12+1)</f>
        <v>0</v>
      </c>
      <c r="DI12" s="56" t="n">
        <f aca="false">MAX(0,MIN($F12,DI$4)-MAX($E12,DI$3)+1)/($F12-$E12+1)</f>
        <v>0</v>
      </c>
      <c r="DJ12" s="56" t="n">
        <f aca="false">MAX(0,MIN($F12,DJ$4)-MAX($E12,DJ$3)+1)/($F12-$E12+1)</f>
        <v>0</v>
      </c>
      <c r="DK12" s="56" t="n">
        <f aca="false">MAX(0,MIN($F12,DK$4)-MAX($E12,DK$3)+1)/($F12-$E12+1)</f>
        <v>0</v>
      </c>
      <c r="DL12" s="56" t="n">
        <f aca="false">MAX(0,MIN($F12,DL$4)-MAX($E12,DL$3)+1)/($F12-$E12+1)</f>
        <v>0</v>
      </c>
      <c r="DM12" s="56" t="n">
        <f aca="false">MAX(0,MIN($F12,DM$4)-MAX($E12,DM$3)+1)/($F12-$E12+1)</f>
        <v>0</v>
      </c>
      <c r="DN12" s="56" t="n">
        <f aca="false">MAX(0,MIN($F12,DN$4)-MAX($E12,DN$3)+1)/($F12-$E12+1)</f>
        <v>0</v>
      </c>
      <c r="DO12" s="56" t="n">
        <f aca="false">MAX(0,MIN($F12,DO$4)-MAX($E12,DO$3)+1)/($F12-$E12+1)</f>
        <v>0</v>
      </c>
      <c r="DP12" s="56" t="n">
        <f aca="false">MAX(0,MIN($F12,DP$4)-MAX($E12,DP$3)+1)/($F12-$E12+1)</f>
        <v>0</v>
      </c>
      <c r="DQ12" s="56" t="n">
        <f aca="false">MAX(0,MIN($F12,DQ$4)-MAX($E12,DQ$3)+1)/($F12-$E12+1)</f>
        <v>0</v>
      </c>
      <c r="DR12" s="56" t="n">
        <f aca="false">MAX(0,MIN($F12,DR$4)-MAX($E12,DR$3)+1)/($F12-$E12+1)</f>
        <v>0</v>
      </c>
      <c r="DS12" s="56" t="n">
        <f aca="false">MAX(0,MIN($F12,DS$4)-MAX($E12,DS$3)+1)/($F12-$E12+1)</f>
        <v>0</v>
      </c>
      <c r="DT12" s="56" t="n">
        <f aca="false">MAX(0,MIN($F12,DT$4)-MAX($E12,DT$3)+1)/($F12-$E12+1)</f>
        <v>0</v>
      </c>
      <c r="DU12" s="56" t="n">
        <f aca="false">MAX(0,MIN($F12,DU$4)-MAX($E12,DU$3)+1)/($F12-$E12+1)</f>
        <v>0</v>
      </c>
      <c r="DV12" s="56" t="n">
        <f aca="false">MAX(0,MIN($F12,DV$4)-MAX($E12,DV$3)+1)/($F12-$E12+1)</f>
        <v>0</v>
      </c>
      <c r="DW12" s="56" t="n">
        <f aca="false">MAX(0,MIN($F12,DW$4)-MAX($E12,DW$3)+1)/($F12-$E12+1)</f>
        <v>0</v>
      </c>
      <c r="DX12" s="56" t="n">
        <f aca="false">MAX(0,MIN($F12,DX$4)-MAX($E12,DX$3)+1)/($F12-$E12+1)</f>
        <v>0</v>
      </c>
      <c r="DY12" s="56" t="n">
        <f aca="false">MAX(0,MIN($F12,DY$4)-MAX($E12,DY$3)+1)/($F12-$E12+1)</f>
        <v>0</v>
      </c>
      <c r="DZ12" s="56" t="n">
        <f aca="false">MAX(0,MIN($F12,DZ$4)-MAX($E12,DZ$3)+1)/($F12-$E12+1)</f>
        <v>0</v>
      </c>
      <c r="EA12" s="56" t="n">
        <f aca="false">MAX(0,MIN($F12,EA$4)-MAX($E12,EA$3)+1)/($F12-$E12+1)</f>
        <v>0</v>
      </c>
      <c r="EB12" s="56" t="n">
        <f aca="false">MAX(0,MIN($F12,EB$4)-MAX($E12,EB$3)+1)/($F12-$E12+1)</f>
        <v>0</v>
      </c>
      <c r="EC12" s="56" t="n">
        <f aca="false">MAX(0,MIN($F12,EC$4)-MAX($E12,EC$3)+1)/($F12-$E12+1)</f>
        <v>0</v>
      </c>
      <c r="ED12" s="56" t="n">
        <f aca="false">MAX(0,MIN($F12,ED$4)-MAX($E12,ED$3)+1)/($F12-$E12+1)</f>
        <v>0</v>
      </c>
      <c r="EE12" s="56" t="n">
        <f aca="false">MAX(0,MIN($F12,EE$4)-MAX($E12,EE$3)+1)/($F12-$E12+1)</f>
        <v>0</v>
      </c>
      <c r="EF12" s="56" t="n">
        <f aca="false">MAX(0,MIN($F12,EF$4)-MAX($E12,EF$3)+1)/($F12-$E12+1)</f>
        <v>0</v>
      </c>
      <c r="EG12" s="56" t="n">
        <f aca="false">MAX(0,MIN($F12,EG$4)-MAX($E12,EG$3)+1)/($F12-$E12+1)</f>
        <v>0</v>
      </c>
      <c r="EH12" s="56" t="n">
        <f aca="false">MAX(0,MIN($F12,EH$4)-MAX($E12,EH$3)+1)/($F12-$E12+1)</f>
        <v>0</v>
      </c>
      <c r="EI12" s="56" t="n">
        <f aca="false">MAX(0,MIN($F12,EI$4)-MAX($E12,EI$3)+1)/($F12-$E12+1)</f>
        <v>0</v>
      </c>
      <c r="EJ12" s="56" t="n">
        <f aca="false">MAX(0,MIN($F12,EJ$4)-MAX($E12,EJ$3)+1)/($F12-$E12+1)</f>
        <v>0</v>
      </c>
      <c r="EK12" s="56" t="n">
        <f aca="false">MAX(0,MIN($F12,EK$4)-MAX($E12,EK$3)+1)/($F12-$E12+1)</f>
        <v>0</v>
      </c>
      <c r="EL12" s="56" t="n">
        <f aca="false">MAX(0,MIN($F12,EL$4)-MAX($E12,EL$3)+1)/($F12-$E12+1)</f>
        <v>0</v>
      </c>
      <c r="EM12" s="56" t="n">
        <f aca="false">MAX(0,MIN($F12,EM$4)-MAX($E12,EM$3)+1)/($F12-$E12+1)</f>
        <v>0</v>
      </c>
      <c r="EN12" s="56" t="n">
        <f aca="false">MAX(0,MIN($F12,EN$4)-MAX($E12,EN$3)+1)/($F12-$E12+1)</f>
        <v>0</v>
      </c>
      <c r="EO12" s="56" t="n">
        <f aca="false">MAX(0,MIN($F12,EO$4)-MAX($E12,EO$3)+1)/($F12-$E12+1)</f>
        <v>0</v>
      </c>
    </row>
    <row r="13" customFormat="false" ht="15" hidden="false" customHeight="false" outlineLevel="0" collapsed="false">
      <c r="C13" s="1" t="s">
        <v>417</v>
      </c>
      <c r="D13" s="12" t="s">
        <v>411</v>
      </c>
      <c r="E13" s="47" t="n">
        <f aca="false">In_Closing+1</f>
        <v>46388</v>
      </c>
      <c r="F13" s="21" t="n">
        <f aca="false">In_NTP</f>
        <v>47026</v>
      </c>
      <c r="I13" s="56" t="n">
        <f aca="false">SUM(J13:EO13)</f>
        <v>1</v>
      </c>
      <c r="J13" s="56" t="n">
        <f aca="false">MAX(0,MIN($F13,J$4)-MAX($E13,J$3)+1)/($F13-$E13+1)</f>
        <v>0</v>
      </c>
      <c r="K13" s="56" t="n">
        <f aca="false">MAX(0,MIN($F13,K$4)-MAX($E13,K$3)+1)/($F13-$E13+1)</f>
        <v>0.140845070422535</v>
      </c>
      <c r="L13" s="56" t="n">
        <f aca="false">MAX(0,MIN($F13,L$4)-MAX($E13,L$3)+1)/($F13-$E13+1)</f>
        <v>0.142410015649452</v>
      </c>
      <c r="M13" s="56" t="n">
        <f aca="false">MAX(0,MIN($F13,M$4)-MAX($E13,M$3)+1)/($F13-$E13+1)</f>
        <v>0.143974960876369</v>
      </c>
      <c r="N13" s="56" t="n">
        <f aca="false">MAX(0,MIN($F13,N$4)-MAX($E13,N$3)+1)/($F13-$E13+1)</f>
        <v>0.143974960876369</v>
      </c>
      <c r="O13" s="56" t="n">
        <f aca="false">MAX(0,MIN($F13,O$4)-MAX($E13,O$3)+1)/($F13-$E13+1)</f>
        <v>0.142410015649452</v>
      </c>
      <c r="P13" s="56" t="n">
        <f aca="false">MAX(0,MIN($F13,P$4)-MAX($E13,P$3)+1)/($F13-$E13+1)</f>
        <v>0.142410015649452</v>
      </c>
      <c r="Q13" s="56" t="n">
        <f aca="false">MAX(0,MIN($F13,Q$4)-MAX($E13,Q$3)+1)/($F13-$E13+1)</f>
        <v>0.143974960876369</v>
      </c>
      <c r="R13" s="56" t="n">
        <f aca="false">MAX(0,MIN($F13,R$4)-MAX($E13,R$3)+1)/($F13-$E13+1)</f>
        <v>0</v>
      </c>
      <c r="S13" s="56" t="n">
        <f aca="false">MAX(0,MIN($F13,S$4)-MAX($E13,S$3)+1)/($F13-$E13+1)</f>
        <v>0</v>
      </c>
      <c r="T13" s="56" t="n">
        <f aca="false">MAX(0,MIN($F13,T$4)-MAX($E13,T$3)+1)/($F13-$E13+1)</f>
        <v>0</v>
      </c>
      <c r="U13" s="56" t="n">
        <f aca="false">MAX(0,MIN($F13,U$4)-MAX($E13,U$3)+1)/($F13-$E13+1)</f>
        <v>0</v>
      </c>
      <c r="V13" s="56" t="n">
        <f aca="false">MAX(0,MIN($F13,V$4)-MAX($E13,V$3)+1)/($F13-$E13+1)</f>
        <v>0</v>
      </c>
      <c r="W13" s="56" t="n">
        <f aca="false">MAX(0,MIN($F13,W$4)-MAX($E13,W$3)+1)/($F13-$E13+1)</f>
        <v>0</v>
      </c>
      <c r="X13" s="56" t="n">
        <f aca="false">MAX(0,MIN($F13,X$4)-MAX($E13,X$3)+1)/($F13-$E13+1)</f>
        <v>0</v>
      </c>
      <c r="Y13" s="56" t="n">
        <f aca="false">MAX(0,MIN($F13,Y$4)-MAX($E13,Y$3)+1)/($F13-$E13+1)</f>
        <v>0</v>
      </c>
      <c r="Z13" s="56" t="n">
        <f aca="false">MAX(0,MIN($F13,Z$4)-MAX($E13,Z$3)+1)/($F13-$E13+1)</f>
        <v>0</v>
      </c>
      <c r="AA13" s="56" t="n">
        <f aca="false">MAX(0,MIN($F13,AA$4)-MAX($E13,AA$3)+1)/($F13-$E13+1)</f>
        <v>0</v>
      </c>
      <c r="AB13" s="56" t="n">
        <f aca="false">MAX(0,MIN($F13,AB$4)-MAX($E13,AB$3)+1)/($F13-$E13+1)</f>
        <v>0</v>
      </c>
      <c r="AC13" s="56" t="n">
        <f aca="false">MAX(0,MIN($F13,AC$4)-MAX($E13,AC$3)+1)/($F13-$E13+1)</f>
        <v>0</v>
      </c>
      <c r="AD13" s="56" t="n">
        <f aca="false">MAX(0,MIN($F13,AD$4)-MAX($E13,AD$3)+1)/($F13-$E13+1)</f>
        <v>0</v>
      </c>
      <c r="AE13" s="56" t="n">
        <f aca="false">MAX(0,MIN($F13,AE$4)-MAX($E13,AE$3)+1)/($F13-$E13+1)</f>
        <v>0</v>
      </c>
      <c r="AF13" s="56" t="n">
        <f aca="false">MAX(0,MIN($F13,AF$4)-MAX($E13,AF$3)+1)/($F13-$E13+1)</f>
        <v>0</v>
      </c>
      <c r="AG13" s="56" t="n">
        <f aca="false">MAX(0,MIN($F13,AG$4)-MAX($E13,AG$3)+1)/($F13-$E13+1)</f>
        <v>0</v>
      </c>
      <c r="AH13" s="56" t="n">
        <f aca="false">MAX(0,MIN($F13,AH$4)-MAX($E13,AH$3)+1)/($F13-$E13+1)</f>
        <v>0</v>
      </c>
      <c r="AI13" s="56" t="n">
        <f aca="false">MAX(0,MIN($F13,AI$4)-MAX($E13,AI$3)+1)/($F13-$E13+1)</f>
        <v>0</v>
      </c>
      <c r="AJ13" s="56" t="n">
        <f aca="false">MAX(0,MIN($F13,AJ$4)-MAX($E13,AJ$3)+1)/($F13-$E13+1)</f>
        <v>0</v>
      </c>
      <c r="AK13" s="56" t="n">
        <f aca="false">MAX(0,MIN($F13,AK$4)-MAX($E13,AK$3)+1)/($F13-$E13+1)</f>
        <v>0</v>
      </c>
      <c r="AL13" s="56" t="n">
        <f aca="false">MAX(0,MIN($F13,AL$4)-MAX($E13,AL$3)+1)/($F13-$E13+1)</f>
        <v>0</v>
      </c>
      <c r="AM13" s="56" t="n">
        <f aca="false">MAX(0,MIN($F13,AM$4)-MAX($E13,AM$3)+1)/($F13-$E13+1)</f>
        <v>0</v>
      </c>
      <c r="AN13" s="56" t="n">
        <f aca="false">MAX(0,MIN($F13,AN$4)-MAX($E13,AN$3)+1)/($F13-$E13+1)</f>
        <v>0</v>
      </c>
      <c r="AO13" s="56" t="n">
        <f aca="false">MAX(0,MIN($F13,AO$4)-MAX($E13,AO$3)+1)/($F13-$E13+1)</f>
        <v>0</v>
      </c>
      <c r="AP13" s="56" t="n">
        <f aca="false">MAX(0,MIN($F13,AP$4)-MAX($E13,AP$3)+1)/($F13-$E13+1)</f>
        <v>0</v>
      </c>
      <c r="AQ13" s="56" t="n">
        <f aca="false">MAX(0,MIN($F13,AQ$4)-MAX($E13,AQ$3)+1)/($F13-$E13+1)</f>
        <v>0</v>
      </c>
      <c r="AR13" s="56" t="n">
        <f aca="false">MAX(0,MIN($F13,AR$4)-MAX($E13,AR$3)+1)/($F13-$E13+1)</f>
        <v>0</v>
      </c>
      <c r="AS13" s="56" t="n">
        <f aca="false">MAX(0,MIN($F13,AS$4)-MAX($E13,AS$3)+1)/($F13-$E13+1)</f>
        <v>0</v>
      </c>
      <c r="AT13" s="56" t="n">
        <f aca="false">MAX(0,MIN($F13,AT$4)-MAX($E13,AT$3)+1)/($F13-$E13+1)</f>
        <v>0</v>
      </c>
      <c r="AU13" s="56" t="n">
        <f aca="false">MAX(0,MIN($F13,AU$4)-MAX($E13,AU$3)+1)/($F13-$E13+1)</f>
        <v>0</v>
      </c>
      <c r="AV13" s="56" t="n">
        <f aca="false">MAX(0,MIN($F13,AV$4)-MAX($E13,AV$3)+1)/($F13-$E13+1)</f>
        <v>0</v>
      </c>
      <c r="AW13" s="56" t="n">
        <f aca="false">MAX(0,MIN($F13,AW$4)-MAX($E13,AW$3)+1)/($F13-$E13+1)</f>
        <v>0</v>
      </c>
      <c r="AX13" s="56" t="n">
        <f aca="false">MAX(0,MIN($F13,AX$4)-MAX($E13,AX$3)+1)/($F13-$E13+1)</f>
        <v>0</v>
      </c>
      <c r="AY13" s="56" t="n">
        <f aca="false">MAX(0,MIN($F13,AY$4)-MAX($E13,AY$3)+1)/($F13-$E13+1)</f>
        <v>0</v>
      </c>
      <c r="AZ13" s="56" t="n">
        <f aca="false">MAX(0,MIN($F13,AZ$4)-MAX($E13,AZ$3)+1)/($F13-$E13+1)</f>
        <v>0</v>
      </c>
      <c r="BA13" s="56" t="n">
        <f aca="false">MAX(0,MIN($F13,BA$4)-MAX($E13,BA$3)+1)/($F13-$E13+1)</f>
        <v>0</v>
      </c>
      <c r="BB13" s="56" t="n">
        <f aca="false">MAX(0,MIN($F13,BB$4)-MAX($E13,BB$3)+1)/($F13-$E13+1)</f>
        <v>0</v>
      </c>
      <c r="BC13" s="56" t="n">
        <f aca="false">MAX(0,MIN($F13,BC$4)-MAX($E13,BC$3)+1)/($F13-$E13+1)</f>
        <v>0</v>
      </c>
      <c r="BD13" s="56" t="n">
        <f aca="false">MAX(0,MIN($F13,BD$4)-MAX($E13,BD$3)+1)/($F13-$E13+1)</f>
        <v>0</v>
      </c>
      <c r="BE13" s="56" t="n">
        <f aca="false">MAX(0,MIN($F13,BE$4)-MAX($E13,BE$3)+1)/($F13-$E13+1)</f>
        <v>0</v>
      </c>
      <c r="BF13" s="56" t="n">
        <f aca="false">MAX(0,MIN($F13,BF$4)-MAX($E13,BF$3)+1)/($F13-$E13+1)</f>
        <v>0</v>
      </c>
      <c r="BG13" s="56" t="n">
        <f aca="false">MAX(0,MIN($F13,BG$4)-MAX($E13,BG$3)+1)/($F13-$E13+1)</f>
        <v>0</v>
      </c>
      <c r="BH13" s="56" t="n">
        <f aca="false">MAX(0,MIN($F13,BH$4)-MAX($E13,BH$3)+1)/($F13-$E13+1)</f>
        <v>0</v>
      </c>
      <c r="BI13" s="56" t="n">
        <f aca="false">MAX(0,MIN($F13,BI$4)-MAX($E13,BI$3)+1)/($F13-$E13+1)</f>
        <v>0</v>
      </c>
      <c r="BJ13" s="56" t="n">
        <f aca="false">MAX(0,MIN($F13,BJ$4)-MAX($E13,BJ$3)+1)/($F13-$E13+1)</f>
        <v>0</v>
      </c>
      <c r="BK13" s="56" t="n">
        <f aca="false">MAX(0,MIN($F13,BK$4)-MAX($E13,BK$3)+1)/($F13-$E13+1)</f>
        <v>0</v>
      </c>
      <c r="BL13" s="56" t="n">
        <f aca="false">MAX(0,MIN($F13,BL$4)-MAX($E13,BL$3)+1)/($F13-$E13+1)</f>
        <v>0</v>
      </c>
      <c r="BM13" s="56" t="n">
        <f aca="false">MAX(0,MIN($F13,BM$4)-MAX($E13,BM$3)+1)/($F13-$E13+1)</f>
        <v>0</v>
      </c>
      <c r="BN13" s="56" t="n">
        <f aca="false">MAX(0,MIN($F13,BN$4)-MAX($E13,BN$3)+1)/($F13-$E13+1)</f>
        <v>0</v>
      </c>
      <c r="BO13" s="56" t="n">
        <f aca="false">MAX(0,MIN($F13,BO$4)-MAX($E13,BO$3)+1)/($F13-$E13+1)</f>
        <v>0</v>
      </c>
      <c r="BP13" s="56" t="n">
        <f aca="false">MAX(0,MIN($F13,BP$4)-MAX($E13,BP$3)+1)/($F13-$E13+1)</f>
        <v>0</v>
      </c>
      <c r="BQ13" s="56" t="n">
        <f aca="false">MAX(0,MIN($F13,BQ$4)-MAX($E13,BQ$3)+1)/($F13-$E13+1)</f>
        <v>0</v>
      </c>
      <c r="BR13" s="56" t="n">
        <f aca="false">MAX(0,MIN($F13,BR$4)-MAX($E13,BR$3)+1)/($F13-$E13+1)</f>
        <v>0</v>
      </c>
      <c r="BS13" s="56" t="n">
        <f aca="false">MAX(0,MIN($F13,BS$4)-MAX($E13,BS$3)+1)/($F13-$E13+1)</f>
        <v>0</v>
      </c>
      <c r="BT13" s="56" t="n">
        <f aca="false">MAX(0,MIN($F13,BT$4)-MAX($E13,BT$3)+1)/($F13-$E13+1)</f>
        <v>0</v>
      </c>
      <c r="BU13" s="56" t="n">
        <f aca="false">MAX(0,MIN($F13,BU$4)-MAX($E13,BU$3)+1)/($F13-$E13+1)</f>
        <v>0</v>
      </c>
      <c r="BV13" s="56" t="n">
        <f aca="false">MAX(0,MIN($F13,BV$4)-MAX($E13,BV$3)+1)/($F13-$E13+1)</f>
        <v>0</v>
      </c>
      <c r="BW13" s="56" t="n">
        <f aca="false">MAX(0,MIN($F13,BW$4)-MAX($E13,BW$3)+1)/($F13-$E13+1)</f>
        <v>0</v>
      </c>
      <c r="BX13" s="56" t="n">
        <f aca="false">MAX(0,MIN($F13,BX$4)-MAX($E13,BX$3)+1)/($F13-$E13+1)</f>
        <v>0</v>
      </c>
      <c r="BY13" s="56" t="n">
        <f aca="false">MAX(0,MIN($F13,BY$4)-MAX($E13,BY$3)+1)/($F13-$E13+1)</f>
        <v>0</v>
      </c>
      <c r="BZ13" s="56" t="n">
        <f aca="false">MAX(0,MIN($F13,BZ$4)-MAX($E13,BZ$3)+1)/($F13-$E13+1)</f>
        <v>0</v>
      </c>
      <c r="CA13" s="56" t="n">
        <f aca="false">MAX(0,MIN($F13,CA$4)-MAX($E13,CA$3)+1)/($F13-$E13+1)</f>
        <v>0</v>
      </c>
      <c r="CB13" s="56" t="n">
        <f aca="false">MAX(0,MIN($F13,CB$4)-MAX($E13,CB$3)+1)/($F13-$E13+1)</f>
        <v>0</v>
      </c>
      <c r="CC13" s="56" t="n">
        <f aca="false">MAX(0,MIN($F13,CC$4)-MAX($E13,CC$3)+1)/($F13-$E13+1)</f>
        <v>0</v>
      </c>
      <c r="CD13" s="56" t="n">
        <f aca="false">MAX(0,MIN($F13,CD$4)-MAX($E13,CD$3)+1)/($F13-$E13+1)</f>
        <v>0</v>
      </c>
      <c r="CE13" s="56" t="n">
        <f aca="false">MAX(0,MIN($F13,CE$4)-MAX($E13,CE$3)+1)/($F13-$E13+1)</f>
        <v>0</v>
      </c>
      <c r="CF13" s="56" t="n">
        <f aca="false">MAX(0,MIN($F13,CF$4)-MAX($E13,CF$3)+1)/($F13-$E13+1)</f>
        <v>0</v>
      </c>
      <c r="CG13" s="56" t="n">
        <f aca="false">MAX(0,MIN($F13,CG$4)-MAX($E13,CG$3)+1)/($F13-$E13+1)</f>
        <v>0</v>
      </c>
      <c r="CH13" s="56" t="n">
        <f aca="false">MAX(0,MIN($F13,CH$4)-MAX($E13,CH$3)+1)/($F13-$E13+1)</f>
        <v>0</v>
      </c>
      <c r="CI13" s="56" t="n">
        <f aca="false">MAX(0,MIN($F13,CI$4)-MAX($E13,CI$3)+1)/($F13-$E13+1)</f>
        <v>0</v>
      </c>
      <c r="CJ13" s="56" t="n">
        <f aca="false">MAX(0,MIN($F13,CJ$4)-MAX($E13,CJ$3)+1)/($F13-$E13+1)</f>
        <v>0</v>
      </c>
      <c r="CK13" s="56" t="n">
        <f aca="false">MAX(0,MIN($F13,CK$4)-MAX($E13,CK$3)+1)/($F13-$E13+1)</f>
        <v>0</v>
      </c>
      <c r="CL13" s="56" t="n">
        <f aca="false">MAX(0,MIN($F13,CL$4)-MAX($E13,CL$3)+1)/($F13-$E13+1)</f>
        <v>0</v>
      </c>
      <c r="CM13" s="56" t="n">
        <f aca="false">MAX(0,MIN($F13,CM$4)-MAX($E13,CM$3)+1)/($F13-$E13+1)</f>
        <v>0</v>
      </c>
      <c r="CN13" s="56" t="n">
        <f aca="false">MAX(0,MIN($F13,CN$4)-MAX($E13,CN$3)+1)/($F13-$E13+1)</f>
        <v>0</v>
      </c>
      <c r="CO13" s="56" t="n">
        <f aca="false">MAX(0,MIN($F13,CO$4)-MAX($E13,CO$3)+1)/($F13-$E13+1)</f>
        <v>0</v>
      </c>
      <c r="CP13" s="56" t="n">
        <f aca="false">MAX(0,MIN($F13,CP$4)-MAX($E13,CP$3)+1)/($F13-$E13+1)</f>
        <v>0</v>
      </c>
      <c r="CQ13" s="56" t="n">
        <f aca="false">MAX(0,MIN($F13,CQ$4)-MAX($E13,CQ$3)+1)/($F13-$E13+1)</f>
        <v>0</v>
      </c>
      <c r="CR13" s="56" t="n">
        <f aca="false">MAX(0,MIN($F13,CR$4)-MAX($E13,CR$3)+1)/($F13-$E13+1)</f>
        <v>0</v>
      </c>
      <c r="CS13" s="56" t="n">
        <f aca="false">MAX(0,MIN($F13,CS$4)-MAX($E13,CS$3)+1)/($F13-$E13+1)</f>
        <v>0</v>
      </c>
      <c r="CT13" s="56" t="n">
        <f aca="false">MAX(0,MIN($F13,CT$4)-MAX($E13,CT$3)+1)/($F13-$E13+1)</f>
        <v>0</v>
      </c>
      <c r="CU13" s="56" t="n">
        <f aca="false">MAX(0,MIN($F13,CU$4)-MAX($E13,CU$3)+1)/($F13-$E13+1)</f>
        <v>0</v>
      </c>
      <c r="CV13" s="56" t="n">
        <f aca="false">MAX(0,MIN($F13,CV$4)-MAX($E13,CV$3)+1)/($F13-$E13+1)</f>
        <v>0</v>
      </c>
      <c r="CW13" s="56" t="n">
        <f aca="false">MAX(0,MIN($F13,CW$4)-MAX($E13,CW$3)+1)/($F13-$E13+1)</f>
        <v>0</v>
      </c>
      <c r="CX13" s="56" t="n">
        <f aca="false">MAX(0,MIN($F13,CX$4)-MAX($E13,CX$3)+1)/($F13-$E13+1)</f>
        <v>0</v>
      </c>
      <c r="CY13" s="56" t="n">
        <f aca="false">MAX(0,MIN($F13,CY$4)-MAX($E13,CY$3)+1)/($F13-$E13+1)</f>
        <v>0</v>
      </c>
      <c r="CZ13" s="56" t="n">
        <f aca="false">MAX(0,MIN($F13,CZ$4)-MAX($E13,CZ$3)+1)/($F13-$E13+1)</f>
        <v>0</v>
      </c>
      <c r="DA13" s="56" t="n">
        <f aca="false">MAX(0,MIN($F13,DA$4)-MAX($E13,DA$3)+1)/($F13-$E13+1)</f>
        <v>0</v>
      </c>
      <c r="DB13" s="56" t="n">
        <f aca="false">MAX(0,MIN($F13,DB$4)-MAX($E13,DB$3)+1)/($F13-$E13+1)</f>
        <v>0</v>
      </c>
      <c r="DC13" s="56" t="n">
        <f aca="false">MAX(0,MIN($F13,DC$4)-MAX($E13,DC$3)+1)/($F13-$E13+1)</f>
        <v>0</v>
      </c>
      <c r="DD13" s="56" t="n">
        <f aca="false">MAX(0,MIN($F13,DD$4)-MAX($E13,DD$3)+1)/($F13-$E13+1)</f>
        <v>0</v>
      </c>
      <c r="DE13" s="56" t="n">
        <f aca="false">MAX(0,MIN($F13,DE$4)-MAX($E13,DE$3)+1)/($F13-$E13+1)</f>
        <v>0</v>
      </c>
      <c r="DF13" s="56" t="n">
        <f aca="false">MAX(0,MIN($F13,DF$4)-MAX($E13,DF$3)+1)/($F13-$E13+1)</f>
        <v>0</v>
      </c>
      <c r="DG13" s="56" t="n">
        <f aca="false">MAX(0,MIN($F13,DG$4)-MAX($E13,DG$3)+1)/($F13-$E13+1)</f>
        <v>0</v>
      </c>
      <c r="DH13" s="56" t="n">
        <f aca="false">MAX(0,MIN($F13,DH$4)-MAX($E13,DH$3)+1)/($F13-$E13+1)</f>
        <v>0</v>
      </c>
      <c r="DI13" s="56" t="n">
        <f aca="false">MAX(0,MIN($F13,DI$4)-MAX($E13,DI$3)+1)/($F13-$E13+1)</f>
        <v>0</v>
      </c>
      <c r="DJ13" s="56" t="n">
        <f aca="false">MAX(0,MIN($F13,DJ$4)-MAX($E13,DJ$3)+1)/($F13-$E13+1)</f>
        <v>0</v>
      </c>
      <c r="DK13" s="56" t="n">
        <f aca="false">MAX(0,MIN($F13,DK$4)-MAX($E13,DK$3)+1)/($F13-$E13+1)</f>
        <v>0</v>
      </c>
      <c r="DL13" s="56" t="n">
        <f aca="false">MAX(0,MIN($F13,DL$4)-MAX($E13,DL$3)+1)/($F13-$E13+1)</f>
        <v>0</v>
      </c>
      <c r="DM13" s="56" t="n">
        <f aca="false">MAX(0,MIN($F13,DM$4)-MAX($E13,DM$3)+1)/($F13-$E13+1)</f>
        <v>0</v>
      </c>
      <c r="DN13" s="56" t="n">
        <f aca="false">MAX(0,MIN($F13,DN$4)-MAX($E13,DN$3)+1)/($F13-$E13+1)</f>
        <v>0</v>
      </c>
      <c r="DO13" s="56" t="n">
        <f aca="false">MAX(0,MIN($F13,DO$4)-MAX($E13,DO$3)+1)/($F13-$E13+1)</f>
        <v>0</v>
      </c>
      <c r="DP13" s="56" t="n">
        <f aca="false">MAX(0,MIN($F13,DP$4)-MAX($E13,DP$3)+1)/($F13-$E13+1)</f>
        <v>0</v>
      </c>
      <c r="DQ13" s="56" t="n">
        <f aca="false">MAX(0,MIN($F13,DQ$4)-MAX($E13,DQ$3)+1)/($F13-$E13+1)</f>
        <v>0</v>
      </c>
      <c r="DR13" s="56" t="n">
        <f aca="false">MAX(0,MIN($F13,DR$4)-MAX($E13,DR$3)+1)/($F13-$E13+1)</f>
        <v>0</v>
      </c>
      <c r="DS13" s="56" t="n">
        <f aca="false">MAX(0,MIN($F13,DS$4)-MAX($E13,DS$3)+1)/($F13-$E13+1)</f>
        <v>0</v>
      </c>
      <c r="DT13" s="56" t="n">
        <f aca="false">MAX(0,MIN($F13,DT$4)-MAX($E13,DT$3)+1)/($F13-$E13+1)</f>
        <v>0</v>
      </c>
      <c r="DU13" s="56" t="n">
        <f aca="false">MAX(0,MIN($F13,DU$4)-MAX($E13,DU$3)+1)/($F13-$E13+1)</f>
        <v>0</v>
      </c>
      <c r="DV13" s="56" t="n">
        <f aca="false">MAX(0,MIN($F13,DV$4)-MAX($E13,DV$3)+1)/($F13-$E13+1)</f>
        <v>0</v>
      </c>
      <c r="DW13" s="56" t="n">
        <f aca="false">MAX(0,MIN($F13,DW$4)-MAX($E13,DW$3)+1)/($F13-$E13+1)</f>
        <v>0</v>
      </c>
      <c r="DX13" s="56" t="n">
        <f aca="false">MAX(0,MIN($F13,DX$4)-MAX($E13,DX$3)+1)/($F13-$E13+1)</f>
        <v>0</v>
      </c>
      <c r="DY13" s="56" t="n">
        <f aca="false">MAX(0,MIN($F13,DY$4)-MAX($E13,DY$3)+1)/($F13-$E13+1)</f>
        <v>0</v>
      </c>
      <c r="DZ13" s="56" t="n">
        <f aca="false">MAX(0,MIN($F13,DZ$4)-MAX($E13,DZ$3)+1)/($F13-$E13+1)</f>
        <v>0</v>
      </c>
      <c r="EA13" s="56" t="n">
        <f aca="false">MAX(0,MIN($F13,EA$4)-MAX($E13,EA$3)+1)/($F13-$E13+1)</f>
        <v>0</v>
      </c>
      <c r="EB13" s="56" t="n">
        <f aca="false">MAX(0,MIN($F13,EB$4)-MAX($E13,EB$3)+1)/($F13-$E13+1)</f>
        <v>0</v>
      </c>
      <c r="EC13" s="56" t="n">
        <f aca="false">MAX(0,MIN($F13,EC$4)-MAX($E13,EC$3)+1)/($F13-$E13+1)</f>
        <v>0</v>
      </c>
      <c r="ED13" s="56" t="n">
        <f aca="false">MAX(0,MIN($F13,ED$4)-MAX($E13,ED$3)+1)/($F13-$E13+1)</f>
        <v>0</v>
      </c>
      <c r="EE13" s="56" t="n">
        <f aca="false">MAX(0,MIN($F13,EE$4)-MAX($E13,EE$3)+1)/($F13-$E13+1)</f>
        <v>0</v>
      </c>
      <c r="EF13" s="56" t="n">
        <f aca="false">MAX(0,MIN($F13,EF$4)-MAX($E13,EF$3)+1)/($F13-$E13+1)</f>
        <v>0</v>
      </c>
      <c r="EG13" s="56" t="n">
        <f aca="false">MAX(0,MIN($F13,EG$4)-MAX($E13,EG$3)+1)/($F13-$E13+1)</f>
        <v>0</v>
      </c>
      <c r="EH13" s="56" t="n">
        <f aca="false">MAX(0,MIN($F13,EH$4)-MAX($E13,EH$3)+1)/($F13-$E13+1)</f>
        <v>0</v>
      </c>
      <c r="EI13" s="56" t="n">
        <f aca="false">MAX(0,MIN($F13,EI$4)-MAX($E13,EI$3)+1)/($F13-$E13+1)</f>
        <v>0</v>
      </c>
      <c r="EJ13" s="56" t="n">
        <f aca="false">MAX(0,MIN($F13,EJ$4)-MAX($E13,EJ$3)+1)/($F13-$E13+1)</f>
        <v>0</v>
      </c>
      <c r="EK13" s="56" t="n">
        <f aca="false">MAX(0,MIN($F13,EK$4)-MAX($E13,EK$3)+1)/($F13-$E13+1)</f>
        <v>0</v>
      </c>
      <c r="EL13" s="56" t="n">
        <f aca="false">MAX(0,MIN($F13,EL$4)-MAX($E13,EL$3)+1)/($F13-$E13+1)</f>
        <v>0</v>
      </c>
      <c r="EM13" s="56" t="n">
        <f aca="false">MAX(0,MIN($F13,EM$4)-MAX($E13,EM$3)+1)/($F13-$E13+1)</f>
        <v>0</v>
      </c>
      <c r="EN13" s="56" t="n">
        <f aca="false">MAX(0,MIN($F13,EN$4)-MAX($E13,EN$3)+1)/($F13-$E13+1)</f>
        <v>0</v>
      </c>
      <c r="EO13" s="56" t="n">
        <f aca="false">MAX(0,MIN($F13,EO$4)-MAX($E13,EO$3)+1)/($F13-$E13+1)</f>
        <v>0</v>
      </c>
    </row>
    <row r="14" customFormat="false" ht="15" hidden="false" customHeight="false" outlineLevel="0" collapsed="false">
      <c r="C14" s="1" t="s">
        <v>37</v>
      </c>
      <c r="D14" s="12" t="s">
        <v>43</v>
      </c>
      <c r="E14" s="21" t="n">
        <f aca="false">In_COD</f>
        <v>47756</v>
      </c>
      <c r="I14" s="51" t="n">
        <f aca="false">SUM(J14:EO14)</f>
        <v>1</v>
      </c>
      <c r="J14" s="51" t="n">
        <f aca="false">N(AND(J$3&lt;=$E14,J$4&gt;=$E14))</f>
        <v>0</v>
      </c>
      <c r="K14" s="51" t="n">
        <f aca="false">N(AND(K$3&lt;=$E14,K$4&gt;=$E14))</f>
        <v>0</v>
      </c>
      <c r="L14" s="51" t="n">
        <f aca="false">N(AND(L$3&lt;=$E14,L$4&gt;=$E14))</f>
        <v>0</v>
      </c>
      <c r="M14" s="51" t="n">
        <f aca="false">N(AND(M$3&lt;=$E14,M$4&gt;=$E14))</f>
        <v>0</v>
      </c>
      <c r="N14" s="51" t="n">
        <f aca="false">N(AND(N$3&lt;=$E14,N$4&gt;=$E14))</f>
        <v>0</v>
      </c>
      <c r="O14" s="51" t="n">
        <f aca="false">N(AND(O$3&lt;=$E14,O$4&gt;=$E14))</f>
        <v>0</v>
      </c>
      <c r="P14" s="51" t="n">
        <f aca="false">N(AND(P$3&lt;=$E14,P$4&gt;=$E14))</f>
        <v>0</v>
      </c>
      <c r="Q14" s="51" t="n">
        <f aca="false">N(AND(Q$3&lt;=$E14,Q$4&gt;=$E14))</f>
        <v>0</v>
      </c>
      <c r="R14" s="51" t="n">
        <f aca="false">N(AND(R$3&lt;=$E14,R$4&gt;=$E14))</f>
        <v>0</v>
      </c>
      <c r="S14" s="51" t="n">
        <f aca="false">N(AND(S$3&lt;=$E14,S$4&gt;=$E14))</f>
        <v>0</v>
      </c>
      <c r="T14" s="51" t="n">
        <f aca="false">N(AND(T$3&lt;=$E14,T$4&gt;=$E14))</f>
        <v>0</v>
      </c>
      <c r="U14" s="51" t="n">
        <f aca="false">N(AND(U$3&lt;=$E14,U$4&gt;=$E14))</f>
        <v>0</v>
      </c>
      <c r="V14" s="51" t="n">
        <f aca="false">N(AND(V$3&lt;=$E14,V$4&gt;=$E14))</f>
        <v>0</v>
      </c>
      <c r="W14" s="51" t="n">
        <f aca="false">N(AND(W$3&lt;=$E14,W$4&gt;=$E14))</f>
        <v>0</v>
      </c>
      <c r="X14" s="51" t="n">
        <f aca="false">N(AND(X$3&lt;=$E14,X$4&gt;=$E14))</f>
        <v>0</v>
      </c>
      <c r="Y14" s="51" t="n">
        <f aca="false">N(AND(Y$3&lt;=$E14,Y$4&gt;=$E14))</f>
        <v>1</v>
      </c>
      <c r="Z14" s="51" t="n">
        <f aca="false">N(AND(Z$3&lt;=$E14,Z$4&gt;=$E14))</f>
        <v>0</v>
      </c>
      <c r="AA14" s="51" t="n">
        <f aca="false">N(AND(AA$3&lt;=$E14,AA$4&gt;=$E14))</f>
        <v>0</v>
      </c>
      <c r="AB14" s="51" t="n">
        <f aca="false">N(AND(AB$3&lt;=$E14,AB$4&gt;=$E14))</f>
        <v>0</v>
      </c>
      <c r="AC14" s="51" t="n">
        <f aca="false">N(AND(AC$3&lt;=$E14,AC$4&gt;=$E14))</f>
        <v>0</v>
      </c>
      <c r="AD14" s="51" t="n">
        <f aca="false">N(AND(AD$3&lt;=$E14,AD$4&gt;=$E14))</f>
        <v>0</v>
      </c>
      <c r="AE14" s="51" t="n">
        <f aca="false">N(AND(AE$3&lt;=$E14,AE$4&gt;=$E14))</f>
        <v>0</v>
      </c>
      <c r="AF14" s="51" t="n">
        <f aca="false">N(AND(AF$3&lt;=$E14,AF$4&gt;=$E14))</f>
        <v>0</v>
      </c>
      <c r="AG14" s="51" t="n">
        <f aca="false">N(AND(AG$3&lt;=$E14,AG$4&gt;=$E14))</f>
        <v>0</v>
      </c>
      <c r="AH14" s="51" t="n">
        <f aca="false">N(AND(AH$3&lt;=$E14,AH$4&gt;=$E14))</f>
        <v>0</v>
      </c>
      <c r="AI14" s="51" t="n">
        <f aca="false">N(AND(AI$3&lt;=$E14,AI$4&gt;=$E14))</f>
        <v>0</v>
      </c>
      <c r="AJ14" s="51" t="n">
        <f aca="false">N(AND(AJ$3&lt;=$E14,AJ$4&gt;=$E14))</f>
        <v>0</v>
      </c>
      <c r="AK14" s="51" t="n">
        <f aca="false">N(AND(AK$3&lt;=$E14,AK$4&gt;=$E14))</f>
        <v>0</v>
      </c>
      <c r="AL14" s="51" t="n">
        <f aca="false">N(AND(AL$3&lt;=$E14,AL$4&gt;=$E14))</f>
        <v>0</v>
      </c>
      <c r="AM14" s="51" t="n">
        <f aca="false">N(AND(AM$3&lt;=$E14,AM$4&gt;=$E14))</f>
        <v>0</v>
      </c>
      <c r="AN14" s="51" t="n">
        <f aca="false">N(AND(AN$3&lt;=$E14,AN$4&gt;=$E14))</f>
        <v>0</v>
      </c>
      <c r="AO14" s="51" t="n">
        <f aca="false">N(AND(AO$3&lt;=$E14,AO$4&gt;=$E14))</f>
        <v>0</v>
      </c>
      <c r="AP14" s="51" t="n">
        <f aca="false">N(AND(AP$3&lt;=$E14,AP$4&gt;=$E14))</f>
        <v>0</v>
      </c>
      <c r="AQ14" s="51" t="n">
        <f aca="false">N(AND(AQ$3&lt;=$E14,AQ$4&gt;=$E14))</f>
        <v>0</v>
      </c>
      <c r="AR14" s="51" t="n">
        <f aca="false">N(AND(AR$3&lt;=$E14,AR$4&gt;=$E14))</f>
        <v>0</v>
      </c>
      <c r="AS14" s="51" t="n">
        <f aca="false">N(AND(AS$3&lt;=$E14,AS$4&gt;=$E14))</f>
        <v>0</v>
      </c>
      <c r="AT14" s="51" t="n">
        <f aca="false">N(AND(AT$3&lt;=$E14,AT$4&gt;=$E14))</f>
        <v>0</v>
      </c>
      <c r="AU14" s="51" t="n">
        <f aca="false">N(AND(AU$3&lt;=$E14,AU$4&gt;=$E14))</f>
        <v>0</v>
      </c>
      <c r="AV14" s="51" t="n">
        <f aca="false">N(AND(AV$3&lt;=$E14,AV$4&gt;=$E14))</f>
        <v>0</v>
      </c>
      <c r="AW14" s="51" t="n">
        <f aca="false">N(AND(AW$3&lt;=$E14,AW$4&gt;=$E14))</f>
        <v>0</v>
      </c>
      <c r="AX14" s="51" t="n">
        <f aca="false">N(AND(AX$3&lt;=$E14,AX$4&gt;=$E14))</f>
        <v>0</v>
      </c>
      <c r="AY14" s="51" t="n">
        <f aca="false">N(AND(AY$3&lt;=$E14,AY$4&gt;=$E14))</f>
        <v>0</v>
      </c>
      <c r="AZ14" s="51" t="n">
        <f aca="false">N(AND(AZ$3&lt;=$E14,AZ$4&gt;=$E14))</f>
        <v>0</v>
      </c>
      <c r="BA14" s="51" t="n">
        <f aca="false">N(AND(BA$3&lt;=$E14,BA$4&gt;=$E14))</f>
        <v>0</v>
      </c>
      <c r="BB14" s="51" t="n">
        <f aca="false">N(AND(BB$3&lt;=$E14,BB$4&gt;=$E14))</f>
        <v>0</v>
      </c>
      <c r="BC14" s="51" t="n">
        <f aca="false">N(AND(BC$3&lt;=$E14,BC$4&gt;=$E14))</f>
        <v>0</v>
      </c>
      <c r="BD14" s="51" t="n">
        <f aca="false">N(AND(BD$3&lt;=$E14,BD$4&gt;=$E14))</f>
        <v>0</v>
      </c>
      <c r="BE14" s="51" t="n">
        <f aca="false">N(AND(BE$3&lt;=$E14,BE$4&gt;=$E14))</f>
        <v>0</v>
      </c>
      <c r="BF14" s="51" t="n">
        <f aca="false">N(AND(BF$3&lt;=$E14,BF$4&gt;=$E14))</f>
        <v>0</v>
      </c>
      <c r="BG14" s="51" t="n">
        <f aca="false">N(AND(BG$3&lt;=$E14,BG$4&gt;=$E14))</f>
        <v>0</v>
      </c>
      <c r="BH14" s="51" t="n">
        <f aca="false">N(AND(BH$3&lt;=$E14,BH$4&gt;=$E14))</f>
        <v>0</v>
      </c>
      <c r="BI14" s="51" t="n">
        <f aca="false">N(AND(BI$3&lt;=$E14,BI$4&gt;=$E14))</f>
        <v>0</v>
      </c>
      <c r="BJ14" s="51" t="n">
        <f aca="false">N(AND(BJ$3&lt;=$E14,BJ$4&gt;=$E14))</f>
        <v>0</v>
      </c>
      <c r="BK14" s="51" t="n">
        <f aca="false">N(AND(BK$3&lt;=$E14,BK$4&gt;=$E14))</f>
        <v>0</v>
      </c>
      <c r="BL14" s="51" t="n">
        <f aca="false">N(AND(BL$3&lt;=$E14,BL$4&gt;=$E14))</f>
        <v>0</v>
      </c>
      <c r="BM14" s="51" t="n">
        <f aca="false">N(AND(BM$3&lt;=$E14,BM$4&gt;=$E14))</f>
        <v>0</v>
      </c>
      <c r="BN14" s="51" t="n">
        <f aca="false">N(AND(BN$3&lt;=$E14,BN$4&gt;=$E14))</f>
        <v>0</v>
      </c>
      <c r="BO14" s="51" t="n">
        <f aca="false">N(AND(BO$3&lt;=$E14,BO$4&gt;=$E14))</f>
        <v>0</v>
      </c>
      <c r="BP14" s="51" t="n">
        <f aca="false">N(AND(BP$3&lt;=$E14,BP$4&gt;=$E14))</f>
        <v>0</v>
      </c>
      <c r="BQ14" s="51" t="n">
        <f aca="false">N(AND(BQ$3&lt;=$E14,BQ$4&gt;=$E14))</f>
        <v>0</v>
      </c>
      <c r="BR14" s="51" t="n">
        <f aca="false">N(AND(BR$3&lt;=$E14,BR$4&gt;=$E14))</f>
        <v>0</v>
      </c>
      <c r="BS14" s="51" t="n">
        <f aca="false">N(AND(BS$3&lt;=$E14,BS$4&gt;=$E14))</f>
        <v>0</v>
      </c>
      <c r="BT14" s="51" t="n">
        <f aca="false">N(AND(BT$3&lt;=$E14,BT$4&gt;=$E14))</f>
        <v>0</v>
      </c>
      <c r="BU14" s="51" t="n">
        <f aca="false">N(AND(BU$3&lt;=$E14,BU$4&gt;=$E14))</f>
        <v>0</v>
      </c>
      <c r="BV14" s="51" t="n">
        <f aca="false">N(AND(BV$3&lt;=$E14,BV$4&gt;=$E14))</f>
        <v>0</v>
      </c>
      <c r="BW14" s="51" t="n">
        <f aca="false">N(AND(BW$3&lt;=$E14,BW$4&gt;=$E14))</f>
        <v>0</v>
      </c>
      <c r="BX14" s="51" t="n">
        <f aca="false">N(AND(BX$3&lt;=$E14,BX$4&gt;=$E14))</f>
        <v>0</v>
      </c>
      <c r="BY14" s="51" t="n">
        <f aca="false">N(AND(BY$3&lt;=$E14,BY$4&gt;=$E14))</f>
        <v>0</v>
      </c>
      <c r="BZ14" s="51" t="n">
        <f aca="false">N(AND(BZ$3&lt;=$E14,BZ$4&gt;=$E14))</f>
        <v>0</v>
      </c>
      <c r="CA14" s="51" t="n">
        <f aca="false">N(AND(CA$3&lt;=$E14,CA$4&gt;=$E14))</f>
        <v>0</v>
      </c>
      <c r="CB14" s="51" t="n">
        <f aca="false">N(AND(CB$3&lt;=$E14,CB$4&gt;=$E14))</f>
        <v>0</v>
      </c>
      <c r="CC14" s="51" t="n">
        <f aca="false">N(AND(CC$3&lt;=$E14,CC$4&gt;=$E14))</f>
        <v>0</v>
      </c>
      <c r="CD14" s="51" t="n">
        <f aca="false">N(AND(CD$3&lt;=$E14,CD$4&gt;=$E14))</f>
        <v>0</v>
      </c>
      <c r="CE14" s="51" t="n">
        <f aca="false">N(AND(CE$3&lt;=$E14,CE$4&gt;=$E14))</f>
        <v>0</v>
      </c>
      <c r="CF14" s="51" t="n">
        <f aca="false">N(AND(CF$3&lt;=$E14,CF$4&gt;=$E14))</f>
        <v>0</v>
      </c>
      <c r="CG14" s="51" t="n">
        <f aca="false">N(AND(CG$3&lt;=$E14,CG$4&gt;=$E14))</f>
        <v>0</v>
      </c>
      <c r="CH14" s="51" t="n">
        <f aca="false">N(AND(CH$3&lt;=$E14,CH$4&gt;=$E14))</f>
        <v>0</v>
      </c>
      <c r="CI14" s="51" t="n">
        <f aca="false">N(AND(CI$3&lt;=$E14,CI$4&gt;=$E14))</f>
        <v>0</v>
      </c>
      <c r="CJ14" s="51" t="n">
        <f aca="false">N(AND(CJ$3&lt;=$E14,CJ$4&gt;=$E14))</f>
        <v>0</v>
      </c>
      <c r="CK14" s="51" t="n">
        <f aca="false">N(AND(CK$3&lt;=$E14,CK$4&gt;=$E14))</f>
        <v>0</v>
      </c>
      <c r="CL14" s="51" t="n">
        <f aca="false">N(AND(CL$3&lt;=$E14,CL$4&gt;=$E14))</f>
        <v>0</v>
      </c>
      <c r="CM14" s="51" t="n">
        <f aca="false">N(AND(CM$3&lt;=$E14,CM$4&gt;=$E14))</f>
        <v>0</v>
      </c>
      <c r="CN14" s="51" t="n">
        <f aca="false">N(AND(CN$3&lt;=$E14,CN$4&gt;=$E14))</f>
        <v>0</v>
      </c>
      <c r="CO14" s="51" t="n">
        <f aca="false">N(AND(CO$3&lt;=$E14,CO$4&gt;=$E14))</f>
        <v>0</v>
      </c>
      <c r="CP14" s="51" t="n">
        <f aca="false">N(AND(CP$3&lt;=$E14,CP$4&gt;=$E14))</f>
        <v>0</v>
      </c>
      <c r="CQ14" s="51" t="n">
        <f aca="false">N(AND(CQ$3&lt;=$E14,CQ$4&gt;=$E14))</f>
        <v>0</v>
      </c>
      <c r="CR14" s="51" t="n">
        <f aca="false">N(AND(CR$3&lt;=$E14,CR$4&gt;=$E14))</f>
        <v>0</v>
      </c>
      <c r="CS14" s="51" t="n">
        <f aca="false">N(AND(CS$3&lt;=$E14,CS$4&gt;=$E14))</f>
        <v>0</v>
      </c>
      <c r="CT14" s="51" t="n">
        <f aca="false">N(AND(CT$3&lt;=$E14,CT$4&gt;=$E14))</f>
        <v>0</v>
      </c>
      <c r="CU14" s="51" t="n">
        <f aca="false">N(AND(CU$3&lt;=$E14,CU$4&gt;=$E14))</f>
        <v>0</v>
      </c>
      <c r="CV14" s="51" t="n">
        <f aca="false">N(AND(CV$3&lt;=$E14,CV$4&gt;=$E14))</f>
        <v>0</v>
      </c>
      <c r="CW14" s="51" t="n">
        <f aca="false">N(AND(CW$3&lt;=$E14,CW$4&gt;=$E14))</f>
        <v>0</v>
      </c>
      <c r="CX14" s="51" t="n">
        <f aca="false">N(AND(CX$3&lt;=$E14,CX$4&gt;=$E14))</f>
        <v>0</v>
      </c>
      <c r="CY14" s="51" t="n">
        <f aca="false">N(AND(CY$3&lt;=$E14,CY$4&gt;=$E14))</f>
        <v>0</v>
      </c>
      <c r="CZ14" s="51" t="n">
        <f aca="false">N(AND(CZ$3&lt;=$E14,CZ$4&gt;=$E14))</f>
        <v>0</v>
      </c>
      <c r="DA14" s="51" t="n">
        <f aca="false">N(AND(DA$3&lt;=$E14,DA$4&gt;=$E14))</f>
        <v>0</v>
      </c>
      <c r="DB14" s="51" t="n">
        <f aca="false">N(AND(DB$3&lt;=$E14,DB$4&gt;=$E14))</f>
        <v>0</v>
      </c>
      <c r="DC14" s="51" t="n">
        <f aca="false">N(AND(DC$3&lt;=$E14,DC$4&gt;=$E14))</f>
        <v>0</v>
      </c>
      <c r="DD14" s="51" t="n">
        <f aca="false">N(AND(DD$3&lt;=$E14,DD$4&gt;=$E14))</f>
        <v>0</v>
      </c>
      <c r="DE14" s="51" t="n">
        <f aca="false">N(AND(DE$3&lt;=$E14,DE$4&gt;=$E14))</f>
        <v>0</v>
      </c>
      <c r="DF14" s="51" t="n">
        <f aca="false">N(AND(DF$3&lt;=$E14,DF$4&gt;=$E14))</f>
        <v>0</v>
      </c>
      <c r="DG14" s="51" t="n">
        <f aca="false">N(AND(DG$3&lt;=$E14,DG$4&gt;=$E14))</f>
        <v>0</v>
      </c>
      <c r="DH14" s="51" t="n">
        <f aca="false">N(AND(DH$3&lt;=$E14,DH$4&gt;=$E14))</f>
        <v>0</v>
      </c>
      <c r="DI14" s="51" t="n">
        <f aca="false">N(AND(DI$3&lt;=$E14,DI$4&gt;=$E14))</f>
        <v>0</v>
      </c>
      <c r="DJ14" s="51" t="n">
        <f aca="false">N(AND(DJ$3&lt;=$E14,DJ$4&gt;=$E14))</f>
        <v>0</v>
      </c>
      <c r="DK14" s="51" t="n">
        <f aca="false">N(AND(DK$3&lt;=$E14,DK$4&gt;=$E14))</f>
        <v>0</v>
      </c>
      <c r="DL14" s="51" t="n">
        <f aca="false">N(AND(DL$3&lt;=$E14,DL$4&gt;=$E14))</f>
        <v>0</v>
      </c>
      <c r="DM14" s="51" t="n">
        <f aca="false">N(AND(DM$3&lt;=$E14,DM$4&gt;=$E14))</f>
        <v>0</v>
      </c>
      <c r="DN14" s="51" t="n">
        <f aca="false">N(AND(DN$3&lt;=$E14,DN$4&gt;=$E14))</f>
        <v>0</v>
      </c>
      <c r="DO14" s="51" t="n">
        <f aca="false">N(AND(DO$3&lt;=$E14,DO$4&gt;=$E14))</f>
        <v>0</v>
      </c>
      <c r="DP14" s="51" t="n">
        <f aca="false">N(AND(DP$3&lt;=$E14,DP$4&gt;=$E14))</f>
        <v>0</v>
      </c>
      <c r="DQ14" s="51" t="n">
        <f aca="false">N(AND(DQ$3&lt;=$E14,DQ$4&gt;=$E14))</f>
        <v>0</v>
      </c>
      <c r="DR14" s="51" t="n">
        <f aca="false">N(AND(DR$3&lt;=$E14,DR$4&gt;=$E14))</f>
        <v>0</v>
      </c>
      <c r="DS14" s="51" t="n">
        <f aca="false">N(AND(DS$3&lt;=$E14,DS$4&gt;=$E14))</f>
        <v>0</v>
      </c>
      <c r="DT14" s="51" t="n">
        <f aca="false">N(AND(DT$3&lt;=$E14,DT$4&gt;=$E14))</f>
        <v>0</v>
      </c>
      <c r="DU14" s="51" t="n">
        <f aca="false">N(AND(DU$3&lt;=$E14,DU$4&gt;=$E14))</f>
        <v>0</v>
      </c>
      <c r="DV14" s="51" t="n">
        <f aca="false">N(AND(DV$3&lt;=$E14,DV$4&gt;=$E14))</f>
        <v>0</v>
      </c>
      <c r="DW14" s="51" t="n">
        <f aca="false">N(AND(DW$3&lt;=$E14,DW$4&gt;=$E14))</f>
        <v>0</v>
      </c>
      <c r="DX14" s="51" t="n">
        <f aca="false">N(AND(DX$3&lt;=$E14,DX$4&gt;=$E14))</f>
        <v>0</v>
      </c>
      <c r="DY14" s="51" t="n">
        <f aca="false">N(AND(DY$3&lt;=$E14,DY$4&gt;=$E14))</f>
        <v>0</v>
      </c>
      <c r="DZ14" s="51" t="n">
        <f aca="false">N(AND(DZ$3&lt;=$E14,DZ$4&gt;=$E14))</f>
        <v>0</v>
      </c>
      <c r="EA14" s="51" t="n">
        <f aca="false">N(AND(EA$3&lt;=$E14,EA$4&gt;=$E14))</f>
        <v>0</v>
      </c>
      <c r="EB14" s="51" t="n">
        <f aca="false">N(AND(EB$3&lt;=$E14,EB$4&gt;=$E14))</f>
        <v>0</v>
      </c>
      <c r="EC14" s="51" t="n">
        <f aca="false">N(AND(EC$3&lt;=$E14,EC$4&gt;=$E14))</f>
        <v>0</v>
      </c>
      <c r="ED14" s="51" t="n">
        <f aca="false">N(AND(ED$3&lt;=$E14,ED$4&gt;=$E14))</f>
        <v>0</v>
      </c>
      <c r="EE14" s="51" t="n">
        <f aca="false">N(AND(EE$3&lt;=$E14,EE$4&gt;=$E14))</f>
        <v>0</v>
      </c>
      <c r="EF14" s="51" t="n">
        <f aca="false">N(AND(EF$3&lt;=$E14,EF$4&gt;=$E14))</f>
        <v>0</v>
      </c>
      <c r="EG14" s="51" t="n">
        <f aca="false">N(AND(EG$3&lt;=$E14,EG$4&gt;=$E14))</f>
        <v>0</v>
      </c>
      <c r="EH14" s="51" t="n">
        <f aca="false">N(AND(EH$3&lt;=$E14,EH$4&gt;=$E14))</f>
        <v>0</v>
      </c>
      <c r="EI14" s="51" t="n">
        <f aca="false">N(AND(EI$3&lt;=$E14,EI$4&gt;=$E14))</f>
        <v>0</v>
      </c>
      <c r="EJ14" s="51" t="n">
        <f aca="false">N(AND(EJ$3&lt;=$E14,EJ$4&gt;=$E14))</f>
        <v>0</v>
      </c>
      <c r="EK14" s="51" t="n">
        <f aca="false">N(AND(EK$3&lt;=$E14,EK$4&gt;=$E14))</f>
        <v>0</v>
      </c>
      <c r="EL14" s="51" t="n">
        <f aca="false">N(AND(EL$3&lt;=$E14,EL$4&gt;=$E14))</f>
        <v>0</v>
      </c>
      <c r="EM14" s="51" t="n">
        <f aca="false">N(AND(EM$3&lt;=$E14,EM$4&gt;=$E14))</f>
        <v>0</v>
      </c>
      <c r="EN14" s="51" t="n">
        <f aca="false">N(AND(EN$3&lt;=$E14,EN$4&gt;=$E14))</f>
        <v>0</v>
      </c>
      <c r="EO14" s="51" t="n">
        <f aca="false">N(AND(EO$3&lt;=$E14,EO$4&gt;=$E14))</f>
        <v>0</v>
      </c>
    </row>
    <row r="15" customFormat="false" ht="15" hidden="false" customHeight="false" outlineLevel="0" collapsed="false">
      <c r="C15" s="1" t="s">
        <v>418</v>
      </c>
      <c r="D15" s="12" t="s">
        <v>150</v>
      </c>
      <c r="E15" s="45" t="n">
        <f aca="false">MATCH(In_COD,$J$4:$EO$4,0)</f>
        <v>16</v>
      </c>
    </row>
    <row r="16" customFormat="false" ht="15" hidden="false" customHeight="false" outlineLevel="0" collapsed="false">
      <c r="C16" s="1" t="s">
        <v>330</v>
      </c>
      <c r="D16" s="12" t="s">
        <v>43</v>
      </c>
      <c r="E16" s="47" t="n">
        <f aca="false">In_COD+1</f>
        <v>47757</v>
      </c>
      <c r="F16" s="47" t="n">
        <f aca="false">EDATE(In_COD,In_Life*Months_In_Year)</f>
        <v>58714</v>
      </c>
      <c r="J16" s="56" t="n">
        <f aca="false">MAX(0,(MIN($F16,J$4)-MAX($E16,J$3)+1)/J$5)</f>
        <v>0</v>
      </c>
      <c r="K16" s="56" t="n">
        <f aca="false">MAX(0,(MIN($F16,K$4)-MAX($E16,K$3)+1)/K$5)</f>
        <v>0</v>
      </c>
      <c r="L16" s="56" t="n">
        <f aca="false">MAX(0,(MIN($F16,L$4)-MAX($E16,L$3)+1)/L$5)</f>
        <v>0</v>
      </c>
      <c r="M16" s="56" t="n">
        <f aca="false">MAX(0,(MIN($F16,M$4)-MAX($E16,M$3)+1)/M$5)</f>
        <v>0</v>
      </c>
      <c r="N16" s="56" t="n">
        <f aca="false">MAX(0,(MIN($F16,N$4)-MAX($E16,N$3)+1)/N$5)</f>
        <v>0</v>
      </c>
      <c r="O16" s="56" t="n">
        <f aca="false">MAX(0,(MIN($F16,O$4)-MAX($E16,O$3)+1)/O$5)</f>
        <v>0</v>
      </c>
      <c r="P16" s="56" t="n">
        <f aca="false">MAX(0,(MIN($F16,P$4)-MAX($E16,P$3)+1)/P$5)</f>
        <v>0</v>
      </c>
      <c r="Q16" s="56" t="n">
        <f aca="false">MAX(0,(MIN($F16,Q$4)-MAX($E16,Q$3)+1)/Q$5)</f>
        <v>0</v>
      </c>
      <c r="R16" s="56" t="n">
        <f aca="false">MAX(0,(MIN($F16,R$4)-MAX($E16,R$3)+1)/R$5)</f>
        <v>0</v>
      </c>
      <c r="S16" s="56" t="n">
        <f aca="false">MAX(0,(MIN($F16,S$4)-MAX($E16,S$3)+1)/S$5)</f>
        <v>0</v>
      </c>
      <c r="T16" s="56" t="n">
        <f aca="false">MAX(0,(MIN($F16,T$4)-MAX($E16,T$3)+1)/T$5)</f>
        <v>0</v>
      </c>
      <c r="U16" s="56" t="n">
        <f aca="false">MAX(0,(MIN($F16,U$4)-MAX($E16,U$3)+1)/U$5)</f>
        <v>0</v>
      </c>
      <c r="V16" s="56" t="n">
        <f aca="false">MAX(0,(MIN($F16,V$4)-MAX($E16,V$3)+1)/V$5)</f>
        <v>0</v>
      </c>
      <c r="W16" s="56" t="n">
        <f aca="false">MAX(0,(MIN($F16,W$4)-MAX($E16,W$3)+1)/W$5)</f>
        <v>0</v>
      </c>
      <c r="X16" s="56" t="n">
        <f aca="false">MAX(0,(MIN($F16,X$4)-MAX($E16,X$3)+1)/X$5)</f>
        <v>0</v>
      </c>
      <c r="Y16" s="56" t="n">
        <f aca="false">MAX(0,(MIN($F16,Y$4)-MAX($E16,Y$3)+1)/Y$5)</f>
        <v>0</v>
      </c>
      <c r="Z16" s="56" t="n">
        <f aca="false">MAX(0,(MIN($F16,Z$4)-MAX($E16,Z$3)+1)/Z$5)</f>
        <v>1</v>
      </c>
      <c r="AA16" s="56" t="n">
        <f aca="false">MAX(0,(MIN($F16,AA$4)-MAX($E16,AA$3)+1)/AA$5)</f>
        <v>1</v>
      </c>
      <c r="AB16" s="56" t="n">
        <f aca="false">MAX(0,(MIN($F16,AB$4)-MAX($E16,AB$3)+1)/AB$5)</f>
        <v>1</v>
      </c>
      <c r="AC16" s="56" t="n">
        <f aca="false">MAX(0,(MIN($F16,AC$4)-MAX($E16,AC$3)+1)/AC$5)</f>
        <v>1</v>
      </c>
      <c r="AD16" s="56" t="n">
        <f aca="false">MAX(0,(MIN($F16,AD$4)-MAX($E16,AD$3)+1)/AD$5)</f>
        <v>1</v>
      </c>
      <c r="AE16" s="56" t="n">
        <f aca="false">MAX(0,(MIN($F16,AE$4)-MAX($E16,AE$3)+1)/AE$5)</f>
        <v>1</v>
      </c>
      <c r="AF16" s="56" t="n">
        <f aca="false">MAX(0,(MIN($F16,AF$4)-MAX($E16,AF$3)+1)/AF$5)</f>
        <v>1</v>
      </c>
      <c r="AG16" s="56" t="n">
        <f aca="false">MAX(0,(MIN($F16,AG$4)-MAX($E16,AG$3)+1)/AG$5)</f>
        <v>1</v>
      </c>
      <c r="AH16" s="56" t="n">
        <f aca="false">MAX(0,(MIN($F16,AH$4)-MAX($E16,AH$3)+1)/AH$5)</f>
        <v>1</v>
      </c>
      <c r="AI16" s="56" t="n">
        <f aca="false">MAX(0,(MIN($F16,AI$4)-MAX($E16,AI$3)+1)/AI$5)</f>
        <v>1</v>
      </c>
      <c r="AJ16" s="56" t="n">
        <f aca="false">MAX(0,(MIN($F16,AJ$4)-MAX($E16,AJ$3)+1)/AJ$5)</f>
        <v>1</v>
      </c>
      <c r="AK16" s="56" t="n">
        <f aca="false">MAX(0,(MIN($F16,AK$4)-MAX($E16,AK$3)+1)/AK$5)</f>
        <v>1</v>
      </c>
      <c r="AL16" s="56" t="n">
        <f aca="false">MAX(0,(MIN($F16,AL$4)-MAX($E16,AL$3)+1)/AL$5)</f>
        <v>1</v>
      </c>
      <c r="AM16" s="56" t="n">
        <f aca="false">MAX(0,(MIN($F16,AM$4)-MAX($E16,AM$3)+1)/AM$5)</f>
        <v>1</v>
      </c>
      <c r="AN16" s="56" t="n">
        <f aca="false">MAX(0,(MIN($F16,AN$4)-MAX($E16,AN$3)+1)/AN$5)</f>
        <v>1</v>
      </c>
      <c r="AO16" s="56" t="n">
        <f aca="false">MAX(0,(MIN($F16,AO$4)-MAX($E16,AO$3)+1)/AO$5)</f>
        <v>1</v>
      </c>
      <c r="AP16" s="56" t="n">
        <f aca="false">MAX(0,(MIN($F16,AP$4)-MAX($E16,AP$3)+1)/AP$5)</f>
        <v>1</v>
      </c>
      <c r="AQ16" s="56" t="n">
        <f aca="false">MAX(0,(MIN($F16,AQ$4)-MAX($E16,AQ$3)+1)/AQ$5)</f>
        <v>1</v>
      </c>
      <c r="AR16" s="56" t="n">
        <f aca="false">MAX(0,(MIN($F16,AR$4)-MAX($E16,AR$3)+1)/AR$5)</f>
        <v>1</v>
      </c>
      <c r="AS16" s="56" t="n">
        <f aca="false">MAX(0,(MIN($F16,AS$4)-MAX($E16,AS$3)+1)/AS$5)</f>
        <v>1</v>
      </c>
      <c r="AT16" s="56" t="n">
        <f aca="false">MAX(0,(MIN($F16,AT$4)-MAX($E16,AT$3)+1)/AT$5)</f>
        <v>1</v>
      </c>
      <c r="AU16" s="56" t="n">
        <f aca="false">MAX(0,(MIN($F16,AU$4)-MAX($E16,AU$3)+1)/AU$5)</f>
        <v>1</v>
      </c>
      <c r="AV16" s="56" t="n">
        <f aca="false">MAX(0,(MIN($F16,AV$4)-MAX($E16,AV$3)+1)/AV$5)</f>
        <v>1</v>
      </c>
      <c r="AW16" s="56" t="n">
        <f aca="false">MAX(0,(MIN($F16,AW$4)-MAX($E16,AW$3)+1)/AW$5)</f>
        <v>1</v>
      </c>
      <c r="AX16" s="56" t="n">
        <f aca="false">MAX(0,(MIN($F16,AX$4)-MAX($E16,AX$3)+1)/AX$5)</f>
        <v>1</v>
      </c>
      <c r="AY16" s="56" t="n">
        <f aca="false">MAX(0,(MIN($F16,AY$4)-MAX($E16,AY$3)+1)/AY$5)</f>
        <v>1</v>
      </c>
      <c r="AZ16" s="56" t="n">
        <f aca="false">MAX(0,(MIN($F16,AZ$4)-MAX($E16,AZ$3)+1)/AZ$5)</f>
        <v>1</v>
      </c>
      <c r="BA16" s="56" t="n">
        <f aca="false">MAX(0,(MIN($F16,BA$4)-MAX($E16,BA$3)+1)/BA$5)</f>
        <v>1</v>
      </c>
      <c r="BB16" s="56" t="n">
        <f aca="false">MAX(0,(MIN($F16,BB$4)-MAX($E16,BB$3)+1)/BB$5)</f>
        <v>1</v>
      </c>
      <c r="BC16" s="56" t="n">
        <f aca="false">MAX(0,(MIN($F16,BC$4)-MAX($E16,BC$3)+1)/BC$5)</f>
        <v>1</v>
      </c>
      <c r="BD16" s="56" t="n">
        <f aca="false">MAX(0,(MIN($F16,BD$4)-MAX($E16,BD$3)+1)/BD$5)</f>
        <v>1</v>
      </c>
      <c r="BE16" s="56" t="n">
        <f aca="false">MAX(0,(MIN($F16,BE$4)-MAX($E16,BE$3)+1)/BE$5)</f>
        <v>1</v>
      </c>
      <c r="BF16" s="56" t="n">
        <f aca="false">MAX(0,(MIN($F16,BF$4)-MAX($E16,BF$3)+1)/BF$5)</f>
        <v>1</v>
      </c>
      <c r="BG16" s="56" t="n">
        <f aca="false">MAX(0,(MIN($F16,BG$4)-MAX($E16,BG$3)+1)/BG$5)</f>
        <v>1</v>
      </c>
      <c r="BH16" s="56" t="n">
        <f aca="false">MAX(0,(MIN($F16,BH$4)-MAX($E16,BH$3)+1)/BH$5)</f>
        <v>1</v>
      </c>
      <c r="BI16" s="56" t="n">
        <f aca="false">MAX(0,(MIN($F16,BI$4)-MAX($E16,BI$3)+1)/BI$5)</f>
        <v>1</v>
      </c>
      <c r="BJ16" s="56" t="n">
        <f aca="false">MAX(0,(MIN($F16,BJ$4)-MAX($E16,BJ$3)+1)/BJ$5)</f>
        <v>1</v>
      </c>
      <c r="BK16" s="56" t="n">
        <f aca="false">MAX(0,(MIN($F16,BK$4)-MAX($E16,BK$3)+1)/BK$5)</f>
        <v>1</v>
      </c>
      <c r="BL16" s="56" t="n">
        <f aca="false">MAX(0,(MIN($F16,BL$4)-MAX($E16,BL$3)+1)/BL$5)</f>
        <v>1</v>
      </c>
      <c r="BM16" s="56" t="n">
        <f aca="false">MAX(0,(MIN($F16,BM$4)-MAX($E16,BM$3)+1)/BM$5)</f>
        <v>1</v>
      </c>
      <c r="BN16" s="56" t="n">
        <f aca="false">MAX(0,(MIN($F16,BN$4)-MAX($E16,BN$3)+1)/BN$5)</f>
        <v>1</v>
      </c>
      <c r="BO16" s="56" t="n">
        <f aca="false">MAX(0,(MIN($F16,BO$4)-MAX($E16,BO$3)+1)/BO$5)</f>
        <v>1</v>
      </c>
      <c r="BP16" s="56" t="n">
        <f aca="false">MAX(0,(MIN($F16,BP$4)-MAX($E16,BP$3)+1)/BP$5)</f>
        <v>1</v>
      </c>
      <c r="BQ16" s="56" t="n">
        <f aca="false">MAX(0,(MIN($F16,BQ$4)-MAX($E16,BQ$3)+1)/BQ$5)</f>
        <v>1</v>
      </c>
      <c r="BR16" s="56" t="n">
        <f aca="false">MAX(0,(MIN($F16,BR$4)-MAX($E16,BR$3)+1)/BR$5)</f>
        <v>1</v>
      </c>
      <c r="BS16" s="56" t="n">
        <f aca="false">MAX(0,(MIN($F16,BS$4)-MAX($E16,BS$3)+1)/BS$5)</f>
        <v>1</v>
      </c>
      <c r="BT16" s="56" t="n">
        <f aca="false">MAX(0,(MIN($F16,BT$4)-MAX($E16,BT$3)+1)/BT$5)</f>
        <v>1</v>
      </c>
      <c r="BU16" s="56" t="n">
        <f aca="false">MAX(0,(MIN($F16,BU$4)-MAX($E16,BU$3)+1)/BU$5)</f>
        <v>1</v>
      </c>
      <c r="BV16" s="56" t="n">
        <f aca="false">MAX(0,(MIN($F16,BV$4)-MAX($E16,BV$3)+1)/BV$5)</f>
        <v>1</v>
      </c>
      <c r="BW16" s="56" t="n">
        <f aca="false">MAX(0,(MIN($F16,BW$4)-MAX($E16,BW$3)+1)/BW$5)</f>
        <v>1</v>
      </c>
      <c r="BX16" s="56" t="n">
        <f aca="false">MAX(0,(MIN($F16,BX$4)-MAX($E16,BX$3)+1)/BX$5)</f>
        <v>1</v>
      </c>
      <c r="BY16" s="56" t="n">
        <f aca="false">MAX(0,(MIN($F16,BY$4)-MAX($E16,BY$3)+1)/BY$5)</f>
        <v>1</v>
      </c>
      <c r="BZ16" s="56" t="n">
        <f aca="false">MAX(0,(MIN($F16,BZ$4)-MAX($E16,BZ$3)+1)/BZ$5)</f>
        <v>1</v>
      </c>
      <c r="CA16" s="56" t="n">
        <f aca="false">MAX(0,(MIN($F16,CA$4)-MAX($E16,CA$3)+1)/CA$5)</f>
        <v>1</v>
      </c>
      <c r="CB16" s="56" t="n">
        <f aca="false">MAX(0,(MIN($F16,CB$4)-MAX($E16,CB$3)+1)/CB$5)</f>
        <v>1</v>
      </c>
      <c r="CC16" s="56" t="n">
        <f aca="false">MAX(0,(MIN($F16,CC$4)-MAX($E16,CC$3)+1)/CC$5)</f>
        <v>1</v>
      </c>
      <c r="CD16" s="56" t="n">
        <f aca="false">MAX(0,(MIN($F16,CD$4)-MAX($E16,CD$3)+1)/CD$5)</f>
        <v>1</v>
      </c>
      <c r="CE16" s="56" t="n">
        <f aca="false">MAX(0,(MIN($F16,CE$4)-MAX($E16,CE$3)+1)/CE$5)</f>
        <v>1</v>
      </c>
      <c r="CF16" s="56" t="n">
        <f aca="false">MAX(0,(MIN($F16,CF$4)-MAX($E16,CF$3)+1)/CF$5)</f>
        <v>1</v>
      </c>
      <c r="CG16" s="56" t="n">
        <f aca="false">MAX(0,(MIN($F16,CG$4)-MAX($E16,CG$3)+1)/CG$5)</f>
        <v>1</v>
      </c>
      <c r="CH16" s="56" t="n">
        <f aca="false">MAX(0,(MIN($F16,CH$4)-MAX($E16,CH$3)+1)/CH$5)</f>
        <v>1</v>
      </c>
      <c r="CI16" s="56" t="n">
        <f aca="false">MAX(0,(MIN($F16,CI$4)-MAX($E16,CI$3)+1)/CI$5)</f>
        <v>1</v>
      </c>
      <c r="CJ16" s="56" t="n">
        <f aca="false">MAX(0,(MIN($F16,CJ$4)-MAX($E16,CJ$3)+1)/CJ$5)</f>
        <v>1</v>
      </c>
      <c r="CK16" s="56" t="n">
        <f aca="false">MAX(0,(MIN($F16,CK$4)-MAX($E16,CK$3)+1)/CK$5)</f>
        <v>1</v>
      </c>
      <c r="CL16" s="56" t="n">
        <f aca="false">MAX(0,(MIN($F16,CL$4)-MAX($E16,CL$3)+1)/CL$5)</f>
        <v>1</v>
      </c>
      <c r="CM16" s="56" t="n">
        <f aca="false">MAX(0,(MIN($F16,CM$4)-MAX($E16,CM$3)+1)/CM$5)</f>
        <v>1</v>
      </c>
      <c r="CN16" s="56" t="n">
        <f aca="false">MAX(0,(MIN($F16,CN$4)-MAX($E16,CN$3)+1)/CN$5)</f>
        <v>1</v>
      </c>
      <c r="CO16" s="56" t="n">
        <f aca="false">MAX(0,(MIN($F16,CO$4)-MAX($E16,CO$3)+1)/CO$5)</f>
        <v>1</v>
      </c>
      <c r="CP16" s="56" t="n">
        <f aca="false">MAX(0,(MIN($F16,CP$4)-MAX($E16,CP$3)+1)/CP$5)</f>
        <v>1</v>
      </c>
      <c r="CQ16" s="56" t="n">
        <f aca="false">MAX(0,(MIN($F16,CQ$4)-MAX($E16,CQ$3)+1)/CQ$5)</f>
        <v>1</v>
      </c>
      <c r="CR16" s="56" t="n">
        <f aca="false">MAX(0,(MIN($F16,CR$4)-MAX($E16,CR$3)+1)/CR$5)</f>
        <v>1</v>
      </c>
      <c r="CS16" s="56" t="n">
        <f aca="false">MAX(0,(MIN($F16,CS$4)-MAX($E16,CS$3)+1)/CS$5)</f>
        <v>1</v>
      </c>
      <c r="CT16" s="56" t="n">
        <f aca="false">MAX(0,(MIN($F16,CT$4)-MAX($E16,CT$3)+1)/CT$5)</f>
        <v>1</v>
      </c>
      <c r="CU16" s="56" t="n">
        <f aca="false">MAX(0,(MIN($F16,CU$4)-MAX($E16,CU$3)+1)/CU$5)</f>
        <v>1</v>
      </c>
      <c r="CV16" s="56" t="n">
        <f aca="false">MAX(0,(MIN($F16,CV$4)-MAX($E16,CV$3)+1)/CV$5)</f>
        <v>1</v>
      </c>
      <c r="CW16" s="56" t="n">
        <f aca="false">MAX(0,(MIN($F16,CW$4)-MAX($E16,CW$3)+1)/CW$5)</f>
        <v>1</v>
      </c>
      <c r="CX16" s="56" t="n">
        <f aca="false">MAX(0,(MIN($F16,CX$4)-MAX($E16,CX$3)+1)/CX$5)</f>
        <v>1</v>
      </c>
      <c r="CY16" s="56" t="n">
        <f aca="false">MAX(0,(MIN($F16,CY$4)-MAX($E16,CY$3)+1)/CY$5)</f>
        <v>1</v>
      </c>
      <c r="CZ16" s="56" t="n">
        <f aca="false">MAX(0,(MIN($F16,CZ$4)-MAX($E16,CZ$3)+1)/CZ$5)</f>
        <v>1</v>
      </c>
      <c r="DA16" s="56" t="n">
        <f aca="false">MAX(0,(MIN($F16,DA$4)-MAX($E16,DA$3)+1)/DA$5)</f>
        <v>1</v>
      </c>
      <c r="DB16" s="56" t="n">
        <f aca="false">MAX(0,(MIN($F16,DB$4)-MAX($E16,DB$3)+1)/DB$5)</f>
        <v>1</v>
      </c>
      <c r="DC16" s="56" t="n">
        <f aca="false">MAX(0,(MIN($F16,DC$4)-MAX($E16,DC$3)+1)/DC$5)</f>
        <v>1</v>
      </c>
      <c r="DD16" s="56" t="n">
        <f aca="false">MAX(0,(MIN($F16,DD$4)-MAX($E16,DD$3)+1)/DD$5)</f>
        <v>1</v>
      </c>
      <c r="DE16" s="56" t="n">
        <f aca="false">MAX(0,(MIN($F16,DE$4)-MAX($E16,DE$3)+1)/DE$5)</f>
        <v>1</v>
      </c>
      <c r="DF16" s="56" t="n">
        <f aca="false">MAX(0,(MIN($F16,DF$4)-MAX($E16,DF$3)+1)/DF$5)</f>
        <v>1</v>
      </c>
      <c r="DG16" s="56" t="n">
        <f aca="false">MAX(0,(MIN($F16,DG$4)-MAX($E16,DG$3)+1)/DG$5)</f>
        <v>1</v>
      </c>
      <c r="DH16" s="56" t="n">
        <f aca="false">MAX(0,(MIN($F16,DH$4)-MAX($E16,DH$3)+1)/DH$5)</f>
        <v>1</v>
      </c>
      <c r="DI16" s="56" t="n">
        <f aca="false">MAX(0,(MIN($F16,DI$4)-MAX($E16,DI$3)+1)/DI$5)</f>
        <v>1</v>
      </c>
      <c r="DJ16" s="56" t="n">
        <f aca="false">MAX(0,(MIN($F16,DJ$4)-MAX($E16,DJ$3)+1)/DJ$5)</f>
        <v>1</v>
      </c>
      <c r="DK16" s="56" t="n">
        <f aca="false">MAX(0,(MIN($F16,DK$4)-MAX($E16,DK$3)+1)/DK$5)</f>
        <v>1</v>
      </c>
      <c r="DL16" s="56" t="n">
        <f aca="false">MAX(0,(MIN($F16,DL$4)-MAX($E16,DL$3)+1)/DL$5)</f>
        <v>1</v>
      </c>
      <c r="DM16" s="56" t="n">
        <f aca="false">MAX(0,(MIN($F16,DM$4)-MAX($E16,DM$3)+1)/DM$5)</f>
        <v>1</v>
      </c>
      <c r="DN16" s="56" t="n">
        <f aca="false">MAX(0,(MIN($F16,DN$4)-MAX($E16,DN$3)+1)/DN$5)</f>
        <v>1</v>
      </c>
      <c r="DO16" s="56" t="n">
        <f aca="false">MAX(0,(MIN($F16,DO$4)-MAX($E16,DO$3)+1)/DO$5)</f>
        <v>1</v>
      </c>
      <c r="DP16" s="56" t="n">
        <f aca="false">MAX(0,(MIN($F16,DP$4)-MAX($E16,DP$3)+1)/DP$5)</f>
        <v>1</v>
      </c>
      <c r="DQ16" s="56" t="n">
        <f aca="false">MAX(0,(MIN($F16,DQ$4)-MAX($E16,DQ$3)+1)/DQ$5)</f>
        <v>1</v>
      </c>
      <c r="DR16" s="56" t="n">
        <f aca="false">MAX(0,(MIN($F16,DR$4)-MAX($E16,DR$3)+1)/DR$5)</f>
        <v>1</v>
      </c>
      <c r="DS16" s="56" t="n">
        <f aca="false">MAX(0,(MIN($F16,DS$4)-MAX($E16,DS$3)+1)/DS$5)</f>
        <v>1</v>
      </c>
      <c r="DT16" s="56" t="n">
        <f aca="false">MAX(0,(MIN($F16,DT$4)-MAX($E16,DT$3)+1)/DT$5)</f>
        <v>1</v>
      </c>
      <c r="DU16" s="56" t="n">
        <f aca="false">MAX(0,(MIN($F16,DU$4)-MAX($E16,DU$3)+1)/DU$5)</f>
        <v>1</v>
      </c>
      <c r="DV16" s="56" t="n">
        <f aca="false">MAX(0,(MIN($F16,DV$4)-MAX($E16,DV$3)+1)/DV$5)</f>
        <v>1</v>
      </c>
      <c r="DW16" s="56" t="n">
        <f aca="false">MAX(0,(MIN($F16,DW$4)-MAX($E16,DW$3)+1)/DW$5)</f>
        <v>1</v>
      </c>
      <c r="DX16" s="56" t="n">
        <f aca="false">MAX(0,(MIN($F16,DX$4)-MAX($E16,DX$3)+1)/DX$5)</f>
        <v>1</v>
      </c>
      <c r="DY16" s="56" t="n">
        <f aca="false">MAX(0,(MIN($F16,DY$4)-MAX($E16,DY$3)+1)/DY$5)</f>
        <v>1</v>
      </c>
      <c r="DZ16" s="56" t="n">
        <f aca="false">MAX(0,(MIN($F16,DZ$4)-MAX($E16,DZ$3)+1)/DZ$5)</f>
        <v>1</v>
      </c>
      <c r="EA16" s="56" t="n">
        <f aca="false">MAX(0,(MIN($F16,EA$4)-MAX($E16,EA$3)+1)/EA$5)</f>
        <v>1</v>
      </c>
      <c r="EB16" s="56" t="n">
        <f aca="false">MAX(0,(MIN($F16,EB$4)-MAX($E16,EB$3)+1)/EB$5)</f>
        <v>1</v>
      </c>
      <c r="EC16" s="56" t="n">
        <f aca="false">MAX(0,(MIN($F16,EC$4)-MAX($E16,EC$3)+1)/EC$5)</f>
        <v>1</v>
      </c>
      <c r="ED16" s="56" t="n">
        <f aca="false">MAX(0,(MIN($F16,ED$4)-MAX($E16,ED$3)+1)/ED$5)</f>
        <v>1</v>
      </c>
      <c r="EE16" s="56" t="n">
        <f aca="false">MAX(0,(MIN($F16,EE$4)-MAX($E16,EE$3)+1)/EE$5)</f>
        <v>1</v>
      </c>
      <c r="EF16" s="56" t="n">
        <f aca="false">MAX(0,(MIN($F16,EF$4)-MAX($E16,EF$3)+1)/EF$5)</f>
        <v>1</v>
      </c>
      <c r="EG16" s="56" t="n">
        <f aca="false">MAX(0,(MIN($F16,EG$4)-MAX($E16,EG$3)+1)/EG$5)</f>
        <v>1</v>
      </c>
      <c r="EH16" s="56" t="n">
        <f aca="false">MAX(0,(MIN($F16,EH$4)-MAX($E16,EH$3)+1)/EH$5)</f>
        <v>1</v>
      </c>
      <c r="EI16" s="56" t="n">
        <f aca="false">MAX(0,(MIN($F16,EI$4)-MAX($E16,EI$3)+1)/EI$5)</f>
        <v>1</v>
      </c>
      <c r="EJ16" s="56" t="n">
        <f aca="false">MAX(0,(MIN($F16,EJ$4)-MAX($E16,EJ$3)+1)/EJ$5)</f>
        <v>1</v>
      </c>
      <c r="EK16" s="56" t="n">
        <f aca="false">MAX(0,(MIN($F16,EK$4)-MAX($E16,EK$3)+1)/EK$5)</f>
        <v>1</v>
      </c>
      <c r="EL16" s="56" t="n">
        <f aca="false">MAX(0,(MIN($F16,EL$4)-MAX($E16,EL$3)+1)/EL$5)</f>
        <v>1</v>
      </c>
      <c r="EM16" s="56" t="n">
        <f aca="false">MAX(0,(MIN($F16,EM$4)-MAX($E16,EM$3)+1)/EM$5)</f>
        <v>1</v>
      </c>
      <c r="EN16" s="56" t="n">
        <f aca="false">MAX(0,(MIN($F16,EN$4)-MAX($E16,EN$3)+1)/EN$5)</f>
        <v>1</v>
      </c>
      <c r="EO16" s="56" t="n">
        <f aca="false">MAX(0,(MIN($F16,EO$4)-MAX($E16,EO$3)+1)/EO$5)</f>
        <v>1</v>
      </c>
    </row>
    <row r="17" customFormat="false" ht="15" hidden="false" customHeight="false" outlineLevel="0" collapsed="false">
      <c r="C17" s="1" t="s">
        <v>419</v>
      </c>
      <c r="D17" s="12" t="s">
        <v>43</v>
      </c>
      <c r="E17" s="47" t="n">
        <f aca="false">In_NTP+1</f>
        <v>47027</v>
      </c>
      <c r="F17" s="47" t="n">
        <f aca="false">EDATE(In_COD,In_Life*Months_In_Year)</f>
        <v>58714</v>
      </c>
      <c r="J17" s="56" t="n">
        <f aca="false">MAX(0,(MIN($F17,J$4)-MAX($E17,J$3)+1)/J$5)</f>
        <v>0</v>
      </c>
      <c r="K17" s="56" t="n">
        <f aca="false">MAX(0,(MIN($F17,K$4)-MAX($E17,K$3)+1)/K$5)</f>
        <v>0</v>
      </c>
      <c r="L17" s="56" t="n">
        <f aca="false">MAX(0,(MIN($F17,L$4)-MAX($E17,L$3)+1)/L$5)</f>
        <v>0</v>
      </c>
      <c r="M17" s="56" t="n">
        <f aca="false">MAX(0,(MIN($F17,M$4)-MAX($E17,M$3)+1)/M$5)</f>
        <v>0</v>
      </c>
      <c r="N17" s="56" t="n">
        <f aca="false">MAX(0,(MIN($F17,N$4)-MAX($E17,N$3)+1)/N$5)</f>
        <v>0</v>
      </c>
      <c r="O17" s="56" t="n">
        <f aca="false">MAX(0,(MIN($F17,O$4)-MAX($E17,O$3)+1)/O$5)</f>
        <v>0</v>
      </c>
      <c r="P17" s="56" t="n">
        <f aca="false">MAX(0,(MIN($F17,P$4)-MAX($E17,P$3)+1)/P$5)</f>
        <v>0</v>
      </c>
      <c r="Q17" s="56" t="n">
        <f aca="false">MAX(0,(MIN($F17,Q$4)-MAX($E17,Q$3)+1)/Q$5)</f>
        <v>0</v>
      </c>
      <c r="R17" s="56" t="n">
        <f aca="false">MAX(0,(MIN($F17,R$4)-MAX($E17,R$3)+1)/R$5)</f>
        <v>1</v>
      </c>
      <c r="S17" s="56" t="n">
        <f aca="false">MAX(0,(MIN($F17,S$4)-MAX($E17,S$3)+1)/S$5)</f>
        <v>1</v>
      </c>
      <c r="T17" s="56" t="n">
        <f aca="false">MAX(0,(MIN($F17,T$4)-MAX($E17,T$3)+1)/T$5)</f>
        <v>1</v>
      </c>
      <c r="U17" s="56" t="n">
        <f aca="false">MAX(0,(MIN($F17,U$4)-MAX($E17,U$3)+1)/U$5)</f>
        <v>1</v>
      </c>
      <c r="V17" s="56" t="n">
        <f aca="false">MAX(0,(MIN($F17,V$4)-MAX($E17,V$3)+1)/V$5)</f>
        <v>1</v>
      </c>
      <c r="W17" s="56" t="n">
        <f aca="false">MAX(0,(MIN($F17,W$4)-MAX($E17,W$3)+1)/W$5)</f>
        <v>1</v>
      </c>
      <c r="X17" s="56" t="n">
        <f aca="false">MAX(0,(MIN($F17,X$4)-MAX($E17,X$3)+1)/X$5)</f>
        <v>1</v>
      </c>
      <c r="Y17" s="56" t="n">
        <f aca="false">MAX(0,(MIN($F17,Y$4)-MAX($E17,Y$3)+1)/Y$5)</f>
        <v>1</v>
      </c>
      <c r="Z17" s="56" t="n">
        <f aca="false">MAX(0,(MIN($F17,Z$4)-MAX($E17,Z$3)+1)/Z$5)</f>
        <v>1</v>
      </c>
      <c r="AA17" s="56" t="n">
        <f aca="false">MAX(0,(MIN($F17,AA$4)-MAX($E17,AA$3)+1)/AA$5)</f>
        <v>1</v>
      </c>
      <c r="AB17" s="56" t="n">
        <f aca="false">MAX(0,(MIN($F17,AB$4)-MAX($E17,AB$3)+1)/AB$5)</f>
        <v>1</v>
      </c>
      <c r="AC17" s="56" t="n">
        <f aca="false">MAX(0,(MIN($F17,AC$4)-MAX($E17,AC$3)+1)/AC$5)</f>
        <v>1</v>
      </c>
      <c r="AD17" s="56" t="n">
        <f aca="false">MAX(0,(MIN($F17,AD$4)-MAX($E17,AD$3)+1)/AD$5)</f>
        <v>1</v>
      </c>
      <c r="AE17" s="56" t="n">
        <f aca="false">MAX(0,(MIN($F17,AE$4)-MAX($E17,AE$3)+1)/AE$5)</f>
        <v>1</v>
      </c>
      <c r="AF17" s="56" t="n">
        <f aca="false">MAX(0,(MIN($F17,AF$4)-MAX($E17,AF$3)+1)/AF$5)</f>
        <v>1</v>
      </c>
      <c r="AG17" s="56" t="n">
        <f aca="false">MAX(0,(MIN($F17,AG$4)-MAX($E17,AG$3)+1)/AG$5)</f>
        <v>1</v>
      </c>
      <c r="AH17" s="56" t="n">
        <f aca="false">MAX(0,(MIN($F17,AH$4)-MAX($E17,AH$3)+1)/AH$5)</f>
        <v>1</v>
      </c>
      <c r="AI17" s="56" t="n">
        <f aca="false">MAX(0,(MIN($F17,AI$4)-MAX($E17,AI$3)+1)/AI$5)</f>
        <v>1</v>
      </c>
      <c r="AJ17" s="56" t="n">
        <f aca="false">MAX(0,(MIN($F17,AJ$4)-MAX($E17,AJ$3)+1)/AJ$5)</f>
        <v>1</v>
      </c>
      <c r="AK17" s="56" t="n">
        <f aca="false">MAX(0,(MIN($F17,AK$4)-MAX($E17,AK$3)+1)/AK$5)</f>
        <v>1</v>
      </c>
      <c r="AL17" s="56" t="n">
        <f aca="false">MAX(0,(MIN($F17,AL$4)-MAX($E17,AL$3)+1)/AL$5)</f>
        <v>1</v>
      </c>
      <c r="AM17" s="56" t="n">
        <f aca="false">MAX(0,(MIN($F17,AM$4)-MAX($E17,AM$3)+1)/AM$5)</f>
        <v>1</v>
      </c>
      <c r="AN17" s="56" t="n">
        <f aca="false">MAX(0,(MIN($F17,AN$4)-MAX($E17,AN$3)+1)/AN$5)</f>
        <v>1</v>
      </c>
      <c r="AO17" s="56" t="n">
        <f aca="false">MAX(0,(MIN($F17,AO$4)-MAX($E17,AO$3)+1)/AO$5)</f>
        <v>1</v>
      </c>
      <c r="AP17" s="56" t="n">
        <f aca="false">MAX(0,(MIN($F17,AP$4)-MAX($E17,AP$3)+1)/AP$5)</f>
        <v>1</v>
      </c>
      <c r="AQ17" s="56" t="n">
        <f aca="false">MAX(0,(MIN($F17,AQ$4)-MAX($E17,AQ$3)+1)/AQ$5)</f>
        <v>1</v>
      </c>
      <c r="AR17" s="56" t="n">
        <f aca="false">MAX(0,(MIN($F17,AR$4)-MAX($E17,AR$3)+1)/AR$5)</f>
        <v>1</v>
      </c>
      <c r="AS17" s="56" t="n">
        <f aca="false">MAX(0,(MIN($F17,AS$4)-MAX($E17,AS$3)+1)/AS$5)</f>
        <v>1</v>
      </c>
      <c r="AT17" s="56" t="n">
        <f aca="false">MAX(0,(MIN($F17,AT$4)-MAX($E17,AT$3)+1)/AT$5)</f>
        <v>1</v>
      </c>
      <c r="AU17" s="56" t="n">
        <f aca="false">MAX(0,(MIN($F17,AU$4)-MAX($E17,AU$3)+1)/AU$5)</f>
        <v>1</v>
      </c>
      <c r="AV17" s="56" t="n">
        <f aca="false">MAX(0,(MIN($F17,AV$4)-MAX($E17,AV$3)+1)/AV$5)</f>
        <v>1</v>
      </c>
      <c r="AW17" s="56" t="n">
        <f aca="false">MAX(0,(MIN($F17,AW$4)-MAX($E17,AW$3)+1)/AW$5)</f>
        <v>1</v>
      </c>
      <c r="AX17" s="56" t="n">
        <f aca="false">MAX(0,(MIN($F17,AX$4)-MAX($E17,AX$3)+1)/AX$5)</f>
        <v>1</v>
      </c>
      <c r="AY17" s="56" t="n">
        <f aca="false">MAX(0,(MIN($F17,AY$4)-MAX($E17,AY$3)+1)/AY$5)</f>
        <v>1</v>
      </c>
      <c r="AZ17" s="56" t="n">
        <f aca="false">MAX(0,(MIN($F17,AZ$4)-MAX($E17,AZ$3)+1)/AZ$5)</f>
        <v>1</v>
      </c>
      <c r="BA17" s="56" t="n">
        <f aca="false">MAX(0,(MIN($F17,BA$4)-MAX($E17,BA$3)+1)/BA$5)</f>
        <v>1</v>
      </c>
      <c r="BB17" s="56" t="n">
        <f aca="false">MAX(0,(MIN($F17,BB$4)-MAX($E17,BB$3)+1)/BB$5)</f>
        <v>1</v>
      </c>
      <c r="BC17" s="56" t="n">
        <f aca="false">MAX(0,(MIN($F17,BC$4)-MAX($E17,BC$3)+1)/BC$5)</f>
        <v>1</v>
      </c>
      <c r="BD17" s="56" t="n">
        <f aca="false">MAX(0,(MIN($F17,BD$4)-MAX($E17,BD$3)+1)/BD$5)</f>
        <v>1</v>
      </c>
      <c r="BE17" s="56" t="n">
        <f aca="false">MAX(0,(MIN($F17,BE$4)-MAX($E17,BE$3)+1)/BE$5)</f>
        <v>1</v>
      </c>
      <c r="BF17" s="56" t="n">
        <f aca="false">MAX(0,(MIN($F17,BF$4)-MAX($E17,BF$3)+1)/BF$5)</f>
        <v>1</v>
      </c>
      <c r="BG17" s="56" t="n">
        <f aca="false">MAX(0,(MIN($F17,BG$4)-MAX($E17,BG$3)+1)/BG$5)</f>
        <v>1</v>
      </c>
      <c r="BH17" s="56" t="n">
        <f aca="false">MAX(0,(MIN($F17,BH$4)-MAX($E17,BH$3)+1)/BH$5)</f>
        <v>1</v>
      </c>
      <c r="BI17" s="56" t="n">
        <f aca="false">MAX(0,(MIN($F17,BI$4)-MAX($E17,BI$3)+1)/BI$5)</f>
        <v>1</v>
      </c>
      <c r="BJ17" s="56" t="n">
        <f aca="false">MAX(0,(MIN($F17,BJ$4)-MAX($E17,BJ$3)+1)/BJ$5)</f>
        <v>1</v>
      </c>
      <c r="BK17" s="56" t="n">
        <f aca="false">MAX(0,(MIN($F17,BK$4)-MAX($E17,BK$3)+1)/BK$5)</f>
        <v>1</v>
      </c>
      <c r="BL17" s="56" t="n">
        <f aca="false">MAX(0,(MIN($F17,BL$4)-MAX($E17,BL$3)+1)/BL$5)</f>
        <v>1</v>
      </c>
      <c r="BM17" s="56" t="n">
        <f aca="false">MAX(0,(MIN($F17,BM$4)-MAX($E17,BM$3)+1)/BM$5)</f>
        <v>1</v>
      </c>
      <c r="BN17" s="56" t="n">
        <f aca="false">MAX(0,(MIN($F17,BN$4)-MAX($E17,BN$3)+1)/BN$5)</f>
        <v>1</v>
      </c>
      <c r="BO17" s="56" t="n">
        <f aca="false">MAX(0,(MIN($F17,BO$4)-MAX($E17,BO$3)+1)/BO$5)</f>
        <v>1</v>
      </c>
      <c r="BP17" s="56" t="n">
        <f aca="false">MAX(0,(MIN($F17,BP$4)-MAX($E17,BP$3)+1)/BP$5)</f>
        <v>1</v>
      </c>
      <c r="BQ17" s="56" t="n">
        <f aca="false">MAX(0,(MIN($F17,BQ$4)-MAX($E17,BQ$3)+1)/BQ$5)</f>
        <v>1</v>
      </c>
      <c r="BR17" s="56" t="n">
        <f aca="false">MAX(0,(MIN($F17,BR$4)-MAX($E17,BR$3)+1)/BR$5)</f>
        <v>1</v>
      </c>
      <c r="BS17" s="56" t="n">
        <f aca="false">MAX(0,(MIN($F17,BS$4)-MAX($E17,BS$3)+1)/BS$5)</f>
        <v>1</v>
      </c>
      <c r="BT17" s="56" t="n">
        <f aca="false">MAX(0,(MIN($F17,BT$4)-MAX($E17,BT$3)+1)/BT$5)</f>
        <v>1</v>
      </c>
      <c r="BU17" s="56" t="n">
        <f aca="false">MAX(0,(MIN($F17,BU$4)-MAX($E17,BU$3)+1)/BU$5)</f>
        <v>1</v>
      </c>
      <c r="BV17" s="56" t="n">
        <f aca="false">MAX(0,(MIN($F17,BV$4)-MAX($E17,BV$3)+1)/BV$5)</f>
        <v>1</v>
      </c>
      <c r="BW17" s="56" t="n">
        <f aca="false">MAX(0,(MIN($F17,BW$4)-MAX($E17,BW$3)+1)/BW$5)</f>
        <v>1</v>
      </c>
      <c r="BX17" s="56" t="n">
        <f aca="false">MAX(0,(MIN($F17,BX$4)-MAX($E17,BX$3)+1)/BX$5)</f>
        <v>1</v>
      </c>
      <c r="BY17" s="56" t="n">
        <f aca="false">MAX(0,(MIN($F17,BY$4)-MAX($E17,BY$3)+1)/BY$5)</f>
        <v>1</v>
      </c>
      <c r="BZ17" s="56" t="n">
        <f aca="false">MAX(0,(MIN($F17,BZ$4)-MAX($E17,BZ$3)+1)/BZ$5)</f>
        <v>1</v>
      </c>
      <c r="CA17" s="56" t="n">
        <f aca="false">MAX(0,(MIN($F17,CA$4)-MAX($E17,CA$3)+1)/CA$5)</f>
        <v>1</v>
      </c>
      <c r="CB17" s="56" t="n">
        <f aca="false">MAX(0,(MIN($F17,CB$4)-MAX($E17,CB$3)+1)/CB$5)</f>
        <v>1</v>
      </c>
      <c r="CC17" s="56" t="n">
        <f aca="false">MAX(0,(MIN($F17,CC$4)-MAX($E17,CC$3)+1)/CC$5)</f>
        <v>1</v>
      </c>
      <c r="CD17" s="56" t="n">
        <f aca="false">MAX(0,(MIN($F17,CD$4)-MAX($E17,CD$3)+1)/CD$5)</f>
        <v>1</v>
      </c>
      <c r="CE17" s="56" t="n">
        <f aca="false">MAX(0,(MIN($F17,CE$4)-MAX($E17,CE$3)+1)/CE$5)</f>
        <v>1</v>
      </c>
      <c r="CF17" s="56" t="n">
        <f aca="false">MAX(0,(MIN($F17,CF$4)-MAX($E17,CF$3)+1)/CF$5)</f>
        <v>1</v>
      </c>
      <c r="CG17" s="56" t="n">
        <f aca="false">MAX(0,(MIN($F17,CG$4)-MAX($E17,CG$3)+1)/CG$5)</f>
        <v>1</v>
      </c>
      <c r="CH17" s="56" t="n">
        <f aca="false">MAX(0,(MIN($F17,CH$4)-MAX($E17,CH$3)+1)/CH$5)</f>
        <v>1</v>
      </c>
      <c r="CI17" s="56" t="n">
        <f aca="false">MAX(0,(MIN($F17,CI$4)-MAX($E17,CI$3)+1)/CI$5)</f>
        <v>1</v>
      </c>
      <c r="CJ17" s="56" t="n">
        <f aca="false">MAX(0,(MIN($F17,CJ$4)-MAX($E17,CJ$3)+1)/CJ$5)</f>
        <v>1</v>
      </c>
      <c r="CK17" s="56" t="n">
        <f aca="false">MAX(0,(MIN($F17,CK$4)-MAX($E17,CK$3)+1)/CK$5)</f>
        <v>1</v>
      </c>
      <c r="CL17" s="56" t="n">
        <f aca="false">MAX(0,(MIN($F17,CL$4)-MAX($E17,CL$3)+1)/CL$5)</f>
        <v>1</v>
      </c>
      <c r="CM17" s="56" t="n">
        <f aca="false">MAX(0,(MIN($F17,CM$4)-MAX($E17,CM$3)+1)/CM$5)</f>
        <v>1</v>
      </c>
      <c r="CN17" s="56" t="n">
        <f aca="false">MAX(0,(MIN($F17,CN$4)-MAX($E17,CN$3)+1)/CN$5)</f>
        <v>1</v>
      </c>
      <c r="CO17" s="56" t="n">
        <f aca="false">MAX(0,(MIN($F17,CO$4)-MAX($E17,CO$3)+1)/CO$5)</f>
        <v>1</v>
      </c>
      <c r="CP17" s="56" t="n">
        <f aca="false">MAX(0,(MIN($F17,CP$4)-MAX($E17,CP$3)+1)/CP$5)</f>
        <v>1</v>
      </c>
      <c r="CQ17" s="56" t="n">
        <f aca="false">MAX(0,(MIN($F17,CQ$4)-MAX($E17,CQ$3)+1)/CQ$5)</f>
        <v>1</v>
      </c>
      <c r="CR17" s="56" t="n">
        <f aca="false">MAX(0,(MIN($F17,CR$4)-MAX($E17,CR$3)+1)/CR$5)</f>
        <v>1</v>
      </c>
      <c r="CS17" s="56" t="n">
        <f aca="false">MAX(0,(MIN($F17,CS$4)-MAX($E17,CS$3)+1)/CS$5)</f>
        <v>1</v>
      </c>
      <c r="CT17" s="56" t="n">
        <f aca="false">MAX(0,(MIN($F17,CT$4)-MAX($E17,CT$3)+1)/CT$5)</f>
        <v>1</v>
      </c>
      <c r="CU17" s="56" t="n">
        <f aca="false">MAX(0,(MIN($F17,CU$4)-MAX($E17,CU$3)+1)/CU$5)</f>
        <v>1</v>
      </c>
      <c r="CV17" s="56" t="n">
        <f aca="false">MAX(0,(MIN($F17,CV$4)-MAX($E17,CV$3)+1)/CV$5)</f>
        <v>1</v>
      </c>
      <c r="CW17" s="56" t="n">
        <f aca="false">MAX(0,(MIN($F17,CW$4)-MAX($E17,CW$3)+1)/CW$5)</f>
        <v>1</v>
      </c>
      <c r="CX17" s="56" t="n">
        <f aca="false">MAX(0,(MIN($F17,CX$4)-MAX($E17,CX$3)+1)/CX$5)</f>
        <v>1</v>
      </c>
      <c r="CY17" s="56" t="n">
        <f aca="false">MAX(0,(MIN($F17,CY$4)-MAX($E17,CY$3)+1)/CY$5)</f>
        <v>1</v>
      </c>
      <c r="CZ17" s="56" t="n">
        <f aca="false">MAX(0,(MIN($F17,CZ$4)-MAX($E17,CZ$3)+1)/CZ$5)</f>
        <v>1</v>
      </c>
      <c r="DA17" s="56" t="n">
        <f aca="false">MAX(0,(MIN($F17,DA$4)-MAX($E17,DA$3)+1)/DA$5)</f>
        <v>1</v>
      </c>
      <c r="DB17" s="56" t="n">
        <f aca="false">MAX(0,(MIN($F17,DB$4)-MAX($E17,DB$3)+1)/DB$5)</f>
        <v>1</v>
      </c>
      <c r="DC17" s="56" t="n">
        <f aca="false">MAX(0,(MIN($F17,DC$4)-MAX($E17,DC$3)+1)/DC$5)</f>
        <v>1</v>
      </c>
      <c r="DD17" s="56" t="n">
        <f aca="false">MAX(0,(MIN($F17,DD$4)-MAX($E17,DD$3)+1)/DD$5)</f>
        <v>1</v>
      </c>
      <c r="DE17" s="56" t="n">
        <f aca="false">MAX(0,(MIN($F17,DE$4)-MAX($E17,DE$3)+1)/DE$5)</f>
        <v>1</v>
      </c>
      <c r="DF17" s="56" t="n">
        <f aca="false">MAX(0,(MIN($F17,DF$4)-MAX($E17,DF$3)+1)/DF$5)</f>
        <v>1</v>
      </c>
      <c r="DG17" s="56" t="n">
        <f aca="false">MAX(0,(MIN($F17,DG$4)-MAX($E17,DG$3)+1)/DG$5)</f>
        <v>1</v>
      </c>
      <c r="DH17" s="56" t="n">
        <f aca="false">MAX(0,(MIN($F17,DH$4)-MAX($E17,DH$3)+1)/DH$5)</f>
        <v>1</v>
      </c>
      <c r="DI17" s="56" t="n">
        <f aca="false">MAX(0,(MIN($F17,DI$4)-MAX($E17,DI$3)+1)/DI$5)</f>
        <v>1</v>
      </c>
      <c r="DJ17" s="56" t="n">
        <f aca="false">MAX(0,(MIN($F17,DJ$4)-MAX($E17,DJ$3)+1)/DJ$5)</f>
        <v>1</v>
      </c>
      <c r="DK17" s="56" t="n">
        <f aca="false">MAX(0,(MIN($F17,DK$4)-MAX($E17,DK$3)+1)/DK$5)</f>
        <v>1</v>
      </c>
      <c r="DL17" s="56" t="n">
        <f aca="false">MAX(0,(MIN($F17,DL$4)-MAX($E17,DL$3)+1)/DL$5)</f>
        <v>1</v>
      </c>
      <c r="DM17" s="56" t="n">
        <f aca="false">MAX(0,(MIN($F17,DM$4)-MAX($E17,DM$3)+1)/DM$5)</f>
        <v>1</v>
      </c>
      <c r="DN17" s="56" t="n">
        <f aca="false">MAX(0,(MIN($F17,DN$4)-MAX($E17,DN$3)+1)/DN$5)</f>
        <v>1</v>
      </c>
      <c r="DO17" s="56" t="n">
        <f aca="false">MAX(0,(MIN($F17,DO$4)-MAX($E17,DO$3)+1)/DO$5)</f>
        <v>1</v>
      </c>
      <c r="DP17" s="56" t="n">
        <f aca="false">MAX(0,(MIN($F17,DP$4)-MAX($E17,DP$3)+1)/DP$5)</f>
        <v>1</v>
      </c>
      <c r="DQ17" s="56" t="n">
        <f aca="false">MAX(0,(MIN($F17,DQ$4)-MAX($E17,DQ$3)+1)/DQ$5)</f>
        <v>1</v>
      </c>
      <c r="DR17" s="56" t="n">
        <f aca="false">MAX(0,(MIN($F17,DR$4)-MAX($E17,DR$3)+1)/DR$5)</f>
        <v>1</v>
      </c>
      <c r="DS17" s="56" t="n">
        <f aca="false">MAX(0,(MIN($F17,DS$4)-MAX($E17,DS$3)+1)/DS$5)</f>
        <v>1</v>
      </c>
      <c r="DT17" s="56" t="n">
        <f aca="false">MAX(0,(MIN($F17,DT$4)-MAX($E17,DT$3)+1)/DT$5)</f>
        <v>1</v>
      </c>
      <c r="DU17" s="56" t="n">
        <f aca="false">MAX(0,(MIN($F17,DU$4)-MAX($E17,DU$3)+1)/DU$5)</f>
        <v>1</v>
      </c>
      <c r="DV17" s="56" t="n">
        <f aca="false">MAX(0,(MIN($F17,DV$4)-MAX($E17,DV$3)+1)/DV$5)</f>
        <v>1</v>
      </c>
      <c r="DW17" s="56" t="n">
        <f aca="false">MAX(0,(MIN($F17,DW$4)-MAX($E17,DW$3)+1)/DW$5)</f>
        <v>1</v>
      </c>
      <c r="DX17" s="56" t="n">
        <f aca="false">MAX(0,(MIN($F17,DX$4)-MAX($E17,DX$3)+1)/DX$5)</f>
        <v>1</v>
      </c>
      <c r="DY17" s="56" t="n">
        <f aca="false">MAX(0,(MIN($F17,DY$4)-MAX($E17,DY$3)+1)/DY$5)</f>
        <v>1</v>
      </c>
      <c r="DZ17" s="56" t="n">
        <f aca="false">MAX(0,(MIN($F17,DZ$4)-MAX($E17,DZ$3)+1)/DZ$5)</f>
        <v>1</v>
      </c>
      <c r="EA17" s="56" t="n">
        <f aca="false">MAX(0,(MIN($F17,EA$4)-MAX($E17,EA$3)+1)/EA$5)</f>
        <v>1</v>
      </c>
      <c r="EB17" s="56" t="n">
        <f aca="false">MAX(0,(MIN($F17,EB$4)-MAX($E17,EB$3)+1)/EB$5)</f>
        <v>1</v>
      </c>
      <c r="EC17" s="56" t="n">
        <f aca="false">MAX(0,(MIN($F17,EC$4)-MAX($E17,EC$3)+1)/EC$5)</f>
        <v>1</v>
      </c>
      <c r="ED17" s="56" t="n">
        <f aca="false">MAX(0,(MIN($F17,ED$4)-MAX($E17,ED$3)+1)/ED$5)</f>
        <v>1</v>
      </c>
      <c r="EE17" s="56" t="n">
        <f aca="false">MAX(0,(MIN($F17,EE$4)-MAX($E17,EE$3)+1)/EE$5)</f>
        <v>1</v>
      </c>
      <c r="EF17" s="56" t="n">
        <f aca="false">MAX(0,(MIN($F17,EF$4)-MAX($E17,EF$3)+1)/EF$5)</f>
        <v>1</v>
      </c>
      <c r="EG17" s="56" t="n">
        <f aca="false">MAX(0,(MIN($F17,EG$4)-MAX($E17,EG$3)+1)/EG$5)</f>
        <v>1</v>
      </c>
      <c r="EH17" s="56" t="n">
        <f aca="false">MAX(0,(MIN($F17,EH$4)-MAX($E17,EH$3)+1)/EH$5)</f>
        <v>1</v>
      </c>
      <c r="EI17" s="56" t="n">
        <f aca="false">MAX(0,(MIN($F17,EI$4)-MAX($E17,EI$3)+1)/EI$5)</f>
        <v>1</v>
      </c>
      <c r="EJ17" s="56" t="n">
        <f aca="false">MAX(0,(MIN($F17,EJ$4)-MAX($E17,EJ$3)+1)/EJ$5)</f>
        <v>1</v>
      </c>
      <c r="EK17" s="56" t="n">
        <f aca="false">MAX(0,(MIN($F17,EK$4)-MAX($E17,EK$3)+1)/EK$5)</f>
        <v>1</v>
      </c>
      <c r="EL17" s="56" t="n">
        <f aca="false">MAX(0,(MIN($F17,EL$4)-MAX($E17,EL$3)+1)/EL$5)</f>
        <v>1</v>
      </c>
      <c r="EM17" s="56" t="n">
        <f aca="false">MAX(0,(MIN($F17,EM$4)-MAX($E17,EM$3)+1)/EM$5)</f>
        <v>1</v>
      </c>
      <c r="EN17" s="56" t="n">
        <f aca="false">MAX(0,(MIN($F17,EN$4)-MAX($E17,EN$3)+1)/EN$5)</f>
        <v>1</v>
      </c>
      <c r="EO17" s="56" t="n">
        <f aca="false">MAX(0,(MIN($F17,EO$4)-MAX($E17,EO$3)+1)/EO$5)</f>
        <v>1</v>
      </c>
    </row>
    <row r="18" customFormat="false" ht="15" hidden="false" customHeight="false" outlineLevel="0" collapsed="false">
      <c r="C18" s="1" t="s">
        <v>420</v>
      </c>
      <c r="D18" s="12" t="s">
        <v>43</v>
      </c>
      <c r="E18" s="47" t="n">
        <f aca="false">In_COD+1</f>
        <v>47757</v>
      </c>
      <c r="F18" s="47" t="n">
        <f aca="false">EDATE(In_COD,In_Debt_Tenor*Months_In_Year)</f>
        <v>53235</v>
      </c>
      <c r="J18" s="56" t="n">
        <f aca="false">MAX(0,(MIN($F18,J$4)-MAX($E18,J$3)+1)/J$5)</f>
        <v>0</v>
      </c>
      <c r="K18" s="56" t="n">
        <f aca="false">MAX(0,(MIN($F18,K$4)-MAX($E18,K$3)+1)/K$5)</f>
        <v>0</v>
      </c>
      <c r="L18" s="56" t="n">
        <f aca="false">MAX(0,(MIN($F18,L$4)-MAX($E18,L$3)+1)/L$5)</f>
        <v>0</v>
      </c>
      <c r="M18" s="56" t="n">
        <f aca="false">MAX(0,(MIN($F18,M$4)-MAX($E18,M$3)+1)/M$5)</f>
        <v>0</v>
      </c>
      <c r="N18" s="56" t="n">
        <f aca="false">MAX(0,(MIN($F18,N$4)-MAX($E18,N$3)+1)/N$5)</f>
        <v>0</v>
      </c>
      <c r="O18" s="56" t="n">
        <f aca="false">MAX(0,(MIN($F18,O$4)-MAX($E18,O$3)+1)/O$5)</f>
        <v>0</v>
      </c>
      <c r="P18" s="56" t="n">
        <f aca="false">MAX(0,(MIN($F18,P$4)-MAX($E18,P$3)+1)/P$5)</f>
        <v>0</v>
      </c>
      <c r="Q18" s="56" t="n">
        <f aca="false">MAX(0,(MIN($F18,Q$4)-MAX($E18,Q$3)+1)/Q$5)</f>
        <v>0</v>
      </c>
      <c r="R18" s="56" t="n">
        <f aca="false">MAX(0,(MIN($F18,R$4)-MAX($E18,R$3)+1)/R$5)</f>
        <v>0</v>
      </c>
      <c r="S18" s="56" t="n">
        <f aca="false">MAX(0,(MIN($F18,S$4)-MAX($E18,S$3)+1)/S$5)</f>
        <v>0</v>
      </c>
      <c r="T18" s="56" t="n">
        <f aca="false">MAX(0,(MIN($F18,T$4)-MAX($E18,T$3)+1)/T$5)</f>
        <v>0</v>
      </c>
      <c r="U18" s="56" t="n">
        <f aca="false">MAX(0,(MIN($F18,U$4)-MAX($E18,U$3)+1)/U$5)</f>
        <v>0</v>
      </c>
      <c r="V18" s="56" t="n">
        <f aca="false">MAX(0,(MIN($F18,V$4)-MAX($E18,V$3)+1)/V$5)</f>
        <v>0</v>
      </c>
      <c r="W18" s="56" t="n">
        <f aca="false">MAX(0,(MIN($F18,W$4)-MAX($E18,W$3)+1)/W$5)</f>
        <v>0</v>
      </c>
      <c r="X18" s="56" t="n">
        <f aca="false">MAX(0,(MIN($F18,X$4)-MAX($E18,X$3)+1)/X$5)</f>
        <v>0</v>
      </c>
      <c r="Y18" s="56" t="n">
        <f aca="false">MAX(0,(MIN($F18,Y$4)-MAX($E18,Y$3)+1)/Y$5)</f>
        <v>0</v>
      </c>
      <c r="Z18" s="56" t="n">
        <f aca="false">MAX(0,(MIN($F18,Z$4)-MAX($E18,Z$3)+1)/Z$5)</f>
        <v>1</v>
      </c>
      <c r="AA18" s="56" t="n">
        <f aca="false">MAX(0,(MIN($F18,AA$4)-MAX($E18,AA$3)+1)/AA$5)</f>
        <v>1</v>
      </c>
      <c r="AB18" s="56" t="n">
        <f aca="false">MAX(0,(MIN($F18,AB$4)-MAX($E18,AB$3)+1)/AB$5)</f>
        <v>1</v>
      </c>
      <c r="AC18" s="56" t="n">
        <f aca="false">MAX(0,(MIN($F18,AC$4)-MAX($E18,AC$3)+1)/AC$5)</f>
        <v>1</v>
      </c>
      <c r="AD18" s="56" t="n">
        <f aca="false">MAX(0,(MIN($F18,AD$4)-MAX($E18,AD$3)+1)/AD$5)</f>
        <v>1</v>
      </c>
      <c r="AE18" s="56" t="n">
        <f aca="false">MAX(0,(MIN($F18,AE$4)-MAX($E18,AE$3)+1)/AE$5)</f>
        <v>1</v>
      </c>
      <c r="AF18" s="56" t="n">
        <f aca="false">MAX(0,(MIN($F18,AF$4)-MAX($E18,AF$3)+1)/AF$5)</f>
        <v>1</v>
      </c>
      <c r="AG18" s="56" t="n">
        <f aca="false">MAX(0,(MIN($F18,AG$4)-MAX($E18,AG$3)+1)/AG$5)</f>
        <v>1</v>
      </c>
      <c r="AH18" s="56" t="n">
        <f aca="false">MAX(0,(MIN($F18,AH$4)-MAX($E18,AH$3)+1)/AH$5)</f>
        <v>1</v>
      </c>
      <c r="AI18" s="56" t="n">
        <f aca="false">MAX(0,(MIN($F18,AI$4)-MAX($E18,AI$3)+1)/AI$5)</f>
        <v>1</v>
      </c>
      <c r="AJ18" s="56" t="n">
        <f aca="false">MAX(0,(MIN($F18,AJ$4)-MAX($E18,AJ$3)+1)/AJ$5)</f>
        <v>1</v>
      </c>
      <c r="AK18" s="56" t="n">
        <f aca="false">MAX(0,(MIN($F18,AK$4)-MAX($E18,AK$3)+1)/AK$5)</f>
        <v>1</v>
      </c>
      <c r="AL18" s="56" t="n">
        <f aca="false">MAX(0,(MIN($F18,AL$4)-MAX($E18,AL$3)+1)/AL$5)</f>
        <v>1</v>
      </c>
      <c r="AM18" s="56" t="n">
        <f aca="false">MAX(0,(MIN($F18,AM$4)-MAX($E18,AM$3)+1)/AM$5)</f>
        <v>1</v>
      </c>
      <c r="AN18" s="56" t="n">
        <f aca="false">MAX(0,(MIN($F18,AN$4)-MAX($E18,AN$3)+1)/AN$5)</f>
        <v>1</v>
      </c>
      <c r="AO18" s="56" t="n">
        <f aca="false">MAX(0,(MIN($F18,AO$4)-MAX($E18,AO$3)+1)/AO$5)</f>
        <v>1</v>
      </c>
      <c r="AP18" s="56" t="n">
        <f aca="false">MAX(0,(MIN($F18,AP$4)-MAX($E18,AP$3)+1)/AP$5)</f>
        <v>1</v>
      </c>
      <c r="AQ18" s="56" t="n">
        <f aca="false">MAX(0,(MIN($F18,AQ$4)-MAX($E18,AQ$3)+1)/AQ$5)</f>
        <v>1</v>
      </c>
      <c r="AR18" s="56" t="n">
        <f aca="false">MAX(0,(MIN($F18,AR$4)-MAX($E18,AR$3)+1)/AR$5)</f>
        <v>1</v>
      </c>
      <c r="AS18" s="56" t="n">
        <f aca="false">MAX(0,(MIN($F18,AS$4)-MAX($E18,AS$3)+1)/AS$5)</f>
        <v>1</v>
      </c>
      <c r="AT18" s="56" t="n">
        <f aca="false">MAX(0,(MIN($F18,AT$4)-MAX($E18,AT$3)+1)/AT$5)</f>
        <v>1</v>
      </c>
      <c r="AU18" s="56" t="n">
        <f aca="false">MAX(0,(MIN($F18,AU$4)-MAX($E18,AU$3)+1)/AU$5)</f>
        <v>1</v>
      </c>
      <c r="AV18" s="56" t="n">
        <f aca="false">MAX(0,(MIN($F18,AV$4)-MAX($E18,AV$3)+1)/AV$5)</f>
        <v>1</v>
      </c>
      <c r="AW18" s="56" t="n">
        <f aca="false">MAX(0,(MIN($F18,AW$4)-MAX($E18,AW$3)+1)/AW$5)</f>
        <v>1</v>
      </c>
      <c r="AX18" s="56" t="n">
        <f aca="false">MAX(0,(MIN($F18,AX$4)-MAX($E18,AX$3)+1)/AX$5)</f>
        <v>1</v>
      </c>
      <c r="AY18" s="56" t="n">
        <f aca="false">MAX(0,(MIN($F18,AY$4)-MAX($E18,AY$3)+1)/AY$5)</f>
        <v>1</v>
      </c>
      <c r="AZ18" s="56" t="n">
        <f aca="false">MAX(0,(MIN($F18,AZ$4)-MAX($E18,AZ$3)+1)/AZ$5)</f>
        <v>1</v>
      </c>
      <c r="BA18" s="56" t="n">
        <f aca="false">MAX(0,(MIN($F18,BA$4)-MAX($E18,BA$3)+1)/BA$5)</f>
        <v>1</v>
      </c>
      <c r="BB18" s="56" t="n">
        <f aca="false">MAX(0,(MIN($F18,BB$4)-MAX($E18,BB$3)+1)/BB$5)</f>
        <v>1</v>
      </c>
      <c r="BC18" s="56" t="n">
        <f aca="false">MAX(0,(MIN($F18,BC$4)-MAX($E18,BC$3)+1)/BC$5)</f>
        <v>1</v>
      </c>
      <c r="BD18" s="56" t="n">
        <f aca="false">MAX(0,(MIN($F18,BD$4)-MAX($E18,BD$3)+1)/BD$5)</f>
        <v>1</v>
      </c>
      <c r="BE18" s="56" t="n">
        <f aca="false">MAX(0,(MIN($F18,BE$4)-MAX($E18,BE$3)+1)/BE$5)</f>
        <v>1</v>
      </c>
      <c r="BF18" s="56" t="n">
        <f aca="false">MAX(0,(MIN($F18,BF$4)-MAX($E18,BF$3)+1)/BF$5)</f>
        <v>1</v>
      </c>
      <c r="BG18" s="56" t="n">
        <f aca="false">MAX(0,(MIN($F18,BG$4)-MAX($E18,BG$3)+1)/BG$5)</f>
        <v>1</v>
      </c>
      <c r="BH18" s="56" t="n">
        <f aca="false">MAX(0,(MIN($F18,BH$4)-MAX($E18,BH$3)+1)/BH$5)</f>
        <v>1</v>
      </c>
      <c r="BI18" s="56" t="n">
        <f aca="false">MAX(0,(MIN($F18,BI$4)-MAX($E18,BI$3)+1)/BI$5)</f>
        <v>1</v>
      </c>
      <c r="BJ18" s="56" t="n">
        <f aca="false">MAX(0,(MIN($F18,BJ$4)-MAX($E18,BJ$3)+1)/BJ$5)</f>
        <v>1</v>
      </c>
      <c r="BK18" s="56" t="n">
        <f aca="false">MAX(0,(MIN($F18,BK$4)-MAX($E18,BK$3)+1)/BK$5)</f>
        <v>1</v>
      </c>
      <c r="BL18" s="56" t="n">
        <f aca="false">MAX(0,(MIN($F18,BL$4)-MAX($E18,BL$3)+1)/BL$5)</f>
        <v>1</v>
      </c>
      <c r="BM18" s="56" t="n">
        <f aca="false">MAX(0,(MIN($F18,BM$4)-MAX($E18,BM$3)+1)/BM$5)</f>
        <v>1</v>
      </c>
      <c r="BN18" s="56" t="n">
        <f aca="false">MAX(0,(MIN($F18,BN$4)-MAX($E18,BN$3)+1)/BN$5)</f>
        <v>1</v>
      </c>
      <c r="BO18" s="56" t="n">
        <f aca="false">MAX(0,(MIN($F18,BO$4)-MAX($E18,BO$3)+1)/BO$5)</f>
        <v>1</v>
      </c>
      <c r="BP18" s="56" t="n">
        <f aca="false">MAX(0,(MIN($F18,BP$4)-MAX($E18,BP$3)+1)/BP$5)</f>
        <v>1</v>
      </c>
      <c r="BQ18" s="56" t="n">
        <f aca="false">MAX(0,(MIN($F18,BQ$4)-MAX($E18,BQ$3)+1)/BQ$5)</f>
        <v>1</v>
      </c>
      <c r="BR18" s="56" t="n">
        <f aca="false">MAX(0,(MIN($F18,BR$4)-MAX($E18,BR$3)+1)/BR$5)</f>
        <v>1</v>
      </c>
      <c r="BS18" s="56" t="n">
        <f aca="false">MAX(0,(MIN($F18,BS$4)-MAX($E18,BS$3)+1)/BS$5)</f>
        <v>1</v>
      </c>
      <c r="BT18" s="56" t="n">
        <f aca="false">MAX(0,(MIN($F18,BT$4)-MAX($E18,BT$3)+1)/BT$5)</f>
        <v>1</v>
      </c>
      <c r="BU18" s="56" t="n">
        <f aca="false">MAX(0,(MIN($F18,BU$4)-MAX($E18,BU$3)+1)/BU$5)</f>
        <v>1</v>
      </c>
      <c r="BV18" s="56" t="n">
        <f aca="false">MAX(0,(MIN($F18,BV$4)-MAX($E18,BV$3)+1)/BV$5)</f>
        <v>1</v>
      </c>
      <c r="BW18" s="56" t="n">
        <f aca="false">MAX(0,(MIN($F18,BW$4)-MAX($E18,BW$3)+1)/BW$5)</f>
        <v>1</v>
      </c>
      <c r="BX18" s="56" t="n">
        <f aca="false">MAX(0,(MIN($F18,BX$4)-MAX($E18,BX$3)+1)/BX$5)</f>
        <v>1</v>
      </c>
      <c r="BY18" s="56" t="n">
        <f aca="false">MAX(0,(MIN($F18,BY$4)-MAX($E18,BY$3)+1)/BY$5)</f>
        <v>1</v>
      </c>
      <c r="BZ18" s="56" t="n">
        <f aca="false">MAX(0,(MIN($F18,BZ$4)-MAX($E18,BZ$3)+1)/BZ$5)</f>
        <v>1</v>
      </c>
      <c r="CA18" s="56" t="n">
        <f aca="false">MAX(0,(MIN($F18,CA$4)-MAX($E18,CA$3)+1)/CA$5)</f>
        <v>1</v>
      </c>
      <c r="CB18" s="56" t="n">
        <f aca="false">MAX(0,(MIN($F18,CB$4)-MAX($E18,CB$3)+1)/CB$5)</f>
        <v>1</v>
      </c>
      <c r="CC18" s="56" t="n">
        <f aca="false">MAX(0,(MIN($F18,CC$4)-MAX($E18,CC$3)+1)/CC$5)</f>
        <v>1</v>
      </c>
      <c r="CD18" s="56" t="n">
        <f aca="false">MAX(0,(MIN($F18,CD$4)-MAX($E18,CD$3)+1)/CD$5)</f>
        <v>1</v>
      </c>
      <c r="CE18" s="56" t="n">
        <f aca="false">MAX(0,(MIN($F18,CE$4)-MAX($E18,CE$3)+1)/CE$5)</f>
        <v>1</v>
      </c>
      <c r="CF18" s="56" t="n">
        <f aca="false">MAX(0,(MIN($F18,CF$4)-MAX($E18,CF$3)+1)/CF$5)</f>
        <v>1</v>
      </c>
      <c r="CG18" s="56" t="n">
        <f aca="false">MAX(0,(MIN($F18,CG$4)-MAX($E18,CG$3)+1)/CG$5)</f>
        <v>1</v>
      </c>
      <c r="CH18" s="56" t="n">
        <f aca="false">MAX(0,(MIN($F18,CH$4)-MAX($E18,CH$3)+1)/CH$5)</f>
        <v>0</v>
      </c>
      <c r="CI18" s="56" t="n">
        <f aca="false">MAX(0,(MIN($F18,CI$4)-MAX($E18,CI$3)+1)/CI$5)</f>
        <v>0</v>
      </c>
      <c r="CJ18" s="56" t="n">
        <f aca="false">MAX(0,(MIN($F18,CJ$4)-MAX($E18,CJ$3)+1)/CJ$5)</f>
        <v>0</v>
      </c>
      <c r="CK18" s="56" t="n">
        <f aca="false">MAX(0,(MIN($F18,CK$4)-MAX($E18,CK$3)+1)/CK$5)</f>
        <v>0</v>
      </c>
      <c r="CL18" s="56" t="n">
        <f aca="false">MAX(0,(MIN($F18,CL$4)-MAX($E18,CL$3)+1)/CL$5)</f>
        <v>0</v>
      </c>
      <c r="CM18" s="56" t="n">
        <f aca="false">MAX(0,(MIN($F18,CM$4)-MAX($E18,CM$3)+1)/CM$5)</f>
        <v>0</v>
      </c>
      <c r="CN18" s="56" t="n">
        <f aca="false">MAX(0,(MIN($F18,CN$4)-MAX($E18,CN$3)+1)/CN$5)</f>
        <v>0</v>
      </c>
      <c r="CO18" s="56" t="n">
        <f aca="false">MAX(0,(MIN($F18,CO$4)-MAX($E18,CO$3)+1)/CO$5)</f>
        <v>0</v>
      </c>
      <c r="CP18" s="56" t="n">
        <f aca="false">MAX(0,(MIN($F18,CP$4)-MAX($E18,CP$3)+1)/CP$5)</f>
        <v>0</v>
      </c>
      <c r="CQ18" s="56" t="n">
        <f aca="false">MAX(0,(MIN($F18,CQ$4)-MAX($E18,CQ$3)+1)/CQ$5)</f>
        <v>0</v>
      </c>
      <c r="CR18" s="56" t="n">
        <f aca="false">MAX(0,(MIN($F18,CR$4)-MAX($E18,CR$3)+1)/CR$5)</f>
        <v>0</v>
      </c>
      <c r="CS18" s="56" t="n">
        <f aca="false">MAX(0,(MIN($F18,CS$4)-MAX($E18,CS$3)+1)/CS$5)</f>
        <v>0</v>
      </c>
      <c r="CT18" s="56" t="n">
        <f aca="false">MAX(0,(MIN($F18,CT$4)-MAX($E18,CT$3)+1)/CT$5)</f>
        <v>0</v>
      </c>
      <c r="CU18" s="56" t="n">
        <f aca="false">MAX(0,(MIN($F18,CU$4)-MAX($E18,CU$3)+1)/CU$5)</f>
        <v>0</v>
      </c>
      <c r="CV18" s="56" t="n">
        <f aca="false">MAX(0,(MIN($F18,CV$4)-MAX($E18,CV$3)+1)/CV$5)</f>
        <v>0</v>
      </c>
      <c r="CW18" s="56" t="n">
        <f aca="false">MAX(0,(MIN($F18,CW$4)-MAX($E18,CW$3)+1)/CW$5)</f>
        <v>0</v>
      </c>
      <c r="CX18" s="56" t="n">
        <f aca="false">MAX(0,(MIN($F18,CX$4)-MAX($E18,CX$3)+1)/CX$5)</f>
        <v>0</v>
      </c>
      <c r="CY18" s="56" t="n">
        <f aca="false">MAX(0,(MIN($F18,CY$4)-MAX($E18,CY$3)+1)/CY$5)</f>
        <v>0</v>
      </c>
      <c r="CZ18" s="56" t="n">
        <f aca="false">MAX(0,(MIN($F18,CZ$4)-MAX($E18,CZ$3)+1)/CZ$5)</f>
        <v>0</v>
      </c>
      <c r="DA18" s="56" t="n">
        <f aca="false">MAX(0,(MIN($F18,DA$4)-MAX($E18,DA$3)+1)/DA$5)</f>
        <v>0</v>
      </c>
      <c r="DB18" s="56" t="n">
        <f aca="false">MAX(0,(MIN($F18,DB$4)-MAX($E18,DB$3)+1)/DB$5)</f>
        <v>0</v>
      </c>
      <c r="DC18" s="56" t="n">
        <f aca="false">MAX(0,(MIN($F18,DC$4)-MAX($E18,DC$3)+1)/DC$5)</f>
        <v>0</v>
      </c>
      <c r="DD18" s="56" t="n">
        <f aca="false">MAX(0,(MIN($F18,DD$4)-MAX($E18,DD$3)+1)/DD$5)</f>
        <v>0</v>
      </c>
      <c r="DE18" s="56" t="n">
        <f aca="false">MAX(0,(MIN($F18,DE$4)-MAX($E18,DE$3)+1)/DE$5)</f>
        <v>0</v>
      </c>
      <c r="DF18" s="56" t="n">
        <f aca="false">MAX(0,(MIN($F18,DF$4)-MAX($E18,DF$3)+1)/DF$5)</f>
        <v>0</v>
      </c>
      <c r="DG18" s="56" t="n">
        <f aca="false">MAX(0,(MIN($F18,DG$4)-MAX($E18,DG$3)+1)/DG$5)</f>
        <v>0</v>
      </c>
      <c r="DH18" s="56" t="n">
        <f aca="false">MAX(0,(MIN($F18,DH$4)-MAX($E18,DH$3)+1)/DH$5)</f>
        <v>0</v>
      </c>
      <c r="DI18" s="56" t="n">
        <f aca="false">MAX(0,(MIN($F18,DI$4)-MAX($E18,DI$3)+1)/DI$5)</f>
        <v>0</v>
      </c>
      <c r="DJ18" s="56" t="n">
        <f aca="false">MAX(0,(MIN($F18,DJ$4)-MAX($E18,DJ$3)+1)/DJ$5)</f>
        <v>0</v>
      </c>
      <c r="DK18" s="56" t="n">
        <f aca="false">MAX(0,(MIN($F18,DK$4)-MAX($E18,DK$3)+1)/DK$5)</f>
        <v>0</v>
      </c>
      <c r="DL18" s="56" t="n">
        <f aca="false">MAX(0,(MIN($F18,DL$4)-MAX($E18,DL$3)+1)/DL$5)</f>
        <v>0</v>
      </c>
      <c r="DM18" s="56" t="n">
        <f aca="false">MAX(0,(MIN($F18,DM$4)-MAX($E18,DM$3)+1)/DM$5)</f>
        <v>0</v>
      </c>
      <c r="DN18" s="56" t="n">
        <f aca="false">MAX(0,(MIN($F18,DN$4)-MAX($E18,DN$3)+1)/DN$5)</f>
        <v>0</v>
      </c>
      <c r="DO18" s="56" t="n">
        <f aca="false">MAX(0,(MIN($F18,DO$4)-MAX($E18,DO$3)+1)/DO$5)</f>
        <v>0</v>
      </c>
      <c r="DP18" s="56" t="n">
        <f aca="false">MAX(0,(MIN($F18,DP$4)-MAX($E18,DP$3)+1)/DP$5)</f>
        <v>0</v>
      </c>
      <c r="DQ18" s="56" t="n">
        <f aca="false">MAX(0,(MIN($F18,DQ$4)-MAX($E18,DQ$3)+1)/DQ$5)</f>
        <v>0</v>
      </c>
      <c r="DR18" s="56" t="n">
        <f aca="false">MAX(0,(MIN($F18,DR$4)-MAX($E18,DR$3)+1)/DR$5)</f>
        <v>0</v>
      </c>
      <c r="DS18" s="56" t="n">
        <f aca="false">MAX(0,(MIN($F18,DS$4)-MAX($E18,DS$3)+1)/DS$5)</f>
        <v>0</v>
      </c>
      <c r="DT18" s="56" t="n">
        <f aca="false">MAX(0,(MIN($F18,DT$4)-MAX($E18,DT$3)+1)/DT$5)</f>
        <v>0</v>
      </c>
      <c r="DU18" s="56" t="n">
        <f aca="false">MAX(0,(MIN($F18,DU$4)-MAX($E18,DU$3)+1)/DU$5)</f>
        <v>0</v>
      </c>
      <c r="DV18" s="56" t="n">
        <f aca="false">MAX(0,(MIN($F18,DV$4)-MAX($E18,DV$3)+1)/DV$5)</f>
        <v>0</v>
      </c>
      <c r="DW18" s="56" t="n">
        <f aca="false">MAX(0,(MIN($F18,DW$4)-MAX($E18,DW$3)+1)/DW$5)</f>
        <v>0</v>
      </c>
      <c r="DX18" s="56" t="n">
        <f aca="false">MAX(0,(MIN($F18,DX$4)-MAX($E18,DX$3)+1)/DX$5)</f>
        <v>0</v>
      </c>
      <c r="DY18" s="56" t="n">
        <f aca="false">MAX(0,(MIN($F18,DY$4)-MAX($E18,DY$3)+1)/DY$5)</f>
        <v>0</v>
      </c>
      <c r="DZ18" s="56" t="n">
        <f aca="false">MAX(0,(MIN($F18,DZ$4)-MAX($E18,DZ$3)+1)/DZ$5)</f>
        <v>0</v>
      </c>
      <c r="EA18" s="56" t="n">
        <f aca="false">MAX(0,(MIN($F18,EA$4)-MAX($E18,EA$3)+1)/EA$5)</f>
        <v>0</v>
      </c>
      <c r="EB18" s="56" t="n">
        <f aca="false">MAX(0,(MIN($F18,EB$4)-MAX($E18,EB$3)+1)/EB$5)</f>
        <v>0</v>
      </c>
      <c r="EC18" s="56" t="n">
        <f aca="false">MAX(0,(MIN($F18,EC$4)-MAX($E18,EC$3)+1)/EC$5)</f>
        <v>0</v>
      </c>
      <c r="ED18" s="56" t="n">
        <f aca="false">MAX(0,(MIN($F18,ED$4)-MAX($E18,ED$3)+1)/ED$5)</f>
        <v>0</v>
      </c>
      <c r="EE18" s="56" t="n">
        <f aca="false">MAX(0,(MIN($F18,EE$4)-MAX($E18,EE$3)+1)/EE$5)</f>
        <v>0</v>
      </c>
      <c r="EF18" s="56" t="n">
        <f aca="false">MAX(0,(MIN($F18,EF$4)-MAX($E18,EF$3)+1)/EF$5)</f>
        <v>0</v>
      </c>
      <c r="EG18" s="56" t="n">
        <f aca="false">MAX(0,(MIN($F18,EG$4)-MAX($E18,EG$3)+1)/EG$5)</f>
        <v>0</v>
      </c>
      <c r="EH18" s="56" t="n">
        <f aca="false">MAX(0,(MIN($F18,EH$4)-MAX($E18,EH$3)+1)/EH$5)</f>
        <v>0</v>
      </c>
      <c r="EI18" s="56" t="n">
        <f aca="false">MAX(0,(MIN($F18,EI$4)-MAX($E18,EI$3)+1)/EI$5)</f>
        <v>0</v>
      </c>
      <c r="EJ18" s="56" t="n">
        <f aca="false">MAX(0,(MIN($F18,EJ$4)-MAX($E18,EJ$3)+1)/EJ$5)</f>
        <v>0</v>
      </c>
      <c r="EK18" s="56" t="n">
        <f aca="false">MAX(0,(MIN($F18,EK$4)-MAX($E18,EK$3)+1)/EK$5)</f>
        <v>0</v>
      </c>
      <c r="EL18" s="56" t="n">
        <f aca="false">MAX(0,(MIN($F18,EL$4)-MAX($E18,EL$3)+1)/EL$5)</f>
        <v>0</v>
      </c>
      <c r="EM18" s="56" t="n">
        <f aca="false">MAX(0,(MIN($F18,EM$4)-MAX($E18,EM$3)+1)/EM$5)</f>
        <v>0</v>
      </c>
      <c r="EN18" s="56" t="n">
        <f aca="false">MAX(0,(MIN($F18,EN$4)-MAX($E18,EN$3)+1)/EN$5)</f>
        <v>0</v>
      </c>
      <c r="EO18" s="56" t="n">
        <f aca="false">MAX(0,(MIN($F18,EO$4)-MAX($E18,EO$3)+1)/EO$5)</f>
        <v>0</v>
      </c>
    </row>
    <row r="19" customFormat="false" ht="15" hidden="false" customHeight="false" outlineLevel="0" collapsed="false">
      <c r="C19" s="1" t="s">
        <v>421</v>
      </c>
      <c r="D19" s="12" t="s">
        <v>43</v>
      </c>
      <c r="E19" s="47" t="n">
        <f aca="false">EDATE(In_COD,In_Debt_Tenor*Months_In_Year)</f>
        <v>53235</v>
      </c>
      <c r="I19" s="51" t="n">
        <f aca="false">SUM(J19:EO19)</f>
        <v>1</v>
      </c>
      <c r="J19" s="51" t="n">
        <f aca="false">N(AND(J$3&lt;=$E19,J$4&gt;=$E19))</f>
        <v>0</v>
      </c>
      <c r="K19" s="51" t="n">
        <f aca="false">N(AND(K$3&lt;=$E19,K$4&gt;=$E19))</f>
        <v>0</v>
      </c>
      <c r="L19" s="51" t="n">
        <f aca="false">N(AND(L$3&lt;=$E19,L$4&gt;=$E19))</f>
        <v>0</v>
      </c>
      <c r="M19" s="51" t="n">
        <f aca="false">N(AND(M$3&lt;=$E19,M$4&gt;=$E19))</f>
        <v>0</v>
      </c>
      <c r="N19" s="51" t="n">
        <f aca="false">N(AND(N$3&lt;=$E19,N$4&gt;=$E19))</f>
        <v>0</v>
      </c>
      <c r="O19" s="51" t="n">
        <f aca="false">N(AND(O$3&lt;=$E19,O$4&gt;=$E19))</f>
        <v>0</v>
      </c>
      <c r="P19" s="51" t="n">
        <f aca="false">N(AND(P$3&lt;=$E19,P$4&gt;=$E19))</f>
        <v>0</v>
      </c>
      <c r="Q19" s="51" t="n">
        <f aca="false">N(AND(Q$3&lt;=$E19,Q$4&gt;=$E19))</f>
        <v>0</v>
      </c>
      <c r="R19" s="51" t="n">
        <f aca="false">N(AND(R$3&lt;=$E19,R$4&gt;=$E19))</f>
        <v>0</v>
      </c>
      <c r="S19" s="51" t="n">
        <f aca="false">N(AND(S$3&lt;=$E19,S$4&gt;=$E19))</f>
        <v>0</v>
      </c>
      <c r="T19" s="51" t="n">
        <f aca="false">N(AND(T$3&lt;=$E19,T$4&gt;=$E19))</f>
        <v>0</v>
      </c>
      <c r="U19" s="51" t="n">
        <f aca="false">N(AND(U$3&lt;=$E19,U$4&gt;=$E19))</f>
        <v>0</v>
      </c>
      <c r="V19" s="51" t="n">
        <f aca="false">N(AND(V$3&lt;=$E19,V$4&gt;=$E19))</f>
        <v>0</v>
      </c>
      <c r="W19" s="51" t="n">
        <f aca="false">N(AND(W$3&lt;=$E19,W$4&gt;=$E19))</f>
        <v>0</v>
      </c>
      <c r="X19" s="51" t="n">
        <f aca="false">N(AND(X$3&lt;=$E19,X$4&gt;=$E19))</f>
        <v>0</v>
      </c>
      <c r="Y19" s="51" t="n">
        <f aca="false">N(AND(Y$3&lt;=$E19,Y$4&gt;=$E19))</f>
        <v>0</v>
      </c>
      <c r="Z19" s="51" t="n">
        <f aca="false">N(AND(Z$3&lt;=$E19,Z$4&gt;=$E19))</f>
        <v>0</v>
      </c>
      <c r="AA19" s="51" t="n">
        <f aca="false">N(AND(AA$3&lt;=$E19,AA$4&gt;=$E19))</f>
        <v>0</v>
      </c>
      <c r="AB19" s="51" t="n">
        <f aca="false">N(AND(AB$3&lt;=$E19,AB$4&gt;=$E19))</f>
        <v>0</v>
      </c>
      <c r="AC19" s="51" t="n">
        <f aca="false">N(AND(AC$3&lt;=$E19,AC$4&gt;=$E19))</f>
        <v>0</v>
      </c>
      <c r="AD19" s="51" t="n">
        <f aca="false">N(AND(AD$3&lt;=$E19,AD$4&gt;=$E19))</f>
        <v>0</v>
      </c>
      <c r="AE19" s="51" t="n">
        <f aca="false">N(AND(AE$3&lt;=$E19,AE$4&gt;=$E19))</f>
        <v>0</v>
      </c>
      <c r="AF19" s="51" t="n">
        <f aca="false">N(AND(AF$3&lt;=$E19,AF$4&gt;=$E19))</f>
        <v>0</v>
      </c>
      <c r="AG19" s="51" t="n">
        <f aca="false">N(AND(AG$3&lt;=$E19,AG$4&gt;=$E19))</f>
        <v>0</v>
      </c>
      <c r="AH19" s="51" t="n">
        <f aca="false">N(AND(AH$3&lt;=$E19,AH$4&gt;=$E19))</f>
        <v>0</v>
      </c>
      <c r="AI19" s="51" t="n">
        <f aca="false">N(AND(AI$3&lt;=$E19,AI$4&gt;=$E19))</f>
        <v>0</v>
      </c>
      <c r="AJ19" s="51" t="n">
        <f aca="false">N(AND(AJ$3&lt;=$E19,AJ$4&gt;=$E19))</f>
        <v>0</v>
      </c>
      <c r="AK19" s="51" t="n">
        <f aca="false">N(AND(AK$3&lt;=$E19,AK$4&gt;=$E19))</f>
        <v>0</v>
      </c>
      <c r="AL19" s="51" t="n">
        <f aca="false">N(AND(AL$3&lt;=$E19,AL$4&gt;=$E19))</f>
        <v>0</v>
      </c>
      <c r="AM19" s="51" t="n">
        <f aca="false">N(AND(AM$3&lt;=$E19,AM$4&gt;=$E19))</f>
        <v>0</v>
      </c>
      <c r="AN19" s="51" t="n">
        <f aca="false">N(AND(AN$3&lt;=$E19,AN$4&gt;=$E19))</f>
        <v>0</v>
      </c>
      <c r="AO19" s="51" t="n">
        <f aca="false">N(AND(AO$3&lt;=$E19,AO$4&gt;=$E19))</f>
        <v>0</v>
      </c>
      <c r="AP19" s="51" t="n">
        <f aca="false">N(AND(AP$3&lt;=$E19,AP$4&gt;=$E19))</f>
        <v>0</v>
      </c>
      <c r="AQ19" s="51" t="n">
        <f aca="false">N(AND(AQ$3&lt;=$E19,AQ$4&gt;=$E19))</f>
        <v>0</v>
      </c>
      <c r="AR19" s="51" t="n">
        <f aca="false">N(AND(AR$3&lt;=$E19,AR$4&gt;=$E19))</f>
        <v>0</v>
      </c>
      <c r="AS19" s="51" t="n">
        <f aca="false">N(AND(AS$3&lt;=$E19,AS$4&gt;=$E19))</f>
        <v>0</v>
      </c>
      <c r="AT19" s="51" t="n">
        <f aca="false">N(AND(AT$3&lt;=$E19,AT$4&gt;=$E19))</f>
        <v>0</v>
      </c>
      <c r="AU19" s="51" t="n">
        <f aca="false">N(AND(AU$3&lt;=$E19,AU$4&gt;=$E19))</f>
        <v>0</v>
      </c>
      <c r="AV19" s="51" t="n">
        <f aca="false">N(AND(AV$3&lt;=$E19,AV$4&gt;=$E19))</f>
        <v>0</v>
      </c>
      <c r="AW19" s="51" t="n">
        <f aca="false">N(AND(AW$3&lt;=$E19,AW$4&gt;=$E19))</f>
        <v>0</v>
      </c>
      <c r="AX19" s="51" t="n">
        <f aca="false">N(AND(AX$3&lt;=$E19,AX$4&gt;=$E19))</f>
        <v>0</v>
      </c>
      <c r="AY19" s="51" t="n">
        <f aca="false">N(AND(AY$3&lt;=$E19,AY$4&gt;=$E19))</f>
        <v>0</v>
      </c>
      <c r="AZ19" s="51" t="n">
        <f aca="false">N(AND(AZ$3&lt;=$E19,AZ$4&gt;=$E19))</f>
        <v>0</v>
      </c>
      <c r="BA19" s="51" t="n">
        <f aca="false">N(AND(BA$3&lt;=$E19,BA$4&gt;=$E19))</f>
        <v>0</v>
      </c>
      <c r="BB19" s="51" t="n">
        <f aca="false">N(AND(BB$3&lt;=$E19,BB$4&gt;=$E19))</f>
        <v>0</v>
      </c>
      <c r="BC19" s="51" t="n">
        <f aca="false">N(AND(BC$3&lt;=$E19,BC$4&gt;=$E19))</f>
        <v>0</v>
      </c>
      <c r="BD19" s="51" t="n">
        <f aca="false">N(AND(BD$3&lt;=$E19,BD$4&gt;=$E19))</f>
        <v>0</v>
      </c>
      <c r="BE19" s="51" t="n">
        <f aca="false">N(AND(BE$3&lt;=$E19,BE$4&gt;=$E19))</f>
        <v>0</v>
      </c>
      <c r="BF19" s="51" t="n">
        <f aca="false">N(AND(BF$3&lt;=$E19,BF$4&gt;=$E19))</f>
        <v>0</v>
      </c>
      <c r="BG19" s="51" t="n">
        <f aca="false">N(AND(BG$3&lt;=$E19,BG$4&gt;=$E19))</f>
        <v>0</v>
      </c>
      <c r="BH19" s="51" t="n">
        <f aca="false">N(AND(BH$3&lt;=$E19,BH$4&gt;=$E19))</f>
        <v>0</v>
      </c>
      <c r="BI19" s="51" t="n">
        <f aca="false">N(AND(BI$3&lt;=$E19,BI$4&gt;=$E19))</f>
        <v>0</v>
      </c>
      <c r="BJ19" s="51" t="n">
        <f aca="false">N(AND(BJ$3&lt;=$E19,BJ$4&gt;=$E19))</f>
        <v>0</v>
      </c>
      <c r="BK19" s="51" t="n">
        <f aca="false">N(AND(BK$3&lt;=$E19,BK$4&gt;=$E19))</f>
        <v>0</v>
      </c>
      <c r="BL19" s="51" t="n">
        <f aca="false">N(AND(BL$3&lt;=$E19,BL$4&gt;=$E19))</f>
        <v>0</v>
      </c>
      <c r="BM19" s="51" t="n">
        <f aca="false">N(AND(BM$3&lt;=$E19,BM$4&gt;=$E19))</f>
        <v>0</v>
      </c>
      <c r="BN19" s="51" t="n">
        <f aca="false">N(AND(BN$3&lt;=$E19,BN$4&gt;=$E19))</f>
        <v>0</v>
      </c>
      <c r="BO19" s="51" t="n">
        <f aca="false">N(AND(BO$3&lt;=$E19,BO$4&gt;=$E19))</f>
        <v>0</v>
      </c>
      <c r="BP19" s="51" t="n">
        <f aca="false">N(AND(BP$3&lt;=$E19,BP$4&gt;=$E19))</f>
        <v>0</v>
      </c>
      <c r="BQ19" s="51" t="n">
        <f aca="false">N(AND(BQ$3&lt;=$E19,BQ$4&gt;=$E19))</f>
        <v>0</v>
      </c>
      <c r="BR19" s="51" t="n">
        <f aca="false">N(AND(BR$3&lt;=$E19,BR$4&gt;=$E19))</f>
        <v>0</v>
      </c>
      <c r="BS19" s="51" t="n">
        <f aca="false">N(AND(BS$3&lt;=$E19,BS$4&gt;=$E19))</f>
        <v>0</v>
      </c>
      <c r="BT19" s="51" t="n">
        <f aca="false">N(AND(BT$3&lt;=$E19,BT$4&gt;=$E19))</f>
        <v>0</v>
      </c>
      <c r="BU19" s="51" t="n">
        <f aca="false">N(AND(BU$3&lt;=$E19,BU$4&gt;=$E19))</f>
        <v>0</v>
      </c>
      <c r="BV19" s="51" t="n">
        <f aca="false">N(AND(BV$3&lt;=$E19,BV$4&gt;=$E19))</f>
        <v>0</v>
      </c>
      <c r="BW19" s="51" t="n">
        <f aca="false">N(AND(BW$3&lt;=$E19,BW$4&gt;=$E19))</f>
        <v>0</v>
      </c>
      <c r="BX19" s="51" t="n">
        <f aca="false">N(AND(BX$3&lt;=$E19,BX$4&gt;=$E19))</f>
        <v>0</v>
      </c>
      <c r="BY19" s="51" t="n">
        <f aca="false">N(AND(BY$3&lt;=$E19,BY$4&gt;=$E19))</f>
        <v>0</v>
      </c>
      <c r="BZ19" s="51" t="n">
        <f aca="false">N(AND(BZ$3&lt;=$E19,BZ$4&gt;=$E19))</f>
        <v>0</v>
      </c>
      <c r="CA19" s="51" t="n">
        <f aca="false">N(AND(CA$3&lt;=$E19,CA$4&gt;=$E19))</f>
        <v>0</v>
      </c>
      <c r="CB19" s="51" t="n">
        <f aca="false">N(AND(CB$3&lt;=$E19,CB$4&gt;=$E19))</f>
        <v>0</v>
      </c>
      <c r="CC19" s="51" t="n">
        <f aca="false">N(AND(CC$3&lt;=$E19,CC$4&gt;=$E19))</f>
        <v>0</v>
      </c>
      <c r="CD19" s="51" t="n">
        <f aca="false">N(AND(CD$3&lt;=$E19,CD$4&gt;=$E19))</f>
        <v>0</v>
      </c>
      <c r="CE19" s="51" t="n">
        <f aca="false">N(AND(CE$3&lt;=$E19,CE$4&gt;=$E19))</f>
        <v>0</v>
      </c>
      <c r="CF19" s="51" t="n">
        <f aca="false">N(AND(CF$3&lt;=$E19,CF$4&gt;=$E19))</f>
        <v>0</v>
      </c>
      <c r="CG19" s="51" t="n">
        <f aca="false">N(AND(CG$3&lt;=$E19,CG$4&gt;=$E19))</f>
        <v>1</v>
      </c>
      <c r="CH19" s="51" t="n">
        <f aca="false">N(AND(CH$3&lt;=$E19,CH$4&gt;=$E19))</f>
        <v>0</v>
      </c>
      <c r="CI19" s="51" t="n">
        <f aca="false">N(AND(CI$3&lt;=$E19,CI$4&gt;=$E19))</f>
        <v>0</v>
      </c>
      <c r="CJ19" s="51" t="n">
        <f aca="false">N(AND(CJ$3&lt;=$E19,CJ$4&gt;=$E19))</f>
        <v>0</v>
      </c>
      <c r="CK19" s="51" t="n">
        <f aca="false">N(AND(CK$3&lt;=$E19,CK$4&gt;=$E19))</f>
        <v>0</v>
      </c>
      <c r="CL19" s="51" t="n">
        <f aca="false">N(AND(CL$3&lt;=$E19,CL$4&gt;=$E19))</f>
        <v>0</v>
      </c>
      <c r="CM19" s="51" t="n">
        <f aca="false">N(AND(CM$3&lt;=$E19,CM$4&gt;=$E19))</f>
        <v>0</v>
      </c>
      <c r="CN19" s="51" t="n">
        <f aca="false">N(AND(CN$3&lt;=$E19,CN$4&gt;=$E19))</f>
        <v>0</v>
      </c>
      <c r="CO19" s="51" t="n">
        <f aca="false">N(AND(CO$3&lt;=$E19,CO$4&gt;=$E19))</f>
        <v>0</v>
      </c>
      <c r="CP19" s="51" t="n">
        <f aca="false">N(AND(CP$3&lt;=$E19,CP$4&gt;=$E19))</f>
        <v>0</v>
      </c>
      <c r="CQ19" s="51" t="n">
        <f aca="false">N(AND(CQ$3&lt;=$E19,CQ$4&gt;=$E19))</f>
        <v>0</v>
      </c>
      <c r="CR19" s="51" t="n">
        <f aca="false">N(AND(CR$3&lt;=$E19,CR$4&gt;=$E19))</f>
        <v>0</v>
      </c>
      <c r="CS19" s="51" t="n">
        <f aca="false">N(AND(CS$3&lt;=$E19,CS$4&gt;=$E19))</f>
        <v>0</v>
      </c>
      <c r="CT19" s="51" t="n">
        <f aca="false">N(AND(CT$3&lt;=$E19,CT$4&gt;=$E19))</f>
        <v>0</v>
      </c>
      <c r="CU19" s="51" t="n">
        <f aca="false">N(AND(CU$3&lt;=$E19,CU$4&gt;=$E19))</f>
        <v>0</v>
      </c>
      <c r="CV19" s="51" t="n">
        <f aca="false">N(AND(CV$3&lt;=$E19,CV$4&gt;=$E19))</f>
        <v>0</v>
      </c>
      <c r="CW19" s="51" t="n">
        <f aca="false">N(AND(CW$3&lt;=$E19,CW$4&gt;=$E19))</f>
        <v>0</v>
      </c>
      <c r="CX19" s="51" t="n">
        <f aca="false">N(AND(CX$3&lt;=$E19,CX$4&gt;=$E19))</f>
        <v>0</v>
      </c>
      <c r="CY19" s="51" t="n">
        <f aca="false">N(AND(CY$3&lt;=$E19,CY$4&gt;=$E19))</f>
        <v>0</v>
      </c>
      <c r="CZ19" s="51" t="n">
        <f aca="false">N(AND(CZ$3&lt;=$E19,CZ$4&gt;=$E19))</f>
        <v>0</v>
      </c>
      <c r="DA19" s="51" t="n">
        <f aca="false">N(AND(DA$3&lt;=$E19,DA$4&gt;=$E19))</f>
        <v>0</v>
      </c>
      <c r="DB19" s="51" t="n">
        <f aca="false">N(AND(DB$3&lt;=$E19,DB$4&gt;=$E19))</f>
        <v>0</v>
      </c>
      <c r="DC19" s="51" t="n">
        <f aca="false">N(AND(DC$3&lt;=$E19,DC$4&gt;=$E19))</f>
        <v>0</v>
      </c>
      <c r="DD19" s="51" t="n">
        <f aca="false">N(AND(DD$3&lt;=$E19,DD$4&gt;=$E19))</f>
        <v>0</v>
      </c>
      <c r="DE19" s="51" t="n">
        <f aca="false">N(AND(DE$3&lt;=$E19,DE$4&gt;=$E19))</f>
        <v>0</v>
      </c>
      <c r="DF19" s="51" t="n">
        <f aca="false">N(AND(DF$3&lt;=$E19,DF$4&gt;=$E19))</f>
        <v>0</v>
      </c>
      <c r="DG19" s="51" t="n">
        <f aca="false">N(AND(DG$3&lt;=$E19,DG$4&gt;=$E19))</f>
        <v>0</v>
      </c>
      <c r="DH19" s="51" t="n">
        <f aca="false">N(AND(DH$3&lt;=$E19,DH$4&gt;=$E19))</f>
        <v>0</v>
      </c>
      <c r="DI19" s="51" t="n">
        <f aca="false">N(AND(DI$3&lt;=$E19,DI$4&gt;=$E19))</f>
        <v>0</v>
      </c>
      <c r="DJ19" s="51" t="n">
        <f aca="false">N(AND(DJ$3&lt;=$E19,DJ$4&gt;=$E19))</f>
        <v>0</v>
      </c>
      <c r="DK19" s="51" t="n">
        <f aca="false">N(AND(DK$3&lt;=$E19,DK$4&gt;=$E19))</f>
        <v>0</v>
      </c>
      <c r="DL19" s="51" t="n">
        <f aca="false">N(AND(DL$3&lt;=$E19,DL$4&gt;=$E19))</f>
        <v>0</v>
      </c>
      <c r="DM19" s="51" t="n">
        <f aca="false">N(AND(DM$3&lt;=$E19,DM$4&gt;=$E19))</f>
        <v>0</v>
      </c>
      <c r="DN19" s="51" t="n">
        <f aca="false">N(AND(DN$3&lt;=$E19,DN$4&gt;=$E19))</f>
        <v>0</v>
      </c>
      <c r="DO19" s="51" t="n">
        <f aca="false">N(AND(DO$3&lt;=$E19,DO$4&gt;=$E19))</f>
        <v>0</v>
      </c>
      <c r="DP19" s="51" t="n">
        <f aca="false">N(AND(DP$3&lt;=$E19,DP$4&gt;=$E19))</f>
        <v>0</v>
      </c>
      <c r="DQ19" s="51" t="n">
        <f aca="false">N(AND(DQ$3&lt;=$E19,DQ$4&gt;=$E19))</f>
        <v>0</v>
      </c>
      <c r="DR19" s="51" t="n">
        <f aca="false">N(AND(DR$3&lt;=$E19,DR$4&gt;=$E19))</f>
        <v>0</v>
      </c>
      <c r="DS19" s="51" t="n">
        <f aca="false">N(AND(DS$3&lt;=$E19,DS$4&gt;=$E19))</f>
        <v>0</v>
      </c>
      <c r="DT19" s="51" t="n">
        <f aca="false">N(AND(DT$3&lt;=$E19,DT$4&gt;=$E19))</f>
        <v>0</v>
      </c>
      <c r="DU19" s="51" t="n">
        <f aca="false">N(AND(DU$3&lt;=$E19,DU$4&gt;=$E19))</f>
        <v>0</v>
      </c>
      <c r="DV19" s="51" t="n">
        <f aca="false">N(AND(DV$3&lt;=$E19,DV$4&gt;=$E19))</f>
        <v>0</v>
      </c>
      <c r="DW19" s="51" t="n">
        <f aca="false">N(AND(DW$3&lt;=$E19,DW$4&gt;=$E19))</f>
        <v>0</v>
      </c>
      <c r="DX19" s="51" t="n">
        <f aca="false">N(AND(DX$3&lt;=$E19,DX$4&gt;=$E19))</f>
        <v>0</v>
      </c>
      <c r="DY19" s="51" t="n">
        <f aca="false">N(AND(DY$3&lt;=$E19,DY$4&gt;=$E19))</f>
        <v>0</v>
      </c>
      <c r="DZ19" s="51" t="n">
        <f aca="false">N(AND(DZ$3&lt;=$E19,DZ$4&gt;=$E19))</f>
        <v>0</v>
      </c>
      <c r="EA19" s="51" t="n">
        <f aca="false">N(AND(EA$3&lt;=$E19,EA$4&gt;=$E19))</f>
        <v>0</v>
      </c>
      <c r="EB19" s="51" t="n">
        <f aca="false">N(AND(EB$3&lt;=$E19,EB$4&gt;=$E19))</f>
        <v>0</v>
      </c>
      <c r="EC19" s="51" t="n">
        <f aca="false">N(AND(EC$3&lt;=$E19,EC$4&gt;=$E19))</f>
        <v>0</v>
      </c>
      <c r="ED19" s="51" t="n">
        <f aca="false">N(AND(ED$3&lt;=$E19,ED$4&gt;=$E19))</f>
        <v>0</v>
      </c>
      <c r="EE19" s="51" t="n">
        <f aca="false">N(AND(EE$3&lt;=$E19,EE$4&gt;=$E19))</f>
        <v>0</v>
      </c>
      <c r="EF19" s="51" t="n">
        <f aca="false">N(AND(EF$3&lt;=$E19,EF$4&gt;=$E19))</f>
        <v>0</v>
      </c>
      <c r="EG19" s="51" t="n">
        <f aca="false">N(AND(EG$3&lt;=$E19,EG$4&gt;=$E19))</f>
        <v>0</v>
      </c>
      <c r="EH19" s="51" t="n">
        <f aca="false">N(AND(EH$3&lt;=$E19,EH$4&gt;=$E19))</f>
        <v>0</v>
      </c>
      <c r="EI19" s="51" t="n">
        <f aca="false">N(AND(EI$3&lt;=$E19,EI$4&gt;=$E19))</f>
        <v>0</v>
      </c>
      <c r="EJ19" s="51" t="n">
        <f aca="false">N(AND(EJ$3&lt;=$E19,EJ$4&gt;=$E19))</f>
        <v>0</v>
      </c>
      <c r="EK19" s="51" t="n">
        <f aca="false">N(AND(EK$3&lt;=$E19,EK$4&gt;=$E19))</f>
        <v>0</v>
      </c>
      <c r="EL19" s="51" t="n">
        <f aca="false">N(AND(EL$3&lt;=$E19,EL$4&gt;=$E19))</f>
        <v>0</v>
      </c>
      <c r="EM19" s="51" t="n">
        <f aca="false">N(AND(EM$3&lt;=$E19,EM$4&gt;=$E19))</f>
        <v>0</v>
      </c>
      <c r="EN19" s="51" t="n">
        <f aca="false">N(AND(EN$3&lt;=$E19,EN$4&gt;=$E19))</f>
        <v>0</v>
      </c>
      <c r="EO19" s="51" t="n">
        <f aca="false">N(AND(EO$3&lt;=$E19,EO$4&gt;=$E19))</f>
        <v>0</v>
      </c>
    </row>
    <row r="20" customFormat="false" ht="15" hidden="false" customHeight="false" outlineLevel="0" collapsed="false">
      <c r="C20" s="1" t="s">
        <v>422</v>
      </c>
      <c r="D20" s="12" t="s">
        <v>411</v>
      </c>
      <c r="E20" s="47" t="n">
        <f aca="false">In_COD+1</f>
        <v>47757</v>
      </c>
      <c r="F20" s="47" t="n">
        <f aca="false">EDATE(In_COD,In_Dep_Years*Months_In_Year)</f>
        <v>55061</v>
      </c>
      <c r="I20" s="56" t="n">
        <f aca="false">SUM(J20:EO20)</f>
        <v>1</v>
      </c>
      <c r="J20" s="56" t="n">
        <f aca="false">MAX(0,MIN($F20,J$4)-MAX($E20,J$3)+1)/($F20-$E20+1)</f>
        <v>0</v>
      </c>
      <c r="K20" s="56" t="n">
        <f aca="false">MAX(0,MIN($F20,K$4)-MAX($E20,K$3)+1)/($F20-$E20+1)</f>
        <v>0</v>
      </c>
      <c r="L20" s="56" t="n">
        <f aca="false">MAX(0,MIN($F20,L$4)-MAX($E20,L$3)+1)/($F20-$E20+1)</f>
        <v>0</v>
      </c>
      <c r="M20" s="56" t="n">
        <f aca="false">MAX(0,MIN($F20,M$4)-MAX($E20,M$3)+1)/($F20-$E20+1)</f>
        <v>0</v>
      </c>
      <c r="N20" s="56" t="n">
        <f aca="false">MAX(0,MIN($F20,N$4)-MAX($E20,N$3)+1)/($F20-$E20+1)</f>
        <v>0</v>
      </c>
      <c r="O20" s="56" t="n">
        <f aca="false">MAX(0,MIN($F20,O$4)-MAX($E20,O$3)+1)/($F20-$E20+1)</f>
        <v>0</v>
      </c>
      <c r="P20" s="56" t="n">
        <f aca="false">MAX(0,MIN($F20,P$4)-MAX($E20,P$3)+1)/($F20-$E20+1)</f>
        <v>0</v>
      </c>
      <c r="Q20" s="56" t="n">
        <f aca="false">MAX(0,MIN($F20,Q$4)-MAX($E20,Q$3)+1)/($F20-$E20+1)</f>
        <v>0</v>
      </c>
      <c r="R20" s="56" t="n">
        <f aca="false">MAX(0,MIN($F20,R$4)-MAX($E20,R$3)+1)/($F20-$E20+1)</f>
        <v>0</v>
      </c>
      <c r="S20" s="56" t="n">
        <f aca="false">MAX(0,MIN($F20,S$4)-MAX($E20,S$3)+1)/($F20-$E20+1)</f>
        <v>0</v>
      </c>
      <c r="T20" s="56" t="n">
        <f aca="false">MAX(0,MIN($F20,T$4)-MAX($E20,T$3)+1)/($F20-$E20+1)</f>
        <v>0</v>
      </c>
      <c r="U20" s="56" t="n">
        <f aca="false">MAX(0,MIN($F20,U$4)-MAX($E20,U$3)+1)/($F20-$E20+1)</f>
        <v>0</v>
      </c>
      <c r="V20" s="56" t="n">
        <f aca="false">MAX(0,MIN($F20,V$4)-MAX($E20,V$3)+1)/($F20-$E20+1)</f>
        <v>0</v>
      </c>
      <c r="W20" s="56" t="n">
        <f aca="false">MAX(0,MIN($F20,W$4)-MAX($E20,W$3)+1)/($F20-$E20+1)</f>
        <v>0</v>
      </c>
      <c r="X20" s="56" t="n">
        <f aca="false">MAX(0,MIN($F20,X$4)-MAX($E20,X$3)+1)/($F20-$E20+1)</f>
        <v>0</v>
      </c>
      <c r="Y20" s="56" t="n">
        <f aca="false">MAX(0,MIN($F20,Y$4)-MAX($E20,Y$3)+1)/($F20-$E20+1)</f>
        <v>0</v>
      </c>
      <c r="Z20" s="56" t="n">
        <f aca="false">MAX(0,MIN($F20,Z$4)-MAX($E20,Z$3)+1)/($F20-$E20+1)</f>
        <v>0.0125941136208077</v>
      </c>
      <c r="AA20" s="56" t="n">
        <f aca="false">MAX(0,MIN($F20,AA$4)-MAX($E20,AA$3)+1)/($F20-$E20+1)</f>
        <v>0.0123203285420945</v>
      </c>
      <c r="AB20" s="56" t="n">
        <f aca="false">MAX(0,MIN($F20,AB$4)-MAX($E20,AB$3)+1)/($F20-$E20+1)</f>
        <v>0.0124572210814511</v>
      </c>
      <c r="AC20" s="56" t="n">
        <f aca="false">MAX(0,MIN($F20,AC$4)-MAX($E20,AC$3)+1)/($F20-$E20+1)</f>
        <v>0.0125941136208077</v>
      </c>
      <c r="AD20" s="56" t="n">
        <f aca="false">MAX(0,MIN($F20,AD$4)-MAX($E20,AD$3)+1)/($F20-$E20+1)</f>
        <v>0.0125941136208077</v>
      </c>
      <c r="AE20" s="56" t="n">
        <f aca="false">MAX(0,MIN($F20,AE$4)-MAX($E20,AE$3)+1)/($F20-$E20+1)</f>
        <v>0.0124572210814511</v>
      </c>
      <c r="AF20" s="56" t="n">
        <f aca="false">MAX(0,MIN($F20,AF$4)-MAX($E20,AF$3)+1)/($F20-$E20+1)</f>
        <v>0.0124572210814511</v>
      </c>
      <c r="AG20" s="56" t="n">
        <f aca="false">MAX(0,MIN($F20,AG$4)-MAX($E20,AG$3)+1)/($F20-$E20+1)</f>
        <v>0.0125941136208077</v>
      </c>
      <c r="AH20" s="56" t="n">
        <f aca="false">MAX(0,MIN($F20,AH$4)-MAX($E20,AH$3)+1)/($F20-$E20+1)</f>
        <v>0.0125941136208077</v>
      </c>
      <c r="AI20" s="56" t="n">
        <f aca="false">MAX(0,MIN($F20,AI$4)-MAX($E20,AI$3)+1)/($F20-$E20+1)</f>
        <v>0.0123203285420945</v>
      </c>
      <c r="AJ20" s="56" t="n">
        <f aca="false">MAX(0,MIN($F20,AJ$4)-MAX($E20,AJ$3)+1)/($F20-$E20+1)</f>
        <v>0.0124572210814511</v>
      </c>
      <c r="AK20" s="56" t="n">
        <f aca="false">MAX(0,MIN($F20,AK$4)-MAX($E20,AK$3)+1)/($F20-$E20+1)</f>
        <v>0.0125941136208077</v>
      </c>
      <c r="AL20" s="56" t="n">
        <f aca="false">MAX(0,MIN($F20,AL$4)-MAX($E20,AL$3)+1)/($F20-$E20+1)</f>
        <v>0.0125941136208077</v>
      </c>
      <c r="AM20" s="56" t="n">
        <f aca="false">MAX(0,MIN($F20,AM$4)-MAX($E20,AM$3)+1)/($F20-$E20+1)</f>
        <v>0.0123203285420945</v>
      </c>
      <c r="AN20" s="56" t="n">
        <f aca="false">MAX(0,MIN($F20,AN$4)-MAX($E20,AN$3)+1)/($F20-$E20+1)</f>
        <v>0.0124572210814511</v>
      </c>
      <c r="AO20" s="56" t="n">
        <f aca="false">MAX(0,MIN($F20,AO$4)-MAX($E20,AO$3)+1)/($F20-$E20+1)</f>
        <v>0.0125941136208077</v>
      </c>
      <c r="AP20" s="56" t="n">
        <f aca="false">MAX(0,MIN($F20,AP$4)-MAX($E20,AP$3)+1)/($F20-$E20+1)</f>
        <v>0.0125941136208077</v>
      </c>
      <c r="AQ20" s="56" t="n">
        <f aca="false">MAX(0,MIN($F20,AQ$4)-MAX($E20,AQ$3)+1)/($F20-$E20+1)</f>
        <v>0.0123203285420945</v>
      </c>
      <c r="AR20" s="56" t="n">
        <f aca="false">MAX(0,MIN($F20,AR$4)-MAX($E20,AR$3)+1)/($F20-$E20+1)</f>
        <v>0.0124572210814511</v>
      </c>
      <c r="AS20" s="56" t="n">
        <f aca="false">MAX(0,MIN($F20,AS$4)-MAX($E20,AS$3)+1)/($F20-$E20+1)</f>
        <v>0.0125941136208077</v>
      </c>
      <c r="AT20" s="56" t="n">
        <f aca="false">MAX(0,MIN($F20,AT$4)-MAX($E20,AT$3)+1)/($F20-$E20+1)</f>
        <v>0.0125941136208077</v>
      </c>
      <c r="AU20" s="56" t="n">
        <f aca="false">MAX(0,MIN($F20,AU$4)-MAX($E20,AU$3)+1)/($F20-$E20+1)</f>
        <v>0.0124572210814511</v>
      </c>
      <c r="AV20" s="56" t="n">
        <f aca="false">MAX(0,MIN($F20,AV$4)-MAX($E20,AV$3)+1)/($F20-$E20+1)</f>
        <v>0.0124572210814511</v>
      </c>
      <c r="AW20" s="56" t="n">
        <f aca="false">MAX(0,MIN($F20,AW$4)-MAX($E20,AW$3)+1)/($F20-$E20+1)</f>
        <v>0.0125941136208077</v>
      </c>
      <c r="AX20" s="56" t="n">
        <f aca="false">MAX(0,MIN($F20,AX$4)-MAX($E20,AX$3)+1)/($F20-$E20+1)</f>
        <v>0.0125941136208077</v>
      </c>
      <c r="AY20" s="56" t="n">
        <f aca="false">MAX(0,MIN($F20,AY$4)-MAX($E20,AY$3)+1)/($F20-$E20+1)</f>
        <v>0.0123203285420945</v>
      </c>
      <c r="AZ20" s="56" t="n">
        <f aca="false">MAX(0,MIN($F20,AZ$4)-MAX($E20,AZ$3)+1)/($F20-$E20+1)</f>
        <v>0.0124572210814511</v>
      </c>
      <c r="BA20" s="56" t="n">
        <f aca="false">MAX(0,MIN($F20,BA$4)-MAX($E20,BA$3)+1)/($F20-$E20+1)</f>
        <v>0.0125941136208077</v>
      </c>
      <c r="BB20" s="56" t="n">
        <f aca="false">MAX(0,MIN($F20,BB$4)-MAX($E20,BB$3)+1)/($F20-$E20+1)</f>
        <v>0.0125941136208077</v>
      </c>
      <c r="BC20" s="56" t="n">
        <f aca="false">MAX(0,MIN($F20,BC$4)-MAX($E20,BC$3)+1)/($F20-$E20+1)</f>
        <v>0.0123203285420945</v>
      </c>
      <c r="BD20" s="56" t="n">
        <f aca="false">MAX(0,MIN($F20,BD$4)-MAX($E20,BD$3)+1)/($F20-$E20+1)</f>
        <v>0.0124572210814511</v>
      </c>
      <c r="BE20" s="56" t="n">
        <f aca="false">MAX(0,MIN($F20,BE$4)-MAX($E20,BE$3)+1)/($F20-$E20+1)</f>
        <v>0.0125941136208077</v>
      </c>
      <c r="BF20" s="56" t="n">
        <f aca="false">MAX(0,MIN($F20,BF$4)-MAX($E20,BF$3)+1)/($F20-$E20+1)</f>
        <v>0.0125941136208077</v>
      </c>
      <c r="BG20" s="56" t="n">
        <f aca="false">MAX(0,MIN($F20,BG$4)-MAX($E20,BG$3)+1)/($F20-$E20+1)</f>
        <v>0.0123203285420945</v>
      </c>
      <c r="BH20" s="56" t="n">
        <f aca="false">MAX(0,MIN($F20,BH$4)-MAX($E20,BH$3)+1)/($F20-$E20+1)</f>
        <v>0.0124572210814511</v>
      </c>
      <c r="BI20" s="56" t="n">
        <f aca="false">MAX(0,MIN($F20,BI$4)-MAX($E20,BI$3)+1)/($F20-$E20+1)</f>
        <v>0.0125941136208077</v>
      </c>
      <c r="BJ20" s="56" t="n">
        <f aca="false">MAX(0,MIN($F20,BJ$4)-MAX($E20,BJ$3)+1)/($F20-$E20+1)</f>
        <v>0.0125941136208077</v>
      </c>
      <c r="BK20" s="56" t="n">
        <f aca="false">MAX(0,MIN($F20,BK$4)-MAX($E20,BK$3)+1)/($F20-$E20+1)</f>
        <v>0.0124572210814511</v>
      </c>
      <c r="BL20" s="56" t="n">
        <f aca="false">MAX(0,MIN($F20,BL$4)-MAX($E20,BL$3)+1)/($F20-$E20+1)</f>
        <v>0.0124572210814511</v>
      </c>
      <c r="BM20" s="56" t="n">
        <f aca="false">MAX(0,MIN($F20,BM$4)-MAX($E20,BM$3)+1)/($F20-$E20+1)</f>
        <v>0.0125941136208077</v>
      </c>
      <c r="BN20" s="56" t="n">
        <f aca="false">MAX(0,MIN($F20,BN$4)-MAX($E20,BN$3)+1)/($F20-$E20+1)</f>
        <v>0.0125941136208077</v>
      </c>
      <c r="BO20" s="56" t="n">
        <f aca="false">MAX(0,MIN($F20,BO$4)-MAX($E20,BO$3)+1)/($F20-$E20+1)</f>
        <v>0.0123203285420945</v>
      </c>
      <c r="BP20" s="56" t="n">
        <f aca="false">MAX(0,MIN($F20,BP$4)-MAX($E20,BP$3)+1)/($F20-$E20+1)</f>
        <v>0.0124572210814511</v>
      </c>
      <c r="BQ20" s="56" t="n">
        <f aca="false">MAX(0,MIN($F20,BQ$4)-MAX($E20,BQ$3)+1)/($F20-$E20+1)</f>
        <v>0.0125941136208077</v>
      </c>
      <c r="BR20" s="56" t="n">
        <f aca="false">MAX(0,MIN($F20,BR$4)-MAX($E20,BR$3)+1)/($F20-$E20+1)</f>
        <v>0.0125941136208077</v>
      </c>
      <c r="BS20" s="56" t="n">
        <f aca="false">MAX(0,MIN($F20,BS$4)-MAX($E20,BS$3)+1)/($F20-$E20+1)</f>
        <v>0.0123203285420945</v>
      </c>
      <c r="BT20" s="56" t="n">
        <f aca="false">MAX(0,MIN($F20,BT$4)-MAX($E20,BT$3)+1)/($F20-$E20+1)</f>
        <v>0.0124572210814511</v>
      </c>
      <c r="BU20" s="56" t="n">
        <f aca="false">MAX(0,MIN($F20,BU$4)-MAX($E20,BU$3)+1)/($F20-$E20+1)</f>
        <v>0.0125941136208077</v>
      </c>
      <c r="BV20" s="56" t="n">
        <f aca="false">MAX(0,MIN($F20,BV$4)-MAX($E20,BV$3)+1)/($F20-$E20+1)</f>
        <v>0.0125941136208077</v>
      </c>
      <c r="BW20" s="56" t="n">
        <f aca="false">MAX(0,MIN($F20,BW$4)-MAX($E20,BW$3)+1)/($F20-$E20+1)</f>
        <v>0.0123203285420945</v>
      </c>
      <c r="BX20" s="56" t="n">
        <f aca="false">MAX(0,MIN($F20,BX$4)-MAX($E20,BX$3)+1)/($F20-$E20+1)</f>
        <v>0.0124572210814511</v>
      </c>
      <c r="BY20" s="56" t="n">
        <f aca="false">MAX(0,MIN($F20,BY$4)-MAX($E20,BY$3)+1)/($F20-$E20+1)</f>
        <v>0.0125941136208077</v>
      </c>
      <c r="BZ20" s="56" t="n">
        <f aca="false">MAX(0,MIN($F20,BZ$4)-MAX($E20,BZ$3)+1)/($F20-$E20+1)</f>
        <v>0.0125941136208077</v>
      </c>
      <c r="CA20" s="56" t="n">
        <f aca="false">MAX(0,MIN($F20,CA$4)-MAX($E20,CA$3)+1)/($F20-$E20+1)</f>
        <v>0.0124572210814511</v>
      </c>
      <c r="CB20" s="56" t="n">
        <f aca="false">MAX(0,MIN($F20,CB$4)-MAX($E20,CB$3)+1)/($F20-$E20+1)</f>
        <v>0.0124572210814511</v>
      </c>
      <c r="CC20" s="56" t="n">
        <f aca="false">MAX(0,MIN($F20,CC$4)-MAX($E20,CC$3)+1)/($F20-$E20+1)</f>
        <v>0.0125941136208077</v>
      </c>
      <c r="CD20" s="56" t="n">
        <f aca="false">MAX(0,MIN($F20,CD$4)-MAX($E20,CD$3)+1)/($F20-$E20+1)</f>
        <v>0.0125941136208077</v>
      </c>
      <c r="CE20" s="56" t="n">
        <f aca="false">MAX(0,MIN($F20,CE$4)-MAX($E20,CE$3)+1)/($F20-$E20+1)</f>
        <v>0.0123203285420945</v>
      </c>
      <c r="CF20" s="56" t="n">
        <f aca="false">MAX(0,MIN($F20,CF$4)-MAX($E20,CF$3)+1)/($F20-$E20+1)</f>
        <v>0.0124572210814511</v>
      </c>
      <c r="CG20" s="56" t="n">
        <f aca="false">MAX(0,MIN($F20,CG$4)-MAX($E20,CG$3)+1)/($F20-$E20+1)</f>
        <v>0.0125941136208077</v>
      </c>
      <c r="CH20" s="56" t="n">
        <f aca="false">MAX(0,MIN($F20,CH$4)-MAX($E20,CH$3)+1)/($F20-$E20+1)</f>
        <v>0.0125941136208077</v>
      </c>
      <c r="CI20" s="56" t="n">
        <f aca="false">MAX(0,MIN($F20,CI$4)-MAX($E20,CI$3)+1)/($F20-$E20+1)</f>
        <v>0.0123203285420945</v>
      </c>
      <c r="CJ20" s="56" t="n">
        <f aca="false">MAX(0,MIN($F20,CJ$4)-MAX($E20,CJ$3)+1)/($F20-$E20+1)</f>
        <v>0.0124572210814511</v>
      </c>
      <c r="CK20" s="56" t="n">
        <f aca="false">MAX(0,MIN($F20,CK$4)-MAX($E20,CK$3)+1)/($F20-$E20+1)</f>
        <v>0.0125941136208077</v>
      </c>
      <c r="CL20" s="56" t="n">
        <f aca="false">MAX(0,MIN($F20,CL$4)-MAX($E20,CL$3)+1)/($F20-$E20+1)</f>
        <v>0.0125941136208077</v>
      </c>
      <c r="CM20" s="56" t="n">
        <f aca="false">MAX(0,MIN($F20,CM$4)-MAX($E20,CM$3)+1)/($F20-$E20+1)</f>
        <v>0.0123203285420945</v>
      </c>
      <c r="CN20" s="56" t="n">
        <f aca="false">MAX(0,MIN($F20,CN$4)-MAX($E20,CN$3)+1)/($F20-$E20+1)</f>
        <v>0.0124572210814511</v>
      </c>
      <c r="CO20" s="56" t="n">
        <f aca="false">MAX(0,MIN($F20,CO$4)-MAX($E20,CO$3)+1)/($F20-$E20+1)</f>
        <v>0.0125941136208077</v>
      </c>
      <c r="CP20" s="56" t="n">
        <f aca="false">MAX(0,MIN($F20,CP$4)-MAX($E20,CP$3)+1)/($F20-$E20+1)</f>
        <v>0.0125941136208077</v>
      </c>
      <c r="CQ20" s="56" t="n">
        <f aca="false">MAX(0,MIN($F20,CQ$4)-MAX($E20,CQ$3)+1)/($F20-$E20+1)</f>
        <v>0.0124572210814511</v>
      </c>
      <c r="CR20" s="56" t="n">
        <f aca="false">MAX(0,MIN($F20,CR$4)-MAX($E20,CR$3)+1)/($F20-$E20+1)</f>
        <v>0.0124572210814511</v>
      </c>
      <c r="CS20" s="56" t="n">
        <f aca="false">MAX(0,MIN($F20,CS$4)-MAX($E20,CS$3)+1)/($F20-$E20+1)</f>
        <v>0.0125941136208077</v>
      </c>
      <c r="CT20" s="56" t="n">
        <f aca="false">MAX(0,MIN($F20,CT$4)-MAX($E20,CT$3)+1)/($F20-$E20+1)</f>
        <v>0.0125941136208077</v>
      </c>
      <c r="CU20" s="56" t="n">
        <f aca="false">MAX(0,MIN($F20,CU$4)-MAX($E20,CU$3)+1)/($F20-$E20+1)</f>
        <v>0.0123203285420945</v>
      </c>
      <c r="CV20" s="56" t="n">
        <f aca="false">MAX(0,MIN($F20,CV$4)-MAX($E20,CV$3)+1)/($F20-$E20+1)</f>
        <v>0.0124572210814511</v>
      </c>
      <c r="CW20" s="56" t="n">
        <f aca="false">MAX(0,MIN($F20,CW$4)-MAX($E20,CW$3)+1)/($F20-$E20+1)</f>
        <v>0.0125941136208077</v>
      </c>
      <c r="CX20" s="56" t="n">
        <f aca="false">MAX(0,MIN($F20,CX$4)-MAX($E20,CX$3)+1)/($F20-$E20+1)</f>
        <v>0.0125941136208077</v>
      </c>
      <c r="CY20" s="56" t="n">
        <f aca="false">MAX(0,MIN($F20,CY$4)-MAX($E20,CY$3)+1)/($F20-$E20+1)</f>
        <v>0.0123203285420945</v>
      </c>
      <c r="CZ20" s="56" t="n">
        <f aca="false">MAX(0,MIN($F20,CZ$4)-MAX($E20,CZ$3)+1)/($F20-$E20+1)</f>
        <v>0.0124572210814511</v>
      </c>
      <c r="DA20" s="56" t="n">
        <f aca="false">MAX(0,MIN($F20,DA$4)-MAX($E20,DA$3)+1)/($F20-$E20+1)</f>
        <v>0.0125941136208077</v>
      </c>
      <c r="DB20" s="56" t="n">
        <f aca="false">MAX(0,MIN($F20,DB$4)-MAX($E20,DB$3)+1)/($F20-$E20+1)</f>
        <v>0</v>
      </c>
      <c r="DC20" s="56" t="n">
        <f aca="false">MAX(0,MIN($F20,DC$4)-MAX($E20,DC$3)+1)/($F20-$E20+1)</f>
        <v>0</v>
      </c>
      <c r="DD20" s="56" t="n">
        <f aca="false">MAX(0,MIN($F20,DD$4)-MAX($E20,DD$3)+1)/($F20-$E20+1)</f>
        <v>0</v>
      </c>
      <c r="DE20" s="56" t="n">
        <f aca="false">MAX(0,MIN($F20,DE$4)-MAX($E20,DE$3)+1)/($F20-$E20+1)</f>
        <v>0</v>
      </c>
      <c r="DF20" s="56" t="n">
        <f aca="false">MAX(0,MIN($F20,DF$4)-MAX($E20,DF$3)+1)/($F20-$E20+1)</f>
        <v>0</v>
      </c>
      <c r="DG20" s="56" t="n">
        <f aca="false">MAX(0,MIN($F20,DG$4)-MAX($E20,DG$3)+1)/($F20-$E20+1)</f>
        <v>0</v>
      </c>
      <c r="DH20" s="56" t="n">
        <f aca="false">MAX(0,MIN($F20,DH$4)-MAX($E20,DH$3)+1)/($F20-$E20+1)</f>
        <v>0</v>
      </c>
      <c r="DI20" s="56" t="n">
        <f aca="false">MAX(0,MIN($F20,DI$4)-MAX($E20,DI$3)+1)/($F20-$E20+1)</f>
        <v>0</v>
      </c>
      <c r="DJ20" s="56" t="n">
        <f aca="false">MAX(0,MIN($F20,DJ$4)-MAX($E20,DJ$3)+1)/($F20-$E20+1)</f>
        <v>0</v>
      </c>
      <c r="DK20" s="56" t="n">
        <f aca="false">MAX(0,MIN($F20,DK$4)-MAX($E20,DK$3)+1)/($F20-$E20+1)</f>
        <v>0</v>
      </c>
      <c r="DL20" s="56" t="n">
        <f aca="false">MAX(0,MIN($F20,DL$4)-MAX($E20,DL$3)+1)/($F20-$E20+1)</f>
        <v>0</v>
      </c>
      <c r="DM20" s="56" t="n">
        <f aca="false">MAX(0,MIN($F20,DM$4)-MAX($E20,DM$3)+1)/($F20-$E20+1)</f>
        <v>0</v>
      </c>
      <c r="DN20" s="56" t="n">
        <f aca="false">MAX(0,MIN($F20,DN$4)-MAX($E20,DN$3)+1)/($F20-$E20+1)</f>
        <v>0</v>
      </c>
      <c r="DO20" s="56" t="n">
        <f aca="false">MAX(0,MIN($F20,DO$4)-MAX($E20,DO$3)+1)/($F20-$E20+1)</f>
        <v>0</v>
      </c>
      <c r="DP20" s="56" t="n">
        <f aca="false">MAX(0,MIN($F20,DP$4)-MAX($E20,DP$3)+1)/($F20-$E20+1)</f>
        <v>0</v>
      </c>
      <c r="DQ20" s="56" t="n">
        <f aca="false">MAX(0,MIN($F20,DQ$4)-MAX($E20,DQ$3)+1)/($F20-$E20+1)</f>
        <v>0</v>
      </c>
      <c r="DR20" s="56" t="n">
        <f aca="false">MAX(0,MIN($F20,DR$4)-MAX($E20,DR$3)+1)/($F20-$E20+1)</f>
        <v>0</v>
      </c>
      <c r="DS20" s="56" t="n">
        <f aca="false">MAX(0,MIN($F20,DS$4)-MAX($E20,DS$3)+1)/($F20-$E20+1)</f>
        <v>0</v>
      </c>
      <c r="DT20" s="56" t="n">
        <f aca="false">MAX(0,MIN($F20,DT$4)-MAX($E20,DT$3)+1)/($F20-$E20+1)</f>
        <v>0</v>
      </c>
      <c r="DU20" s="56" t="n">
        <f aca="false">MAX(0,MIN($F20,DU$4)-MAX($E20,DU$3)+1)/($F20-$E20+1)</f>
        <v>0</v>
      </c>
      <c r="DV20" s="56" t="n">
        <f aca="false">MAX(0,MIN($F20,DV$4)-MAX($E20,DV$3)+1)/($F20-$E20+1)</f>
        <v>0</v>
      </c>
      <c r="DW20" s="56" t="n">
        <f aca="false">MAX(0,MIN($F20,DW$4)-MAX($E20,DW$3)+1)/($F20-$E20+1)</f>
        <v>0</v>
      </c>
      <c r="DX20" s="56" t="n">
        <f aca="false">MAX(0,MIN($F20,DX$4)-MAX($E20,DX$3)+1)/($F20-$E20+1)</f>
        <v>0</v>
      </c>
      <c r="DY20" s="56" t="n">
        <f aca="false">MAX(0,MIN($F20,DY$4)-MAX($E20,DY$3)+1)/($F20-$E20+1)</f>
        <v>0</v>
      </c>
      <c r="DZ20" s="56" t="n">
        <f aca="false">MAX(0,MIN($F20,DZ$4)-MAX($E20,DZ$3)+1)/($F20-$E20+1)</f>
        <v>0</v>
      </c>
      <c r="EA20" s="56" t="n">
        <f aca="false">MAX(0,MIN($F20,EA$4)-MAX($E20,EA$3)+1)/($F20-$E20+1)</f>
        <v>0</v>
      </c>
      <c r="EB20" s="56" t="n">
        <f aca="false">MAX(0,MIN($F20,EB$4)-MAX($E20,EB$3)+1)/($F20-$E20+1)</f>
        <v>0</v>
      </c>
      <c r="EC20" s="56" t="n">
        <f aca="false">MAX(0,MIN($F20,EC$4)-MAX($E20,EC$3)+1)/($F20-$E20+1)</f>
        <v>0</v>
      </c>
      <c r="ED20" s="56" t="n">
        <f aca="false">MAX(0,MIN($F20,ED$4)-MAX($E20,ED$3)+1)/($F20-$E20+1)</f>
        <v>0</v>
      </c>
      <c r="EE20" s="56" t="n">
        <f aca="false">MAX(0,MIN($F20,EE$4)-MAX($E20,EE$3)+1)/($F20-$E20+1)</f>
        <v>0</v>
      </c>
      <c r="EF20" s="56" t="n">
        <f aca="false">MAX(0,MIN($F20,EF$4)-MAX($E20,EF$3)+1)/($F20-$E20+1)</f>
        <v>0</v>
      </c>
      <c r="EG20" s="56" t="n">
        <f aca="false">MAX(0,MIN($F20,EG$4)-MAX($E20,EG$3)+1)/($F20-$E20+1)</f>
        <v>0</v>
      </c>
      <c r="EH20" s="56" t="n">
        <f aca="false">MAX(0,MIN($F20,EH$4)-MAX($E20,EH$3)+1)/($F20-$E20+1)</f>
        <v>0</v>
      </c>
      <c r="EI20" s="56" t="n">
        <f aca="false">MAX(0,MIN($F20,EI$4)-MAX($E20,EI$3)+1)/($F20-$E20+1)</f>
        <v>0</v>
      </c>
      <c r="EJ20" s="56" t="n">
        <f aca="false">MAX(0,MIN($F20,EJ$4)-MAX($E20,EJ$3)+1)/($F20-$E20+1)</f>
        <v>0</v>
      </c>
      <c r="EK20" s="56" t="n">
        <f aca="false">MAX(0,MIN($F20,EK$4)-MAX($E20,EK$3)+1)/($F20-$E20+1)</f>
        <v>0</v>
      </c>
      <c r="EL20" s="56" t="n">
        <f aca="false">MAX(0,MIN($F20,EL$4)-MAX($E20,EL$3)+1)/($F20-$E20+1)</f>
        <v>0</v>
      </c>
      <c r="EM20" s="56" t="n">
        <f aca="false">MAX(0,MIN($F20,EM$4)-MAX($E20,EM$3)+1)/($F20-$E20+1)</f>
        <v>0</v>
      </c>
      <c r="EN20" s="56" t="n">
        <f aca="false">MAX(0,MIN($F20,EN$4)-MAX($E20,EN$3)+1)/($F20-$E20+1)</f>
        <v>0</v>
      </c>
      <c r="EO20" s="56" t="n">
        <f aca="false">MAX(0,MIN($F20,EO$4)-MAX($E20,EO$3)+1)/($F20-$E20+1)</f>
        <v>0</v>
      </c>
    </row>
    <row r="21" customFormat="false" ht="15" hidden="false" customHeight="false" outlineLevel="0" collapsed="false">
      <c r="C21" s="1" t="s">
        <v>423</v>
      </c>
      <c r="D21" s="12" t="s">
        <v>150</v>
      </c>
      <c r="J21" s="45" t="n">
        <f aca="false">ROUNDUP(YEARFRAC(In_COD,J$4),0)*(J$4&gt;In_COD)</f>
        <v>0</v>
      </c>
      <c r="K21" s="45" t="n">
        <f aca="false">ROUNDUP(YEARFRAC(In_COD,K$4),0)*(K$4&gt;In_COD)</f>
        <v>0</v>
      </c>
      <c r="L21" s="45" t="n">
        <f aca="false">ROUNDUP(YEARFRAC(In_COD,L$4),0)*(L$4&gt;In_COD)</f>
        <v>0</v>
      </c>
      <c r="M21" s="45" t="n">
        <f aca="false">ROUNDUP(YEARFRAC(In_COD,M$4),0)*(M$4&gt;In_COD)</f>
        <v>0</v>
      </c>
      <c r="N21" s="45" t="n">
        <f aca="false">ROUNDUP(YEARFRAC(In_COD,N$4),0)*(N$4&gt;In_COD)</f>
        <v>0</v>
      </c>
      <c r="O21" s="45" t="n">
        <f aca="false">ROUNDUP(YEARFRAC(In_COD,O$4),0)*(O$4&gt;In_COD)</f>
        <v>0</v>
      </c>
      <c r="P21" s="45" t="n">
        <f aca="false">ROUNDUP(YEARFRAC(In_COD,P$4),0)*(P$4&gt;In_COD)</f>
        <v>0</v>
      </c>
      <c r="Q21" s="45" t="n">
        <f aca="false">ROUNDUP(YEARFRAC(In_COD,Q$4),0)*(Q$4&gt;In_COD)</f>
        <v>0</v>
      </c>
      <c r="R21" s="45" t="n">
        <f aca="false">ROUNDUP(YEARFRAC(In_COD,R$4),0)*(R$4&gt;In_COD)</f>
        <v>0</v>
      </c>
      <c r="S21" s="45" t="n">
        <f aca="false">ROUNDUP(YEARFRAC(In_COD,S$4),0)*(S$4&gt;In_COD)</f>
        <v>0</v>
      </c>
      <c r="T21" s="45" t="n">
        <f aca="false">ROUNDUP(YEARFRAC(In_COD,T$4),0)*(T$4&gt;In_COD)</f>
        <v>0</v>
      </c>
      <c r="U21" s="45" t="n">
        <f aca="false">ROUNDUP(YEARFRAC(In_COD,U$4),0)*(U$4&gt;In_COD)</f>
        <v>0</v>
      </c>
      <c r="V21" s="45" t="n">
        <f aca="false">ROUNDUP(YEARFRAC(In_COD,V$4),0)*(V$4&gt;In_COD)</f>
        <v>0</v>
      </c>
      <c r="W21" s="45" t="n">
        <f aca="false">ROUNDUP(YEARFRAC(In_COD,W$4),0)*(W$4&gt;In_COD)</f>
        <v>0</v>
      </c>
      <c r="X21" s="45" t="n">
        <f aca="false">ROUNDUP(YEARFRAC(In_COD,X$4),0)*(X$4&gt;In_COD)</f>
        <v>0</v>
      </c>
      <c r="Y21" s="45" t="n">
        <f aca="false">ROUNDUP(YEARFRAC(In_COD,Y$4),0)*(Y$4&gt;In_COD)</f>
        <v>0</v>
      </c>
      <c r="Z21" s="45" t="n">
        <f aca="false">ROUNDUP(YEARFRAC(In_COD,Z$4),0)*(Z$4&gt;In_COD)</f>
        <v>1</v>
      </c>
      <c r="AA21" s="45" t="n">
        <f aca="false">ROUNDUP(YEARFRAC(In_COD,AA$4),0)*(AA$4&gt;In_COD)</f>
        <v>1</v>
      </c>
      <c r="AB21" s="45" t="n">
        <f aca="false">ROUNDUP(YEARFRAC(In_COD,AB$4),0)*(AB$4&gt;In_COD)</f>
        <v>1</v>
      </c>
      <c r="AC21" s="45" t="n">
        <f aca="false">ROUNDUP(YEARFRAC(In_COD,AC$4),0)*(AC$4&gt;In_COD)</f>
        <v>1</v>
      </c>
      <c r="AD21" s="45" t="n">
        <f aca="false">ROUNDUP(YEARFRAC(In_COD,AD$4),0)*(AD$4&gt;In_COD)</f>
        <v>2</v>
      </c>
      <c r="AE21" s="45" t="n">
        <f aca="false">ROUNDUP(YEARFRAC(In_COD,AE$4),0)*(AE$4&gt;In_COD)</f>
        <v>2</v>
      </c>
      <c r="AF21" s="45" t="n">
        <f aca="false">ROUNDUP(YEARFRAC(In_COD,AF$4),0)*(AF$4&gt;In_COD)</f>
        <v>2</v>
      </c>
      <c r="AG21" s="45" t="n">
        <f aca="false">ROUNDUP(YEARFRAC(In_COD,AG$4),0)*(AG$4&gt;In_COD)</f>
        <v>2</v>
      </c>
      <c r="AH21" s="45" t="n">
        <f aca="false">ROUNDUP(YEARFRAC(In_COD,AH$4),0)*(AH$4&gt;In_COD)</f>
        <v>3</v>
      </c>
      <c r="AI21" s="45" t="n">
        <f aca="false">ROUNDUP(YEARFRAC(In_COD,AI$4),0)*(AI$4&gt;In_COD)</f>
        <v>3</v>
      </c>
      <c r="AJ21" s="45" t="n">
        <f aca="false">ROUNDUP(YEARFRAC(In_COD,AJ$4),0)*(AJ$4&gt;In_COD)</f>
        <v>3</v>
      </c>
      <c r="AK21" s="45" t="n">
        <f aca="false">ROUNDUP(YEARFRAC(In_COD,AK$4),0)*(AK$4&gt;In_COD)</f>
        <v>3</v>
      </c>
      <c r="AL21" s="45" t="n">
        <f aca="false">ROUNDUP(YEARFRAC(In_COD,AL$4),0)*(AL$4&gt;In_COD)</f>
        <v>4</v>
      </c>
      <c r="AM21" s="45" t="n">
        <f aca="false">ROUNDUP(YEARFRAC(In_COD,AM$4),0)*(AM$4&gt;In_COD)</f>
        <v>4</v>
      </c>
      <c r="AN21" s="45" t="n">
        <f aca="false">ROUNDUP(YEARFRAC(In_COD,AN$4),0)*(AN$4&gt;In_COD)</f>
        <v>4</v>
      </c>
      <c r="AO21" s="45" t="n">
        <f aca="false">ROUNDUP(YEARFRAC(In_COD,AO$4),0)*(AO$4&gt;In_COD)</f>
        <v>4</v>
      </c>
      <c r="AP21" s="45" t="n">
        <f aca="false">ROUNDUP(YEARFRAC(In_COD,AP$4),0)*(AP$4&gt;In_COD)</f>
        <v>5</v>
      </c>
      <c r="AQ21" s="45" t="n">
        <f aca="false">ROUNDUP(YEARFRAC(In_COD,AQ$4),0)*(AQ$4&gt;In_COD)</f>
        <v>5</v>
      </c>
      <c r="AR21" s="45" t="n">
        <f aca="false">ROUNDUP(YEARFRAC(In_COD,AR$4),0)*(AR$4&gt;In_COD)</f>
        <v>5</v>
      </c>
      <c r="AS21" s="45" t="n">
        <f aca="false">ROUNDUP(YEARFRAC(In_COD,AS$4),0)*(AS$4&gt;In_COD)</f>
        <v>5</v>
      </c>
      <c r="AT21" s="45" t="n">
        <f aca="false">ROUNDUP(YEARFRAC(In_COD,AT$4),0)*(AT$4&gt;In_COD)</f>
        <v>6</v>
      </c>
      <c r="AU21" s="45" t="n">
        <f aca="false">ROUNDUP(YEARFRAC(In_COD,AU$4),0)*(AU$4&gt;In_COD)</f>
        <v>6</v>
      </c>
      <c r="AV21" s="45" t="n">
        <f aca="false">ROUNDUP(YEARFRAC(In_COD,AV$4),0)*(AV$4&gt;In_COD)</f>
        <v>6</v>
      </c>
      <c r="AW21" s="45" t="n">
        <f aca="false">ROUNDUP(YEARFRAC(In_COD,AW$4),0)*(AW$4&gt;In_COD)</f>
        <v>6</v>
      </c>
      <c r="AX21" s="45" t="n">
        <f aca="false">ROUNDUP(YEARFRAC(In_COD,AX$4),0)*(AX$4&gt;In_COD)</f>
        <v>7</v>
      </c>
      <c r="AY21" s="45" t="n">
        <f aca="false">ROUNDUP(YEARFRAC(In_COD,AY$4),0)*(AY$4&gt;In_COD)</f>
        <v>7</v>
      </c>
      <c r="AZ21" s="45" t="n">
        <f aca="false">ROUNDUP(YEARFRAC(In_COD,AZ$4),0)*(AZ$4&gt;In_COD)</f>
        <v>7</v>
      </c>
      <c r="BA21" s="45" t="n">
        <f aca="false">ROUNDUP(YEARFRAC(In_COD,BA$4),0)*(BA$4&gt;In_COD)</f>
        <v>7</v>
      </c>
      <c r="BB21" s="45" t="n">
        <f aca="false">ROUNDUP(YEARFRAC(In_COD,BB$4),0)*(BB$4&gt;In_COD)</f>
        <v>8</v>
      </c>
      <c r="BC21" s="45" t="n">
        <f aca="false">ROUNDUP(YEARFRAC(In_COD,BC$4),0)*(BC$4&gt;In_COD)</f>
        <v>8</v>
      </c>
      <c r="BD21" s="45" t="n">
        <f aca="false">ROUNDUP(YEARFRAC(In_COD,BD$4),0)*(BD$4&gt;In_COD)</f>
        <v>8</v>
      </c>
      <c r="BE21" s="45" t="n">
        <f aca="false">ROUNDUP(YEARFRAC(In_COD,BE$4),0)*(BE$4&gt;In_COD)</f>
        <v>8</v>
      </c>
      <c r="BF21" s="45" t="n">
        <f aca="false">ROUNDUP(YEARFRAC(In_COD,BF$4),0)*(BF$4&gt;In_COD)</f>
        <v>9</v>
      </c>
      <c r="BG21" s="45" t="n">
        <f aca="false">ROUNDUP(YEARFRAC(In_COD,BG$4),0)*(BG$4&gt;In_COD)</f>
        <v>9</v>
      </c>
      <c r="BH21" s="45" t="n">
        <f aca="false">ROUNDUP(YEARFRAC(In_COD,BH$4),0)*(BH$4&gt;In_COD)</f>
        <v>9</v>
      </c>
      <c r="BI21" s="45" t="n">
        <f aca="false">ROUNDUP(YEARFRAC(In_COD,BI$4),0)*(BI$4&gt;In_COD)</f>
        <v>9</v>
      </c>
      <c r="BJ21" s="45" t="n">
        <f aca="false">ROUNDUP(YEARFRAC(In_COD,BJ$4),0)*(BJ$4&gt;In_COD)</f>
        <v>10</v>
      </c>
      <c r="BK21" s="45" t="n">
        <f aca="false">ROUNDUP(YEARFRAC(In_COD,BK$4),0)*(BK$4&gt;In_COD)</f>
        <v>10</v>
      </c>
      <c r="BL21" s="45" t="n">
        <f aca="false">ROUNDUP(YEARFRAC(In_COD,BL$4),0)*(BL$4&gt;In_COD)</f>
        <v>10</v>
      </c>
      <c r="BM21" s="45" t="n">
        <f aca="false">ROUNDUP(YEARFRAC(In_COD,BM$4),0)*(BM$4&gt;In_COD)</f>
        <v>10</v>
      </c>
      <c r="BN21" s="45" t="n">
        <f aca="false">ROUNDUP(YEARFRAC(In_COD,BN$4),0)*(BN$4&gt;In_COD)</f>
        <v>11</v>
      </c>
      <c r="BO21" s="45" t="n">
        <f aca="false">ROUNDUP(YEARFRAC(In_COD,BO$4),0)*(BO$4&gt;In_COD)</f>
        <v>11</v>
      </c>
      <c r="BP21" s="45" t="n">
        <f aca="false">ROUNDUP(YEARFRAC(In_COD,BP$4),0)*(BP$4&gt;In_COD)</f>
        <v>11</v>
      </c>
      <c r="BQ21" s="45" t="n">
        <f aca="false">ROUNDUP(YEARFRAC(In_COD,BQ$4),0)*(BQ$4&gt;In_COD)</f>
        <v>11</v>
      </c>
      <c r="BR21" s="45" t="n">
        <f aca="false">ROUNDUP(YEARFRAC(In_COD,BR$4),0)*(BR$4&gt;In_COD)</f>
        <v>12</v>
      </c>
      <c r="BS21" s="45" t="n">
        <f aca="false">ROUNDUP(YEARFRAC(In_COD,BS$4),0)*(BS$4&gt;In_COD)</f>
        <v>12</v>
      </c>
      <c r="BT21" s="45" t="n">
        <f aca="false">ROUNDUP(YEARFRAC(In_COD,BT$4),0)*(BT$4&gt;In_COD)</f>
        <v>12</v>
      </c>
      <c r="BU21" s="45" t="n">
        <f aca="false">ROUNDUP(YEARFRAC(In_COD,BU$4),0)*(BU$4&gt;In_COD)</f>
        <v>12</v>
      </c>
      <c r="BV21" s="45" t="n">
        <f aca="false">ROUNDUP(YEARFRAC(In_COD,BV$4),0)*(BV$4&gt;In_COD)</f>
        <v>13</v>
      </c>
      <c r="BW21" s="45" t="n">
        <f aca="false">ROUNDUP(YEARFRAC(In_COD,BW$4),0)*(BW$4&gt;In_COD)</f>
        <v>13</v>
      </c>
      <c r="BX21" s="45" t="n">
        <f aca="false">ROUNDUP(YEARFRAC(In_COD,BX$4),0)*(BX$4&gt;In_COD)</f>
        <v>13</v>
      </c>
      <c r="BY21" s="45" t="n">
        <f aca="false">ROUNDUP(YEARFRAC(In_COD,BY$4),0)*(BY$4&gt;In_COD)</f>
        <v>13</v>
      </c>
      <c r="BZ21" s="45" t="n">
        <f aca="false">ROUNDUP(YEARFRAC(In_COD,BZ$4),0)*(BZ$4&gt;In_COD)</f>
        <v>14</v>
      </c>
      <c r="CA21" s="45" t="n">
        <f aca="false">ROUNDUP(YEARFRAC(In_COD,CA$4),0)*(CA$4&gt;In_COD)</f>
        <v>14</v>
      </c>
      <c r="CB21" s="45" t="n">
        <f aca="false">ROUNDUP(YEARFRAC(In_COD,CB$4),0)*(CB$4&gt;In_COD)</f>
        <v>14</v>
      </c>
      <c r="CC21" s="45" t="n">
        <f aca="false">ROUNDUP(YEARFRAC(In_COD,CC$4),0)*(CC$4&gt;In_COD)</f>
        <v>14</v>
      </c>
      <c r="CD21" s="45" t="n">
        <f aca="false">ROUNDUP(YEARFRAC(In_COD,CD$4),0)*(CD$4&gt;In_COD)</f>
        <v>15</v>
      </c>
      <c r="CE21" s="45" t="n">
        <f aca="false">ROUNDUP(YEARFRAC(In_COD,CE$4),0)*(CE$4&gt;In_COD)</f>
        <v>15</v>
      </c>
      <c r="CF21" s="45" t="n">
        <f aca="false">ROUNDUP(YEARFRAC(In_COD,CF$4),0)*(CF$4&gt;In_COD)</f>
        <v>15</v>
      </c>
      <c r="CG21" s="45" t="n">
        <f aca="false">ROUNDUP(YEARFRAC(In_COD,CG$4),0)*(CG$4&gt;In_COD)</f>
        <v>15</v>
      </c>
      <c r="CH21" s="45" t="n">
        <f aca="false">ROUNDUP(YEARFRAC(In_COD,CH$4),0)*(CH$4&gt;In_COD)</f>
        <v>16</v>
      </c>
      <c r="CI21" s="45" t="n">
        <f aca="false">ROUNDUP(YEARFRAC(In_COD,CI$4),0)*(CI$4&gt;In_COD)</f>
        <v>16</v>
      </c>
      <c r="CJ21" s="45" t="n">
        <f aca="false">ROUNDUP(YEARFRAC(In_COD,CJ$4),0)*(CJ$4&gt;In_COD)</f>
        <v>16</v>
      </c>
      <c r="CK21" s="45" t="n">
        <f aca="false">ROUNDUP(YEARFRAC(In_COD,CK$4),0)*(CK$4&gt;In_COD)</f>
        <v>16</v>
      </c>
      <c r="CL21" s="45" t="n">
        <f aca="false">ROUNDUP(YEARFRAC(In_COD,CL$4),0)*(CL$4&gt;In_COD)</f>
        <v>17</v>
      </c>
      <c r="CM21" s="45" t="n">
        <f aca="false">ROUNDUP(YEARFRAC(In_COD,CM$4),0)*(CM$4&gt;In_COD)</f>
        <v>17</v>
      </c>
      <c r="CN21" s="45" t="n">
        <f aca="false">ROUNDUP(YEARFRAC(In_COD,CN$4),0)*(CN$4&gt;In_COD)</f>
        <v>17</v>
      </c>
      <c r="CO21" s="45" t="n">
        <f aca="false">ROUNDUP(YEARFRAC(In_COD,CO$4),0)*(CO$4&gt;In_COD)</f>
        <v>17</v>
      </c>
      <c r="CP21" s="45" t="n">
        <f aca="false">ROUNDUP(YEARFRAC(In_COD,CP$4),0)*(CP$4&gt;In_COD)</f>
        <v>18</v>
      </c>
      <c r="CQ21" s="45" t="n">
        <f aca="false">ROUNDUP(YEARFRAC(In_COD,CQ$4),0)*(CQ$4&gt;In_COD)</f>
        <v>18</v>
      </c>
      <c r="CR21" s="45" t="n">
        <f aca="false">ROUNDUP(YEARFRAC(In_COD,CR$4),0)*(CR$4&gt;In_COD)</f>
        <v>18</v>
      </c>
      <c r="CS21" s="45" t="n">
        <f aca="false">ROUNDUP(YEARFRAC(In_COD,CS$4),0)*(CS$4&gt;In_COD)</f>
        <v>18</v>
      </c>
      <c r="CT21" s="45" t="n">
        <f aca="false">ROUNDUP(YEARFRAC(In_COD,CT$4),0)*(CT$4&gt;In_COD)</f>
        <v>19</v>
      </c>
      <c r="CU21" s="45" t="n">
        <f aca="false">ROUNDUP(YEARFRAC(In_COD,CU$4),0)*(CU$4&gt;In_COD)</f>
        <v>19</v>
      </c>
      <c r="CV21" s="45" t="n">
        <f aca="false">ROUNDUP(YEARFRAC(In_COD,CV$4),0)*(CV$4&gt;In_COD)</f>
        <v>19</v>
      </c>
      <c r="CW21" s="45" t="n">
        <f aca="false">ROUNDUP(YEARFRAC(In_COD,CW$4),0)*(CW$4&gt;In_COD)</f>
        <v>19</v>
      </c>
      <c r="CX21" s="45" t="n">
        <f aca="false">ROUNDUP(YEARFRAC(In_COD,CX$4),0)*(CX$4&gt;In_COD)</f>
        <v>20</v>
      </c>
      <c r="CY21" s="45" t="n">
        <f aca="false">ROUNDUP(YEARFRAC(In_COD,CY$4),0)*(CY$4&gt;In_COD)</f>
        <v>20</v>
      </c>
      <c r="CZ21" s="45" t="n">
        <f aca="false">ROUNDUP(YEARFRAC(In_COD,CZ$4),0)*(CZ$4&gt;In_COD)</f>
        <v>20</v>
      </c>
      <c r="DA21" s="45" t="n">
        <f aca="false">ROUNDUP(YEARFRAC(In_COD,DA$4),0)*(DA$4&gt;In_COD)</f>
        <v>20</v>
      </c>
      <c r="DB21" s="45" t="n">
        <f aca="false">ROUNDUP(YEARFRAC(In_COD,DB$4),0)*(DB$4&gt;In_COD)</f>
        <v>21</v>
      </c>
      <c r="DC21" s="45" t="n">
        <f aca="false">ROUNDUP(YEARFRAC(In_COD,DC$4),0)*(DC$4&gt;In_COD)</f>
        <v>21</v>
      </c>
      <c r="DD21" s="45" t="n">
        <f aca="false">ROUNDUP(YEARFRAC(In_COD,DD$4),0)*(DD$4&gt;In_COD)</f>
        <v>21</v>
      </c>
      <c r="DE21" s="45" t="n">
        <f aca="false">ROUNDUP(YEARFRAC(In_COD,DE$4),0)*(DE$4&gt;In_COD)</f>
        <v>21</v>
      </c>
      <c r="DF21" s="45" t="n">
        <f aca="false">ROUNDUP(YEARFRAC(In_COD,DF$4),0)*(DF$4&gt;In_COD)</f>
        <v>22</v>
      </c>
      <c r="DG21" s="45" t="n">
        <f aca="false">ROUNDUP(YEARFRAC(In_COD,DG$4),0)*(DG$4&gt;In_COD)</f>
        <v>22</v>
      </c>
      <c r="DH21" s="45" t="n">
        <f aca="false">ROUNDUP(YEARFRAC(In_COD,DH$4),0)*(DH$4&gt;In_COD)</f>
        <v>22</v>
      </c>
      <c r="DI21" s="45" t="n">
        <f aca="false">ROUNDUP(YEARFRAC(In_COD,DI$4),0)*(DI$4&gt;In_COD)</f>
        <v>22</v>
      </c>
      <c r="DJ21" s="45" t="n">
        <f aca="false">ROUNDUP(YEARFRAC(In_COD,DJ$4),0)*(DJ$4&gt;In_COD)</f>
        <v>23</v>
      </c>
      <c r="DK21" s="45" t="n">
        <f aca="false">ROUNDUP(YEARFRAC(In_COD,DK$4),0)*(DK$4&gt;In_COD)</f>
        <v>23</v>
      </c>
      <c r="DL21" s="45" t="n">
        <f aca="false">ROUNDUP(YEARFRAC(In_COD,DL$4),0)*(DL$4&gt;In_COD)</f>
        <v>23</v>
      </c>
      <c r="DM21" s="45" t="n">
        <f aca="false">ROUNDUP(YEARFRAC(In_COD,DM$4),0)*(DM$4&gt;In_COD)</f>
        <v>23</v>
      </c>
      <c r="DN21" s="45" t="n">
        <f aca="false">ROUNDUP(YEARFRAC(In_COD,DN$4),0)*(DN$4&gt;In_COD)</f>
        <v>24</v>
      </c>
      <c r="DO21" s="45" t="n">
        <f aca="false">ROUNDUP(YEARFRAC(In_COD,DO$4),0)*(DO$4&gt;In_COD)</f>
        <v>24</v>
      </c>
      <c r="DP21" s="45" t="n">
        <f aca="false">ROUNDUP(YEARFRAC(In_COD,DP$4),0)*(DP$4&gt;In_COD)</f>
        <v>24</v>
      </c>
      <c r="DQ21" s="45" t="n">
        <f aca="false">ROUNDUP(YEARFRAC(In_COD,DQ$4),0)*(DQ$4&gt;In_COD)</f>
        <v>24</v>
      </c>
      <c r="DR21" s="45" t="n">
        <f aca="false">ROUNDUP(YEARFRAC(In_COD,DR$4),0)*(DR$4&gt;In_COD)</f>
        <v>25</v>
      </c>
      <c r="DS21" s="45" t="n">
        <f aca="false">ROUNDUP(YEARFRAC(In_COD,DS$4),0)*(DS$4&gt;In_COD)</f>
        <v>25</v>
      </c>
      <c r="DT21" s="45" t="n">
        <f aca="false">ROUNDUP(YEARFRAC(In_COD,DT$4),0)*(DT$4&gt;In_COD)</f>
        <v>25</v>
      </c>
      <c r="DU21" s="45" t="n">
        <f aca="false">ROUNDUP(YEARFRAC(In_COD,DU$4),0)*(DU$4&gt;In_COD)</f>
        <v>25</v>
      </c>
      <c r="DV21" s="45" t="n">
        <f aca="false">ROUNDUP(YEARFRAC(In_COD,DV$4),0)*(DV$4&gt;In_COD)</f>
        <v>26</v>
      </c>
      <c r="DW21" s="45" t="n">
        <f aca="false">ROUNDUP(YEARFRAC(In_COD,DW$4),0)*(DW$4&gt;In_COD)</f>
        <v>26</v>
      </c>
      <c r="DX21" s="45" t="n">
        <f aca="false">ROUNDUP(YEARFRAC(In_COD,DX$4),0)*(DX$4&gt;In_COD)</f>
        <v>26</v>
      </c>
      <c r="DY21" s="45" t="n">
        <f aca="false">ROUNDUP(YEARFRAC(In_COD,DY$4),0)*(DY$4&gt;In_COD)</f>
        <v>26</v>
      </c>
      <c r="DZ21" s="45" t="n">
        <f aca="false">ROUNDUP(YEARFRAC(In_COD,DZ$4),0)*(DZ$4&gt;In_COD)</f>
        <v>27</v>
      </c>
      <c r="EA21" s="45" t="n">
        <f aca="false">ROUNDUP(YEARFRAC(In_COD,EA$4),0)*(EA$4&gt;In_COD)</f>
        <v>27</v>
      </c>
      <c r="EB21" s="45" t="n">
        <f aca="false">ROUNDUP(YEARFRAC(In_COD,EB$4),0)*(EB$4&gt;In_COD)</f>
        <v>27</v>
      </c>
      <c r="EC21" s="45" t="n">
        <f aca="false">ROUNDUP(YEARFRAC(In_COD,EC$4),0)*(EC$4&gt;In_COD)</f>
        <v>27</v>
      </c>
      <c r="ED21" s="45" t="n">
        <f aca="false">ROUNDUP(YEARFRAC(In_COD,ED$4),0)*(ED$4&gt;In_COD)</f>
        <v>28</v>
      </c>
      <c r="EE21" s="45" t="n">
        <f aca="false">ROUNDUP(YEARFRAC(In_COD,EE$4),0)*(EE$4&gt;In_COD)</f>
        <v>28</v>
      </c>
      <c r="EF21" s="45" t="n">
        <f aca="false">ROUNDUP(YEARFRAC(In_COD,EF$4),0)*(EF$4&gt;In_COD)</f>
        <v>28</v>
      </c>
      <c r="EG21" s="45" t="n">
        <f aca="false">ROUNDUP(YEARFRAC(In_COD,EG$4),0)*(EG$4&gt;In_COD)</f>
        <v>28</v>
      </c>
      <c r="EH21" s="45" t="n">
        <f aca="false">ROUNDUP(YEARFRAC(In_COD,EH$4),0)*(EH$4&gt;In_COD)</f>
        <v>29</v>
      </c>
      <c r="EI21" s="45" t="n">
        <f aca="false">ROUNDUP(YEARFRAC(In_COD,EI$4),0)*(EI$4&gt;In_COD)</f>
        <v>29</v>
      </c>
      <c r="EJ21" s="45" t="n">
        <f aca="false">ROUNDUP(YEARFRAC(In_COD,EJ$4),0)*(EJ$4&gt;In_COD)</f>
        <v>29</v>
      </c>
      <c r="EK21" s="45" t="n">
        <f aca="false">ROUNDUP(YEARFRAC(In_COD,EK$4),0)*(EK$4&gt;In_COD)</f>
        <v>29</v>
      </c>
      <c r="EL21" s="45" t="n">
        <f aca="false">ROUNDUP(YEARFRAC(In_COD,EL$4),0)*(EL$4&gt;In_COD)</f>
        <v>30</v>
      </c>
      <c r="EM21" s="45" t="n">
        <f aca="false">ROUNDUP(YEARFRAC(In_COD,EM$4),0)*(EM$4&gt;In_COD)</f>
        <v>30</v>
      </c>
      <c r="EN21" s="45" t="n">
        <f aca="false">ROUNDUP(YEARFRAC(In_COD,EN$4),0)*(EN$4&gt;In_COD)</f>
        <v>30</v>
      </c>
      <c r="EO21" s="45" t="n">
        <f aca="false">ROUNDUP(YEARFRAC(In_COD,EO$4),0)*(EO$4&gt;In_COD)</f>
        <v>30</v>
      </c>
    </row>
    <row r="22" customFormat="false" ht="15" hidden="false" customHeight="false" outlineLevel="0" collapsed="false">
      <c r="C22" s="1" t="s">
        <v>424</v>
      </c>
      <c r="D22" s="12" t="s">
        <v>411</v>
      </c>
      <c r="E22" s="56" t="n">
        <f aca="false">SUMIF($J$4:$EO$4,In_COD,$J22:$EO22)</f>
        <v>1.21988954770292</v>
      </c>
      <c r="F22" s="57" t="n">
        <f aca="false">In_Debt_Rate*Months_Per_Period/Months_In_Year</f>
        <v>0.0125</v>
      </c>
      <c r="J22" s="56" t="n">
        <f aca="false">(1+$F22)^J$8</f>
        <v>1.0125</v>
      </c>
      <c r="K22" s="56" t="n">
        <f aca="false">(1+$F22)^K$8</f>
        <v>1.02515625</v>
      </c>
      <c r="L22" s="56" t="n">
        <f aca="false">(1+$F22)^L$8</f>
        <v>1.037970703125</v>
      </c>
      <c r="M22" s="56" t="n">
        <f aca="false">(1+$F22)^M$8</f>
        <v>1.05094533691406</v>
      </c>
      <c r="N22" s="56" t="n">
        <f aca="false">(1+$F22)^N$8</f>
        <v>1.06408215362549</v>
      </c>
      <c r="O22" s="56" t="n">
        <f aca="false">(1+$F22)^O$8</f>
        <v>1.07738318054581</v>
      </c>
      <c r="P22" s="56" t="n">
        <f aca="false">(1+$F22)^P$8</f>
        <v>1.09085047030263</v>
      </c>
      <c r="Q22" s="56" t="n">
        <f aca="false">(1+$F22)^Q$8</f>
        <v>1.10448610118141</v>
      </c>
      <c r="R22" s="56" t="n">
        <f aca="false">(1+$F22)^R$8</f>
        <v>1.11829217744618</v>
      </c>
      <c r="S22" s="56" t="n">
        <f aca="false">(1+$F22)^S$8</f>
        <v>1.13227082966426</v>
      </c>
      <c r="T22" s="56" t="n">
        <f aca="false">(1+$F22)^T$8</f>
        <v>1.14642421503506</v>
      </c>
      <c r="U22" s="56" t="n">
        <f aca="false">(1+$F22)^U$8</f>
        <v>1.160754517723</v>
      </c>
      <c r="V22" s="56" t="n">
        <f aca="false">(1+$F22)^V$8</f>
        <v>1.17526394919454</v>
      </c>
      <c r="W22" s="56" t="n">
        <f aca="false">(1+$F22)^W$8</f>
        <v>1.18995474855947</v>
      </c>
      <c r="X22" s="56" t="n">
        <f aca="false">(1+$F22)^X$8</f>
        <v>1.20482918291646</v>
      </c>
      <c r="Y22" s="56" t="n">
        <f aca="false">(1+$F22)^Y$8</f>
        <v>1.21988954770292</v>
      </c>
      <c r="Z22" s="56" t="n">
        <f aca="false">(1+$F22)^Z$8</f>
        <v>1.2351381670492</v>
      </c>
      <c r="AA22" s="56" t="n">
        <f aca="false">(1+$F22)^AA$8</f>
        <v>1.25057739413732</v>
      </c>
      <c r="AB22" s="56" t="n">
        <f aca="false">(1+$F22)^AB$8</f>
        <v>1.26620961156403</v>
      </c>
      <c r="AC22" s="56" t="n">
        <f aca="false">(1+$F22)^AC$8</f>
        <v>1.28203723170858</v>
      </c>
      <c r="AD22" s="56" t="n">
        <f aca="false">(1+$F22)^AD$8</f>
        <v>1.29806269710494</v>
      </c>
      <c r="AE22" s="56" t="n">
        <f aca="false">(1+$F22)^AE$8</f>
        <v>1.31428848081875</v>
      </c>
      <c r="AF22" s="56" t="n">
        <f aca="false">(1+$F22)^AF$8</f>
        <v>1.33071708682899</v>
      </c>
      <c r="AG22" s="56" t="n">
        <f aca="false">(1+$F22)^AG$8</f>
        <v>1.34735105041435</v>
      </c>
      <c r="AH22" s="56" t="n">
        <f aca="false">(1+$F22)^AH$8</f>
        <v>1.36419293854453</v>
      </c>
      <c r="AI22" s="56" t="n">
        <f aca="false">(1+$F22)^AI$8</f>
        <v>1.38124535027634</v>
      </c>
      <c r="AJ22" s="56" t="n">
        <f aca="false">(1+$F22)^AJ$8</f>
        <v>1.39851091715479</v>
      </c>
      <c r="AK22" s="56" t="n">
        <f aca="false">(1+$F22)^AK$8</f>
        <v>1.41599230361922</v>
      </c>
      <c r="AL22" s="56" t="n">
        <f aca="false">(1+$F22)^AL$8</f>
        <v>1.43369220741447</v>
      </c>
      <c r="AM22" s="56" t="n">
        <f aca="false">(1+$F22)^AM$8</f>
        <v>1.45161336000715</v>
      </c>
      <c r="AN22" s="56" t="n">
        <f aca="false">(1+$F22)^AN$8</f>
        <v>1.46975852700724</v>
      </c>
      <c r="AO22" s="56" t="n">
        <f aca="false">(1+$F22)^AO$8</f>
        <v>1.48813050859483</v>
      </c>
      <c r="AP22" s="56" t="n">
        <f aca="false">(1+$F22)^AP$8</f>
        <v>1.50673213995226</v>
      </c>
      <c r="AQ22" s="56" t="n">
        <f aca="false">(1+$F22)^AQ$8</f>
        <v>1.52556629170166</v>
      </c>
      <c r="AR22" s="56" t="n">
        <f aca="false">(1+$F22)^AR$8</f>
        <v>1.54463587034793</v>
      </c>
      <c r="AS22" s="56" t="n">
        <f aca="false">(1+$F22)^AS$8</f>
        <v>1.56394381872728</v>
      </c>
      <c r="AT22" s="56" t="n">
        <f aca="false">(1+$F22)^AT$8</f>
        <v>1.58349311646137</v>
      </c>
      <c r="AU22" s="56" t="n">
        <f aca="false">(1+$F22)^AU$8</f>
        <v>1.60328678041714</v>
      </c>
      <c r="AV22" s="56" t="n">
        <f aca="false">(1+$F22)^AV$8</f>
        <v>1.62332786517236</v>
      </c>
      <c r="AW22" s="56" t="n">
        <f aca="false">(1+$F22)^AW$8</f>
        <v>1.64361946348701</v>
      </c>
      <c r="AX22" s="56" t="n">
        <f aca="false">(1+$F22)^AX$8</f>
        <v>1.6641647067806</v>
      </c>
      <c r="AY22" s="56" t="n">
        <f aca="false">(1+$F22)^AY$8</f>
        <v>1.68496676561536</v>
      </c>
      <c r="AZ22" s="56" t="n">
        <f aca="false">(1+$F22)^AZ$8</f>
        <v>1.70602885018555</v>
      </c>
      <c r="BA22" s="56" t="n">
        <f aca="false">(1+$F22)^BA$8</f>
        <v>1.72735421081287</v>
      </c>
      <c r="BB22" s="56" t="n">
        <f aca="false">(1+$F22)^BB$8</f>
        <v>1.74894613844803</v>
      </c>
      <c r="BC22" s="56" t="n">
        <f aca="false">(1+$F22)^BC$8</f>
        <v>1.77080796517863</v>
      </c>
      <c r="BD22" s="56" t="n">
        <f aca="false">(1+$F22)^BD$8</f>
        <v>1.79294306474336</v>
      </c>
      <c r="BE22" s="56" t="n">
        <f aca="false">(1+$F22)^BE$8</f>
        <v>1.81535485305265</v>
      </c>
      <c r="BF22" s="56" t="n">
        <f aca="false">(1+$F22)^BF$8</f>
        <v>1.83804678871581</v>
      </c>
      <c r="BG22" s="56" t="n">
        <f aca="false">(1+$F22)^BG$8</f>
        <v>1.86102237357476</v>
      </c>
      <c r="BH22" s="56" t="n">
        <f aca="false">(1+$F22)^BH$8</f>
        <v>1.88428515324444</v>
      </c>
      <c r="BI22" s="56" t="n">
        <f aca="false">(1+$F22)^BI$8</f>
        <v>1.90783871766</v>
      </c>
      <c r="BJ22" s="56" t="n">
        <f aca="false">(1+$F22)^BJ$8</f>
        <v>1.93168670163075</v>
      </c>
      <c r="BK22" s="56" t="n">
        <f aca="false">(1+$F22)^BK$8</f>
        <v>1.95583278540113</v>
      </c>
      <c r="BL22" s="56" t="n">
        <f aca="false">(1+$F22)^BL$8</f>
        <v>1.98028069521865</v>
      </c>
      <c r="BM22" s="56" t="n">
        <f aca="false">(1+$F22)^BM$8</f>
        <v>2.00503420390888</v>
      </c>
      <c r="BN22" s="56" t="n">
        <f aca="false">(1+$F22)^BN$8</f>
        <v>2.03009713145774</v>
      </c>
      <c r="BO22" s="56" t="n">
        <f aca="false">(1+$F22)^BO$8</f>
        <v>2.05547334560096</v>
      </c>
      <c r="BP22" s="56" t="n">
        <f aca="false">(1+$F22)^BP$8</f>
        <v>2.08116676242097</v>
      </c>
      <c r="BQ22" s="56" t="n">
        <f aca="false">(1+$F22)^BQ$8</f>
        <v>2.10718134695124</v>
      </c>
      <c r="BR22" s="56" t="n">
        <f aca="false">(1+$F22)^BR$8</f>
        <v>2.13352111378813</v>
      </c>
      <c r="BS22" s="56" t="n">
        <f aca="false">(1+$F22)^BS$8</f>
        <v>2.16019012771048</v>
      </c>
      <c r="BT22" s="56" t="n">
        <f aca="false">(1+$F22)^BT$8</f>
        <v>2.18719250430686</v>
      </c>
      <c r="BU22" s="56" t="n">
        <f aca="false">(1+$F22)^BU$8</f>
        <v>2.21453241061069</v>
      </c>
      <c r="BV22" s="56" t="n">
        <f aca="false">(1+$F22)^BV$8</f>
        <v>2.24221406574333</v>
      </c>
      <c r="BW22" s="56" t="n">
        <f aca="false">(1+$F22)^BW$8</f>
        <v>2.27024174156512</v>
      </c>
      <c r="BX22" s="56" t="n">
        <f aca="false">(1+$F22)^BX$8</f>
        <v>2.29861976333468</v>
      </c>
      <c r="BY22" s="56" t="n">
        <f aca="false">(1+$F22)^BY$8</f>
        <v>2.32735251037637</v>
      </c>
      <c r="BZ22" s="56" t="n">
        <f aca="false">(1+$F22)^BZ$8</f>
        <v>2.35644441675607</v>
      </c>
      <c r="CA22" s="56" t="n">
        <f aca="false">(1+$F22)^CA$8</f>
        <v>2.38589997196552</v>
      </c>
      <c r="CB22" s="56" t="n">
        <f aca="false">(1+$F22)^CB$8</f>
        <v>2.41572372161509</v>
      </c>
      <c r="CC22" s="56" t="n">
        <f aca="false">(1+$F22)^CC$8</f>
        <v>2.44592026813528</v>
      </c>
      <c r="CD22" s="56" t="n">
        <f aca="false">(1+$F22)^CD$8</f>
        <v>2.47649427148697</v>
      </c>
      <c r="CE22" s="56" t="n">
        <f aca="false">(1+$F22)^CE$8</f>
        <v>2.50745044988056</v>
      </c>
      <c r="CF22" s="56" t="n">
        <f aca="false">(1+$F22)^CF$8</f>
        <v>2.53879358050406</v>
      </c>
      <c r="CG22" s="56" t="n">
        <f aca="false">(1+$F22)^CG$8</f>
        <v>2.57052850026036</v>
      </c>
      <c r="CH22" s="56" t="n">
        <f aca="false">(1+$F22)^CH$8</f>
        <v>2.60266010651362</v>
      </c>
      <c r="CI22" s="56" t="n">
        <f aca="false">(1+$F22)^CI$8</f>
        <v>2.63519335784504</v>
      </c>
      <c r="CJ22" s="56" t="n">
        <f aca="false">(1+$F22)^CJ$8</f>
        <v>2.6681332748181</v>
      </c>
      <c r="CK22" s="56" t="n">
        <f aca="false">(1+$F22)^CK$8</f>
        <v>2.70148494075333</v>
      </c>
      <c r="CL22" s="56" t="n">
        <f aca="false">(1+$F22)^CL$8</f>
        <v>2.73525350251274</v>
      </c>
      <c r="CM22" s="56" t="n">
        <f aca="false">(1+$F22)^CM$8</f>
        <v>2.76944417129415</v>
      </c>
      <c r="CN22" s="56" t="n">
        <f aca="false">(1+$F22)^CN$8</f>
        <v>2.80406222343533</v>
      </c>
      <c r="CO22" s="56" t="n">
        <f aca="false">(1+$F22)^CO$8</f>
        <v>2.83911300122827</v>
      </c>
      <c r="CP22" s="56" t="n">
        <f aca="false">(1+$F22)^CP$8</f>
        <v>2.87460191374363</v>
      </c>
      <c r="CQ22" s="56" t="n">
        <f aca="false">(1+$F22)^CQ$8</f>
        <v>2.91053443766542</v>
      </c>
      <c r="CR22" s="56" t="n">
        <f aca="false">(1+$F22)^CR$8</f>
        <v>2.94691611813624</v>
      </c>
      <c r="CS22" s="56" t="n">
        <f aca="false">(1+$F22)^CS$8</f>
        <v>2.98375256961294</v>
      </c>
      <c r="CT22" s="56" t="n">
        <f aca="false">(1+$F22)^CT$8</f>
        <v>3.0210494767331</v>
      </c>
      <c r="CU22" s="56" t="n">
        <f aca="false">(1+$F22)^CU$8</f>
        <v>3.05881259519227</v>
      </c>
      <c r="CV22" s="56" t="n">
        <f aca="false">(1+$F22)^CV$8</f>
        <v>3.09704775263217</v>
      </c>
      <c r="CW22" s="56" t="n">
        <f aca="false">(1+$F22)^CW$8</f>
        <v>3.13576084954007</v>
      </c>
      <c r="CX22" s="56" t="n">
        <f aca="false">(1+$F22)^CX$8</f>
        <v>3.17495786015932</v>
      </c>
      <c r="CY22" s="56" t="n">
        <f aca="false">(1+$F22)^CY$8</f>
        <v>3.21464483341131</v>
      </c>
      <c r="CZ22" s="56" t="n">
        <f aca="false">(1+$F22)^CZ$8</f>
        <v>3.25482789382895</v>
      </c>
      <c r="DA22" s="56" t="n">
        <f aca="false">(1+$F22)^DA$8</f>
        <v>3.29551324250182</v>
      </c>
      <c r="DB22" s="56" t="n">
        <f aca="false">(1+$F22)^DB$8</f>
        <v>3.33670715803309</v>
      </c>
      <c r="DC22" s="56" t="n">
        <f aca="false">(1+$F22)^DC$8</f>
        <v>3.3784159975085</v>
      </c>
      <c r="DD22" s="56" t="n">
        <f aca="false">(1+$F22)^DD$8</f>
        <v>3.42064619747736</v>
      </c>
      <c r="DE22" s="56" t="n">
        <f aca="false">(1+$F22)^DE$8</f>
        <v>3.46340427494583</v>
      </c>
      <c r="DF22" s="56" t="n">
        <f aca="false">(1+$F22)^DF$8</f>
        <v>3.50669682838265</v>
      </c>
      <c r="DG22" s="56" t="n">
        <f aca="false">(1+$F22)^DG$8</f>
        <v>3.55053053873743</v>
      </c>
      <c r="DH22" s="56" t="n">
        <f aca="false">(1+$F22)^DH$8</f>
        <v>3.59491217047165</v>
      </c>
      <c r="DI22" s="56" t="n">
        <f aca="false">(1+$F22)^DI$8</f>
        <v>3.63984857260254</v>
      </c>
      <c r="DJ22" s="56" t="n">
        <f aca="false">(1+$F22)^DJ$8</f>
        <v>3.68534667976008</v>
      </c>
      <c r="DK22" s="56" t="n">
        <f aca="false">(1+$F22)^DK$8</f>
        <v>3.73141351325708</v>
      </c>
      <c r="DL22" s="56" t="n">
        <f aca="false">(1+$F22)^DL$8</f>
        <v>3.77805618217279</v>
      </c>
      <c r="DM22" s="56" t="n">
        <f aca="false">(1+$F22)^DM$8</f>
        <v>3.82528188444995</v>
      </c>
      <c r="DN22" s="56" t="n">
        <f aca="false">(1+$F22)^DN$8</f>
        <v>3.87309790800557</v>
      </c>
      <c r="DO22" s="56" t="n">
        <f aca="false">(1+$F22)^DO$8</f>
        <v>3.92151163185564</v>
      </c>
      <c r="DP22" s="56" t="n">
        <f aca="false">(1+$F22)^DP$8</f>
        <v>3.97053052725384</v>
      </c>
      <c r="DQ22" s="56" t="n">
        <f aca="false">(1+$F22)^DQ$8</f>
        <v>4.02016215884451</v>
      </c>
      <c r="DR22" s="56" t="n">
        <f aca="false">(1+$F22)^DR$8</f>
        <v>4.07041418583007</v>
      </c>
      <c r="DS22" s="56" t="n">
        <f aca="false">(1+$F22)^DS$8</f>
        <v>4.12129436315294</v>
      </c>
      <c r="DT22" s="56" t="n">
        <f aca="false">(1+$F22)^DT$8</f>
        <v>4.17281054269235</v>
      </c>
      <c r="DU22" s="56" t="n">
        <f aca="false">(1+$F22)^DU$8</f>
        <v>4.22497067447601</v>
      </c>
      <c r="DV22" s="56" t="n">
        <f aca="false">(1+$F22)^DV$8</f>
        <v>4.27778280790696</v>
      </c>
      <c r="DW22" s="56" t="n">
        <f aca="false">(1+$F22)^DW$8</f>
        <v>4.3312550930058</v>
      </c>
      <c r="DX22" s="56" t="n">
        <f aca="false">(1+$F22)^DX$8</f>
        <v>4.38539578166837</v>
      </c>
      <c r="DY22" s="56" t="n">
        <f aca="false">(1+$F22)^DY$8</f>
        <v>4.44021322893922</v>
      </c>
      <c r="DZ22" s="56" t="n">
        <f aca="false">(1+$F22)^DZ$8</f>
        <v>4.49571589430096</v>
      </c>
      <c r="EA22" s="56" t="n">
        <f aca="false">(1+$F22)^EA$8</f>
        <v>4.55191234297972</v>
      </c>
      <c r="EB22" s="56" t="n">
        <f aca="false">(1+$F22)^EB$8</f>
        <v>4.60881124726697</v>
      </c>
      <c r="EC22" s="56" t="n">
        <f aca="false">(1+$F22)^EC$8</f>
        <v>4.66642138785781</v>
      </c>
      <c r="ED22" s="56" t="n">
        <f aca="false">(1+$F22)^ED$8</f>
        <v>4.72475165520603</v>
      </c>
      <c r="EE22" s="56" t="n">
        <f aca="false">(1+$F22)^EE$8</f>
        <v>4.78381105089611</v>
      </c>
      <c r="EF22" s="56" t="n">
        <f aca="false">(1+$F22)^EF$8</f>
        <v>4.84360868903231</v>
      </c>
      <c r="EG22" s="56" t="n">
        <f aca="false">(1+$F22)^EG$8</f>
        <v>4.90415379764521</v>
      </c>
      <c r="EH22" s="56" t="n">
        <f aca="false">(1+$F22)^EH$8</f>
        <v>4.96545572011577</v>
      </c>
      <c r="EI22" s="56" t="n">
        <f aca="false">(1+$F22)^EI$8</f>
        <v>5.02752391661722</v>
      </c>
      <c r="EJ22" s="56" t="n">
        <f aca="false">(1+$F22)^EJ$8</f>
        <v>5.09036796557494</v>
      </c>
      <c r="EK22" s="56" t="n">
        <f aca="false">(1+$F22)^EK$8</f>
        <v>5.15399756514462</v>
      </c>
      <c r="EL22" s="56" t="n">
        <f aca="false">(1+$F22)^EL$8</f>
        <v>5.21842253470893</v>
      </c>
      <c r="EM22" s="56" t="n">
        <f aca="false">(1+$F22)^EM$8</f>
        <v>5.28365281639279</v>
      </c>
      <c r="EN22" s="56" t="n">
        <f aca="false">(1+$F22)^EN$8</f>
        <v>5.3496984765977</v>
      </c>
      <c r="EO22" s="56" t="n">
        <f aca="false">(1+$F22)^EO$8</f>
        <v>5.41656970755517</v>
      </c>
    </row>
    <row r="24" customFormat="false" ht="15" hidden="false" customHeight="false" outlineLevel="0" collapsed="false">
      <c r="A24" s="10" t="s">
        <v>13</v>
      </c>
      <c r="B24" s="10"/>
      <c r="C24" s="10" t="s">
        <v>425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customFormat="false" ht="15" hidden="false" customHeight="false" outlineLevel="0" collapsed="false">
      <c r="C25" s="1" t="s">
        <v>426</v>
      </c>
      <c r="D25" s="12" t="s">
        <v>62</v>
      </c>
      <c r="E25" s="37" t="n">
        <f aca="false">In_MVA*(1+INDEX(Dash_Overbuild,1,$A$1))</f>
        <v>60</v>
      </c>
      <c r="F25" s="37" t="n">
        <f aca="false">In_MVA*(1+In_Overbuild_Built)</f>
        <v>55</v>
      </c>
    </row>
    <row r="26" customFormat="false" ht="15" hidden="false" customHeight="false" outlineLevel="0" collapsed="false">
      <c r="C26" s="1" t="s">
        <v>427</v>
      </c>
      <c r="D26" s="12" t="s">
        <v>27</v>
      </c>
      <c r="E26" s="50" t="n">
        <f aca="false">IF(In_BESS_Set&gt;0,In_BESS_Set,INDEX(Dash_BESS,1,$A$1))</f>
        <v>0.2</v>
      </c>
    </row>
    <row r="27" customFormat="false" ht="15" hidden="false" customHeight="false" outlineLevel="0" collapsed="false">
      <c r="C27" s="1" t="s">
        <v>428</v>
      </c>
      <c r="D27" s="12" t="s">
        <v>62</v>
      </c>
      <c r="E27" s="37" t="n">
        <f aca="false">$E26*In_MVA</f>
        <v>10</v>
      </c>
      <c r="F27" s="37" t="n">
        <f aca="false">$E27*In_BESS_Built</f>
        <v>10</v>
      </c>
    </row>
    <row r="28" customFormat="false" ht="15" hidden="false" customHeight="false" outlineLevel="0" collapsed="false">
      <c r="C28" s="1" t="s">
        <v>429</v>
      </c>
      <c r="D28" s="12" t="s">
        <v>70</v>
      </c>
      <c r="E28" s="37" t="n">
        <f aca="false">$E27*INDEX(Dash_BESS_Hours,1,$A$1)</f>
        <v>40</v>
      </c>
    </row>
    <row r="29" customFormat="false" ht="15" hidden="false" customHeight="false" outlineLevel="0" collapsed="false">
      <c r="C29" s="1" t="s">
        <v>430</v>
      </c>
      <c r="D29" s="12" t="s">
        <v>27</v>
      </c>
      <c r="E29" s="57" t="n">
        <f aca="false">($F25-In_MVA)/$F25*In_Bottleneck_Loss</f>
        <v>0.00454545454545455</v>
      </c>
    </row>
    <row r="30" customFormat="false" ht="15" hidden="false" customHeight="false" outlineLevel="0" collapsed="false">
      <c r="C30" s="1" t="s">
        <v>431</v>
      </c>
      <c r="D30" s="12" t="s">
        <v>27</v>
      </c>
      <c r="E30" s="50" t="n">
        <f aca="false">MAX(0,1-$F25/$E25)</f>
        <v>0.0833333333333333</v>
      </c>
      <c r="F30" s="50" t="n">
        <f aca="false">(1-In_BESS_Built)*($E27&gt;0)</f>
        <v>0</v>
      </c>
    </row>
    <row r="31" customFormat="false" ht="15" hidden="false" customHeight="false" outlineLevel="0" collapsed="false">
      <c r="C31" s="1" t="s">
        <v>432</v>
      </c>
      <c r="D31" s="12" t="s">
        <v>77</v>
      </c>
      <c r="E31" s="37" t="n">
        <f aca="false">($E30&gt;In_Tolerance_Cap)*$E30*In_MVA*(In_Sanction_Regime=1)</f>
        <v>0</v>
      </c>
    </row>
    <row r="33" customFormat="false" ht="15" hidden="false" customHeight="false" outlineLevel="0" collapsed="false">
      <c r="A33" s="10" t="s">
        <v>13</v>
      </c>
      <c r="B33" s="10"/>
      <c r="C33" s="10" t="s">
        <v>433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customFormat="false" ht="15" hidden="false" customHeight="false" outlineLevel="0" collapsed="false">
      <c r="C34" s="1" t="s">
        <v>434</v>
      </c>
      <c r="D34" s="12" t="s">
        <v>19</v>
      </c>
      <c r="E34" s="33" t="n">
        <f aca="false">INDEX(Dash_Municipal,1,$A$1)</f>
        <v>50</v>
      </c>
      <c r="F34" s="33" t="n">
        <f aca="false">INDEX(Osz1_Pts,1+SUMPRODUCT((Osz1_LB&lt;$E34)+(Osz1_LB=$E34)*Osz1_Incl))*Osz1_W</f>
        <v>20</v>
      </c>
    </row>
    <row r="35" customFormat="false" ht="15" hidden="false" customHeight="false" outlineLevel="0" collapsed="false">
      <c r="C35" s="1" t="s">
        <v>435</v>
      </c>
      <c r="D35" s="12" t="s">
        <v>24</v>
      </c>
      <c r="E35" s="33" t="n">
        <f aca="false">INDEX(Dash_Community,1,$A$1)</f>
        <v>3</v>
      </c>
      <c r="F35" s="33" t="n">
        <f aca="false">INDEX(Osz2_Pts,1+SUMPRODUCT((Osz2_LB&lt;$E35)+(Osz2_LB=$E35)*Osz2_Incl))*Osz2_W</f>
        <v>15</v>
      </c>
    </row>
    <row r="36" customFormat="false" ht="15" hidden="false" customHeight="false" outlineLevel="0" collapsed="false">
      <c r="C36" s="1" t="s">
        <v>436</v>
      </c>
      <c r="D36" s="12" t="s">
        <v>27</v>
      </c>
      <c r="E36" s="50" t="n">
        <f aca="false">INDEX(Dash_Overbuild,1,$A$1)</f>
        <v>0.2</v>
      </c>
      <c r="F36" s="33" t="n">
        <f aca="false">INDEX(Osz3_Pts,1+SUMPRODUCT((Osz3_LB&lt;$E36)+(Osz3_LB=$E36)*Osz3_Incl))*Osz3_W</f>
        <v>5</v>
      </c>
    </row>
    <row r="37" customFormat="false" ht="15" hidden="false" customHeight="false" outlineLevel="0" collapsed="false">
      <c r="C37" s="1" t="s">
        <v>437</v>
      </c>
      <c r="D37" s="12" t="s">
        <v>27</v>
      </c>
      <c r="E37" s="50" t="n">
        <f aca="false">$E26</f>
        <v>0.2</v>
      </c>
      <c r="F37" s="33" t="n">
        <f aca="false">INDEX(Osz4_Pts,1+SUMPRODUCT((Osz4_LB&lt;$E37)+(Osz4_LB=$E37)*Osz4_Incl))*Osz4_W*($E37&gt;=Osz4_Min)</f>
        <v>7.5</v>
      </c>
    </row>
    <row r="38" customFormat="false" ht="15" hidden="false" customHeight="false" outlineLevel="0" collapsed="false">
      <c r="C38" s="1" t="s">
        <v>438</v>
      </c>
      <c r="D38" s="12" t="s">
        <v>43</v>
      </c>
      <c r="E38" s="51" t="n">
        <f aca="false">INDEX(Dash_Partial,1,$A$1)</f>
        <v>0</v>
      </c>
      <c r="F38" s="33" t="n">
        <f aca="false">$E38*Osz5_Pts*Osz5_W</f>
        <v>0</v>
      </c>
    </row>
    <row r="39" customFormat="false" ht="15" hidden="false" customHeight="false" outlineLevel="0" collapsed="false">
      <c r="C39" s="1" t="s">
        <v>439</v>
      </c>
      <c r="D39" s="12" t="s">
        <v>13</v>
      </c>
      <c r="E39" s="54" t="n">
        <f aca="false">INDEX(Dash_PB_Mult,1,$A$1)</f>
        <v>1</v>
      </c>
      <c r="F39" s="33" t="n">
        <f aca="false">INDEX(Osz6_Pts,1+SUMPRODUCT((Osz6_LB&lt;$E39)+(Osz6_LB=$E39)*Osz6_Incl))*Osz6_W</f>
        <v>0</v>
      </c>
    </row>
    <row r="40" customFormat="false" ht="15" hidden="false" customHeight="false" outlineLevel="0" collapsed="false">
      <c r="C40" s="1" t="s">
        <v>440</v>
      </c>
      <c r="D40" s="12" t="s">
        <v>43</v>
      </c>
      <c r="E40" s="51" t="n">
        <f aca="false">INDEX(Dash_Shared,1,$A$1)</f>
        <v>0</v>
      </c>
      <c r="F40" s="33" t="n">
        <f aca="false">$E40*Osz8_Pts*Osz8_W</f>
        <v>0</v>
      </c>
    </row>
    <row r="41" customFormat="false" ht="15" hidden="false" customHeight="false" outlineLevel="0" collapsed="false">
      <c r="C41" s="1" t="s">
        <v>441</v>
      </c>
      <c r="D41" s="12" t="s">
        <v>43</v>
      </c>
      <c r="E41" s="51" t="n">
        <f aca="false">INDEX(Dash_EU_Turbine,1,$A$1)</f>
        <v>1</v>
      </c>
      <c r="F41" s="33" t="n">
        <f aca="false">$E41*Osz9a_Pts*Osz9_W</f>
        <v>12</v>
      </c>
    </row>
    <row r="42" customFormat="false" ht="15" hidden="false" customHeight="false" outlineLevel="0" collapsed="false">
      <c r="C42" s="1" t="s">
        <v>442</v>
      </c>
      <c r="D42" s="12" t="s">
        <v>43</v>
      </c>
      <c r="E42" s="51" t="n">
        <f aca="false">INDEX(Dash_EU_Transformer,1,$A$1)</f>
        <v>0</v>
      </c>
      <c r="F42" s="33" t="n">
        <f aca="false">$E42*Osz9b_Pts*Osz9_W</f>
        <v>0</v>
      </c>
    </row>
    <row r="43" customFormat="false" ht="15" hidden="false" customHeight="false" outlineLevel="0" collapsed="false">
      <c r="C43" s="26" t="s">
        <v>52</v>
      </c>
      <c r="D43" s="12" t="s">
        <v>53</v>
      </c>
      <c r="E43" s="27" t="n">
        <f aca="false">ROUND(SUM($F34:$F42),Points_Decimals)</f>
        <v>59.5</v>
      </c>
    </row>
    <row r="44" customFormat="false" ht="15" hidden="false" customHeight="false" outlineLevel="0" collapsed="false">
      <c r="C44" s="1" t="s">
        <v>443</v>
      </c>
      <c r="D44" s="12" t="s">
        <v>43</v>
      </c>
      <c r="E44" s="51" t="n">
        <f aca="false">$E41*In_Deliver</f>
        <v>1</v>
      </c>
    </row>
    <row r="45" customFormat="false" ht="15" hidden="false" customHeight="false" outlineLevel="0" collapsed="false">
      <c r="C45" s="1" t="s">
        <v>444</v>
      </c>
      <c r="D45" s="12" t="s">
        <v>150</v>
      </c>
      <c r="E45" s="45" t="n">
        <f aca="false">($E34&lt;&gt;0)*($E34&lt;Osz1_Min)+($E34&gt;Osz1_Max)+($E35&lt;&gt;0)*($E35&lt;Osz2_Min)+($E35&gt;Osz2_Max)</f>
        <v>0</v>
      </c>
      <c r="F45" s="45" t="n">
        <f aca="false">N($E39&lt;1)+N($E27&gt;$E25)+N($E28&lt;$E27*In_Min_Hours)</f>
        <v>0</v>
      </c>
    </row>
    <row r="47" customFormat="false" ht="15" hidden="false" customHeight="false" outlineLevel="0" collapsed="false">
      <c r="A47" s="10" t="s">
        <v>13</v>
      </c>
      <c r="B47" s="10"/>
      <c r="C47" s="10" t="s">
        <v>445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customFormat="false" ht="15" hidden="false" customHeight="false" outlineLevel="0" collapsed="false">
      <c r="C48" s="1" t="s">
        <v>32</v>
      </c>
      <c r="D48" s="12" t="s">
        <v>33</v>
      </c>
      <c r="E48" s="19" t="n">
        <f aca="false">In_Purchase_Price</f>
        <v>4500</v>
      </c>
      <c r="F48" s="21" t="n">
        <f aca="false">In_Closing</f>
        <v>46387</v>
      </c>
      <c r="I48" s="49" t="n">
        <f aca="false">SUM(J48:EO48)</f>
        <v>-4500</v>
      </c>
      <c r="J48" s="49" t="n">
        <f aca="false">-$E48*N(AND(J$3&lt;=$F48,J$4&gt;=$F48))</f>
        <v>-4500</v>
      </c>
      <c r="K48" s="49" t="n">
        <f aca="false">-$E48*N(AND(K$3&lt;=$F48,K$4&gt;=$F48))</f>
        <v>-0</v>
      </c>
      <c r="L48" s="49" t="n">
        <f aca="false">-$E48*N(AND(L$3&lt;=$F48,L$4&gt;=$F48))</f>
        <v>-0</v>
      </c>
      <c r="M48" s="49" t="n">
        <f aca="false">-$E48*N(AND(M$3&lt;=$F48,M$4&gt;=$F48))</f>
        <v>-0</v>
      </c>
      <c r="N48" s="49" t="n">
        <f aca="false">-$E48*N(AND(N$3&lt;=$F48,N$4&gt;=$F48))</f>
        <v>-0</v>
      </c>
      <c r="O48" s="49" t="n">
        <f aca="false">-$E48*N(AND(O$3&lt;=$F48,O$4&gt;=$F48))</f>
        <v>-0</v>
      </c>
      <c r="P48" s="49" t="n">
        <f aca="false">-$E48*N(AND(P$3&lt;=$F48,P$4&gt;=$F48))</f>
        <v>-0</v>
      </c>
      <c r="Q48" s="49" t="n">
        <f aca="false">-$E48*N(AND(Q$3&lt;=$F48,Q$4&gt;=$F48))</f>
        <v>-0</v>
      </c>
      <c r="R48" s="49" t="n">
        <f aca="false">-$E48*N(AND(R$3&lt;=$F48,R$4&gt;=$F48))</f>
        <v>-0</v>
      </c>
      <c r="S48" s="49" t="n">
        <f aca="false">-$E48*N(AND(S$3&lt;=$F48,S$4&gt;=$F48))</f>
        <v>-0</v>
      </c>
      <c r="T48" s="49" t="n">
        <f aca="false">-$E48*N(AND(T$3&lt;=$F48,T$4&gt;=$F48))</f>
        <v>-0</v>
      </c>
      <c r="U48" s="49" t="n">
        <f aca="false">-$E48*N(AND(U$3&lt;=$F48,U$4&gt;=$F48))</f>
        <v>-0</v>
      </c>
      <c r="V48" s="49" t="n">
        <f aca="false">-$E48*N(AND(V$3&lt;=$F48,V$4&gt;=$F48))</f>
        <v>-0</v>
      </c>
      <c r="W48" s="49" t="n">
        <f aca="false">-$E48*N(AND(W$3&lt;=$F48,W$4&gt;=$F48))</f>
        <v>-0</v>
      </c>
      <c r="X48" s="49" t="n">
        <f aca="false">-$E48*N(AND(X$3&lt;=$F48,X$4&gt;=$F48))</f>
        <v>-0</v>
      </c>
      <c r="Y48" s="49" t="n">
        <f aca="false">-$E48*N(AND(Y$3&lt;=$F48,Y$4&gt;=$F48))</f>
        <v>-0</v>
      </c>
      <c r="Z48" s="49" t="n">
        <f aca="false">-$E48*N(AND(Z$3&lt;=$F48,Z$4&gt;=$F48))</f>
        <v>-0</v>
      </c>
      <c r="AA48" s="49" t="n">
        <f aca="false">-$E48*N(AND(AA$3&lt;=$F48,AA$4&gt;=$F48))</f>
        <v>-0</v>
      </c>
      <c r="AB48" s="49" t="n">
        <f aca="false">-$E48*N(AND(AB$3&lt;=$F48,AB$4&gt;=$F48))</f>
        <v>-0</v>
      </c>
      <c r="AC48" s="49" t="n">
        <f aca="false">-$E48*N(AND(AC$3&lt;=$F48,AC$4&gt;=$F48))</f>
        <v>-0</v>
      </c>
      <c r="AD48" s="49" t="n">
        <f aca="false">-$E48*N(AND(AD$3&lt;=$F48,AD$4&gt;=$F48))</f>
        <v>-0</v>
      </c>
      <c r="AE48" s="49" t="n">
        <f aca="false">-$E48*N(AND(AE$3&lt;=$F48,AE$4&gt;=$F48))</f>
        <v>-0</v>
      </c>
      <c r="AF48" s="49" t="n">
        <f aca="false">-$E48*N(AND(AF$3&lt;=$F48,AF$4&gt;=$F48))</f>
        <v>-0</v>
      </c>
      <c r="AG48" s="49" t="n">
        <f aca="false">-$E48*N(AND(AG$3&lt;=$F48,AG$4&gt;=$F48))</f>
        <v>-0</v>
      </c>
      <c r="AH48" s="49" t="n">
        <f aca="false">-$E48*N(AND(AH$3&lt;=$F48,AH$4&gt;=$F48))</f>
        <v>-0</v>
      </c>
      <c r="AI48" s="49" t="n">
        <f aca="false">-$E48*N(AND(AI$3&lt;=$F48,AI$4&gt;=$F48))</f>
        <v>-0</v>
      </c>
      <c r="AJ48" s="49" t="n">
        <f aca="false">-$E48*N(AND(AJ$3&lt;=$F48,AJ$4&gt;=$F48))</f>
        <v>-0</v>
      </c>
      <c r="AK48" s="49" t="n">
        <f aca="false">-$E48*N(AND(AK$3&lt;=$F48,AK$4&gt;=$F48))</f>
        <v>-0</v>
      </c>
      <c r="AL48" s="49" t="n">
        <f aca="false">-$E48*N(AND(AL$3&lt;=$F48,AL$4&gt;=$F48))</f>
        <v>-0</v>
      </c>
      <c r="AM48" s="49" t="n">
        <f aca="false">-$E48*N(AND(AM$3&lt;=$F48,AM$4&gt;=$F48))</f>
        <v>-0</v>
      </c>
      <c r="AN48" s="49" t="n">
        <f aca="false">-$E48*N(AND(AN$3&lt;=$F48,AN$4&gt;=$F48))</f>
        <v>-0</v>
      </c>
      <c r="AO48" s="49" t="n">
        <f aca="false">-$E48*N(AND(AO$3&lt;=$F48,AO$4&gt;=$F48))</f>
        <v>-0</v>
      </c>
      <c r="AP48" s="49" t="n">
        <f aca="false">-$E48*N(AND(AP$3&lt;=$F48,AP$4&gt;=$F48))</f>
        <v>-0</v>
      </c>
      <c r="AQ48" s="49" t="n">
        <f aca="false">-$E48*N(AND(AQ$3&lt;=$F48,AQ$4&gt;=$F48))</f>
        <v>-0</v>
      </c>
      <c r="AR48" s="49" t="n">
        <f aca="false">-$E48*N(AND(AR$3&lt;=$F48,AR$4&gt;=$F48))</f>
        <v>-0</v>
      </c>
      <c r="AS48" s="49" t="n">
        <f aca="false">-$E48*N(AND(AS$3&lt;=$F48,AS$4&gt;=$F48))</f>
        <v>-0</v>
      </c>
      <c r="AT48" s="49" t="n">
        <f aca="false">-$E48*N(AND(AT$3&lt;=$F48,AT$4&gt;=$F48))</f>
        <v>-0</v>
      </c>
      <c r="AU48" s="49" t="n">
        <f aca="false">-$E48*N(AND(AU$3&lt;=$F48,AU$4&gt;=$F48))</f>
        <v>-0</v>
      </c>
      <c r="AV48" s="49" t="n">
        <f aca="false">-$E48*N(AND(AV$3&lt;=$F48,AV$4&gt;=$F48))</f>
        <v>-0</v>
      </c>
      <c r="AW48" s="49" t="n">
        <f aca="false">-$E48*N(AND(AW$3&lt;=$F48,AW$4&gt;=$F48))</f>
        <v>-0</v>
      </c>
      <c r="AX48" s="49" t="n">
        <f aca="false">-$E48*N(AND(AX$3&lt;=$F48,AX$4&gt;=$F48))</f>
        <v>-0</v>
      </c>
      <c r="AY48" s="49" t="n">
        <f aca="false">-$E48*N(AND(AY$3&lt;=$F48,AY$4&gt;=$F48))</f>
        <v>-0</v>
      </c>
      <c r="AZ48" s="49" t="n">
        <f aca="false">-$E48*N(AND(AZ$3&lt;=$F48,AZ$4&gt;=$F48))</f>
        <v>-0</v>
      </c>
      <c r="BA48" s="49" t="n">
        <f aca="false">-$E48*N(AND(BA$3&lt;=$F48,BA$4&gt;=$F48))</f>
        <v>-0</v>
      </c>
      <c r="BB48" s="49" t="n">
        <f aca="false">-$E48*N(AND(BB$3&lt;=$F48,BB$4&gt;=$F48))</f>
        <v>-0</v>
      </c>
      <c r="BC48" s="49" t="n">
        <f aca="false">-$E48*N(AND(BC$3&lt;=$F48,BC$4&gt;=$F48))</f>
        <v>-0</v>
      </c>
      <c r="BD48" s="49" t="n">
        <f aca="false">-$E48*N(AND(BD$3&lt;=$F48,BD$4&gt;=$F48))</f>
        <v>-0</v>
      </c>
      <c r="BE48" s="49" t="n">
        <f aca="false">-$E48*N(AND(BE$3&lt;=$F48,BE$4&gt;=$F48))</f>
        <v>-0</v>
      </c>
      <c r="BF48" s="49" t="n">
        <f aca="false">-$E48*N(AND(BF$3&lt;=$F48,BF$4&gt;=$F48))</f>
        <v>-0</v>
      </c>
      <c r="BG48" s="49" t="n">
        <f aca="false">-$E48*N(AND(BG$3&lt;=$F48,BG$4&gt;=$F48))</f>
        <v>-0</v>
      </c>
      <c r="BH48" s="49" t="n">
        <f aca="false">-$E48*N(AND(BH$3&lt;=$F48,BH$4&gt;=$F48))</f>
        <v>-0</v>
      </c>
      <c r="BI48" s="49" t="n">
        <f aca="false">-$E48*N(AND(BI$3&lt;=$F48,BI$4&gt;=$F48))</f>
        <v>-0</v>
      </c>
      <c r="BJ48" s="49" t="n">
        <f aca="false">-$E48*N(AND(BJ$3&lt;=$F48,BJ$4&gt;=$F48))</f>
        <v>-0</v>
      </c>
      <c r="BK48" s="49" t="n">
        <f aca="false">-$E48*N(AND(BK$3&lt;=$F48,BK$4&gt;=$F48))</f>
        <v>-0</v>
      </c>
      <c r="BL48" s="49" t="n">
        <f aca="false">-$E48*N(AND(BL$3&lt;=$F48,BL$4&gt;=$F48))</f>
        <v>-0</v>
      </c>
      <c r="BM48" s="49" t="n">
        <f aca="false">-$E48*N(AND(BM$3&lt;=$F48,BM$4&gt;=$F48))</f>
        <v>-0</v>
      </c>
      <c r="BN48" s="49" t="n">
        <f aca="false">-$E48*N(AND(BN$3&lt;=$F48,BN$4&gt;=$F48))</f>
        <v>-0</v>
      </c>
      <c r="BO48" s="49" t="n">
        <f aca="false">-$E48*N(AND(BO$3&lt;=$F48,BO$4&gt;=$F48))</f>
        <v>-0</v>
      </c>
      <c r="BP48" s="49" t="n">
        <f aca="false">-$E48*N(AND(BP$3&lt;=$F48,BP$4&gt;=$F48))</f>
        <v>-0</v>
      </c>
      <c r="BQ48" s="49" t="n">
        <f aca="false">-$E48*N(AND(BQ$3&lt;=$F48,BQ$4&gt;=$F48))</f>
        <v>-0</v>
      </c>
      <c r="BR48" s="49" t="n">
        <f aca="false">-$E48*N(AND(BR$3&lt;=$F48,BR$4&gt;=$F48))</f>
        <v>-0</v>
      </c>
      <c r="BS48" s="49" t="n">
        <f aca="false">-$E48*N(AND(BS$3&lt;=$F48,BS$4&gt;=$F48))</f>
        <v>-0</v>
      </c>
      <c r="BT48" s="49" t="n">
        <f aca="false">-$E48*N(AND(BT$3&lt;=$F48,BT$4&gt;=$F48))</f>
        <v>-0</v>
      </c>
      <c r="BU48" s="49" t="n">
        <f aca="false">-$E48*N(AND(BU$3&lt;=$F48,BU$4&gt;=$F48))</f>
        <v>-0</v>
      </c>
      <c r="BV48" s="49" t="n">
        <f aca="false">-$E48*N(AND(BV$3&lt;=$F48,BV$4&gt;=$F48))</f>
        <v>-0</v>
      </c>
      <c r="BW48" s="49" t="n">
        <f aca="false">-$E48*N(AND(BW$3&lt;=$F48,BW$4&gt;=$F48))</f>
        <v>-0</v>
      </c>
      <c r="BX48" s="49" t="n">
        <f aca="false">-$E48*N(AND(BX$3&lt;=$F48,BX$4&gt;=$F48))</f>
        <v>-0</v>
      </c>
      <c r="BY48" s="49" t="n">
        <f aca="false">-$E48*N(AND(BY$3&lt;=$F48,BY$4&gt;=$F48))</f>
        <v>-0</v>
      </c>
      <c r="BZ48" s="49" t="n">
        <f aca="false">-$E48*N(AND(BZ$3&lt;=$F48,BZ$4&gt;=$F48))</f>
        <v>-0</v>
      </c>
      <c r="CA48" s="49" t="n">
        <f aca="false">-$E48*N(AND(CA$3&lt;=$F48,CA$4&gt;=$F48))</f>
        <v>-0</v>
      </c>
      <c r="CB48" s="49" t="n">
        <f aca="false">-$E48*N(AND(CB$3&lt;=$F48,CB$4&gt;=$F48))</f>
        <v>-0</v>
      </c>
      <c r="CC48" s="49" t="n">
        <f aca="false">-$E48*N(AND(CC$3&lt;=$F48,CC$4&gt;=$F48))</f>
        <v>-0</v>
      </c>
      <c r="CD48" s="49" t="n">
        <f aca="false">-$E48*N(AND(CD$3&lt;=$F48,CD$4&gt;=$F48))</f>
        <v>-0</v>
      </c>
      <c r="CE48" s="49" t="n">
        <f aca="false">-$E48*N(AND(CE$3&lt;=$F48,CE$4&gt;=$F48))</f>
        <v>-0</v>
      </c>
      <c r="CF48" s="49" t="n">
        <f aca="false">-$E48*N(AND(CF$3&lt;=$F48,CF$4&gt;=$F48))</f>
        <v>-0</v>
      </c>
      <c r="CG48" s="49" t="n">
        <f aca="false">-$E48*N(AND(CG$3&lt;=$F48,CG$4&gt;=$F48))</f>
        <v>-0</v>
      </c>
      <c r="CH48" s="49" t="n">
        <f aca="false">-$E48*N(AND(CH$3&lt;=$F48,CH$4&gt;=$F48))</f>
        <v>-0</v>
      </c>
      <c r="CI48" s="49" t="n">
        <f aca="false">-$E48*N(AND(CI$3&lt;=$F48,CI$4&gt;=$F48))</f>
        <v>-0</v>
      </c>
      <c r="CJ48" s="49" t="n">
        <f aca="false">-$E48*N(AND(CJ$3&lt;=$F48,CJ$4&gt;=$F48))</f>
        <v>-0</v>
      </c>
      <c r="CK48" s="49" t="n">
        <f aca="false">-$E48*N(AND(CK$3&lt;=$F48,CK$4&gt;=$F48))</f>
        <v>-0</v>
      </c>
      <c r="CL48" s="49" t="n">
        <f aca="false">-$E48*N(AND(CL$3&lt;=$F48,CL$4&gt;=$F48))</f>
        <v>-0</v>
      </c>
      <c r="CM48" s="49" t="n">
        <f aca="false">-$E48*N(AND(CM$3&lt;=$F48,CM$4&gt;=$F48))</f>
        <v>-0</v>
      </c>
      <c r="CN48" s="49" t="n">
        <f aca="false">-$E48*N(AND(CN$3&lt;=$F48,CN$4&gt;=$F48))</f>
        <v>-0</v>
      </c>
      <c r="CO48" s="49" t="n">
        <f aca="false">-$E48*N(AND(CO$3&lt;=$F48,CO$4&gt;=$F48))</f>
        <v>-0</v>
      </c>
      <c r="CP48" s="49" t="n">
        <f aca="false">-$E48*N(AND(CP$3&lt;=$F48,CP$4&gt;=$F48))</f>
        <v>-0</v>
      </c>
      <c r="CQ48" s="49" t="n">
        <f aca="false">-$E48*N(AND(CQ$3&lt;=$F48,CQ$4&gt;=$F48))</f>
        <v>-0</v>
      </c>
      <c r="CR48" s="49" t="n">
        <f aca="false">-$E48*N(AND(CR$3&lt;=$F48,CR$4&gt;=$F48))</f>
        <v>-0</v>
      </c>
      <c r="CS48" s="49" t="n">
        <f aca="false">-$E48*N(AND(CS$3&lt;=$F48,CS$4&gt;=$F48))</f>
        <v>-0</v>
      </c>
      <c r="CT48" s="49" t="n">
        <f aca="false">-$E48*N(AND(CT$3&lt;=$F48,CT$4&gt;=$F48))</f>
        <v>-0</v>
      </c>
      <c r="CU48" s="49" t="n">
        <f aca="false">-$E48*N(AND(CU$3&lt;=$F48,CU$4&gt;=$F48))</f>
        <v>-0</v>
      </c>
      <c r="CV48" s="49" t="n">
        <f aca="false">-$E48*N(AND(CV$3&lt;=$F48,CV$4&gt;=$F48))</f>
        <v>-0</v>
      </c>
      <c r="CW48" s="49" t="n">
        <f aca="false">-$E48*N(AND(CW$3&lt;=$F48,CW$4&gt;=$F48))</f>
        <v>-0</v>
      </c>
      <c r="CX48" s="49" t="n">
        <f aca="false">-$E48*N(AND(CX$3&lt;=$F48,CX$4&gt;=$F48))</f>
        <v>-0</v>
      </c>
      <c r="CY48" s="49" t="n">
        <f aca="false">-$E48*N(AND(CY$3&lt;=$F48,CY$4&gt;=$F48))</f>
        <v>-0</v>
      </c>
      <c r="CZ48" s="49" t="n">
        <f aca="false">-$E48*N(AND(CZ$3&lt;=$F48,CZ$4&gt;=$F48))</f>
        <v>-0</v>
      </c>
      <c r="DA48" s="49" t="n">
        <f aca="false">-$E48*N(AND(DA$3&lt;=$F48,DA$4&gt;=$F48))</f>
        <v>-0</v>
      </c>
      <c r="DB48" s="49" t="n">
        <f aca="false">-$E48*N(AND(DB$3&lt;=$F48,DB$4&gt;=$F48))</f>
        <v>-0</v>
      </c>
      <c r="DC48" s="49" t="n">
        <f aca="false">-$E48*N(AND(DC$3&lt;=$F48,DC$4&gt;=$F48))</f>
        <v>-0</v>
      </c>
      <c r="DD48" s="49" t="n">
        <f aca="false">-$E48*N(AND(DD$3&lt;=$F48,DD$4&gt;=$F48))</f>
        <v>-0</v>
      </c>
      <c r="DE48" s="49" t="n">
        <f aca="false">-$E48*N(AND(DE$3&lt;=$F48,DE$4&gt;=$F48))</f>
        <v>-0</v>
      </c>
      <c r="DF48" s="49" t="n">
        <f aca="false">-$E48*N(AND(DF$3&lt;=$F48,DF$4&gt;=$F48))</f>
        <v>-0</v>
      </c>
      <c r="DG48" s="49" t="n">
        <f aca="false">-$E48*N(AND(DG$3&lt;=$F48,DG$4&gt;=$F48))</f>
        <v>-0</v>
      </c>
      <c r="DH48" s="49" t="n">
        <f aca="false">-$E48*N(AND(DH$3&lt;=$F48,DH$4&gt;=$F48))</f>
        <v>-0</v>
      </c>
      <c r="DI48" s="49" t="n">
        <f aca="false">-$E48*N(AND(DI$3&lt;=$F48,DI$4&gt;=$F48))</f>
        <v>-0</v>
      </c>
      <c r="DJ48" s="49" t="n">
        <f aca="false">-$E48*N(AND(DJ$3&lt;=$F48,DJ$4&gt;=$F48))</f>
        <v>-0</v>
      </c>
      <c r="DK48" s="49" t="n">
        <f aca="false">-$E48*N(AND(DK$3&lt;=$F48,DK$4&gt;=$F48))</f>
        <v>-0</v>
      </c>
      <c r="DL48" s="49" t="n">
        <f aca="false">-$E48*N(AND(DL$3&lt;=$F48,DL$4&gt;=$F48))</f>
        <v>-0</v>
      </c>
      <c r="DM48" s="49" t="n">
        <f aca="false">-$E48*N(AND(DM$3&lt;=$F48,DM$4&gt;=$F48))</f>
        <v>-0</v>
      </c>
      <c r="DN48" s="49" t="n">
        <f aca="false">-$E48*N(AND(DN$3&lt;=$F48,DN$4&gt;=$F48))</f>
        <v>-0</v>
      </c>
      <c r="DO48" s="49" t="n">
        <f aca="false">-$E48*N(AND(DO$3&lt;=$F48,DO$4&gt;=$F48))</f>
        <v>-0</v>
      </c>
      <c r="DP48" s="49" t="n">
        <f aca="false">-$E48*N(AND(DP$3&lt;=$F48,DP$4&gt;=$F48))</f>
        <v>-0</v>
      </c>
      <c r="DQ48" s="49" t="n">
        <f aca="false">-$E48*N(AND(DQ$3&lt;=$F48,DQ$4&gt;=$F48))</f>
        <v>-0</v>
      </c>
      <c r="DR48" s="49" t="n">
        <f aca="false">-$E48*N(AND(DR$3&lt;=$F48,DR$4&gt;=$F48))</f>
        <v>-0</v>
      </c>
      <c r="DS48" s="49" t="n">
        <f aca="false">-$E48*N(AND(DS$3&lt;=$F48,DS$4&gt;=$F48))</f>
        <v>-0</v>
      </c>
      <c r="DT48" s="49" t="n">
        <f aca="false">-$E48*N(AND(DT$3&lt;=$F48,DT$4&gt;=$F48))</f>
        <v>-0</v>
      </c>
      <c r="DU48" s="49" t="n">
        <f aca="false">-$E48*N(AND(DU$3&lt;=$F48,DU$4&gt;=$F48))</f>
        <v>-0</v>
      </c>
      <c r="DV48" s="49" t="n">
        <f aca="false">-$E48*N(AND(DV$3&lt;=$F48,DV$4&gt;=$F48))</f>
        <v>-0</v>
      </c>
      <c r="DW48" s="49" t="n">
        <f aca="false">-$E48*N(AND(DW$3&lt;=$F48,DW$4&gt;=$F48))</f>
        <v>-0</v>
      </c>
      <c r="DX48" s="49" t="n">
        <f aca="false">-$E48*N(AND(DX$3&lt;=$F48,DX$4&gt;=$F48))</f>
        <v>-0</v>
      </c>
      <c r="DY48" s="49" t="n">
        <f aca="false">-$E48*N(AND(DY$3&lt;=$F48,DY$4&gt;=$F48))</f>
        <v>-0</v>
      </c>
      <c r="DZ48" s="49" t="n">
        <f aca="false">-$E48*N(AND(DZ$3&lt;=$F48,DZ$4&gt;=$F48))</f>
        <v>-0</v>
      </c>
      <c r="EA48" s="49" t="n">
        <f aca="false">-$E48*N(AND(EA$3&lt;=$F48,EA$4&gt;=$F48))</f>
        <v>-0</v>
      </c>
      <c r="EB48" s="49" t="n">
        <f aca="false">-$E48*N(AND(EB$3&lt;=$F48,EB$4&gt;=$F48))</f>
        <v>-0</v>
      </c>
      <c r="EC48" s="49" t="n">
        <f aca="false">-$E48*N(AND(EC$3&lt;=$F48,EC$4&gt;=$F48))</f>
        <v>-0</v>
      </c>
      <c r="ED48" s="49" t="n">
        <f aca="false">-$E48*N(AND(ED$3&lt;=$F48,ED$4&gt;=$F48))</f>
        <v>-0</v>
      </c>
      <c r="EE48" s="49" t="n">
        <f aca="false">-$E48*N(AND(EE$3&lt;=$F48,EE$4&gt;=$F48))</f>
        <v>-0</v>
      </c>
      <c r="EF48" s="49" t="n">
        <f aca="false">-$E48*N(AND(EF$3&lt;=$F48,EF$4&gt;=$F48))</f>
        <v>-0</v>
      </c>
      <c r="EG48" s="49" t="n">
        <f aca="false">-$E48*N(AND(EG$3&lt;=$F48,EG$4&gt;=$F48))</f>
        <v>-0</v>
      </c>
      <c r="EH48" s="49" t="n">
        <f aca="false">-$E48*N(AND(EH$3&lt;=$F48,EH$4&gt;=$F48))</f>
        <v>-0</v>
      </c>
      <c r="EI48" s="49" t="n">
        <f aca="false">-$E48*N(AND(EI$3&lt;=$F48,EI$4&gt;=$F48))</f>
        <v>-0</v>
      </c>
      <c r="EJ48" s="49" t="n">
        <f aca="false">-$E48*N(AND(EJ$3&lt;=$F48,EJ$4&gt;=$F48))</f>
        <v>-0</v>
      </c>
      <c r="EK48" s="49" t="n">
        <f aca="false">-$E48*N(AND(EK$3&lt;=$F48,EK$4&gt;=$F48))</f>
        <v>-0</v>
      </c>
      <c r="EL48" s="49" t="n">
        <f aca="false">-$E48*N(AND(EL$3&lt;=$F48,EL$4&gt;=$F48))</f>
        <v>-0</v>
      </c>
      <c r="EM48" s="49" t="n">
        <f aca="false">-$E48*N(AND(EM$3&lt;=$F48,EM$4&gt;=$F48))</f>
        <v>-0</v>
      </c>
      <c r="EN48" s="49" t="n">
        <f aca="false">-$E48*N(AND(EN$3&lt;=$F48,EN$4&gt;=$F48))</f>
        <v>-0</v>
      </c>
      <c r="EO48" s="49" t="n">
        <f aca="false">-$E48*N(AND(EO$3&lt;=$F48,EO$4&gt;=$F48))</f>
        <v>-0</v>
      </c>
    </row>
    <row r="49" customFormat="false" ht="15" hidden="false" customHeight="false" outlineLevel="0" collapsed="false">
      <c r="C49" s="1" t="s">
        <v>247</v>
      </c>
      <c r="D49" s="12" t="s">
        <v>33</v>
      </c>
      <c r="E49" s="19" t="n">
        <f aca="false">In_DD</f>
        <v>150</v>
      </c>
      <c r="F49" s="21" t="n">
        <f aca="false">In_Bid_Date</f>
        <v>46325</v>
      </c>
      <c r="I49" s="49" t="n">
        <f aca="false">SUM(J49:EO49)</f>
        <v>-150</v>
      </c>
      <c r="J49" s="49" t="n">
        <f aca="false">-$E49*N(AND(J$3&lt;=$F49,J$4&gt;=$F49))</f>
        <v>-150</v>
      </c>
      <c r="K49" s="49" t="n">
        <f aca="false">-$E49*N(AND(K$3&lt;=$F49,K$4&gt;=$F49))</f>
        <v>-0</v>
      </c>
      <c r="L49" s="49" t="n">
        <f aca="false">-$E49*N(AND(L$3&lt;=$F49,L$4&gt;=$F49))</f>
        <v>-0</v>
      </c>
      <c r="M49" s="49" t="n">
        <f aca="false">-$E49*N(AND(M$3&lt;=$F49,M$4&gt;=$F49))</f>
        <v>-0</v>
      </c>
      <c r="N49" s="49" t="n">
        <f aca="false">-$E49*N(AND(N$3&lt;=$F49,N$4&gt;=$F49))</f>
        <v>-0</v>
      </c>
      <c r="O49" s="49" t="n">
        <f aca="false">-$E49*N(AND(O$3&lt;=$F49,O$4&gt;=$F49))</f>
        <v>-0</v>
      </c>
      <c r="P49" s="49" t="n">
        <f aca="false">-$E49*N(AND(P$3&lt;=$F49,P$4&gt;=$F49))</f>
        <v>-0</v>
      </c>
      <c r="Q49" s="49" t="n">
        <f aca="false">-$E49*N(AND(Q$3&lt;=$F49,Q$4&gt;=$F49))</f>
        <v>-0</v>
      </c>
      <c r="R49" s="49" t="n">
        <f aca="false">-$E49*N(AND(R$3&lt;=$F49,R$4&gt;=$F49))</f>
        <v>-0</v>
      </c>
      <c r="S49" s="49" t="n">
        <f aca="false">-$E49*N(AND(S$3&lt;=$F49,S$4&gt;=$F49))</f>
        <v>-0</v>
      </c>
      <c r="T49" s="49" t="n">
        <f aca="false">-$E49*N(AND(T$3&lt;=$F49,T$4&gt;=$F49))</f>
        <v>-0</v>
      </c>
      <c r="U49" s="49" t="n">
        <f aca="false">-$E49*N(AND(U$3&lt;=$F49,U$4&gt;=$F49))</f>
        <v>-0</v>
      </c>
      <c r="V49" s="49" t="n">
        <f aca="false">-$E49*N(AND(V$3&lt;=$F49,V$4&gt;=$F49))</f>
        <v>-0</v>
      </c>
      <c r="W49" s="49" t="n">
        <f aca="false">-$E49*N(AND(W$3&lt;=$F49,W$4&gt;=$F49))</f>
        <v>-0</v>
      </c>
      <c r="X49" s="49" t="n">
        <f aca="false">-$E49*N(AND(X$3&lt;=$F49,X$4&gt;=$F49))</f>
        <v>-0</v>
      </c>
      <c r="Y49" s="49" t="n">
        <f aca="false">-$E49*N(AND(Y$3&lt;=$F49,Y$4&gt;=$F49))</f>
        <v>-0</v>
      </c>
      <c r="Z49" s="49" t="n">
        <f aca="false">-$E49*N(AND(Z$3&lt;=$F49,Z$4&gt;=$F49))</f>
        <v>-0</v>
      </c>
      <c r="AA49" s="49" t="n">
        <f aca="false">-$E49*N(AND(AA$3&lt;=$F49,AA$4&gt;=$F49))</f>
        <v>-0</v>
      </c>
      <c r="AB49" s="49" t="n">
        <f aca="false">-$E49*N(AND(AB$3&lt;=$F49,AB$4&gt;=$F49))</f>
        <v>-0</v>
      </c>
      <c r="AC49" s="49" t="n">
        <f aca="false">-$E49*N(AND(AC$3&lt;=$F49,AC$4&gt;=$F49))</f>
        <v>-0</v>
      </c>
      <c r="AD49" s="49" t="n">
        <f aca="false">-$E49*N(AND(AD$3&lt;=$F49,AD$4&gt;=$F49))</f>
        <v>-0</v>
      </c>
      <c r="AE49" s="49" t="n">
        <f aca="false">-$E49*N(AND(AE$3&lt;=$F49,AE$4&gt;=$F49))</f>
        <v>-0</v>
      </c>
      <c r="AF49" s="49" t="n">
        <f aca="false">-$E49*N(AND(AF$3&lt;=$F49,AF$4&gt;=$F49))</f>
        <v>-0</v>
      </c>
      <c r="AG49" s="49" t="n">
        <f aca="false">-$E49*N(AND(AG$3&lt;=$F49,AG$4&gt;=$F49))</f>
        <v>-0</v>
      </c>
      <c r="AH49" s="49" t="n">
        <f aca="false">-$E49*N(AND(AH$3&lt;=$F49,AH$4&gt;=$F49))</f>
        <v>-0</v>
      </c>
      <c r="AI49" s="49" t="n">
        <f aca="false">-$E49*N(AND(AI$3&lt;=$F49,AI$4&gt;=$F49))</f>
        <v>-0</v>
      </c>
      <c r="AJ49" s="49" t="n">
        <f aca="false">-$E49*N(AND(AJ$3&lt;=$F49,AJ$4&gt;=$F49))</f>
        <v>-0</v>
      </c>
      <c r="AK49" s="49" t="n">
        <f aca="false">-$E49*N(AND(AK$3&lt;=$F49,AK$4&gt;=$F49))</f>
        <v>-0</v>
      </c>
      <c r="AL49" s="49" t="n">
        <f aca="false">-$E49*N(AND(AL$3&lt;=$F49,AL$4&gt;=$F49))</f>
        <v>-0</v>
      </c>
      <c r="AM49" s="49" t="n">
        <f aca="false">-$E49*N(AND(AM$3&lt;=$F49,AM$4&gt;=$F49))</f>
        <v>-0</v>
      </c>
      <c r="AN49" s="49" t="n">
        <f aca="false">-$E49*N(AND(AN$3&lt;=$F49,AN$4&gt;=$F49))</f>
        <v>-0</v>
      </c>
      <c r="AO49" s="49" t="n">
        <f aca="false">-$E49*N(AND(AO$3&lt;=$F49,AO$4&gt;=$F49))</f>
        <v>-0</v>
      </c>
      <c r="AP49" s="49" t="n">
        <f aca="false">-$E49*N(AND(AP$3&lt;=$F49,AP$4&gt;=$F49))</f>
        <v>-0</v>
      </c>
      <c r="AQ49" s="49" t="n">
        <f aca="false">-$E49*N(AND(AQ$3&lt;=$F49,AQ$4&gt;=$F49))</f>
        <v>-0</v>
      </c>
      <c r="AR49" s="49" t="n">
        <f aca="false">-$E49*N(AND(AR$3&lt;=$F49,AR$4&gt;=$F49))</f>
        <v>-0</v>
      </c>
      <c r="AS49" s="49" t="n">
        <f aca="false">-$E49*N(AND(AS$3&lt;=$F49,AS$4&gt;=$F49))</f>
        <v>-0</v>
      </c>
      <c r="AT49" s="49" t="n">
        <f aca="false">-$E49*N(AND(AT$3&lt;=$F49,AT$4&gt;=$F49))</f>
        <v>-0</v>
      </c>
      <c r="AU49" s="49" t="n">
        <f aca="false">-$E49*N(AND(AU$3&lt;=$F49,AU$4&gt;=$F49))</f>
        <v>-0</v>
      </c>
      <c r="AV49" s="49" t="n">
        <f aca="false">-$E49*N(AND(AV$3&lt;=$F49,AV$4&gt;=$F49))</f>
        <v>-0</v>
      </c>
      <c r="AW49" s="49" t="n">
        <f aca="false">-$E49*N(AND(AW$3&lt;=$F49,AW$4&gt;=$F49))</f>
        <v>-0</v>
      </c>
      <c r="AX49" s="49" t="n">
        <f aca="false">-$E49*N(AND(AX$3&lt;=$F49,AX$4&gt;=$F49))</f>
        <v>-0</v>
      </c>
      <c r="AY49" s="49" t="n">
        <f aca="false">-$E49*N(AND(AY$3&lt;=$F49,AY$4&gt;=$F49))</f>
        <v>-0</v>
      </c>
      <c r="AZ49" s="49" t="n">
        <f aca="false">-$E49*N(AND(AZ$3&lt;=$F49,AZ$4&gt;=$F49))</f>
        <v>-0</v>
      </c>
      <c r="BA49" s="49" t="n">
        <f aca="false">-$E49*N(AND(BA$3&lt;=$F49,BA$4&gt;=$F49))</f>
        <v>-0</v>
      </c>
      <c r="BB49" s="49" t="n">
        <f aca="false">-$E49*N(AND(BB$3&lt;=$F49,BB$4&gt;=$F49))</f>
        <v>-0</v>
      </c>
      <c r="BC49" s="49" t="n">
        <f aca="false">-$E49*N(AND(BC$3&lt;=$F49,BC$4&gt;=$F49))</f>
        <v>-0</v>
      </c>
      <c r="BD49" s="49" t="n">
        <f aca="false">-$E49*N(AND(BD$3&lt;=$F49,BD$4&gt;=$F49))</f>
        <v>-0</v>
      </c>
      <c r="BE49" s="49" t="n">
        <f aca="false">-$E49*N(AND(BE$3&lt;=$F49,BE$4&gt;=$F49))</f>
        <v>-0</v>
      </c>
      <c r="BF49" s="49" t="n">
        <f aca="false">-$E49*N(AND(BF$3&lt;=$F49,BF$4&gt;=$F49))</f>
        <v>-0</v>
      </c>
      <c r="BG49" s="49" t="n">
        <f aca="false">-$E49*N(AND(BG$3&lt;=$F49,BG$4&gt;=$F49))</f>
        <v>-0</v>
      </c>
      <c r="BH49" s="49" t="n">
        <f aca="false">-$E49*N(AND(BH$3&lt;=$F49,BH$4&gt;=$F49))</f>
        <v>-0</v>
      </c>
      <c r="BI49" s="49" t="n">
        <f aca="false">-$E49*N(AND(BI$3&lt;=$F49,BI$4&gt;=$F49))</f>
        <v>-0</v>
      </c>
      <c r="BJ49" s="49" t="n">
        <f aca="false">-$E49*N(AND(BJ$3&lt;=$F49,BJ$4&gt;=$F49))</f>
        <v>-0</v>
      </c>
      <c r="BK49" s="49" t="n">
        <f aca="false">-$E49*N(AND(BK$3&lt;=$F49,BK$4&gt;=$F49))</f>
        <v>-0</v>
      </c>
      <c r="BL49" s="49" t="n">
        <f aca="false">-$E49*N(AND(BL$3&lt;=$F49,BL$4&gt;=$F49))</f>
        <v>-0</v>
      </c>
      <c r="BM49" s="49" t="n">
        <f aca="false">-$E49*N(AND(BM$3&lt;=$F49,BM$4&gt;=$F49))</f>
        <v>-0</v>
      </c>
      <c r="BN49" s="49" t="n">
        <f aca="false">-$E49*N(AND(BN$3&lt;=$F49,BN$4&gt;=$F49))</f>
        <v>-0</v>
      </c>
      <c r="BO49" s="49" t="n">
        <f aca="false">-$E49*N(AND(BO$3&lt;=$F49,BO$4&gt;=$F49))</f>
        <v>-0</v>
      </c>
      <c r="BP49" s="49" t="n">
        <f aca="false">-$E49*N(AND(BP$3&lt;=$F49,BP$4&gt;=$F49))</f>
        <v>-0</v>
      </c>
      <c r="BQ49" s="49" t="n">
        <f aca="false">-$E49*N(AND(BQ$3&lt;=$F49,BQ$4&gt;=$F49))</f>
        <v>-0</v>
      </c>
      <c r="BR49" s="49" t="n">
        <f aca="false">-$E49*N(AND(BR$3&lt;=$F49,BR$4&gt;=$F49))</f>
        <v>-0</v>
      </c>
      <c r="BS49" s="49" t="n">
        <f aca="false">-$E49*N(AND(BS$3&lt;=$F49,BS$4&gt;=$F49))</f>
        <v>-0</v>
      </c>
      <c r="BT49" s="49" t="n">
        <f aca="false">-$E49*N(AND(BT$3&lt;=$F49,BT$4&gt;=$F49))</f>
        <v>-0</v>
      </c>
      <c r="BU49" s="49" t="n">
        <f aca="false">-$E49*N(AND(BU$3&lt;=$F49,BU$4&gt;=$F49))</f>
        <v>-0</v>
      </c>
      <c r="BV49" s="49" t="n">
        <f aca="false">-$E49*N(AND(BV$3&lt;=$F49,BV$4&gt;=$F49))</f>
        <v>-0</v>
      </c>
      <c r="BW49" s="49" t="n">
        <f aca="false">-$E49*N(AND(BW$3&lt;=$F49,BW$4&gt;=$F49))</f>
        <v>-0</v>
      </c>
      <c r="BX49" s="49" t="n">
        <f aca="false">-$E49*N(AND(BX$3&lt;=$F49,BX$4&gt;=$F49))</f>
        <v>-0</v>
      </c>
      <c r="BY49" s="49" t="n">
        <f aca="false">-$E49*N(AND(BY$3&lt;=$F49,BY$4&gt;=$F49))</f>
        <v>-0</v>
      </c>
      <c r="BZ49" s="49" t="n">
        <f aca="false">-$E49*N(AND(BZ$3&lt;=$F49,BZ$4&gt;=$F49))</f>
        <v>-0</v>
      </c>
      <c r="CA49" s="49" t="n">
        <f aca="false">-$E49*N(AND(CA$3&lt;=$F49,CA$4&gt;=$F49))</f>
        <v>-0</v>
      </c>
      <c r="CB49" s="49" t="n">
        <f aca="false">-$E49*N(AND(CB$3&lt;=$F49,CB$4&gt;=$F49))</f>
        <v>-0</v>
      </c>
      <c r="CC49" s="49" t="n">
        <f aca="false">-$E49*N(AND(CC$3&lt;=$F49,CC$4&gt;=$F49))</f>
        <v>-0</v>
      </c>
      <c r="CD49" s="49" t="n">
        <f aca="false">-$E49*N(AND(CD$3&lt;=$F49,CD$4&gt;=$F49))</f>
        <v>-0</v>
      </c>
      <c r="CE49" s="49" t="n">
        <f aca="false">-$E49*N(AND(CE$3&lt;=$F49,CE$4&gt;=$F49))</f>
        <v>-0</v>
      </c>
      <c r="CF49" s="49" t="n">
        <f aca="false">-$E49*N(AND(CF$3&lt;=$F49,CF$4&gt;=$F49))</f>
        <v>-0</v>
      </c>
      <c r="CG49" s="49" t="n">
        <f aca="false">-$E49*N(AND(CG$3&lt;=$F49,CG$4&gt;=$F49))</f>
        <v>-0</v>
      </c>
      <c r="CH49" s="49" t="n">
        <f aca="false">-$E49*N(AND(CH$3&lt;=$F49,CH$4&gt;=$F49))</f>
        <v>-0</v>
      </c>
      <c r="CI49" s="49" t="n">
        <f aca="false">-$E49*N(AND(CI$3&lt;=$F49,CI$4&gt;=$F49))</f>
        <v>-0</v>
      </c>
      <c r="CJ49" s="49" t="n">
        <f aca="false">-$E49*N(AND(CJ$3&lt;=$F49,CJ$4&gt;=$F49))</f>
        <v>-0</v>
      </c>
      <c r="CK49" s="49" t="n">
        <f aca="false">-$E49*N(AND(CK$3&lt;=$F49,CK$4&gt;=$F49))</f>
        <v>-0</v>
      </c>
      <c r="CL49" s="49" t="n">
        <f aca="false">-$E49*N(AND(CL$3&lt;=$F49,CL$4&gt;=$F49))</f>
        <v>-0</v>
      </c>
      <c r="CM49" s="49" t="n">
        <f aca="false">-$E49*N(AND(CM$3&lt;=$F49,CM$4&gt;=$F49))</f>
        <v>-0</v>
      </c>
      <c r="CN49" s="49" t="n">
        <f aca="false">-$E49*N(AND(CN$3&lt;=$F49,CN$4&gt;=$F49))</f>
        <v>-0</v>
      </c>
      <c r="CO49" s="49" t="n">
        <f aca="false">-$E49*N(AND(CO$3&lt;=$F49,CO$4&gt;=$F49))</f>
        <v>-0</v>
      </c>
      <c r="CP49" s="49" t="n">
        <f aca="false">-$E49*N(AND(CP$3&lt;=$F49,CP$4&gt;=$F49))</f>
        <v>-0</v>
      </c>
      <c r="CQ49" s="49" t="n">
        <f aca="false">-$E49*N(AND(CQ$3&lt;=$F49,CQ$4&gt;=$F49))</f>
        <v>-0</v>
      </c>
      <c r="CR49" s="49" t="n">
        <f aca="false">-$E49*N(AND(CR$3&lt;=$F49,CR$4&gt;=$F49))</f>
        <v>-0</v>
      </c>
      <c r="CS49" s="49" t="n">
        <f aca="false">-$E49*N(AND(CS$3&lt;=$F49,CS$4&gt;=$F49))</f>
        <v>-0</v>
      </c>
      <c r="CT49" s="49" t="n">
        <f aca="false">-$E49*N(AND(CT$3&lt;=$F49,CT$4&gt;=$F49))</f>
        <v>-0</v>
      </c>
      <c r="CU49" s="49" t="n">
        <f aca="false">-$E49*N(AND(CU$3&lt;=$F49,CU$4&gt;=$F49))</f>
        <v>-0</v>
      </c>
      <c r="CV49" s="49" t="n">
        <f aca="false">-$E49*N(AND(CV$3&lt;=$F49,CV$4&gt;=$F49))</f>
        <v>-0</v>
      </c>
      <c r="CW49" s="49" t="n">
        <f aca="false">-$E49*N(AND(CW$3&lt;=$F49,CW$4&gt;=$F49))</f>
        <v>-0</v>
      </c>
      <c r="CX49" s="49" t="n">
        <f aca="false">-$E49*N(AND(CX$3&lt;=$F49,CX$4&gt;=$F49))</f>
        <v>-0</v>
      </c>
      <c r="CY49" s="49" t="n">
        <f aca="false">-$E49*N(AND(CY$3&lt;=$F49,CY$4&gt;=$F49))</f>
        <v>-0</v>
      </c>
      <c r="CZ49" s="49" t="n">
        <f aca="false">-$E49*N(AND(CZ$3&lt;=$F49,CZ$4&gt;=$F49))</f>
        <v>-0</v>
      </c>
      <c r="DA49" s="49" t="n">
        <f aca="false">-$E49*N(AND(DA$3&lt;=$F49,DA$4&gt;=$F49))</f>
        <v>-0</v>
      </c>
      <c r="DB49" s="49" t="n">
        <f aca="false">-$E49*N(AND(DB$3&lt;=$F49,DB$4&gt;=$F49))</f>
        <v>-0</v>
      </c>
      <c r="DC49" s="49" t="n">
        <f aca="false">-$E49*N(AND(DC$3&lt;=$F49,DC$4&gt;=$F49))</f>
        <v>-0</v>
      </c>
      <c r="DD49" s="49" t="n">
        <f aca="false">-$E49*N(AND(DD$3&lt;=$F49,DD$4&gt;=$F49))</f>
        <v>-0</v>
      </c>
      <c r="DE49" s="49" t="n">
        <f aca="false">-$E49*N(AND(DE$3&lt;=$F49,DE$4&gt;=$F49))</f>
        <v>-0</v>
      </c>
      <c r="DF49" s="49" t="n">
        <f aca="false">-$E49*N(AND(DF$3&lt;=$F49,DF$4&gt;=$F49))</f>
        <v>-0</v>
      </c>
      <c r="DG49" s="49" t="n">
        <f aca="false">-$E49*N(AND(DG$3&lt;=$F49,DG$4&gt;=$F49))</f>
        <v>-0</v>
      </c>
      <c r="DH49" s="49" t="n">
        <f aca="false">-$E49*N(AND(DH$3&lt;=$F49,DH$4&gt;=$F49))</f>
        <v>-0</v>
      </c>
      <c r="DI49" s="49" t="n">
        <f aca="false">-$E49*N(AND(DI$3&lt;=$F49,DI$4&gt;=$F49))</f>
        <v>-0</v>
      </c>
      <c r="DJ49" s="49" t="n">
        <f aca="false">-$E49*N(AND(DJ$3&lt;=$F49,DJ$4&gt;=$F49))</f>
        <v>-0</v>
      </c>
      <c r="DK49" s="49" t="n">
        <f aca="false">-$E49*N(AND(DK$3&lt;=$F49,DK$4&gt;=$F49))</f>
        <v>-0</v>
      </c>
      <c r="DL49" s="49" t="n">
        <f aca="false">-$E49*N(AND(DL$3&lt;=$F49,DL$4&gt;=$F49))</f>
        <v>-0</v>
      </c>
      <c r="DM49" s="49" t="n">
        <f aca="false">-$E49*N(AND(DM$3&lt;=$F49,DM$4&gt;=$F49))</f>
        <v>-0</v>
      </c>
      <c r="DN49" s="49" t="n">
        <f aca="false">-$E49*N(AND(DN$3&lt;=$F49,DN$4&gt;=$F49))</f>
        <v>-0</v>
      </c>
      <c r="DO49" s="49" t="n">
        <f aca="false">-$E49*N(AND(DO$3&lt;=$F49,DO$4&gt;=$F49))</f>
        <v>-0</v>
      </c>
      <c r="DP49" s="49" t="n">
        <f aca="false">-$E49*N(AND(DP$3&lt;=$F49,DP$4&gt;=$F49))</f>
        <v>-0</v>
      </c>
      <c r="DQ49" s="49" t="n">
        <f aca="false">-$E49*N(AND(DQ$3&lt;=$F49,DQ$4&gt;=$F49))</f>
        <v>-0</v>
      </c>
      <c r="DR49" s="49" t="n">
        <f aca="false">-$E49*N(AND(DR$3&lt;=$F49,DR$4&gt;=$F49))</f>
        <v>-0</v>
      </c>
      <c r="DS49" s="49" t="n">
        <f aca="false">-$E49*N(AND(DS$3&lt;=$F49,DS$4&gt;=$F49))</f>
        <v>-0</v>
      </c>
      <c r="DT49" s="49" t="n">
        <f aca="false">-$E49*N(AND(DT$3&lt;=$F49,DT$4&gt;=$F49))</f>
        <v>-0</v>
      </c>
      <c r="DU49" s="49" t="n">
        <f aca="false">-$E49*N(AND(DU$3&lt;=$F49,DU$4&gt;=$F49))</f>
        <v>-0</v>
      </c>
      <c r="DV49" s="49" t="n">
        <f aca="false">-$E49*N(AND(DV$3&lt;=$F49,DV$4&gt;=$F49))</f>
        <v>-0</v>
      </c>
      <c r="DW49" s="49" t="n">
        <f aca="false">-$E49*N(AND(DW$3&lt;=$F49,DW$4&gt;=$F49))</f>
        <v>-0</v>
      </c>
      <c r="DX49" s="49" t="n">
        <f aca="false">-$E49*N(AND(DX$3&lt;=$F49,DX$4&gt;=$F49))</f>
        <v>-0</v>
      </c>
      <c r="DY49" s="49" t="n">
        <f aca="false">-$E49*N(AND(DY$3&lt;=$F49,DY$4&gt;=$F49))</f>
        <v>-0</v>
      </c>
      <c r="DZ49" s="49" t="n">
        <f aca="false">-$E49*N(AND(DZ$3&lt;=$F49,DZ$4&gt;=$F49))</f>
        <v>-0</v>
      </c>
      <c r="EA49" s="49" t="n">
        <f aca="false">-$E49*N(AND(EA$3&lt;=$F49,EA$4&gt;=$F49))</f>
        <v>-0</v>
      </c>
      <c r="EB49" s="49" t="n">
        <f aca="false">-$E49*N(AND(EB$3&lt;=$F49,EB$4&gt;=$F49))</f>
        <v>-0</v>
      </c>
      <c r="EC49" s="49" t="n">
        <f aca="false">-$E49*N(AND(EC$3&lt;=$F49,EC$4&gt;=$F49))</f>
        <v>-0</v>
      </c>
      <c r="ED49" s="49" t="n">
        <f aca="false">-$E49*N(AND(ED$3&lt;=$F49,ED$4&gt;=$F49))</f>
        <v>-0</v>
      </c>
      <c r="EE49" s="49" t="n">
        <f aca="false">-$E49*N(AND(EE$3&lt;=$F49,EE$4&gt;=$F49))</f>
        <v>-0</v>
      </c>
      <c r="EF49" s="49" t="n">
        <f aca="false">-$E49*N(AND(EF$3&lt;=$F49,EF$4&gt;=$F49))</f>
        <v>-0</v>
      </c>
      <c r="EG49" s="49" t="n">
        <f aca="false">-$E49*N(AND(EG$3&lt;=$F49,EG$4&gt;=$F49))</f>
        <v>-0</v>
      </c>
      <c r="EH49" s="49" t="n">
        <f aca="false">-$E49*N(AND(EH$3&lt;=$F49,EH$4&gt;=$F49))</f>
        <v>-0</v>
      </c>
      <c r="EI49" s="49" t="n">
        <f aca="false">-$E49*N(AND(EI$3&lt;=$F49,EI$4&gt;=$F49))</f>
        <v>-0</v>
      </c>
      <c r="EJ49" s="49" t="n">
        <f aca="false">-$E49*N(AND(EJ$3&lt;=$F49,EJ$4&gt;=$F49))</f>
        <v>-0</v>
      </c>
      <c r="EK49" s="49" t="n">
        <f aca="false">-$E49*N(AND(EK$3&lt;=$F49,EK$4&gt;=$F49))</f>
        <v>-0</v>
      </c>
      <c r="EL49" s="49" t="n">
        <f aca="false">-$E49*N(AND(EL$3&lt;=$F49,EL$4&gt;=$F49))</f>
        <v>-0</v>
      </c>
      <c r="EM49" s="49" t="n">
        <f aca="false">-$E49*N(AND(EM$3&lt;=$F49,EM$4&gt;=$F49))</f>
        <v>-0</v>
      </c>
      <c r="EN49" s="49" t="n">
        <f aca="false">-$E49*N(AND(EN$3&lt;=$F49,EN$4&gt;=$F49))</f>
        <v>-0</v>
      </c>
      <c r="EO49" s="49" t="n">
        <f aca="false">-$E49*N(AND(EO$3&lt;=$F49,EO$4&gt;=$F49))</f>
        <v>-0</v>
      </c>
    </row>
    <row r="50" customFormat="false" ht="15" hidden="false" customHeight="false" outlineLevel="0" collapsed="false">
      <c r="C50" s="1" t="s">
        <v>446</v>
      </c>
      <c r="D50" s="12" t="s">
        <v>33</v>
      </c>
      <c r="I50" s="49" t="n">
        <f aca="false">SUM(J50:EO50)</f>
        <v>-500</v>
      </c>
      <c r="J50" s="49" t="n">
        <f aca="false">-In_Devex*J13</f>
        <v>-0</v>
      </c>
      <c r="K50" s="49" t="n">
        <f aca="false">-In_Devex*K13</f>
        <v>-70.4225352112676</v>
      </c>
      <c r="L50" s="49" t="n">
        <f aca="false">-In_Devex*L13</f>
        <v>-71.2050078247261</v>
      </c>
      <c r="M50" s="49" t="n">
        <f aca="false">-In_Devex*M13</f>
        <v>-71.9874804381847</v>
      </c>
      <c r="N50" s="49" t="n">
        <f aca="false">-In_Devex*N13</f>
        <v>-71.9874804381847</v>
      </c>
      <c r="O50" s="49" t="n">
        <f aca="false">-In_Devex*O13</f>
        <v>-71.2050078247261</v>
      </c>
      <c r="P50" s="49" t="n">
        <f aca="false">-In_Devex*P13</f>
        <v>-71.2050078247261</v>
      </c>
      <c r="Q50" s="49" t="n">
        <f aca="false">-In_Devex*Q13</f>
        <v>-71.9874804381847</v>
      </c>
      <c r="R50" s="49" t="n">
        <f aca="false">-In_Devex*R13</f>
        <v>-0</v>
      </c>
      <c r="S50" s="49" t="n">
        <f aca="false">-In_Devex*S13</f>
        <v>-0</v>
      </c>
      <c r="T50" s="49" t="n">
        <f aca="false">-In_Devex*T13</f>
        <v>-0</v>
      </c>
      <c r="U50" s="49" t="n">
        <f aca="false">-In_Devex*U13</f>
        <v>-0</v>
      </c>
      <c r="V50" s="49" t="n">
        <f aca="false">-In_Devex*V13</f>
        <v>-0</v>
      </c>
      <c r="W50" s="49" t="n">
        <f aca="false">-In_Devex*W13</f>
        <v>-0</v>
      </c>
      <c r="X50" s="49" t="n">
        <f aca="false">-In_Devex*X13</f>
        <v>-0</v>
      </c>
      <c r="Y50" s="49" t="n">
        <f aca="false">-In_Devex*Y13</f>
        <v>-0</v>
      </c>
      <c r="Z50" s="49" t="n">
        <f aca="false">-In_Devex*Z13</f>
        <v>-0</v>
      </c>
      <c r="AA50" s="49" t="n">
        <f aca="false">-In_Devex*AA13</f>
        <v>-0</v>
      </c>
      <c r="AB50" s="49" t="n">
        <f aca="false">-In_Devex*AB13</f>
        <v>-0</v>
      </c>
      <c r="AC50" s="49" t="n">
        <f aca="false">-In_Devex*AC13</f>
        <v>-0</v>
      </c>
      <c r="AD50" s="49" t="n">
        <f aca="false">-In_Devex*AD13</f>
        <v>-0</v>
      </c>
      <c r="AE50" s="49" t="n">
        <f aca="false">-In_Devex*AE13</f>
        <v>-0</v>
      </c>
      <c r="AF50" s="49" t="n">
        <f aca="false">-In_Devex*AF13</f>
        <v>-0</v>
      </c>
      <c r="AG50" s="49" t="n">
        <f aca="false">-In_Devex*AG13</f>
        <v>-0</v>
      </c>
      <c r="AH50" s="49" t="n">
        <f aca="false">-In_Devex*AH13</f>
        <v>-0</v>
      </c>
      <c r="AI50" s="49" t="n">
        <f aca="false">-In_Devex*AI13</f>
        <v>-0</v>
      </c>
      <c r="AJ50" s="49" t="n">
        <f aca="false">-In_Devex*AJ13</f>
        <v>-0</v>
      </c>
      <c r="AK50" s="49" t="n">
        <f aca="false">-In_Devex*AK13</f>
        <v>-0</v>
      </c>
      <c r="AL50" s="49" t="n">
        <f aca="false">-In_Devex*AL13</f>
        <v>-0</v>
      </c>
      <c r="AM50" s="49" t="n">
        <f aca="false">-In_Devex*AM13</f>
        <v>-0</v>
      </c>
      <c r="AN50" s="49" t="n">
        <f aca="false">-In_Devex*AN13</f>
        <v>-0</v>
      </c>
      <c r="AO50" s="49" t="n">
        <f aca="false">-In_Devex*AO13</f>
        <v>-0</v>
      </c>
      <c r="AP50" s="49" t="n">
        <f aca="false">-In_Devex*AP13</f>
        <v>-0</v>
      </c>
      <c r="AQ50" s="49" t="n">
        <f aca="false">-In_Devex*AQ13</f>
        <v>-0</v>
      </c>
      <c r="AR50" s="49" t="n">
        <f aca="false">-In_Devex*AR13</f>
        <v>-0</v>
      </c>
      <c r="AS50" s="49" t="n">
        <f aca="false">-In_Devex*AS13</f>
        <v>-0</v>
      </c>
      <c r="AT50" s="49" t="n">
        <f aca="false">-In_Devex*AT13</f>
        <v>-0</v>
      </c>
      <c r="AU50" s="49" t="n">
        <f aca="false">-In_Devex*AU13</f>
        <v>-0</v>
      </c>
      <c r="AV50" s="49" t="n">
        <f aca="false">-In_Devex*AV13</f>
        <v>-0</v>
      </c>
      <c r="AW50" s="49" t="n">
        <f aca="false">-In_Devex*AW13</f>
        <v>-0</v>
      </c>
      <c r="AX50" s="49" t="n">
        <f aca="false">-In_Devex*AX13</f>
        <v>-0</v>
      </c>
      <c r="AY50" s="49" t="n">
        <f aca="false">-In_Devex*AY13</f>
        <v>-0</v>
      </c>
      <c r="AZ50" s="49" t="n">
        <f aca="false">-In_Devex*AZ13</f>
        <v>-0</v>
      </c>
      <c r="BA50" s="49" t="n">
        <f aca="false">-In_Devex*BA13</f>
        <v>-0</v>
      </c>
      <c r="BB50" s="49" t="n">
        <f aca="false">-In_Devex*BB13</f>
        <v>-0</v>
      </c>
      <c r="BC50" s="49" t="n">
        <f aca="false">-In_Devex*BC13</f>
        <v>-0</v>
      </c>
      <c r="BD50" s="49" t="n">
        <f aca="false">-In_Devex*BD13</f>
        <v>-0</v>
      </c>
      <c r="BE50" s="49" t="n">
        <f aca="false">-In_Devex*BE13</f>
        <v>-0</v>
      </c>
      <c r="BF50" s="49" t="n">
        <f aca="false">-In_Devex*BF13</f>
        <v>-0</v>
      </c>
      <c r="BG50" s="49" t="n">
        <f aca="false">-In_Devex*BG13</f>
        <v>-0</v>
      </c>
      <c r="BH50" s="49" t="n">
        <f aca="false">-In_Devex*BH13</f>
        <v>-0</v>
      </c>
      <c r="BI50" s="49" t="n">
        <f aca="false">-In_Devex*BI13</f>
        <v>-0</v>
      </c>
      <c r="BJ50" s="49" t="n">
        <f aca="false">-In_Devex*BJ13</f>
        <v>-0</v>
      </c>
      <c r="BK50" s="49" t="n">
        <f aca="false">-In_Devex*BK13</f>
        <v>-0</v>
      </c>
      <c r="BL50" s="49" t="n">
        <f aca="false">-In_Devex*BL13</f>
        <v>-0</v>
      </c>
      <c r="BM50" s="49" t="n">
        <f aca="false">-In_Devex*BM13</f>
        <v>-0</v>
      </c>
      <c r="BN50" s="49" t="n">
        <f aca="false">-In_Devex*BN13</f>
        <v>-0</v>
      </c>
      <c r="BO50" s="49" t="n">
        <f aca="false">-In_Devex*BO13</f>
        <v>-0</v>
      </c>
      <c r="BP50" s="49" t="n">
        <f aca="false">-In_Devex*BP13</f>
        <v>-0</v>
      </c>
      <c r="BQ50" s="49" t="n">
        <f aca="false">-In_Devex*BQ13</f>
        <v>-0</v>
      </c>
      <c r="BR50" s="49" t="n">
        <f aca="false">-In_Devex*BR13</f>
        <v>-0</v>
      </c>
      <c r="BS50" s="49" t="n">
        <f aca="false">-In_Devex*BS13</f>
        <v>-0</v>
      </c>
      <c r="BT50" s="49" t="n">
        <f aca="false">-In_Devex*BT13</f>
        <v>-0</v>
      </c>
      <c r="BU50" s="49" t="n">
        <f aca="false">-In_Devex*BU13</f>
        <v>-0</v>
      </c>
      <c r="BV50" s="49" t="n">
        <f aca="false">-In_Devex*BV13</f>
        <v>-0</v>
      </c>
      <c r="BW50" s="49" t="n">
        <f aca="false">-In_Devex*BW13</f>
        <v>-0</v>
      </c>
      <c r="BX50" s="49" t="n">
        <f aca="false">-In_Devex*BX13</f>
        <v>-0</v>
      </c>
      <c r="BY50" s="49" t="n">
        <f aca="false">-In_Devex*BY13</f>
        <v>-0</v>
      </c>
      <c r="BZ50" s="49" t="n">
        <f aca="false">-In_Devex*BZ13</f>
        <v>-0</v>
      </c>
      <c r="CA50" s="49" t="n">
        <f aca="false">-In_Devex*CA13</f>
        <v>-0</v>
      </c>
      <c r="CB50" s="49" t="n">
        <f aca="false">-In_Devex*CB13</f>
        <v>-0</v>
      </c>
      <c r="CC50" s="49" t="n">
        <f aca="false">-In_Devex*CC13</f>
        <v>-0</v>
      </c>
      <c r="CD50" s="49" t="n">
        <f aca="false">-In_Devex*CD13</f>
        <v>-0</v>
      </c>
      <c r="CE50" s="49" t="n">
        <f aca="false">-In_Devex*CE13</f>
        <v>-0</v>
      </c>
      <c r="CF50" s="49" t="n">
        <f aca="false">-In_Devex*CF13</f>
        <v>-0</v>
      </c>
      <c r="CG50" s="49" t="n">
        <f aca="false">-In_Devex*CG13</f>
        <v>-0</v>
      </c>
      <c r="CH50" s="49" t="n">
        <f aca="false">-In_Devex*CH13</f>
        <v>-0</v>
      </c>
      <c r="CI50" s="49" t="n">
        <f aca="false">-In_Devex*CI13</f>
        <v>-0</v>
      </c>
      <c r="CJ50" s="49" t="n">
        <f aca="false">-In_Devex*CJ13</f>
        <v>-0</v>
      </c>
      <c r="CK50" s="49" t="n">
        <f aca="false">-In_Devex*CK13</f>
        <v>-0</v>
      </c>
      <c r="CL50" s="49" t="n">
        <f aca="false">-In_Devex*CL13</f>
        <v>-0</v>
      </c>
      <c r="CM50" s="49" t="n">
        <f aca="false">-In_Devex*CM13</f>
        <v>-0</v>
      </c>
      <c r="CN50" s="49" t="n">
        <f aca="false">-In_Devex*CN13</f>
        <v>-0</v>
      </c>
      <c r="CO50" s="49" t="n">
        <f aca="false">-In_Devex*CO13</f>
        <v>-0</v>
      </c>
      <c r="CP50" s="49" t="n">
        <f aca="false">-In_Devex*CP13</f>
        <v>-0</v>
      </c>
      <c r="CQ50" s="49" t="n">
        <f aca="false">-In_Devex*CQ13</f>
        <v>-0</v>
      </c>
      <c r="CR50" s="49" t="n">
        <f aca="false">-In_Devex*CR13</f>
        <v>-0</v>
      </c>
      <c r="CS50" s="49" t="n">
        <f aca="false">-In_Devex*CS13</f>
        <v>-0</v>
      </c>
      <c r="CT50" s="49" t="n">
        <f aca="false">-In_Devex*CT13</f>
        <v>-0</v>
      </c>
      <c r="CU50" s="49" t="n">
        <f aca="false">-In_Devex*CU13</f>
        <v>-0</v>
      </c>
      <c r="CV50" s="49" t="n">
        <f aca="false">-In_Devex*CV13</f>
        <v>-0</v>
      </c>
      <c r="CW50" s="49" t="n">
        <f aca="false">-In_Devex*CW13</f>
        <v>-0</v>
      </c>
      <c r="CX50" s="49" t="n">
        <f aca="false">-In_Devex*CX13</f>
        <v>-0</v>
      </c>
      <c r="CY50" s="49" t="n">
        <f aca="false">-In_Devex*CY13</f>
        <v>-0</v>
      </c>
      <c r="CZ50" s="49" t="n">
        <f aca="false">-In_Devex*CZ13</f>
        <v>-0</v>
      </c>
      <c r="DA50" s="49" t="n">
        <f aca="false">-In_Devex*DA13</f>
        <v>-0</v>
      </c>
      <c r="DB50" s="49" t="n">
        <f aca="false">-In_Devex*DB13</f>
        <v>-0</v>
      </c>
      <c r="DC50" s="49" t="n">
        <f aca="false">-In_Devex*DC13</f>
        <v>-0</v>
      </c>
      <c r="DD50" s="49" t="n">
        <f aca="false">-In_Devex*DD13</f>
        <v>-0</v>
      </c>
      <c r="DE50" s="49" t="n">
        <f aca="false">-In_Devex*DE13</f>
        <v>-0</v>
      </c>
      <c r="DF50" s="49" t="n">
        <f aca="false">-In_Devex*DF13</f>
        <v>-0</v>
      </c>
      <c r="DG50" s="49" t="n">
        <f aca="false">-In_Devex*DG13</f>
        <v>-0</v>
      </c>
      <c r="DH50" s="49" t="n">
        <f aca="false">-In_Devex*DH13</f>
        <v>-0</v>
      </c>
      <c r="DI50" s="49" t="n">
        <f aca="false">-In_Devex*DI13</f>
        <v>-0</v>
      </c>
      <c r="DJ50" s="49" t="n">
        <f aca="false">-In_Devex*DJ13</f>
        <v>-0</v>
      </c>
      <c r="DK50" s="49" t="n">
        <f aca="false">-In_Devex*DK13</f>
        <v>-0</v>
      </c>
      <c r="DL50" s="49" t="n">
        <f aca="false">-In_Devex*DL13</f>
        <v>-0</v>
      </c>
      <c r="DM50" s="49" t="n">
        <f aca="false">-In_Devex*DM13</f>
        <v>-0</v>
      </c>
      <c r="DN50" s="49" t="n">
        <f aca="false">-In_Devex*DN13</f>
        <v>-0</v>
      </c>
      <c r="DO50" s="49" t="n">
        <f aca="false">-In_Devex*DO13</f>
        <v>-0</v>
      </c>
      <c r="DP50" s="49" t="n">
        <f aca="false">-In_Devex*DP13</f>
        <v>-0</v>
      </c>
      <c r="DQ50" s="49" t="n">
        <f aca="false">-In_Devex*DQ13</f>
        <v>-0</v>
      </c>
      <c r="DR50" s="49" t="n">
        <f aca="false">-In_Devex*DR13</f>
        <v>-0</v>
      </c>
      <c r="DS50" s="49" t="n">
        <f aca="false">-In_Devex*DS13</f>
        <v>-0</v>
      </c>
      <c r="DT50" s="49" t="n">
        <f aca="false">-In_Devex*DT13</f>
        <v>-0</v>
      </c>
      <c r="DU50" s="49" t="n">
        <f aca="false">-In_Devex*DU13</f>
        <v>-0</v>
      </c>
      <c r="DV50" s="49" t="n">
        <f aca="false">-In_Devex*DV13</f>
        <v>-0</v>
      </c>
      <c r="DW50" s="49" t="n">
        <f aca="false">-In_Devex*DW13</f>
        <v>-0</v>
      </c>
      <c r="DX50" s="49" t="n">
        <f aca="false">-In_Devex*DX13</f>
        <v>-0</v>
      </c>
      <c r="DY50" s="49" t="n">
        <f aca="false">-In_Devex*DY13</f>
        <v>-0</v>
      </c>
      <c r="DZ50" s="49" t="n">
        <f aca="false">-In_Devex*DZ13</f>
        <v>-0</v>
      </c>
      <c r="EA50" s="49" t="n">
        <f aca="false">-In_Devex*EA13</f>
        <v>-0</v>
      </c>
      <c r="EB50" s="49" t="n">
        <f aca="false">-In_Devex*EB13</f>
        <v>-0</v>
      </c>
      <c r="EC50" s="49" t="n">
        <f aca="false">-In_Devex*EC13</f>
        <v>-0</v>
      </c>
      <c r="ED50" s="49" t="n">
        <f aca="false">-In_Devex*ED13</f>
        <v>-0</v>
      </c>
      <c r="EE50" s="49" t="n">
        <f aca="false">-In_Devex*EE13</f>
        <v>-0</v>
      </c>
      <c r="EF50" s="49" t="n">
        <f aca="false">-In_Devex*EF13</f>
        <v>-0</v>
      </c>
      <c r="EG50" s="49" t="n">
        <f aca="false">-In_Devex*EG13</f>
        <v>-0</v>
      </c>
      <c r="EH50" s="49" t="n">
        <f aca="false">-In_Devex*EH13</f>
        <v>-0</v>
      </c>
      <c r="EI50" s="49" t="n">
        <f aca="false">-In_Devex*EI13</f>
        <v>-0</v>
      </c>
      <c r="EJ50" s="49" t="n">
        <f aca="false">-In_Devex*EJ13</f>
        <v>-0</v>
      </c>
      <c r="EK50" s="49" t="n">
        <f aca="false">-In_Devex*EK13</f>
        <v>-0</v>
      </c>
      <c r="EL50" s="49" t="n">
        <f aca="false">-In_Devex*EL13</f>
        <v>-0</v>
      </c>
      <c r="EM50" s="49" t="n">
        <f aca="false">-In_Devex*EM13</f>
        <v>-0</v>
      </c>
      <c r="EN50" s="49" t="n">
        <f aca="false">-In_Devex*EN13</f>
        <v>-0</v>
      </c>
      <c r="EO50" s="49" t="n">
        <f aca="false">-In_Devex*EO13</f>
        <v>-0</v>
      </c>
    </row>
    <row r="51" customFormat="false" ht="15" hidden="false" customHeight="false" outlineLevel="0" collapsed="false">
      <c r="C51" s="1" t="s">
        <v>447</v>
      </c>
      <c r="D51" s="12" t="s">
        <v>300</v>
      </c>
      <c r="E51" s="49" t="n">
        <f aca="false">$E25*In_Bench_Wind+$E28*In_Bench_BESS</f>
        <v>32360</v>
      </c>
    </row>
    <row r="52" customFormat="false" ht="15" hidden="false" customHeight="false" outlineLevel="0" collapsed="false">
      <c r="C52" s="1" t="s">
        <v>448</v>
      </c>
      <c r="D52" s="12" t="s">
        <v>33</v>
      </c>
      <c r="E52" s="49" t="n">
        <f aca="false">In_Part_Fee*Thousand/In_FX</f>
        <v>8.21917808219178</v>
      </c>
      <c r="F52" s="21" t="n">
        <f aca="false">In_Bid_Date</f>
        <v>46325</v>
      </c>
      <c r="I52" s="49" t="n">
        <f aca="false">SUM(J52:EO52)</f>
        <v>-8.21917808219178</v>
      </c>
      <c r="J52" s="49" t="n">
        <f aca="false">-$E52*N(AND(J$3&lt;=$F52,J$4&gt;=$F52))</f>
        <v>-8.21917808219178</v>
      </c>
      <c r="K52" s="49" t="n">
        <f aca="false">-$E52*N(AND(K$3&lt;=$F52,K$4&gt;=$F52))</f>
        <v>-0</v>
      </c>
      <c r="L52" s="49" t="n">
        <f aca="false">-$E52*N(AND(L$3&lt;=$F52,L$4&gt;=$F52))</f>
        <v>-0</v>
      </c>
      <c r="M52" s="49" t="n">
        <f aca="false">-$E52*N(AND(M$3&lt;=$F52,M$4&gt;=$F52))</f>
        <v>-0</v>
      </c>
      <c r="N52" s="49" t="n">
        <f aca="false">-$E52*N(AND(N$3&lt;=$F52,N$4&gt;=$F52))</f>
        <v>-0</v>
      </c>
      <c r="O52" s="49" t="n">
        <f aca="false">-$E52*N(AND(O$3&lt;=$F52,O$4&gt;=$F52))</f>
        <v>-0</v>
      </c>
      <c r="P52" s="49" t="n">
        <f aca="false">-$E52*N(AND(P$3&lt;=$F52,P$4&gt;=$F52))</f>
        <v>-0</v>
      </c>
      <c r="Q52" s="49" t="n">
        <f aca="false">-$E52*N(AND(Q$3&lt;=$F52,Q$4&gt;=$F52))</f>
        <v>-0</v>
      </c>
      <c r="R52" s="49" t="n">
        <f aca="false">-$E52*N(AND(R$3&lt;=$F52,R$4&gt;=$F52))</f>
        <v>-0</v>
      </c>
      <c r="S52" s="49" t="n">
        <f aca="false">-$E52*N(AND(S$3&lt;=$F52,S$4&gt;=$F52))</f>
        <v>-0</v>
      </c>
      <c r="T52" s="49" t="n">
        <f aca="false">-$E52*N(AND(T$3&lt;=$F52,T$4&gt;=$F52))</f>
        <v>-0</v>
      </c>
      <c r="U52" s="49" t="n">
        <f aca="false">-$E52*N(AND(U$3&lt;=$F52,U$4&gt;=$F52))</f>
        <v>-0</v>
      </c>
      <c r="V52" s="49" t="n">
        <f aca="false">-$E52*N(AND(V$3&lt;=$F52,V$4&gt;=$F52))</f>
        <v>-0</v>
      </c>
      <c r="W52" s="49" t="n">
        <f aca="false">-$E52*N(AND(W$3&lt;=$F52,W$4&gt;=$F52))</f>
        <v>-0</v>
      </c>
      <c r="X52" s="49" t="n">
        <f aca="false">-$E52*N(AND(X$3&lt;=$F52,X$4&gt;=$F52))</f>
        <v>-0</v>
      </c>
      <c r="Y52" s="49" t="n">
        <f aca="false">-$E52*N(AND(Y$3&lt;=$F52,Y$4&gt;=$F52))</f>
        <v>-0</v>
      </c>
      <c r="Z52" s="49" t="n">
        <f aca="false">-$E52*N(AND(Z$3&lt;=$F52,Z$4&gt;=$F52))</f>
        <v>-0</v>
      </c>
      <c r="AA52" s="49" t="n">
        <f aca="false">-$E52*N(AND(AA$3&lt;=$F52,AA$4&gt;=$F52))</f>
        <v>-0</v>
      </c>
      <c r="AB52" s="49" t="n">
        <f aca="false">-$E52*N(AND(AB$3&lt;=$F52,AB$4&gt;=$F52))</f>
        <v>-0</v>
      </c>
      <c r="AC52" s="49" t="n">
        <f aca="false">-$E52*N(AND(AC$3&lt;=$F52,AC$4&gt;=$F52))</f>
        <v>-0</v>
      </c>
      <c r="AD52" s="49" t="n">
        <f aca="false">-$E52*N(AND(AD$3&lt;=$F52,AD$4&gt;=$F52))</f>
        <v>-0</v>
      </c>
      <c r="AE52" s="49" t="n">
        <f aca="false">-$E52*N(AND(AE$3&lt;=$F52,AE$4&gt;=$F52))</f>
        <v>-0</v>
      </c>
      <c r="AF52" s="49" t="n">
        <f aca="false">-$E52*N(AND(AF$3&lt;=$F52,AF$4&gt;=$F52))</f>
        <v>-0</v>
      </c>
      <c r="AG52" s="49" t="n">
        <f aca="false">-$E52*N(AND(AG$3&lt;=$F52,AG$4&gt;=$F52))</f>
        <v>-0</v>
      </c>
      <c r="AH52" s="49" t="n">
        <f aca="false">-$E52*N(AND(AH$3&lt;=$F52,AH$4&gt;=$F52))</f>
        <v>-0</v>
      </c>
      <c r="AI52" s="49" t="n">
        <f aca="false">-$E52*N(AND(AI$3&lt;=$F52,AI$4&gt;=$F52))</f>
        <v>-0</v>
      </c>
      <c r="AJ52" s="49" t="n">
        <f aca="false">-$E52*N(AND(AJ$3&lt;=$F52,AJ$4&gt;=$F52))</f>
        <v>-0</v>
      </c>
      <c r="AK52" s="49" t="n">
        <f aca="false">-$E52*N(AND(AK$3&lt;=$F52,AK$4&gt;=$F52))</f>
        <v>-0</v>
      </c>
      <c r="AL52" s="49" t="n">
        <f aca="false">-$E52*N(AND(AL$3&lt;=$F52,AL$4&gt;=$F52))</f>
        <v>-0</v>
      </c>
      <c r="AM52" s="49" t="n">
        <f aca="false">-$E52*N(AND(AM$3&lt;=$F52,AM$4&gt;=$F52))</f>
        <v>-0</v>
      </c>
      <c r="AN52" s="49" t="n">
        <f aca="false">-$E52*N(AND(AN$3&lt;=$F52,AN$4&gt;=$F52))</f>
        <v>-0</v>
      </c>
      <c r="AO52" s="49" t="n">
        <f aca="false">-$E52*N(AND(AO$3&lt;=$F52,AO$4&gt;=$F52))</f>
        <v>-0</v>
      </c>
      <c r="AP52" s="49" t="n">
        <f aca="false">-$E52*N(AND(AP$3&lt;=$F52,AP$4&gt;=$F52))</f>
        <v>-0</v>
      </c>
      <c r="AQ52" s="49" t="n">
        <f aca="false">-$E52*N(AND(AQ$3&lt;=$F52,AQ$4&gt;=$F52))</f>
        <v>-0</v>
      </c>
      <c r="AR52" s="49" t="n">
        <f aca="false">-$E52*N(AND(AR$3&lt;=$F52,AR$4&gt;=$F52))</f>
        <v>-0</v>
      </c>
      <c r="AS52" s="49" t="n">
        <f aca="false">-$E52*N(AND(AS$3&lt;=$F52,AS$4&gt;=$F52))</f>
        <v>-0</v>
      </c>
      <c r="AT52" s="49" t="n">
        <f aca="false">-$E52*N(AND(AT$3&lt;=$F52,AT$4&gt;=$F52))</f>
        <v>-0</v>
      </c>
      <c r="AU52" s="49" t="n">
        <f aca="false">-$E52*N(AND(AU$3&lt;=$F52,AU$4&gt;=$F52))</f>
        <v>-0</v>
      </c>
      <c r="AV52" s="49" t="n">
        <f aca="false">-$E52*N(AND(AV$3&lt;=$F52,AV$4&gt;=$F52))</f>
        <v>-0</v>
      </c>
      <c r="AW52" s="49" t="n">
        <f aca="false">-$E52*N(AND(AW$3&lt;=$F52,AW$4&gt;=$F52))</f>
        <v>-0</v>
      </c>
      <c r="AX52" s="49" t="n">
        <f aca="false">-$E52*N(AND(AX$3&lt;=$F52,AX$4&gt;=$F52))</f>
        <v>-0</v>
      </c>
      <c r="AY52" s="49" t="n">
        <f aca="false">-$E52*N(AND(AY$3&lt;=$F52,AY$4&gt;=$F52))</f>
        <v>-0</v>
      </c>
      <c r="AZ52" s="49" t="n">
        <f aca="false">-$E52*N(AND(AZ$3&lt;=$F52,AZ$4&gt;=$F52))</f>
        <v>-0</v>
      </c>
      <c r="BA52" s="49" t="n">
        <f aca="false">-$E52*N(AND(BA$3&lt;=$F52,BA$4&gt;=$F52))</f>
        <v>-0</v>
      </c>
      <c r="BB52" s="49" t="n">
        <f aca="false">-$E52*N(AND(BB$3&lt;=$F52,BB$4&gt;=$F52))</f>
        <v>-0</v>
      </c>
      <c r="BC52" s="49" t="n">
        <f aca="false">-$E52*N(AND(BC$3&lt;=$F52,BC$4&gt;=$F52))</f>
        <v>-0</v>
      </c>
      <c r="BD52" s="49" t="n">
        <f aca="false">-$E52*N(AND(BD$3&lt;=$F52,BD$4&gt;=$F52))</f>
        <v>-0</v>
      </c>
      <c r="BE52" s="49" t="n">
        <f aca="false">-$E52*N(AND(BE$3&lt;=$F52,BE$4&gt;=$F52))</f>
        <v>-0</v>
      </c>
      <c r="BF52" s="49" t="n">
        <f aca="false">-$E52*N(AND(BF$3&lt;=$F52,BF$4&gt;=$F52))</f>
        <v>-0</v>
      </c>
      <c r="BG52" s="49" t="n">
        <f aca="false">-$E52*N(AND(BG$3&lt;=$F52,BG$4&gt;=$F52))</f>
        <v>-0</v>
      </c>
      <c r="BH52" s="49" t="n">
        <f aca="false">-$E52*N(AND(BH$3&lt;=$F52,BH$4&gt;=$F52))</f>
        <v>-0</v>
      </c>
      <c r="BI52" s="49" t="n">
        <f aca="false">-$E52*N(AND(BI$3&lt;=$F52,BI$4&gt;=$F52))</f>
        <v>-0</v>
      </c>
      <c r="BJ52" s="49" t="n">
        <f aca="false">-$E52*N(AND(BJ$3&lt;=$F52,BJ$4&gt;=$F52))</f>
        <v>-0</v>
      </c>
      <c r="BK52" s="49" t="n">
        <f aca="false">-$E52*N(AND(BK$3&lt;=$F52,BK$4&gt;=$F52))</f>
        <v>-0</v>
      </c>
      <c r="BL52" s="49" t="n">
        <f aca="false">-$E52*N(AND(BL$3&lt;=$F52,BL$4&gt;=$F52))</f>
        <v>-0</v>
      </c>
      <c r="BM52" s="49" t="n">
        <f aca="false">-$E52*N(AND(BM$3&lt;=$F52,BM$4&gt;=$F52))</f>
        <v>-0</v>
      </c>
      <c r="BN52" s="49" t="n">
        <f aca="false">-$E52*N(AND(BN$3&lt;=$F52,BN$4&gt;=$F52))</f>
        <v>-0</v>
      </c>
      <c r="BO52" s="49" t="n">
        <f aca="false">-$E52*N(AND(BO$3&lt;=$F52,BO$4&gt;=$F52))</f>
        <v>-0</v>
      </c>
      <c r="BP52" s="49" t="n">
        <f aca="false">-$E52*N(AND(BP$3&lt;=$F52,BP$4&gt;=$F52))</f>
        <v>-0</v>
      </c>
      <c r="BQ52" s="49" t="n">
        <f aca="false">-$E52*N(AND(BQ$3&lt;=$F52,BQ$4&gt;=$F52))</f>
        <v>-0</v>
      </c>
      <c r="BR52" s="49" t="n">
        <f aca="false">-$E52*N(AND(BR$3&lt;=$F52,BR$4&gt;=$F52))</f>
        <v>-0</v>
      </c>
      <c r="BS52" s="49" t="n">
        <f aca="false">-$E52*N(AND(BS$3&lt;=$F52,BS$4&gt;=$F52))</f>
        <v>-0</v>
      </c>
      <c r="BT52" s="49" t="n">
        <f aca="false">-$E52*N(AND(BT$3&lt;=$F52,BT$4&gt;=$F52))</f>
        <v>-0</v>
      </c>
      <c r="BU52" s="49" t="n">
        <f aca="false">-$E52*N(AND(BU$3&lt;=$F52,BU$4&gt;=$F52))</f>
        <v>-0</v>
      </c>
      <c r="BV52" s="49" t="n">
        <f aca="false">-$E52*N(AND(BV$3&lt;=$F52,BV$4&gt;=$F52))</f>
        <v>-0</v>
      </c>
      <c r="BW52" s="49" t="n">
        <f aca="false">-$E52*N(AND(BW$3&lt;=$F52,BW$4&gt;=$F52))</f>
        <v>-0</v>
      </c>
      <c r="BX52" s="49" t="n">
        <f aca="false">-$E52*N(AND(BX$3&lt;=$F52,BX$4&gt;=$F52))</f>
        <v>-0</v>
      </c>
      <c r="BY52" s="49" t="n">
        <f aca="false">-$E52*N(AND(BY$3&lt;=$F52,BY$4&gt;=$F52))</f>
        <v>-0</v>
      </c>
      <c r="BZ52" s="49" t="n">
        <f aca="false">-$E52*N(AND(BZ$3&lt;=$F52,BZ$4&gt;=$F52))</f>
        <v>-0</v>
      </c>
      <c r="CA52" s="49" t="n">
        <f aca="false">-$E52*N(AND(CA$3&lt;=$F52,CA$4&gt;=$F52))</f>
        <v>-0</v>
      </c>
      <c r="CB52" s="49" t="n">
        <f aca="false">-$E52*N(AND(CB$3&lt;=$F52,CB$4&gt;=$F52))</f>
        <v>-0</v>
      </c>
      <c r="CC52" s="49" t="n">
        <f aca="false">-$E52*N(AND(CC$3&lt;=$F52,CC$4&gt;=$F52))</f>
        <v>-0</v>
      </c>
      <c r="CD52" s="49" t="n">
        <f aca="false">-$E52*N(AND(CD$3&lt;=$F52,CD$4&gt;=$F52))</f>
        <v>-0</v>
      </c>
      <c r="CE52" s="49" t="n">
        <f aca="false">-$E52*N(AND(CE$3&lt;=$F52,CE$4&gt;=$F52))</f>
        <v>-0</v>
      </c>
      <c r="CF52" s="49" t="n">
        <f aca="false">-$E52*N(AND(CF$3&lt;=$F52,CF$4&gt;=$F52))</f>
        <v>-0</v>
      </c>
      <c r="CG52" s="49" t="n">
        <f aca="false">-$E52*N(AND(CG$3&lt;=$F52,CG$4&gt;=$F52))</f>
        <v>-0</v>
      </c>
      <c r="CH52" s="49" t="n">
        <f aca="false">-$E52*N(AND(CH$3&lt;=$F52,CH$4&gt;=$F52))</f>
        <v>-0</v>
      </c>
      <c r="CI52" s="49" t="n">
        <f aca="false">-$E52*N(AND(CI$3&lt;=$F52,CI$4&gt;=$F52))</f>
        <v>-0</v>
      </c>
      <c r="CJ52" s="49" t="n">
        <f aca="false">-$E52*N(AND(CJ$3&lt;=$F52,CJ$4&gt;=$F52))</f>
        <v>-0</v>
      </c>
      <c r="CK52" s="49" t="n">
        <f aca="false">-$E52*N(AND(CK$3&lt;=$F52,CK$4&gt;=$F52))</f>
        <v>-0</v>
      </c>
      <c r="CL52" s="49" t="n">
        <f aca="false">-$E52*N(AND(CL$3&lt;=$F52,CL$4&gt;=$F52))</f>
        <v>-0</v>
      </c>
      <c r="CM52" s="49" t="n">
        <f aca="false">-$E52*N(AND(CM$3&lt;=$F52,CM$4&gt;=$F52))</f>
        <v>-0</v>
      </c>
      <c r="CN52" s="49" t="n">
        <f aca="false">-$E52*N(AND(CN$3&lt;=$F52,CN$4&gt;=$F52))</f>
        <v>-0</v>
      </c>
      <c r="CO52" s="49" t="n">
        <f aca="false">-$E52*N(AND(CO$3&lt;=$F52,CO$4&gt;=$F52))</f>
        <v>-0</v>
      </c>
      <c r="CP52" s="49" t="n">
        <f aca="false">-$E52*N(AND(CP$3&lt;=$F52,CP$4&gt;=$F52))</f>
        <v>-0</v>
      </c>
      <c r="CQ52" s="49" t="n">
        <f aca="false">-$E52*N(AND(CQ$3&lt;=$F52,CQ$4&gt;=$F52))</f>
        <v>-0</v>
      </c>
      <c r="CR52" s="49" t="n">
        <f aca="false">-$E52*N(AND(CR$3&lt;=$F52,CR$4&gt;=$F52))</f>
        <v>-0</v>
      </c>
      <c r="CS52" s="49" t="n">
        <f aca="false">-$E52*N(AND(CS$3&lt;=$F52,CS$4&gt;=$F52))</f>
        <v>-0</v>
      </c>
      <c r="CT52" s="49" t="n">
        <f aca="false">-$E52*N(AND(CT$3&lt;=$F52,CT$4&gt;=$F52))</f>
        <v>-0</v>
      </c>
      <c r="CU52" s="49" t="n">
        <f aca="false">-$E52*N(AND(CU$3&lt;=$F52,CU$4&gt;=$F52))</f>
        <v>-0</v>
      </c>
      <c r="CV52" s="49" t="n">
        <f aca="false">-$E52*N(AND(CV$3&lt;=$F52,CV$4&gt;=$F52))</f>
        <v>-0</v>
      </c>
      <c r="CW52" s="49" t="n">
        <f aca="false">-$E52*N(AND(CW$3&lt;=$F52,CW$4&gt;=$F52))</f>
        <v>-0</v>
      </c>
      <c r="CX52" s="49" t="n">
        <f aca="false">-$E52*N(AND(CX$3&lt;=$F52,CX$4&gt;=$F52))</f>
        <v>-0</v>
      </c>
      <c r="CY52" s="49" t="n">
        <f aca="false">-$E52*N(AND(CY$3&lt;=$F52,CY$4&gt;=$F52))</f>
        <v>-0</v>
      </c>
      <c r="CZ52" s="49" t="n">
        <f aca="false">-$E52*N(AND(CZ$3&lt;=$F52,CZ$4&gt;=$F52))</f>
        <v>-0</v>
      </c>
      <c r="DA52" s="49" t="n">
        <f aca="false">-$E52*N(AND(DA$3&lt;=$F52,DA$4&gt;=$F52))</f>
        <v>-0</v>
      </c>
      <c r="DB52" s="49" t="n">
        <f aca="false">-$E52*N(AND(DB$3&lt;=$F52,DB$4&gt;=$F52))</f>
        <v>-0</v>
      </c>
      <c r="DC52" s="49" t="n">
        <f aca="false">-$E52*N(AND(DC$3&lt;=$F52,DC$4&gt;=$F52))</f>
        <v>-0</v>
      </c>
      <c r="DD52" s="49" t="n">
        <f aca="false">-$E52*N(AND(DD$3&lt;=$F52,DD$4&gt;=$F52))</f>
        <v>-0</v>
      </c>
      <c r="DE52" s="49" t="n">
        <f aca="false">-$E52*N(AND(DE$3&lt;=$F52,DE$4&gt;=$F52))</f>
        <v>-0</v>
      </c>
      <c r="DF52" s="49" t="n">
        <f aca="false">-$E52*N(AND(DF$3&lt;=$F52,DF$4&gt;=$F52))</f>
        <v>-0</v>
      </c>
      <c r="DG52" s="49" t="n">
        <f aca="false">-$E52*N(AND(DG$3&lt;=$F52,DG$4&gt;=$F52))</f>
        <v>-0</v>
      </c>
      <c r="DH52" s="49" t="n">
        <f aca="false">-$E52*N(AND(DH$3&lt;=$F52,DH$4&gt;=$F52))</f>
        <v>-0</v>
      </c>
      <c r="DI52" s="49" t="n">
        <f aca="false">-$E52*N(AND(DI$3&lt;=$F52,DI$4&gt;=$F52))</f>
        <v>-0</v>
      </c>
      <c r="DJ52" s="49" t="n">
        <f aca="false">-$E52*N(AND(DJ$3&lt;=$F52,DJ$4&gt;=$F52))</f>
        <v>-0</v>
      </c>
      <c r="DK52" s="49" t="n">
        <f aca="false">-$E52*N(AND(DK$3&lt;=$F52,DK$4&gt;=$F52))</f>
        <v>-0</v>
      </c>
      <c r="DL52" s="49" t="n">
        <f aca="false">-$E52*N(AND(DL$3&lt;=$F52,DL$4&gt;=$F52))</f>
        <v>-0</v>
      </c>
      <c r="DM52" s="49" t="n">
        <f aca="false">-$E52*N(AND(DM$3&lt;=$F52,DM$4&gt;=$F52))</f>
        <v>-0</v>
      </c>
      <c r="DN52" s="49" t="n">
        <f aca="false">-$E52*N(AND(DN$3&lt;=$F52,DN$4&gt;=$F52))</f>
        <v>-0</v>
      </c>
      <c r="DO52" s="49" t="n">
        <f aca="false">-$E52*N(AND(DO$3&lt;=$F52,DO$4&gt;=$F52))</f>
        <v>-0</v>
      </c>
      <c r="DP52" s="49" t="n">
        <f aca="false">-$E52*N(AND(DP$3&lt;=$F52,DP$4&gt;=$F52))</f>
        <v>-0</v>
      </c>
      <c r="DQ52" s="49" t="n">
        <f aca="false">-$E52*N(AND(DQ$3&lt;=$F52,DQ$4&gt;=$F52))</f>
        <v>-0</v>
      </c>
      <c r="DR52" s="49" t="n">
        <f aca="false">-$E52*N(AND(DR$3&lt;=$F52,DR$4&gt;=$F52))</f>
        <v>-0</v>
      </c>
      <c r="DS52" s="49" t="n">
        <f aca="false">-$E52*N(AND(DS$3&lt;=$F52,DS$4&gt;=$F52))</f>
        <v>-0</v>
      </c>
      <c r="DT52" s="49" t="n">
        <f aca="false">-$E52*N(AND(DT$3&lt;=$F52,DT$4&gt;=$F52))</f>
        <v>-0</v>
      </c>
      <c r="DU52" s="49" t="n">
        <f aca="false">-$E52*N(AND(DU$3&lt;=$F52,DU$4&gt;=$F52))</f>
        <v>-0</v>
      </c>
      <c r="DV52" s="49" t="n">
        <f aca="false">-$E52*N(AND(DV$3&lt;=$F52,DV$4&gt;=$F52))</f>
        <v>-0</v>
      </c>
      <c r="DW52" s="49" t="n">
        <f aca="false">-$E52*N(AND(DW$3&lt;=$F52,DW$4&gt;=$F52))</f>
        <v>-0</v>
      </c>
      <c r="DX52" s="49" t="n">
        <f aca="false">-$E52*N(AND(DX$3&lt;=$F52,DX$4&gt;=$F52))</f>
        <v>-0</v>
      </c>
      <c r="DY52" s="49" t="n">
        <f aca="false">-$E52*N(AND(DY$3&lt;=$F52,DY$4&gt;=$F52))</f>
        <v>-0</v>
      </c>
      <c r="DZ52" s="49" t="n">
        <f aca="false">-$E52*N(AND(DZ$3&lt;=$F52,DZ$4&gt;=$F52))</f>
        <v>-0</v>
      </c>
      <c r="EA52" s="49" t="n">
        <f aca="false">-$E52*N(AND(EA$3&lt;=$F52,EA$4&gt;=$F52))</f>
        <v>-0</v>
      </c>
      <c r="EB52" s="49" t="n">
        <f aca="false">-$E52*N(AND(EB$3&lt;=$F52,EB$4&gt;=$F52))</f>
        <v>-0</v>
      </c>
      <c r="EC52" s="49" t="n">
        <f aca="false">-$E52*N(AND(EC$3&lt;=$F52,EC$4&gt;=$F52))</f>
        <v>-0</v>
      </c>
      <c r="ED52" s="49" t="n">
        <f aca="false">-$E52*N(AND(ED$3&lt;=$F52,ED$4&gt;=$F52))</f>
        <v>-0</v>
      </c>
      <c r="EE52" s="49" t="n">
        <f aca="false">-$E52*N(AND(EE$3&lt;=$F52,EE$4&gt;=$F52))</f>
        <v>-0</v>
      </c>
      <c r="EF52" s="49" t="n">
        <f aca="false">-$E52*N(AND(EF$3&lt;=$F52,EF$4&gt;=$F52))</f>
        <v>-0</v>
      </c>
      <c r="EG52" s="49" t="n">
        <f aca="false">-$E52*N(AND(EG$3&lt;=$F52,EG$4&gt;=$F52))</f>
        <v>-0</v>
      </c>
      <c r="EH52" s="49" t="n">
        <f aca="false">-$E52*N(AND(EH$3&lt;=$F52,EH$4&gt;=$F52))</f>
        <v>-0</v>
      </c>
      <c r="EI52" s="49" t="n">
        <f aca="false">-$E52*N(AND(EI$3&lt;=$F52,EI$4&gt;=$F52))</f>
        <v>-0</v>
      </c>
      <c r="EJ52" s="49" t="n">
        <f aca="false">-$E52*N(AND(EJ$3&lt;=$F52,EJ$4&gt;=$F52))</f>
        <v>-0</v>
      </c>
      <c r="EK52" s="49" t="n">
        <f aca="false">-$E52*N(AND(EK$3&lt;=$F52,EK$4&gt;=$F52))</f>
        <v>-0</v>
      </c>
      <c r="EL52" s="49" t="n">
        <f aca="false">-$E52*N(AND(EL$3&lt;=$F52,EL$4&gt;=$F52))</f>
        <v>-0</v>
      </c>
      <c r="EM52" s="49" t="n">
        <f aca="false">-$E52*N(AND(EM$3&lt;=$F52,EM$4&gt;=$F52))</f>
        <v>-0</v>
      </c>
      <c r="EN52" s="49" t="n">
        <f aca="false">-$E52*N(AND(EN$3&lt;=$F52,EN$4&gt;=$F52))</f>
        <v>-0</v>
      </c>
      <c r="EO52" s="49" t="n">
        <f aca="false">-$E52*N(AND(EO$3&lt;=$F52,EO$4&gt;=$F52))</f>
        <v>-0</v>
      </c>
    </row>
    <row r="53" customFormat="false" ht="15" hidden="false" customHeight="false" outlineLevel="0" collapsed="false">
      <c r="C53" s="1" t="s">
        <v>449</v>
      </c>
      <c r="D53" s="12" t="s">
        <v>33</v>
      </c>
      <c r="E53" s="49" t="n">
        <f aca="false">In_Bid_Rate*$E51*Thousand/In_FX</f>
        <v>443.287671232877</v>
      </c>
      <c r="F53" s="21" t="n">
        <f aca="false">In_Bid_Date</f>
        <v>46325</v>
      </c>
      <c r="J53" s="49" t="n">
        <f aca="false">$E53*MAX(0,(MIN(In_Decision_Date+In_PB_Days-1,J$4)-MAX($F53,J$3)+1)/J$5)</f>
        <v>303.55568790947</v>
      </c>
      <c r="K53" s="49" t="n">
        <f aca="false">$E53*MAX(0,(MIN(In_Decision_Date+In_PB_Days-1,K$4)-MAX($F53,K$3)+1)/K$5)</f>
        <v>221.643835616438</v>
      </c>
      <c r="L53" s="49" t="n">
        <f aca="false">$E53*MAX(0,(MIN(In_Decision_Date+In_PB_Days-1,L$4)-MAX($F53,L$3)+1)/L$5)</f>
        <v>0</v>
      </c>
      <c r="M53" s="49" t="n">
        <f aca="false">$E53*MAX(0,(MIN(In_Decision_Date+In_PB_Days-1,M$4)-MAX($F53,M$3)+1)/M$5)</f>
        <v>0</v>
      </c>
      <c r="N53" s="49" t="n">
        <f aca="false">$E53*MAX(0,(MIN(In_Decision_Date+In_PB_Days-1,N$4)-MAX($F53,N$3)+1)/N$5)</f>
        <v>0</v>
      </c>
      <c r="O53" s="49" t="n">
        <f aca="false">$E53*MAX(0,(MIN(In_Decision_Date+In_PB_Days-1,O$4)-MAX($F53,O$3)+1)/O$5)</f>
        <v>0</v>
      </c>
      <c r="P53" s="49" t="n">
        <f aca="false">$E53*MAX(0,(MIN(In_Decision_Date+In_PB_Days-1,P$4)-MAX($F53,P$3)+1)/P$5)</f>
        <v>0</v>
      </c>
      <c r="Q53" s="49" t="n">
        <f aca="false">$E53*MAX(0,(MIN(In_Decision_Date+In_PB_Days-1,Q$4)-MAX($F53,Q$3)+1)/Q$5)</f>
        <v>0</v>
      </c>
      <c r="R53" s="49" t="n">
        <f aca="false">$E53*MAX(0,(MIN(In_Decision_Date+In_PB_Days-1,R$4)-MAX($F53,R$3)+1)/R$5)</f>
        <v>0</v>
      </c>
      <c r="S53" s="49" t="n">
        <f aca="false">$E53*MAX(0,(MIN(In_Decision_Date+In_PB_Days-1,S$4)-MAX($F53,S$3)+1)/S$5)</f>
        <v>0</v>
      </c>
      <c r="T53" s="49" t="n">
        <f aca="false">$E53*MAX(0,(MIN(In_Decision_Date+In_PB_Days-1,T$4)-MAX($F53,T$3)+1)/T$5)</f>
        <v>0</v>
      </c>
      <c r="U53" s="49" t="n">
        <f aca="false">$E53*MAX(0,(MIN(In_Decision_Date+In_PB_Days-1,U$4)-MAX($F53,U$3)+1)/U$5)</f>
        <v>0</v>
      </c>
      <c r="V53" s="49" t="n">
        <f aca="false">$E53*MAX(0,(MIN(In_Decision_Date+In_PB_Days-1,V$4)-MAX($F53,V$3)+1)/V$5)</f>
        <v>0</v>
      </c>
      <c r="W53" s="49" t="n">
        <f aca="false">$E53*MAX(0,(MIN(In_Decision_Date+In_PB_Days-1,W$4)-MAX($F53,W$3)+1)/W$5)</f>
        <v>0</v>
      </c>
      <c r="X53" s="49" t="n">
        <f aca="false">$E53*MAX(0,(MIN(In_Decision_Date+In_PB_Days-1,X$4)-MAX($F53,X$3)+1)/X$5)</f>
        <v>0</v>
      </c>
      <c r="Y53" s="49" t="n">
        <f aca="false">$E53*MAX(0,(MIN(In_Decision_Date+In_PB_Days-1,Y$4)-MAX($F53,Y$3)+1)/Y$5)</f>
        <v>0</v>
      </c>
      <c r="Z53" s="49" t="n">
        <f aca="false">$E53*MAX(0,(MIN(In_Decision_Date+In_PB_Days-1,Z$4)-MAX($F53,Z$3)+1)/Z$5)</f>
        <v>0</v>
      </c>
      <c r="AA53" s="49" t="n">
        <f aca="false">$E53*MAX(0,(MIN(In_Decision_Date+In_PB_Days-1,AA$4)-MAX($F53,AA$3)+1)/AA$5)</f>
        <v>0</v>
      </c>
      <c r="AB53" s="49" t="n">
        <f aca="false">$E53*MAX(0,(MIN(In_Decision_Date+In_PB_Days-1,AB$4)-MAX($F53,AB$3)+1)/AB$5)</f>
        <v>0</v>
      </c>
      <c r="AC53" s="49" t="n">
        <f aca="false">$E53*MAX(0,(MIN(In_Decision_Date+In_PB_Days-1,AC$4)-MAX($F53,AC$3)+1)/AC$5)</f>
        <v>0</v>
      </c>
      <c r="AD53" s="49" t="n">
        <f aca="false">$E53*MAX(0,(MIN(In_Decision_Date+In_PB_Days-1,AD$4)-MAX($F53,AD$3)+1)/AD$5)</f>
        <v>0</v>
      </c>
      <c r="AE53" s="49" t="n">
        <f aca="false">$E53*MAX(0,(MIN(In_Decision_Date+In_PB_Days-1,AE$4)-MAX($F53,AE$3)+1)/AE$5)</f>
        <v>0</v>
      </c>
      <c r="AF53" s="49" t="n">
        <f aca="false">$E53*MAX(0,(MIN(In_Decision_Date+In_PB_Days-1,AF$4)-MAX($F53,AF$3)+1)/AF$5)</f>
        <v>0</v>
      </c>
      <c r="AG53" s="49" t="n">
        <f aca="false">$E53*MAX(0,(MIN(In_Decision_Date+In_PB_Days-1,AG$4)-MAX($F53,AG$3)+1)/AG$5)</f>
        <v>0</v>
      </c>
      <c r="AH53" s="49" t="n">
        <f aca="false">$E53*MAX(0,(MIN(In_Decision_Date+In_PB_Days-1,AH$4)-MAX($F53,AH$3)+1)/AH$5)</f>
        <v>0</v>
      </c>
      <c r="AI53" s="49" t="n">
        <f aca="false">$E53*MAX(0,(MIN(In_Decision_Date+In_PB_Days-1,AI$4)-MAX($F53,AI$3)+1)/AI$5)</f>
        <v>0</v>
      </c>
      <c r="AJ53" s="49" t="n">
        <f aca="false">$E53*MAX(0,(MIN(In_Decision_Date+In_PB_Days-1,AJ$4)-MAX($F53,AJ$3)+1)/AJ$5)</f>
        <v>0</v>
      </c>
      <c r="AK53" s="49" t="n">
        <f aca="false">$E53*MAX(0,(MIN(In_Decision_Date+In_PB_Days-1,AK$4)-MAX($F53,AK$3)+1)/AK$5)</f>
        <v>0</v>
      </c>
      <c r="AL53" s="49" t="n">
        <f aca="false">$E53*MAX(0,(MIN(In_Decision_Date+In_PB_Days-1,AL$4)-MAX($F53,AL$3)+1)/AL$5)</f>
        <v>0</v>
      </c>
      <c r="AM53" s="49" t="n">
        <f aca="false">$E53*MAX(0,(MIN(In_Decision_Date+In_PB_Days-1,AM$4)-MAX($F53,AM$3)+1)/AM$5)</f>
        <v>0</v>
      </c>
      <c r="AN53" s="49" t="n">
        <f aca="false">$E53*MAX(0,(MIN(In_Decision_Date+In_PB_Days-1,AN$4)-MAX($F53,AN$3)+1)/AN$5)</f>
        <v>0</v>
      </c>
      <c r="AO53" s="49" t="n">
        <f aca="false">$E53*MAX(0,(MIN(In_Decision_Date+In_PB_Days-1,AO$4)-MAX($F53,AO$3)+1)/AO$5)</f>
        <v>0</v>
      </c>
      <c r="AP53" s="49" t="n">
        <f aca="false">$E53*MAX(0,(MIN(In_Decision_Date+In_PB_Days-1,AP$4)-MAX($F53,AP$3)+1)/AP$5)</f>
        <v>0</v>
      </c>
      <c r="AQ53" s="49" t="n">
        <f aca="false">$E53*MAX(0,(MIN(In_Decision_Date+In_PB_Days-1,AQ$4)-MAX($F53,AQ$3)+1)/AQ$5)</f>
        <v>0</v>
      </c>
      <c r="AR53" s="49" t="n">
        <f aca="false">$E53*MAX(0,(MIN(In_Decision_Date+In_PB_Days-1,AR$4)-MAX($F53,AR$3)+1)/AR$5)</f>
        <v>0</v>
      </c>
      <c r="AS53" s="49" t="n">
        <f aca="false">$E53*MAX(0,(MIN(In_Decision_Date+In_PB_Days-1,AS$4)-MAX($F53,AS$3)+1)/AS$5)</f>
        <v>0</v>
      </c>
      <c r="AT53" s="49" t="n">
        <f aca="false">$E53*MAX(0,(MIN(In_Decision_Date+In_PB_Days-1,AT$4)-MAX($F53,AT$3)+1)/AT$5)</f>
        <v>0</v>
      </c>
      <c r="AU53" s="49" t="n">
        <f aca="false">$E53*MAX(0,(MIN(In_Decision_Date+In_PB_Days-1,AU$4)-MAX($F53,AU$3)+1)/AU$5)</f>
        <v>0</v>
      </c>
      <c r="AV53" s="49" t="n">
        <f aca="false">$E53*MAX(0,(MIN(In_Decision_Date+In_PB_Days-1,AV$4)-MAX($F53,AV$3)+1)/AV$5)</f>
        <v>0</v>
      </c>
      <c r="AW53" s="49" t="n">
        <f aca="false">$E53*MAX(0,(MIN(In_Decision_Date+In_PB_Days-1,AW$4)-MAX($F53,AW$3)+1)/AW$5)</f>
        <v>0</v>
      </c>
      <c r="AX53" s="49" t="n">
        <f aca="false">$E53*MAX(0,(MIN(In_Decision_Date+In_PB_Days-1,AX$4)-MAX($F53,AX$3)+1)/AX$5)</f>
        <v>0</v>
      </c>
      <c r="AY53" s="49" t="n">
        <f aca="false">$E53*MAX(0,(MIN(In_Decision_Date+In_PB_Days-1,AY$4)-MAX($F53,AY$3)+1)/AY$5)</f>
        <v>0</v>
      </c>
      <c r="AZ53" s="49" t="n">
        <f aca="false">$E53*MAX(0,(MIN(In_Decision_Date+In_PB_Days-1,AZ$4)-MAX($F53,AZ$3)+1)/AZ$5)</f>
        <v>0</v>
      </c>
      <c r="BA53" s="49" t="n">
        <f aca="false">$E53*MAX(0,(MIN(In_Decision_Date+In_PB_Days-1,BA$4)-MAX($F53,BA$3)+1)/BA$5)</f>
        <v>0</v>
      </c>
      <c r="BB53" s="49" t="n">
        <f aca="false">$E53*MAX(0,(MIN(In_Decision_Date+In_PB_Days-1,BB$4)-MAX($F53,BB$3)+1)/BB$5)</f>
        <v>0</v>
      </c>
      <c r="BC53" s="49" t="n">
        <f aca="false">$E53*MAX(0,(MIN(In_Decision_Date+In_PB_Days-1,BC$4)-MAX($F53,BC$3)+1)/BC$5)</f>
        <v>0</v>
      </c>
      <c r="BD53" s="49" t="n">
        <f aca="false">$E53*MAX(0,(MIN(In_Decision_Date+In_PB_Days-1,BD$4)-MAX($F53,BD$3)+1)/BD$5)</f>
        <v>0</v>
      </c>
      <c r="BE53" s="49" t="n">
        <f aca="false">$E53*MAX(0,(MIN(In_Decision_Date+In_PB_Days-1,BE$4)-MAX($F53,BE$3)+1)/BE$5)</f>
        <v>0</v>
      </c>
      <c r="BF53" s="49" t="n">
        <f aca="false">$E53*MAX(0,(MIN(In_Decision_Date+In_PB_Days-1,BF$4)-MAX($F53,BF$3)+1)/BF$5)</f>
        <v>0</v>
      </c>
      <c r="BG53" s="49" t="n">
        <f aca="false">$E53*MAX(0,(MIN(In_Decision_Date+In_PB_Days-1,BG$4)-MAX($F53,BG$3)+1)/BG$5)</f>
        <v>0</v>
      </c>
      <c r="BH53" s="49" t="n">
        <f aca="false">$E53*MAX(0,(MIN(In_Decision_Date+In_PB_Days-1,BH$4)-MAX($F53,BH$3)+1)/BH$5)</f>
        <v>0</v>
      </c>
      <c r="BI53" s="49" t="n">
        <f aca="false">$E53*MAX(0,(MIN(In_Decision_Date+In_PB_Days-1,BI$4)-MAX($F53,BI$3)+1)/BI$5)</f>
        <v>0</v>
      </c>
      <c r="BJ53" s="49" t="n">
        <f aca="false">$E53*MAX(0,(MIN(In_Decision_Date+In_PB_Days-1,BJ$4)-MAX($F53,BJ$3)+1)/BJ$5)</f>
        <v>0</v>
      </c>
      <c r="BK53" s="49" t="n">
        <f aca="false">$E53*MAX(0,(MIN(In_Decision_Date+In_PB_Days-1,BK$4)-MAX($F53,BK$3)+1)/BK$5)</f>
        <v>0</v>
      </c>
      <c r="BL53" s="49" t="n">
        <f aca="false">$E53*MAX(0,(MIN(In_Decision_Date+In_PB_Days-1,BL$4)-MAX($F53,BL$3)+1)/BL$5)</f>
        <v>0</v>
      </c>
      <c r="BM53" s="49" t="n">
        <f aca="false">$E53*MAX(0,(MIN(In_Decision_Date+In_PB_Days-1,BM$4)-MAX($F53,BM$3)+1)/BM$5)</f>
        <v>0</v>
      </c>
      <c r="BN53" s="49" t="n">
        <f aca="false">$E53*MAX(0,(MIN(In_Decision_Date+In_PB_Days-1,BN$4)-MAX($F53,BN$3)+1)/BN$5)</f>
        <v>0</v>
      </c>
      <c r="BO53" s="49" t="n">
        <f aca="false">$E53*MAX(0,(MIN(In_Decision_Date+In_PB_Days-1,BO$4)-MAX($F53,BO$3)+1)/BO$5)</f>
        <v>0</v>
      </c>
      <c r="BP53" s="49" t="n">
        <f aca="false">$E53*MAX(0,(MIN(In_Decision_Date+In_PB_Days-1,BP$4)-MAX($F53,BP$3)+1)/BP$5)</f>
        <v>0</v>
      </c>
      <c r="BQ53" s="49" t="n">
        <f aca="false">$E53*MAX(0,(MIN(In_Decision_Date+In_PB_Days-1,BQ$4)-MAX($F53,BQ$3)+1)/BQ$5)</f>
        <v>0</v>
      </c>
      <c r="BR53" s="49" t="n">
        <f aca="false">$E53*MAX(0,(MIN(In_Decision_Date+In_PB_Days-1,BR$4)-MAX($F53,BR$3)+1)/BR$5)</f>
        <v>0</v>
      </c>
      <c r="BS53" s="49" t="n">
        <f aca="false">$E53*MAX(0,(MIN(In_Decision_Date+In_PB_Days-1,BS$4)-MAX($F53,BS$3)+1)/BS$5)</f>
        <v>0</v>
      </c>
      <c r="BT53" s="49" t="n">
        <f aca="false">$E53*MAX(0,(MIN(In_Decision_Date+In_PB_Days-1,BT$4)-MAX($F53,BT$3)+1)/BT$5)</f>
        <v>0</v>
      </c>
      <c r="BU53" s="49" t="n">
        <f aca="false">$E53*MAX(0,(MIN(In_Decision_Date+In_PB_Days-1,BU$4)-MAX($F53,BU$3)+1)/BU$5)</f>
        <v>0</v>
      </c>
      <c r="BV53" s="49" t="n">
        <f aca="false">$E53*MAX(0,(MIN(In_Decision_Date+In_PB_Days-1,BV$4)-MAX($F53,BV$3)+1)/BV$5)</f>
        <v>0</v>
      </c>
      <c r="BW53" s="49" t="n">
        <f aca="false">$E53*MAX(0,(MIN(In_Decision_Date+In_PB_Days-1,BW$4)-MAX($F53,BW$3)+1)/BW$5)</f>
        <v>0</v>
      </c>
      <c r="BX53" s="49" t="n">
        <f aca="false">$E53*MAX(0,(MIN(In_Decision_Date+In_PB_Days-1,BX$4)-MAX($F53,BX$3)+1)/BX$5)</f>
        <v>0</v>
      </c>
      <c r="BY53" s="49" t="n">
        <f aca="false">$E53*MAX(0,(MIN(In_Decision_Date+In_PB_Days-1,BY$4)-MAX($F53,BY$3)+1)/BY$5)</f>
        <v>0</v>
      </c>
      <c r="BZ53" s="49" t="n">
        <f aca="false">$E53*MAX(0,(MIN(In_Decision_Date+In_PB_Days-1,BZ$4)-MAX($F53,BZ$3)+1)/BZ$5)</f>
        <v>0</v>
      </c>
      <c r="CA53" s="49" t="n">
        <f aca="false">$E53*MAX(0,(MIN(In_Decision_Date+In_PB_Days-1,CA$4)-MAX($F53,CA$3)+1)/CA$5)</f>
        <v>0</v>
      </c>
      <c r="CB53" s="49" t="n">
        <f aca="false">$E53*MAX(0,(MIN(In_Decision_Date+In_PB_Days-1,CB$4)-MAX($F53,CB$3)+1)/CB$5)</f>
        <v>0</v>
      </c>
      <c r="CC53" s="49" t="n">
        <f aca="false">$E53*MAX(0,(MIN(In_Decision_Date+In_PB_Days-1,CC$4)-MAX($F53,CC$3)+1)/CC$5)</f>
        <v>0</v>
      </c>
      <c r="CD53" s="49" t="n">
        <f aca="false">$E53*MAX(0,(MIN(In_Decision_Date+In_PB_Days-1,CD$4)-MAX($F53,CD$3)+1)/CD$5)</f>
        <v>0</v>
      </c>
      <c r="CE53" s="49" t="n">
        <f aca="false">$E53*MAX(0,(MIN(In_Decision_Date+In_PB_Days-1,CE$4)-MAX($F53,CE$3)+1)/CE$5)</f>
        <v>0</v>
      </c>
      <c r="CF53" s="49" t="n">
        <f aca="false">$E53*MAX(0,(MIN(In_Decision_Date+In_PB_Days-1,CF$4)-MAX($F53,CF$3)+1)/CF$5)</f>
        <v>0</v>
      </c>
      <c r="CG53" s="49" t="n">
        <f aca="false">$E53*MAX(0,(MIN(In_Decision_Date+In_PB_Days-1,CG$4)-MAX($F53,CG$3)+1)/CG$5)</f>
        <v>0</v>
      </c>
      <c r="CH53" s="49" t="n">
        <f aca="false">$E53*MAX(0,(MIN(In_Decision_Date+In_PB_Days-1,CH$4)-MAX($F53,CH$3)+1)/CH$5)</f>
        <v>0</v>
      </c>
      <c r="CI53" s="49" t="n">
        <f aca="false">$E53*MAX(0,(MIN(In_Decision_Date+In_PB_Days-1,CI$4)-MAX($F53,CI$3)+1)/CI$5)</f>
        <v>0</v>
      </c>
      <c r="CJ53" s="49" t="n">
        <f aca="false">$E53*MAX(0,(MIN(In_Decision_Date+In_PB_Days-1,CJ$4)-MAX($F53,CJ$3)+1)/CJ$5)</f>
        <v>0</v>
      </c>
      <c r="CK53" s="49" t="n">
        <f aca="false">$E53*MAX(0,(MIN(In_Decision_Date+In_PB_Days-1,CK$4)-MAX($F53,CK$3)+1)/CK$5)</f>
        <v>0</v>
      </c>
      <c r="CL53" s="49" t="n">
        <f aca="false">$E53*MAX(0,(MIN(In_Decision_Date+In_PB_Days-1,CL$4)-MAX($F53,CL$3)+1)/CL$5)</f>
        <v>0</v>
      </c>
      <c r="CM53" s="49" t="n">
        <f aca="false">$E53*MAX(0,(MIN(In_Decision_Date+In_PB_Days-1,CM$4)-MAX($F53,CM$3)+1)/CM$5)</f>
        <v>0</v>
      </c>
      <c r="CN53" s="49" t="n">
        <f aca="false">$E53*MAX(0,(MIN(In_Decision_Date+In_PB_Days-1,CN$4)-MAX($F53,CN$3)+1)/CN$5)</f>
        <v>0</v>
      </c>
      <c r="CO53" s="49" t="n">
        <f aca="false">$E53*MAX(0,(MIN(In_Decision_Date+In_PB_Days-1,CO$4)-MAX($F53,CO$3)+1)/CO$5)</f>
        <v>0</v>
      </c>
      <c r="CP53" s="49" t="n">
        <f aca="false">$E53*MAX(0,(MIN(In_Decision_Date+In_PB_Days-1,CP$4)-MAX($F53,CP$3)+1)/CP$5)</f>
        <v>0</v>
      </c>
      <c r="CQ53" s="49" t="n">
        <f aca="false">$E53*MAX(0,(MIN(In_Decision_Date+In_PB_Days-1,CQ$4)-MAX($F53,CQ$3)+1)/CQ$5)</f>
        <v>0</v>
      </c>
      <c r="CR53" s="49" t="n">
        <f aca="false">$E53*MAX(0,(MIN(In_Decision_Date+In_PB_Days-1,CR$4)-MAX($F53,CR$3)+1)/CR$5)</f>
        <v>0</v>
      </c>
      <c r="CS53" s="49" t="n">
        <f aca="false">$E53*MAX(0,(MIN(In_Decision_Date+In_PB_Days-1,CS$4)-MAX($F53,CS$3)+1)/CS$5)</f>
        <v>0</v>
      </c>
      <c r="CT53" s="49" t="n">
        <f aca="false">$E53*MAX(0,(MIN(In_Decision_Date+In_PB_Days-1,CT$4)-MAX($F53,CT$3)+1)/CT$5)</f>
        <v>0</v>
      </c>
      <c r="CU53" s="49" t="n">
        <f aca="false">$E53*MAX(0,(MIN(In_Decision_Date+In_PB_Days-1,CU$4)-MAX($F53,CU$3)+1)/CU$5)</f>
        <v>0</v>
      </c>
      <c r="CV53" s="49" t="n">
        <f aca="false">$E53*MAX(0,(MIN(In_Decision_Date+In_PB_Days-1,CV$4)-MAX($F53,CV$3)+1)/CV$5)</f>
        <v>0</v>
      </c>
      <c r="CW53" s="49" t="n">
        <f aca="false">$E53*MAX(0,(MIN(In_Decision_Date+In_PB_Days-1,CW$4)-MAX($F53,CW$3)+1)/CW$5)</f>
        <v>0</v>
      </c>
      <c r="CX53" s="49" t="n">
        <f aca="false">$E53*MAX(0,(MIN(In_Decision_Date+In_PB_Days-1,CX$4)-MAX($F53,CX$3)+1)/CX$5)</f>
        <v>0</v>
      </c>
      <c r="CY53" s="49" t="n">
        <f aca="false">$E53*MAX(0,(MIN(In_Decision_Date+In_PB_Days-1,CY$4)-MAX($F53,CY$3)+1)/CY$5)</f>
        <v>0</v>
      </c>
      <c r="CZ53" s="49" t="n">
        <f aca="false">$E53*MAX(0,(MIN(In_Decision_Date+In_PB_Days-1,CZ$4)-MAX($F53,CZ$3)+1)/CZ$5)</f>
        <v>0</v>
      </c>
      <c r="DA53" s="49" t="n">
        <f aca="false">$E53*MAX(0,(MIN(In_Decision_Date+In_PB_Days-1,DA$4)-MAX($F53,DA$3)+1)/DA$5)</f>
        <v>0</v>
      </c>
      <c r="DB53" s="49" t="n">
        <f aca="false">$E53*MAX(0,(MIN(In_Decision_Date+In_PB_Days-1,DB$4)-MAX($F53,DB$3)+1)/DB$5)</f>
        <v>0</v>
      </c>
      <c r="DC53" s="49" t="n">
        <f aca="false">$E53*MAX(0,(MIN(In_Decision_Date+In_PB_Days-1,DC$4)-MAX($F53,DC$3)+1)/DC$5)</f>
        <v>0</v>
      </c>
      <c r="DD53" s="49" t="n">
        <f aca="false">$E53*MAX(0,(MIN(In_Decision_Date+In_PB_Days-1,DD$4)-MAX($F53,DD$3)+1)/DD$5)</f>
        <v>0</v>
      </c>
      <c r="DE53" s="49" t="n">
        <f aca="false">$E53*MAX(0,(MIN(In_Decision_Date+In_PB_Days-1,DE$4)-MAX($F53,DE$3)+1)/DE$5)</f>
        <v>0</v>
      </c>
      <c r="DF53" s="49" t="n">
        <f aca="false">$E53*MAX(0,(MIN(In_Decision_Date+In_PB_Days-1,DF$4)-MAX($F53,DF$3)+1)/DF$5)</f>
        <v>0</v>
      </c>
      <c r="DG53" s="49" t="n">
        <f aca="false">$E53*MAX(0,(MIN(In_Decision_Date+In_PB_Days-1,DG$4)-MAX($F53,DG$3)+1)/DG$5)</f>
        <v>0</v>
      </c>
      <c r="DH53" s="49" t="n">
        <f aca="false">$E53*MAX(0,(MIN(In_Decision_Date+In_PB_Days-1,DH$4)-MAX($F53,DH$3)+1)/DH$5)</f>
        <v>0</v>
      </c>
      <c r="DI53" s="49" t="n">
        <f aca="false">$E53*MAX(0,(MIN(In_Decision_Date+In_PB_Days-1,DI$4)-MAX($F53,DI$3)+1)/DI$5)</f>
        <v>0</v>
      </c>
      <c r="DJ53" s="49" t="n">
        <f aca="false">$E53*MAX(0,(MIN(In_Decision_Date+In_PB_Days-1,DJ$4)-MAX($F53,DJ$3)+1)/DJ$5)</f>
        <v>0</v>
      </c>
      <c r="DK53" s="49" t="n">
        <f aca="false">$E53*MAX(0,(MIN(In_Decision_Date+In_PB_Days-1,DK$4)-MAX($F53,DK$3)+1)/DK$5)</f>
        <v>0</v>
      </c>
      <c r="DL53" s="49" t="n">
        <f aca="false">$E53*MAX(0,(MIN(In_Decision_Date+In_PB_Days-1,DL$4)-MAX($F53,DL$3)+1)/DL$5)</f>
        <v>0</v>
      </c>
      <c r="DM53" s="49" t="n">
        <f aca="false">$E53*MAX(0,(MIN(In_Decision_Date+In_PB_Days-1,DM$4)-MAX($F53,DM$3)+1)/DM$5)</f>
        <v>0</v>
      </c>
      <c r="DN53" s="49" t="n">
        <f aca="false">$E53*MAX(0,(MIN(In_Decision_Date+In_PB_Days-1,DN$4)-MAX($F53,DN$3)+1)/DN$5)</f>
        <v>0</v>
      </c>
      <c r="DO53" s="49" t="n">
        <f aca="false">$E53*MAX(0,(MIN(In_Decision_Date+In_PB_Days-1,DO$4)-MAX($F53,DO$3)+1)/DO$5)</f>
        <v>0</v>
      </c>
      <c r="DP53" s="49" t="n">
        <f aca="false">$E53*MAX(0,(MIN(In_Decision_Date+In_PB_Days-1,DP$4)-MAX($F53,DP$3)+1)/DP$5)</f>
        <v>0</v>
      </c>
      <c r="DQ53" s="49" t="n">
        <f aca="false">$E53*MAX(0,(MIN(In_Decision_Date+In_PB_Days-1,DQ$4)-MAX($F53,DQ$3)+1)/DQ$5)</f>
        <v>0</v>
      </c>
      <c r="DR53" s="49" t="n">
        <f aca="false">$E53*MAX(0,(MIN(In_Decision_Date+In_PB_Days-1,DR$4)-MAX($F53,DR$3)+1)/DR$5)</f>
        <v>0</v>
      </c>
      <c r="DS53" s="49" t="n">
        <f aca="false">$E53*MAX(0,(MIN(In_Decision_Date+In_PB_Days-1,DS$4)-MAX($F53,DS$3)+1)/DS$5)</f>
        <v>0</v>
      </c>
      <c r="DT53" s="49" t="n">
        <f aca="false">$E53*MAX(0,(MIN(In_Decision_Date+In_PB_Days-1,DT$4)-MAX($F53,DT$3)+1)/DT$5)</f>
        <v>0</v>
      </c>
      <c r="DU53" s="49" t="n">
        <f aca="false">$E53*MAX(0,(MIN(In_Decision_Date+In_PB_Days-1,DU$4)-MAX($F53,DU$3)+1)/DU$5)</f>
        <v>0</v>
      </c>
      <c r="DV53" s="49" t="n">
        <f aca="false">$E53*MAX(0,(MIN(In_Decision_Date+In_PB_Days-1,DV$4)-MAX($F53,DV$3)+1)/DV$5)</f>
        <v>0</v>
      </c>
      <c r="DW53" s="49" t="n">
        <f aca="false">$E53*MAX(0,(MIN(In_Decision_Date+In_PB_Days-1,DW$4)-MAX($F53,DW$3)+1)/DW$5)</f>
        <v>0</v>
      </c>
      <c r="DX53" s="49" t="n">
        <f aca="false">$E53*MAX(0,(MIN(In_Decision_Date+In_PB_Days-1,DX$4)-MAX($F53,DX$3)+1)/DX$5)</f>
        <v>0</v>
      </c>
      <c r="DY53" s="49" t="n">
        <f aca="false">$E53*MAX(0,(MIN(In_Decision_Date+In_PB_Days-1,DY$4)-MAX($F53,DY$3)+1)/DY$5)</f>
        <v>0</v>
      </c>
      <c r="DZ53" s="49" t="n">
        <f aca="false">$E53*MAX(0,(MIN(In_Decision_Date+In_PB_Days-1,DZ$4)-MAX($F53,DZ$3)+1)/DZ$5)</f>
        <v>0</v>
      </c>
      <c r="EA53" s="49" t="n">
        <f aca="false">$E53*MAX(0,(MIN(In_Decision_Date+In_PB_Days-1,EA$4)-MAX($F53,EA$3)+1)/EA$5)</f>
        <v>0</v>
      </c>
      <c r="EB53" s="49" t="n">
        <f aca="false">$E53*MAX(0,(MIN(In_Decision_Date+In_PB_Days-1,EB$4)-MAX($F53,EB$3)+1)/EB$5)</f>
        <v>0</v>
      </c>
      <c r="EC53" s="49" t="n">
        <f aca="false">$E53*MAX(0,(MIN(In_Decision_Date+In_PB_Days-1,EC$4)-MAX($F53,EC$3)+1)/EC$5)</f>
        <v>0</v>
      </c>
      <c r="ED53" s="49" t="n">
        <f aca="false">$E53*MAX(0,(MIN(In_Decision_Date+In_PB_Days-1,ED$4)-MAX($F53,ED$3)+1)/ED$5)</f>
        <v>0</v>
      </c>
      <c r="EE53" s="49" t="n">
        <f aca="false">$E53*MAX(0,(MIN(In_Decision_Date+In_PB_Days-1,EE$4)-MAX($F53,EE$3)+1)/EE$5)</f>
        <v>0</v>
      </c>
      <c r="EF53" s="49" t="n">
        <f aca="false">$E53*MAX(0,(MIN(In_Decision_Date+In_PB_Days-1,EF$4)-MAX($F53,EF$3)+1)/EF$5)</f>
        <v>0</v>
      </c>
      <c r="EG53" s="49" t="n">
        <f aca="false">$E53*MAX(0,(MIN(In_Decision_Date+In_PB_Days-1,EG$4)-MAX($F53,EG$3)+1)/EG$5)</f>
        <v>0</v>
      </c>
      <c r="EH53" s="49" t="n">
        <f aca="false">$E53*MAX(0,(MIN(In_Decision_Date+In_PB_Days-1,EH$4)-MAX($F53,EH$3)+1)/EH$5)</f>
        <v>0</v>
      </c>
      <c r="EI53" s="49" t="n">
        <f aca="false">$E53*MAX(0,(MIN(In_Decision_Date+In_PB_Days-1,EI$4)-MAX($F53,EI$3)+1)/EI$5)</f>
        <v>0</v>
      </c>
      <c r="EJ53" s="49" t="n">
        <f aca="false">$E53*MAX(0,(MIN(In_Decision_Date+In_PB_Days-1,EJ$4)-MAX($F53,EJ$3)+1)/EJ$5)</f>
        <v>0</v>
      </c>
      <c r="EK53" s="49" t="n">
        <f aca="false">$E53*MAX(0,(MIN(In_Decision_Date+In_PB_Days-1,EK$4)-MAX($F53,EK$3)+1)/EK$5)</f>
        <v>0</v>
      </c>
      <c r="EL53" s="49" t="n">
        <f aca="false">$E53*MAX(0,(MIN(In_Decision_Date+In_PB_Days-1,EL$4)-MAX($F53,EL$3)+1)/EL$5)</f>
        <v>0</v>
      </c>
      <c r="EM53" s="49" t="n">
        <f aca="false">$E53*MAX(0,(MIN(In_Decision_Date+In_PB_Days-1,EM$4)-MAX($F53,EM$3)+1)/EM$5)</f>
        <v>0</v>
      </c>
      <c r="EN53" s="49" t="n">
        <f aca="false">$E53*MAX(0,(MIN(In_Decision_Date+In_PB_Days-1,EN$4)-MAX($F53,EN$3)+1)/EN$5)</f>
        <v>0</v>
      </c>
      <c r="EO53" s="49" t="n">
        <f aca="false">$E53*MAX(0,(MIN(In_Decision_Date+In_PB_Days-1,EO$4)-MAX($F53,EO$3)+1)/EO$5)</f>
        <v>0</v>
      </c>
    </row>
    <row r="54" customFormat="false" ht="15" hidden="false" customHeight="false" outlineLevel="0" collapsed="false">
      <c r="C54" s="1" t="s">
        <v>450</v>
      </c>
      <c r="D54" s="12" t="s">
        <v>33</v>
      </c>
      <c r="E54" s="49" t="n">
        <f aca="false">In_PB_Rate*$E39*$E51*Thousand/In_FX</f>
        <v>2216.43835616438</v>
      </c>
      <c r="F54" s="47" t="n">
        <f aca="false">In_Decision_Date+In_PB_Days</f>
        <v>46433</v>
      </c>
      <c r="J54" s="49" t="n">
        <f aca="false">$E54*MAX(0,(MIN(In_PB_Release,J$4)-MAX($F54,J$3)+1)/J$5)</f>
        <v>0</v>
      </c>
      <c r="K54" s="49" t="n">
        <f aca="false">$E54*MAX(0,(MIN(In_PB_Release,K$4)-MAX($F54,K$3)+1)/K$5)</f>
        <v>1108.21917808219</v>
      </c>
      <c r="L54" s="49" t="n">
        <f aca="false">$E54*MAX(0,(MIN(In_PB_Release,L$4)-MAX($F54,L$3)+1)/L$5)</f>
        <v>2216.43835616438</v>
      </c>
      <c r="M54" s="49" t="n">
        <f aca="false">$E54*MAX(0,(MIN(In_PB_Release,M$4)-MAX($F54,M$3)+1)/M$5)</f>
        <v>2216.43835616438</v>
      </c>
      <c r="N54" s="49" t="n">
        <f aca="false">$E54*MAX(0,(MIN(In_PB_Release,N$4)-MAX($F54,N$3)+1)/N$5)</f>
        <v>2216.43835616438</v>
      </c>
      <c r="O54" s="49" t="n">
        <f aca="false">$E54*MAX(0,(MIN(In_PB_Release,O$4)-MAX($F54,O$3)+1)/O$5)</f>
        <v>2216.43835616438</v>
      </c>
      <c r="P54" s="49" t="n">
        <f aca="false">$E54*MAX(0,(MIN(In_PB_Release,P$4)-MAX($F54,P$3)+1)/P$5)</f>
        <v>2216.43835616438</v>
      </c>
      <c r="Q54" s="49" t="n">
        <f aca="false">$E54*MAX(0,(MIN(In_PB_Release,Q$4)-MAX($F54,Q$3)+1)/Q$5)</f>
        <v>2216.43835616438</v>
      </c>
      <c r="R54" s="49" t="n">
        <f aca="false">$E54*MAX(0,(MIN(In_PB_Release,R$4)-MAX($F54,R$3)+1)/R$5)</f>
        <v>2216.43835616438</v>
      </c>
      <c r="S54" s="49" t="n">
        <f aca="false">$E54*MAX(0,(MIN(In_PB_Release,S$4)-MAX($F54,S$3)+1)/S$5)</f>
        <v>2216.43835616438</v>
      </c>
      <c r="T54" s="49" t="n">
        <f aca="false">$E54*MAX(0,(MIN(In_PB_Release,T$4)-MAX($F54,T$3)+1)/T$5)</f>
        <v>2216.43835616438</v>
      </c>
      <c r="U54" s="49" t="n">
        <f aca="false">$E54*MAX(0,(MIN(In_PB_Release,U$4)-MAX($F54,U$3)+1)/U$5)</f>
        <v>2216.43835616438</v>
      </c>
      <c r="V54" s="49" t="n">
        <f aca="false">$E54*MAX(0,(MIN(In_PB_Release,V$4)-MAX($F54,V$3)+1)/V$5)</f>
        <v>2216.43835616438</v>
      </c>
      <c r="W54" s="49" t="n">
        <f aca="false">$E54*MAX(0,(MIN(In_PB_Release,W$4)-MAX($F54,W$3)+1)/W$5)</f>
        <v>2216.43835616438</v>
      </c>
      <c r="X54" s="49" t="n">
        <f aca="false">$E54*MAX(0,(MIN(In_PB_Release,X$4)-MAX($F54,X$3)+1)/X$5)</f>
        <v>2216.43835616438</v>
      </c>
      <c r="Y54" s="49" t="n">
        <f aca="false">$E54*MAX(0,(MIN(In_PB_Release,Y$4)-MAX($F54,Y$3)+1)/Y$5)</f>
        <v>2216.43835616438</v>
      </c>
      <c r="Z54" s="49" t="n">
        <f aca="false">$E54*MAX(0,(MIN(In_PB_Release,Z$4)-MAX($F54,Z$3)+1)/Z$5)</f>
        <v>2216.43835616438</v>
      </c>
      <c r="AA54" s="49" t="n">
        <f aca="false">$E54*MAX(0,(MIN(In_PB_Release,AA$4)-MAX($F54,AA$3)+1)/AA$5)</f>
        <v>2216.43835616438</v>
      </c>
      <c r="AB54" s="49" t="n">
        <f aca="false">$E54*MAX(0,(MIN(In_PB_Release,AB$4)-MAX($F54,AB$3)+1)/AB$5)</f>
        <v>2216.43835616438</v>
      </c>
      <c r="AC54" s="49" t="n">
        <f aca="false">$E54*MAX(0,(MIN(In_PB_Release,AC$4)-MAX($F54,AC$3)+1)/AC$5)</f>
        <v>2216.43835616438</v>
      </c>
      <c r="AD54" s="49" t="n">
        <f aca="false">$E54*MAX(0,(MIN(In_PB_Release,AD$4)-MAX($F54,AD$3)+1)/AD$5)</f>
        <v>2216.43835616438</v>
      </c>
      <c r="AE54" s="49" t="n">
        <f aca="false">$E54*MAX(0,(MIN(In_PB_Release,AE$4)-MAX($F54,AE$3)+1)/AE$5)</f>
        <v>2216.43835616438</v>
      </c>
      <c r="AF54" s="49" t="n">
        <f aca="false">$E54*MAX(0,(MIN(In_PB_Release,AF$4)-MAX($F54,AF$3)+1)/AF$5)</f>
        <v>2216.43835616438</v>
      </c>
      <c r="AG54" s="49" t="n">
        <f aca="false">$E54*MAX(0,(MIN(In_PB_Release,AG$4)-MAX($F54,AG$3)+1)/AG$5)</f>
        <v>2216.43835616438</v>
      </c>
      <c r="AH54" s="49" t="n">
        <f aca="false">$E54*MAX(0,(MIN(In_PB_Release,AH$4)-MAX($F54,AH$3)+1)/AH$5)</f>
        <v>2216.43835616438</v>
      </c>
      <c r="AI54" s="49" t="n">
        <f aca="false">$E54*MAX(0,(MIN(In_PB_Release,AI$4)-MAX($F54,AI$3)+1)/AI$5)</f>
        <v>2216.43835616438</v>
      </c>
      <c r="AJ54" s="49" t="n">
        <f aca="false">$E54*MAX(0,(MIN(In_PB_Release,AJ$4)-MAX($F54,AJ$3)+1)/AJ$5)</f>
        <v>0</v>
      </c>
      <c r="AK54" s="49" t="n">
        <f aca="false">$E54*MAX(0,(MIN(In_PB_Release,AK$4)-MAX($F54,AK$3)+1)/AK$5)</f>
        <v>0</v>
      </c>
      <c r="AL54" s="49" t="n">
        <f aca="false">$E54*MAX(0,(MIN(In_PB_Release,AL$4)-MAX($F54,AL$3)+1)/AL$5)</f>
        <v>0</v>
      </c>
      <c r="AM54" s="49" t="n">
        <f aca="false">$E54*MAX(0,(MIN(In_PB_Release,AM$4)-MAX($F54,AM$3)+1)/AM$5)</f>
        <v>0</v>
      </c>
      <c r="AN54" s="49" t="n">
        <f aca="false">$E54*MAX(0,(MIN(In_PB_Release,AN$4)-MAX($F54,AN$3)+1)/AN$5)</f>
        <v>0</v>
      </c>
      <c r="AO54" s="49" t="n">
        <f aca="false">$E54*MAX(0,(MIN(In_PB_Release,AO$4)-MAX($F54,AO$3)+1)/AO$5)</f>
        <v>0</v>
      </c>
      <c r="AP54" s="49" t="n">
        <f aca="false">$E54*MAX(0,(MIN(In_PB_Release,AP$4)-MAX($F54,AP$3)+1)/AP$5)</f>
        <v>0</v>
      </c>
      <c r="AQ54" s="49" t="n">
        <f aca="false">$E54*MAX(0,(MIN(In_PB_Release,AQ$4)-MAX($F54,AQ$3)+1)/AQ$5)</f>
        <v>0</v>
      </c>
      <c r="AR54" s="49" t="n">
        <f aca="false">$E54*MAX(0,(MIN(In_PB_Release,AR$4)-MAX($F54,AR$3)+1)/AR$5)</f>
        <v>0</v>
      </c>
      <c r="AS54" s="49" t="n">
        <f aca="false">$E54*MAX(0,(MIN(In_PB_Release,AS$4)-MAX($F54,AS$3)+1)/AS$5)</f>
        <v>0</v>
      </c>
      <c r="AT54" s="49" t="n">
        <f aca="false">$E54*MAX(0,(MIN(In_PB_Release,AT$4)-MAX($F54,AT$3)+1)/AT$5)</f>
        <v>0</v>
      </c>
      <c r="AU54" s="49" t="n">
        <f aca="false">$E54*MAX(0,(MIN(In_PB_Release,AU$4)-MAX($F54,AU$3)+1)/AU$5)</f>
        <v>0</v>
      </c>
      <c r="AV54" s="49" t="n">
        <f aca="false">$E54*MAX(0,(MIN(In_PB_Release,AV$4)-MAX($F54,AV$3)+1)/AV$5)</f>
        <v>0</v>
      </c>
      <c r="AW54" s="49" t="n">
        <f aca="false">$E54*MAX(0,(MIN(In_PB_Release,AW$4)-MAX($F54,AW$3)+1)/AW$5)</f>
        <v>0</v>
      </c>
      <c r="AX54" s="49" t="n">
        <f aca="false">$E54*MAX(0,(MIN(In_PB_Release,AX$4)-MAX($F54,AX$3)+1)/AX$5)</f>
        <v>0</v>
      </c>
      <c r="AY54" s="49" t="n">
        <f aca="false">$E54*MAX(0,(MIN(In_PB_Release,AY$4)-MAX($F54,AY$3)+1)/AY$5)</f>
        <v>0</v>
      </c>
      <c r="AZ54" s="49" t="n">
        <f aca="false">$E54*MAX(0,(MIN(In_PB_Release,AZ$4)-MAX($F54,AZ$3)+1)/AZ$5)</f>
        <v>0</v>
      </c>
      <c r="BA54" s="49" t="n">
        <f aca="false">$E54*MAX(0,(MIN(In_PB_Release,BA$4)-MAX($F54,BA$3)+1)/BA$5)</f>
        <v>0</v>
      </c>
      <c r="BB54" s="49" t="n">
        <f aca="false">$E54*MAX(0,(MIN(In_PB_Release,BB$4)-MAX($F54,BB$3)+1)/BB$5)</f>
        <v>0</v>
      </c>
      <c r="BC54" s="49" t="n">
        <f aca="false">$E54*MAX(0,(MIN(In_PB_Release,BC$4)-MAX($F54,BC$3)+1)/BC$5)</f>
        <v>0</v>
      </c>
      <c r="BD54" s="49" t="n">
        <f aca="false">$E54*MAX(0,(MIN(In_PB_Release,BD$4)-MAX($F54,BD$3)+1)/BD$5)</f>
        <v>0</v>
      </c>
      <c r="BE54" s="49" t="n">
        <f aca="false">$E54*MAX(0,(MIN(In_PB_Release,BE$4)-MAX($F54,BE$3)+1)/BE$5)</f>
        <v>0</v>
      </c>
      <c r="BF54" s="49" t="n">
        <f aca="false">$E54*MAX(0,(MIN(In_PB_Release,BF$4)-MAX($F54,BF$3)+1)/BF$5)</f>
        <v>0</v>
      </c>
      <c r="BG54" s="49" t="n">
        <f aca="false">$E54*MAX(0,(MIN(In_PB_Release,BG$4)-MAX($F54,BG$3)+1)/BG$5)</f>
        <v>0</v>
      </c>
      <c r="BH54" s="49" t="n">
        <f aca="false">$E54*MAX(0,(MIN(In_PB_Release,BH$4)-MAX($F54,BH$3)+1)/BH$5)</f>
        <v>0</v>
      </c>
      <c r="BI54" s="49" t="n">
        <f aca="false">$E54*MAX(0,(MIN(In_PB_Release,BI$4)-MAX($F54,BI$3)+1)/BI$5)</f>
        <v>0</v>
      </c>
      <c r="BJ54" s="49" t="n">
        <f aca="false">$E54*MAX(0,(MIN(In_PB_Release,BJ$4)-MAX($F54,BJ$3)+1)/BJ$5)</f>
        <v>0</v>
      </c>
      <c r="BK54" s="49" t="n">
        <f aca="false">$E54*MAX(0,(MIN(In_PB_Release,BK$4)-MAX($F54,BK$3)+1)/BK$5)</f>
        <v>0</v>
      </c>
      <c r="BL54" s="49" t="n">
        <f aca="false">$E54*MAX(0,(MIN(In_PB_Release,BL$4)-MAX($F54,BL$3)+1)/BL$5)</f>
        <v>0</v>
      </c>
      <c r="BM54" s="49" t="n">
        <f aca="false">$E54*MAX(0,(MIN(In_PB_Release,BM$4)-MAX($F54,BM$3)+1)/BM$5)</f>
        <v>0</v>
      </c>
      <c r="BN54" s="49" t="n">
        <f aca="false">$E54*MAX(0,(MIN(In_PB_Release,BN$4)-MAX($F54,BN$3)+1)/BN$5)</f>
        <v>0</v>
      </c>
      <c r="BO54" s="49" t="n">
        <f aca="false">$E54*MAX(0,(MIN(In_PB_Release,BO$4)-MAX($F54,BO$3)+1)/BO$5)</f>
        <v>0</v>
      </c>
      <c r="BP54" s="49" t="n">
        <f aca="false">$E54*MAX(0,(MIN(In_PB_Release,BP$4)-MAX($F54,BP$3)+1)/BP$5)</f>
        <v>0</v>
      </c>
      <c r="BQ54" s="49" t="n">
        <f aca="false">$E54*MAX(0,(MIN(In_PB_Release,BQ$4)-MAX($F54,BQ$3)+1)/BQ$5)</f>
        <v>0</v>
      </c>
      <c r="BR54" s="49" t="n">
        <f aca="false">$E54*MAX(0,(MIN(In_PB_Release,BR$4)-MAX($F54,BR$3)+1)/BR$5)</f>
        <v>0</v>
      </c>
      <c r="BS54" s="49" t="n">
        <f aca="false">$E54*MAX(0,(MIN(In_PB_Release,BS$4)-MAX($F54,BS$3)+1)/BS$5)</f>
        <v>0</v>
      </c>
      <c r="BT54" s="49" t="n">
        <f aca="false">$E54*MAX(0,(MIN(In_PB_Release,BT$4)-MAX($F54,BT$3)+1)/BT$5)</f>
        <v>0</v>
      </c>
      <c r="BU54" s="49" t="n">
        <f aca="false">$E54*MAX(0,(MIN(In_PB_Release,BU$4)-MAX($F54,BU$3)+1)/BU$5)</f>
        <v>0</v>
      </c>
      <c r="BV54" s="49" t="n">
        <f aca="false">$E54*MAX(0,(MIN(In_PB_Release,BV$4)-MAX($F54,BV$3)+1)/BV$5)</f>
        <v>0</v>
      </c>
      <c r="BW54" s="49" t="n">
        <f aca="false">$E54*MAX(0,(MIN(In_PB_Release,BW$4)-MAX($F54,BW$3)+1)/BW$5)</f>
        <v>0</v>
      </c>
      <c r="BX54" s="49" t="n">
        <f aca="false">$E54*MAX(0,(MIN(In_PB_Release,BX$4)-MAX($F54,BX$3)+1)/BX$5)</f>
        <v>0</v>
      </c>
      <c r="BY54" s="49" t="n">
        <f aca="false">$E54*MAX(0,(MIN(In_PB_Release,BY$4)-MAX($F54,BY$3)+1)/BY$5)</f>
        <v>0</v>
      </c>
      <c r="BZ54" s="49" t="n">
        <f aca="false">$E54*MAX(0,(MIN(In_PB_Release,BZ$4)-MAX($F54,BZ$3)+1)/BZ$5)</f>
        <v>0</v>
      </c>
      <c r="CA54" s="49" t="n">
        <f aca="false">$E54*MAX(0,(MIN(In_PB_Release,CA$4)-MAX($F54,CA$3)+1)/CA$5)</f>
        <v>0</v>
      </c>
      <c r="CB54" s="49" t="n">
        <f aca="false">$E54*MAX(0,(MIN(In_PB_Release,CB$4)-MAX($F54,CB$3)+1)/CB$5)</f>
        <v>0</v>
      </c>
      <c r="CC54" s="49" t="n">
        <f aca="false">$E54*MAX(0,(MIN(In_PB_Release,CC$4)-MAX($F54,CC$3)+1)/CC$5)</f>
        <v>0</v>
      </c>
      <c r="CD54" s="49" t="n">
        <f aca="false">$E54*MAX(0,(MIN(In_PB_Release,CD$4)-MAX($F54,CD$3)+1)/CD$5)</f>
        <v>0</v>
      </c>
      <c r="CE54" s="49" t="n">
        <f aca="false">$E54*MAX(0,(MIN(In_PB_Release,CE$4)-MAX($F54,CE$3)+1)/CE$5)</f>
        <v>0</v>
      </c>
      <c r="CF54" s="49" t="n">
        <f aca="false">$E54*MAX(0,(MIN(In_PB_Release,CF$4)-MAX($F54,CF$3)+1)/CF$5)</f>
        <v>0</v>
      </c>
      <c r="CG54" s="49" t="n">
        <f aca="false">$E54*MAX(0,(MIN(In_PB_Release,CG$4)-MAX($F54,CG$3)+1)/CG$5)</f>
        <v>0</v>
      </c>
      <c r="CH54" s="49" t="n">
        <f aca="false">$E54*MAX(0,(MIN(In_PB_Release,CH$4)-MAX($F54,CH$3)+1)/CH$5)</f>
        <v>0</v>
      </c>
      <c r="CI54" s="49" t="n">
        <f aca="false">$E54*MAX(0,(MIN(In_PB_Release,CI$4)-MAX($F54,CI$3)+1)/CI$5)</f>
        <v>0</v>
      </c>
      <c r="CJ54" s="49" t="n">
        <f aca="false">$E54*MAX(0,(MIN(In_PB_Release,CJ$4)-MAX($F54,CJ$3)+1)/CJ$5)</f>
        <v>0</v>
      </c>
      <c r="CK54" s="49" t="n">
        <f aca="false">$E54*MAX(0,(MIN(In_PB_Release,CK$4)-MAX($F54,CK$3)+1)/CK$5)</f>
        <v>0</v>
      </c>
      <c r="CL54" s="49" t="n">
        <f aca="false">$E54*MAX(0,(MIN(In_PB_Release,CL$4)-MAX($F54,CL$3)+1)/CL$5)</f>
        <v>0</v>
      </c>
      <c r="CM54" s="49" t="n">
        <f aca="false">$E54*MAX(0,(MIN(In_PB_Release,CM$4)-MAX($F54,CM$3)+1)/CM$5)</f>
        <v>0</v>
      </c>
      <c r="CN54" s="49" t="n">
        <f aca="false">$E54*MAX(0,(MIN(In_PB_Release,CN$4)-MAX($F54,CN$3)+1)/CN$5)</f>
        <v>0</v>
      </c>
      <c r="CO54" s="49" t="n">
        <f aca="false">$E54*MAX(0,(MIN(In_PB_Release,CO$4)-MAX($F54,CO$3)+1)/CO$5)</f>
        <v>0</v>
      </c>
      <c r="CP54" s="49" t="n">
        <f aca="false">$E54*MAX(0,(MIN(In_PB_Release,CP$4)-MAX($F54,CP$3)+1)/CP$5)</f>
        <v>0</v>
      </c>
      <c r="CQ54" s="49" t="n">
        <f aca="false">$E54*MAX(0,(MIN(In_PB_Release,CQ$4)-MAX($F54,CQ$3)+1)/CQ$5)</f>
        <v>0</v>
      </c>
      <c r="CR54" s="49" t="n">
        <f aca="false">$E54*MAX(0,(MIN(In_PB_Release,CR$4)-MAX($F54,CR$3)+1)/CR$5)</f>
        <v>0</v>
      </c>
      <c r="CS54" s="49" t="n">
        <f aca="false">$E54*MAX(0,(MIN(In_PB_Release,CS$4)-MAX($F54,CS$3)+1)/CS$5)</f>
        <v>0</v>
      </c>
      <c r="CT54" s="49" t="n">
        <f aca="false">$E54*MAX(0,(MIN(In_PB_Release,CT$4)-MAX($F54,CT$3)+1)/CT$5)</f>
        <v>0</v>
      </c>
      <c r="CU54" s="49" t="n">
        <f aca="false">$E54*MAX(0,(MIN(In_PB_Release,CU$4)-MAX($F54,CU$3)+1)/CU$5)</f>
        <v>0</v>
      </c>
      <c r="CV54" s="49" t="n">
        <f aca="false">$E54*MAX(0,(MIN(In_PB_Release,CV$4)-MAX($F54,CV$3)+1)/CV$5)</f>
        <v>0</v>
      </c>
      <c r="CW54" s="49" t="n">
        <f aca="false">$E54*MAX(0,(MIN(In_PB_Release,CW$4)-MAX($F54,CW$3)+1)/CW$5)</f>
        <v>0</v>
      </c>
      <c r="CX54" s="49" t="n">
        <f aca="false">$E54*MAX(0,(MIN(In_PB_Release,CX$4)-MAX($F54,CX$3)+1)/CX$5)</f>
        <v>0</v>
      </c>
      <c r="CY54" s="49" t="n">
        <f aca="false">$E54*MAX(0,(MIN(In_PB_Release,CY$4)-MAX($F54,CY$3)+1)/CY$5)</f>
        <v>0</v>
      </c>
      <c r="CZ54" s="49" t="n">
        <f aca="false">$E54*MAX(0,(MIN(In_PB_Release,CZ$4)-MAX($F54,CZ$3)+1)/CZ$5)</f>
        <v>0</v>
      </c>
      <c r="DA54" s="49" t="n">
        <f aca="false">$E54*MAX(0,(MIN(In_PB_Release,DA$4)-MAX($F54,DA$3)+1)/DA$5)</f>
        <v>0</v>
      </c>
      <c r="DB54" s="49" t="n">
        <f aca="false">$E54*MAX(0,(MIN(In_PB_Release,DB$4)-MAX($F54,DB$3)+1)/DB$5)</f>
        <v>0</v>
      </c>
      <c r="DC54" s="49" t="n">
        <f aca="false">$E54*MAX(0,(MIN(In_PB_Release,DC$4)-MAX($F54,DC$3)+1)/DC$5)</f>
        <v>0</v>
      </c>
      <c r="DD54" s="49" t="n">
        <f aca="false">$E54*MAX(0,(MIN(In_PB_Release,DD$4)-MAX($F54,DD$3)+1)/DD$5)</f>
        <v>0</v>
      </c>
      <c r="DE54" s="49" t="n">
        <f aca="false">$E54*MAX(0,(MIN(In_PB_Release,DE$4)-MAX($F54,DE$3)+1)/DE$5)</f>
        <v>0</v>
      </c>
      <c r="DF54" s="49" t="n">
        <f aca="false">$E54*MAX(0,(MIN(In_PB_Release,DF$4)-MAX($F54,DF$3)+1)/DF$5)</f>
        <v>0</v>
      </c>
      <c r="DG54" s="49" t="n">
        <f aca="false">$E54*MAX(0,(MIN(In_PB_Release,DG$4)-MAX($F54,DG$3)+1)/DG$5)</f>
        <v>0</v>
      </c>
      <c r="DH54" s="49" t="n">
        <f aca="false">$E54*MAX(0,(MIN(In_PB_Release,DH$4)-MAX($F54,DH$3)+1)/DH$5)</f>
        <v>0</v>
      </c>
      <c r="DI54" s="49" t="n">
        <f aca="false">$E54*MAX(0,(MIN(In_PB_Release,DI$4)-MAX($F54,DI$3)+1)/DI$5)</f>
        <v>0</v>
      </c>
      <c r="DJ54" s="49" t="n">
        <f aca="false">$E54*MAX(0,(MIN(In_PB_Release,DJ$4)-MAX($F54,DJ$3)+1)/DJ$5)</f>
        <v>0</v>
      </c>
      <c r="DK54" s="49" t="n">
        <f aca="false">$E54*MAX(0,(MIN(In_PB_Release,DK$4)-MAX($F54,DK$3)+1)/DK$5)</f>
        <v>0</v>
      </c>
      <c r="DL54" s="49" t="n">
        <f aca="false">$E54*MAX(0,(MIN(In_PB_Release,DL$4)-MAX($F54,DL$3)+1)/DL$5)</f>
        <v>0</v>
      </c>
      <c r="DM54" s="49" t="n">
        <f aca="false">$E54*MAX(0,(MIN(In_PB_Release,DM$4)-MAX($F54,DM$3)+1)/DM$5)</f>
        <v>0</v>
      </c>
      <c r="DN54" s="49" t="n">
        <f aca="false">$E54*MAX(0,(MIN(In_PB_Release,DN$4)-MAX($F54,DN$3)+1)/DN$5)</f>
        <v>0</v>
      </c>
      <c r="DO54" s="49" t="n">
        <f aca="false">$E54*MAX(0,(MIN(In_PB_Release,DO$4)-MAX($F54,DO$3)+1)/DO$5)</f>
        <v>0</v>
      </c>
      <c r="DP54" s="49" t="n">
        <f aca="false">$E54*MAX(0,(MIN(In_PB_Release,DP$4)-MAX($F54,DP$3)+1)/DP$5)</f>
        <v>0</v>
      </c>
      <c r="DQ54" s="49" t="n">
        <f aca="false">$E54*MAX(0,(MIN(In_PB_Release,DQ$4)-MAX($F54,DQ$3)+1)/DQ$5)</f>
        <v>0</v>
      </c>
      <c r="DR54" s="49" t="n">
        <f aca="false">$E54*MAX(0,(MIN(In_PB_Release,DR$4)-MAX($F54,DR$3)+1)/DR$5)</f>
        <v>0</v>
      </c>
      <c r="DS54" s="49" t="n">
        <f aca="false">$E54*MAX(0,(MIN(In_PB_Release,DS$4)-MAX($F54,DS$3)+1)/DS$5)</f>
        <v>0</v>
      </c>
      <c r="DT54" s="49" t="n">
        <f aca="false">$E54*MAX(0,(MIN(In_PB_Release,DT$4)-MAX($F54,DT$3)+1)/DT$5)</f>
        <v>0</v>
      </c>
      <c r="DU54" s="49" t="n">
        <f aca="false">$E54*MAX(0,(MIN(In_PB_Release,DU$4)-MAX($F54,DU$3)+1)/DU$5)</f>
        <v>0</v>
      </c>
      <c r="DV54" s="49" t="n">
        <f aca="false">$E54*MAX(0,(MIN(In_PB_Release,DV$4)-MAX($F54,DV$3)+1)/DV$5)</f>
        <v>0</v>
      </c>
      <c r="DW54" s="49" t="n">
        <f aca="false">$E54*MAX(0,(MIN(In_PB_Release,DW$4)-MAX($F54,DW$3)+1)/DW$5)</f>
        <v>0</v>
      </c>
      <c r="DX54" s="49" t="n">
        <f aca="false">$E54*MAX(0,(MIN(In_PB_Release,DX$4)-MAX($F54,DX$3)+1)/DX$5)</f>
        <v>0</v>
      </c>
      <c r="DY54" s="49" t="n">
        <f aca="false">$E54*MAX(0,(MIN(In_PB_Release,DY$4)-MAX($F54,DY$3)+1)/DY$5)</f>
        <v>0</v>
      </c>
      <c r="DZ54" s="49" t="n">
        <f aca="false">$E54*MAX(0,(MIN(In_PB_Release,DZ$4)-MAX($F54,DZ$3)+1)/DZ$5)</f>
        <v>0</v>
      </c>
      <c r="EA54" s="49" t="n">
        <f aca="false">$E54*MAX(0,(MIN(In_PB_Release,EA$4)-MAX($F54,EA$3)+1)/EA$5)</f>
        <v>0</v>
      </c>
      <c r="EB54" s="49" t="n">
        <f aca="false">$E54*MAX(0,(MIN(In_PB_Release,EB$4)-MAX($F54,EB$3)+1)/EB$5)</f>
        <v>0</v>
      </c>
      <c r="EC54" s="49" t="n">
        <f aca="false">$E54*MAX(0,(MIN(In_PB_Release,EC$4)-MAX($F54,EC$3)+1)/EC$5)</f>
        <v>0</v>
      </c>
      <c r="ED54" s="49" t="n">
        <f aca="false">$E54*MAX(0,(MIN(In_PB_Release,ED$4)-MAX($F54,ED$3)+1)/ED$5)</f>
        <v>0</v>
      </c>
      <c r="EE54" s="49" t="n">
        <f aca="false">$E54*MAX(0,(MIN(In_PB_Release,EE$4)-MAX($F54,EE$3)+1)/EE$5)</f>
        <v>0</v>
      </c>
      <c r="EF54" s="49" t="n">
        <f aca="false">$E54*MAX(0,(MIN(In_PB_Release,EF$4)-MAX($F54,EF$3)+1)/EF$5)</f>
        <v>0</v>
      </c>
      <c r="EG54" s="49" t="n">
        <f aca="false">$E54*MAX(0,(MIN(In_PB_Release,EG$4)-MAX($F54,EG$3)+1)/EG$5)</f>
        <v>0</v>
      </c>
      <c r="EH54" s="49" t="n">
        <f aca="false">$E54*MAX(0,(MIN(In_PB_Release,EH$4)-MAX($F54,EH$3)+1)/EH$5)</f>
        <v>0</v>
      </c>
      <c r="EI54" s="49" t="n">
        <f aca="false">$E54*MAX(0,(MIN(In_PB_Release,EI$4)-MAX($F54,EI$3)+1)/EI$5)</f>
        <v>0</v>
      </c>
      <c r="EJ54" s="49" t="n">
        <f aca="false">$E54*MAX(0,(MIN(In_PB_Release,EJ$4)-MAX($F54,EJ$3)+1)/EJ$5)</f>
        <v>0</v>
      </c>
      <c r="EK54" s="49" t="n">
        <f aca="false">$E54*MAX(0,(MIN(In_PB_Release,EK$4)-MAX($F54,EK$3)+1)/EK$5)</f>
        <v>0</v>
      </c>
      <c r="EL54" s="49" t="n">
        <f aca="false">$E54*MAX(0,(MIN(In_PB_Release,EL$4)-MAX($F54,EL$3)+1)/EL$5)</f>
        <v>0</v>
      </c>
      <c r="EM54" s="49" t="n">
        <f aca="false">$E54*MAX(0,(MIN(In_PB_Release,EM$4)-MAX($F54,EM$3)+1)/EM$5)</f>
        <v>0</v>
      </c>
      <c r="EN54" s="49" t="n">
        <f aca="false">$E54*MAX(0,(MIN(In_PB_Release,EN$4)-MAX($F54,EN$3)+1)/EN$5)</f>
        <v>0</v>
      </c>
      <c r="EO54" s="49" t="n">
        <f aca="false">$E54*MAX(0,(MIN(In_PB_Release,EO$4)-MAX($F54,EO$3)+1)/EO$5)</f>
        <v>0</v>
      </c>
    </row>
    <row r="55" customFormat="false" ht="15" hidden="false" customHeight="false" outlineLevel="0" collapsed="false">
      <c r="C55" s="1" t="s">
        <v>451</v>
      </c>
      <c r="D55" s="12" t="s">
        <v>33</v>
      </c>
      <c r="E55" s="49" t="n">
        <f aca="false">In_TSO_Security*In_MVA*Thousand/In_FX</f>
        <v>616.438356164384</v>
      </c>
      <c r="F55" s="47" t="n">
        <f aca="false">In_Decision_Date+In_PB_Days</f>
        <v>46433</v>
      </c>
      <c r="I55" s="49" t="n">
        <f aca="false">SUM(J55:EO55)</f>
        <v>-616.438356164384</v>
      </c>
      <c r="J55" s="49" t="n">
        <f aca="false">-$E55*N(AND(J$3&lt;=$F55,J$4&gt;=$F55))</f>
        <v>-0</v>
      </c>
      <c r="K55" s="49" t="n">
        <f aca="false">-$E55*N(AND(K$3&lt;=$F55,K$4&gt;=$F55))</f>
        <v>-616.438356164384</v>
      </c>
      <c r="L55" s="49" t="n">
        <f aca="false">-$E55*N(AND(L$3&lt;=$F55,L$4&gt;=$F55))</f>
        <v>-0</v>
      </c>
      <c r="M55" s="49" t="n">
        <f aca="false">-$E55*N(AND(M$3&lt;=$F55,M$4&gt;=$F55))</f>
        <v>-0</v>
      </c>
      <c r="N55" s="49" t="n">
        <f aca="false">-$E55*N(AND(N$3&lt;=$F55,N$4&gt;=$F55))</f>
        <v>-0</v>
      </c>
      <c r="O55" s="49" t="n">
        <f aca="false">-$E55*N(AND(O$3&lt;=$F55,O$4&gt;=$F55))</f>
        <v>-0</v>
      </c>
      <c r="P55" s="49" t="n">
        <f aca="false">-$E55*N(AND(P$3&lt;=$F55,P$4&gt;=$F55))</f>
        <v>-0</v>
      </c>
      <c r="Q55" s="49" t="n">
        <f aca="false">-$E55*N(AND(Q$3&lt;=$F55,Q$4&gt;=$F55))</f>
        <v>-0</v>
      </c>
      <c r="R55" s="49" t="n">
        <f aca="false">-$E55*N(AND(R$3&lt;=$F55,R$4&gt;=$F55))</f>
        <v>-0</v>
      </c>
      <c r="S55" s="49" t="n">
        <f aca="false">-$E55*N(AND(S$3&lt;=$F55,S$4&gt;=$F55))</f>
        <v>-0</v>
      </c>
      <c r="T55" s="49" t="n">
        <f aca="false">-$E55*N(AND(T$3&lt;=$F55,T$4&gt;=$F55))</f>
        <v>-0</v>
      </c>
      <c r="U55" s="49" t="n">
        <f aca="false">-$E55*N(AND(U$3&lt;=$F55,U$4&gt;=$F55))</f>
        <v>-0</v>
      </c>
      <c r="V55" s="49" t="n">
        <f aca="false">-$E55*N(AND(V$3&lt;=$F55,V$4&gt;=$F55))</f>
        <v>-0</v>
      </c>
      <c r="W55" s="49" t="n">
        <f aca="false">-$E55*N(AND(W$3&lt;=$F55,W$4&gt;=$F55))</f>
        <v>-0</v>
      </c>
      <c r="X55" s="49" t="n">
        <f aca="false">-$E55*N(AND(X$3&lt;=$F55,X$4&gt;=$F55))</f>
        <v>-0</v>
      </c>
      <c r="Y55" s="49" t="n">
        <f aca="false">-$E55*N(AND(Y$3&lt;=$F55,Y$4&gt;=$F55))</f>
        <v>-0</v>
      </c>
      <c r="Z55" s="49" t="n">
        <f aca="false">-$E55*N(AND(Z$3&lt;=$F55,Z$4&gt;=$F55))</f>
        <v>-0</v>
      </c>
      <c r="AA55" s="49" t="n">
        <f aca="false">-$E55*N(AND(AA$3&lt;=$F55,AA$4&gt;=$F55))</f>
        <v>-0</v>
      </c>
      <c r="AB55" s="49" t="n">
        <f aca="false">-$E55*N(AND(AB$3&lt;=$F55,AB$4&gt;=$F55))</f>
        <v>-0</v>
      </c>
      <c r="AC55" s="49" t="n">
        <f aca="false">-$E55*N(AND(AC$3&lt;=$F55,AC$4&gt;=$F55))</f>
        <v>-0</v>
      </c>
      <c r="AD55" s="49" t="n">
        <f aca="false">-$E55*N(AND(AD$3&lt;=$F55,AD$4&gt;=$F55))</f>
        <v>-0</v>
      </c>
      <c r="AE55" s="49" t="n">
        <f aca="false">-$E55*N(AND(AE$3&lt;=$F55,AE$4&gt;=$F55))</f>
        <v>-0</v>
      </c>
      <c r="AF55" s="49" t="n">
        <f aca="false">-$E55*N(AND(AF$3&lt;=$F55,AF$4&gt;=$F55))</f>
        <v>-0</v>
      </c>
      <c r="AG55" s="49" t="n">
        <f aca="false">-$E55*N(AND(AG$3&lt;=$F55,AG$4&gt;=$F55))</f>
        <v>-0</v>
      </c>
      <c r="AH55" s="49" t="n">
        <f aca="false">-$E55*N(AND(AH$3&lt;=$F55,AH$4&gt;=$F55))</f>
        <v>-0</v>
      </c>
      <c r="AI55" s="49" t="n">
        <f aca="false">-$E55*N(AND(AI$3&lt;=$F55,AI$4&gt;=$F55))</f>
        <v>-0</v>
      </c>
      <c r="AJ55" s="49" t="n">
        <f aca="false">-$E55*N(AND(AJ$3&lt;=$F55,AJ$4&gt;=$F55))</f>
        <v>-0</v>
      </c>
      <c r="AK55" s="49" t="n">
        <f aca="false">-$E55*N(AND(AK$3&lt;=$F55,AK$4&gt;=$F55))</f>
        <v>-0</v>
      </c>
      <c r="AL55" s="49" t="n">
        <f aca="false">-$E55*N(AND(AL$3&lt;=$F55,AL$4&gt;=$F55))</f>
        <v>-0</v>
      </c>
      <c r="AM55" s="49" t="n">
        <f aca="false">-$E55*N(AND(AM$3&lt;=$F55,AM$4&gt;=$F55))</f>
        <v>-0</v>
      </c>
      <c r="AN55" s="49" t="n">
        <f aca="false">-$E55*N(AND(AN$3&lt;=$F55,AN$4&gt;=$F55))</f>
        <v>-0</v>
      </c>
      <c r="AO55" s="49" t="n">
        <f aca="false">-$E55*N(AND(AO$3&lt;=$F55,AO$4&gt;=$F55))</f>
        <v>-0</v>
      </c>
      <c r="AP55" s="49" t="n">
        <f aca="false">-$E55*N(AND(AP$3&lt;=$F55,AP$4&gt;=$F55))</f>
        <v>-0</v>
      </c>
      <c r="AQ55" s="49" t="n">
        <f aca="false">-$E55*N(AND(AQ$3&lt;=$F55,AQ$4&gt;=$F55))</f>
        <v>-0</v>
      </c>
      <c r="AR55" s="49" t="n">
        <f aca="false">-$E55*N(AND(AR$3&lt;=$F55,AR$4&gt;=$F55))</f>
        <v>-0</v>
      </c>
      <c r="AS55" s="49" t="n">
        <f aca="false">-$E55*N(AND(AS$3&lt;=$F55,AS$4&gt;=$F55))</f>
        <v>-0</v>
      </c>
      <c r="AT55" s="49" t="n">
        <f aca="false">-$E55*N(AND(AT$3&lt;=$F55,AT$4&gt;=$F55))</f>
        <v>-0</v>
      </c>
      <c r="AU55" s="49" t="n">
        <f aca="false">-$E55*N(AND(AU$3&lt;=$F55,AU$4&gt;=$F55))</f>
        <v>-0</v>
      </c>
      <c r="AV55" s="49" t="n">
        <f aca="false">-$E55*N(AND(AV$3&lt;=$F55,AV$4&gt;=$F55))</f>
        <v>-0</v>
      </c>
      <c r="AW55" s="49" t="n">
        <f aca="false">-$E55*N(AND(AW$3&lt;=$F55,AW$4&gt;=$F55))</f>
        <v>-0</v>
      </c>
      <c r="AX55" s="49" t="n">
        <f aca="false">-$E55*N(AND(AX$3&lt;=$F55,AX$4&gt;=$F55))</f>
        <v>-0</v>
      </c>
      <c r="AY55" s="49" t="n">
        <f aca="false">-$E55*N(AND(AY$3&lt;=$F55,AY$4&gt;=$F55))</f>
        <v>-0</v>
      </c>
      <c r="AZ55" s="49" t="n">
        <f aca="false">-$E55*N(AND(AZ$3&lt;=$F55,AZ$4&gt;=$F55))</f>
        <v>-0</v>
      </c>
      <c r="BA55" s="49" t="n">
        <f aca="false">-$E55*N(AND(BA$3&lt;=$F55,BA$4&gt;=$F55))</f>
        <v>-0</v>
      </c>
      <c r="BB55" s="49" t="n">
        <f aca="false">-$E55*N(AND(BB$3&lt;=$F55,BB$4&gt;=$F55))</f>
        <v>-0</v>
      </c>
      <c r="BC55" s="49" t="n">
        <f aca="false">-$E55*N(AND(BC$3&lt;=$F55,BC$4&gt;=$F55))</f>
        <v>-0</v>
      </c>
      <c r="BD55" s="49" t="n">
        <f aca="false">-$E55*N(AND(BD$3&lt;=$F55,BD$4&gt;=$F55))</f>
        <v>-0</v>
      </c>
      <c r="BE55" s="49" t="n">
        <f aca="false">-$E55*N(AND(BE$3&lt;=$F55,BE$4&gt;=$F55))</f>
        <v>-0</v>
      </c>
      <c r="BF55" s="49" t="n">
        <f aca="false">-$E55*N(AND(BF$3&lt;=$F55,BF$4&gt;=$F55))</f>
        <v>-0</v>
      </c>
      <c r="BG55" s="49" t="n">
        <f aca="false">-$E55*N(AND(BG$3&lt;=$F55,BG$4&gt;=$F55))</f>
        <v>-0</v>
      </c>
      <c r="BH55" s="49" t="n">
        <f aca="false">-$E55*N(AND(BH$3&lt;=$F55,BH$4&gt;=$F55))</f>
        <v>-0</v>
      </c>
      <c r="BI55" s="49" t="n">
        <f aca="false">-$E55*N(AND(BI$3&lt;=$F55,BI$4&gt;=$F55))</f>
        <v>-0</v>
      </c>
      <c r="BJ55" s="49" t="n">
        <f aca="false">-$E55*N(AND(BJ$3&lt;=$F55,BJ$4&gt;=$F55))</f>
        <v>-0</v>
      </c>
      <c r="BK55" s="49" t="n">
        <f aca="false">-$E55*N(AND(BK$3&lt;=$F55,BK$4&gt;=$F55))</f>
        <v>-0</v>
      </c>
      <c r="BL55" s="49" t="n">
        <f aca="false">-$E55*N(AND(BL$3&lt;=$F55,BL$4&gt;=$F55))</f>
        <v>-0</v>
      </c>
      <c r="BM55" s="49" t="n">
        <f aca="false">-$E55*N(AND(BM$3&lt;=$F55,BM$4&gt;=$F55))</f>
        <v>-0</v>
      </c>
      <c r="BN55" s="49" t="n">
        <f aca="false">-$E55*N(AND(BN$3&lt;=$F55,BN$4&gt;=$F55))</f>
        <v>-0</v>
      </c>
      <c r="BO55" s="49" t="n">
        <f aca="false">-$E55*N(AND(BO$3&lt;=$F55,BO$4&gt;=$F55))</f>
        <v>-0</v>
      </c>
      <c r="BP55" s="49" t="n">
        <f aca="false">-$E55*N(AND(BP$3&lt;=$F55,BP$4&gt;=$F55))</f>
        <v>-0</v>
      </c>
      <c r="BQ55" s="49" t="n">
        <f aca="false">-$E55*N(AND(BQ$3&lt;=$F55,BQ$4&gt;=$F55))</f>
        <v>-0</v>
      </c>
      <c r="BR55" s="49" t="n">
        <f aca="false">-$E55*N(AND(BR$3&lt;=$F55,BR$4&gt;=$F55))</f>
        <v>-0</v>
      </c>
      <c r="BS55" s="49" t="n">
        <f aca="false">-$E55*N(AND(BS$3&lt;=$F55,BS$4&gt;=$F55))</f>
        <v>-0</v>
      </c>
      <c r="BT55" s="49" t="n">
        <f aca="false">-$E55*N(AND(BT$3&lt;=$F55,BT$4&gt;=$F55))</f>
        <v>-0</v>
      </c>
      <c r="BU55" s="49" t="n">
        <f aca="false">-$E55*N(AND(BU$3&lt;=$F55,BU$4&gt;=$F55))</f>
        <v>-0</v>
      </c>
      <c r="BV55" s="49" t="n">
        <f aca="false">-$E55*N(AND(BV$3&lt;=$F55,BV$4&gt;=$F55))</f>
        <v>-0</v>
      </c>
      <c r="BW55" s="49" t="n">
        <f aca="false">-$E55*N(AND(BW$3&lt;=$F55,BW$4&gt;=$F55))</f>
        <v>-0</v>
      </c>
      <c r="BX55" s="49" t="n">
        <f aca="false">-$E55*N(AND(BX$3&lt;=$F55,BX$4&gt;=$F55))</f>
        <v>-0</v>
      </c>
      <c r="BY55" s="49" t="n">
        <f aca="false">-$E55*N(AND(BY$3&lt;=$F55,BY$4&gt;=$F55))</f>
        <v>-0</v>
      </c>
      <c r="BZ55" s="49" t="n">
        <f aca="false">-$E55*N(AND(BZ$3&lt;=$F55,BZ$4&gt;=$F55))</f>
        <v>-0</v>
      </c>
      <c r="CA55" s="49" t="n">
        <f aca="false">-$E55*N(AND(CA$3&lt;=$F55,CA$4&gt;=$F55))</f>
        <v>-0</v>
      </c>
      <c r="CB55" s="49" t="n">
        <f aca="false">-$E55*N(AND(CB$3&lt;=$F55,CB$4&gt;=$F55))</f>
        <v>-0</v>
      </c>
      <c r="CC55" s="49" t="n">
        <f aca="false">-$E55*N(AND(CC$3&lt;=$F55,CC$4&gt;=$F55))</f>
        <v>-0</v>
      </c>
      <c r="CD55" s="49" t="n">
        <f aca="false">-$E55*N(AND(CD$3&lt;=$F55,CD$4&gt;=$F55))</f>
        <v>-0</v>
      </c>
      <c r="CE55" s="49" t="n">
        <f aca="false">-$E55*N(AND(CE$3&lt;=$F55,CE$4&gt;=$F55))</f>
        <v>-0</v>
      </c>
      <c r="CF55" s="49" t="n">
        <f aca="false">-$E55*N(AND(CF$3&lt;=$F55,CF$4&gt;=$F55))</f>
        <v>-0</v>
      </c>
      <c r="CG55" s="49" t="n">
        <f aca="false">-$E55*N(AND(CG$3&lt;=$F55,CG$4&gt;=$F55))</f>
        <v>-0</v>
      </c>
      <c r="CH55" s="49" t="n">
        <f aca="false">-$E55*N(AND(CH$3&lt;=$F55,CH$4&gt;=$F55))</f>
        <v>-0</v>
      </c>
      <c r="CI55" s="49" t="n">
        <f aca="false">-$E55*N(AND(CI$3&lt;=$F55,CI$4&gt;=$F55))</f>
        <v>-0</v>
      </c>
      <c r="CJ55" s="49" t="n">
        <f aca="false">-$E55*N(AND(CJ$3&lt;=$F55,CJ$4&gt;=$F55))</f>
        <v>-0</v>
      </c>
      <c r="CK55" s="49" t="n">
        <f aca="false">-$E55*N(AND(CK$3&lt;=$F55,CK$4&gt;=$F55))</f>
        <v>-0</v>
      </c>
      <c r="CL55" s="49" t="n">
        <f aca="false">-$E55*N(AND(CL$3&lt;=$F55,CL$4&gt;=$F55))</f>
        <v>-0</v>
      </c>
      <c r="CM55" s="49" t="n">
        <f aca="false">-$E55*N(AND(CM$3&lt;=$F55,CM$4&gt;=$F55))</f>
        <v>-0</v>
      </c>
      <c r="CN55" s="49" t="n">
        <f aca="false">-$E55*N(AND(CN$3&lt;=$F55,CN$4&gt;=$F55))</f>
        <v>-0</v>
      </c>
      <c r="CO55" s="49" t="n">
        <f aca="false">-$E55*N(AND(CO$3&lt;=$F55,CO$4&gt;=$F55))</f>
        <v>-0</v>
      </c>
      <c r="CP55" s="49" t="n">
        <f aca="false">-$E55*N(AND(CP$3&lt;=$F55,CP$4&gt;=$F55))</f>
        <v>-0</v>
      </c>
      <c r="CQ55" s="49" t="n">
        <f aca="false">-$E55*N(AND(CQ$3&lt;=$F55,CQ$4&gt;=$F55))</f>
        <v>-0</v>
      </c>
      <c r="CR55" s="49" t="n">
        <f aca="false">-$E55*N(AND(CR$3&lt;=$F55,CR$4&gt;=$F55))</f>
        <v>-0</v>
      </c>
      <c r="CS55" s="49" t="n">
        <f aca="false">-$E55*N(AND(CS$3&lt;=$F55,CS$4&gt;=$F55))</f>
        <v>-0</v>
      </c>
      <c r="CT55" s="49" t="n">
        <f aca="false">-$E55*N(AND(CT$3&lt;=$F55,CT$4&gt;=$F55))</f>
        <v>-0</v>
      </c>
      <c r="CU55" s="49" t="n">
        <f aca="false">-$E55*N(AND(CU$3&lt;=$F55,CU$4&gt;=$F55))</f>
        <v>-0</v>
      </c>
      <c r="CV55" s="49" t="n">
        <f aca="false">-$E55*N(AND(CV$3&lt;=$F55,CV$4&gt;=$F55))</f>
        <v>-0</v>
      </c>
      <c r="CW55" s="49" t="n">
        <f aca="false">-$E55*N(AND(CW$3&lt;=$F55,CW$4&gt;=$F55))</f>
        <v>-0</v>
      </c>
      <c r="CX55" s="49" t="n">
        <f aca="false">-$E55*N(AND(CX$3&lt;=$F55,CX$4&gt;=$F55))</f>
        <v>-0</v>
      </c>
      <c r="CY55" s="49" t="n">
        <f aca="false">-$E55*N(AND(CY$3&lt;=$F55,CY$4&gt;=$F55))</f>
        <v>-0</v>
      </c>
      <c r="CZ55" s="49" t="n">
        <f aca="false">-$E55*N(AND(CZ$3&lt;=$F55,CZ$4&gt;=$F55))</f>
        <v>-0</v>
      </c>
      <c r="DA55" s="49" t="n">
        <f aca="false">-$E55*N(AND(DA$3&lt;=$F55,DA$4&gt;=$F55))</f>
        <v>-0</v>
      </c>
      <c r="DB55" s="49" t="n">
        <f aca="false">-$E55*N(AND(DB$3&lt;=$F55,DB$4&gt;=$F55))</f>
        <v>-0</v>
      </c>
      <c r="DC55" s="49" t="n">
        <f aca="false">-$E55*N(AND(DC$3&lt;=$F55,DC$4&gt;=$F55))</f>
        <v>-0</v>
      </c>
      <c r="DD55" s="49" t="n">
        <f aca="false">-$E55*N(AND(DD$3&lt;=$F55,DD$4&gt;=$F55))</f>
        <v>-0</v>
      </c>
      <c r="DE55" s="49" t="n">
        <f aca="false">-$E55*N(AND(DE$3&lt;=$F55,DE$4&gt;=$F55))</f>
        <v>-0</v>
      </c>
      <c r="DF55" s="49" t="n">
        <f aca="false">-$E55*N(AND(DF$3&lt;=$F55,DF$4&gt;=$F55))</f>
        <v>-0</v>
      </c>
      <c r="DG55" s="49" t="n">
        <f aca="false">-$E55*N(AND(DG$3&lt;=$F55,DG$4&gt;=$F55))</f>
        <v>-0</v>
      </c>
      <c r="DH55" s="49" t="n">
        <f aca="false">-$E55*N(AND(DH$3&lt;=$F55,DH$4&gt;=$F55))</f>
        <v>-0</v>
      </c>
      <c r="DI55" s="49" t="n">
        <f aca="false">-$E55*N(AND(DI$3&lt;=$F55,DI$4&gt;=$F55))</f>
        <v>-0</v>
      </c>
      <c r="DJ55" s="49" t="n">
        <f aca="false">-$E55*N(AND(DJ$3&lt;=$F55,DJ$4&gt;=$F55))</f>
        <v>-0</v>
      </c>
      <c r="DK55" s="49" t="n">
        <f aca="false">-$E55*N(AND(DK$3&lt;=$F55,DK$4&gt;=$F55))</f>
        <v>-0</v>
      </c>
      <c r="DL55" s="49" t="n">
        <f aca="false">-$E55*N(AND(DL$3&lt;=$F55,DL$4&gt;=$F55))</f>
        <v>-0</v>
      </c>
      <c r="DM55" s="49" t="n">
        <f aca="false">-$E55*N(AND(DM$3&lt;=$F55,DM$4&gt;=$F55))</f>
        <v>-0</v>
      </c>
      <c r="DN55" s="49" t="n">
        <f aca="false">-$E55*N(AND(DN$3&lt;=$F55,DN$4&gt;=$F55))</f>
        <v>-0</v>
      </c>
      <c r="DO55" s="49" t="n">
        <f aca="false">-$E55*N(AND(DO$3&lt;=$F55,DO$4&gt;=$F55))</f>
        <v>-0</v>
      </c>
      <c r="DP55" s="49" t="n">
        <f aca="false">-$E55*N(AND(DP$3&lt;=$F55,DP$4&gt;=$F55))</f>
        <v>-0</v>
      </c>
      <c r="DQ55" s="49" t="n">
        <f aca="false">-$E55*N(AND(DQ$3&lt;=$F55,DQ$4&gt;=$F55))</f>
        <v>-0</v>
      </c>
      <c r="DR55" s="49" t="n">
        <f aca="false">-$E55*N(AND(DR$3&lt;=$F55,DR$4&gt;=$F55))</f>
        <v>-0</v>
      </c>
      <c r="DS55" s="49" t="n">
        <f aca="false">-$E55*N(AND(DS$3&lt;=$F55,DS$4&gt;=$F55))</f>
        <v>-0</v>
      </c>
      <c r="DT55" s="49" t="n">
        <f aca="false">-$E55*N(AND(DT$3&lt;=$F55,DT$4&gt;=$F55))</f>
        <v>-0</v>
      </c>
      <c r="DU55" s="49" t="n">
        <f aca="false">-$E55*N(AND(DU$3&lt;=$F55,DU$4&gt;=$F55))</f>
        <v>-0</v>
      </c>
      <c r="DV55" s="49" t="n">
        <f aca="false">-$E55*N(AND(DV$3&lt;=$F55,DV$4&gt;=$F55))</f>
        <v>-0</v>
      </c>
      <c r="DW55" s="49" t="n">
        <f aca="false">-$E55*N(AND(DW$3&lt;=$F55,DW$4&gt;=$F55))</f>
        <v>-0</v>
      </c>
      <c r="DX55" s="49" t="n">
        <f aca="false">-$E55*N(AND(DX$3&lt;=$F55,DX$4&gt;=$F55))</f>
        <v>-0</v>
      </c>
      <c r="DY55" s="49" t="n">
        <f aca="false">-$E55*N(AND(DY$3&lt;=$F55,DY$4&gt;=$F55))</f>
        <v>-0</v>
      </c>
      <c r="DZ55" s="49" t="n">
        <f aca="false">-$E55*N(AND(DZ$3&lt;=$F55,DZ$4&gt;=$F55))</f>
        <v>-0</v>
      </c>
      <c r="EA55" s="49" t="n">
        <f aca="false">-$E55*N(AND(EA$3&lt;=$F55,EA$4&gt;=$F55))</f>
        <v>-0</v>
      </c>
      <c r="EB55" s="49" t="n">
        <f aca="false">-$E55*N(AND(EB$3&lt;=$F55,EB$4&gt;=$F55))</f>
        <v>-0</v>
      </c>
      <c r="EC55" s="49" t="n">
        <f aca="false">-$E55*N(AND(EC$3&lt;=$F55,EC$4&gt;=$F55))</f>
        <v>-0</v>
      </c>
      <c r="ED55" s="49" t="n">
        <f aca="false">-$E55*N(AND(ED$3&lt;=$F55,ED$4&gt;=$F55))</f>
        <v>-0</v>
      </c>
      <c r="EE55" s="49" t="n">
        <f aca="false">-$E55*N(AND(EE$3&lt;=$F55,EE$4&gt;=$F55))</f>
        <v>-0</v>
      </c>
      <c r="EF55" s="49" t="n">
        <f aca="false">-$E55*N(AND(EF$3&lt;=$F55,EF$4&gt;=$F55))</f>
        <v>-0</v>
      </c>
      <c r="EG55" s="49" t="n">
        <f aca="false">-$E55*N(AND(EG$3&lt;=$F55,EG$4&gt;=$F55))</f>
        <v>-0</v>
      </c>
      <c r="EH55" s="49" t="n">
        <f aca="false">-$E55*N(AND(EH$3&lt;=$F55,EH$4&gt;=$F55))</f>
        <v>-0</v>
      </c>
      <c r="EI55" s="49" t="n">
        <f aca="false">-$E55*N(AND(EI$3&lt;=$F55,EI$4&gt;=$F55))</f>
        <v>-0</v>
      </c>
      <c r="EJ55" s="49" t="n">
        <f aca="false">-$E55*N(AND(EJ$3&lt;=$F55,EJ$4&gt;=$F55))</f>
        <v>-0</v>
      </c>
      <c r="EK55" s="49" t="n">
        <f aca="false">-$E55*N(AND(EK$3&lt;=$F55,EK$4&gt;=$F55))</f>
        <v>-0</v>
      </c>
      <c r="EL55" s="49" t="n">
        <f aca="false">-$E55*N(AND(EL$3&lt;=$F55,EL$4&gt;=$F55))</f>
        <v>-0</v>
      </c>
      <c r="EM55" s="49" t="n">
        <f aca="false">-$E55*N(AND(EM$3&lt;=$F55,EM$4&gt;=$F55))</f>
        <v>-0</v>
      </c>
      <c r="EN55" s="49" t="n">
        <f aca="false">-$E55*N(AND(EN$3&lt;=$F55,EN$4&gt;=$F55))</f>
        <v>-0</v>
      </c>
      <c r="EO55" s="49" t="n">
        <f aca="false">-$E55*N(AND(EO$3&lt;=$F55,EO$4&gt;=$F55))</f>
        <v>-0</v>
      </c>
    </row>
    <row r="56" customFormat="false" ht="15" hidden="false" customHeight="false" outlineLevel="0" collapsed="false">
      <c r="C56" s="1" t="s">
        <v>452</v>
      </c>
      <c r="D56" s="12" t="s">
        <v>33</v>
      </c>
      <c r="E56" s="49" t="n">
        <f aca="false">In_Direct_Fee*Thousand/In_FX</f>
        <v>1260.27397260274</v>
      </c>
      <c r="F56" s="21" t="n">
        <f aca="false">In_HCSSZ_Date</f>
        <v>47126</v>
      </c>
      <c r="I56" s="49" t="n">
        <f aca="false">SUM(J56:EO56)</f>
        <v>-1260.27397260274</v>
      </c>
      <c r="J56" s="49" t="n">
        <f aca="false">-$E56*N(AND(J$3&lt;=$F56,J$4&gt;=$F56))</f>
        <v>-0</v>
      </c>
      <c r="K56" s="49" t="n">
        <f aca="false">-$E56*N(AND(K$3&lt;=$F56,K$4&gt;=$F56))</f>
        <v>-0</v>
      </c>
      <c r="L56" s="49" t="n">
        <f aca="false">-$E56*N(AND(L$3&lt;=$F56,L$4&gt;=$F56))</f>
        <v>-0</v>
      </c>
      <c r="M56" s="49" t="n">
        <f aca="false">-$E56*N(AND(M$3&lt;=$F56,M$4&gt;=$F56))</f>
        <v>-0</v>
      </c>
      <c r="N56" s="49" t="n">
        <f aca="false">-$E56*N(AND(N$3&lt;=$F56,N$4&gt;=$F56))</f>
        <v>-0</v>
      </c>
      <c r="O56" s="49" t="n">
        <f aca="false">-$E56*N(AND(O$3&lt;=$F56,O$4&gt;=$F56))</f>
        <v>-0</v>
      </c>
      <c r="P56" s="49" t="n">
        <f aca="false">-$E56*N(AND(P$3&lt;=$F56,P$4&gt;=$F56))</f>
        <v>-0</v>
      </c>
      <c r="Q56" s="49" t="n">
        <f aca="false">-$E56*N(AND(Q$3&lt;=$F56,Q$4&gt;=$F56))</f>
        <v>-0</v>
      </c>
      <c r="R56" s="49" t="n">
        <f aca="false">-$E56*N(AND(R$3&lt;=$F56,R$4&gt;=$F56))</f>
        <v>-0</v>
      </c>
      <c r="S56" s="49" t="n">
        <f aca="false">-$E56*N(AND(S$3&lt;=$F56,S$4&gt;=$F56))</f>
        <v>-1260.27397260274</v>
      </c>
      <c r="T56" s="49" t="n">
        <f aca="false">-$E56*N(AND(T$3&lt;=$F56,T$4&gt;=$F56))</f>
        <v>-0</v>
      </c>
      <c r="U56" s="49" t="n">
        <f aca="false">-$E56*N(AND(U$3&lt;=$F56,U$4&gt;=$F56))</f>
        <v>-0</v>
      </c>
      <c r="V56" s="49" t="n">
        <f aca="false">-$E56*N(AND(V$3&lt;=$F56,V$4&gt;=$F56))</f>
        <v>-0</v>
      </c>
      <c r="W56" s="49" t="n">
        <f aca="false">-$E56*N(AND(W$3&lt;=$F56,W$4&gt;=$F56))</f>
        <v>-0</v>
      </c>
      <c r="X56" s="49" t="n">
        <f aca="false">-$E56*N(AND(X$3&lt;=$F56,X$4&gt;=$F56))</f>
        <v>-0</v>
      </c>
      <c r="Y56" s="49" t="n">
        <f aca="false">-$E56*N(AND(Y$3&lt;=$F56,Y$4&gt;=$F56))</f>
        <v>-0</v>
      </c>
      <c r="Z56" s="49" t="n">
        <f aca="false">-$E56*N(AND(Z$3&lt;=$F56,Z$4&gt;=$F56))</f>
        <v>-0</v>
      </c>
      <c r="AA56" s="49" t="n">
        <f aca="false">-$E56*N(AND(AA$3&lt;=$F56,AA$4&gt;=$F56))</f>
        <v>-0</v>
      </c>
      <c r="AB56" s="49" t="n">
        <f aca="false">-$E56*N(AND(AB$3&lt;=$F56,AB$4&gt;=$F56))</f>
        <v>-0</v>
      </c>
      <c r="AC56" s="49" t="n">
        <f aca="false">-$E56*N(AND(AC$3&lt;=$F56,AC$4&gt;=$F56))</f>
        <v>-0</v>
      </c>
      <c r="AD56" s="49" t="n">
        <f aca="false">-$E56*N(AND(AD$3&lt;=$F56,AD$4&gt;=$F56))</f>
        <v>-0</v>
      </c>
      <c r="AE56" s="49" t="n">
        <f aca="false">-$E56*N(AND(AE$3&lt;=$F56,AE$4&gt;=$F56))</f>
        <v>-0</v>
      </c>
      <c r="AF56" s="49" t="n">
        <f aca="false">-$E56*N(AND(AF$3&lt;=$F56,AF$4&gt;=$F56))</f>
        <v>-0</v>
      </c>
      <c r="AG56" s="49" t="n">
        <f aca="false">-$E56*N(AND(AG$3&lt;=$F56,AG$4&gt;=$F56))</f>
        <v>-0</v>
      </c>
      <c r="AH56" s="49" t="n">
        <f aca="false">-$E56*N(AND(AH$3&lt;=$F56,AH$4&gt;=$F56))</f>
        <v>-0</v>
      </c>
      <c r="AI56" s="49" t="n">
        <f aca="false">-$E56*N(AND(AI$3&lt;=$F56,AI$4&gt;=$F56))</f>
        <v>-0</v>
      </c>
      <c r="AJ56" s="49" t="n">
        <f aca="false">-$E56*N(AND(AJ$3&lt;=$F56,AJ$4&gt;=$F56))</f>
        <v>-0</v>
      </c>
      <c r="AK56" s="49" t="n">
        <f aca="false">-$E56*N(AND(AK$3&lt;=$F56,AK$4&gt;=$F56))</f>
        <v>-0</v>
      </c>
      <c r="AL56" s="49" t="n">
        <f aca="false">-$E56*N(AND(AL$3&lt;=$F56,AL$4&gt;=$F56))</f>
        <v>-0</v>
      </c>
      <c r="AM56" s="49" t="n">
        <f aca="false">-$E56*N(AND(AM$3&lt;=$F56,AM$4&gt;=$F56))</f>
        <v>-0</v>
      </c>
      <c r="AN56" s="49" t="n">
        <f aca="false">-$E56*N(AND(AN$3&lt;=$F56,AN$4&gt;=$F56))</f>
        <v>-0</v>
      </c>
      <c r="AO56" s="49" t="n">
        <f aca="false">-$E56*N(AND(AO$3&lt;=$F56,AO$4&gt;=$F56))</f>
        <v>-0</v>
      </c>
      <c r="AP56" s="49" t="n">
        <f aca="false">-$E56*N(AND(AP$3&lt;=$F56,AP$4&gt;=$F56))</f>
        <v>-0</v>
      </c>
      <c r="AQ56" s="49" t="n">
        <f aca="false">-$E56*N(AND(AQ$3&lt;=$F56,AQ$4&gt;=$F56))</f>
        <v>-0</v>
      </c>
      <c r="AR56" s="49" t="n">
        <f aca="false">-$E56*N(AND(AR$3&lt;=$F56,AR$4&gt;=$F56))</f>
        <v>-0</v>
      </c>
      <c r="AS56" s="49" t="n">
        <f aca="false">-$E56*N(AND(AS$3&lt;=$F56,AS$4&gt;=$F56))</f>
        <v>-0</v>
      </c>
      <c r="AT56" s="49" t="n">
        <f aca="false">-$E56*N(AND(AT$3&lt;=$F56,AT$4&gt;=$F56))</f>
        <v>-0</v>
      </c>
      <c r="AU56" s="49" t="n">
        <f aca="false">-$E56*N(AND(AU$3&lt;=$F56,AU$4&gt;=$F56))</f>
        <v>-0</v>
      </c>
      <c r="AV56" s="49" t="n">
        <f aca="false">-$E56*N(AND(AV$3&lt;=$F56,AV$4&gt;=$F56))</f>
        <v>-0</v>
      </c>
      <c r="AW56" s="49" t="n">
        <f aca="false">-$E56*N(AND(AW$3&lt;=$F56,AW$4&gt;=$F56))</f>
        <v>-0</v>
      </c>
      <c r="AX56" s="49" t="n">
        <f aca="false">-$E56*N(AND(AX$3&lt;=$F56,AX$4&gt;=$F56))</f>
        <v>-0</v>
      </c>
      <c r="AY56" s="49" t="n">
        <f aca="false">-$E56*N(AND(AY$3&lt;=$F56,AY$4&gt;=$F56))</f>
        <v>-0</v>
      </c>
      <c r="AZ56" s="49" t="n">
        <f aca="false">-$E56*N(AND(AZ$3&lt;=$F56,AZ$4&gt;=$F56))</f>
        <v>-0</v>
      </c>
      <c r="BA56" s="49" t="n">
        <f aca="false">-$E56*N(AND(BA$3&lt;=$F56,BA$4&gt;=$F56))</f>
        <v>-0</v>
      </c>
      <c r="BB56" s="49" t="n">
        <f aca="false">-$E56*N(AND(BB$3&lt;=$F56,BB$4&gt;=$F56))</f>
        <v>-0</v>
      </c>
      <c r="BC56" s="49" t="n">
        <f aca="false">-$E56*N(AND(BC$3&lt;=$F56,BC$4&gt;=$F56))</f>
        <v>-0</v>
      </c>
      <c r="BD56" s="49" t="n">
        <f aca="false">-$E56*N(AND(BD$3&lt;=$F56,BD$4&gt;=$F56))</f>
        <v>-0</v>
      </c>
      <c r="BE56" s="49" t="n">
        <f aca="false">-$E56*N(AND(BE$3&lt;=$F56,BE$4&gt;=$F56))</f>
        <v>-0</v>
      </c>
      <c r="BF56" s="49" t="n">
        <f aca="false">-$E56*N(AND(BF$3&lt;=$F56,BF$4&gt;=$F56))</f>
        <v>-0</v>
      </c>
      <c r="BG56" s="49" t="n">
        <f aca="false">-$E56*N(AND(BG$3&lt;=$F56,BG$4&gt;=$F56))</f>
        <v>-0</v>
      </c>
      <c r="BH56" s="49" t="n">
        <f aca="false">-$E56*N(AND(BH$3&lt;=$F56,BH$4&gt;=$F56))</f>
        <v>-0</v>
      </c>
      <c r="BI56" s="49" t="n">
        <f aca="false">-$E56*N(AND(BI$3&lt;=$F56,BI$4&gt;=$F56))</f>
        <v>-0</v>
      </c>
      <c r="BJ56" s="49" t="n">
        <f aca="false">-$E56*N(AND(BJ$3&lt;=$F56,BJ$4&gt;=$F56))</f>
        <v>-0</v>
      </c>
      <c r="BK56" s="49" t="n">
        <f aca="false">-$E56*N(AND(BK$3&lt;=$F56,BK$4&gt;=$F56))</f>
        <v>-0</v>
      </c>
      <c r="BL56" s="49" t="n">
        <f aca="false">-$E56*N(AND(BL$3&lt;=$F56,BL$4&gt;=$F56))</f>
        <v>-0</v>
      </c>
      <c r="BM56" s="49" t="n">
        <f aca="false">-$E56*N(AND(BM$3&lt;=$F56,BM$4&gt;=$F56))</f>
        <v>-0</v>
      </c>
      <c r="BN56" s="49" t="n">
        <f aca="false">-$E56*N(AND(BN$3&lt;=$F56,BN$4&gt;=$F56))</f>
        <v>-0</v>
      </c>
      <c r="BO56" s="49" t="n">
        <f aca="false">-$E56*N(AND(BO$3&lt;=$F56,BO$4&gt;=$F56))</f>
        <v>-0</v>
      </c>
      <c r="BP56" s="49" t="n">
        <f aca="false">-$E56*N(AND(BP$3&lt;=$F56,BP$4&gt;=$F56))</f>
        <v>-0</v>
      </c>
      <c r="BQ56" s="49" t="n">
        <f aca="false">-$E56*N(AND(BQ$3&lt;=$F56,BQ$4&gt;=$F56))</f>
        <v>-0</v>
      </c>
      <c r="BR56" s="49" t="n">
        <f aca="false">-$E56*N(AND(BR$3&lt;=$F56,BR$4&gt;=$F56))</f>
        <v>-0</v>
      </c>
      <c r="BS56" s="49" t="n">
        <f aca="false">-$E56*N(AND(BS$3&lt;=$F56,BS$4&gt;=$F56))</f>
        <v>-0</v>
      </c>
      <c r="BT56" s="49" t="n">
        <f aca="false">-$E56*N(AND(BT$3&lt;=$F56,BT$4&gt;=$F56))</f>
        <v>-0</v>
      </c>
      <c r="BU56" s="49" t="n">
        <f aca="false">-$E56*N(AND(BU$3&lt;=$F56,BU$4&gt;=$F56))</f>
        <v>-0</v>
      </c>
      <c r="BV56" s="49" t="n">
        <f aca="false">-$E56*N(AND(BV$3&lt;=$F56,BV$4&gt;=$F56))</f>
        <v>-0</v>
      </c>
      <c r="BW56" s="49" t="n">
        <f aca="false">-$E56*N(AND(BW$3&lt;=$F56,BW$4&gt;=$F56))</f>
        <v>-0</v>
      </c>
      <c r="BX56" s="49" t="n">
        <f aca="false">-$E56*N(AND(BX$3&lt;=$F56,BX$4&gt;=$F56))</f>
        <v>-0</v>
      </c>
      <c r="BY56" s="49" t="n">
        <f aca="false">-$E56*N(AND(BY$3&lt;=$F56,BY$4&gt;=$F56))</f>
        <v>-0</v>
      </c>
      <c r="BZ56" s="49" t="n">
        <f aca="false">-$E56*N(AND(BZ$3&lt;=$F56,BZ$4&gt;=$F56))</f>
        <v>-0</v>
      </c>
      <c r="CA56" s="49" t="n">
        <f aca="false">-$E56*N(AND(CA$3&lt;=$F56,CA$4&gt;=$F56))</f>
        <v>-0</v>
      </c>
      <c r="CB56" s="49" t="n">
        <f aca="false">-$E56*N(AND(CB$3&lt;=$F56,CB$4&gt;=$F56))</f>
        <v>-0</v>
      </c>
      <c r="CC56" s="49" t="n">
        <f aca="false">-$E56*N(AND(CC$3&lt;=$F56,CC$4&gt;=$F56))</f>
        <v>-0</v>
      </c>
      <c r="CD56" s="49" t="n">
        <f aca="false">-$E56*N(AND(CD$3&lt;=$F56,CD$4&gt;=$F56))</f>
        <v>-0</v>
      </c>
      <c r="CE56" s="49" t="n">
        <f aca="false">-$E56*N(AND(CE$3&lt;=$F56,CE$4&gt;=$F56))</f>
        <v>-0</v>
      </c>
      <c r="CF56" s="49" t="n">
        <f aca="false">-$E56*N(AND(CF$3&lt;=$F56,CF$4&gt;=$F56))</f>
        <v>-0</v>
      </c>
      <c r="CG56" s="49" t="n">
        <f aca="false">-$E56*N(AND(CG$3&lt;=$F56,CG$4&gt;=$F56))</f>
        <v>-0</v>
      </c>
      <c r="CH56" s="49" t="n">
        <f aca="false">-$E56*N(AND(CH$3&lt;=$F56,CH$4&gt;=$F56))</f>
        <v>-0</v>
      </c>
      <c r="CI56" s="49" t="n">
        <f aca="false">-$E56*N(AND(CI$3&lt;=$F56,CI$4&gt;=$F56))</f>
        <v>-0</v>
      </c>
      <c r="CJ56" s="49" t="n">
        <f aca="false">-$E56*N(AND(CJ$3&lt;=$F56,CJ$4&gt;=$F56))</f>
        <v>-0</v>
      </c>
      <c r="CK56" s="49" t="n">
        <f aca="false">-$E56*N(AND(CK$3&lt;=$F56,CK$4&gt;=$F56))</f>
        <v>-0</v>
      </c>
      <c r="CL56" s="49" t="n">
        <f aca="false">-$E56*N(AND(CL$3&lt;=$F56,CL$4&gt;=$F56))</f>
        <v>-0</v>
      </c>
      <c r="CM56" s="49" t="n">
        <f aca="false">-$E56*N(AND(CM$3&lt;=$F56,CM$4&gt;=$F56))</f>
        <v>-0</v>
      </c>
      <c r="CN56" s="49" t="n">
        <f aca="false">-$E56*N(AND(CN$3&lt;=$F56,CN$4&gt;=$F56))</f>
        <v>-0</v>
      </c>
      <c r="CO56" s="49" t="n">
        <f aca="false">-$E56*N(AND(CO$3&lt;=$F56,CO$4&gt;=$F56))</f>
        <v>-0</v>
      </c>
      <c r="CP56" s="49" t="n">
        <f aca="false">-$E56*N(AND(CP$3&lt;=$F56,CP$4&gt;=$F56))</f>
        <v>-0</v>
      </c>
      <c r="CQ56" s="49" t="n">
        <f aca="false">-$E56*N(AND(CQ$3&lt;=$F56,CQ$4&gt;=$F56))</f>
        <v>-0</v>
      </c>
      <c r="CR56" s="49" t="n">
        <f aca="false">-$E56*N(AND(CR$3&lt;=$F56,CR$4&gt;=$F56))</f>
        <v>-0</v>
      </c>
      <c r="CS56" s="49" t="n">
        <f aca="false">-$E56*N(AND(CS$3&lt;=$F56,CS$4&gt;=$F56))</f>
        <v>-0</v>
      </c>
      <c r="CT56" s="49" t="n">
        <f aca="false">-$E56*N(AND(CT$3&lt;=$F56,CT$4&gt;=$F56))</f>
        <v>-0</v>
      </c>
      <c r="CU56" s="49" t="n">
        <f aca="false">-$E56*N(AND(CU$3&lt;=$F56,CU$4&gt;=$F56))</f>
        <v>-0</v>
      </c>
      <c r="CV56" s="49" t="n">
        <f aca="false">-$E56*N(AND(CV$3&lt;=$F56,CV$4&gt;=$F56))</f>
        <v>-0</v>
      </c>
      <c r="CW56" s="49" t="n">
        <f aca="false">-$E56*N(AND(CW$3&lt;=$F56,CW$4&gt;=$F56))</f>
        <v>-0</v>
      </c>
      <c r="CX56" s="49" t="n">
        <f aca="false">-$E56*N(AND(CX$3&lt;=$F56,CX$4&gt;=$F56))</f>
        <v>-0</v>
      </c>
      <c r="CY56" s="49" t="n">
        <f aca="false">-$E56*N(AND(CY$3&lt;=$F56,CY$4&gt;=$F56))</f>
        <v>-0</v>
      </c>
      <c r="CZ56" s="49" t="n">
        <f aca="false">-$E56*N(AND(CZ$3&lt;=$F56,CZ$4&gt;=$F56))</f>
        <v>-0</v>
      </c>
      <c r="DA56" s="49" t="n">
        <f aca="false">-$E56*N(AND(DA$3&lt;=$F56,DA$4&gt;=$F56))</f>
        <v>-0</v>
      </c>
      <c r="DB56" s="49" t="n">
        <f aca="false">-$E56*N(AND(DB$3&lt;=$F56,DB$4&gt;=$F56))</f>
        <v>-0</v>
      </c>
      <c r="DC56" s="49" t="n">
        <f aca="false">-$E56*N(AND(DC$3&lt;=$F56,DC$4&gt;=$F56))</f>
        <v>-0</v>
      </c>
      <c r="DD56" s="49" t="n">
        <f aca="false">-$E56*N(AND(DD$3&lt;=$F56,DD$4&gt;=$F56))</f>
        <v>-0</v>
      </c>
      <c r="DE56" s="49" t="n">
        <f aca="false">-$E56*N(AND(DE$3&lt;=$F56,DE$4&gt;=$F56))</f>
        <v>-0</v>
      </c>
      <c r="DF56" s="49" t="n">
        <f aca="false">-$E56*N(AND(DF$3&lt;=$F56,DF$4&gt;=$F56))</f>
        <v>-0</v>
      </c>
      <c r="DG56" s="49" t="n">
        <f aca="false">-$E56*N(AND(DG$3&lt;=$F56,DG$4&gt;=$F56))</f>
        <v>-0</v>
      </c>
      <c r="DH56" s="49" t="n">
        <f aca="false">-$E56*N(AND(DH$3&lt;=$F56,DH$4&gt;=$F56))</f>
        <v>-0</v>
      </c>
      <c r="DI56" s="49" t="n">
        <f aca="false">-$E56*N(AND(DI$3&lt;=$F56,DI$4&gt;=$F56))</f>
        <v>-0</v>
      </c>
      <c r="DJ56" s="49" t="n">
        <f aca="false">-$E56*N(AND(DJ$3&lt;=$F56,DJ$4&gt;=$F56))</f>
        <v>-0</v>
      </c>
      <c r="DK56" s="49" t="n">
        <f aca="false">-$E56*N(AND(DK$3&lt;=$F56,DK$4&gt;=$F56))</f>
        <v>-0</v>
      </c>
      <c r="DL56" s="49" t="n">
        <f aca="false">-$E56*N(AND(DL$3&lt;=$F56,DL$4&gt;=$F56))</f>
        <v>-0</v>
      </c>
      <c r="DM56" s="49" t="n">
        <f aca="false">-$E56*N(AND(DM$3&lt;=$F56,DM$4&gt;=$F56))</f>
        <v>-0</v>
      </c>
      <c r="DN56" s="49" t="n">
        <f aca="false">-$E56*N(AND(DN$3&lt;=$F56,DN$4&gt;=$F56))</f>
        <v>-0</v>
      </c>
      <c r="DO56" s="49" t="n">
        <f aca="false">-$E56*N(AND(DO$3&lt;=$F56,DO$4&gt;=$F56))</f>
        <v>-0</v>
      </c>
      <c r="DP56" s="49" t="n">
        <f aca="false">-$E56*N(AND(DP$3&lt;=$F56,DP$4&gt;=$F56))</f>
        <v>-0</v>
      </c>
      <c r="DQ56" s="49" t="n">
        <f aca="false">-$E56*N(AND(DQ$3&lt;=$F56,DQ$4&gt;=$F56))</f>
        <v>-0</v>
      </c>
      <c r="DR56" s="49" t="n">
        <f aca="false">-$E56*N(AND(DR$3&lt;=$F56,DR$4&gt;=$F56))</f>
        <v>-0</v>
      </c>
      <c r="DS56" s="49" t="n">
        <f aca="false">-$E56*N(AND(DS$3&lt;=$F56,DS$4&gt;=$F56))</f>
        <v>-0</v>
      </c>
      <c r="DT56" s="49" t="n">
        <f aca="false">-$E56*N(AND(DT$3&lt;=$F56,DT$4&gt;=$F56))</f>
        <v>-0</v>
      </c>
      <c r="DU56" s="49" t="n">
        <f aca="false">-$E56*N(AND(DU$3&lt;=$F56,DU$4&gt;=$F56))</f>
        <v>-0</v>
      </c>
      <c r="DV56" s="49" t="n">
        <f aca="false">-$E56*N(AND(DV$3&lt;=$F56,DV$4&gt;=$F56))</f>
        <v>-0</v>
      </c>
      <c r="DW56" s="49" t="n">
        <f aca="false">-$E56*N(AND(DW$3&lt;=$F56,DW$4&gt;=$F56))</f>
        <v>-0</v>
      </c>
      <c r="DX56" s="49" t="n">
        <f aca="false">-$E56*N(AND(DX$3&lt;=$F56,DX$4&gt;=$F56))</f>
        <v>-0</v>
      </c>
      <c r="DY56" s="49" t="n">
        <f aca="false">-$E56*N(AND(DY$3&lt;=$F56,DY$4&gt;=$F56))</f>
        <v>-0</v>
      </c>
      <c r="DZ56" s="49" t="n">
        <f aca="false">-$E56*N(AND(DZ$3&lt;=$F56,DZ$4&gt;=$F56))</f>
        <v>-0</v>
      </c>
      <c r="EA56" s="49" t="n">
        <f aca="false">-$E56*N(AND(EA$3&lt;=$F56,EA$4&gt;=$F56))</f>
        <v>-0</v>
      </c>
      <c r="EB56" s="49" t="n">
        <f aca="false">-$E56*N(AND(EB$3&lt;=$F56,EB$4&gt;=$F56))</f>
        <v>-0</v>
      </c>
      <c r="EC56" s="49" t="n">
        <f aca="false">-$E56*N(AND(EC$3&lt;=$F56,EC$4&gt;=$F56))</f>
        <v>-0</v>
      </c>
      <c r="ED56" s="49" t="n">
        <f aca="false">-$E56*N(AND(ED$3&lt;=$F56,ED$4&gt;=$F56))</f>
        <v>-0</v>
      </c>
      <c r="EE56" s="49" t="n">
        <f aca="false">-$E56*N(AND(EE$3&lt;=$F56,EE$4&gt;=$F56))</f>
        <v>-0</v>
      </c>
      <c r="EF56" s="49" t="n">
        <f aca="false">-$E56*N(AND(EF$3&lt;=$F56,EF$4&gt;=$F56))</f>
        <v>-0</v>
      </c>
      <c r="EG56" s="49" t="n">
        <f aca="false">-$E56*N(AND(EG$3&lt;=$F56,EG$4&gt;=$F56))</f>
        <v>-0</v>
      </c>
      <c r="EH56" s="49" t="n">
        <f aca="false">-$E56*N(AND(EH$3&lt;=$F56,EH$4&gt;=$F56))</f>
        <v>-0</v>
      </c>
      <c r="EI56" s="49" t="n">
        <f aca="false">-$E56*N(AND(EI$3&lt;=$F56,EI$4&gt;=$F56))</f>
        <v>-0</v>
      </c>
      <c r="EJ56" s="49" t="n">
        <f aca="false">-$E56*N(AND(EJ$3&lt;=$F56,EJ$4&gt;=$F56))</f>
        <v>-0</v>
      </c>
      <c r="EK56" s="49" t="n">
        <f aca="false">-$E56*N(AND(EK$3&lt;=$F56,EK$4&gt;=$F56))</f>
        <v>-0</v>
      </c>
      <c r="EL56" s="49" t="n">
        <f aca="false">-$E56*N(AND(EL$3&lt;=$F56,EL$4&gt;=$F56))</f>
        <v>-0</v>
      </c>
      <c r="EM56" s="49" t="n">
        <f aca="false">-$E56*N(AND(EM$3&lt;=$F56,EM$4&gt;=$F56))</f>
        <v>-0</v>
      </c>
      <c r="EN56" s="49" t="n">
        <f aca="false">-$E56*N(AND(EN$3&lt;=$F56,EN$4&gt;=$F56))</f>
        <v>-0</v>
      </c>
      <c r="EO56" s="49" t="n">
        <f aca="false">-$E56*N(AND(EO$3&lt;=$F56,EO$4&gt;=$F56))</f>
        <v>-0</v>
      </c>
    </row>
    <row r="57" customFormat="false" ht="15" hidden="false" customHeight="false" outlineLevel="0" collapsed="false">
      <c r="C57" s="1" t="s">
        <v>453</v>
      </c>
      <c r="D57" s="12" t="s">
        <v>33</v>
      </c>
      <c r="E57" s="49" t="n">
        <f aca="false">(In_Indirect_Fee-In_TSO_Security)*In_MVA*Thousand/In_FX</f>
        <v>6894.54917808219</v>
      </c>
      <c r="F57" s="21" t="n">
        <f aca="false">In_HCSSZ_Date</f>
        <v>47126</v>
      </c>
      <c r="I57" s="49" t="n">
        <f aca="false">SUM(J57:EO57)</f>
        <v>-6894.54917808219</v>
      </c>
      <c r="J57" s="49" t="n">
        <f aca="false">-$E57*N(AND(J$3&lt;=$F57,J$4&gt;=$F57))</f>
        <v>-0</v>
      </c>
      <c r="K57" s="49" t="n">
        <f aca="false">-$E57*N(AND(K$3&lt;=$F57,K$4&gt;=$F57))</f>
        <v>-0</v>
      </c>
      <c r="L57" s="49" t="n">
        <f aca="false">-$E57*N(AND(L$3&lt;=$F57,L$4&gt;=$F57))</f>
        <v>-0</v>
      </c>
      <c r="M57" s="49" t="n">
        <f aca="false">-$E57*N(AND(M$3&lt;=$F57,M$4&gt;=$F57))</f>
        <v>-0</v>
      </c>
      <c r="N57" s="49" t="n">
        <f aca="false">-$E57*N(AND(N$3&lt;=$F57,N$4&gt;=$F57))</f>
        <v>-0</v>
      </c>
      <c r="O57" s="49" t="n">
        <f aca="false">-$E57*N(AND(O$3&lt;=$F57,O$4&gt;=$F57))</f>
        <v>-0</v>
      </c>
      <c r="P57" s="49" t="n">
        <f aca="false">-$E57*N(AND(P$3&lt;=$F57,P$4&gt;=$F57))</f>
        <v>-0</v>
      </c>
      <c r="Q57" s="49" t="n">
        <f aca="false">-$E57*N(AND(Q$3&lt;=$F57,Q$4&gt;=$F57))</f>
        <v>-0</v>
      </c>
      <c r="R57" s="49" t="n">
        <f aca="false">-$E57*N(AND(R$3&lt;=$F57,R$4&gt;=$F57))</f>
        <v>-0</v>
      </c>
      <c r="S57" s="49" t="n">
        <f aca="false">-$E57*N(AND(S$3&lt;=$F57,S$4&gt;=$F57))</f>
        <v>-6894.54917808219</v>
      </c>
      <c r="T57" s="49" t="n">
        <f aca="false">-$E57*N(AND(T$3&lt;=$F57,T$4&gt;=$F57))</f>
        <v>-0</v>
      </c>
      <c r="U57" s="49" t="n">
        <f aca="false">-$E57*N(AND(U$3&lt;=$F57,U$4&gt;=$F57))</f>
        <v>-0</v>
      </c>
      <c r="V57" s="49" t="n">
        <f aca="false">-$E57*N(AND(V$3&lt;=$F57,V$4&gt;=$F57))</f>
        <v>-0</v>
      </c>
      <c r="W57" s="49" t="n">
        <f aca="false">-$E57*N(AND(W$3&lt;=$F57,W$4&gt;=$F57))</f>
        <v>-0</v>
      </c>
      <c r="X57" s="49" t="n">
        <f aca="false">-$E57*N(AND(X$3&lt;=$F57,X$4&gt;=$F57))</f>
        <v>-0</v>
      </c>
      <c r="Y57" s="49" t="n">
        <f aca="false">-$E57*N(AND(Y$3&lt;=$F57,Y$4&gt;=$F57))</f>
        <v>-0</v>
      </c>
      <c r="Z57" s="49" t="n">
        <f aca="false">-$E57*N(AND(Z$3&lt;=$F57,Z$4&gt;=$F57))</f>
        <v>-0</v>
      </c>
      <c r="AA57" s="49" t="n">
        <f aca="false">-$E57*N(AND(AA$3&lt;=$F57,AA$4&gt;=$F57))</f>
        <v>-0</v>
      </c>
      <c r="AB57" s="49" t="n">
        <f aca="false">-$E57*N(AND(AB$3&lt;=$F57,AB$4&gt;=$F57))</f>
        <v>-0</v>
      </c>
      <c r="AC57" s="49" t="n">
        <f aca="false">-$E57*N(AND(AC$3&lt;=$F57,AC$4&gt;=$F57))</f>
        <v>-0</v>
      </c>
      <c r="AD57" s="49" t="n">
        <f aca="false">-$E57*N(AND(AD$3&lt;=$F57,AD$4&gt;=$F57))</f>
        <v>-0</v>
      </c>
      <c r="AE57" s="49" t="n">
        <f aca="false">-$E57*N(AND(AE$3&lt;=$F57,AE$4&gt;=$F57))</f>
        <v>-0</v>
      </c>
      <c r="AF57" s="49" t="n">
        <f aca="false">-$E57*N(AND(AF$3&lt;=$F57,AF$4&gt;=$F57))</f>
        <v>-0</v>
      </c>
      <c r="AG57" s="49" t="n">
        <f aca="false">-$E57*N(AND(AG$3&lt;=$F57,AG$4&gt;=$F57))</f>
        <v>-0</v>
      </c>
      <c r="AH57" s="49" t="n">
        <f aca="false">-$E57*N(AND(AH$3&lt;=$F57,AH$4&gt;=$F57))</f>
        <v>-0</v>
      </c>
      <c r="AI57" s="49" t="n">
        <f aca="false">-$E57*N(AND(AI$3&lt;=$F57,AI$4&gt;=$F57))</f>
        <v>-0</v>
      </c>
      <c r="AJ57" s="49" t="n">
        <f aca="false">-$E57*N(AND(AJ$3&lt;=$F57,AJ$4&gt;=$F57))</f>
        <v>-0</v>
      </c>
      <c r="AK57" s="49" t="n">
        <f aca="false">-$E57*N(AND(AK$3&lt;=$F57,AK$4&gt;=$F57))</f>
        <v>-0</v>
      </c>
      <c r="AL57" s="49" t="n">
        <f aca="false">-$E57*N(AND(AL$3&lt;=$F57,AL$4&gt;=$F57))</f>
        <v>-0</v>
      </c>
      <c r="AM57" s="49" t="n">
        <f aca="false">-$E57*N(AND(AM$3&lt;=$F57,AM$4&gt;=$F57))</f>
        <v>-0</v>
      </c>
      <c r="AN57" s="49" t="n">
        <f aca="false">-$E57*N(AND(AN$3&lt;=$F57,AN$4&gt;=$F57))</f>
        <v>-0</v>
      </c>
      <c r="AO57" s="49" t="n">
        <f aca="false">-$E57*N(AND(AO$3&lt;=$F57,AO$4&gt;=$F57))</f>
        <v>-0</v>
      </c>
      <c r="AP57" s="49" t="n">
        <f aca="false">-$E57*N(AND(AP$3&lt;=$F57,AP$4&gt;=$F57))</f>
        <v>-0</v>
      </c>
      <c r="AQ57" s="49" t="n">
        <f aca="false">-$E57*N(AND(AQ$3&lt;=$F57,AQ$4&gt;=$F57))</f>
        <v>-0</v>
      </c>
      <c r="AR57" s="49" t="n">
        <f aca="false">-$E57*N(AND(AR$3&lt;=$F57,AR$4&gt;=$F57))</f>
        <v>-0</v>
      </c>
      <c r="AS57" s="49" t="n">
        <f aca="false">-$E57*N(AND(AS$3&lt;=$F57,AS$4&gt;=$F57))</f>
        <v>-0</v>
      </c>
      <c r="AT57" s="49" t="n">
        <f aca="false">-$E57*N(AND(AT$3&lt;=$F57,AT$4&gt;=$F57))</f>
        <v>-0</v>
      </c>
      <c r="AU57" s="49" t="n">
        <f aca="false">-$E57*N(AND(AU$3&lt;=$F57,AU$4&gt;=$F57))</f>
        <v>-0</v>
      </c>
      <c r="AV57" s="49" t="n">
        <f aca="false">-$E57*N(AND(AV$3&lt;=$F57,AV$4&gt;=$F57))</f>
        <v>-0</v>
      </c>
      <c r="AW57" s="49" t="n">
        <f aca="false">-$E57*N(AND(AW$3&lt;=$F57,AW$4&gt;=$F57))</f>
        <v>-0</v>
      </c>
      <c r="AX57" s="49" t="n">
        <f aca="false">-$E57*N(AND(AX$3&lt;=$F57,AX$4&gt;=$F57))</f>
        <v>-0</v>
      </c>
      <c r="AY57" s="49" t="n">
        <f aca="false">-$E57*N(AND(AY$3&lt;=$F57,AY$4&gt;=$F57))</f>
        <v>-0</v>
      </c>
      <c r="AZ57" s="49" t="n">
        <f aca="false">-$E57*N(AND(AZ$3&lt;=$F57,AZ$4&gt;=$F57))</f>
        <v>-0</v>
      </c>
      <c r="BA57" s="49" t="n">
        <f aca="false">-$E57*N(AND(BA$3&lt;=$F57,BA$4&gt;=$F57))</f>
        <v>-0</v>
      </c>
      <c r="BB57" s="49" t="n">
        <f aca="false">-$E57*N(AND(BB$3&lt;=$F57,BB$4&gt;=$F57))</f>
        <v>-0</v>
      </c>
      <c r="BC57" s="49" t="n">
        <f aca="false">-$E57*N(AND(BC$3&lt;=$F57,BC$4&gt;=$F57))</f>
        <v>-0</v>
      </c>
      <c r="BD57" s="49" t="n">
        <f aca="false">-$E57*N(AND(BD$3&lt;=$F57,BD$4&gt;=$F57))</f>
        <v>-0</v>
      </c>
      <c r="BE57" s="49" t="n">
        <f aca="false">-$E57*N(AND(BE$3&lt;=$F57,BE$4&gt;=$F57))</f>
        <v>-0</v>
      </c>
      <c r="BF57" s="49" t="n">
        <f aca="false">-$E57*N(AND(BF$3&lt;=$F57,BF$4&gt;=$F57))</f>
        <v>-0</v>
      </c>
      <c r="BG57" s="49" t="n">
        <f aca="false">-$E57*N(AND(BG$3&lt;=$F57,BG$4&gt;=$F57))</f>
        <v>-0</v>
      </c>
      <c r="BH57" s="49" t="n">
        <f aca="false">-$E57*N(AND(BH$3&lt;=$F57,BH$4&gt;=$F57))</f>
        <v>-0</v>
      </c>
      <c r="BI57" s="49" t="n">
        <f aca="false">-$E57*N(AND(BI$3&lt;=$F57,BI$4&gt;=$F57))</f>
        <v>-0</v>
      </c>
      <c r="BJ57" s="49" t="n">
        <f aca="false">-$E57*N(AND(BJ$3&lt;=$F57,BJ$4&gt;=$F57))</f>
        <v>-0</v>
      </c>
      <c r="BK57" s="49" t="n">
        <f aca="false">-$E57*N(AND(BK$3&lt;=$F57,BK$4&gt;=$F57))</f>
        <v>-0</v>
      </c>
      <c r="BL57" s="49" t="n">
        <f aca="false">-$E57*N(AND(BL$3&lt;=$F57,BL$4&gt;=$F57))</f>
        <v>-0</v>
      </c>
      <c r="BM57" s="49" t="n">
        <f aca="false">-$E57*N(AND(BM$3&lt;=$F57,BM$4&gt;=$F57))</f>
        <v>-0</v>
      </c>
      <c r="BN57" s="49" t="n">
        <f aca="false">-$E57*N(AND(BN$3&lt;=$F57,BN$4&gt;=$F57))</f>
        <v>-0</v>
      </c>
      <c r="BO57" s="49" t="n">
        <f aca="false">-$E57*N(AND(BO$3&lt;=$F57,BO$4&gt;=$F57))</f>
        <v>-0</v>
      </c>
      <c r="BP57" s="49" t="n">
        <f aca="false">-$E57*N(AND(BP$3&lt;=$F57,BP$4&gt;=$F57))</f>
        <v>-0</v>
      </c>
      <c r="BQ57" s="49" t="n">
        <f aca="false">-$E57*N(AND(BQ$3&lt;=$F57,BQ$4&gt;=$F57))</f>
        <v>-0</v>
      </c>
      <c r="BR57" s="49" t="n">
        <f aca="false">-$E57*N(AND(BR$3&lt;=$F57,BR$4&gt;=$F57))</f>
        <v>-0</v>
      </c>
      <c r="BS57" s="49" t="n">
        <f aca="false">-$E57*N(AND(BS$3&lt;=$F57,BS$4&gt;=$F57))</f>
        <v>-0</v>
      </c>
      <c r="BT57" s="49" t="n">
        <f aca="false">-$E57*N(AND(BT$3&lt;=$F57,BT$4&gt;=$F57))</f>
        <v>-0</v>
      </c>
      <c r="BU57" s="49" t="n">
        <f aca="false">-$E57*N(AND(BU$3&lt;=$F57,BU$4&gt;=$F57))</f>
        <v>-0</v>
      </c>
      <c r="BV57" s="49" t="n">
        <f aca="false">-$E57*N(AND(BV$3&lt;=$F57,BV$4&gt;=$F57))</f>
        <v>-0</v>
      </c>
      <c r="BW57" s="49" t="n">
        <f aca="false">-$E57*N(AND(BW$3&lt;=$F57,BW$4&gt;=$F57))</f>
        <v>-0</v>
      </c>
      <c r="BX57" s="49" t="n">
        <f aca="false">-$E57*N(AND(BX$3&lt;=$F57,BX$4&gt;=$F57))</f>
        <v>-0</v>
      </c>
      <c r="BY57" s="49" t="n">
        <f aca="false">-$E57*N(AND(BY$3&lt;=$F57,BY$4&gt;=$F57))</f>
        <v>-0</v>
      </c>
      <c r="BZ57" s="49" t="n">
        <f aca="false">-$E57*N(AND(BZ$3&lt;=$F57,BZ$4&gt;=$F57))</f>
        <v>-0</v>
      </c>
      <c r="CA57" s="49" t="n">
        <f aca="false">-$E57*N(AND(CA$3&lt;=$F57,CA$4&gt;=$F57))</f>
        <v>-0</v>
      </c>
      <c r="CB57" s="49" t="n">
        <f aca="false">-$E57*N(AND(CB$3&lt;=$F57,CB$4&gt;=$F57))</f>
        <v>-0</v>
      </c>
      <c r="CC57" s="49" t="n">
        <f aca="false">-$E57*N(AND(CC$3&lt;=$F57,CC$4&gt;=$F57))</f>
        <v>-0</v>
      </c>
      <c r="CD57" s="49" t="n">
        <f aca="false">-$E57*N(AND(CD$3&lt;=$F57,CD$4&gt;=$F57))</f>
        <v>-0</v>
      </c>
      <c r="CE57" s="49" t="n">
        <f aca="false">-$E57*N(AND(CE$3&lt;=$F57,CE$4&gt;=$F57))</f>
        <v>-0</v>
      </c>
      <c r="CF57" s="49" t="n">
        <f aca="false">-$E57*N(AND(CF$3&lt;=$F57,CF$4&gt;=$F57))</f>
        <v>-0</v>
      </c>
      <c r="CG57" s="49" t="n">
        <f aca="false">-$E57*N(AND(CG$3&lt;=$F57,CG$4&gt;=$F57))</f>
        <v>-0</v>
      </c>
      <c r="CH57" s="49" t="n">
        <f aca="false">-$E57*N(AND(CH$3&lt;=$F57,CH$4&gt;=$F57))</f>
        <v>-0</v>
      </c>
      <c r="CI57" s="49" t="n">
        <f aca="false">-$E57*N(AND(CI$3&lt;=$F57,CI$4&gt;=$F57))</f>
        <v>-0</v>
      </c>
      <c r="CJ57" s="49" t="n">
        <f aca="false">-$E57*N(AND(CJ$3&lt;=$F57,CJ$4&gt;=$F57))</f>
        <v>-0</v>
      </c>
      <c r="CK57" s="49" t="n">
        <f aca="false">-$E57*N(AND(CK$3&lt;=$F57,CK$4&gt;=$F57))</f>
        <v>-0</v>
      </c>
      <c r="CL57" s="49" t="n">
        <f aca="false">-$E57*N(AND(CL$3&lt;=$F57,CL$4&gt;=$F57))</f>
        <v>-0</v>
      </c>
      <c r="CM57" s="49" t="n">
        <f aca="false">-$E57*N(AND(CM$3&lt;=$F57,CM$4&gt;=$F57))</f>
        <v>-0</v>
      </c>
      <c r="CN57" s="49" t="n">
        <f aca="false">-$E57*N(AND(CN$3&lt;=$F57,CN$4&gt;=$F57))</f>
        <v>-0</v>
      </c>
      <c r="CO57" s="49" t="n">
        <f aca="false">-$E57*N(AND(CO$3&lt;=$F57,CO$4&gt;=$F57))</f>
        <v>-0</v>
      </c>
      <c r="CP57" s="49" t="n">
        <f aca="false">-$E57*N(AND(CP$3&lt;=$F57,CP$4&gt;=$F57))</f>
        <v>-0</v>
      </c>
      <c r="CQ57" s="49" t="n">
        <f aca="false">-$E57*N(AND(CQ$3&lt;=$F57,CQ$4&gt;=$F57))</f>
        <v>-0</v>
      </c>
      <c r="CR57" s="49" t="n">
        <f aca="false">-$E57*N(AND(CR$3&lt;=$F57,CR$4&gt;=$F57))</f>
        <v>-0</v>
      </c>
      <c r="CS57" s="49" t="n">
        <f aca="false">-$E57*N(AND(CS$3&lt;=$F57,CS$4&gt;=$F57))</f>
        <v>-0</v>
      </c>
      <c r="CT57" s="49" t="n">
        <f aca="false">-$E57*N(AND(CT$3&lt;=$F57,CT$4&gt;=$F57))</f>
        <v>-0</v>
      </c>
      <c r="CU57" s="49" t="n">
        <f aca="false">-$E57*N(AND(CU$3&lt;=$F57,CU$4&gt;=$F57))</f>
        <v>-0</v>
      </c>
      <c r="CV57" s="49" t="n">
        <f aca="false">-$E57*N(AND(CV$3&lt;=$F57,CV$4&gt;=$F57))</f>
        <v>-0</v>
      </c>
      <c r="CW57" s="49" t="n">
        <f aca="false">-$E57*N(AND(CW$3&lt;=$F57,CW$4&gt;=$F57))</f>
        <v>-0</v>
      </c>
      <c r="CX57" s="49" t="n">
        <f aca="false">-$E57*N(AND(CX$3&lt;=$F57,CX$4&gt;=$F57))</f>
        <v>-0</v>
      </c>
      <c r="CY57" s="49" t="n">
        <f aca="false">-$E57*N(AND(CY$3&lt;=$F57,CY$4&gt;=$F57))</f>
        <v>-0</v>
      </c>
      <c r="CZ57" s="49" t="n">
        <f aca="false">-$E57*N(AND(CZ$3&lt;=$F57,CZ$4&gt;=$F57))</f>
        <v>-0</v>
      </c>
      <c r="DA57" s="49" t="n">
        <f aca="false">-$E57*N(AND(DA$3&lt;=$F57,DA$4&gt;=$F57))</f>
        <v>-0</v>
      </c>
      <c r="DB57" s="49" t="n">
        <f aca="false">-$E57*N(AND(DB$3&lt;=$F57,DB$4&gt;=$F57))</f>
        <v>-0</v>
      </c>
      <c r="DC57" s="49" t="n">
        <f aca="false">-$E57*N(AND(DC$3&lt;=$F57,DC$4&gt;=$F57))</f>
        <v>-0</v>
      </c>
      <c r="DD57" s="49" t="n">
        <f aca="false">-$E57*N(AND(DD$3&lt;=$F57,DD$4&gt;=$F57))</f>
        <v>-0</v>
      </c>
      <c r="DE57" s="49" t="n">
        <f aca="false">-$E57*N(AND(DE$3&lt;=$F57,DE$4&gt;=$F57))</f>
        <v>-0</v>
      </c>
      <c r="DF57" s="49" t="n">
        <f aca="false">-$E57*N(AND(DF$3&lt;=$F57,DF$4&gt;=$F57))</f>
        <v>-0</v>
      </c>
      <c r="DG57" s="49" t="n">
        <f aca="false">-$E57*N(AND(DG$3&lt;=$F57,DG$4&gt;=$F57))</f>
        <v>-0</v>
      </c>
      <c r="DH57" s="49" t="n">
        <f aca="false">-$E57*N(AND(DH$3&lt;=$F57,DH$4&gt;=$F57))</f>
        <v>-0</v>
      </c>
      <c r="DI57" s="49" t="n">
        <f aca="false">-$E57*N(AND(DI$3&lt;=$F57,DI$4&gt;=$F57))</f>
        <v>-0</v>
      </c>
      <c r="DJ57" s="49" t="n">
        <f aca="false">-$E57*N(AND(DJ$3&lt;=$F57,DJ$4&gt;=$F57))</f>
        <v>-0</v>
      </c>
      <c r="DK57" s="49" t="n">
        <f aca="false">-$E57*N(AND(DK$3&lt;=$F57,DK$4&gt;=$F57))</f>
        <v>-0</v>
      </c>
      <c r="DL57" s="49" t="n">
        <f aca="false">-$E57*N(AND(DL$3&lt;=$F57,DL$4&gt;=$F57))</f>
        <v>-0</v>
      </c>
      <c r="DM57" s="49" t="n">
        <f aca="false">-$E57*N(AND(DM$3&lt;=$F57,DM$4&gt;=$F57))</f>
        <v>-0</v>
      </c>
      <c r="DN57" s="49" t="n">
        <f aca="false">-$E57*N(AND(DN$3&lt;=$F57,DN$4&gt;=$F57))</f>
        <v>-0</v>
      </c>
      <c r="DO57" s="49" t="n">
        <f aca="false">-$E57*N(AND(DO$3&lt;=$F57,DO$4&gt;=$F57))</f>
        <v>-0</v>
      </c>
      <c r="DP57" s="49" t="n">
        <f aca="false">-$E57*N(AND(DP$3&lt;=$F57,DP$4&gt;=$F57))</f>
        <v>-0</v>
      </c>
      <c r="DQ57" s="49" t="n">
        <f aca="false">-$E57*N(AND(DQ$3&lt;=$F57,DQ$4&gt;=$F57))</f>
        <v>-0</v>
      </c>
      <c r="DR57" s="49" t="n">
        <f aca="false">-$E57*N(AND(DR$3&lt;=$F57,DR$4&gt;=$F57))</f>
        <v>-0</v>
      </c>
      <c r="DS57" s="49" t="n">
        <f aca="false">-$E57*N(AND(DS$3&lt;=$F57,DS$4&gt;=$F57))</f>
        <v>-0</v>
      </c>
      <c r="DT57" s="49" t="n">
        <f aca="false">-$E57*N(AND(DT$3&lt;=$F57,DT$4&gt;=$F57))</f>
        <v>-0</v>
      </c>
      <c r="DU57" s="49" t="n">
        <f aca="false">-$E57*N(AND(DU$3&lt;=$F57,DU$4&gt;=$F57))</f>
        <v>-0</v>
      </c>
      <c r="DV57" s="49" t="n">
        <f aca="false">-$E57*N(AND(DV$3&lt;=$F57,DV$4&gt;=$F57))</f>
        <v>-0</v>
      </c>
      <c r="DW57" s="49" t="n">
        <f aca="false">-$E57*N(AND(DW$3&lt;=$F57,DW$4&gt;=$F57))</f>
        <v>-0</v>
      </c>
      <c r="DX57" s="49" t="n">
        <f aca="false">-$E57*N(AND(DX$3&lt;=$F57,DX$4&gt;=$F57))</f>
        <v>-0</v>
      </c>
      <c r="DY57" s="49" t="n">
        <f aca="false">-$E57*N(AND(DY$3&lt;=$F57,DY$4&gt;=$F57))</f>
        <v>-0</v>
      </c>
      <c r="DZ57" s="49" t="n">
        <f aca="false">-$E57*N(AND(DZ$3&lt;=$F57,DZ$4&gt;=$F57))</f>
        <v>-0</v>
      </c>
      <c r="EA57" s="49" t="n">
        <f aca="false">-$E57*N(AND(EA$3&lt;=$F57,EA$4&gt;=$F57))</f>
        <v>-0</v>
      </c>
      <c r="EB57" s="49" t="n">
        <f aca="false">-$E57*N(AND(EB$3&lt;=$F57,EB$4&gt;=$F57))</f>
        <v>-0</v>
      </c>
      <c r="EC57" s="49" t="n">
        <f aca="false">-$E57*N(AND(EC$3&lt;=$F57,EC$4&gt;=$F57))</f>
        <v>-0</v>
      </c>
      <c r="ED57" s="49" t="n">
        <f aca="false">-$E57*N(AND(ED$3&lt;=$F57,ED$4&gt;=$F57))</f>
        <v>-0</v>
      </c>
      <c r="EE57" s="49" t="n">
        <f aca="false">-$E57*N(AND(EE$3&lt;=$F57,EE$4&gt;=$F57))</f>
        <v>-0</v>
      </c>
      <c r="EF57" s="49" t="n">
        <f aca="false">-$E57*N(AND(EF$3&lt;=$F57,EF$4&gt;=$F57))</f>
        <v>-0</v>
      </c>
      <c r="EG57" s="49" t="n">
        <f aca="false">-$E57*N(AND(EG$3&lt;=$F57,EG$4&gt;=$F57))</f>
        <v>-0</v>
      </c>
      <c r="EH57" s="49" t="n">
        <f aca="false">-$E57*N(AND(EH$3&lt;=$F57,EH$4&gt;=$F57))</f>
        <v>-0</v>
      </c>
      <c r="EI57" s="49" t="n">
        <f aca="false">-$E57*N(AND(EI$3&lt;=$F57,EI$4&gt;=$F57))</f>
        <v>-0</v>
      </c>
      <c r="EJ57" s="49" t="n">
        <f aca="false">-$E57*N(AND(EJ$3&lt;=$F57,EJ$4&gt;=$F57))</f>
        <v>-0</v>
      </c>
      <c r="EK57" s="49" t="n">
        <f aca="false">-$E57*N(AND(EK$3&lt;=$F57,EK$4&gt;=$F57))</f>
        <v>-0</v>
      </c>
      <c r="EL57" s="49" t="n">
        <f aca="false">-$E57*N(AND(EL$3&lt;=$F57,EL$4&gt;=$F57))</f>
        <v>-0</v>
      </c>
      <c r="EM57" s="49" t="n">
        <f aca="false">-$E57*N(AND(EM$3&lt;=$F57,EM$4&gt;=$F57))</f>
        <v>-0</v>
      </c>
      <c r="EN57" s="49" t="n">
        <f aca="false">-$E57*N(AND(EN$3&lt;=$F57,EN$4&gt;=$F57))</f>
        <v>-0</v>
      </c>
      <c r="EO57" s="49" t="n">
        <f aca="false">-$E57*N(AND(EO$3&lt;=$F57,EO$4&gt;=$F57))</f>
        <v>-0</v>
      </c>
    </row>
    <row r="58" customFormat="false" ht="15" hidden="false" customHeight="false" outlineLevel="0" collapsed="false">
      <c r="C58" s="1" t="s">
        <v>454</v>
      </c>
      <c r="D58" s="12" t="s">
        <v>33</v>
      </c>
      <c r="I58" s="49" t="n">
        <f aca="false">SUM(J58:EO58)</f>
        <v>-8154.82315068493</v>
      </c>
      <c r="J58" s="49" t="n">
        <f aca="false">J56+J57</f>
        <v>-0</v>
      </c>
      <c r="K58" s="49" t="n">
        <f aca="false">K56+K57</f>
        <v>-0</v>
      </c>
      <c r="L58" s="49" t="n">
        <f aca="false">L56+L57</f>
        <v>-0</v>
      </c>
      <c r="M58" s="49" t="n">
        <f aca="false">M56+M57</f>
        <v>-0</v>
      </c>
      <c r="N58" s="49" t="n">
        <f aca="false">N56+N57</f>
        <v>-0</v>
      </c>
      <c r="O58" s="49" t="n">
        <f aca="false">O56+O57</f>
        <v>-0</v>
      </c>
      <c r="P58" s="49" t="n">
        <f aca="false">P56+P57</f>
        <v>-0</v>
      </c>
      <c r="Q58" s="49" t="n">
        <f aca="false">Q56+Q57</f>
        <v>-0</v>
      </c>
      <c r="R58" s="49" t="n">
        <f aca="false">R56+R57</f>
        <v>-0</v>
      </c>
      <c r="S58" s="49" t="n">
        <f aca="false">S56+S57</f>
        <v>-8154.82315068493</v>
      </c>
      <c r="T58" s="49" t="n">
        <f aca="false">T56+T57</f>
        <v>-0</v>
      </c>
      <c r="U58" s="49" t="n">
        <f aca="false">U56+U57</f>
        <v>-0</v>
      </c>
      <c r="V58" s="49" t="n">
        <f aca="false">V56+V57</f>
        <v>-0</v>
      </c>
      <c r="W58" s="49" t="n">
        <f aca="false">W56+W57</f>
        <v>-0</v>
      </c>
      <c r="X58" s="49" t="n">
        <f aca="false">X56+X57</f>
        <v>-0</v>
      </c>
      <c r="Y58" s="49" t="n">
        <f aca="false">Y56+Y57</f>
        <v>-0</v>
      </c>
      <c r="Z58" s="49" t="n">
        <f aca="false">Z56+Z57</f>
        <v>-0</v>
      </c>
      <c r="AA58" s="49" t="n">
        <f aca="false">AA56+AA57</f>
        <v>-0</v>
      </c>
      <c r="AB58" s="49" t="n">
        <f aca="false">AB56+AB57</f>
        <v>-0</v>
      </c>
      <c r="AC58" s="49" t="n">
        <f aca="false">AC56+AC57</f>
        <v>-0</v>
      </c>
      <c r="AD58" s="49" t="n">
        <f aca="false">AD56+AD57</f>
        <v>-0</v>
      </c>
      <c r="AE58" s="49" t="n">
        <f aca="false">AE56+AE57</f>
        <v>-0</v>
      </c>
      <c r="AF58" s="49" t="n">
        <f aca="false">AF56+AF57</f>
        <v>-0</v>
      </c>
      <c r="AG58" s="49" t="n">
        <f aca="false">AG56+AG57</f>
        <v>-0</v>
      </c>
      <c r="AH58" s="49" t="n">
        <f aca="false">AH56+AH57</f>
        <v>-0</v>
      </c>
      <c r="AI58" s="49" t="n">
        <f aca="false">AI56+AI57</f>
        <v>-0</v>
      </c>
      <c r="AJ58" s="49" t="n">
        <f aca="false">AJ56+AJ57</f>
        <v>-0</v>
      </c>
      <c r="AK58" s="49" t="n">
        <f aca="false">AK56+AK57</f>
        <v>-0</v>
      </c>
      <c r="AL58" s="49" t="n">
        <f aca="false">AL56+AL57</f>
        <v>-0</v>
      </c>
      <c r="AM58" s="49" t="n">
        <f aca="false">AM56+AM57</f>
        <v>-0</v>
      </c>
      <c r="AN58" s="49" t="n">
        <f aca="false">AN56+AN57</f>
        <v>-0</v>
      </c>
      <c r="AO58" s="49" t="n">
        <f aca="false">AO56+AO57</f>
        <v>-0</v>
      </c>
      <c r="AP58" s="49" t="n">
        <f aca="false">AP56+AP57</f>
        <v>-0</v>
      </c>
      <c r="AQ58" s="49" t="n">
        <f aca="false">AQ56+AQ57</f>
        <v>-0</v>
      </c>
      <c r="AR58" s="49" t="n">
        <f aca="false">AR56+AR57</f>
        <v>-0</v>
      </c>
      <c r="AS58" s="49" t="n">
        <f aca="false">AS56+AS57</f>
        <v>-0</v>
      </c>
      <c r="AT58" s="49" t="n">
        <f aca="false">AT56+AT57</f>
        <v>-0</v>
      </c>
      <c r="AU58" s="49" t="n">
        <f aca="false">AU56+AU57</f>
        <v>-0</v>
      </c>
      <c r="AV58" s="49" t="n">
        <f aca="false">AV56+AV57</f>
        <v>-0</v>
      </c>
      <c r="AW58" s="49" t="n">
        <f aca="false">AW56+AW57</f>
        <v>-0</v>
      </c>
      <c r="AX58" s="49" t="n">
        <f aca="false">AX56+AX57</f>
        <v>-0</v>
      </c>
      <c r="AY58" s="49" t="n">
        <f aca="false">AY56+AY57</f>
        <v>-0</v>
      </c>
      <c r="AZ58" s="49" t="n">
        <f aca="false">AZ56+AZ57</f>
        <v>-0</v>
      </c>
      <c r="BA58" s="49" t="n">
        <f aca="false">BA56+BA57</f>
        <v>-0</v>
      </c>
      <c r="BB58" s="49" t="n">
        <f aca="false">BB56+BB57</f>
        <v>-0</v>
      </c>
      <c r="BC58" s="49" t="n">
        <f aca="false">BC56+BC57</f>
        <v>-0</v>
      </c>
      <c r="BD58" s="49" t="n">
        <f aca="false">BD56+BD57</f>
        <v>-0</v>
      </c>
      <c r="BE58" s="49" t="n">
        <f aca="false">BE56+BE57</f>
        <v>-0</v>
      </c>
      <c r="BF58" s="49" t="n">
        <f aca="false">BF56+BF57</f>
        <v>-0</v>
      </c>
      <c r="BG58" s="49" t="n">
        <f aca="false">BG56+BG57</f>
        <v>-0</v>
      </c>
      <c r="BH58" s="49" t="n">
        <f aca="false">BH56+BH57</f>
        <v>-0</v>
      </c>
      <c r="BI58" s="49" t="n">
        <f aca="false">BI56+BI57</f>
        <v>-0</v>
      </c>
      <c r="BJ58" s="49" t="n">
        <f aca="false">BJ56+BJ57</f>
        <v>-0</v>
      </c>
      <c r="BK58" s="49" t="n">
        <f aca="false">BK56+BK57</f>
        <v>-0</v>
      </c>
      <c r="BL58" s="49" t="n">
        <f aca="false">BL56+BL57</f>
        <v>-0</v>
      </c>
      <c r="BM58" s="49" t="n">
        <f aca="false">BM56+BM57</f>
        <v>-0</v>
      </c>
      <c r="BN58" s="49" t="n">
        <f aca="false">BN56+BN57</f>
        <v>-0</v>
      </c>
      <c r="BO58" s="49" t="n">
        <f aca="false">BO56+BO57</f>
        <v>-0</v>
      </c>
      <c r="BP58" s="49" t="n">
        <f aca="false">BP56+BP57</f>
        <v>-0</v>
      </c>
      <c r="BQ58" s="49" t="n">
        <f aca="false">BQ56+BQ57</f>
        <v>-0</v>
      </c>
      <c r="BR58" s="49" t="n">
        <f aca="false">BR56+BR57</f>
        <v>-0</v>
      </c>
      <c r="BS58" s="49" t="n">
        <f aca="false">BS56+BS57</f>
        <v>-0</v>
      </c>
      <c r="BT58" s="49" t="n">
        <f aca="false">BT56+BT57</f>
        <v>-0</v>
      </c>
      <c r="BU58" s="49" t="n">
        <f aca="false">BU56+BU57</f>
        <v>-0</v>
      </c>
      <c r="BV58" s="49" t="n">
        <f aca="false">BV56+BV57</f>
        <v>-0</v>
      </c>
      <c r="BW58" s="49" t="n">
        <f aca="false">BW56+BW57</f>
        <v>-0</v>
      </c>
      <c r="BX58" s="49" t="n">
        <f aca="false">BX56+BX57</f>
        <v>-0</v>
      </c>
      <c r="BY58" s="49" t="n">
        <f aca="false">BY56+BY57</f>
        <v>-0</v>
      </c>
      <c r="BZ58" s="49" t="n">
        <f aca="false">BZ56+BZ57</f>
        <v>-0</v>
      </c>
      <c r="CA58" s="49" t="n">
        <f aca="false">CA56+CA57</f>
        <v>-0</v>
      </c>
      <c r="CB58" s="49" t="n">
        <f aca="false">CB56+CB57</f>
        <v>-0</v>
      </c>
      <c r="CC58" s="49" t="n">
        <f aca="false">CC56+CC57</f>
        <v>-0</v>
      </c>
      <c r="CD58" s="49" t="n">
        <f aca="false">CD56+CD57</f>
        <v>-0</v>
      </c>
      <c r="CE58" s="49" t="n">
        <f aca="false">CE56+CE57</f>
        <v>-0</v>
      </c>
      <c r="CF58" s="49" t="n">
        <f aca="false">CF56+CF57</f>
        <v>-0</v>
      </c>
      <c r="CG58" s="49" t="n">
        <f aca="false">CG56+CG57</f>
        <v>-0</v>
      </c>
      <c r="CH58" s="49" t="n">
        <f aca="false">CH56+CH57</f>
        <v>-0</v>
      </c>
      <c r="CI58" s="49" t="n">
        <f aca="false">CI56+CI57</f>
        <v>-0</v>
      </c>
      <c r="CJ58" s="49" t="n">
        <f aca="false">CJ56+CJ57</f>
        <v>-0</v>
      </c>
      <c r="CK58" s="49" t="n">
        <f aca="false">CK56+CK57</f>
        <v>-0</v>
      </c>
      <c r="CL58" s="49" t="n">
        <f aca="false">CL56+CL57</f>
        <v>-0</v>
      </c>
      <c r="CM58" s="49" t="n">
        <f aca="false">CM56+CM57</f>
        <v>-0</v>
      </c>
      <c r="CN58" s="49" t="n">
        <f aca="false">CN56+CN57</f>
        <v>-0</v>
      </c>
      <c r="CO58" s="49" t="n">
        <f aca="false">CO56+CO57</f>
        <v>-0</v>
      </c>
      <c r="CP58" s="49" t="n">
        <f aca="false">CP56+CP57</f>
        <v>-0</v>
      </c>
      <c r="CQ58" s="49" t="n">
        <f aca="false">CQ56+CQ57</f>
        <v>-0</v>
      </c>
      <c r="CR58" s="49" t="n">
        <f aca="false">CR56+CR57</f>
        <v>-0</v>
      </c>
      <c r="CS58" s="49" t="n">
        <f aca="false">CS56+CS57</f>
        <v>-0</v>
      </c>
      <c r="CT58" s="49" t="n">
        <f aca="false">CT56+CT57</f>
        <v>-0</v>
      </c>
      <c r="CU58" s="49" t="n">
        <f aca="false">CU56+CU57</f>
        <v>-0</v>
      </c>
      <c r="CV58" s="49" t="n">
        <f aca="false">CV56+CV57</f>
        <v>-0</v>
      </c>
      <c r="CW58" s="49" t="n">
        <f aca="false">CW56+CW57</f>
        <v>-0</v>
      </c>
      <c r="CX58" s="49" t="n">
        <f aca="false">CX56+CX57</f>
        <v>-0</v>
      </c>
      <c r="CY58" s="49" t="n">
        <f aca="false">CY56+CY57</f>
        <v>-0</v>
      </c>
      <c r="CZ58" s="49" t="n">
        <f aca="false">CZ56+CZ57</f>
        <v>-0</v>
      </c>
      <c r="DA58" s="49" t="n">
        <f aca="false">DA56+DA57</f>
        <v>-0</v>
      </c>
      <c r="DB58" s="49" t="n">
        <f aca="false">DB56+DB57</f>
        <v>-0</v>
      </c>
      <c r="DC58" s="49" t="n">
        <f aca="false">DC56+DC57</f>
        <v>-0</v>
      </c>
      <c r="DD58" s="49" t="n">
        <f aca="false">DD56+DD57</f>
        <v>-0</v>
      </c>
      <c r="DE58" s="49" t="n">
        <f aca="false">DE56+DE57</f>
        <v>-0</v>
      </c>
      <c r="DF58" s="49" t="n">
        <f aca="false">DF56+DF57</f>
        <v>-0</v>
      </c>
      <c r="DG58" s="49" t="n">
        <f aca="false">DG56+DG57</f>
        <v>-0</v>
      </c>
      <c r="DH58" s="49" t="n">
        <f aca="false">DH56+DH57</f>
        <v>-0</v>
      </c>
      <c r="DI58" s="49" t="n">
        <f aca="false">DI56+DI57</f>
        <v>-0</v>
      </c>
      <c r="DJ58" s="49" t="n">
        <f aca="false">DJ56+DJ57</f>
        <v>-0</v>
      </c>
      <c r="DK58" s="49" t="n">
        <f aca="false">DK56+DK57</f>
        <v>-0</v>
      </c>
      <c r="DL58" s="49" t="n">
        <f aca="false">DL56+DL57</f>
        <v>-0</v>
      </c>
      <c r="DM58" s="49" t="n">
        <f aca="false">DM56+DM57</f>
        <v>-0</v>
      </c>
      <c r="DN58" s="49" t="n">
        <f aca="false">DN56+DN57</f>
        <v>-0</v>
      </c>
      <c r="DO58" s="49" t="n">
        <f aca="false">DO56+DO57</f>
        <v>-0</v>
      </c>
      <c r="DP58" s="49" t="n">
        <f aca="false">DP56+DP57</f>
        <v>-0</v>
      </c>
      <c r="DQ58" s="49" t="n">
        <f aca="false">DQ56+DQ57</f>
        <v>-0</v>
      </c>
      <c r="DR58" s="49" t="n">
        <f aca="false">DR56+DR57</f>
        <v>-0</v>
      </c>
      <c r="DS58" s="49" t="n">
        <f aca="false">DS56+DS57</f>
        <v>-0</v>
      </c>
      <c r="DT58" s="49" t="n">
        <f aca="false">DT56+DT57</f>
        <v>-0</v>
      </c>
      <c r="DU58" s="49" t="n">
        <f aca="false">DU56+DU57</f>
        <v>-0</v>
      </c>
      <c r="DV58" s="49" t="n">
        <f aca="false">DV56+DV57</f>
        <v>-0</v>
      </c>
      <c r="DW58" s="49" t="n">
        <f aca="false">DW56+DW57</f>
        <v>-0</v>
      </c>
      <c r="DX58" s="49" t="n">
        <f aca="false">DX56+DX57</f>
        <v>-0</v>
      </c>
      <c r="DY58" s="49" t="n">
        <f aca="false">DY56+DY57</f>
        <v>-0</v>
      </c>
      <c r="DZ58" s="49" t="n">
        <f aca="false">DZ56+DZ57</f>
        <v>-0</v>
      </c>
      <c r="EA58" s="49" t="n">
        <f aca="false">EA56+EA57</f>
        <v>-0</v>
      </c>
      <c r="EB58" s="49" t="n">
        <f aca="false">EB56+EB57</f>
        <v>-0</v>
      </c>
      <c r="EC58" s="49" t="n">
        <f aca="false">EC56+EC57</f>
        <v>-0</v>
      </c>
      <c r="ED58" s="49" t="n">
        <f aca="false">ED56+ED57</f>
        <v>-0</v>
      </c>
      <c r="EE58" s="49" t="n">
        <f aca="false">EE56+EE57</f>
        <v>-0</v>
      </c>
      <c r="EF58" s="49" t="n">
        <f aca="false">EF56+EF57</f>
        <v>-0</v>
      </c>
      <c r="EG58" s="49" t="n">
        <f aca="false">EG56+EG57</f>
        <v>-0</v>
      </c>
      <c r="EH58" s="49" t="n">
        <f aca="false">EH56+EH57</f>
        <v>-0</v>
      </c>
      <c r="EI58" s="49" t="n">
        <f aca="false">EI56+EI57</f>
        <v>-0</v>
      </c>
      <c r="EJ58" s="49" t="n">
        <f aca="false">EJ56+EJ57</f>
        <v>-0</v>
      </c>
      <c r="EK58" s="49" t="n">
        <f aca="false">EK56+EK57</f>
        <v>-0</v>
      </c>
      <c r="EL58" s="49" t="n">
        <f aca="false">EL56+EL57</f>
        <v>-0</v>
      </c>
      <c r="EM58" s="49" t="n">
        <f aca="false">EM56+EM57</f>
        <v>-0</v>
      </c>
      <c r="EN58" s="49" t="n">
        <f aca="false">EN56+EN57</f>
        <v>-0</v>
      </c>
      <c r="EO58" s="49" t="n">
        <f aca="false">EO56+EO57</f>
        <v>-0</v>
      </c>
    </row>
    <row r="59" customFormat="false" ht="15" hidden="false" customHeight="false" outlineLevel="0" collapsed="false">
      <c r="C59" s="1" t="s">
        <v>455</v>
      </c>
      <c r="D59" s="12" t="s">
        <v>33</v>
      </c>
      <c r="E59" s="49" t="n">
        <f aca="false">SUMIF($J$4:$EO$4,"&lt;="&amp;In_COD,$J59:$EO59)</f>
        <v>-490.264019515857</v>
      </c>
      <c r="I59" s="49" t="n">
        <f aca="false">SUM(J59:EO59)</f>
        <v>-822.911945956089</v>
      </c>
      <c r="J59" s="49" t="n">
        <f aca="false">-(J53+J54)*In_Guarantee_Fee*J$5/Days_In_Year</f>
        <v>-4.5907599924939</v>
      </c>
      <c r="K59" s="49" t="n">
        <f aca="false">-(K53+K54)*In_Guarantee_Fee*K$5/Days_In_Year</f>
        <v>-19.6746856821167</v>
      </c>
      <c r="L59" s="49" t="n">
        <f aca="false">-(L53+L54)*In_Guarantee_Fee*L$5/Days_In_Year</f>
        <v>-33.1554888346782</v>
      </c>
      <c r="M59" s="49" t="n">
        <f aca="false">-(M53+M54)*In_Guarantee_Fee*M$5/Days_In_Year</f>
        <v>-33.5198348658285</v>
      </c>
      <c r="N59" s="49" t="n">
        <f aca="false">-(N53+N54)*In_Guarantee_Fee*N$5/Days_In_Year</f>
        <v>-33.5198348658285</v>
      </c>
      <c r="O59" s="49" t="n">
        <f aca="false">-(O53+O54)*In_Guarantee_Fee*O$5/Days_In_Year</f>
        <v>-33.1554888346782</v>
      </c>
      <c r="P59" s="49" t="n">
        <f aca="false">-(P53+P54)*In_Guarantee_Fee*P$5/Days_In_Year</f>
        <v>-33.1554888346782</v>
      </c>
      <c r="Q59" s="49" t="n">
        <f aca="false">-(Q53+Q54)*In_Guarantee_Fee*Q$5/Days_In_Year</f>
        <v>-33.5198348658285</v>
      </c>
      <c r="R59" s="49" t="n">
        <f aca="false">-(R53+R54)*In_Guarantee_Fee*R$5/Days_In_Year</f>
        <v>-33.5198348658285</v>
      </c>
      <c r="S59" s="49" t="n">
        <f aca="false">-(S53+S54)*In_Guarantee_Fee*S$5/Days_In_Year</f>
        <v>-32.7911428035279</v>
      </c>
      <c r="T59" s="49" t="n">
        <f aca="false">-(T53+T54)*In_Guarantee_Fee*T$5/Days_In_Year</f>
        <v>-33.1554888346782</v>
      </c>
      <c r="U59" s="49" t="n">
        <f aca="false">-(U53+U54)*In_Guarantee_Fee*U$5/Days_In_Year</f>
        <v>-33.5198348658285</v>
      </c>
      <c r="V59" s="49" t="n">
        <f aca="false">-(V53+V54)*In_Guarantee_Fee*V$5/Days_In_Year</f>
        <v>-33.5198348658285</v>
      </c>
      <c r="W59" s="49" t="n">
        <f aca="false">-(W53+W54)*In_Guarantee_Fee*W$5/Days_In_Year</f>
        <v>-32.7911428035279</v>
      </c>
      <c r="X59" s="49" t="n">
        <f aca="false">-(X53+X54)*In_Guarantee_Fee*X$5/Days_In_Year</f>
        <v>-33.1554888346782</v>
      </c>
      <c r="Y59" s="49" t="n">
        <f aca="false">-(Y53+Y54)*In_Guarantee_Fee*Y$5/Days_In_Year</f>
        <v>-33.5198348658285</v>
      </c>
      <c r="Z59" s="49" t="n">
        <f aca="false">-(Z53+Z54)*In_Guarantee_Fee*Z$5/Days_In_Year</f>
        <v>-33.5198348658285</v>
      </c>
      <c r="AA59" s="49" t="n">
        <f aca="false">-(AA53+AA54)*In_Guarantee_Fee*AA$5/Days_In_Year</f>
        <v>-32.7911428035279</v>
      </c>
      <c r="AB59" s="49" t="n">
        <f aca="false">-(AB53+AB54)*In_Guarantee_Fee*AB$5/Days_In_Year</f>
        <v>-33.1554888346782</v>
      </c>
      <c r="AC59" s="49" t="n">
        <f aca="false">-(AC53+AC54)*In_Guarantee_Fee*AC$5/Days_In_Year</f>
        <v>-33.5198348658285</v>
      </c>
      <c r="AD59" s="49" t="n">
        <f aca="false">-(AD53+AD54)*In_Guarantee_Fee*AD$5/Days_In_Year</f>
        <v>-33.5198348658285</v>
      </c>
      <c r="AE59" s="49" t="n">
        <f aca="false">-(AE53+AE54)*In_Guarantee_Fee*AE$5/Days_In_Year</f>
        <v>-33.1554888346782</v>
      </c>
      <c r="AF59" s="49" t="n">
        <f aca="false">-(AF53+AF54)*In_Guarantee_Fee*AF$5/Days_In_Year</f>
        <v>-33.1554888346782</v>
      </c>
      <c r="AG59" s="49" t="n">
        <f aca="false">-(AG53+AG54)*In_Guarantee_Fee*AG$5/Days_In_Year</f>
        <v>-33.5198348658285</v>
      </c>
      <c r="AH59" s="49" t="n">
        <f aca="false">-(AH53+AH54)*In_Guarantee_Fee*AH$5/Days_In_Year</f>
        <v>-33.5198348658285</v>
      </c>
      <c r="AI59" s="49" t="n">
        <f aca="false">-(AI53+AI54)*In_Guarantee_Fee*AI$5/Days_In_Year</f>
        <v>-32.7911428035279</v>
      </c>
      <c r="AJ59" s="49" t="n">
        <f aca="false">-(AJ53+AJ54)*In_Guarantee_Fee*AJ$5/Days_In_Year</f>
        <v>-0</v>
      </c>
      <c r="AK59" s="49" t="n">
        <f aca="false">-(AK53+AK54)*In_Guarantee_Fee*AK$5/Days_In_Year</f>
        <v>-0</v>
      </c>
      <c r="AL59" s="49" t="n">
        <f aca="false">-(AL53+AL54)*In_Guarantee_Fee*AL$5/Days_In_Year</f>
        <v>-0</v>
      </c>
      <c r="AM59" s="49" t="n">
        <f aca="false">-(AM53+AM54)*In_Guarantee_Fee*AM$5/Days_In_Year</f>
        <v>-0</v>
      </c>
      <c r="AN59" s="49" t="n">
        <f aca="false">-(AN53+AN54)*In_Guarantee_Fee*AN$5/Days_In_Year</f>
        <v>-0</v>
      </c>
      <c r="AO59" s="49" t="n">
        <f aca="false">-(AO53+AO54)*In_Guarantee_Fee*AO$5/Days_In_Year</f>
        <v>-0</v>
      </c>
      <c r="AP59" s="49" t="n">
        <f aca="false">-(AP53+AP54)*In_Guarantee_Fee*AP$5/Days_In_Year</f>
        <v>-0</v>
      </c>
      <c r="AQ59" s="49" t="n">
        <f aca="false">-(AQ53+AQ54)*In_Guarantee_Fee*AQ$5/Days_In_Year</f>
        <v>-0</v>
      </c>
      <c r="AR59" s="49" t="n">
        <f aca="false">-(AR53+AR54)*In_Guarantee_Fee*AR$5/Days_In_Year</f>
        <v>-0</v>
      </c>
      <c r="AS59" s="49" t="n">
        <f aca="false">-(AS53+AS54)*In_Guarantee_Fee*AS$5/Days_In_Year</f>
        <v>-0</v>
      </c>
      <c r="AT59" s="49" t="n">
        <f aca="false">-(AT53+AT54)*In_Guarantee_Fee*AT$5/Days_In_Year</f>
        <v>-0</v>
      </c>
      <c r="AU59" s="49" t="n">
        <f aca="false">-(AU53+AU54)*In_Guarantee_Fee*AU$5/Days_In_Year</f>
        <v>-0</v>
      </c>
      <c r="AV59" s="49" t="n">
        <f aca="false">-(AV53+AV54)*In_Guarantee_Fee*AV$5/Days_In_Year</f>
        <v>-0</v>
      </c>
      <c r="AW59" s="49" t="n">
        <f aca="false">-(AW53+AW54)*In_Guarantee_Fee*AW$5/Days_In_Year</f>
        <v>-0</v>
      </c>
      <c r="AX59" s="49" t="n">
        <f aca="false">-(AX53+AX54)*In_Guarantee_Fee*AX$5/Days_In_Year</f>
        <v>-0</v>
      </c>
      <c r="AY59" s="49" t="n">
        <f aca="false">-(AY53+AY54)*In_Guarantee_Fee*AY$5/Days_In_Year</f>
        <v>-0</v>
      </c>
      <c r="AZ59" s="49" t="n">
        <f aca="false">-(AZ53+AZ54)*In_Guarantee_Fee*AZ$5/Days_In_Year</f>
        <v>-0</v>
      </c>
      <c r="BA59" s="49" t="n">
        <f aca="false">-(BA53+BA54)*In_Guarantee_Fee*BA$5/Days_In_Year</f>
        <v>-0</v>
      </c>
      <c r="BB59" s="49" t="n">
        <f aca="false">-(BB53+BB54)*In_Guarantee_Fee*BB$5/Days_In_Year</f>
        <v>-0</v>
      </c>
      <c r="BC59" s="49" t="n">
        <f aca="false">-(BC53+BC54)*In_Guarantee_Fee*BC$5/Days_In_Year</f>
        <v>-0</v>
      </c>
      <c r="BD59" s="49" t="n">
        <f aca="false">-(BD53+BD54)*In_Guarantee_Fee*BD$5/Days_In_Year</f>
        <v>-0</v>
      </c>
      <c r="BE59" s="49" t="n">
        <f aca="false">-(BE53+BE54)*In_Guarantee_Fee*BE$5/Days_In_Year</f>
        <v>-0</v>
      </c>
      <c r="BF59" s="49" t="n">
        <f aca="false">-(BF53+BF54)*In_Guarantee_Fee*BF$5/Days_In_Year</f>
        <v>-0</v>
      </c>
      <c r="BG59" s="49" t="n">
        <f aca="false">-(BG53+BG54)*In_Guarantee_Fee*BG$5/Days_In_Year</f>
        <v>-0</v>
      </c>
      <c r="BH59" s="49" t="n">
        <f aca="false">-(BH53+BH54)*In_Guarantee_Fee*BH$5/Days_In_Year</f>
        <v>-0</v>
      </c>
      <c r="BI59" s="49" t="n">
        <f aca="false">-(BI53+BI54)*In_Guarantee_Fee*BI$5/Days_In_Year</f>
        <v>-0</v>
      </c>
      <c r="BJ59" s="49" t="n">
        <f aca="false">-(BJ53+BJ54)*In_Guarantee_Fee*BJ$5/Days_In_Year</f>
        <v>-0</v>
      </c>
      <c r="BK59" s="49" t="n">
        <f aca="false">-(BK53+BK54)*In_Guarantee_Fee*BK$5/Days_In_Year</f>
        <v>-0</v>
      </c>
      <c r="BL59" s="49" t="n">
        <f aca="false">-(BL53+BL54)*In_Guarantee_Fee*BL$5/Days_In_Year</f>
        <v>-0</v>
      </c>
      <c r="BM59" s="49" t="n">
        <f aca="false">-(BM53+BM54)*In_Guarantee_Fee*BM$5/Days_In_Year</f>
        <v>-0</v>
      </c>
      <c r="BN59" s="49" t="n">
        <f aca="false">-(BN53+BN54)*In_Guarantee_Fee*BN$5/Days_In_Year</f>
        <v>-0</v>
      </c>
      <c r="BO59" s="49" t="n">
        <f aca="false">-(BO53+BO54)*In_Guarantee_Fee*BO$5/Days_In_Year</f>
        <v>-0</v>
      </c>
      <c r="BP59" s="49" t="n">
        <f aca="false">-(BP53+BP54)*In_Guarantee_Fee*BP$5/Days_In_Year</f>
        <v>-0</v>
      </c>
      <c r="BQ59" s="49" t="n">
        <f aca="false">-(BQ53+BQ54)*In_Guarantee_Fee*BQ$5/Days_In_Year</f>
        <v>-0</v>
      </c>
      <c r="BR59" s="49" t="n">
        <f aca="false">-(BR53+BR54)*In_Guarantee_Fee*BR$5/Days_In_Year</f>
        <v>-0</v>
      </c>
      <c r="BS59" s="49" t="n">
        <f aca="false">-(BS53+BS54)*In_Guarantee_Fee*BS$5/Days_In_Year</f>
        <v>-0</v>
      </c>
      <c r="BT59" s="49" t="n">
        <f aca="false">-(BT53+BT54)*In_Guarantee_Fee*BT$5/Days_In_Year</f>
        <v>-0</v>
      </c>
      <c r="BU59" s="49" t="n">
        <f aca="false">-(BU53+BU54)*In_Guarantee_Fee*BU$5/Days_In_Year</f>
        <v>-0</v>
      </c>
      <c r="BV59" s="49" t="n">
        <f aca="false">-(BV53+BV54)*In_Guarantee_Fee*BV$5/Days_In_Year</f>
        <v>-0</v>
      </c>
      <c r="BW59" s="49" t="n">
        <f aca="false">-(BW53+BW54)*In_Guarantee_Fee*BW$5/Days_In_Year</f>
        <v>-0</v>
      </c>
      <c r="BX59" s="49" t="n">
        <f aca="false">-(BX53+BX54)*In_Guarantee_Fee*BX$5/Days_In_Year</f>
        <v>-0</v>
      </c>
      <c r="BY59" s="49" t="n">
        <f aca="false">-(BY53+BY54)*In_Guarantee_Fee*BY$5/Days_In_Year</f>
        <v>-0</v>
      </c>
      <c r="BZ59" s="49" t="n">
        <f aca="false">-(BZ53+BZ54)*In_Guarantee_Fee*BZ$5/Days_In_Year</f>
        <v>-0</v>
      </c>
      <c r="CA59" s="49" t="n">
        <f aca="false">-(CA53+CA54)*In_Guarantee_Fee*CA$5/Days_In_Year</f>
        <v>-0</v>
      </c>
      <c r="CB59" s="49" t="n">
        <f aca="false">-(CB53+CB54)*In_Guarantee_Fee*CB$5/Days_In_Year</f>
        <v>-0</v>
      </c>
      <c r="CC59" s="49" t="n">
        <f aca="false">-(CC53+CC54)*In_Guarantee_Fee*CC$5/Days_In_Year</f>
        <v>-0</v>
      </c>
      <c r="CD59" s="49" t="n">
        <f aca="false">-(CD53+CD54)*In_Guarantee_Fee*CD$5/Days_In_Year</f>
        <v>-0</v>
      </c>
      <c r="CE59" s="49" t="n">
        <f aca="false">-(CE53+CE54)*In_Guarantee_Fee*CE$5/Days_In_Year</f>
        <v>-0</v>
      </c>
      <c r="CF59" s="49" t="n">
        <f aca="false">-(CF53+CF54)*In_Guarantee_Fee*CF$5/Days_In_Year</f>
        <v>-0</v>
      </c>
      <c r="CG59" s="49" t="n">
        <f aca="false">-(CG53+CG54)*In_Guarantee_Fee*CG$5/Days_In_Year</f>
        <v>-0</v>
      </c>
      <c r="CH59" s="49" t="n">
        <f aca="false">-(CH53+CH54)*In_Guarantee_Fee*CH$5/Days_In_Year</f>
        <v>-0</v>
      </c>
      <c r="CI59" s="49" t="n">
        <f aca="false">-(CI53+CI54)*In_Guarantee_Fee*CI$5/Days_In_Year</f>
        <v>-0</v>
      </c>
      <c r="CJ59" s="49" t="n">
        <f aca="false">-(CJ53+CJ54)*In_Guarantee_Fee*CJ$5/Days_In_Year</f>
        <v>-0</v>
      </c>
      <c r="CK59" s="49" t="n">
        <f aca="false">-(CK53+CK54)*In_Guarantee_Fee*CK$5/Days_In_Year</f>
        <v>-0</v>
      </c>
      <c r="CL59" s="49" t="n">
        <f aca="false">-(CL53+CL54)*In_Guarantee_Fee*CL$5/Days_In_Year</f>
        <v>-0</v>
      </c>
      <c r="CM59" s="49" t="n">
        <f aca="false">-(CM53+CM54)*In_Guarantee_Fee*CM$5/Days_In_Year</f>
        <v>-0</v>
      </c>
      <c r="CN59" s="49" t="n">
        <f aca="false">-(CN53+CN54)*In_Guarantee_Fee*CN$5/Days_In_Year</f>
        <v>-0</v>
      </c>
      <c r="CO59" s="49" t="n">
        <f aca="false">-(CO53+CO54)*In_Guarantee_Fee*CO$5/Days_In_Year</f>
        <v>-0</v>
      </c>
      <c r="CP59" s="49" t="n">
        <f aca="false">-(CP53+CP54)*In_Guarantee_Fee*CP$5/Days_In_Year</f>
        <v>-0</v>
      </c>
      <c r="CQ59" s="49" t="n">
        <f aca="false">-(CQ53+CQ54)*In_Guarantee_Fee*CQ$5/Days_In_Year</f>
        <v>-0</v>
      </c>
      <c r="CR59" s="49" t="n">
        <f aca="false">-(CR53+CR54)*In_Guarantee_Fee*CR$5/Days_In_Year</f>
        <v>-0</v>
      </c>
      <c r="CS59" s="49" t="n">
        <f aca="false">-(CS53+CS54)*In_Guarantee_Fee*CS$5/Days_In_Year</f>
        <v>-0</v>
      </c>
      <c r="CT59" s="49" t="n">
        <f aca="false">-(CT53+CT54)*In_Guarantee_Fee*CT$5/Days_In_Year</f>
        <v>-0</v>
      </c>
      <c r="CU59" s="49" t="n">
        <f aca="false">-(CU53+CU54)*In_Guarantee_Fee*CU$5/Days_In_Year</f>
        <v>-0</v>
      </c>
      <c r="CV59" s="49" t="n">
        <f aca="false">-(CV53+CV54)*In_Guarantee_Fee*CV$5/Days_In_Year</f>
        <v>-0</v>
      </c>
      <c r="CW59" s="49" t="n">
        <f aca="false">-(CW53+CW54)*In_Guarantee_Fee*CW$5/Days_In_Year</f>
        <v>-0</v>
      </c>
      <c r="CX59" s="49" t="n">
        <f aca="false">-(CX53+CX54)*In_Guarantee_Fee*CX$5/Days_In_Year</f>
        <v>-0</v>
      </c>
      <c r="CY59" s="49" t="n">
        <f aca="false">-(CY53+CY54)*In_Guarantee_Fee*CY$5/Days_In_Year</f>
        <v>-0</v>
      </c>
      <c r="CZ59" s="49" t="n">
        <f aca="false">-(CZ53+CZ54)*In_Guarantee_Fee*CZ$5/Days_In_Year</f>
        <v>-0</v>
      </c>
      <c r="DA59" s="49" t="n">
        <f aca="false">-(DA53+DA54)*In_Guarantee_Fee*DA$5/Days_In_Year</f>
        <v>-0</v>
      </c>
      <c r="DB59" s="49" t="n">
        <f aca="false">-(DB53+DB54)*In_Guarantee_Fee*DB$5/Days_In_Year</f>
        <v>-0</v>
      </c>
      <c r="DC59" s="49" t="n">
        <f aca="false">-(DC53+DC54)*In_Guarantee_Fee*DC$5/Days_In_Year</f>
        <v>-0</v>
      </c>
      <c r="DD59" s="49" t="n">
        <f aca="false">-(DD53+DD54)*In_Guarantee_Fee*DD$5/Days_In_Year</f>
        <v>-0</v>
      </c>
      <c r="DE59" s="49" t="n">
        <f aca="false">-(DE53+DE54)*In_Guarantee_Fee*DE$5/Days_In_Year</f>
        <v>-0</v>
      </c>
      <c r="DF59" s="49" t="n">
        <f aca="false">-(DF53+DF54)*In_Guarantee_Fee*DF$5/Days_In_Year</f>
        <v>-0</v>
      </c>
      <c r="DG59" s="49" t="n">
        <f aca="false">-(DG53+DG54)*In_Guarantee_Fee*DG$5/Days_In_Year</f>
        <v>-0</v>
      </c>
      <c r="DH59" s="49" t="n">
        <f aca="false">-(DH53+DH54)*In_Guarantee_Fee*DH$5/Days_In_Year</f>
        <v>-0</v>
      </c>
      <c r="DI59" s="49" t="n">
        <f aca="false">-(DI53+DI54)*In_Guarantee_Fee*DI$5/Days_In_Year</f>
        <v>-0</v>
      </c>
      <c r="DJ59" s="49" t="n">
        <f aca="false">-(DJ53+DJ54)*In_Guarantee_Fee*DJ$5/Days_In_Year</f>
        <v>-0</v>
      </c>
      <c r="DK59" s="49" t="n">
        <f aca="false">-(DK53+DK54)*In_Guarantee_Fee*DK$5/Days_In_Year</f>
        <v>-0</v>
      </c>
      <c r="DL59" s="49" t="n">
        <f aca="false">-(DL53+DL54)*In_Guarantee_Fee*DL$5/Days_In_Year</f>
        <v>-0</v>
      </c>
      <c r="DM59" s="49" t="n">
        <f aca="false">-(DM53+DM54)*In_Guarantee_Fee*DM$5/Days_In_Year</f>
        <v>-0</v>
      </c>
      <c r="DN59" s="49" t="n">
        <f aca="false">-(DN53+DN54)*In_Guarantee_Fee*DN$5/Days_In_Year</f>
        <v>-0</v>
      </c>
      <c r="DO59" s="49" t="n">
        <f aca="false">-(DO53+DO54)*In_Guarantee_Fee*DO$5/Days_In_Year</f>
        <v>-0</v>
      </c>
      <c r="DP59" s="49" t="n">
        <f aca="false">-(DP53+DP54)*In_Guarantee_Fee*DP$5/Days_In_Year</f>
        <v>-0</v>
      </c>
      <c r="DQ59" s="49" t="n">
        <f aca="false">-(DQ53+DQ54)*In_Guarantee_Fee*DQ$5/Days_In_Year</f>
        <v>-0</v>
      </c>
      <c r="DR59" s="49" t="n">
        <f aca="false">-(DR53+DR54)*In_Guarantee_Fee*DR$5/Days_In_Year</f>
        <v>-0</v>
      </c>
      <c r="DS59" s="49" t="n">
        <f aca="false">-(DS53+DS54)*In_Guarantee_Fee*DS$5/Days_In_Year</f>
        <v>-0</v>
      </c>
      <c r="DT59" s="49" t="n">
        <f aca="false">-(DT53+DT54)*In_Guarantee_Fee*DT$5/Days_In_Year</f>
        <v>-0</v>
      </c>
      <c r="DU59" s="49" t="n">
        <f aca="false">-(DU53+DU54)*In_Guarantee_Fee*DU$5/Days_In_Year</f>
        <v>-0</v>
      </c>
      <c r="DV59" s="49" t="n">
        <f aca="false">-(DV53+DV54)*In_Guarantee_Fee*DV$5/Days_In_Year</f>
        <v>-0</v>
      </c>
      <c r="DW59" s="49" t="n">
        <f aca="false">-(DW53+DW54)*In_Guarantee_Fee*DW$5/Days_In_Year</f>
        <v>-0</v>
      </c>
      <c r="DX59" s="49" t="n">
        <f aca="false">-(DX53+DX54)*In_Guarantee_Fee*DX$5/Days_In_Year</f>
        <v>-0</v>
      </c>
      <c r="DY59" s="49" t="n">
        <f aca="false">-(DY53+DY54)*In_Guarantee_Fee*DY$5/Days_In_Year</f>
        <v>-0</v>
      </c>
      <c r="DZ59" s="49" t="n">
        <f aca="false">-(DZ53+DZ54)*In_Guarantee_Fee*DZ$5/Days_In_Year</f>
        <v>-0</v>
      </c>
      <c r="EA59" s="49" t="n">
        <f aca="false">-(EA53+EA54)*In_Guarantee_Fee*EA$5/Days_In_Year</f>
        <v>-0</v>
      </c>
      <c r="EB59" s="49" t="n">
        <f aca="false">-(EB53+EB54)*In_Guarantee_Fee*EB$5/Days_In_Year</f>
        <v>-0</v>
      </c>
      <c r="EC59" s="49" t="n">
        <f aca="false">-(EC53+EC54)*In_Guarantee_Fee*EC$5/Days_In_Year</f>
        <v>-0</v>
      </c>
      <c r="ED59" s="49" t="n">
        <f aca="false">-(ED53+ED54)*In_Guarantee_Fee*ED$5/Days_In_Year</f>
        <v>-0</v>
      </c>
      <c r="EE59" s="49" t="n">
        <f aca="false">-(EE53+EE54)*In_Guarantee_Fee*EE$5/Days_In_Year</f>
        <v>-0</v>
      </c>
      <c r="EF59" s="49" t="n">
        <f aca="false">-(EF53+EF54)*In_Guarantee_Fee*EF$5/Days_In_Year</f>
        <v>-0</v>
      </c>
      <c r="EG59" s="49" t="n">
        <f aca="false">-(EG53+EG54)*In_Guarantee_Fee*EG$5/Days_In_Year</f>
        <v>-0</v>
      </c>
      <c r="EH59" s="49" t="n">
        <f aca="false">-(EH53+EH54)*In_Guarantee_Fee*EH$5/Days_In_Year</f>
        <v>-0</v>
      </c>
      <c r="EI59" s="49" t="n">
        <f aca="false">-(EI53+EI54)*In_Guarantee_Fee*EI$5/Days_In_Year</f>
        <v>-0</v>
      </c>
      <c r="EJ59" s="49" t="n">
        <f aca="false">-(EJ53+EJ54)*In_Guarantee_Fee*EJ$5/Days_In_Year</f>
        <v>-0</v>
      </c>
      <c r="EK59" s="49" t="n">
        <f aca="false">-(EK53+EK54)*In_Guarantee_Fee*EK$5/Days_In_Year</f>
        <v>-0</v>
      </c>
      <c r="EL59" s="49" t="n">
        <f aca="false">-(EL53+EL54)*In_Guarantee_Fee*EL$5/Days_In_Year</f>
        <v>-0</v>
      </c>
      <c r="EM59" s="49" t="n">
        <f aca="false">-(EM53+EM54)*In_Guarantee_Fee*EM$5/Days_In_Year</f>
        <v>-0</v>
      </c>
      <c r="EN59" s="49" t="n">
        <f aca="false">-(EN53+EN54)*In_Guarantee_Fee*EN$5/Days_In_Year</f>
        <v>-0</v>
      </c>
      <c r="EO59" s="49" t="n">
        <f aca="false">-(EO53+EO54)*In_Guarantee_Fee*EO$5/Days_In_Year</f>
        <v>-0</v>
      </c>
    </row>
    <row r="60" customFormat="false" ht="15" hidden="false" customHeight="false" outlineLevel="0" collapsed="false">
      <c r="C60" s="1" t="s">
        <v>456</v>
      </c>
      <c r="D60" s="12" t="s">
        <v>33</v>
      </c>
      <c r="E60" s="49" t="n">
        <f aca="false">$E54*$E25*In_Bench_Wind/$E51</f>
        <v>1668.49315068493</v>
      </c>
      <c r="F60" s="49" t="n">
        <f aca="false">$E54-$E60</f>
        <v>547.945205479452</v>
      </c>
    </row>
    <row r="61" customFormat="false" ht="15" hidden="false" customHeight="false" outlineLevel="0" collapsed="false">
      <c r="C61" s="1" t="s">
        <v>457</v>
      </c>
      <c r="D61" s="12" t="s">
        <v>33</v>
      </c>
      <c r="E61" s="49" t="n">
        <f aca="false">($E30&gt;In_Tolerance_Cap)*$E30*$E60+($F30&gt;In_Tolerance_Cap)*$F30*$F60</f>
        <v>0</v>
      </c>
      <c r="F61" s="49" t="n">
        <f aca="false">(($E30+$F30&gt;0)+(In_Deliver=0)&gt;0)*$E54</f>
        <v>2216.43835616438</v>
      </c>
    </row>
    <row r="62" customFormat="false" ht="15" hidden="false" customHeight="false" outlineLevel="0" collapsed="false">
      <c r="C62" s="1" t="s">
        <v>458</v>
      </c>
      <c r="D62" s="12" t="s">
        <v>33</v>
      </c>
      <c r="E62" s="47" t="n">
        <f aca="false">EDATE(In_COD,In_Sanction_Lag)</f>
        <v>47937</v>
      </c>
      <c r="I62" s="49" t="n">
        <f aca="false">SUM(J62:EO62)</f>
        <v>0</v>
      </c>
      <c r="J62" s="49" t="n">
        <f aca="false">-CHOOSE(In_Sanction_Regime,$E61,$F61)*N(AND(J$3&lt;=$E62,J$4&gt;=$E62))</f>
        <v>-0</v>
      </c>
      <c r="K62" s="49" t="n">
        <f aca="false">-CHOOSE(In_Sanction_Regime,$E61,$F61)*N(AND(K$3&lt;=$E62,K$4&gt;=$E62))</f>
        <v>-0</v>
      </c>
      <c r="L62" s="49" t="n">
        <f aca="false">-CHOOSE(In_Sanction_Regime,$E61,$F61)*N(AND(L$3&lt;=$E62,L$4&gt;=$E62))</f>
        <v>-0</v>
      </c>
      <c r="M62" s="49" t="n">
        <f aca="false">-CHOOSE(In_Sanction_Regime,$E61,$F61)*N(AND(M$3&lt;=$E62,M$4&gt;=$E62))</f>
        <v>-0</v>
      </c>
      <c r="N62" s="49" t="n">
        <f aca="false">-CHOOSE(In_Sanction_Regime,$E61,$F61)*N(AND(N$3&lt;=$E62,N$4&gt;=$E62))</f>
        <v>-0</v>
      </c>
      <c r="O62" s="49" t="n">
        <f aca="false">-CHOOSE(In_Sanction_Regime,$E61,$F61)*N(AND(O$3&lt;=$E62,O$4&gt;=$E62))</f>
        <v>-0</v>
      </c>
      <c r="P62" s="49" t="n">
        <f aca="false">-CHOOSE(In_Sanction_Regime,$E61,$F61)*N(AND(P$3&lt;=$E62,P$4&gt;=$E62))</f>
        <v>-0</v>
      </c>
      <c r="Q62" s="49" t="n">
        <f aca="false">-CHOOSE(In_Sanction_Regime,$E61,$F61)*N(AND(Q$3&lt;=$E62,Q$4&gt;=$E62))</f>
        <v>-0</v>
      </c>
      <c r="R62" s="49" t="n">
        <f aca="false">-CHOOSE(In_Sanction_Regime,$E61,$F61)*N(AND(R$3&lt;=$E62,R$4&gt;=$E62))</f>
        <v>-0</v>
      </c>
      <c r="S62" s="49" t="n">
        <f aca="false">-CHOOSE(In_Sanction_Regime,$E61,$F61)*N(AND(S$3&lt;=$E62,S$4&gt;=$E62))</f>
        <v>-0</v>
      </c>
      <c r="T62" s="49" t="n">
        <f aca="false">-CHOOSE(In_Sanction_Regime,$E61,$F61)*N(AND(T$3&lt;=$E62,T$4&gt;=$E62))</f>
        <v>-0</v>
      </c>
      <c r="U62" s="49" t="n">
        <f aca="false">-CHOOSE(In_Sanction_Regime,$E61,$F61)*N(AND(U$3&lt;=$E62,U$4&gt;=$E62))</f>
        <v>-0</v>
      </c>
      <c r="V62" s="49" t="n">
        <f aca="false">-CHOOSE(In_Sanction_Regime,$E61,$F61)*N(AND(V$3&lt;=$E62,V$4&gt;=$E62))</f>
        <v>-0</v>
      </c>
      <c r="W62" s="49" t="n">
        <f aca="false">-CHOOSE(In_Sanction_Regime,$E61,$F61)*N(AND(W$3&lt;=$E62,W$4&gt;=$E62))</f>
        <v>-0</v>
      </c>
      <c r="X62" s="49" t="n">
        <f aca="false">-CHOOSE(In_Sanction_Regime,$E61,$F61)*N(AND(X$3&lt;=$E62,X$4&gt;=$E62))</f>
        <v>-0</v>
      </c>
      <c r="Y62" s="49" t="n">
        <f aca="false">-CHOOSE(In_Sanction_Regime,$E61,$F61)*N(AND(Y$3&lt;=$E62,Y$4&gt;=$E62))</f>
        <v>-0</v>
      </c>
      <c r="Z62" s="49" t="n">
        <f aca="false">-CHOOSE(In_Sanction_Regime,$E61,$F61)*N(AND(Z$3&lt;=$E62,Z$4&gt;=$E62))</f>
        <v>-0</v>
      </c>
      <c r="AA62" s="49" t="n">
        <f aca="false">-CHOOSE(In_Sanction_Regime,$E61,$F61)*N(AND(AA$3&lt;=$E62,AA$4&gt;=$E62))</f>
        <v>-0</v>
      </c>
      <c r="AB62" s="49" t="n">
        <f aca="false">-CHOOSE(In_Sanction_Regime,$E61,$F61)*N(AND(AB$3&lt;=$E62,AB$4&gt;=$E62))</f>
        <v>-0</v>
      </c>
      <c r="AC62" s="49" t="n">
        <f aca="false">-CHOOSE(In_Sanction_Regime,$E61,$F61)*N(AND(AC$3&lt;=$E62,AC$4&gt;=$E62))</f>
        <v>-0</v>
      </c>
      <c r="AD62" s="49" t="n">
        <f aca="false">-CHOOSE(In_Sanction_Regime,$E61,$F61)*N(AND(AD$3&lt;=$E62,AD$4&gt;=$E62))</f>
        <v>-0</v>
      </c>
      <c r="AE62" s="49" t="n">
        <f aca="false">-CHOOSE(In_Sanction_Regime,$E61,$F61)*N(AND(AE$3&lt;=$E62,AE$4&gt;=$E62))</f>
        <v>-0</v>
      </c>
      <c r="AF62" s="49" t="n">
        <f aca="false">-CHOOSE(In_Sanction_Regime,$E61,$F61)*N(AND(AF$3&lt;=$E62,AF$4&gt;=$E62))</f>
        <v>-0</v>
      </c>
      <c r="AG62" s="49" t="n">
        <f aca="false">-CHOOSE(In_Sanction_Regime,$E61,$F61)*N(AND(AG$3&lt;=$E62,AG$4&gt;=$E62))</f>
        <v>-0</v>
      </c>
      <c r="AH62" s="49" t="n">
        <f aca="false">-CHOOSE(In_Sanction_Regime,$E61,$F61)*N(AND(AH$3&lt;=$E62,AH$4&gt;=$E62))</f>
        <v>-0</v>
      </c>
      <c r="AI62" s="49" t="n">
        <f aca="false">-CHOOSE(In_Sanction_Regime,$E61,$F61)*N(AND(AI$3&lt;=$E62,AI$4&gt;=$E62))</f>
        <v>-0</v>
      </c>
      <c r="AJ62" s="49" t="n">
        <f aca="false">-CHOOSE(In_Sanction_Regime,$E61,$F61)*N(AND(AJ$3&lt;=$E62,AJ$4&gt;=$E62))</f>
        <v>-0</v>
      </c>
      <c r="AK62" s="49" t="n">
        <f aca="false">-CHOOSE(In_Sanction_Regime,$E61,$F61)*N(AND(AK$3&lt;=$E62,AK$4&gt;=$E62))</f>
        <v>-0</v>
      </c>
      <c r="AL62" s="49" t="n">
        <f aca="false">-CHOOSE(In_Sanction_Regime,$E61,$F61)*N(AND(AL$3&lt;=$E62,AL$4&gt;=$E62))</f>
        <v>-0</v>
      </c>
      <c r="AM62" s="49" t="n">
        <f aca="false">-CHOOSE(In_Sanction_Regime,$E61,$F61)*N(AND(AM$3&lt;=$E62,AM$4&gt;=$E62))</f>
        <v>-0</v>
      </c>
      <c r="AN62" s="49" t="n">
        <f aca="false">-CHOOSE(In_Sanction_Regime,$E61,$F61)*N(AND(AN$3&lt;=$E62,AN$4&gt;=$E62))</f>
        <v>-0</v>
      </c>
      <c r="AO62" s="49" t="n">
        <f aca="false">-CHOOSE(In_Sanction_Regime,$E61,$F61)*N(AND(AO$3&lt;=$E62,AO$4&gt;=$E62))</f>
        <v>-0</v>
      </c>
      <c r="AP62" s="49" t="n">
        <f aca="false">-CHOOSE(In_Sanction_Regime,$E61,$F61)*N(AND(AP$3&lt;=$E62,AP$4&gt;=$E62))</f>
        <v>-0</v>
      </c>
      <c r="AQ62" s="49" t="n">
        <f aca="false">-CHOOSE(In_Sanction_Regime,$E61,$F61)*N(AND(AQ$3&lt;=$E62,AQ$4&gt;=$E62))</f>
        <v>-0</v>
      </c>
      <c r="AR62" s="49" t="n">
        <f aca="false">-CHOOSE(In_Sanction_Regime,$E61,$F61)*N(AND(AR$3&lt;=$E62,AR$4&gt;=$E62))</f>
        <v>-0</v>
      </c>
      <c r="AS62" s="49" t="n">
        <f aca="false">-CHOOSE(In_Sanction_Regime,$E61,$F61)*N(AND(AS$3&lt;=$E62,AS$4&gt;=$E62))</f>
        <v>-0</v>
      </c>
      <c r="AT62" s="49" t="n">
        <f aca="false">-CHOOSE(In_Sanction_Regime,$E61,$F61)*N(AND(AT$3&lt;=$E62,AT$4&gt;=$E62))</f>
        <v>-0</v>
      </c>
      <c r="AU62" s="49" t="n">
        <f aca="false">-CHOOSE(In_Sanction_Regime,$E61,$F61)*N(AND(AU$3&lt;=$E62,AU$4&gt;=$E62))</f>
        <v>-0</v>
      </c>
      <c r="AV62" s="49" t="n">
        <f aca="false">-CHOOSE(In_Sanction_Regime,$E61,$F61)*N(AND(AV$3&lt;=$E62,AV$4&gt;=$E62))</f>
        <v>-0</v>
      </c>
      <c r="AW62" s="49" t="n">
        <f aca="false">-CHOOSE(In_Sanction_Regime,$E61,$F61)*N(AND(AW$3&lt;=$E62,AW$4&gt;=$E62))</f>
        <v>-0</v>
      </c>
      <c r="AX62" s="49" t="n">
        <f aca="false">-CHOOSE(In_Sanction_Regime,$E61,$F61)*N(AND(AX$3&lt;=$E62,AX$4&gt;=$E62))</f>
        <v>-0</v>
      </c>
      <c r="AY62" s="49" t="n">
        <f aca="false">-CHOOSE(In_Sanction_Regime,$E61,$F61)*N(AND(AY$3&lt;=$E62,AY$4&gt;=$E62))</f>
        <v>-0</v>
      </c>
      <c r="AZ62" s="49" t="n">
        <f aca="false">-CHOOSE(In_Sanction_Regime,$E61,$F61)*N(AND(AZ$3&lt;=$E62,AZ$4&gt;=$E62))</f>
        <v>-0</v>
      </c>
      <c r="BA62" s="49" t="n">
        <f aca="false">-CHOOSE(In_Sanction_Regime,$E61,$F61)*N(AND(BA$3&lt;=$E62,BA$4&gt;=$E62))</f>
        <v>-0</v>
      </c>
      <c r="BB62" s="49" t="n">
        <f aca="false">-CHOOSE(In_Sanction_Regime,$E61,$F61)*N(AND(BB$3&lt;=$E62,BB$4&gt;=$E62))</f>
        <v>-0</v>
      </c>
      <c r="BC62" s="49" t="n">
        <f aca="false">-CHOOSE(In_Sanction_Regime,$E61,$F61)*N(AND(BC$3&lt;=$E62,BC$4&gt;=$E62))</f>
        <v>-0</v>
      </c>
      <c r="BD62" s="49" t="n">
        <f aca="false">-CHOOSE(In_Sanction_Regime,$E61,$F61)*N(AND(BD$3&lt;=$E62,BD$4&gt;=$E62))</f>
        <v>-0</v>
      </c>
      <c r="BE62" s="49" t="n">
        <f aca="false">-CHOOSE(In_Sanction_Regime,$E61,$F61)*N(AND(BE$3&lt;=$E62,BE$4&gt;=$E62))</f>
        <v>-0</v>
      </c>
      <c r="BF62" s="49" t="n">
        <f aca="false">-CHOOSE(In_Sanction_Regime,$E61,$F61)*N(AND(BF$3&lt;=$E62,BF$4&gt;=$E62))</f>
        <v>-0</v>
      </c>
      <c r="BG62" s="49" t="n">
        <f aca="false">-CHOOSE(In_Sanction_Regime,$E61,$F61)*N(AND(BG$3&lt;=$E62,BG$4&gt;=$E62))</f>
        <v>-0</v>
      </c>
      <c r="BH62" s="49" t="n">
        <f aca="false">-CHOOSE(In_Sanction_Regime,$E61,$F61)*N(AND(BH$3&lt;=$E62,BH$4&gt;=$E62))</f>
        <v>-0</v>
      </c>
      <c r="BI62" s="49" t="n">
        <f aca="false">-CHOOSE(In_Sanction_Regime,$E61,$F61)*N(AND(BI$3&lt;=$E62,BI$4&gt;=$E62))</f>
        <v>-0</v>
      </c>
      <c r="BJ62" s="49" t="n">
        <f aca="false">-CHOOSE(In_Sanction_Regime,$E61,$F61)*N(AND(BJ$3&lt;=$E62,BJ$4&gt;=$E62))</f>
        <v>-0</v>
      </c>
      <c r="BK62" s="49" t="n">
        <f aca="false">-CHOOSE(In_Sanction_Regime,$E61,$F61)*N(AND(BK$3&lt;=$E62,BK$4&gt;=$E62))</f>
        <v>-0</v>
      </c>
      <c r="BL62" s="49" t="n">
        <f aca="false">-CHOOSE(In_Sanction_Regime,$E61,$F61)*N(AND(BL$3&lt;=$E62,BL$4&gt;=$E62))</f>
        <v>-0</v>
      </c>
      <c r="BM62" s="49" t="n">
        <f aca="false">-CHOOSE(In_Sanction_Regime,$E61,$F61)*N(AND(BM$3&lt;=$E62,BM$4&gt;=$E62))</f>
        <v>-0</v>
      </c>
      <c r="BN62" s="49" t="n">
        <f aca="false">-CHOOSE(In_Sanction_Regime,$E61,$F61)*N(AND(BN$3&lt;=$E62,BN$4&gt;=$E62))</f>
        <v>-0</v>
      </c>
      <c r="BO62" s="49" t="n">
        <f aca="false">-CHOOSE(In_Sanction_Regime,$E61,$F61)*N(AND(BO$3&lt;=$E62,BO$4&gt;=$E62))</f>
        <v>-0</v>
      </c>
      <c r="BP62" s="49" t="n">
        <f aca="false">-CHOOSE(In_Sanction_Regime,$E61,$F61)*N(AND(BP$3&lt;=$E62,BP$4&gt;=$E62))</f>
        <v>-0</v>
      </c>
      <c r="BQ62" s="49" t="n">
        <f aca="false">-CHOOSE(In_Sanction_Regime,$E61,$F61)*N(AND(BQ$3&lt;=$E62,BQ$4&gt;=$E62))</f>
        <v>-0</v>
      </c>
      <c r="BR62" s="49" t="n">
        <f aca="false">-CHOOSE(In_Sanction_Regime,$E61,$F61)*N(AND(BR$3&lt;=$E62,BR$4&gt;=$E62))</f>
        <v>-0</v>
      </c>
      <c r="BS62" s="49" t="n">
        <f aca="false">-CHOOSE(In_Sanction_Regime,$E61,$F61)*N(AND(BS$3&lt;=$E62,BS$4&gt;=$E62))</f>
        <v>-0</v>
      </c>
      <c r="BT62" s="49" t="n">
        <f aca="false">-CHOOSE(In_Sanction_Regime,$E61,$F61)*N(AND(BT$3&lt;=$E62,BT$4&gt;=$E62))</f>
        <v>-0</v>
      </c>
      <c r="BU62" s="49" t="n">
        <f aca="false">-CHOOSE(In_Sanction_Regime,$E61,$F61)*N(AND(BU$3&lt;=$E62,BU$4&gt;=$E62))</f>
        <v>-0</v>
      </c>
      <c r="BV62" s="49" t="n">
        <f aca="false">-CHOOSE(In_Sanction_Regime,$E61,$F61)*N(AND(BV$3&lt;=$E62,BV$4&gt;=$E62))</f>
        <v>-0</v>
      </c>
      <c r="BW62" s="49" t="n">
        <f aca="false">-CHOOSE(In_Sanction_Regime,$E61,$F61)*N(AND(BW$3&lt;=$E62,BW$4&gt;=$E62))</f>
        <v>-0</v>
      </c>
      <c r="BX62" s="49" t="n">
        <f aca="false">-CHOOSE(In_Sanction_Regime,$E61,$F61)*N(AND(BX$3&lt;=$E62,BX$4&gt;=$E62))</f>
        <v>-0</v>
      </c>
      <c r="BY62" s="49" t="n">
        <f aca="false">-CHOOSE(In_Sanction_Regime,$E61,$F61)*N(AND(BY$3&lt;=$E62,BY$4&gt;=$E62))</f>
        <v>-0</v>
      </c>
      <c r="BZ62" s="49" t="n">
        <f aca="false">-CHOOSE(In_Sanction_Regime,$E61,$F61)*N(AND(BZ$3&lt;=$E62,BZ$4&gt;=$E62))</f>
        <v>-0</v>
      </c>
      <c r="CA62" s="49" t="n">
        <f aca="false">-CHOOSE(In_Sanction_Regime,$E61,$F61)*N(AND(CA$3&lt;=$E62,CA$4&gt;=$E62))</f>
        <v>-0</v>
      </c>
      <c r="CB62" s="49" t="n">
        <f aca="false">-CHOOSE(In_Sanction_Regime,$E61,$F61)*N(AND(CB$3&lt;=$E62,CB$4&gt;=$E62))</f>
        <v>-0</v>
      </c>
      <c r="CC62" s="49" t="n">
        <f aca="false">-CHOOSE(In_Sanction_Regime,$E61,$F61)*N(AND(CC$3&lt;=$E62,CC$4&gt;=$E62))</f>
        <v>-0</v>
      </c>
      <c r="CD62" s="49" t="n">
        <f aca="false">-CHOOSE(In_Sanction_Regime,$E61,$F61)*N(AND(CD$3&lt;=$E62,CD$4&gt;=$E62))</f>
        <v>-0</v>
      </c>
      <c r="CE62" s="49" t="n">
        <f aca="false">-CHOOSE(In_Sanction_Regime,$E61,$F61)*N(AND(CE$3&lt;=$E62,CE$4&gt;=$E62))</f>
        <v>-0</v>
      </c>
      <c r="CF62" s="49" t="n">
        <f aca="false">-CHOOSE(In_Sanction_Regime,$E61,$F61)*N(AND(CF$3&lt;=$E62,CF$4&gt;=$E62))</f>
        <v>-0</v>
      </c>
      <c r="CG62" s="49" t="n">
        <f aca="false">-CHOOSE(In_Sanction_Regime,$E61,$F61)*N(AND(CG$3&lt;=$E62,CG$4&gt;=$E62))</f>
        <v>-0</v>
      </c>
      <c r="CH62" s="49" t="n">
        <f aca="false">-CHOOSE(In_Sanction_Regime,$E61,$F61)*N(AND(CH$3&lt;=$E62,CH$4&gt;=$E62))</f>
        <v>-0</v>
      </c>
      <c r="CI62" s="49" t="n">
        <f aca="false">-CHOOSE(In_Sanction_Regime,$E61,$F61)*N(AND(CI$3&lt;=$E62,CI$4&gt;=$E62))</f>
        <v>-0</v>
      </c>
      <c r="CJ62" s="49" t="n">
        <f aca="false">-CHOOSE(In_Sanction_Regime,$E61,$F61)*N(AND(CJ$3&lt;=$E62,CJ$4&gt;=$E62))</f>
        <v>-0</v>
      </c>
      <c r="CK62" s="49" t="n">
        <f aca="false">-CHOOSE(In_Sanction_Regime,$E61,$F61)*N(AND(CK$3&lt;=$E62,CK$4&gt;=$E62))</f>
        <v>-0</v>
      </c>
      <c r="CL62" s="49" t="n">
        <f aca="false">-CHOOSE(In_Sanction_Regime,$E61,$F61)*N(AND(CL$3&lt;=$E62,CL$4&gt;=$E62))</f>
        <v>-0</v>
      </c>
      <c r="CM62" s="49" t="n">
        <f aca="false">-CHOOSE(In_Sanction_Regime,$E61,$F61)*N(AND(CM$3&lt;=$E62,CM$4&gt;=$E62))</f>
        <v>-0</v>
      </c>
      <c r="CN62" s="49" t="n">
        <f aca="false">-CHOOSE(In_Sanction_Regime,$E61,$F61)*N(AND(CN$3&lt;=$E62,CN$4&gt;=$E62))</f>
        <v>-0</v>
      </c>
      <c r="CO62" s="49" t="n">
        <f aca="false">-CHOOSE(In_Sanction_Regime,$E61,$F61)*N(AND(CO$3&lt;=$E62,CO$4&gt;=$E62))</f>
        <v>-0</v>
      </c>
      <c r="CP62" s="49" t="n">
        <f aca="false">-CHOOSE(In_Sanction_Regime,$E61,$F61)*N(AND(CP$3&lt;=$E62,CP$4&gt;=$E62))</f>
        <v>-0</v>
      </c>
      <c r="CQ62" s="49" t="n">
        <f aca="false">-CHOOSE(In_Sanction_Regime,$E61,$F61)*N(AND(CQ$3&lt;=$E62,CQ$4&gt;=$E62))</f>
        <v>-0</v>
      </c>
      <c r="CR62" s="49" t="n">
        <f aca="false">-CHOOSE(In_Sanction_Regime,$E61,$F61)*N(AND(CR$3&lt;=$E62,CR$4&gt;=$E62))</f>
        <v>-0</v>
      </c>
      <c r="CS62" s="49" t="n">
        <f aca="false">-CHOOSE(In_Sanction_Regime,$E61,$F61)*N(AND(CS$3&lt;=$E62,CS$4&gt;=$E62))</f>
        <v>-0</v>
      </c>
      <c r="CT62" s="49" t="n">
        <f aca="false">-CHOOSE(In_Sanction_Regime,$E61,$F61)*N(AND(CT$3&lt;=$E62,CT$4&gt;=$E62))</f>
        <v>-0</v>
      </c>
      <c r="CU62" s="49" t="n">
        <f aca="false">-CHOOSE(In_Sanction_Regime,$E61,$F61)*N(AND(CU$3&lt;=$E62,CU$4&gt;=$E62))</f>
        <v>-0</v>
      </c>
      <c r="CV62" s="49" t="n">
        <f aca="false">-CHOOSE(In_Sanction_Regime,$E61,$F61)*N(AND(CV$3&lt;=$E62,CV$4&gt;=$E62))</f>
        <v>-0</v>
      </c>
      <c r="CW62" s="49" t="n">
        <f aca="false">-CHOOSE(In_Sanction_Regime,$E61,$F61)*N(AND(CW$3&lt;=$E62,CW$4&gt;=$E62))</f>
        <v>-0</v>
      </c>
      <c r="CX62" s="49" t="n">
        <f aca="false">-CHOOSE(In_Sanction_Regime,$E61,$F61)*N(AND(CX$3&lt;=$E62,CX$4&gt;=$E62))</f>
        <v>-0</v>
      </c>
      <c r="CY62" s="49" t="n">
        <f aca="false">-CHOOSE(In_Sanction_Regime,$E61,$F61)*N(AND(CY$3&lt;=$E62,CY$4&gt;=$E62))</f>
        <v>-0</v>
      </c>
      <c r="CZ62" s="49" t="n">
        <f aca="false">-CHOOSE(In_Sanction_Regime,$E61,$F61)*N(AND(CZ$3&lt;=$E62,CZ$4&gt;=$E62))</f>
        <v>-0</v>
      </c>
      <c r="DA62" s="49" t="n">
        <f aca="false">-CHOOSE(In_Sanction_Regime,$E61,$F61)*N(AND(DA$3&lt;=$E62,DA$4&gt;=$E62))</f>
        <v>-0</v>
      </c>
      <c r="DB62" s="49" t="n">
        <f aca="false">-CHOOSE(In_Sanction_Regime,$E61,$F61)*N(AND(DB$3&lt;=$E62,DB$4&gt;=$E62))</f>
        <v>-0</v>
      </c>
      <c r="DC62" s="49" t="n">
        <f aca="false">-CHOOSE(In_Sanction_Regime,$E61,$F61)*N(AND(DC$3&lt;=$E62,DC$4&gt;=$E62))</f>
        <v>-0</v>
      </c>
      <c r="DD62" s="49" t="n">
        <f aca="false">-CHOOSE(In_Sanction_Regime,$E61,$F61)*N(AND(DD$3&lt;=$E62,DD$4&gt;=$E62))</f>
        <v>-0</v>
      </c>
      <c r="DE62" s="49" t="n">
        <f aca="false">-CHOOSE(In_Sanction_Regime,$E61,$F61)*N(AND(DE$3&lt;=$E62,DE$4&gt;=$E62))</f>
        <v>-0</v>
      </c>
      <c r="DF62" s="49" t="n">
        <f aca="false">-CHOOSE(In_Sanction_Regime,$E61,$F61)*N(AND(DF$3&lt;=$E62,DF$4&gt;=$E62))</f>
        <v>-0</v>
      </c>
      <c r="DG62" s="49" t="n">
        <f aca="false">-CHOOSE(In_Sanction_Regime,$E61,$F61)*N(AND(DG$3&lt;=$E62,DG$4&gt;=$E62))</f>
        <v>-0</v>
      </c>
      <c r="DH62" s="49" t="n">
        <f aca="false">-CHOOSE(In_Sanction_Regime,$E61,$F61)*N(AND(DH$3&lt;=$E62,DH$4&gt;=$E62))</f>
        <v>-0</v>
      </c>
      <c r="DI62" s="49" t="n">
        <f aca="false">-CHOOSE(In_Sanction_Regime,$E61,$F61)*N(AND(DI$3&lt;=$E62,DI$4&gt;=$E62))</f>
        <v>-0</v>
      </c>
      <c r="DJ62" s="49" t="n">
        <f aca="false">-CHOOSE(In_Sanction_Regime,$E61,$F61)*N(AND(DJ$3&lt;=$E62,DJ$4&gt;=$E62))</f>
        <v>-0</v>
      </c>
      <c r="DK62" s="49" t="n">
        <f aca="false">-CHOOSE(In_Sanction_Regime,$E61,$F61)*N(AND(DK$3&lt;=$E62,DK$4&gt;=$E62))</f>
        <v>-0</v>
      </c>
      <c r="DL62" s="49" t="n">
        <f aca="false">-CHOOSE(In_Sanction_Regime,$E61,$F61)*N(AND(DL$3&lt;=$E62,DL$4&gt;=$E62))</f>
        <v>-0</v>
      </c>
      <c r="DM62" s="49" t="n">
        <f aca="false">-CHOOSE(In_Sanction_Regime,$E61,$F61)*N(AND(DM$3&lt;=$E62,DM$4&gt;=$E62))</f>
        <v>-0</v>
      </c>
      <c r="DN62" s="49" t="n">
        <f aca="false">-CHOOSE(In_Sanction_Regime,$E61,$F61)*N(AND(DN$3&lt;=$E62,DN$4&gt;=$E62))</f>
        <v>-0</v>
      </c>
      <c r="DO62" s="49" t="n">
        <f aca="false">-CHOOSE(In_Sanction_Regime,$E61,$F61)*N(AND(DO$3&lt;=$E62,DO$4&gt;=$E62))</f>
        <v>-0</v>
      </c>
      <c r="DP62" s="49" t="n">
        <f aca="false">-CHOOSE(In_Sanction_Regime,$E61,$F61)*N(AND(DP$3&lt;=$E62,DP$4&gt;=$E62))</f>
        <v>-0</v>
      </c>
      <c r="DQ62" s="49" t="n">
        <f aca="false">-CHOOSE(In_Sanction_Regime,$E61,$F61)*N(AND(DQ$3&lt;=$E62,DQ$4&gt;=$E62))</f>
        <v>-0</v>
      </c>
      <c r="DR62" s="49" t="n">
        <f aca="false">-CHOOSE(In_Sanction_Regime,$E61,$F61)*N(AND(DR$3&lt;=$E62,DR$4&gt;=$E62))</f>
        <v>-0</v>
      </c>
      <c r="DS62" s="49" t="n">
        <f aca="false">-CHOOSE(In_Sanction_Regime,$E61,$F61)*N(AND(DS$3&lt;=$E62,DS$4&gt;=$E62))</f>
        <v>-0</v>
      </c>
      <c r="DT62" s="49" t="n">
        <f aca="false">-CHOOSE(In_Sanction_Regime,$E61,$F61)*N(AND(DT$3&lt;=$E62,DT$4&gt;=$E62))</f>
        <v>-0</v>
      </c>
      <c r="DU62" s="49" t="n">
        <f aca="false">-CHOOSE(In_Sanction_Regime,$E61,$F61)*N(AND(DU$3&lt;=$E62,DU$4&gt;=$E62))</f>
        <v>-0</v>
      </c>
      <c r="DV62" s="49" t="n">
        <f aca="false">-CHOOSE(In_Sanction_Regime,$E61,$F61)*N(AND(DV$3&lt;=$E62,DV$4&gt;=$E62))</f>
        <v>-0</v>
      </c>
      <c r="DW62" s="49" t="n">
        <f aca="false">-CHOOSE(In_Sanction_Regime,$E61,$F61)*N(AND(DW$3&lt;=$E62,DW$4&gt;=$E62))</f>
        <v>-0</v>
      </c>
      <c r="DX62" s="49" t="n">
        <f aca="false">-CHOOSE(In_Sanction_Regime,$E61,$F61)*N(AND(DX$3&lt;=$E62,DX$4&gt;=$E62))</f>
        <v>-0</v>
      </c>
      <c r="DY62" s="49" t="n">
        <f aca="false">-CHOOSE(In_Sanction_Regime,$E61,$F61)*N(AND(DY$3&lt;=$E62,DY$4&gt;=$E62))</f>
        <v>-0</v>
      </c>
      <c r="DZ62" s="49" t="n">
        <f aca="false">-CHOOSE(In_Sanction_Regime,$E61,$F61)*N(AND(DZ$3&lt;=$E62,DZ$4&gt;=$E62))</f>
        <v>-0</v>
      </c>
      <c r="EA62" s="49" t="n">
        <f aca="false">-CHOOSE(In_Sanction_Regime,$E61,$F61)*N(AND(EA$3&lt;=$E62,EA$4&gt;=$E62))</f>
        <v>-0</v>
      </c>
      <c r="EB62" s="49" t="n">
        <f aca="false">-CHOOSE(In_Sanction_Regime,$E61,$F61)*N(AND(EB$3&lt;=$E62,EB$4&gt;=$E62))</f>
        <v>-0</v>
      </c>
      <c r="EC62" s="49" t="n">
        <f aca="false">-CHOOSE(In_Sanction_Regime,$E61,$F61)*N(AND(EC$3&lt;=$E62,EC$4&gt;=$E62))</f>
        <v>-0</v>
      </c>
      <c r="ED62" s="49" t="n">
        <f aca="false">-CHOOSE(In_Sanction_Regime,$E61,$F61)*N(AND(ED$3&lt;=$E62,ED$4&gt;=$E62))</f>
        <v>-0</v>
      </c>
      <c r="EE62" s="49" t="n">
        <f aca="false">-CHOOSE(In_Sanction_Regime,$E61,$F61)*N(AND(EE$3&lt;=$E62,EE$4&gt;=$E62))</f>
        <v>-0</v>
      </c>
      <c r="EF62" s="49" t="n">
        <f aca="false">-CHOOSE(In_Sanction_Regime,$E61,$F61)*N(AND(EF$3&lt;=$E62,EF$4&gt;=$E62))</f>
        <v>-0</v>
      </c>
      <c r="EG62" s="49" t="n">
        <f aca="false">-CHOOSE(In_Sanction_Regime,$E61,$F61)*N(AND(EG$3&lt;=$E62,EG$4&gt;=$E62))</f>
        <v>-0</v>
      </c>
      <c r="EH62" s="49" t="n">
        <f aca="false">-CHOOSE(In_Sanction_Regime,$E61,$F61)*N(AND(EH$3&lt;=$E62,EH$4&gt;=$E62))</f>
        <v>-0</v>
      </c>
      <c r="EI62" s="49" t="n">
        <f aca="false">-CHOOSE(In_Sanction_Regime,$E61,$F61)*N(AND(EI$3&lt;=$E62,EI$4&gt;=$E62))</f>
        <v>-0</v>
      </c>
      <c r="EJ62" s="49" t="n">
        <f aca="false">-CHOOSE(In_Sanction_Regime,$E61,$F61)*N(AND(EJ$3&lt;=$E62,EJ$4&gt;=$E62))</f>
        <v>-0</v>
      </c>
      <c r="EK62" s="49" t="n">
        <f aca="false">-CHOOSE(In_Sanction_Regime,$E61,$F61)*N(AND(EK$3&lt;=$E62,EK$4&gt;=$E62))</f>
        <v>-0</v>
      </c>
      <c r="EL62" s="49" t="n">
        <f aca="false">-CHOOSE(In_Sanction_Regime,$E61,$F61)*N(AND(EL$3&lt;=$E62,EL$4&gt;=$E62))</f>
        <v>-0</v>
      </c>
      <c r="EM62" s="49" t="n">
        <f aca="false">-CHOOSE(In_Sanction_Regime,$E61,$F61)*N(AND(EM$3&lt;=$E62,EM$4&gt;=$E62))</f>
        <v>-0</v>
      </c>
      <c r="EN62" s="49" t="n">
        <f aca="false">-CHOOSE(In_Sanction_Regime,$E61,$F61)*N(AND(EN$3&lt;=$E62,EN$4&gt;=$E62))</f>
        <v>-0</v>
      </c>
      <c r="EO62" s="49" t="n">
        <f aca="false">-CHOOSE(In_Sanction_Regime,$E61,$F61)*N(AND(EO$3&lt;=$E62,EO$4&gt;=$E62))</f>
        <v>-0</v>
      </c>
    </row>
    <row r="63" customFormat="false" ht="15" hidden="false" customHeight="false" outlineLevel="0" collapsed="false">
      <c r="C63" s="26" t="s">
        <v>459</v>
      </c>
      <c r="D63" s="12" t="s">
        <v>33</v>
      </c>
      <c r="I63" s="58" t="n">
        <f aca="false">SUM(J63:EO63)</f>
        <v>-6597.56948020267</v>
      </c>
      <c r="J63" s="58" t="n">
        <f aca="false">J48+J49+J50+J52+J55+J59</f>
        <v>-4662.80993807469</v>
      </c>
      <c r="K63" s="58" t="n">
        <f aca="false">K48+K49+K50+K52+K55+K59</f>
        <v>-706.535577057768</v>
      </c>
      <c r="L63" s="58" t="n">
        <f aca="false">L48+L49+L50+L52+L55+L59</f>
        <v>-104.360496659404</v>
      </c>
      <c r="M63" s="58" t="n">
        <f aca="false">M48+M49+M50+M52+M55+M59</f>
        <v>-105.507315304013</v>
      </c>
      <c r="N63" s="58" t="n">
        <f aca="false">N48+N49+N50+N52+N55+N59</f>
        <v>-105.507315304013</v>
      </c>
      <c r="O63" s="58" t="n">
        <f aca="false">O48+O49+O50+O52+O55+O59</f>
        <v>-104.360496659404</v>
      </c>
      <c r="P63" s="58" t="n">
        <f aca="false">P48+P49+P50+P52+P55+P59</f>
        <v>-104.360496659404</v>
      </c>
      <c r="Q63" s="58" t="n">
        <f aca="false">Q48+Q49+Q50+Q52+Q55+Q59</f>
        <v>-105.507315304013</v>
      </c>
      <c r="R63" s="58" t="n">
        <f aca="false">R48+R49+R50+R52+R55+R59</f>
        <v>-33.5198348658285</v>
      </c>
      <c r="S63" s="58" t="n">
        <f aca="false">S48+S49+S50+S52+S55+S59</f>
        <v>-32.7911428035279</v>
      </c>
      <c r="T63" s="58" t="n">
        <f aca="false">T48+T49+T50+T52+T55+T59</f>
        <v>-33.1554888346782</v>
      </c>
      <c r="U63" s="58" t="n">
        <f aca="false">U48+U49+U50+U52+U55+U59</f>
        <v>-33.5198348658285</v>
      </c>
      <c r="V63" s="58" t="n">
        <f aca="false">V48+V49+V50+V52+V55+V59</f>
        <v>-33.5198348658285</v>
      </c>
      <c r="W63" s="58" t="n">
        <f aca="false">W48+W49+W50+W52+W55+W59</f>
        <v>-32.7911428035279</v>
      </c>
      <c r="X63" s="58" t="n">
        <f aca="false">X48+X49+X50+X52+X55+X59</f>
        <v>-33.1554888346782</v>
      </c>
      <c r="Y63" s="58" t="n">
        <f aca="false">Y48+Y49+Y50+Y52+Y55+Y59</f>
        <v>-33.5198348658285</v>
      </c>
      <c r="Z63" s="58" t="n">
        <f aca="false">Z48+Z49+Z50+Z52+Z55+Z59</f>
        <v>-33.5198348658285</v>
      </c>
      <c r="AA63" s="58" t="n">
        <f aca="false">AA48+AA49+AA50+AA52+AA55+AA59</f>
        <v>-32.7911428035279</v>
      </c>
      <c r="AB63" s="58" t="n">
        <f aca="false">AB48+AB49+AB50+AB52+AB55+AB59</f>
        <v>-33.1554888346782</v>
      </c>
      <c r="AC63" s="58" t="n">
        <f aca="false">AC48+AC49+AC50+AC52+AC55+AC59</f>
        <v>-33.5198348658285</v>
      </c>
      <c r="AD63" s="58" t="n">
        <f aca="false">AD48+AD49+AD50+AD52+AD55+AD59</f>
        <v>-33.5198348658285</v>
      </c>
      <c r="AE63" s="58" t="n">
        <f aca="false">AE48+AE49+AE50+AE52+AE55+AE59</f>
        <v>-33.1554888346782</v>
      </c>
      <c r="AF63" s="58" t="n">
        <f aca="false">AF48+AF49+AF50+AF52+AF55+AF59</f>
        <v>-33.1554888346782</v>
      </c>
      <c r="AG63" s="58" t="n">
        <f aca="false">AG48+AG49+AG50+AG52+AG55+AG59</f>
        <v>-33.5198348658285</v>
      </c>
      <c r="AH63" s="58" t="n">
        <f aca="false">AH48+AH49+AH50+AH52+AH55+AH59</f>
        <v>-33.5198348658285</v>
      </c>
      <c r="AI63" s="58" t="n">
        <f aca="false">AI48+AI49+AI50+AI52+AI55+AI59</f>
        <v>-32.7911428035279</v>
      </c>
      <c r="AJ63" s="58" t="n">
        <f aca="false">AJ48+AJ49+AJ50+AJ52+AJ55+AJ59</f>
        <v>-0</v>
      </c>
      <c r="AK63" s="58" t="n">
        <f aca="false">AK48+AK49+AK50+AK52+AK55+AK59</f>
        <v>-0</v>
      </c>
      <c r="AL63" s="58" t="n">
        <f aca="false">AL48+AL49+AL50+AL52+AL55+AL59</f>
        <v>-0</v>
      </c>
      <c r="AM63" s="58" t="n">
        <f aca="false">AM48+AM49+AM50+AM52+AM55+AM59</f>
        <v>-0</v>
      </c>
      <c r="AN63" s="58" t="n">
        <f aca="false">AN48+AN49+AN50+AN52+AN55+AN59</f>
        <v>-0</v>
      </c>
      <c r="AO63" s="58" t="n">
        <f aca="false">AO48+AO49+AO50+AO52+AO55+AO59</f>
        <v>-0</v>
      </c>
      <c r="AP63" s="58" t="n">
        <f aca="false">AP48+AP49+AP50+AP52+AP55+AP59</f>
        <v>-0</v>
      </c>
      <c r="AQ63" s="58" t="n">
        <f aca="false">AQ48+AQ49+AQ50+AQ52+AQ55+AQ59</f>
        <v>-0</v>
      </c>
      <c r="AR63" s="58" t="n">
        <f aca="false">AR48+AR49+AR50+AR52+AR55+AR59</f>
        <v>-0</v>
      </c>
      <c r="AS63" s="58" t="n">
        <f aca="false">AS48+AS49+AS50+AS52+AS55+AS59</f>
        <v>-0</v>
      </c>
      <c r="AT63" s="58" t="n">
        <f aca="false">AT48+AT49+AT50+AT52+AT55+AT59</f>
        <v>-0</v>
      </c>
      <c r="AU63" s="58" t="n">
        <f aca="false">AU48+AU49+AU50+AU52+AU55+AU59</f>
        <v>-0</v>
      </c>
      <c r="AV63" s="58" t="n">
        <f aca="false">AV48+AV49+AV50+AV52+AV55+AV59</f>
        <v>-0</v>
      </c>
      <c r="AW63" s="58" t="n">
        <f aca="false">AW48+AW49+AW50+AW52+AW55+AW59</f>
        <v>-0</v>
      </c>
      <c r="AX63" s="58" t="n">
        <f aca="false">AX48+AX49+AX50+AX52+AX55+AX59</f>
        <v>-0</v>
      </c>
      <c r="AY63" s="58" t="n">
        <f aca="false">AY48+AY49+AY50+AY52+AY55+AY59</f>
        <v>-0</v>
      </c>
      <c r="AZ63" s="58" t="n">
        <f aca="false">AZ48+AZ49+AZ50+AZ52+AZ55+AZ59</f>
        <v>-0</v>
      </c>
      <c r="BA63" s="58" t="n">
        <f aca="false">BA48+BA49+BA50+BA52+BA55+BA59</f>
        <v>-0</v>
      </c>
      <c r="BB63" s="58" t="n">
        <f aca="false">BB48+BB49+BB50+BB52+BB55+BB59</f>
        <v>-0</v>
      </c>
      <c r="BC63" s="58" t="n">
        <f aca="false">BC48+BC49+BC50+BC52+BC55+BC59</f>
        <v>-0</v>
      </c>
      <c r="BD63" s="58" t="n">
        <f aca="false">BD48+BD49+BD50+BD52+BD55+BD59</f>
        <v>-0</v>
      </c>
      <c r="BE63" s="58" t="n">
        <f aca="false">BE48+BE49+BE50+BE52+BE55+BE59</f>
        <v>-0</v>
      </c>
      <c r="BF63" s="58" t="n">
        <f aca="false">BF48+BF49+BF50+BF52+BF55+BF59</f>
        <v>-0</v>
      </c>
      <c r="BG63" s="58" t="n">
        <f aca="false">BG48+BG49+BG50+BG52+BG55+BG59</f>
        <v>-0</v>
      </c>
      <c r="BH63" s="58" t="n">
        <f aca="false">BH48+BH49+BH50+BH52+BH55+BH59</f>
        <v>-0</v>
      </c>
      <c r="BI63" s="58" t="n">
        <f aca="false">BI48+BI49+BI50+BI52+BI55+BI59</f>
        <v>-0</v>
      </c>
      <c r="BJ63" s="58" t="n">
        <f aca="false">BJ48+BJ49+BJ50+BJ52+BJ55+BJ59</f>
        <v>-0</v>
      </c>
      <c r="BK63" s="58" t="n">
        <f aca="false">BK48+BK49+BK50+BK52+BK55+BK59</f>
        <v>-0</v>
      </c>
      <c r="BL63" s="58" t="n">
        <f aca="false">BL48+BL49+BL50+BL52+BL55+BL59</f>
        <v>-0</v>
      </c>
      <c r="BM63" s="58" t="n">
        <f aca="false">BM48+BM49+BM50+BM52+BM55+BM59</f>
        <v>-0</v>
      </c>
      <c r="BN63" s="58" t="n">
        <f aca="false">BN48+BN49+BN50+BN52+BN55+BN59</f>
        <v>-0</v>
      </c>
      <c r="BO63" s="58" t="n">
        <f aca="false">BO48+BO49+BO50+BO52+BO55+BO59</f>
        <v>-0</v>
      </c>
      <c r="BP63" s="58" t="n">
        <f aca="false">BP48+BP49+BP50+BP52+BP55+BP59</f>
        <v>-0</v>
      </c>
      <c r="BQ63" s="58" t="n">
        <f aca="false">BQ48+BQ49+BQ50+BQ52+BQ55+BQ59</f>
        <v>-0</v>
      </c>
      <c r="BR63" s="58" t="n">
        <f aca="false">BR48+BR49+BR50+BR52+BR55+BR59</f>
        <v>-0</v>
      </c>
      <c r="BS63" s="58" t="n">
        <f aca="false">BS48+BS49+BS50+BS52+BS55+BS59</f>
        <v>-0</v>
      </c>
      <c r="BT63" s="58" t="n">
        <f aca="false">BT48+BT49+BT50+BT52+BT55+BT59</f>
        <v>-0</v>
      </c>
      <c r="BU63" s="58" t="n">
        <f aca="false">BU48+BU49+BU50+BU52+BU55+BU59</f>
        <v>-0</v>
      </c>
      <c r="BV63" s="58" t="n">
        <f aca="false">BV48+BV49+BV50+BV52+BV55+BV59</f>
        <v>-0</v>
      </c>
      <c r="BW63" s="58" t="n">
        <f aca="false">BW48+BW49+BW50+BW52+BW55+BW59</f>
        <v>-0</v>
      </c>
      <c r="BX63" s="58" t="n">
        <f aca="false">BX48+BX49+BX50+BX52+BX55+BX59</f>
        <v>-0</v>
      </c>
      <c r="BY63" s="58" t="n">
        <f aca="false">BY48+BY49+BY50+BY52+BY55+BY59</f>
        <v>-0</v>
      </c>
      <c r="BZ63" s="58" t="n">
        <f aca="false">BZ48+BZ49+BZ50+BZ52+BZ55+BZ59</f>
        <v>-0</v>
      </c>
      <c r="CA63" s="58" t="n">
        <f aca="false">CA48+CA49+CA50+CA52+CA55+CA59</f>
        <v>-0</v>
      </c>
      <c r="CB63" s="58" t="n">
        <f aca="false">CB48+CB49+CB50+CB52+CB55+CB59</f>
        <v>-0</v>
      </c>
      <c r="CC63" s="58" t="n">
        <f aca="false">CC48+CC49+CC50+CC52+CC55+CC59</f>
        <v>-0</v>
      </c>
      <c r="CD63" s="58" t="n">
        <f aca="false">CD48+CD49+CD50+CD52+CD55+CD59</f>
        <v>-0</v>
      </c>
      <c r="CE63" s="58" t="n">
        <f aca="false">CE48+CE49+CE50+CE52+CE55+CE59</f>
        <v>-0</v>
      </c>
      <c r="CF63" s="58" t="n">
        <f aca="false">CF48+CF49+CF50+CF52+CF55+CF59</f>
        <v>-0</v>
      </c>
      <c r="CG63" s="58" t="n">
        <f aca="false">CG48+CG49+CG50+CG52+CG55+CG59</f>
        <v>-0</v>
      </c>
      <c r="CH63" s="58" t="n">
        <f aca="false">CH48+CH49+CH50+CH52+CH55+CH59</f>
        <v>-0</v>
      </c>
      <c r="CI63" s="58" t="n">
        <f aca="false">CI48+CI49+CI50+CI52+CI55+CI59</f>
        <v>-0</v>
      </c>
      <c r="CJ63" s="58" t="n">
        <f aca="false">CJ48+CJ49+CJ50+CJ52+CJ55+CJ59</f>
        <v>-0</v>
      </c>
      <c r="CK63" s="58" t="n">
        <f aca="false">CK48+CK49+CK50+CK52+CK55+CK59</f>
        <v>-0</v>
      </c>
      <c r="CL63" s="58" t="n">
        <f aca="false">CL48+CL49+CL50+CL52+CL55+CL59</f>
        <v>-0</v>
      </c>
      <c r="CM63" s="58" t="n">
        <f aca="false">CM48+CM49+CM50+CM52+CM55+CM59</f>
        <v>-0</v>
      </c>
      <c r="CN63" s="58" t="n">
        <f aca="false">CN48+CN49+CN50+CN52+CN55+CN59</f>
        <v>-0</v>
      </c>
      <c r="CO63" s="58" t="n">
        <f aca="false">CO48+CO49+CO50+CO52+CO55+CO59</f>
        <v>-0</v>
      </c>
      <c r="CP63" s="58" t="n">
        <f aca="false">CP48+CP49+CP50+CP52+CP55+CP59</f>
        <v>-0</v>
      </c>
      <c r="CQ63" s="58" t="n">
        <f aca="false">CQ48+CQ49+CQ50+CQ52+CQ55+CQ59</f>
        <v>-0</v>
      </c>
      <c r="CR63" s="58" t="n">
        <f aca="false">CR48+CR49+CR50+CR52+CR55+CR59</f>
        <v>-0</v>
      </c>
      <c r="CS63" s="58" t="n">
        <f aca="false">CS48+CS49+CS50+CS52+CS55+CS59</f>
        <v>-0</v>
      </c>
      <c r="CT63" s="58" t="n">
        <f aca="false">CT48+CT49+CT50+CT52+CT55+CT59</f>
        <v>-0</v>
      </c>
      <c r="CU63" s="58" t="n">
        <f aca="false">CU48+CU49+CU50+CU52+CU55+CU59</f>
        <v>-0</v>
      </c>
      <c r="CV63" s="58" t="n">
        <f aca="false">CV48+CV49+CV50+CV52+CV55+CV59</f>
        <v>-0</v>
      </c>
      <c r="CW63" s="58" t="n">
        <f aca="false">CW48+CW49+CW50+CW52+CW55+CW59</f>
        <v>-0</v>
      </c>
      <c r="CX63" s="58" t="n">
        <f aca="false">CX48+CX49+CX50+CX52+CX55+CX59</f>
        <v>-0</v>
      </c>
      <c r="CY63" s="58" t="n">
        <f aca="false">CY48+CY49+CY50+CY52+CY55+CY59</f>
        <v>-0</v>
      </c>
      <c r="CZ63" s="58" t="n">
        <f aca="false">CZ48+CZ49+CZ50+CZ52+CZ55+CZ59</f>
        <v>-0</v>
      </c>
      <c r="DA63" s="58" t="n">
        <f aca="false">DA48+DA49+DA50+DA52+DA55+DA59</f>
        <v>-0</v>
      </c>
      <c r="DB63" s="58" t="n">
        <f aca="false">DB48+DB49+DB50+DB52+DB55+DB59</f>
        <v>-0</v>
      </c>
      <c r="DC63" s="58" t="n">
        <f aca="false">DC48+DC49+DC50+DC52+DC55+DC59</f>
        <v>-0</v>
      </c>
      <c r="DD63" s="58" t="n">
        <f aca="false">DD48+DD49+DD50+DD52+DD55+DD59</f>
        <v>-0</v>
      </c>
      <c r="DE63" s="58" t="n">
        <f aca="false">DE48+DE49+DE50+DE52+DE55+DE59</f>
        <v>-0</v>
      </c>
      <c r="DF63" s="58" t="n">
        <f aca="false">DF48+DF49+DF50+DF52+DF55+DF59</f>
        <v>-0</v>
      </c>
      <c r="DG63" s="58" t="n">
        <f aca="false">DG48+DG49+DG50+DG52+DG55+DG59</f>
        <v>-0</v>
      </c>
      <c r="DH63" s="58" t="n">
        <f aca="false">DH48+DH49+DH50+DH52+DH55+DH59</f>
        <v>-0</v>
      </c>
      <c r="DI63" s="58" t="n">
        <f aca="false">DI48+DI49+DI50+DI52+DI55+DI59</f>
        <v>-0</v>
      </c>
      <c r="DJ63" s="58" t="n">
        <f aca="false">DJ48+DJ49+DJ50+DJ52+DJ55+DJ59</f>
        <v>-0</v>
      </c>
      <c r="DK63" s="58" t="n">
        <f aca="false">DK48+DK49+DK50+DK52+DK55+DK59</f>
        <v>-0</v>
      </c>
      <c r="DL63" s="58" t="n">
        <f aca="false">DL48+DL49+DL50+DL52+DL55+DL59</f>
        <v>-0</v>
      </c>
      <c r="DM63" s="58" t="n">
        <f aca="false">DM48+DM49+DM50+DM52+DM55+DM59</f>
        <v>-0</v>
      </c>
      <c r="DN63" s="58" t="n">
        <f aca="false">DN48+DN49+DN50+DN52+DN55+DN59</f>
        <v>-0</v>
      </c>
      <c r="DO63" s="58" t="n">
        <f aca="false">DO48+DO49+DO50+DO52+DO55+DO59</f>
        <v>-0</v>
      </c>
      <c r="DP63" s="58" t="n">
        <f aca="false">DP48+DP49+DP50+DP52+DP55+DP59</f>
        <v>-0</v>
      </c>
      <c r="DQ63" s="58" t="n">
        <f aca="false">DQ48+DQ49+DQ50+DQ52+DQ55+DQ59</f>
        <v>-0</v>
      </c>
      <c r="DR63" s="58" t="n">
        <f aca="false">DR48+DR49+DR50+DR52+DR55+DR59</f>
        <v>-0</v>
      </c>
      <c r="DS63" s="58" t="n">
        <f aca="false">DS48+DS49+DS50+DS52+DS55+DS59</f>
        <v>-0</v>
      </c>
      <c r="DT63" s="58" t="n">
        <f aca="false">DT48+DT49+DT50+DT52+DT55+DT59</f>
        <v>-0</v>
      </c>
      <c r="DU63" s="58" t="n">
        <f aca="false">DU48+DU49+DU50+DU52+DU55+DU59</f>
        <v>-0</v>
      </c>
      <c r="DV63" s="58" t="n">
        <f aca="false">DV48+DV49+DV50+DV52+DV55+DV59</f>
        <v>-0</v>
      </c>
      <c r="DW63" s="58" t="n">
        <f aca="false">DW48+DW49+DW50+DW52+DW55+DW59</f>
        <v>-0</v>
      </c>
      <c r="DX63" s="58" t="n">
        <f aca="false">DX48+DX49+DX50+DX52+DX55+DX59</f>
        <v>-0</v>
      </c>
      <c r="DY63" s="58" t="n">
        <f aca="false">DY48+DY49+DY50+DY52+DY55+DY59</f>
        <v>-0</v>
      </c>
      <c r="DZ63" s="58" t="n">
        <f aca="false">DZ48+DZ49+DZ50+DZ52+DZ55+DZ59</f>
        <v>-0</v>
      </c>
      <c r="EA63" s="58" t="n">
        <f aca="false">EA48+EA49+EA50+EA52+EA55+EA59</f>
        <v>-0</v>
      </c>
      <c r="EB63" s="58" t="n">
        <f aca="false">EB48+EB49+EB50+EB52+EB55+EB59</f>
        <v>-0</v>
      </c>
      <c r="EC63" s="58" t="n">
        <f aca="false">EC48+EC49+EC50+EC52+EC55+EC59</f>
        <v>-0</v>
      </c>
      <c r="ED63" s="58" t="n">
        <f aca="false">ED48+ED49+ED50+ED52+ED55+ED59</f>
        <v>-0</v>
      </c>
      <c r="EE63" s="58" t="n">
        <f aca="false">EE48+EE49+EE50+EE52+EE55+EE59</f>
        <v>-0</v>
      </c>
      <c r="EF63" s="58" t="n">
        <f aca="false">EF48+EF49+EF50+EF52+EF55+EF59</f>
        <v>-0</v>
      </c>
      <c r="EG63" s="58" t="n">
        <f aca="false">EG48+EG49+EG50+EG52+EG55+EG59</f>
        <v>-0</v>
      </c>
      <c r="EH63" s="58" t="n">
        <f aca="false">EH48+EH49+EH50+EH52+EH55+EH59</f>
        <v>-0</v>
      </c>
      <c r="EI63" s="58" t="n">
        <f aca="false">EI48+EI49+EI50+EI52+EI55+EI59</f>
        <v>-0</v>
      </c>
      <c r="EJ63" s="58" t="n">
        <f aca="false">EJ48+EJ49+EJ50+EJ52+EJ55+EJ59</f>
        <v>-0</v>
      </c>
      <c r="EK63" s="58" t="n">
        <f aca="false">EK48+EK49+EK50+EK52+EK55+EK59</f>
        <v>-0</v>
      </c>
      <c r="EL63" s="58" t="n">
        <f aca="false">EL48+EL49+EL50+EL52+EL55+EL59</f>
        <v>-0</v>
      </c>
      <c r="EM63" s="58" t="n">
        <f aca="false">EM48+EM49+EM50+EM52+EM55+EM59</f>
        <v>-0</v>
      </c>
      <c r="EN63" s="58" t="n">
        <f aca="false">EN48+EN49+EN50+EN52+EN55+EN59</f>
        <v>-0</v>
      </c>
      <c r="EO63" s="58" t="n">
        <f aca="false">EO48+EO49+EO50+EO52+EO55+EO59</f>
        <v>-0</v>
      </c>
    </row>
    <row r="65" customFormat="false" ht="15" hidden="false" customHeight="false" outlineLevel="0" collapsed="false">
      <c r="A65" s="10" t="s">
        <v>13</v>
      </c>
      <c r="B65" s="10"/>
      <c r="C65" s="10" t="s">
        <v>460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customFormat="false" ht="15" hidden="false" customHeight="false" outlineLevel="0" collapsed="false">
      <c r="C66" s="1" t="s">
        <v>461</v>
      </c>
      <c r="D66" s="12" t="s">
        <v>19</v>
      </c>
      <c r="E66" s="49" t="n">
        <f aca="false">IF($E44=1,In_Turbine,In_Turbine_CN)</f>
        <v>950</v>
      </c>
    </row>
    <row r="67" customFormat="false" ht="15" hidden="false" customHeight="false" outlineLevel="0" collapsed="false">
      <c r="C67" s="1" t="s">
        <v>462</v>
      </c>
      <c r="D67" s="12" t="s">
        <v>33</v>
      </c>
      <c r="E67" s="49" t="n">
        <f aca="false">IF($E44=1,In_Substation,In_Substation_CN)</f>
        <v>12000</v>
      </c>
    </row>
    <row r="68" customFormat="false" ht="15" hidden="false" customHeight="false" outlineLevel="0" collapsed="false">
      <c r="C68" s="1" t="s">
        <v>463</v>
      </c>
      <c r="D68" s="12" t="s">
        <v>33</v>
      </c>
      <c r="E68" s="49" t="n">
        <f aca="false">(($E66+In_Other_Wind)*$F25+$E67)*(1+In_Capex_Contingency)+In_BESS_Capex*$E28*In_BESS_Built</f>
        <v>91963.75</v>
      </c>
      <c r="I68" s="49" t="n">
        <f aca="false">SUM(J68:EO68)</f>
        <v>-91963.75</v>
      </c>
      <c r="J68" s="49" t="n">
        <f aca="false">-$E68*J12</f>
        <v>-0</v>
      </c>
      <c r="K68" s="49" t="n">
        <f aca="false">-$E68*K12</f>
        <v>-0</v>
      </c>
      <c r="L68" s="49" t="n">
        <f aca="false">-$E68*L12</f>
        <v>-0</v>
      </c>
      <c r="M68" s="49" t="n">
        <f aca="false">-$E68*M12</f>
        <v>-0</v>
      </c>
      <c r="N68" s="49" t="n">
        <f aca="false">-$E68*N12</f>
        <v>-0</v>
      </c>
      <c r="O68" s="49" t="n">
        <f aca="false">-$E68*O12</f>
        <v>-0</v>
      </c>
      <c r="P68" s="49" t="n">
        <f aca="false">-$E68*P12</f>
        <v>-0</v>
      </c>
      <c r="Q68" s="49" t="n">
        <f aca="false">-$E68*Q12</f>
        <v>-0</v>
      </c>
      <c r="R68" s="49" t="n">
        <f aca="false">-$E68*R12</f>
        <v>-11589.9520547945</v>
      </c>
      <c r="S68" s="49" t="n">
        <f aca="false">-$E68*S12</f>
        <v>-11337.9965753425</v>
      </c>
      <c r="T68" s="49" t="n">
        <f aca="false">-$E68*T12</f>
        <v>-11463.9743150685</v>
      </c>
      <c r="U68" s="49" t="n">
        <f aca="false">-$E68*U12</f>
        <v>-11589.9520547945</v>
      </c>
      <c r="V68" s="49" t="n">
        <f aca="false">-$E68*V12</f>
        <v>-11589.9520547945</v>
      </c>
      <c r="W68" s="49" t="n">
        <f aca="false">-$E68*W12</f>
        <v>-11337.9965753425</v>
      </c>
      <c r="X68" s="49" t="n">
        <f aca="false">-$E68*X12</f>
        <v>-11463.9743150685</v>
      </c>
      <c r="Y68" s="49" t="n">
        <f aca="false">-$E68*Y12</f>
        <v>-11589.9520547945</v>
      </c>
      <c r="Z68" s="49" t="n">
        <f aca="false">-$E68*Z12</f>
        <v>-0</v>
      </c>
      <c r="AA68" s="49" t="n">
        <f aca="false">-$E68*AA12</f>
        <v>-0</v>
      </c>
      <c r="AB68" s="49" t="n">
        <f aca="false">-$E68*AB12</f>
        <v>-0</v>
      </c>
      <c r="AC68" s="49" t="n">
        <f aca="false">-$E68*AC12</f>
        <v>-0</v>
      </c>
      <c r="AD68" s="49" t="n">
        <f aca="false">-$E68*AD12</f>
        <v>-0</v>
      </c>
      <c r="AE68" s="49" t="n">
        <f aca="false">-$E68*AE12</f>
        <v>-0</v>
      </c>
      <c r="AF68" s="49" t="n">
        <f aca="false">-$E68*AF12</f>
        <v>-0</v>
      </c>
      <c r="AG68" s="49" t="n">
        <f aca="false">-$E68*AG12</f>
        <v>-0</v>
      </c>
      <c r="AH68" s="49" t="n">
        <f aca="false">-$E68*AH12</f>
        <v>-0</v>
      </c>
      <c r="AI68" s="49" t="n">
        <f aca="false">-$E68*AI12</f>
        <v>-0</v>
      </c>
      <c r="AJ68" s="49" t="n">
        <f aca="false">-$E68*AJ12</f>
        <v>-0</v>
      </c>
      <c r="AK68" s="49" t="n">
        <f aca="false">-$E68*AK12</f>
        <v>-0</v>
      </c>
      <c r="AL68" s="49" t="n">
        <f aca="false">-$E68*AL12</f>
        <v>-0</v>
      </c>
      <c r="AM68" s="49" t="n">
        <f aca="false">-$E68*AM12</f>
        <v>-0</v>
      </c>
      <c r="AN68" s="49" t="n">
        <f aca="false">-$E68*AN12</f>
        <v>-0</v>
      </c>
      <c r="AO68" s="49" t="n">
        <f aca="false">-$E68*AO12</f>
        <v>-0</v>
      </c>
      <c r="AP68" s="49" t="n">
        <f aca="false">-$E68*AP12</f>
        <v>-0</v>
      </c>
      <c r="AQ68" s="49" t="n">
        <f aca="false">-$E68*AQ12</f>
        <v>-0</v>
      </c>
      <c r="AR68" s="49" t="n">
        <f aca="false">-$E68*AR12</f>
        <v>-0</v>
      </c>
      <c r="AS68" s="49" t="n">
        <f aca="false">-$E68*AS12</f>
        <v>-0</v>
      </c>
      <c r="AT68" s="49" t="n">
        <f aca="false">-$E68*AT12</f>
        <v>-0</v>
      </c>
      <c r="AU68" s="49" t="n">
        <f aca="false">-$E68*AU12</f>
        <v>-0</v>
      </c>
      <c r="AV68" s="49" t="n">
        <f aca="false">-$E68*AV12</f>
        <v>-0</v>
      </c>
      <c r="AW68" s="49" t="n">
        <f aca="false">-$E68*AW12</f>
        <v>-0</v>
      </c>
      <c r="AX68" s="49" t="n">
        <f aca="false">-$E68*AX12</f>
        <v>-0</v>
      </c>
      <c r="AY68" s="49" t="n">
        <f aca="false">-$E68*AY12</f>
        <v>-0</v>
      </c>
      <c r="AZ68" s="49" t="n">
        <f aca="false">-$E68*AZ12</f>
        <v>-0</v>
      </c>
      <c r="BA68" s="49" t="n">
        <f aca="false">-$E68*BA12</f>
        <v>-0</v>
      </c>
      <c r="BB68" s="49" t="n">
        <f aca="false">-$E68*BB12</f>
        <v>-0</v>
      </c>
      <c r="BC68" s="49" t="n">
        <f aca="false">-$E68*BC12</f>
        <v>-0</v>
      </c>
      <c r="BD68" s="49" t="n">
        <f aca="false">-$E68*BD12</f>
        <v>-0</v>
      </c>
      <c r="BE68" s="49" t="n">
        <f aca="false">-$E68*BE12</f>
        <v>-0</v>
      </c>
      <c r="BF68" s="49" t="n">
        <f aca="false">-$E68*BF12</f>
        <v>-0</v>
      </c>
      <c r="BG68" s="49" t="n">
        <f aca="false">-$E68*BG12</f>
        <v>-0</v>
      </c>
      <c r="BH68" s="49" t="n">
        <f aca="false">-$E68*BH12</f>
        <v>-0</v>
      </c>
      <c r="BI68" s="49" t="n">
        <f aca="false">-$E68*BI12</f>
        <v>-0</v>
      </c>
      <c r="BJ68" s="49" t="n">
        <f aca="false">-$E68*BJ12</f>
        <v>-0</v>
      </c>
      <c r="BK68" s="49" t="n">
        <f aca="false">-$E68*BK12</f>
        <v>-0</v>
      </c>
      <c r="BL68" s="49" t="n">
        <f aca="false">-$E68*BL12</f>
        <v>-0</v>
      </c>
      <c r="BM68" s="49" t="n">
        <f aca="false">-$E68*BM12</f>
        <v>-0</v>
      </c>
      <c r="BN68" s="49" t="n">
        <f aca="false">-$E68*BN12</f>
        <v>-0</v>
      </c>
      <c r="BO68" s="49" t="n">
        <f aca="false">-$E68*BO12</f>
        <v>-0</v>
      </c>
      <c r="BP68" s="49" t="n">
        <f aca="false">-$E68*BP12</f>
        <v>-0</v>
      </c>
      <c r="BQ68" s="49" t="n">
        <f aca="false">-$E68*BQ12</f>
        <v>-0</v>
      </c>
      <c r="BR68" s="49" t="n">
        <f aca="false">-$E68*BR12</f>
        <v>-0</v>
      </c>
      <c r="BS68" s="49" t="n">
        <f aca="false">-$E68*BS12</f>
        <v>-0</v>
      </c>
      <c r="BT68" s="49" t="n">
        <f aca="false">-$E68*BT12</f>
        <v>-0</v>
      </c>
      <c r="BU68" s="49" t="n">
        <f aca="false">-$E68*BU12</f>
        <v>-0</v>
      </c>
      <c r="BV68" s="49" t="n">
        <f aca="false">-$E68*BV12</f>
        <v>-0</v>
      </c>
      <c r="BW68" s="49" t="n">
        <f aca="false">-$E68*BW12</f>
        <v>-0</v>
      </c>
      <c r="BX68" s="49" t="n">
        <f aca="false">-$E68*BX12</f>
        <v>-0</v>
      </c>
      <c r="BY68" s="49" t="n">
        <f aca="false">-$E68*BY12</f>
        <v>-0</v>
      </c>
      <c r="BZ68" s="49" t="n">
        <f aca="false">-$E68*BZ12</f>
        <v>-0</v>
      </c>
      <c r="CA68" s="49" t="n">
        <f aca="false">-$E68*CA12</f>
        <v>-0</v>
      </c>
      <c r="CB68" s="49" t="n">
        <f aca="false">-$E68*CB12</f>
        <v>-0</v>
      </c>
      <c r="CC68" s="49" t="n">
        <f aca="false">-$E68*CC12</f>
        <v>-0</v>
      </c>
      <c r="CD68" s="49" t="n">
        <f aca="false">-$E68*CD12</f>
        <v>-0</v>
      </c>
      <c r="CE68" s="49" t="n">
        <f aca="false">-$E68*CE12</f>
        <v>-0</v>
      </c>
      <c r="CF68" s="49" t="n">
        <f aca="false">-$E68*CF12</f>
        <v>-0</v>
      </c>
      <c r="CG68" s="49" t="n">
        <f aca="false">-$E68*CG12</f>
        <v>-0</v>
      </c>
      <c r="CH68" s="49" t="n">
        <f aca="false">-$E68*CH12</f>
        <v>-0</v>
      </c>
      <c r="CI68" s="49" t="n">
        <f aca="false">-$E68*CI12</f>
        <v>-0</v>
      </c>
      <c r="CJ68" s="49" t="n">
        <f aca="false">-$E68*CJ12</f>
        <v>-0</v>
      </c>
      <c r="CK68" s="49" t="n">
        <f aca="false">-$E68*CK12</f>
        <v>-0</v>
      </c>
      <c r="CL68" s="49" t="n">
        <f aca="false">-$E68*CL12</f>
        <v>-0</v>
      </c>
      <c r="CM68" s="49" t="n">
        <f aca="false">-$E68*CM12</f>
        <v>-0</v>
      </c>
      <c r="CN68" s="49" t="n">
        <f aca="false">-$E68*CN12</f>
        <v>-0</v>
      </c>
      <c r="CO68" s="49" t="n">
        <f aca="false">-$E68*CO12</f>
        <v>-0</v>
      </c>
      <c r="CP68" s="49" t="n">
        <f aca="false">-$E68*CP12</f>
        <v>-0</v>
      </c>
      <c r="CQ68" s="49" t="n">
        <f aca="false">-$E68*CQ12</f>
        <v>-0</v>
      </c>
      <c r="CR68" s="49" t="n">
        <f aca="false">-$E68*CR12</f>
        <v>-0</v>
      </c>
      <c r="CS68" s="49" t="n">
        <f aca="false">-$E68*CS12</f>
        <v>-0</v>
      </c>
      <c r="CT68" s="49" t="n">
        <f aca="false">-$E68*CT12</f>
        <v>-0</v>
      </c>
      <c r="CU68" s="49" t="n">
        <f aca="false">-$E68*CU12</f>
        <v>-0</v>
      </c>
      <c r="CV68" s="49" t="n">
        <f aca="false">-$E68*CV12</f>
        <v>-0</v>
      </c>
      <c r="CW68" s="49" t="n">
        <f aca="false">-$E68*CW12</f>
        <v>-0</v>
      </c>
      <c r="CX68" s="49" t="n">
        <f aca="false">-$E68*CX12</f>
        <v>-0</v>
      </c>
      <c r="CY68" s="49" t="n">
        <f aca="false">-$E68*CY12</f>
        <v>-0</v>
      </c>
      <c r="CZ68" s="49" t="n">
        <f aca="false">-$E68*CZ12</f>
        <v>-0</v>
      </c>
      <c r="DA68" s="49" t="n">
        <f aca="false">-$E68*DA12</f>
        <v>-0</v>
      </c>
      <c r="DB68" s="49" t="n">
        <f aca="false">-$E68*DB12</f>
        <v>-0</v>
      </c>
      <c r="DC68" s="49" t="n">
        <f aca="false">-$E68*DC12</f>
        <v>-0</v>
      </c>
      <c r="DD68" s="49" t="n">
        <f aca="false">-$E68*DD12</f>
        <v>-0</v>
      </c>
      <c r="DE68" s="49" t="n">
        <f aca="false">-$E68*DE12</f>
        <v>-0</v>
      </c>
      <c r="DF68" s="49" t="n">
        <f aca="false">-$E68*DF12</f>
        <v>-0</v>
      </c>
      <c r="DG68" s="49" t="n">
        <f aca="false">-$E68*DG12</f>
        <v>-0</v>
      </c>
      <c r="DH68" s="49" t="n">
        <f aca="false">-$E68*DH12</f>
        <v>-0</v>
      </c>
      <c r="DI68" s="49" t="n">
        <f aca="false">-$E68*DI12</f>
        <v>-0</v>
      </c>
      <c r="DJ68" s="49" t="n">
        <f aca="false">-$E68*DJ12</f>
        <v>-0</v>
      </c>
      <c r="DK68" s="49" t="n">
        <f aca="false">-$E68*DK12</f>
        <v>-0</v>
      </c>
      <c r="DL68" s="49" t="n">
        <f aca="false">-$E68*DL12</f>
        <v>-0</v>
      </c>
      <c r="DM68" s="49" t="n">
        <f aca="false">-$E68*DM12</f>
        <v>-0</v>
      </c>
      <c r="DN68" s="49" t="n">
        <f aca="false">-$E68*DN12</f>
        <v>-0</v>
      </c>
      <c r="DO68" s="49" t="n">
        <f aca="false">-$E68*DO12</f>
        <v>-0</v>
      </c>
      <c r="DP68" s="49" t="n">
        <f aca="false">-$E68*DP12</f>
        <v>-0</v>
      </c>
      <c r="DQ68" s="49" t="n">
        <f aca="false">-$E68*DQ12</f>
        <v>-0</v>
      </c>
      <c r="DR68" s="49" t="n">
        <f aca="false">-$E68*DR12</f>
        <v>-0</v>
      </c>
      <c r="DS68" s="49" t="n">
        <f aca="false">-$E68*DS12</f>
        <v>-0</v>
      </c>
      <c r="DT68" s="49" t="n">
        <f aca="false">-$E68*DT12</f>
        <v>-0</v>
      </c>
      <c r="DU68" s="49" t="n">
        <f aca="false">-$E68*DU12</f>
        <v>-0</v>
      </c>
      <c r="DV68" s="49" t="n">
        <f aca="false">-$E68*DV12</f>
        <v>-0</v>
      </c>
      <c r="DW68" s="49" t="n">
        <f aca="false">-$E68*DW12</f>
        <v>-0</v>
      </c>
      <c r="DX68" s="49" t="n">
        <f aca="false">-$E68*DX12</f>
        <v>-0</v>
      </c>
      <c r="DY68" s="49" t="n">
        <f aca="false">-$E68*DY12</f>
        <v>-0</v>
      </c>
      <c r="DZ68" s="49" t="n">
        <f aca="false">-$E68*DZ12</f>
        <v>-0</v>
      </c>
      <c r="EA68" s="49" t="n">
        <f aca="false">-$E68*EA12</f>
        <v>-0</v>
      </c>
      <c r="EB68" s="49" t="n">
        <f aca="false">-$E68*EB12</f>
        <v>-0</v>
      </c>
      <c r="EC68" s="49" t="n">
        <f aca="false">-$E68*EC12</f>
        <v>-0</v>
      </c>
      <c r="ED68" s="49" t="n">
        <f aca="false">-$E68*ED12</f>
        <v>-0</v>
      </c>
      <c r="EE68" s="49" t="n">
        <f aca="false">-$E68*EE12</f>
        <v>-0</v>
      </c>
      <c r="EF68" s="49" t="n">
        <f aca="false">-$E68*EF12</f>
        <v>-0</v>
      </c>
      <c r="EG68" s="49" t="n">
        <f aca="false">-$E68*EG12</f>
        <v>-0</v>
      </c>
      <c r="EH68" s="49" t="n">
        <f aca="false">-$E68*EH12</f>
        <v>-0</v>
      </c>
      <c r="EI68" s="49" t="n">
        <f aca="false">-$E68*EI12</f>
        <v>-0</v>
      </c>
      <c r="EJ68" s="49" t="n">
        <f aca="false">-$E68*EJ12</f>
        <v>-0</v>
      </c>
      <c r="EK68" s="49" t="n">
        <f aca="false">-$E68*EK12</f>
        <v>-0</v>
      </c>
      <c r="EL68" s="49" t="n">
        <f aca="false">-$E68*EL12</f>
        <v>-0</v>
      </c>
      <c r="EM68" s="49" t="n">
        <f aca="false">-$E68*EM12</f>
        <v>-0</v>
      </c>
      <c r="EN68" s="49" t="n">
        <f aca="false">-$E68*EN12</f>
        <v>-0</v>
      </c>
      <c r="EO68" s="49" t="n">
        <f aca="false">-$E68*EO12</f>
        <v>-0</v>
      </c>
    </row>
    <row r="69" customFormat="false" ht="15" hidden="false" customHeight="false" outlineLevel="0" collapsed="false">
      <c r="C69" s="1" t="s">
        <v>464</v>
      </c>
      <c r="D69" s="12" t="s">
        <v>33</v>
      </c>
      <c r="E69" s="49" t="n">
        <f aca="false">$E34*In_MVA*In_Deliver</f>
        <v>2500</v>
      </c>
      <c r="I69" s="49" t="n">
        <f aca="false">SUM(J69:EO69)</f>
        <v>-2500</v>
      </c>
      <c r="J69" s="49" t="n">
        <f aca="false">-$E69*J14</f>
        <v>-0</v>
      </c>
      <c r="K69" s="49" t="n">
        <f aca="false">-$E69*K14</f>
        <v>-0</v>
      </c>
      <c r="L69" s="49" t="n">
        <f aca="false">-$E69*L14</f>
        <v>-0</v>
      </c>
      <c r="M69" s="49" t="n">
        <f aca="false">-$E69*M14</f>
        <v>-0</v>
      </c>
      <c r="N69" s="49" t="n">
        <f aca="false">-$E69*N14</f>
        <v>-0</v>
      </c>
      <c r="O69" s="49" t="n">
        <f aca="false">-$E69*O14</f>
        <v>-0</v>
      </c>
      <c r="P69" s="49" t="n">
        <f aca="false">-$E69*P14</f>
        <v>-0</v>
      </c>
      <c r="Q69" s="49" t="n">
        <f aca="false">-$E69*Q14</f>
        <v>-0</v>
      </c>
      <c r="R69" s="49" t="n">
        <f aca="false">-$E69*R14</f>
        <v>-0</v>
      </c>
      <c r="S69" s="49" t="n">
        <f aca="false">-$E69*S14</f>
        <v>-0</v>
      </c>
      <c r="T69" s="49" t="n">
        <f aca="false">-$E69*T14</f>
        <v>-0</v>
      </c>
      <c r="U69" s="49" t="n">
        <f aca="false">-$E69*U14</f>
        <v>-0</v>
      </c>
      <c r="V69" s="49" t="n">
        <f aca="false">-$E69*V14</f>
        <v>-0</v>
      </c>
      <c r="W69" s="49" t="n">
        <f aca="false">-$E69*W14</f>
        <v>-0</v>
      </c>
      <c r="X69" s="49" t="n">
        <f aca="false">-$E69*X14</f>
        <v>-0</v>
      </c>
      <c r="Y69" s="49" t="n">
        <f aca="false">-$E69*Y14</f>
        <v>-2500</v>
      </c>
      <c r="Z69" s="49" t="n">
        <f aca="false">-$E69*Z14</f>
        <v>-0</v>
      </c>
      <c r="AA69" s="49" t="n">
        <f aca="false">-$E69*AA14</f>
        <v>-0</v>
      </c>
      <c r="AB69" s="49" t="n">
        <f aca="false">-$E69*AB14</f>
        <v>-0</v>
      </c>
      <c r="AC69" s="49" t="n">
        <f aca="false">-$E69*AC14</f>
        <v>-0</v>
      </c>
      <c r="AD69" s="49" t="n">
        <f aca="false">-$E69*AD14</f>
        <v>-0</v>
      </c>
      <c r="AE69" s="49" t="n">
        <f aca="false">-$E69*AE14</f>
        <v>-0</v>
      </c>
      <c r="AF69" s="49" t="n">
        <f aca="false">-$E69*AF14</f>
        <v>-0</v>
      </c>
      <c r="AG69" s="49" t="n">
        <f aca="false">-$E69*AG14</f>
        <v>-0</v>
      </c>
      <c r="AH69" s="49" t="n">
        <f aca="false">-$E69*AH14</f>
        <v>-0</v>
      </c>
      <c r="AI69" s="49" t="n">
        <f aca="false">-$E69*AI14</f>
        <v>-0</v>
      </c>
      <c r="AJ69" s="49" t="n">
        <f aca="false">-$E69*AJ14</f>
        <v>-0</v>
      </c>
      <c r="AK69" s="49" t="n">
        <f aca="false">-$E69*AK14</f>
        <v>-0</v>
      </c>
      <c r="AL69" s="49" t="n">
        <f aca="false">-$E69*AL14</f>
        <v>-0</v>
      </c>
      <c r="AM69" s="49" t="n">
        <f aca="false">-$E69*AM14</f>
        <v>-0</v>
      </c>
      <c r="AN69" s="49" t="n">
        <f aca="false">-$E69*AN14</f>
        <v>-0</v>
      </c>
      <c r="AO69" s="49" t="n">
        <f aca="false">-$E69*AO14</f>
        <v>-0</v>
      </c>
      <c r="AP69" s="49" t="n">
        <f aca="false">-$E69*AP14</f>
        <v>-0</v>
      </c>
      <c r="AQ69" s="49" t="n">
        <f aca="false">-$E69*AQ14</f>
        <v>-0</v>
      </c>
      <c r="AR69" s="49" t="n">
        <f aca="false">-$E69*AR14</f>
        <v>-0</v>
      </c>
      <c r="AS69" s="49" t="n">
        <f aca="false">-$E69*AS14</f>
        <v>-0</v>
      </c>
      <c r="AT69" s="49" t="n">
        <f aca="false">-$E69*AT14</f>
        <v>-0</v>
      </c>
      <c r="AU69" s="49" t="n">
        <f aca="false">-$E69*AU14</f>
        <v>-0</v>
      </c>
      <c r="AV69" s="49" t="n">
        <f aca="false">-$E69*AV14</f>
        <v>-0</v>
      </c>
      <c r="AW69" s="49" t="n">
        <f aca="false">-$E69*AW14</f>
        <v>-0</v>
      </c>
      <c r="AX69" s="49" t="n">
        <f aca="false">-$E69*AX14</f>
        <v>-0</v>
      </c>
      <c r="AY69" s="49" t="n">
        <f aca="false">-$E69*AY14</f>
        <v>-0</v>
      </c>
      <c r="AZ69" s="49" t="n">
        <f aca="false">-$E69*AZ14</f>
        <v>-0</v>
      </c>
      <c r="BA69" s="49" t="n">
        <f aca="false">-$E69*BA14</f>
        <v>-0</v>
      </c>
      <c r="BB69" s="49" t="n">
        <f aca="false">-$E69*BB14</f>
        <v>-0</v>
      </c>
      <c r="BC69" s="49" t="n">
        <f aca="false">-$E69*BC14</f>
        <v>-0</v>
      </c>
      <c r="BD69" s="49" t="n">
        <f aca="false">-$E69*BD14</f>
        <v>-0</v>
      </c>
      <c r="BE69" s="49" t="n">
        <f aca="false">-$E69*BE14</f>
        <v>-0</v>
      </c>
      <c r="BF69" s="49" t="n">
        <f aca="false">-$E69*BF14</f>
        <v>-0</v>
      </c>
      <c r="BG69" s="49" t="n">
        <f aca="false">-$E69*BG14</f>
        <v>-0</v>
      </c>
      <c r="BH69" s="49" t="n">
        <f aca="false">-$E69*BH14</f>
        <v>-0</v>
      </c>
      <c r="BI69" s="49" t="n">
        <f aca="false">-$E69*BI14</f>
        <v>-0</v>
      </c>
      <c r="BJ69" s="49" t="n">
        <f aca="false">-$E69*BJ14</f>
        <v>-0</v>
      </c>
      <c r="BK69" s="49" t="n">
        <f aca="false">-$E69*BK14</f>
        <v>-0</v>
      </c>
      <c r="BL69" s="49" t="n">
        <f aca="false">-$E69*BL14</f>
        <v>-0</v>
      </c>
      <c r="BM69" s="49" t="n">
        <f aca="false">-$E69*BM14</f>
        <v>-0</v>
      </c>
      <c r="BN69" s="49" t="n">
        <f aca="false">-$E69*BN14</f>
        <v>-0</v>
      </c>
      <c r="BO69" s="49" t="n">
        <f aca="false">-$E69*BO14</f>
        <v>-0</v>
      </c>
      <c r="BP69" s="49" t="n">
        <f aca="false">-$E69*BP14</f>
        <v>-0</v>
      </c>
      <c r="BQ69" s="49" t="n">
        <f aca="false">-$E69*BQ14</f>
        <v>-0</v>
      </c>
      <c r="BR69" s="49" t="n">
        <f aca="false">-$E69*BR14</f>
        <v>-0</v>
      </c>
      <c r="BS69" s="49" t="n">
        <f aca="false">-$E69*BS14</f>
        <v>-0</v>
      </c>
      <c r="BT69" s="49" t="n">
        <f aca="false">-$E69*BT14</f>
        <v>-0</v>
      </c>
      <c r="BU69" s="49" t="n">
        <f aca="false">-$E69*BU14</f>
        <v>-0</v>
      </c>
      <c r="BV69" s="49" t="n">
        <f aca="false">-$E69*BV14</f>
        <v>-0</v>
      </c>
      <c r="BW69" s="49" t="n">
        <f aca="false">-$E69*BW14</f>
        <v>-0</v>
      </c>
      <c r="BX69" s="49" t="n">
        <f aca="false">-$E69*BX14</f>
        <v>-0</v>
      </c>
      <c r="BY69" s="49" t="n">
        <f aca="false">-$E69*BY14</f>
        <v>-0</v>
      </c>
      <c r="BZ69" s="49" t="n">
        <f aca="false">-$E69*BZ14</f>
        <v>-0</v>
      </c>
      <c r="CA69" s="49" t="n">
        <f aca="false">-$E69*CA14</f>
        <v>-0</v>
      </c>
      <c r="CB69" s="49" t="n">
        <f aca="false">-$E69*CB14</f>
        <v>-0</v>
      </c>
      <c r="CC69" s="49" t="n">
        <f aca="false">-$E69*CC14</f>
        <v>-0</v>
      </c>
      <c r="CD69" s="49" t="n">
        <f aca="false">-$E69*CD14</f>
        <v>-0</v>
      </c>
      <c r="CE69" s="49" t="n">
        <f aca="false">-$E69*CE14</f>
        <v>-0</v>
      </c>
      <c r="CF69" s="49" t="n">
        <f aca="false">-$E69*CF14</f>
        <v>-0</v>
      </c>
      <c r="CG69" s="49" t="n">
        <f aca="false">-$E69*CG14</f>
        <v>-0</v>
      </c>
      <c r="CH69" s="49" t="n">
        <f aca="false">-$E69*CH14</f>
        <v>-0</v>
      </c>
      <c r="CI69" s="49" t="n">
        <f aca="false">-$E69*CI14</f>
        <v>-0</v>
      </c>
      <c r="CJ69" s="49" t="n">
        <f aca="false">-$E69*CJ14</f>
        <v>-0</v>
      </c>
      <c r="CK69" s="49" t="n">
        <f aca="false">-$E69*CK14</f>
        <v>-0</v>
      </c>
      <c r="CL69" s="49" t="n">
        <f aca="false">-$E69*CL14</f>
        <v>-0</v>
      </c>
      <c r="CM69" s="49" t="n">
        <f aca="false">-$E69*CM14</f>
        <v>-0</v>
      </c>
      <c r="CN69" s="49" t="n">
        <f aca="false">-$E69*CN14</f>
        <v>-0</v>
      </c>
      <c r="CO69" s="49" t="n">
        <f aca="false">-$E69*CO14</f>
        <v>-0</v>
      </c>
      <c r="CP69" s="49" t="n">
        <f aca="false">-$E69*CP14</f>
        <v>-0</v>
      </c>
      <c r="CQ69" s="49" t="n">
        <f aca="false">-$E69*CQ14</f>
        <v>-0</v>
      </c>
      <c r="CR69" s="49" t="n">
        <f aca="false">-$E69*CR14</f>
        <v>-0</v>
      </c>
      <c r="CS69" s="49" t="n">
        <f aca="false">-$E69*CS14</f>
        <v>-0</v>
      </c>
      <c r="CT69" s="49" t="n">
        <f aca="false">-$E69*CT14</f>
        <v>-0</v>
      </c>
      <c r="CU69" s="49" t="n">
        <f aca="false">-$E69*CU14</f>
        <v>-0</v>
      </c>
      <c r="CV69" s="49" t="n">
        <f aca="false">-$E69*CV14</f>
        <v>-0</v>
      </c>
      <c r="CW69" s="49" t="n">
        <f aca="false">-$E69*CW14</f>
        <v>-0</v>
      </c>
      <c r="CX69" s="49" t="n">
        <f aca="false">-$E69*CX14</f>
        <v>-0</v>
      </c>
      <c r="CY69" s="49" t="n">
        <f aca="false">-$E69*CY14</f>
        <v>-0</v>
      </c>
      <c r="CZ69" s="49" t="n">
        <f aca="false">-$E69*CZ14</f>
        <v>-0</v>
      </c>
      <c r="DA69" s="49" t="n">
        <f aca="false">-$E69*DA14</f>
        <v>-0</v>
      </c>
      <c r="DB69" s="49" t="n">
        <f aca="false">-$E69*DB14</f>
        <v>-0</v>
      </c>
      <c r="DC69" s="49" t="n">
        <f aca="false">-$E69*DC14</f>
        <v>-0</v>
      </c>
      <c r="DD69" s="49" t="n">
        <f aca="false">-$E69*DD14</f>
        <v>-0</v>
      </c>
      <c r="DE69" s="49" t="n">
        <f aca="false">-$E69*DE14</f>
        <v>-0</v>
      </c>
      <c r="DF69" s="49" t="n">
        <f aca="false">-$E69*DF14</f>
        <v>-0</v>
      </c>
      <c r="DG69" s="49" t="n">
        <f aca="false">-$E69*DG14</f>
        <v>-0</v>
      </c>
      <c r="DH69" s="49" t="n">
        <f aca="false">-$E69*DH14</f>
        <v>-0</v>
      </c>
      <c r="DI69" s="49" t="n">
        <f aca="false">-$E69*DI14</f>
        <v>-0</v>
      </c>
      <c r="DJ69" s="49" t="n">
        <f aca="false">-$E69*DJ14</f>
        <v>-0</v>
      </c>
      <c r="DK69" s="49" t="n">
        <f aca="false">-$E69*DK14</f>
        <v>-0</v>
      </c>
      <c r="DL69" s="49" t="n">
        <f aca="false">-$E69*DL14</f>
        <v>-0</v>
      </c>
      <c r="DM69" s="49" t="n">
        <f aca="false">-$E69*DM14</f>
        <v>-0</v>
      </c>
      <c r="DN69" s="49" t="n">
        <f aca="false">-$E69*DN14</f>
        <v>-0</v>
      </c>
      <c r="DO69" s="49" t="n">
        <f aca="false">-$E69*DO14</f>
        <v>-0</v>
      </c>
      <c r="DP69" s="49" t="n">
        <f aca="false">-$E69*DP14</f>
        <v>-0</v>
      </c>
      <c r="DQ69" s="49" t="n">
        <f aca="false">-$E69*DQ14</f>
        <v>-0</v>
      </c>
      <c r="DR69" s="49" t="n">
        <f aca="false">-$E69*DR14</f>
        <v>-0</v>
      </c>
      <c r="DS69" s="49" t="n">
        <f aca="false">-$E69*DS14</f>
        <v>-0</v>
      </c>
      <c r="DT69" s="49" t="n">
        <f aca="false">-$E69*DT14</f>
        <v>-0</v>
      </c>
      <c r="DU69" s="49" t="n">
        <f aca="false">-$E69*DU14</f>
        <v>-0</v>
      </c>
      <c r="DV69" s="49" t="n">
        <f aca="false">-$E69*DV14</f>
        <v>-0</v>
      </c>
      <c r="DW69" s="49" t="n">
        <f aca="false">-$E69*DW14</f>
        <v>-0</v>
      </c>
      <c r="DX69" s="49" t="n">
        <f aca="false">-$E69*DX14</f>
        <v>-0</v>
      </c>
      <c r="DY69" s="49" t="n">
        <f aca="false">-$E69*DY14</f>
        <v>-0</v>
      </c>
      <c r="DZ69" s="49" t="n">
        <f aca="false">-$E69*DZ14</f>
        <v>-0</v>
      </c>
      <c r="EA69" s="49" t="n">
        <f aca="false">-$E69*EA14</f>
        <v>-0</v>
      </c>
      <c r="EB69" s="49" t="n">
        <f aca="false">-$E69*EB14</f>
        <v>-0</v>
      </c>
      <c r="EC69" s="49" t="n">
        <f aca="false">-$E69*EC14</f>
        <v>-0</v>
      </c>
      <c r="ED69" s="49" t="n">
        <f aca="false">-$E69*ED14</f>
        <v>-0</v>
      </c>
      <c r="EE69" s="49" t="n">
        <f aca="false">-$E69*EE14</f>
        <v>-0</v>
      </c>
      <c r="EF69" s="49" t="n">
        <f aca="false">-$E69*EF14</f>
        <v>-0</v>
      </c>
      <c r="EG69" s="49" t="n">
        <f aca="false">-$E69*EG14</f>
        <v>-0</v>
      </c>
      <c r="EH69" s="49" t="n">
        <f aca="false">-$E69*EH14</f>
        <v>-0</v>
      </c>
      <c r="EI69" s="49" t="n">
        <f aca="false">-$E69*EI14</f>
        <v>-0</v>
      </c>
      <c r="EJ69" s="49" t="n">
        <f aca="false">-$E69*EJ14</f>
        <v>-0</v>
      </c>
      <c r="EK69" s="49" t="n">
        <f aca="false">-$E69*EK14</f>
        <v>-0</v>
      </c>
      <c r="EL69" s="49" t="n">
        <f aca="false">-$E69*EL14</f>
        <v>-0</v>
      </c>
      <c r="EM69" s="49" t="n">
        <f aca="false">-$E69*EM14</f>
        <v>-0</v>
      </c>
      <c r="EN69" s="49" t="n">
        <f aca="false">-$E69*EN14</f>
        <v>-0</v>
      </c>
      <c r="EO69" s="49" t="n">
        <f aca="false">-$E69*EO14</f>
        <v>-0</v>
      </c>
    </row>
    <row r="70" customFormat="false" ht="15" hidden="false" customHeight="false" outlineLevel="0" collapsed="false">
      <c r="C70" s="26" t="s">
        <v>465</v>
      </c>
      <c r="D70" s="12" t="s">
        <v>33</v>
      </c>
      <c r="E70" s="58" t="n">
        <f aca="false">SUMPRODUCT($J70:$EO70/$J22:$EO22)*$E22</f>
        <v>-107373.632093313</v>
      </c>
      <c r="I70" s="58" t="n">
        <f aca="false">SUM(J70:EO70)</f>
        <v>-102618.573150685</v>
      </c>
      <c r="J70" s="58" t="n">
        <f aca="false">J68+J58+J69</f>
        <v>-0</v>
      </c>
      <c r="K70" s="58" t="n">
        <f aca="false">K68+K58+K69</f>
        <v>-0</v>
      </c>
      <c r="L70" s="58" t="n">
        <f aca="false">L68+L58+L69</f>
        <v>-0</v>
      </c>
      <c r="M70" s="58" t="n">
        <f aca="false">M68+M58+M69</f>
        <v>-0</v>
      </c>
      <c r="N70" s="58" t="n">
        <f aca="false">N68+N58+N69</f>
        <v>-0</v>
      </c>
      <c r="O70" s="58" t="n">
        <f aca="false">O68+O58+O69</f>
        <v>-0</v>
      </c>
      <c r="P70" s="58" t="n">
        <f aca="false">P68+P58+P69</f>
        <v>-0</v>
      </c>
      <c r="Q70" s="58" t="n">
        <f aca="false">Q68+Q58+Q69</f>
        <v>-0</v>
      </c>
      <c r="R70" s="58" t="n">
        <f aca="false">R68+R58+R69</f>
        <v>-11589.9520547945</v>
      </c>
      <c r="S70" s="58" t="n">
        <f aca="false">S68+S58+S69</f>
        <v>-19492.8197260274</v>
      </c>
      <c r="T70" s="58" t="n">
        <f aca="false">T68+T58+T69</f>
        <v>-11463.9743150685</v>
      </c>
      <c r="U70" s="58" t="n">
        <f aca="false">U68+U58+U69</f>
        <v>-11589.9520547945</v>
      </c>
      <c r="V70" s="58" t="n">
        <f aca="false">V68+V58+V69</f>
        <v>-11589.9520547945</v>
      </c>
      <c r="W70" s="58" t="n">
        <f aca="false">W68+W58+W69</f>
        <v>-11337.9965753425</v>
      </c>
      <c r="X70" s="58" t="n">
        <f aca="false">X68+X58+X69</f>
        <v>-11463.9743150685</v>
      </c>
      <c r="Y70" s="58" t="n">
        <f aca="false">Y68+Y58+Y69</f>
        <v>-14089.9520547945</v>
      </c>
      <c r="Z70" s="58" t="n">
        <f aca="false">Z68+Z58+Z69</f>
        <v>-0</v>
      </c>
      <c r="AA70" s="58" t="n">
        <f aca="false">AA68+AA58+AA69</f>
        <v>-0</v>
      </c>
      <c r="AB70" s="58" t="n">
        <f aca="false">AB68+AB58+AB69</f>
        <v>-0</v>
      </c>
      <c r="AC70" s="58" t="n">
        <f aca="false">AC68+AC58+AC69</f>
        <v>-0</v>
      </c>
      <c r="AD70" s="58" t="n">
        <f aca="false">AD68+AD58+AD69</f>
        <v>-0</v>
      </c>
      <c r="AE70" s="58" t="n">
        <f aca="false">AE68+AE58+AE69</f>
        <v>-0</v>
      </c>
      <c r="AF70" s="58" t="n">
        <f aca="false">AF68+AF58+AF69</f>
        <v>-0</v>
      </c>
      <c r="AG70" s="58" t="n">
        <f aca="false">AG68+AG58+AG69</f>
        <v>-0</v>
      </c>
      <c r="AH70" s="58" t="n">
        <f aca="false">AH68+AH58+AH69</f>
        <v>-0</v>
      </c>
      <c r="AI70" s="58" t="n">
        <f aca="false">AI68+AI58+AI69</f>
        <v>-0</v>
      </c>
      <c r="AJ70" s="58" t="n">
        <f aca="false">AJ68+AJ58+AJ69</f>
        <v>-0</v>
      </c>
      <c r="AK70" s="58" t="n">
        <f aca="false">AK68+AK58+AK69</f>
        <v>-0</v>
      </c>
      <c r="AL70" s="58" t="n">
        <f aca="false">AL68+AL58+AL69</f>
        <v>-0</v>
      </c>
      <c r="AM70" s="58" t="n">
        <f aca="false">AM68+AM58+AM69</f>
        <v>-0</v>
      </c>
      <c r="AN70" s="58" t="n">
        <f aca="false">AN68+AN58+AN69</f>
        <v>-0</v>
      </c>
      <c r="AO70" s="58" t="n">
        <f aca="false">AO68+AO58+AO69</f>
        <v>-0</v>
      </c>
      <c r="AP70" s="58" t="n">
        <f aca="false">AP68+AP58+AP69</f>
        <v>-0</v>
      </c>
      <c r="AQ70" s="58" t="n">
        <f aca="false">AQ68+AQ58+AQ69</f>
        <v>-0</v>
      </c>
      <c r="AR70" s="58" t="n">
        <f aca="false">AR68+AR58+AR69</f>
        <v>-0</v>
      </c>
      <c r="AS70" s="58" t="n">
        <f aca="false">AS68+AS58+AS69</f>
        <v>-0</v>
      </c>
      <c r="AT70" s="58" t="n">
        <f aca="false">AT68+AT58+AT69</f>
        <v>-0</v>
      </c>
      <c r="AU70" s="58" t="n">
        <f aca="false">AU68+AU58+AU69</f>
        <v>-0</v>
      </c>
      <c r="AV70" s="58" t="n">
        <f aca="false">AV68+AV58+AV69</f>
        <v>-0</v>
      </c>
      <c r="AW70" s="58" t="n">
        <f aca="false">AW68+AW58+AW69</f>
        <v>-0</v>
      </c>
      <c r="AX70" s="58" t="n">
        <f aca="false">AX68+AX58+AX69</f>
        <v>-0</v>
      </c>
      <c r="AY70" s="58" t="n">
        <f aca="false">AY68+AY58+AY69</f>
        <v>-0</v>
      </c>
      <c r="AZ70" s="58" t="n">
        <f aca="false">AZ68+AZ58+AZ69</f>
        <v>-0</v>
      </c>
      <c r="BA70" s="58" t="n">
        <f aca="false">BA68+BA58+BA69</f>
        <v>-0</v>
      </c>
      <c r="BB70" s="58" t="n">
        <f aca="false">BB68+BB58+BB69</f>
        <v>-0</v>
      </c>
      <c r="BC70" s="58" t="n">
        <f aca="false">BC68+BC58+BC69</f>
        <v>-0</v>
      </c>
      <c r="BD70" s="58" t="n">
        <f aca="false">BD68+BD58+BD69</f>
        <v>-0</v>
      </c>
      <c r="BE70" s="58" t="n">
        <f aca="false">BE68+BE58+BE69</f>
        <v>-0</v>
      </c>
      <c r="BF70" s="58" t="n">
        <f aca="false">BF68+BF58+BF69</f>
        <v>-0</v>
      </c>
      <c r="BG70" s="58" t="n">
        <f aca="false">BG68+BG58+BG69</f>
        <v>-0</v>
      </c>
      <c r="BH70" s="58" t="n">
        <f aca="false">BH68+BH58+BH69</f>
        <v>-0</v>
      </c>
      <c r="BI70" s="58" t="n">
        <f aca="false">BI68+BI58+BI69</f>
        <v>-0</v>
      </c>
      <c r="BJ70" s="58" t="n">
        <f aca="false">BJ68+BJ58+BJ69</f>
        <v>-0</v>
      </c>
      <c r="BK70" s="58" t="n">
        <f aca="false">BK68+BK58+BK69</f>
        <v>-0</v>
      </c>
      <c r="BL70" s="58" t="n">
        <f aca="false">BL68+BL58+BL69</f>
        <v>-0</v>
      </c>
      <c r="BM70" s="58" t="n">
        <f aca="false">BM68+BM58+BM69</f>
        <v>-0</v>
      </c>
      <c r="BN70" s="58" t="n">
        <f aca="false">BN68+BN58+BN69</f>
        <v>-0</v>
      </c>
      <c r="BO70" s="58" t="n">
        <f aca="false">BO68+BO58+BO69</f>
        <v>-0</v>
      </c>
      <c r="BP70" s="58" t="n">
        <f aca="false">BP68+BP58+BP69</f>
        <v>-0</v>
      </c>
      <c r="BQ70" s="58" t="n">
        <f aca="false">BQ68+BQ58+BQ69</f>
        <v>-0</v>
      </c>
      <c r="BR70" s="58" t="n">
        <f aca="false">BR68+BR58+BR69</f>
        <v>-0</v>
      </c>
      <c r="BS70" s="58" t="n">
        <f aca="false">BS68+BS58+BS69</f>
        <v>-0</v>
      </c>
      <c r="BT70" s="58" t="n">
        <f aca="false">BT68+BT58+BT69</f>
        <v>-0</v>
      </c>
      <c r="BU70" s="58" t="n">
        <f aca="false">BU68+BU58+BU69</f>
        <v>-0</v>
      </c>
      <c r="BV70" s="58" t="n">
        <f aca="false">BV68+BV58+BV69</f>
        <v>-0</v>
      </c>
      <c r="BW70" s="58" t="n">
        <f aca="false">BW68+BW58+BW69</f>
        <v>-0</v>
      </c>
      <c r="BX70" s="58" t="n">
        <f aca="false">BX68+BX58+BX69</f>
        <v>-0</v>
      </c>
      <c r="BY70" s="58" t="n">
        <f aca="false">BY68+BY58+BY69</f>
        <v>-0</v>
      </c>
      <c r="BZ70" s="58" t="n">
        <f aca="false">BZ68+BZ58+BZ69</f>
        <v>-0</v>
      </c>
      <c r="CA70" s="58" t="n">
        <f aca="false">CA68+CA58+CA69</f>
        <v>-0</v>
      </c>
      <c r="CB70" s="58" t="n">
        <f aca="false">CB68+CB58+CB69</f>
        <v>-0</v>
      </c>
      <c r="CC70" s="58" t="n">
        <f aca="false">CC68+CC58+CC69</f>
        <v>-0</v>
      </c>
      <c r="CD70" s="58" t="n">
        <f aca="false">CD68+CD58+CD69</f>
        <v>-0</v>
      </c>
      <c r="CE70" s="58" t="n">
        <f aca="false">CE68+CE58+CE69</f>
        <v>-0</v>
      </c>
      <c r="CF70" s="58" t="n">
        <f aca="false">CF68+CF58+CF69</f>
        <v>-0</v>
      </c>
      <c r="CG70" s="58" t="n">
        <f aca="false">CG68+CG58+CG69</f>
        <v>-0</v>
      </c>
      <c r="CH70" s="58" t="n">
        <f aca="false">CH68+CH58+CH69</f>
        <v>-0</v>
      </c>
      <c r="CI70" s="58" t="n">
        <f aca="false">CI68+CI58+CI69</f>
        <v>-0</v>
      </c>
      <c r="CJ70" s="58" t="n">
        <f aca="false">CJ68+CJ58+CJ69</f>
        <v>-0</v>
      </c>
      <c r="CK70" s="58" t="n">
        <f aca="false">CK68+CK58+CK69</f>
        <v>-0</v>
      </c>
      <c r="CL70" s="58" t="n">
        <f aca="false">CL68+CL58+CL69</f>
        <v>-0</v>
      </c>
      <c r="CM70" s="58" t="n">
        <f aca="false">CM68+CM58+CM69</f>
        <v>-0</v>
      </c>
      <c r="CN70" s="58" t="n">
        <f aca="false">CN68+CN58+CN69</f>
        <v>-0</v>
      </c>
      <c r="CO70" s="58" t="n">
        <f aca="false">CO68+CO58+CO69</f>
        <v>-0</v>
      </c>
      <c r="CP70" s="58" t="n">
        <f aca="false">CP68+CP58+CP69</f>
        <v>-0</v>
      </c>
      <c r="CQ70" s="58" t="n">
        <f aca="false">CQ68+CQ58+CQ69</f>
        <v>-0</v>
      </c>
      <c r="CR70" s="58" t="n">
        <f aca="false">CR68+CR58+CR69</f>
        <v>-0</v>
      </c>
      <c r="CS70" s="58" t="n">
        <f aca="false">CS68+CS58+CS69</f>
        <v>-0</v>
      </c>
      <c r="CT70" s="58" t="n">
        <f aca="false">CT68+CT58+CT69</f>
        <v>-0</v>
      </c>
      <c r="CU70" s="58" t="n">
        <f aca="false">CU68+CU58+CU69</f>
        <v>-0</v>
      </c>
      <c r="CV70" s="58" t="n">
        <f aca="false">CV68+CV58+CV69</f>
        <v>-0</v>
      </c>
      <c r="CW70" s="58" t="n">
        <f aca="false">CW68+CW58+CW69</f>
        <v>-0</v>
      </c>
      <c r="CX70" s="58" t="n">
        <f aca="false">CX68+CX58+CX69</f>
        <v>-0</v>
      </c>
      <c r="CY70" s="58" t="n">
        <f aca="false">CY68+CY58+CY69</f>
        <v>-0</v>
      </c>
      <c r="CZ70" s="58" t="n">
        <f aca="false">CZ68+CZ58+CZ69</f>
        <v>-0</v>
      </c>
      <c r="DA70" s="58" t="n">
        <f aca="false">DA68+DA58+DA69</f>
        <v>-0</v>
      </c>
      <c r="DB70" s="58" t="n">
        <f aca="false">DB68+DB58+DB69</f>
        <v>-0</v>
      </c>
      <c r="DC70" s="58" t="n">
        <f aca="false">DC68+DC58+DC69</f>
        <v>-0</v>
      </c>
      <c r="DD70" s="58" t="n">
        <f aca="false">DD68+DD58+DD69</f>
        <v>-0</v>
      </c>
      <c r="DE70" s="58" t="n">
        <f aca="false">DE68+DE58+DE69</f>
        <v>-0</v>
      </c>
      <c r="DF70" s="58" t="n">
        <f aca="false">DF68+DF58+DF69</f>
        <v>-0</v>
      </c>
      <c r="DG70" s="58" t="n">
        <f aca="false">DG68+DG58+DG69</f>
        <v>-0</v>
      </c>
      <c r="DH70" s="58" t="n">
        <f aca="false">DH68+DH58+DH69</f>
        <v>-0</v>
      </c>
      <c r="DI70" s="58" t="n">
        <f aca="false">DI68+DI58+DI69</f>
        <v>-0</v>
      </c>
      <c r="DJ70" s="58" t="n">
        <f aca="false">DJ68+DJ58+DJ69</f>
        <v>-0</v>
      </c>
      <c r="DK70" s="58" t="n">
        <f aca="false">DK68+DK58+DK69</f>
        <v>-0</v>
      </c>
      <c r="DL70" s="58" t="n">
        <f aca="false">DL68+DL58+DL69</f>
        <v>-0</v>
      </c>
      <c r="DM70" s="58" t="n">
        <f aca="false">DM68+DM58+DM69</f>
        <v>-0</v>
      </c>
      <c r="DN70" s="58" t="n">
        <f aca="false">DN68+DN58+DN69</f>
        <v>-0</v>
      </c>
      <c r="DO70" s="58" t="n">
        <f aca="false">DO68+DO58+DO69</f>
        <v>-0</v>
      </c>
      <c r="DP70" s="58" t="n">
        <f aca="false">DP68+DP58+DP69</f>
        <v>-0</v>
      </c>
      <c r="DQ70" s="58" t="n">
        <f aca="false">DQ68+DQ58+DQ69</f>
        <v>-0</v>
      </c>
      <c r="DR70" s="58" t="n">
        <f aca="false">DR68+DR58+DR69</f>
        <v>-0</v>
      </c>
      <c r="DS70" s="58" t="n">
        <f aca="false">DS68+DS58+DS69</f>
        <v>-0</v>
      </c>
      <c r="DT70" s="58" t="n">
        <f aca="false">DT68+DT58+DT69</f>
        <v>-0</v>
      </c>
      <c r="DU70" s="58" t="n">
        <f aca="false">DU68+DU58+DU69</f>
        <v>-0</v>
      </c>
      <c r="DV70" s="58" t="n">
        <f aca="false">DV68+DV58+DV69</f>
        <v>-0</v>
      </c>
      <c r="DW70" s="58" t="n">
        <f aca="false">DW68+DW58+DW69</f>
        <v>-0</v>
      </c>
      <c r="DX70" s="58" t="n">
        <f aca="false">DX68+DX58+DX69</f>
        <v>-0</v>
      </c>
      <c r="DY70" s="58" t="n">
        <f aca="false">DY68+DY58+DY69</f>
        <v>-0</v>
      </c>
      <c r="DZ70" s="58" t="n">
        <f aca="false">DZ68+DZ58+DZ69</f>
        <v>-0</v>
      </c>
      <c r="EA70" s="58" t="n">
        <f aca="false">EA68+EA58+EA69</f>
        <v>-0</v>
      </c>
      <c r="EB70" s="58" t="n">
        <f aca="false">EB68+EB58+EB69</f>
        <v>-0</v>
      </c>
      <c r="EC70" s="58" t="n">
        <f aca="false">EC68+EC58+EC69</f>
        <v>-0</v>
      </c>
      <c r="ED70" s="58" t="n">
        <f aca="false">ED68+ED58+ED69</f>
        <v>-0</v>
      </c>
      <c r="EE70" s="58" t="n">
        <f aca="false">EE68+EE58+EE69</f>
        <v>-0</v>
      </c>
      <c r="EF70" s="58" t="n">
        <f aca="false">EF68+EF58+EF69</f>
        <v>-0</v>
      </c>
      <c r="EG70" s="58" t="n">
        <f aca="false">EG68+EG58+EG69</f>
        <v>-0</v>
      </c>
      <c r="EH70" s="58" t="n">
        <f aca="false">EH68+EH58+EH69</f>
        <v>-0</v>
      </c>
      <c r="EI70" s="58" t="n">
        <f aca="false">EI68+EI58+EI69</f>
        <v>-0</v>
      </c>
      <c r="EJ70" s="58" t="n">
        <f aca="false">EJ68+EJ58+EJ69</f>
        <v>-0</v>
      </c>
      <c r="EK70" s="58" t="n">
        <f aca="false">EK68+EK58+EK69</f>
        <v>-0</v>
      </c>
      <c r="EL70" s="58" t="n">
        <f aca="false">EL68+EL58+EL69</f>
        <v>-0</v>
      </c>
      <c r="EM70" s="58" t="n">
        <f aca="false">EM68+EM58+EM69</f>
        <v>-0</v>
      </c>
      <c r="EN70" s="58" t="n">
        <f aca="false">EN68+EN58+EN69</f>
        <v>-0</v>
      </c>
      <c r="EO70" s="58" t="n">
        <f aca="false">EO68+EO58+EO69</f>
        <v>-0</v>
      </c>
    </row>
    <row r="72" customFormat="false" ht="15" hidden="false" customHeight="false" outlineLevel="0" collapsed="false">
      <c r="A72" s="10" t="s">
        <v>13</v>
      </c>
      <c r="B72" s="10"/>
      <c r="C72" s="10" t="s">
        <v>330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customFormat="false" ht="15" hidden="false" customHeight="false" outlineLevel="0" collapsed="false">
      <c r="C73" s="1" t="s">
        <v>466</v>
      </c>
      <c r="D73" s="12" t="s">
        <v>411</v>
      </c>
      <c r="J73" s="56" t="n">
        <f aca="false">(1+In_Opex_Esc)^(J$7-YEAR(In_COD))</f>
        <v>0.905950644799755</v>
      </c>
      <c r="K73" s="56" t="n">
        <f aca="false">(1+In_Opex_Esc)^(K$7-YEAR(In_COD))</f>
        <v>0.928599410919749</v>
      </c>
      <c r="L73" s="56" t="n">
        <f aca="false">(1+In_Opex_Esc)^(L$7-YEAR(In_COD))</f>
        <v>0.928599410919749</v>
      </c>
      <c r="M73" s="56" t="n">
        <f aca="false">(1+In_Opex_Esc)^(M$7-YEAR(In_COD))</f>
        <v>0.928599410919749</v>
      </c>
      <c r="N73" s="56" t="n">
        <f aca="false">(1+In_Opex_Esc)^(N$7-YEAR(In_COD))</f>
        <v>0.928599410919749</v>
      </c>
      <c r="O73" s="56" t="n">
        <f aca="false">(1+In_Opex_Esc)^(O$7-YEAR(In_COD))</f>
        <v>0.951814396192743</v>
      </c>
      <c r="P73" s="56" t="n">
        <f aca="false">(1+In_Opex_Esc)^(P$7-YEAR(In_COD))</f>
        <v>0.951814396192743</v>
      </c>
      <c r="Q73" s="56" t="n">
        <f aca="false">(1+In_Opex_Esc)^(Q$7-YEAR(In_COD))</f>
        <v>0.951814396192743</v>
      </c>
      <c r="R73" s="56" t="n">
        <f aca="false">(1+In_Opex_Esc)^(R$7-YEAR(In_COD))</f>
        <v>0.951814396192743</v>
      </c>
      <c r="S73" s="56" t="n">
        <f aca="false">(1+In_Opex_Esc)^(S$7-YEAR(In_COD))</f>
        <v>0.975609756097561</v>
      </c>
      <c r="T73" s="56" t="n">
        <f aca="false">(1+In_Opex_Esc)^(T$7-YEAR(In_COD))</f>
        <v>0.975609756097561</v>
      </c>
      <c r="U73" s="56" t="n">
        <f aca="false">(1+In_Opex_Esc)^(U$7-YEAR(In_COD))</f>
        <v>0.975609756097561</v>
      </c>
      <c r="V73" s="56" t="n">
        <f aca="false">(1+In_Opex_Esc)^(V$7-YEAR(In_COD))</f>
        <v>0.975609756097561</v>
      </c>
      <c r="W73" s="56" t="n">
        <f aca="false">(1+In_Opex_Esc)^(W$7-YEAR(In_COD))</f>
        <v>1</v>
      </c>
      <c r="X73" s="56" t="n">
        <f aca="false">(1+In_Opex_Esc)^(X$7-YEAR(In_COD))</f>
        <v>1</v>
      </c>
      <c r="Y73" s="56" t="n">
        <f aca="false">(1+In_Opex_Esc)^(Y$7-YEAR(In_COD))</f>
        <v>1</v>
      </c>
      <c r="Z73" s="56" t="n">
        <f aca="false">(1+In_Opex_Esc)^(Z$7-YEAR(In_COD))</f>
        <v>1</v>
      </c>
      <c r="AA73" s="56" t="n">
        <f aca="false">(1+In_Opex_Esc)^(AA$7-YEAR(In_COD))</f>
        <v>1.025</v>
      </c>
      <c r="AB73" s="56" t="n">
        <f aca="false">(1+In_Opex_Esc)^(AB$7-YEAR(In_COD))</f>
        <v>1.025</v>
      </c>
      <c r="AC73" s="56" t="n">
        <f aca="false">(1+In_Opex_Esc)^(AC$7-YEAR(In_COD))</f>
        <v>1.025</v>
      </c>
      <c r="AD73" s="56" t="n">
        <f aca="false">(1+In_Opex_Esc)^(AD$7-YEAR(In_COD))</f>
        <v>1.025</v>
      </c>
      <c r="AE73" s="56" t="n">
        <f aca="false">(1+In_Opex_Esc)^(AE$7-YEAR(In_COD))</f>
        <v>1.050625</v>
      </c>
      <c r="AF73" s="56" t="n">
        <f aca="false">(1+In_Opex_Esc)^(AF$7-YEAR(In_COD))</f>
        <v>1.050625</v>
      </c>
      <c r="AG73" s="56" t="n">
        <f aca="false">(1+In_Opex_Esc)^(AG$7-YEAR(In_COD))</f>
        <v>1.050625</v>
      </c>
      <c r="AH73" s="56" t="n">
        <f aca="false">(1+In_Opex_Esc)^(AH$7-YEAR(In_COD))</f>
        <v>1.050625</v>
      </c>
      <c r="AI73" s="56" t="n">
        <f aca="false">(1+In_Opex_Esc)^(AI$7-YEAR(In_COD))</f>
        <v>1.076890625</v>
      </c>
      <c r="AJ73" s="56" t="n">
        <f aca="false">(1+In_Opex_Esc)^(AJ$7-YEAR(In_COD))</f>
        <v>1.076890625</v>
      </c>
      <c r="AK73" s="56" t="n">
        <f aca="false">(1+In_Opex_Esc)^(AK$7-YEAR(In_COD))</f>
        <v>1.076890625</v>
      </c>
      <c r="AL73" s="56" t="n">
        <f aca="false">(1+In_Opex_Esc)^(AL$7-YEAR(In_COD))</f>
        <v>1.076890625</v>
      </c>
      <c r="AM73" s="56" t="n">
        <f aca="false">(1+In_Opex_Esc)^(AM$7-YEAR(In_COD))</f>
        <v>1.103812890625</v>
      </c>
      <c r="AN73" s="56" t="n">
        <f aca="false">(1+In_Opex_Esc)^(AN$7-YEAR(In_COD))</f>
        <v>1.103812890625</v>
      </c>
      <c r="AO73" s="56" t="n">
        <f aca="false">(1+In_Opex_Esc)^(AO$7-YEAR(In_COD))</f>
        <v>1.103812890625</v>
      </c>
      <c r="AP73" s="56" t="n">
        <f aca="false">(1+In_Opex_Esc)^(AP$7-YEAR(In_COD))</f>
        <v>1.103812890625</v>
      </c>
      <c r="AQ73" s="56" t="n">
        <f aca="false">(1+In_Opex_Esc)^(AQ$7-YEAR(In_COD))</f>
        <v>1.13140821289062</v>
      </c>
      <c r="AR73" s="56" t="n">
        <f aca="false">(1+In_Opex_Esc)^(AR$7-YEAR(In_COD))</f>
        <v>1.13140821289062</v>
      </c>
      <c r="AS73" s="56" t="n">
        <f aca="false">(1+In_Opex_Esc)^(AS$7-YEAR(In_COD))</f>
        <v>1.13140821289062</v>
      </c>
      <c r="AT73" s="56" t="n">
        <f aca="false">(1+In_Opex_Esc)^(AT$7-YEAR(In_COD))</f>
        <v>1.13140821289062</v>
      </c>
      <c r="AU73" s="56" t="n">
        <f aca="false">(1+In_Opex_Esc)^(AU$7-YEAR(In_COD))</f>
        <v>1.15969341821289</v>
      </c>
      <c r="AV73" s="56" t="n">
        <f aca="false">(1+In_Opex_Esc)^(AV$7-YEAR(In_COD))</f>
        <v>1.15969341821289</v>
      </c>
      <c r="AW73" s="56" t="n">
        <f aca="false">(1+In_Opex_Esc)^(AW$7-YEAR(In_COD))</f>
        <v>1.15969341821289</v>
      </c>
      <c r="AX73" s="56" t="n">
        <f aca="false">(1+In_Opex_Esc)^(AX$7-YEAR(In_COD))</f>
        <v>1.15969341821289</v>
      </c>
      <c r="AY73" s="56" t="n">
        <f aca="false">(1+In_Opex_Esc)^(AY$7-YEAR(In_COD))</f>
        <v>1.18868575366821</v>
      </c>
      <c r="AZ73" s="56" t="n">
        <f aca="false">(1+In_Opex_Esc)^(AZ$7-YEAR(In_COD))</f>
        <v>1.18868575366821</v>
      </c>
      <c r="BA73" s="56" t="n">
        <f aca="false">(1+In_Opex_Esc)^(BA$7-YEAR(In_COD))</f>
        <v>1.18868575366821</v>
      </c>
      <c r="BB73" s="56" t="n">
        <f aca="false">(1+In_Opex_Esc)^(BB$7-YEAR(In_COD))</f>
        <v>1.18868575366821</v>
      </c>
      <c r="BC73" s="56" t="n">
        <f aca="false">(1+In_Opex_Esc)^(BC$7-YEAR(In_COD))</f>
        <v>1.21840289750992</v>
      </c>
      <c r="BD73" s="56" t="n">
        <f aca="false">(1+In_Opex_Esc)^(BD$7-YEAR(In_COD))</f>
        <v>1.21840289750992</v>
      </c>
      <c r="BE73" s="56" t="n">
        <f aca="false">(1+In_Opex_Esc)^(BE$7-YEAR(In_COD))</f>
        <v>1.21840289750992</v>
      </c>
      <c r="BF73" s="56" t="n">
        <f aca="false">(1+In_Opex_Esc)^(BF$7-YEAR(In_COD))</f>
        <v>1.21840289750992</v>
      </c>
      <c r="BG73" s="56" t="n">
        <f aca="false">(1+In_Opex_Esc)^(BG$7-YEAR(In_COD))</f>
        <v>1.24886296994767</v>
      </c>
      <c r="BH73" s="56" t="n">
        <f aca="false">(1+In_Opex_Esc)^(BH$7-YEAR(In_COD))</f>
        <v>1.24886296994767</v>
      </c>
      <c r="BI73" s="56" t="n">
        <f aca="false">(1+In_Opex_Esc)^(BI$7-YEAR(In_COD))</f>
        <v>1.24886296994767</v>
      </c>
      <c r="BJ73" s="56" t="n">
        <f aca="false">(1+In_Opex_Esc)^(BJ$7-YEAR(In_COD))</f>
        <v>1.24886296994767</v>
      </c>
      <c r="BK73" s="56" t="n">
        <f aca="false">(1+In_Opex_Esc)^(BK$7-YEAR(In_COD))</f>
        <v>1.28008454419636</v>
      </c>
      <c r="BL73" s="56" t="n">
        <f aca="false">(1+In_Opex_Esc)^(BL$7-YEAR(In_COD))</f>
        <v>1.28008454419636</v>
      </c>
      <c r="BM73" s="56" t="n">
        <f aca="false">(1+In_Opex_Esc)^(BM$7-YEAR(In_COD))</f>
        <v>1.28008454419636</v>
      </c>
      <c r="BN73" s="56" t="n">
        <f aca="false">(1+In_Opex_Esc)^(BN$7-YEAR(In_COD))</f>
        <v>1.28008454419636</v>
      </c>
      <c r="BO73" s="56" t="n">
        <f aca="false">(1+In_Opex_Esc)^(BO$7-YEAR(In_COD))</f>
        <v>1.31208665780127</v>
      </c>
      <c r="BP73" s="56" t="n">
        <f aca="false">(1+In_Opex_Esc)^(BP$7-YEAR(In_COD))</f>
        <v>1.31208665780127</v>
      </c>
      <c r="BQ73" s="56" t="n">
        <f aca="false">(1+In_Opex_Esc)^(BQ$7-YEAR(In_COD))</f>
        <v>1.31208665780127</v>
      </c>
      <c r="BR73" s="56" t="n">
        <f aca="false">(1+In_Opex_Esc)^(BR$7-YEAR(In_COD))</f>
        <v>1.31208665780127</v>
      </c>
      <c r="BS73" s="56" t="n">
        <f aca="false">(1+In_Opex_Esc)^(BS$7-YEAR(In_COD))</f>
        <v>1.3448888242463</v>
      </c>
      <c r="BT73" s="56" t="n">
        <f aca="false">(1+In_Opex_Esc)^(BT$7-YEAR(In_COD))</f>
        <v>1.3448888242463</v>
      </c>
      <c r="BU73" s="56" t="n">
        <f aca="false">(1+In_Opex_Esc)^(BU$7-YEAR(In_COD))</f>
        <v>1.3448888242463</v>
      </c>
      <c r="BV73" s="56" t="n">
        <f aca="false">(1+In_Opex_Esc)^(BV$7-YEAR(In_COD))</f>
        <v>1.3448888242463</v>
      </c>
      <c r="BW73" s="56" t="n">
        <f aca="false">(1+In_Opex_Esc)^(BW$7-YEAR(In_COD))</f>
        <v>1.37851104485245</v>
      </c>
      <c r="BX73" s="56" t="n">
        <f aca="false">(1+In_Opex_Esc)^(BX$7-YEAR(In_COD))</f>
        <v>1.37851104485245</v>
      </c>
      <c r="BY73" s="56" t="n">
        <f aca="false">(1+In_Opex_Esc)^(BY$7-YEAR(In_COD))</f>
        <v>1.37851104485245</v>
      </c>
      <c r="BZ73" s="56" t="n">
        <f aca="false">(1+In_Opex_Esc)^(BZ$7-YEAR(In_COD))</f>
        <v>1.37851104485245</v>
      </c>
      <c r="CA73" s="56" t="n">
        <f aca="false">(1+In_Opex_Esc)^(CA$7-YEAR(In_COD))</f>
        <v>1.41297382097377</v>
      </c>
      <c r="CB73" s="56" t="n">
        <f aca="false">(1+In_Opex_Esc)^(CB$7-YEAR(In_COD))</f>
        <v>1.41297382097377</v>
      </c>
      <c r="CC73" s="56" t="n">
        <f aca="false">(1+In_Opex_Esc)^(CC$7-YEAR(In_COD))</f>
        <v>1.41297382097377</v>
      </c>
      <c r="CD73" s="56" t="n">
        <f aca="false">(1+In_Opex_Esc)^(CD$7-YEAR(In_COD))</f>
        <v>1.41297382097377</v>
      </c>
      <c r="CE73" s="56" t="n">
        <f aca="false">(1+In_Opex_Esc)^(CE$7-YEAR(In_COD))</f>
        <v>1.44829816649811</v>
      </c>
      <c r="CF73" s="56" t="n">
        <f aca="false">(1+In_Opex_Esc)^(CF$7-YEAR(In_COD))</f>
        <v>1.44829816649811</v>
      </c>
      <c r="CG73" s="56" t="n">
        <f aca="false">(1+In_Opex_Esc)^(CG$7-YEAR(In_COD))</f>
        <v>1.44829816649811</v>
      </c>
      <c r="CH73" s="56" t="n">
        <f aca="false">(1+In_Opex_Esc)^(CH$7-YEAR(In_COD))</f>
        <v>1.44829816649811</v>
      </c>
      <c r="CI73" s="56" t="n">
        <f aca="false">(1+In_Opex_Esc)^(CI$7-YEAR(In_COD))</f>
        <v>1.48450562066056</v>
      </c>
      <c r="CJ73" s="56" t="n">
        <f aca="false">(1+In_Opex_Esc)^(CJ$7-YEAR(In_COD))</f>
        <v>1.48450562066056</v>
      </c>
      <c r="CK73" s="56" t="n">
        <f aca="false">(1+In_Opex_Esc)^(CK$7-YEAR(In_COD))</f>
        <v>1.48450562066056</v>
      </c>
      <c r="CL73" s="56" t="n">
        <f aca="false">(1+In_Opex_Esc)^(CL$7-YEAR(In_COD))</f>
        <v>1.48450562066056</v>
      </c>
      <c r="CM73" s="56" t="n">
        <f aca="false">(1+In_Opex_Esc)^(CM$7-YEAR(In_COD))</f>
        <v>1.52161826117708</v>
      </c>
      <c r="CN73" s="56" t="n">
        <f aca="false">(1+In_Opex_Esc)^(CN$7-YEAR(In_COD))</f>
        <v>1.52161826117708</v>
      </c>
      <c r="CO73" s="56" t="n">
        <f aca="false">(1+In_Opex_Esc)^(CO$7-YEAR(In_COD))</f>
        <v>1.52161826117708</v>
      </c>
      <c r="CP73" s="56" t="n">
        <f aca="false">(1+In_Opex_Esc)^(CP$7-YEAR(In_COD))</f>
        <v>1.52161826117708</v>
      </c>
      <c r="CQ73" s="56" t="n">
        <f aca="false">(1+In_Opex_Esc)^(CQ$7-YEAR(In_COD))</f>
        <v>1.5596587177065</v>
      </c>
      <c r="CR73" s="56" t="n">
        <f aca="false">(1+In_Opex_Esc)^(CR$7-YEAR(In_COD))</f>
        <v>1.5596587177065</v>
      </c>
      <c r="CS73" s="56" t="n">
        <f aca="false">(1+In_Opex_Esc)^(CS$7-YEAR(In_COD))</f>
        <v>1.5596587177065</v>
      </c>
      <c r="CT73" s="56" t="n">
        <f aca="false">(1+In_Opex_Esc)^(CT$7-YEAR(In_COD))</f>
        <v>1.5596587177065</v>
      </c>
      <c r="CU73" s="56" t="n">
        <f aca="false">(1+In_Opex_Esc)^(CU$7-YEAR(In_COD))</f>
        <v>1.59865018564917</v>
      </c>
      <c r="CV73" s="56" t="n">
        <f aca="false">(1+In_Opex_Esc)^(CV$7-YEAR(In_COD))</f>
        <v>1.59865018564917</v>
      </c>
      <c r="CW73" s="56" t="n">
        <f aca="false">(1+In_Opex_Esc)^(CW$7-YEAR(In_COD))</f>
        <v>1.59865018564917</v>
      </c>
      <c r="CX73" s="56" t="n">
        <f aca="false">(1+In_Opex_Esc)^(CX$7-YEAR(In_COD))</f>
        <v>1.59865018564917</v>
      </c>
      <c r="CY73" s="56" t="n">
        <f aca="false">(1+In_Opex_Esc)^(CY$7-YEAR(In_COD))</f>
        <v>1.63861644029039</v>
      </c>
      <c r="CZ73" s="56" t="n">
        <f aca="false">(1+In_Opex_Esc)^(CZ$7-YEAR(In_COD))</f>
        <v>1.63861644029039</v>
      </c>
      <c r="DA73" s="56" t="n">
        <f aca="false">(1+In_Opex_Esc)^(DA$7-YEAR(In_COD))</f>
        <v>1.63861644029039</v>
      </c>
      <c r="DB73" s="56" t="n">
        <f aca="false">(1+In_Opex_Esc)^(DB$7-YEAR(In_COD))</f>
        <v>1.63861644029039</v>
      </c>
      <c r="DC73" s="56" t="n">
        <f aca="false">(1+In_Opex_Esc)^(DC$7-YEAR(In_COD))</f>
        <v>1.67958185129765</v>
      </c>
      <c r="DD73" s="56" t="n">
        <f aca="false">(1+In_Opex_Esc)^(DD$7-YEAR(In_COD))</f>
        <v>1.67958185129765</v>
      </c>
      <c r="DE73" s="56" t="n">
        <f aca="false">(1+In_Opex_Esc)^(DE$7-YEAR(In_COD))</f>
        <v>1.67958185129765</v>
      </c>
      <c r="DF73" s="56" t="n">
        <f aca="false">(1+In_Opex_Esc)^(DF$7-YEAR(In_COD))</f>
        <v>1.67958185129765</v>
      </c>
      <c r="DG73" s="56" t="n">
        <f aca="false">(1+In_Opex_Esc)^(DG$7-YEAR(In_COD))</f>
        <v>1.7215713975801</v>
      </c>
      <c r="DH73" s="56" t="n">
        <f aca="false">(1+In_Opex_Esc)^(DH$7-YEAR(In_COD))</f>
        <v>1.7215713975801</v>
      </c>
      <c r="DI73" s="56" t="n">
        <f aca="false">(1+In_Opex_Esc)^(DI$7-YEAR(In_COD))</f>
        <v>1.7215713975801</v>
      </c>
      <c r="DJ73" s="56" t="n">
        <f aca="false">(1+In_Opex_Esc)^(DJ$7-YEAR(In_COD))</f>
        <v>1.7215713975801</v>
      </c>
      <c r="DK73" s="56" t="n">
        <f aca="false">(1+In_Opex_Esc)^(DK$7-YEAR(In_COD))</f>
        <v>1.7646106825196</v>
      </c>
      <c r="DL73" s="56" t="n">
        <f aca="false">(1+In_Opex_Esc)^(DL$7-YEAR(In_COD))</f>
        <v>1.7646106825196</v>
      </c>
      <c r="DM73" s="56" t="n">
        <f aca="false">(1+In_Opex_Esc)^(DM$7-YEAR(In_COD))</f>
        <v>1.7646106825196</v>
      </c>
      <c r="DN73" s="56" t="n">
        <f aca="false">(1+In_Opex_Esc)^(DN$7-YEAR(In_COD))</f>
        <v>1.7646106825196</v>
      </c>
      <c r="DO73" s="56" t="n">
        <f aca="false">(1+In_Opex_Esc)^(DO$7-YEAR(In_COD))</f>
        <v>1.80872594958259</v>
      </c>
      <c r="DP73" s="56" t="n">
        <f aca="false">(1+In_Opex_Esc)^(DP$7-YEAR(In_COD))</f>
        <v>1.80872594958259</v>
      </c>
      <c r="DQ73" s="56" t="n">
        <f aca="false">(1+In_Opex_Esc)^(DQ$7-YEAR(In_COD))</f>
        <v>1.80872594958259</v>
      </c>
      <c r="DR73" s="56" t="n">
        <f aca="false">(1+In_Opex_Esc)^(DR$7-YEAR(In_COD))</f>
        <v>1.80872594958259</v>
      </c>
      <c r="DS73" s="56" t="n">
        <f aca="false">(1+In_Opex_Esc)^(DS$7-YEAR(In_COD))</f>
        <v>1.85394409832215</v>
      </c>
      <c r="DT73" s="56" t="n">
        <f aca="false">(1+In_Opex_Esc)^(DT$7-YEAR(In_COD))</f>
        <v>1.85394409832215</v>
      </c>
      <c r="DU73" s="56" t="n">
        <f aca="false">(1+In_Opex_Esc)^(DU$7-YEAR(In_COD))</f>
        <v>1.85394409832215</v>
      </c>
      <c r="DV73" s="56" t="n">
        <f aca="false">(1+In_Opex_Esc)^(DV$7-YEAR(In_COD))</f>
        <v>1.85394409832215</v>
      </c>
      <c r="DW73" s="56" t="n">
        <f aca="false">(1+In_Opex_Esc)^(DW$7-YEAR(In_COD))</f>
        <v>1.90029270078021</v>
      </c>
      <c r="DX73" s="56" t="n">
        <f aca="false">(1+In_Opex_Esc)^(DX$7-YEAR(In_COD))</f>
        <v>1.90029270078021</v>
      </c>
      <c r="DY73" s="56" t="n">
        <f aca="false">(1+In_Opex_Esc)^(DY$7-YEAR(In_COD))</f>
        <v>1.90029270078021</v>
      </c>
      <c r="DZ73" s="56" t="n">
        <f aca="false">(1+In_Opex_Esc)^(DZ$7-YEAR(In_COD))</f>
        <v>1.90029270078021</v>
      </c>
      <c r="EA73" s="56" t="n">
        <f aca="false">(1+In_Opex_Esc)^(EA$7-YEAR(In_COD))</f>
        <v>1.94780001829971</v>
      </c>
      <c r="EB73" s="56" t="n">
        <f aca="false">(1+In_Opex_Esc)^(EB$7-YEAR(In_COD))</f>
        <v>1.94780001829971</v>
      </c>
      <c r="EC73" s="56" t="n">
        <f aca="false">(1+In_Opex_Esc)^(EC$7-YEAR(In_COD))</f>
        <v>1.94780001829971</v>
      </c>
      <c r="ED73" s="56" t="n">
        <f aca="false">(1+In_Opex_Esc)^(ED$7-YEAR(In_COD))</f>
        <v>1.94780001829971</v>
      </c>
      <c r="EE73" s="56" t="n">
        <f aca="false">(1+In_Opex_Esc)^(EE$7-YEAR(In_COD))</f>
        <v>1.9964950187572</v>
      </c>
      <c r="EF73" s="56" t="n">
        <f aca="false">(1+In_Opex_Esc)^(EF$7-YEAR(In_COD))</f>
        <v>1.9964950187572</v>
      </c>
      <c r="EG73" s="56" t="n">
        <f aca="false">(1+In_Opex_Esc)^(EG$7-YEAR(In_COD))</f>
        <v>1.9964950187572</v>
      </c>
      <c r="EH73" s="56" t="n">
        <f aca="false">(1+In_Opex_Esc)^(EH$7-YEAR(In_COD))</f>
        <v>1.9964950187572</v>
      </c>
      <c r="EI73" s="56" t="n">
        <f aca="false">(1+In_Opex_Esc)^(EI$7-YEAR(In_COD))</f>
        <v>2.04640739422613</v>
      </c>
      <c r="EJ73" s="56" t="n">
        <f aca="false">(1+In_Opex_Esc)^(EJ$7-YEAR(In_COD))</f>
        <v>2.04640739422613</v>
      </c>
      <c r="EK73" s="56" t="n">
        <f aca="false">(1+In_Opex_Esc)^(EK$7-YEAR(In_COD))</f>
        <v>2.04640739422613</v>
      </c>
      <c r="EL73" s="56" t="n">
        <f aca="false">(1+In_Opex_Esc)^(EL$7-YEAR(In_COD))</f>
        <v>2.04640739422613</v>
      </c>
      <c r="EM73" s="56" t="n">
        <f aca="false">(1+In_Opex_Esc)^(EM$7-YEAR(In_COD))</f>
        <v>2.09756757908179</v>
      </c>
      <c r="EN73" s="56" t="n">
        <f aca="false">(1+In_Opex_Esc)^(EN$7-YEAR(In_COD))</f>
        <v>2.09756757908179</v>
      </c>
      <c r="EO73" s="56" t="n">
        <f aca="false">(1+In_Opex_Esc)^(EO$7-YEAR(In_COD))</f>
        <v>2.09756757908179</v>
      </c>
    </row>
    <row r="74" customFormat="false" ht="15" hidden="false" customHeight="false" outlineLevel="0" collapsed="false">
      <c r="C74" s="1" t="s">
        <v>467</v>
      </c>
      <c r="D74" s="12" t="s">
        <v>24</v>
      </c>
      <c r="J74" s="33" t="n">
        <f aca="false">In_PPA_Price*(1+In_PPA_Esc)^(J$7-YEAR(In_COD))</f>
        <v>86.4882310034535</v>
      </c>
      <c r="K74" s="33" t="n">
        <f aca="false">In_PPA_Price*(1+In_PPA_Esc)^(K$7-YEAR(In_COD))</f>
        <v>87.353113313488</v>
      </c>
      <c r="L74" s="33" t="n">
        <f aca="false">In_PPA_Price*(1+In_PPA_Esc)^(L$7-YEAR(In_COD))</f>
        <v>87.353113313488</v>
      </c>
      <c r="M74" s="33" t="n">
        <f aca="false">In_PPA_Price*(1+In_PPA_Esc)^(M$7-YEAR(In_COD))</f>
        <v>87.353113313488</v>
      </c>
      <c r="N74" s="33" t="n">
        <f aca="false">In_PPA_Price*(1+In_PPA_Esc)^(N$7-YEAR(In_COD))</f>
        <v>87.353113313488</v>
      </c>
      <c r="O74" s="33" t="n">
        <f aca="false">In_PPA_Price*(1+In_PPA_Esc)^(O$7-YEAR(In_COD))</f>
        <v>88.2266444466229</v>
      </c>
      <c r="P74" s="33" t="n">
        <f aca="false">In_PPA_Price*(1+In_PPA_Esc)^(P$7-YEAR(In_COD))</f>
        <v>88.2266444466229</v>
      </c>
      <c r="Q74" s="33" t="n">
        <f aca="false">In_PPA_Price*(1+In_PPA_Esc)^(Q$7-YEAR(In_COD))</f>
        <v>88.2266444466229</v>
      </c>
      <c r="R74" s="33" t="n">
        <f aca="false">In_PPA_Price*(1+In_PPA_Esc)^(R$7-YEAR(In_COD))</f>
        <v>88.2266444466229</v>
      </c>
      <c r="S74" s="33" t="n">
        <f aca="false">In_PPA_Price*(1+In_PPA_Esc)^(S$7-YEAR(In_COD))</f>
        <v>89.1089108910891</v>
      </c>
      <c r="T74" s="33" t="n">
        <f aca="false">In_PPA_Price*(1+In_PPA_Esc)^(T$7-YEAR(In_COD))</f>
        <v>89.1089108910891</v>
      </c>
      <c r="U74" s="33" t="n">
        <f aca="false">In_PPA_Price*(1+In_PPA_Esc)^(U$7-YEAR(In_COD))</f>
        <v>89.1089108910891</v>
      </c>
      <c r="V74" s="33" t="n">
        <f aca="false">In_PPA_Price*(1+In_PPA_Esc)^(V$7-YEAR(In_COD))</f>
        <v>89.1089108910891</v>
      </c>
      <c r="W74" s="33" t="n">
        <f aca="false">In_PPA_Price*(1+In_PPA_Esc)^(W$7-YEAR(In_COD))</f>
        <v>90</v>
      </c>
      <c r="X74" s="33" t="n">
        <f aca="false">In_PPA_Price*(1+In_PPA_Esc)^(X$7-YEAR(In_COD))</f>
        <v>90</v>
      </c>
      <c r="Y74" s="33" t="n">
        <f aca="false">In_PPA_Price*(1+In_PPA_Esc)^(Y$7-YEAR(In_COD))</f>
        <v>90</v>
      </c>
      <c r="Z74" s="33" t="n">
        <f aca="false">In_PPA_Price*(1+In_PPA_Esc)^(Z$7-YEAR(In_COD))</f>
        <v>90</v>
      </c>
      <c r="AA74" s="33" t="n">
        <f aca="false">In_PPA_Price*(1+In_PPA_Esc)^(AA$7-YEAR(In_COD))</f>
        <v>90.9</v>
      </c>
      <c r="AB74" s="33" t="n">
        <f aca="false">In_PPA_Price*(1+In_PPA_Esc)^(AB$7-YEAR(In_COD))</f>
        <v>90.9</v>
      </c>
      <c r="AC74" s="33" t="n">
        <f aca="false">In_PPA_Price*(1+In_PPA_Esc)^(AC$7-YEAR(In_COD))</f>
        <v>90.9</v>
      </c>
      <c r="AD74" s="33" t="n">
        <f aca="false">In_PPA_Price*(1+In_PPA_Esc)^(AD$7-YEAR(In_COD))</f>
        <v>90.9</v>
      </c>
      <c r="AE74" s="33" t="n">
        <f aca="false">In_PPA_Price*(1+In_PPA_Esc)^(AE$7-YEAR(In_COD))</f>
        <v>91.809</v>
      </c>
      <c r="AF74" s="33" t="n">
        <f aca="false">In_PPA_Price*(1+In_PPA_Esc)^(AF$7-YEAR(In_COD))</f>
        <v>91.809</v>
      </c>
      <c r="AG74" s="33" t="n">
        <f aca="false">In_PPA_Price*(1+In_PPA_Esc)^(AG$7-YEAR(In_COD))</f>
        <v>91.809</v>
      </c>
      <c r="AH74" s="33" t="n">
        <f aca="false">In_PPA_Price*(1+In_PPA_Esc)^(AH$7-YEAR(In_COD))</f>
        <v>91.809</v>
      </c>
      <c r="AI74" s="33" t="n">
        <f aca="false">In_PPA_Price*(1+In_PPA_Esc)^(AI$7-YEAR(In_COD))</f>
        <v>92.72709</v>
      </c>
      <c r="AJ74" s="33" t="n">
        <f aca="false">In_PPA_Price*(1+In_PPA_Esc)^(AJ$7-YEAR(In_COD))</f>
        <v>92.72709</v>
      </c>
      <c r="AK74" s="33" t="n">
        <f aca="false">In_PPA_Price*(1+In_PPA_Esc)^(AK$7-YEAR(In_COD))</f>
        <v>92.72709</v>
      </c>
      <c r="AL74" s="33" t="n">
        <f aca="false">In_PPA_Price*(1+In_PPA_Esc)^(AL$7-YEAR(In_COD))</f>
        <v>92.72709</v>
      </c>
      <c r="AM74" s="33" t="n">
        <f aca="false">In_PPA_Price*(1+In_PPA_Esc)^(AM$7-YEAR(In_COD))</f>
        <v>93.6543609</v>
      </c>
      <c r="AN74" s="33" t="n">
        <f aca="false">In_PPA_Price*(1+In_PPA_Esc)^(AN$7-YEAR(In_COD))</f>
        <v>93.6543609</v>
      </c>
      <c r="AO74" s="33" t="n">
        <f aca="false">In_PPA_Price*(1+In_PPA_Esc)^(AO$7-YEAR(In_COD))</f>
        <v>93.6543609</v>
      </c>
      <c r="AP74" s="33" t="n">
        <f aca="false">In_PPA_Price*(1+In_PPA_Esc)^(AP$7-YEAR(In_COD))</f>
        <v>93.6543609</v>
      </c>
      <c r="AQ74" s="33" t="n">
        <f aca="false">In_PPA_Price*(1+In_PPA_Esc)^(AQ$7-YEAR(In_COD))</f>
        <v>94.590904509</v>
      </c>
      <c r="AR74" s="33" t="n">
        <f aca="false">In_PPA_Price*(1+In_PPA_Esc)^(AR$7-YEAR(In_COD))</f>
        <v>94.590904509</v>
      </c>
      <c r="AS74" s="33" t="n">
        <f aca="false">In_PPA_Price*(1+In_PPA_Esc)^(AS$7-YEAR(In_COD))</f>
        <v>94.590904509</v>
      </c>
      <c r="AT74" s="33" t="n">
        <f aca="false">In_PPA_Price*(1+In_PPA_Esc)^(AT$7-YEAR(In_COD))</f>
        <v>94.590904509</v>
      </c>
      <c r="AU74" s="33" t="n">
        <f aca="false">In_PPA_Price*(1+In_PPA_Esc)^(AU$7-YEAR(In_COD))</f>
        <v>95.53681355409</v>
      </c>
      <c r="AV74" s="33" t="n">
        <f aca="false">In_PPA_Price*(1+In_PPA_Esc)^(AV$7-YEAR(In_COD))</f>
        <v>95.53681355409</v>
      </c>
      <c r="AW74" s="33" t="n">
        <f aca="false">In_PPA_Price*(1+In_PPA_Esc)^(AW$7-YEAR(In_COD))</f>
        <v>95.53681355409</v>
      </c>
      <c r="AX74" s="33" t="n">
        <f aca="false">In_PPA_Price*(1+In_PPA_Esc)^(AX$7-YEAR(In_COD))</f>
        <v>95.53681355409</v>
      </c>
      <c r="AY74" s="33" t="n">
        <f aca="false">In_PPA_Price*(1+In_PPA_Esc)^(AY$7-YEAR(In_COD))</f>
        <v>96.4921816896309</v>
      </c>
      <c r="AZ74" s="33" t="n">
        <f aca="false">In_PPA_Price*(1+In_PPA_Esc)^(AZ$7-YEAR(In_COD))</f>
        <v>96.4921816896309</v>
      </c>
      <c r="BA74" s="33" t="n">
        <f aca="false">In_PPA_Price*(1+In_PPA_Esc)^(BA$7-YEAR(In_COD))</f>
        <v>96.4921816896309</v>
      </c>
      <c r="BB74" s="33" t="n">
        <f aca="false">In_PPA_Price*(1+In_PPA_Esc)^(BB$7-YEAR(In_COD))</f>
        <v>96.4921816896309</v>
      </c>
      <c r="BC74" s="33" t="n">
        <f aca="false">In_PPA_Price*(1+In_PPA_Esc)^(BC$7-YEAR(In_COD))</f>
        <v>97.4571035065272</v>
      </c>
      <c r="BD74" s="33" t="n">
        <f aca="false">In_PPA_Price*(1+In_PPA_Esc)^(BD$7-YEAR(In_COD))</f>
        <v>97.4571035065272</v>
      </c>
      <c r="BE74" s="33" t="n">
        <f aca="false">In_PPA_Price*(1+In_PPA_Esc)^(BE$7-YEAR(In_COD))</f>
        <v>97.4571035065272</v>
      </c>
      <c r="BF74" s="33" t="n">
        <f aca="false">In_PPA_Price*(1+In_PPA_Esc)^(BF$7-YEAR(In_COD))</f>
        <v>97.4571035065272</v>
      </c>
      <c r="BG74" s="33" t="n">
        <f aca="false">In_PPA_Price*(1+In_PPA_Esc)^(BG$7-YEAR(In_COD))</f>
        <v>98.4316745415925</v>
      </c>
      <c r="BH74" s="33" t="n">
        <f aca="false">In_PPA_Price*(1+In_PPA_Esc)^(BH$7-YEAR(In_COD))</f>
        <v>98.4316745415925</v>
      </c>
      <c r="BI74" s="33" t="n">
        <f aca="false">In_PPA_Price*(1+In_PPA_Esc)^(BI$7-YEAR(In_COD))</f>
        <v>98.4316745415925</v>
      </c>
      <c r="BJ74" s="33" t="n">
        <f aca="false">In_PPA_Price*(1+In_PPA_Esc)^(BJ$7-YEAR(In_COD))</f>
        <v>98.4316745415925</v>
      </c>
      <c r="BK74" s="33" t="n">
        <f aca="false">In_PPA_Price*(1+In_PPA_Esc)^(BK$7-YEAR(In_COD))</f>
        <v>99.4159912870084</v>
      </c>
      <c r="BL74" s="33" t="n">
        <f aca="false">In_PPA_Price*(1+In_PPA_Esc)^(BL$7-YEAR(In_COD))</f>
        <v>99.4159912870084</v>
      </c>
      <c r="BM74" s="33" t="n">
        <f aca="false">In_PPA_Price*(1+In_PPA_Esc)^(BM$7-YEAR(In_COD))</f>
        <v>99.4159912870084</v>
      </c>
      <c r="BN74" s="33" t="n">
        <f aca="false">In_PPA_Price*(1+In_PPA_Esc)^(BN$7-YEAR(In_COD))</f>
        <v>99.4159912870084</v>
      </c>
      <c r="BO74" s="33" t="n">
        <f aca="false">In_PPA_Price*(1+In_PPA_Esc)^(BO$7-YEAR(In_COD))</f>
        <v>100.410151199878</v>
      </c>
      <c r="BP74" s="33" t="n">
        <f aca="false">In_PPA_Price*(1+In_PPA_Esc)^(BP$7-YEAR(In_COD))</f>
        <v>100.410151199878</v>
      </c>
      <c r="BQ74" s="33" t="n">
        <f aca="false">In_PPA_Price*(1+In_PPA_Esc)^(BQ$7-YEAR(In_COD))</f>
        <v>100.410151199878</v>
      </c>
      <c r="BR74" s="33" t="n">
        <f aca="false">In_PPA_Price*(1+In_PPA_Esc)^(BR$7-YEAR(In_COD))</f>
        <v>100.410151199878</v>
      </c>
      <c r="BS74" s="33" t="n">
        <f aca="false">In_PPA_Price*(1+In_PPA_Esc)^(BS$7-YEAR(In_COD))</f>
        <v>101.414252711877</v>
      </c>
      <c r="BT74" s="33" t="n">
        <f aca="false">In_PPA_Price*(1+In_PPA_Esc)^(BT$7-YEAR(In_COD))</f>
        <v>101.414252711877</v>
      </c>
      <c r="BU74" s="33" t="n">
        <f aca="false">In_PPA_Price*(1+In_PPA_Esc)^(BU$7-YEAR(In_COD))</f>
        <v>101.414252711877</v>
      </c>
      <c r="BV74" s="33" t="n">
        <f aca="false">In_PPA_Price*(1+In_PPA_Esc)^(BV$7-YEAR(In_COD))</f>
        <v>101.414252711877</v>
      </c>
      <c r="BW74" s="33" t="n">
        <f aca="false">In_PPA_Price*(1+In_PPA_Esc)^(BW$7-YEAR(In_COD))</f>
        <v>102.428395238996</v>
      </c>
      <c r="BX74" s="33" t="n">
        <f aca="false">In_PPA_Price*(1+In_PPA_Esc)^(BX$7-YEAR(In_COD))</f>
        <v>102.428395238996</v>
      </c>
      <c r="BY74" s="33" t="n">
        <f aca="false">In_PPA_Price*(1+In_PPA_Esc)^(BY$7-YEAR(In_COD))</f>
        <v>102.428395238996</v>
      </c>
      <c r="BZ74" s="33" t="n">
        <f aca="false">In_PPA_Price*(1+In_PPA_Esc)^(BZ$7-YEAR(In_COD))</f>
        <v>102.428395238996</v>
      </c>
      <c r="CA74" s="33" t="n">
        <f aca="false">In_PPA_Price*(1+In_PPA_Esc)^(CA$7-YEAR(In_COD))</f>
        <v>103.452679191386</v>
      </c>
      <c r="CB74" s="33" t="n">
        <f aca="false">In_PPA_Price*(1+In_PPA_Esc)^(CB$7-YEAR(In_COD))</f>
        <v>103.452679191386</v>
      </c>
      <c r="CC74" s="33" t="n">
        <f aca="false">In_PPA_Price*(1+In_PPA_Esc)^(CC$7-YEAR(In_COD))</f>
        <v>103.452679191386</v>
      </c>
      <c r="CD74" s="33" t="n">
        <f aca="false">In_PPA_Price*(1+In_PPA_Esc)^(CD$7-YEAR(In_COD))</f>
        <v>103.452679191386</v>
      </c>
      <c r="CE74" s="33" t="n">
        <f aca="false">In_PPA_Price*(1+In_PPA_Esc)^(CE$7-YEAR(In_COD))</f>
        <v>104.4872059833</v>
      </c>
      <c r="CF74" s="33" t="n">
        <f aca="false">In_PPA_Price*(1+In_PPA_Esc)^(CF$7-YEAR(In_COD))</f>
        <v>104.4872059833</v>
      </c>
      <c r="CG74" s="33" t="n">
        <f aca="false">In_PPA_Price*(1+In_PPA_Esc)^(CG$7-YEAR(In_COD))</f>
        <v>104.4872059833</v>
      </c>
      <c r="CH74" s="33" t="n">
        <f aca="false">In_PPA_Price*(1+In_PPA_Esc)^(CH$7-YEAR(In_COD))</f>
        <v>104.4872059833</v>
      </c>
      <c r="CI74" s="33" t="n">
        <f aca="false">In_PPA_Price*(1+In_PPA_Esc)^(CI$7-YEAR(In_COD))</f>
        <v>105.532078043133</v>
      </c>
      <c r="CJ74" s="33" t="n">
        <f aca="false">In_PPA_Price*(1+In_PPA_Esc)^(CJ$7-YEAR(In_COD))</f>
        <v>105.532078043133</v>
      </c>
      <c r="CK74" s="33" t="n">
        <f aca="false">In_PPA_Price*(1+In_PPA_Esc)^(CK$7-YEAR(In_COD))</f>
        <v>105.532078043133</v>
      </c>
      <c r="CL74" s="33" t="n">
        <f aca="false">In_PPA_Price*(1+In_PPA_Esc)^(CL$7-YEAR(In_COD))</f>
        <v>105.532078043133</v>
      </c>
      <c r="CM74" s="33" t="n">
        <f aca="false">In_PPA_Price*(1+In_PPA_Esc)^(CM$7-YEAR(In_COD))</f>
        <v>106.587398823564</v>
      </c>
      <c r="CN74" s="33" t="n">
        <f aca="false">In_PPA_Price*(1+In_PPA_Esc)^(CN$7-YEAR(In_COD))</f>
        <v>106.587398823564</v>
      </c>
      <c r="CO74" s="33" t="n">
        <f aca="false">In_PPA_Price*(1+In_PPA_Esc)^(CO$7-YEAR(In_COD))</f>
        <v>106.587398823564</v>
      </c>
      <c r="CP74" s="33" t="n">
        <f aca="false">In_PPA_Price*(1+In_PPA_Esc)^(CP$7-YEAR(In_COD))</f>
        <v>106.587398823564</v>
      </c>
      <c r="CQ74" s="33" t="n">
        <f aca="false">In_PPA_Price*(1+In_PPA_Esc)^(CQ$7-YEAR(In_COD))</f>
        <v>107.6532728118</v>
      </c>
      <c r="CR74" s="33" t="n">
        <f aca="false">In_PPA_Price*(1+In_PPA_Esc)^(CR$7-YEAR(In_COD))</f>
        <v>107.6532728118</v>
      </c>
      <c r="CS74" s="33" t="n">
        <f aca="false">In_PPA_Price*(1+In_PPA_Esc)^(CS$7-YEAR(In_COD))</f>
        <v>107.6532728118</v>
      </c>
      <c r="CT74" s="33" t="n">
        <f aca="false">In_PPA_Price*(1+In_PPA_Esc)^(CT$7-YEAR(In_COD))</f>
        <v>107.6532728118</v>
      </c>
      <c r="CU74" s="33" t="n">
        <f aca="false">In_PPA_Price*(1+In_PPA_Esc)^(CU$7-YEAR(In_COD))</f>
        <v>108.729805539918</v>
      </c>
      <c r="CV74" s="33" t="n">
        <f aca="false">In_PPA_Price*(1+In_PPA_Esc)^(CV$7-YEAR(In_COD))</f>
        <v>108.729805539918</v>
      </c>
      <c r="CW74" s="33" t="n">
        <f aca="false">In_PPA_Price*(1+In_PPA_Esc)^(CW$7-YEAR(In_COD))</f>
        <v>108.729805539918</v>
      </c>
      <c r="CX74" s="33" t="n">
        <f aca="false">In_PPA_Price*(1+In_PPA_Esc)^(CX$7-YEAR(In_COD))</f>
        <v>108.729805539918</v>
      </c>
      <c r="CY74" s="33" t="n">
        <f aca="false">In_PPA_Price*(1+In_PPA_Esc)^(CY$7-YEAR(In_COD))</f>
        <v>109.817103595317</v>
      </c>
      <c r="CZ74" s="33" t="n">
        <f aca="false">In_PPA_Price*(1+In_PPA_Esc)^(CZ$7-YEAR(In_COD))</f>
        <v>109.817103595317</v>
      </c>
      <c r="DA74" s="33" t="n">
        <f aca="false">In_PPA_Price*(1+In_PPA_Esc)^(DA$7-YEAR(In_COD))</f>
        <v>109.817103595317</v>
      </c>
      <c r="DB74" s="33" t="n">
        <f aca="false">In_PPA_Price*(1+In_PPA_Esc)^(DB$7-YEAR(In_COD))</f>
        <v>109.817103595317</v>
      </c>
      <c r="DC74" s="33" t="n">
        <f aca="false">In_PPA_Price*(1+In_PPA_Esc)^(DC$7-YEAR(In_COD))</f>
        <v>110.91527463127</v>
      </c>
      <c r="DD74" s="33" t="n">
        <f aca="false">In_PPA_Price*(1+In_PPA_Esc)^(DD$7-YEAR(In_COD))</f>
        <v>110.91527463127</v>
      </c>
      <c r="DE74" s="33" t="n">
        <f aca="false">In_PPA_Price*(1+In_PPA_Esc)^(DE$7-YEAR(In_COD))</f>
        <v>110.91527463127</v>
      </c>
      <c r="DF74" s="33" t="n">
        <f aca="false">In_PPA_Price*(1+In_PPA_Esc)^(DF$7-YEAR(In_COD))</f>
        <v>110.91527463127</v>
      </c>
      <c r="DG74" s="33" t="n">
        <f aca="false">In_PPA_Price*(1+In_PPA_Esc)^(DG$7-YEAR(In_COD))</f>
        <v>112.024427377583</v>
      </c>
      <c r="DH74" s="33" t="n">
        <f aca="false">In_PPA_Price*(1+In_PPA_Esc)^(DH$7-YEAR(In_COD))</f>
        <v>112.024427377583</v>
      </c>
      <c r="DI74" s="33" t="n">
        <f aca="false">In_PPA_Price*(1+In_PPA_Esc)^(DI$7-YEAR(In_COD))</f>
        <v>112.024427377583</v>
      </c>
      <c r="DJ74" s="33" t="n">
        <f aca="false">In_PPA_Price*(1+In_PPA_Esc)^(DJ$7-YEAR(In_COD))</f>
        <v>112.024427377583</v>
      </c>
      <c r="DK74" s="33" t="n">
        <f aca="false">In_PPA_Price*(1+In_PPA_Esc)^(DK$7-YEAR(In_COD))</f>
        <v>113.144671651359</v>
      </c>
      <c r="DL74" s="33" t="n">
        <f aca="false">In_PPA_Price*(1+In_PPA_Esc)^(DL$7-YEAR(In_COD))</f>
        <v>113.144671651359</v>
      </c>
      <c r="DM74" s="33" t="n">
        <f aca="false">In_PPA_Price*(1+In_PPA_Esc)^(DM$7-YEAR(In_COD))</f>
        <v>113.144671651359</v>
      </c>
      <c r="DN74" s="33" t="n">
        <f aca="false">In_PPA_Price*(1+In_PPA_Esc)^(DN$7-YEAR(In_COD))</f>
        <v>113.144671651359</v>
      </c>
      <c r="DO74" s="33" t="n">
        <f aca="false">In_PPA_Price*(1+In_PPA_Esc)^(DO$7-YEAR(In_COD))</f>
        <v>114.276118367872</v>
      </c>
      <c r="DP74" s="33" t="n">
        <f aca="false">In_PPA_Price*(1+In_PPA_Esc)^(DP$7-YEAR(In_COD))</f>
        <v>114.276118367872</v>
      </c>
      <c r="DQ74" s="33" t="n">
        <f aca="false">In_PPA_Price*(1+In_PPA_Esc)^(DQ$7-YEAR(In_COD))</f>
        <v>114.276118367872</v>
      </c>
      <c r="DR74" s="33" t="n">
        <f aca="false">In_PPA_Price*(1+In_PPA_Esc)^(DR$7-YEAR(In_COD))</f>
        <v>114.276118367872</v>
      </c>
      <c r="DS74" s="33" t="n">
        <f aca="false">In_PPA_Price*(1+In_PPA_Esc)^(DS$7-YEAR(In_COD))</f>
        <v>115.418879551551</v>
      </c>
      <c r="DT74" s="33" t="n">
        <f aca="false">In_PPA_Price*(1+In_PPA_Esc)^(DT$7-YEAR(In_COD))</f>
        <v>115.418879551551</v>
      </c>
      <c r="DU74" s="33" t="n">
        <f aca="false">In_PPA_Price*(1+In_PPA_Esc)^(DU$7-YEAR(In_COD))</f>
        <v>115.418879551551</v>
      </c>
      <c r="DV74" s="33" t="n">
        <f aca="false">In_PPA_Price*(1+In_PPA_Esc)^(DV$7-YEAR(In_COD))</f>
        <v>115.418879551551</v>
      </c>
      <c r="DW74" s="33" t="n">
        <f aca="false">In_PPA_Price*(1+In_PPA_Esc)^(DW$7-YEAR(In_COD))</f>
        <v>116.573068347067</v>
      </c>
      <c r="DX74" s="33" t="n">
        <f aca="false">In_PPA_Price*(1+In_PPA_Esc)^(DX$7-YEAR(In_COD))</f>
        <v>116.573068347067</v>
      </c>
      <c r="DY74" s="33" t="n">
        <f aca="false">In_PPA_Price*(1+In_PPA_Esc)^(DY$7-YEAR(In_COD))</f>
        <v>116.573068347067</v>
      </c>
      <c r="DZ74" s="33" t="n">
        <f aca="false">In_PPA_Price*(1+In_PPA_Esc)^(DZ$7-YEAR(In_COD))</f>
        <v>116.573068347067</v>
      </c>
      <c r="EA74" s="33" t="n">
        <f aca="false">In_PPA_Price*(1+In_PPA_Esc)^(EA$7-YEAR(In_COD))</f>
        <v>117.738799030537</v>
      </c>
      <c r="EB74" s="33" t="n">
        <f aca="false">In_PPA_Price*(1+In_PPA_Esc)^(EB$7-YEAR(In_COD))</f>
        <v>117.738799030537</v>
      </c>
      <c r="EC74" s="33" t="n">
        <f aca="false">In_PPA_Price*(1+In_PPA_Esc)^(EC$7-YEAR(In_COD))</f>
        <v>117.738799030537</v>
      </c>
      <c r="ED74" s="33" t="n">
        <f aca="false">In_PPA_Price*(1+In_PPA_Esc)^(ED$7-YEAR(In_COD))</f>
        <v>117.738799030537</v>
      </c>
      <c r="EE74" s="33" t="n">
        <f aca="false">In_PPA_Price*(1+In_PPA_Esc)^(EE$7-YEAR(In_COD))</f>
        <v>118.916187020843</v>
      </c>
      <c r="EF74" s="33" t="n">
        <f aca="false">In_PPA_Price*(1+In_PPA_Esc)^(EF$7-YEAR(In_COD))</f>
        <v>118.916187020843</v>
      </c>
      <c r="EG74" s="33" t="n">
        <f aca="false">In_PPA_Price*(1+In_PPA_Esc)^(EG$7-YEAR(In_COD))</f>
        <v>118.916187020843</v>
      </c>
      <c r="EH74" s="33" t="n">
        <f aca="false">In_PPA_Price*(1+In_PPA_Esc)^(EH$7-YEAR(In_COD))</f>
        <v>118.916187020843</v>
      </c>
      <c r="EI74" s="33" t="n">
        <f aca="false">In_PPA_Price*(1+In_PPA_Esc)^(EI$7-YEAR(In_COD))</f>
        <v>120.105348891051</v>
      </c>
      <c r="EJ74" s="33" t="n">
        <f aca="false">In_PPA_Price*(1+In_PPA_Esc)^(EJ$7-YEAR(In_COD))</f>
        <v>120.105348891051</v>
      </c>
      <c r="EK74" s="33" t="n">
        <f aca="false">In_PPA_Price*(1+In_PPA_Esc)^(EK$7-YEAR(In_COD))</f>
        <v>120.105348891051</v>
      </c>
      <c r="EL74" s="33" t="n">
        <f aca="false">In_PPA_Price*(1+In_PPA_Esc)^(EL$7-YEAR(In_COD))</f>
        <v>120.105348891051</v>
      </c>
      <c r="EM74" s="33" t="n">
        <f aca="false">In_PPA_Price*(1+In_PPA_Esc)^(EM$7-YEAR(In_COD))</f>
        <v>121.306402379962</v>
      </c>
      <c r="EN74" s="33" t="n">
        <f aca="false">In_PPA_Price*(1+In_PPA_Esc)^(EN$7-YEAR(In_COD))</f>
        <v>121.306402379962</v>
      </c>
      <c r="EO74" s="33" t="n">
        <f aca="false">In_PPA_Price*(1+In_PPA_Esc)^(EO$7-YEAR(In_COD))</f>
        <v>121.306402379962</v>
      </c>
    </row>
    <row r="75" customFormat="false" ht="15" hidden="false" customHeight="false" outlineLevel="0" collapsed="false">
      <c r="C75" s="1" t="s">
        <v>468</v>
      </c>
      <c r="D75" s="12" t="s">
        <v>70</v>
      </c>
      <c r="E75" s="49" t="n">
        <f aca="false">SUMIF($J$7:$EO$7,YEAR(In_COD)+1,$J75:$EO75)</f>
        <v>139397.5128</v>
      </c>
      <c r="I75" s="49" t="n">
        <f aca="false">SUM(J75:EO75)</f>
        <v>4010958.36031905</v>
      </c>
      <c r="J75" s="49" t="n">
        <f aca="false">$F25*In_P50_Hours*(1-In_Curtailment)*(1-$E29)*(1-In_Degradation)^(J21-1)*J16*J$6</f>
        <v>0</v>
      </c>
      <c r="K75" s="49" t="n">
        <f aca="false">$F25*In_P50_Hours*(1-In_Curtailment)*(1-$E29)*(1-In_Degradation)^(K21-1)*K16*K$6</f>
        <v>0</v>
      </c>
      <c r="L75" s="49" t="n">
        <f aca="false">$F25*In_P50_Hours*(1-In_Curtailment)*(1-$E29)*(1-In_Degradation)^(L21-1)*L16*L$6</f>
        <v>0</v>
      </c>
      <c r="M75" s="49" t="n">
        <f aca="false">$F25*In_P50_Hours*(1-In_Curtailment)*(1-$E29)*(1-In_Degradation)^(M21-1)*M16*M$6</f>
        <v>0</v>
      </c>
      <c r="N75" s="49" t="n">
        <f aca="false">$F25*In_P50_Hours*(1-In_Curtailment)*(1-$E29)*(1-In_Degradation)^(N21-1)*N16*N$6</f>
        <v>0</v>
      </c>
      <c r="O75" s="49" t="n">
        <f aca="false">$F25*In_P50_Hours*(1-In_Curtailment)*(1-$E29)*(1-In_Degradation)^(O21-1)*O16*O$6</f>
        <v>0</v>
      </c>
      <c r="P75" s="49" t="n">
        <f aca="false">$F25*In_P50_Hours*(1-In_Curtailment)*(1-$E29)*(1-In_Degradation)^(P21-1)*P16*P$6</f>
        <v>0</v>
      </c>
      <c r="Q75" s="49" t="n">
        <f aca="false">$F25*In_P50_Hours*(1-In_Curtailment)*(1-$E29)*(1-In_Degradation)^(Q21-1)*Q16*Q$6</f>
        <v>0</v>
      </c>
      <c r="R75" s="49" t="n">
        <f aca="false">$F25*In_P50_Hours*(1-In_Curtailment)*(1-$E29)*(1-In_Degradation)^(R21-1)*R16*R$6</f>
        <v>0</v>
      </c>
      <c r="S75" s="49" t="n">
        <f aca="false">$F25*In_P50_Hours*(1-In_Curtailment)*(1-$E29)*(1-In_Degradation)^(S21-1)*S16*S$6</f>
        <v>0</v>
      </c>
      <c r="T75" s="49" t="n">
        <f aca="false">$F25*In_P50_Hours*(1-In_Curtailment)*(1-$E29)*(1-In_Degradation)^(T21-1)*T16*T$6</f>
        <v>0</v>
      </c>
      <c r="U75" s="49" t="n">
        <f aca="false">$F25*In_P50_Hours*(1-In_Curtailment)*(1-$E29)*(1-In_Degradation)^(U21-1)*U16*U$6</f>
        <v>0</v>
      </c>
      <c r="V75" s="49" t="n">
        <f aca="false">$F25*In_P50_Hours*(1-In_Curtailment)*(1-$E29)*(1-In_Degradation)^(V21-1)*V16*V$6</f>
        <v>0</v>
      </c>
      <c r="W75" s="49" t="n">
        <f aca="false">$F25*In_P50_Hours*(1-In_Curtailment)*(1-$E29)*(1-In_Degradation)^(W21-1)*W16*W$6</f>
        <v>0</v>
      </c>
      <c r="X75" s="49" t="n">
        <f aca="false">$F25*In_P50_Hours*(1-In_Curtailment)*(1-$E29)*(1-In_Degradation)^(X21-1)*X16*X$6</f>
        <v>0</v>
      </c>
      <c r="Y75" s="49" t="n">
        <f aca="false">$F25*In_P50_Hours*(1-In_Curtailment)*(1-$E29)*(1-In_Degradation)^(Y21-1)*Y16*Y$6</f>
        <v>0</v>
      </c>
      <c r="Z75" s="49" t="n">
        <f aca="false">$F25*In_P50_Hours*(1-In_Curtailment)*(1-$E29)*(1-In_Degradation)^(Z21-1)*Z16*Z$6</f>
        <v>35162.4</v>
      </c>
      <c r="AA75" s="49" t="n">
        <f aca="false">$F25*In_P50_Hours*(1-In_Curtailment)*(1-$E29)*(1-In_Degradation)^(AA21-1)*AA16*AA$6</f>
        <v>34398</v>
      </c>
      <c r="AB75" s="49" t="n">
        <f aca="false">$F25*In_P50_Hours*(1-In_Curtailment)*(1-$E29)*(1-In_Degradation)^(AB21-1)*AB16*AB$6</f>
        <v>34780.2</v>
      </c>
      <c r="AC75" s="49" t="n">
        <f aca="false">$F25*In_P50_Hours*(1-In_Curtailment)*(1-$E29)*(1-In_Degradation)^(AC21-1)*AC16*AC$6</f>
        <v>35162.4</v>
      </c>
      <c r="AD75" s="49" t="n">
        <f aca="false">$F25*In_P50_Hours*(1-In_Curtailment)*(1-$E29)*(1-In_Degradation)^(AD21-1)*AD16*AD$6</f>
        <v>35056.9128</v>
      </c>
      <c r="AE75" s="49" t="n">
        <f aca="false">$F25*In_P50_Hours*(1-In_Curtailment)*(1-$E29)*(1-In_Degradation)^(AE21-1)*AE16*AE$6</f>
        <v>34675.8594</v>
      </c>
      <c r="AF75" s="49" t="n">
        <f aca="false">$F25*In_P50_Hours*(1-In_Curtailment)*(1-$E29)*(1-In_Degradation)^(AF21-1)*AF16*AF$6</f>
        <v>34675.8594</v>
      </c>
      <c r="AG75" s="49" t="n">
        <f aca="false">$F25*In_P50_Hours*(1-In_Curtailment)*(1-$E29)*(1-In_Degradation)^(AG21-1)*AG16*AG$6</f>
        <v>35056.9128</v>
      </c>
      <c r="AH75" s="49" t="n">
        <f aca="false">$F25*In_P50_Hours*(1-In_Curtailment)*(1-$E29)*(1-In_Degradation)^(AH21-1)*AH16*AH$6</f>
        <v>34951.7420616</v>
      </c>
      <c r="AI75" s="49" t="n">
        <f aca="false">$F25*In_P50_Hours*(1-In_Curtailment)*(1-$E29)*(1-In_Degradation)^(AI21-1)*AI16*AI$6</f>
        <v>34191.921582</v>
      </c>
      <c r="AJ75" s="49" t="n">
        <f aca="false">$F25*In_P50_Hours*(1-In_Curtailment)*(1-$E29)*(1-In_Degradation)^(AJ21-1)*AJ16*AJ$6</f>
        <v>34571.8318218</v>
      </c>
      <c r="AK75" s="49" t="n">
        <f aca="false">$F25*In_P50_Hours*(1-In_Curtailment)*(1-$E29)*(1-In_Degradation)^(AK21-1)*AK16*AK$6</f>
        <v>34951.7420616</v>
      </c>
      <c r="AL75" s="49" t="n">
        <f aca="false">$F25*In_P50_Hours*(1-In_Curtailment)*(1-$E29)*(1-In_Degradation)^(AL21-1)*AL16*AL$6</f>
        <v>34846.8868354152</v>
      </c>
      <c r="AM75" s="49" t="n">
        <f aca="false">$F25*In_P50_Hours*(1-In_Curtailment)*(1-$E29)*(1-In_Degradation)^(AM21-1)*AM16*AM$6</f>
        <v>34089.345817254</v>
      </c>
      <c r="AN75" s="49" t="n">
        <f aca="false">$F25*In_P50_Hours*(1-In_Curtailment)*(1-$E29)*(1-In_Degradation)^(AN21-1)*AN16*AN$6</f>
        <v>34468.1163263346</v>
      </c>
      <c r="AO75" s="49" t="n">
        <f aca="false">$F25*In_P50_Hours*(1-In_Curtailment)*(1-$E29)*(1-In_Degradation)^(AO21-1)*AO16*AO$6</f>
        <v>34846.8868354152</v>
      </c>
      <c r="AP75" s="49" t="n">
        <f aca="false">$F25*In_P50_Hours*(1-In_Curtailment)*(1-$E29)*(1-In_Degradation)^(AP21-1)*AP16*AP$6</f>
        <v>34742.346174909</v>
      </c>
      <c r="AQ75" s="49" t="n">
        <f aca="false">$F25*In_P50_Hours*(1-In_Curtailment)*(1-$E29)*(1-In_Degradation)^(AQ21-1)*AQ16*AQ$6</f>
        <v>33987.0777798023</v>
      </c>
      <c r="AR75" s="49" t="n">
        <f aca="false">$F25*In_P50_Hours*(1-In_Curtailment)*(1-$E29)*(1-In_Degradation)^(AR21-1)*AR16*AR$6</f>
        <v>34364.7119773556</v>
      </c>
      <c r="AS75" s="49" t="n">
        <f aca="false">$F25*In_P50_Hours*(1-In_Curtailment)*(1-$E29)*(1-In_Degradation)^(AS21-1)*AS16*AS$6</f>
        <v>34742.346174909</v>
      </c>
      <c r="AT75" s="49" t="n">
        <f aca="false">$F25*In_P50_Hours*(1-In_Curtailment)*(1-$E29)*(1-In_Degradation)^(AT21-1)*AT16*AT$6</f>
        <v>34638.1191363842</v>
      </c>
      <c r="AU75" s="49" t="n">
        <f aca="false">$F25*In_P50_Hours*(1-In_Curtailment)*(1-$E29)*(1-In_Degradation)^(AU21-1)*AU16*AU$6</f>
        <v>34261.6178414235</v>
      </c>
      <c r="AV75" s="49" t="n">
        <f aca="false">$F25*In_P50_Hours*(1-In_Curtailment)*(1-$E29)*(1-In_Degradation)^(AV21-1)*AV16*AV$6</f>
        <v>34261.6178414235</v>
      </c>
      <c r="AW75" s="49" t="n">
        <f aca="false">$F25*In_P50_Hours*(1-In_Curtailment)*(1-$E29)*(1-In_Degradation)^(AW21-1)*AW16*AW$6</f>
        <v>34638.1191363842</v>
      </c>
      <c r="AX75" s="49" t="n">
        <f aca="false">$F25*In_P50_Hours*(1-In_Curtailment)*(1-$E29)*(1-In_Degradation)^(AX21-1)*AX16*AX$6</f>
        <v>34534.2047789751</v>
      </c>
      <c r="AY75" s="49" t="n">
        <f aca="false">$F25*In_P50_Hours*(1-In_Curtailment)*(1-$E29)*(1-In_Degradation)^(AY21-1)*AY16*AY$6</f>
        <v>33783.4611968235</v>
      </c>
      <c r="AZ75" s="49" t="n">
        <f aca="false">$F25*In_P50_Hours*(1-In_Curtailment)*(1-$E29)*(1-In_Degradation)^(AZ21-1)*AZ16*AZ$6</f>
        <v>34158.8329878993</v>
      </c>
      <c r="BA75" s="49" t="n">
        <f aca="false">$F25*In_P50_Hours*(1-In_Curtailment)*(1-$E29)*(1-In_Degradation)^(BA21-1)*BA16*BA$6</f>
        <v>34534.2047789751</v>
      </c>
      <c r="BB75" s="49" t="n">
        <f aca="false">$F25*In_P50_Hours*(1-In_Curtailment)*(1-$E29)*(1-In_Degradation)^(BB21-1)*BB16*BB$6</f>
        <v>34430.6021646382</v>
      </c>
      <c r="BC75" s="49" t="n">
        <f aca="false">$F25*In_P50_Hours*(1-In_Curtailment)*(1-$E29)*(1-In_Degradation)^(BC21-1)*BC16*BC$6</f>
        <v>33682.110813233</v>
      </c>
      <c r="BD75" s="49" t="n">
        <f aca="false">$F25*In_P50_Hours*(1-In_Curtailment)*(1-$E29)*(1-In_Degradation)^(BD21-1)*BD16*BD$6</f>
        <v>34056.3564889356</v>
      </c>
      <c r="BE75" s="49" t="n">
        <f aca="false">$F25*In_P50_Hours*(1-In_Curtailment)*(1-$E29)*(1-In_Degradation)^(BE21-1)*BE16*BE$6</f>
        <v>34430.6021646382</v>
      </c>
      <c r="BF75" s="49" t="n">
        <f aca="false">$F25*In_P50_Hours*(1-In_Curtailment)*(1-$E29)*(1-In_Degradation)^(BF21-1)*BF16*BF$6</f>
        <v>34327.3103581443</v>
      </c>
      <c r="BG75" s="49" t="n">
        <f aca="false">$F25*In_P50_Hours*(1-In_Curtailment)*(1-$E29)*(1-In_Degradation)^(BG21-1)*BG16*BG$6</f>
        <v>33581.0644807933</v>
      </c>
      <c r="BH75" s="49" t="n">
        <f aca="false">$F25*In_P50_Hours*(1-In_Curtailment)*(1-$E29)*(1-In_Degradation)^(BH21-1)*BH16*BH$6</f>
        <v>33954.1874194688</v>
      </c>
      <c r="BI75" s="49" t="n">
        <f aca="false">$F25*In_P50_Hours*(1-In_Curtailment)*(1-$E29)*(1-In_Degradation)^(BI21-1)*BI16*BI$6</f>
        <v>34327.3103581443</v>
      </c>
      <c r="BJ75" s="49" t="n">
        <f aca="false">$F25*In_P50_Hours*(1-In_Curtailment)*(1-$E29)*(1-In_Degradation)^(BJ21-1)*BJ16*BJ$6</f>
        <v>34224.3284270698</v>
      </c>
      <c r="BK75" s="49" t="n">
        <f aca="false">$F25*In_P50_Hours*(1-In_Curtailment)*(1-$E29)*(1-In_Degradation)^(BK21-1)*BK16*BK$6</f>
        <v>33852.3248572104</v>
      </c>
      <c r="BL75" s="49" t="n">
        <f aca="false">$F25*In_P50_Hours*(1-In_Curtailment)*(1-$E29)*(1-In_Degradation)^(BL21-1)*BL16*BL$6</f>
        <v>33852.3248572104</v>
      </c>
      <c r="BM75" s="49" t="n">
        <f aca="false">$F25*In_P50_Hours*(1-In_Curtailment)*(1-$E29)*(1-In_Degradation)^(BM21-1)*BM16*BM$6</f>
        <v>34224.3284270698</v>
      </c>
      <c r="BN75" s="49" t="n">
        <f aca="false">$F25*In_P50_Hours*(1-In_Curtailment)*(1-$E29)*(1-In_Degradation)^(BN21-1)*BN16*BN$6</f>
        <v>34121.6554417886</v>
      </c>
      <c r="BO75" s="49" t="n">
        <f aca="false">$F25*In_P50_Hours*(1-In_Curtailment)*(1-$E29)*(1-In_Degradation)^(BO21-1)*BO16*BO$6</f>
        <v>33379.8803234888</v>
      </c>
      <c r="BP75" s="49" t="n">
        <f aca="false">$F25*In_P50_Hours*(1-In_Curtailment)*(1-$E29)*(1-In_Degradation)^(BP21-1)*BP16*BP$6</f>
        <v>33750.7678826387</v>
      </c>
      <c r="BQ75" s="49" t="n">
        <f aca="false">$F25*In_P50_Hours*(1-In_Curtailment)*(1-$E29)*(1-In_Degradation)^(BQ21-1)*BQ16*BQ$6</f>
        <v>34121.6554417886</v>
      </c>
      <c r="BR75" s="49" t="n">
        <f aca="false">$F25*In_P50_Hours*(1-In_Curtailment)*(1-$E29)*(1-In_Degradation)^(BR21-1)*BR16*BR$6</f>
        <v>34019.2904754632</v>
      </c>
      <c r="BS75" s="49" t="n">
        <f aca="false">$F25*In_P50_Hours*(1-In_Curtailment)*(1-$E29)*(1-In_Degradation)^(BS21-1)*BS16*BS$6</f>
        <v>33279.7406825184</v>
      </c>
      <c r="BT75" s="49" t="n">
        <f aca="false">$F25*In_P50_Hours*(1-In_Curtailment)*(1-$E29)*(1-In_Degradation)^(BT21-1)*BT16*BT$6</f>
        <v>33649.5155789908</v>
      </c>
      <c r="BU75" s="49" t="n">
        <f aca="false">$F25*In_P50_Hours*(1-In_Curtailment)*(1-$E29)*(1-In_Degradation)^(BU21-1)*BU16*BU$6</f>
        <v>34019.2904754632</v>
      </c>
      <c r="BV75" s="49" t="n">
        <f aca="false">$F25*In_P50_Hours*(1-In_Curtailment)*(1-$E29)*(1-In_Degradation)^(BV21-1)*BV16*BV$6</f>
        <v>33917.2326040368</v>
      </c>
      <c r="BW75" s="49" t="n">
        <f aca="false">$F25*In_P50_Hours*(1-In_Curtailment)*(1-$E29)*(1-In_Degradation)^(BW21-1)*BW16*BW$6</f>
        <v>33179.9014604708</v>
      </c>
      <c r="BX75" s="49" t="n">
        <f aca="false">$F25*In_P50_Hours*(1-In_Curtailment)*(1-$E29)*(1-In_Degradation)^(BX21-1)*BX16*BX$6</f>
        <v>33548.5670322538</v>
      </c>
      <c r="BY75" s="49" t="n">
        <f aca="false">$F25*In_P50_Hours*(1-In_Curtailment)*(1-$E29)*(1-In_Degradation)^(BY21-1)*BY16*BY$6</f>
        <v>33917.2326040368</v>
      </c>
      <c r="BZ75" s="49" t="n">
        <f aca="false">$F25*In_P50_Hours*(1-In_Curtailment)*(1-$E29)*(1-In_Degradation)^(BZ21-1)*BZ16*BZ$6</f>
        <v>33815.4809062247</v>
      </c>
      <c r="CA75" s="49" t="n">
        <f aca="false">$F25*In_P50_Hours*(1-In_Curtailment)*(1-$E29)*(1-In_Degradation)^(CA21-1)*CA16*CA$6</f>
        <v>33447.9213311571</v>
      </c>
      <c r="CB75" s="49" t="n">
        <f aca="false">$F25*In_P50_Hours*(1-In_Curtailment)*(1-$E29)*(1-In_Degradation)^(CB21-1)*CB16*CB$6</f>
        <v>33447.9213311571</v>
      </c>
      <c r="CC75" s="49" t="n">
        <f aca="false">$F25*In_P50_Hours*(1-In_Curtailment)*(1-$E29)*(1-In_Degradation)^(CC21-1)*CC16*CC$6</f>
        <v>33815.4809062247</v>
      </c>
      <c r="CD75" s="49" t="n">
        <f aca="false">$F25*In_P50_Hours*(1-In_Curtailment)*(1-$E29)*(1-In_Degradation)^(CD21-1)*CD16*CD$6</f>
        <v>33714.0344635061</v>
      </c>
      <c r="CE75" s="49" t="n">
        <f aca="false">$F25*In_P50_Hours*(1-In_Curtailment)*(1-$E29)*(1-In_Degradation)^(CE21-1)*CE16*CE$6</f>
        <v>32981.1206708211</v>
      </c>
      <c r="CF75" s="49" t="n">
        <f aca="false">$F25*In_P50_Hours*(1-In_Curtailment)*(1-$E29)*(1-In_Degradation)^(CF21-1)*CF16*CF$6</f>
        <v>33347.5775671636</v>
      </c>
      <c r="CG75" s="49" t="n">
        <f aca="false">$F25*In_P50_Hours*(1-In_Curtailment)*(1-$E29)*(1-In_Degradation)^(CG21-1)*CG16*CG$6</f>
        <v>33714.0344635061</v>
      </c>
      <c r="CH75" s="49" t="n">
        <f aca="false">$F25*In_P50_Hours*(1-In_Curtailment)*(1-$E29)*(1-In_Degradation)^(CH21-1)*CH16*CH$6</f>
        <v>33612.8923601155</v>
      </c>
      <c r="CI75" s="49" t="n">
        <f aca="false">$F25*In_P50_Hours*(1-In_Curtailment)*(1-$E29)*(1-In_Degradation)^(CI21-1)*CI16*CI$6</f>
        <v>32882.1773088087</v>
      </c>
      <c r="CJ75" s="49" t="n">
        <f aca="false">$F25*In_P50_Hours*(1-In_Curtailment)*(1-$E29)*(1-In_Degradation)^(CJ21-1)*CJ16*CJ$6</f>
        <v>33247.5348344621</v>
      </c>
      <c r="CK75" s="49" t="n">
        <f aca="false">$F25*In_P50_Hours*(1-In_Curtailment)*(1-$E29)*(1-In_Degradation)^(CK21-1)*CK16*CK$6</f>
        <v>33612.8923601155</v>
      </c>
      <c r="CL75" s="49" t="n">
        <f aca="false">$F25*In_P50_Hours*(1-In_Curtailment)*(1-$E29)*(1-In_Degradation)^(CL21-1)*CL16*CL$6</f>
        <v>33512.0536830352</v>
      </c>
      <c r="CM75" s="49" t="n">
        <f aca="false">$F25*In_P50_Hours*(1-In_Curtailment)*(1-$E29)*(1-In_Degradation)^(CM21-1)*CM16*CM$6</f>
        <v>32783.5307768823</v>
      </c>
      <c r="CN75" s="49" t="n">
        <f aca="false">$F25*In_P50_Hours*(1-In_Curtailment)*(1-$E29)*(1-In_Degradation)^(CN21-1)*CN16*CN$6</f>
        <v>33147.7922299587</v>
      </c>
      <c r="CO75" s="49" t="n">
        <f aca="false">$F25*In_P50_Hours*(1-In_Curtailment)*(1-$E29)*(1-In_Degradation)^(CO21-1)*CO16*CO$6</f>
        <v>33512.0536830352</v>
      </c>
      <c r="CP75" s="49" t="n">
        <f aca="false">$F25*In_P50_Hours*(1-In_Curtailment)*(1-$E29)*(1-In_Degradation)^(CP21-1)*CP16*CP$6</f>
        <v>33411.5175219861</v>
      </c>
      <c r="CQ75" s="49" t="n">
        <f aca="false">$F25*In_P50_Hours*(1-In_Curtailment)*(1-$E29)*(1-In_Degradation)^(CQ21-1)*CQ16*CQ$6</f>
        <v>33048.3488532689</v>
      </c>
      <c r="CR75" s="49" t="n">
        <f aca="false">$F25*In_P50_Hours*(1-In_Curtailment)*(1-$E29)*(1-In_Degradation)^(CR21-1)*CR16*CR$6</f>
        <v>33048.3488532689</v>
      </c>
      <c r="CS75" s="49" t="n">
        <f aca="false">$F25*In_P50_Hours*(1-In_Curtailment)*(1-$E29)*(1-In_Degradation)^(CS21-1)*CS16*CS$6</f>
        <v>33411.5175219861</v>
      </c>
      <c r="CT75" s="49" t="n">
        <f aca="false">$F25*In_P50_Hours*(1-In_Curtailment)*(1-$E29)*(1-In_Degradation)^(CT21-1)*CT16*CT$6</f>
        <v>33311.2829694201</v>
      </c>
      <c r="CU75" s="49" t="n">
        <f aca="false">$F25*In_P50_Hours*(1-In_Curtailment)*(1-$E29)*(1-In_Degradation)^(CU21-1)*CU16*CU$6</f>
        <v>32587.124643998</v>
      </c>
      <c r="CV75" s="49" t="n">
        <f aca="false">$F25*In_P50_Hours*(1-In_Curtailment)*(1-$E29)*(1-In_Degradation)^(CV21-1)*CV16*CV$6</f>
        <v>32949.2038067091</v>
      </c>
      <c r="CW75" s="49" t="n">
        <f aca="false">$F25*In_P50_Hours*(1-In_Curtailment)*(1-$E29)*(1-In_Degradation)^(CW21-1)*CW16*CW$6</f>
        <v>33311.2829694201</v>
      </c>
      <c r="CX75" s="49" t="n">
        <f aca="false">$F25*In_P50_Hours*(1-In_Curtailment)*(1-$E29)*(1-In_Degradation)^(CX21-1)*CX16*CX$6</f>
        <v>33211.3491205119</v>
      </c>
      <c r="CY75" s="49" t="n">
        <f aca="false">$F25*In_P50_Hours*(1-In_Curtailment)*(1-$E29)*(1-In_Degradation)^(CY21-1)*CY16*CY$6</f>
        <v>32489.363270066</v>
      </c>
      <c r="CZ75" s="49" t="n">
        <f aca="false">$F25*In_P50_Hours*(1-In_Curtailment)*(1-$E29)*(1-In_Degradation)^(CZ21-1)*CZ16*CZ$6</f>
        <v>32850.3561952889</v>
      </c>
      <c r="DA75" s="49" t="n">
        <f aca="false">$F25*In_P50_Hours*(1-In_Curtailment)*(1-$E29)*(1-In_Degradation)^(DA21-1)*DA16*DA$6</f>
        <v>33211.3491205119</v>
      </c>
      <c r="DB75" s="49" t="n">
        <f aca="false">$F25*In_P50_Hours*(1-In_Curtailment)*(1-$E29)*(1-In_Degradation)^(DB21-1)*DB16*DB$6</f>
        <v>33111.7150731503</v>
      </c>
      <c r="DC75" s="49" t="n">
        <f aca="false">$F25*In_P50_Hours*(1-In_Curtailment)*(1-$E29)*(1-In_Degradation)^(DC21-1)*DC16*DC$6</f>
        <v>32391.8951802558</v>
      </c>
      <c r="DD75" s="49" t="n">
        <f aca="false">$F25*In_P50_Hours*(1-In_Curtailment)*(1-$E29)*(1-In_Degradation)^(DD21-1)*DD16*DD$6</f>
        <v>32751.8051267031</v>
      </c>
      <c r="DE75" s="49" t="n">
        <f aca="false">$F25*In_P50_Hours*(1-In_Curtailment)*(1-$E29)*(1-In_Degradation)^(DE21-1)*DE16*DE$6</f>
        <v>33111.7150731503</v>
      </c>
      <c r="DF75" s="49" t="n">
        <f aca="false">$F25*In_P50_Hours*(1-In_Curtailment)*(1-$E29)*(1-In_Degradation)^(DF21-1)*DF16*DF$6</f>
        <v>33012.3799279309</v>
      </c>
      <c r="DG75" s="49" t="n">
        <f aca="false">$F25*In_P50_Hours*(1-In_Curtailment)*(1-$E29)*(1-In_Degradation)^(DG21-1)*DG16*DG$6</f>
        <v>32653.5497113229</v>
      </c>
      <c r="DH75" s="49" t="n">
        <f aca="false">$F25*In_P50_Hours*(1-In_Curtailment)*(1-$E29)*(1-In_Degradation)^(DH21-1)*DH16*DH$6</f>
        <v>32653.5497113229</v>
      </c>
      <c r="DI75" s="49" t="n">
        <f aca="false">$F25*In_P50_Hours*(1-In_Curtailment)*(1-$E29)*(1-In_Degradation)^(DI21-1)*DI16*DI$6</f>
        <v>33012.3799279309</v>
      </c>
      <c r="DJ75" s="49" t="n">
        <f aca="false">$F25*In_P50_Hours*(1-In_Curtailment)*(1-$E29)*(1-In_Degradation)^(DJ21-1)*DJ16*DJ$6</f>
        <v>32913.3427881471</v>
      </c>
      <c r="DK75" s="49" t="n">
        <f aca="false">$F25*In_P50_Hours*(1-In_Curtailment)*(1-$E29)*(1-In_Degradation)^(DK21-1)*DK16*DK$6</f>
        <v>32197.8353362308</v>
      </c>
      <c r="DL75" s="49" t="n">
        <f aca="false">$F25*In_P50_Hours*(1-In_Curtailment)*(1-$E29)*(1-In_Degradation)^(DL21-1)*DL16*DL$6</f>
        <v>32555.589062189</v>
      </c>
      <c r="DM75" s="49" t="n">
        <f aca="false">$F25*In_P50_Hours*(1-In_Curtailment)*(1-$E29)*(1-In_Degradation)^(DM21-1)*DM16*DM$6</f>
        <v>32913.3427881471</v>
      </c>
      <c r="DN75" s="49" t="n">
        <f aca="false">$F25*In_P50_Hours*(1-In_Curtailment)*(1-$E29)*(1-In_Degradation)^(DN21-1)*DN16*DN$6</f>
        <v>32814.6027597827</v>
      </c>
      <c r="DO75" s="49" t="n">
        <f aca="false">$F25*In_P50_Hours*(1-In_Curtailment)*(1-$E29)*(1-In_Degradation)^(DO21-1)*DO16*DO$6</f>
        <v>32101.2418302222</v>
      </c>
      <c r="DP75" s="49" t="n">
        <f aca="false">$F25*In_P50_Hours*(1-In_Curtailment)*(1-$E29)*(1-In_Degradation)^(DP21-1)*DP16*DP$6</f>
        <v>32457.9222950024</v>
      </c>
      <c r="DQ75" s="49" t="n">
        <f aca="false">$F25*In_P50_Hours*(1-In_Curtailment)*(1-$E29)*(1-In_Degradation)^(DQ21-1)*DQ16*DQ$6</f>
        <v>32814.6027597827</v>
      </c>
      <c r="DR75" s="49" t="n">
        <f aca="false">$F25*In_P50_Hours*(1-In_Curtailment)*(1-$E29)*(1-In_Degradation)^(DR21-1)*DR16*DR$6</f>
        <v>32716.1589515033</v>
      </c>
      <c r="DS75" s="49" t="n">
        <f aca="false">$F25*In_P50_Hours*(1-In_Curtailment)*(1-$E29)*(1-In_Degradation)^(DS21-1)*DS16*DS$6</f>
        <v>32004.9381047315</v>
      </c>
      <c r="DT75" s="49" t="n">
        <f aca="false">$F25*In_P50_Hours*(1-In_Curtailment)*(1-$E29)*(1-In_Degradation)^(DT21-1)*DT16*DT$6</f>
        <v>32360.5485281174</v>
      </c>
      <c r="DU75" s="49" t="n">
        <f aca="false">$F25*In_P50_Hours*(1-In_Curtailment)*(1-$E29)*(1-In_Degradation)^(DU21-1)*DU16*DU$6</f>
        <v>32716.1589515033</v>
      </c>
      <c r="DV75" s="49" t="n">
        <f aca="false">$F25*In_P50_Hours*(1-In_Curtailment)*(1-$E29)*(1-In_Degradation)^(DV21-1)*DV16*DV$6</f>
        <v>32618.0104746488</v>
      </c>
      <c r="DW75" s="49" t="n">
        <f aca="false">$F25*In_P50_Hours*(1-In_Curtailment)*(1-$E29)*(1-In_Degradation)^(DW21-1)*DW16*DW$6</f>
        <v>32263.466882533</v>
      </c>
      <c r="DX75" s="49" t="n">
        <f aca="false">$F25*In_P50_Hours*(1-In_Curtailment)*(1-$E29)*(1-In_Degradation)^(DX21-1)*DX16*DX$6</f>
        <v>32263.466882533</v>
      </c>
      <c r="DY75" s="49" t="n">
        <f aca="false">$F25*In_P50_Hours*(1-In_Curtailment)*(1-$E29)*(1-In_Degradation)^(DY21-1)*DY16*DY$6</f>
        <v>32618.0104746488</v>
      </c>
      <c r="DZ75" s="49" t="n">
        <f aca="false">$F25*In_P50_Hours*(1-In_Curtailment)*(1-$E29)*(1-In_Degradation)^(DZ21-1)*DZ16*DZ$6</f>
        <v>32520.1564432249</v>
      </c>
      <c r="EA75" s="49" t="n">
        <f aca="false">$F25*In_P50_Hours*(1-In_Curtailment)*(1-$E29)*(1-In_Degradation)^(EA21-1)*EA16*EA$6</f>
        <v>31813.196520546</v>
      </c>
      <c r="EB75" s="49" t="n">
        <f aca="false">$F25*In_P50_Hours*(1-In_Curtailment)*(1-$E29)*(1-In_Degradation)^(EB21-1)*EB16*EB$6</f>
        <v>32166.6764818854</v>
      </c>
      <c r="EC75" s="49" t="n">
        <f aca="false">$F25*In_P50_Hours*(1-In_Curtailment)*(1-$E29)*(1-In_Degradation)^(EC21-1)*EC16*EC$6</f>
        <v>32520.1564432249</v>
      </c>
      <c r="ED75" s="49" t="n">
        <f aca="false">$F25*In_P50_Hours*(1-In_Curtailment)*(1-$E29)*(1-In_Degradation)^(ED21-1)*ED16*ED$6</f>
        <v>32422.5959738952</v>
      </c>
      <c r="EE75" s="49" t="n">
        <f aca="false">$F25*In_P50_Hours*(1-In_Curtailment)*(1-$E29)*(1-In_Degradation)^(EE21-1)*EE16*EE$6</f>
        <v>31717.7569309844</v>
      </c>
      <c r="EF75" s="49" t="n">
        <f aca="false">$F25*In_P50_Hours*(1-In_Curtailment)*(1-$E29)*(1-In_Degradation)^(EF21-1)*EF16*EF$6</f>
        <v>32070.1764524398</v>
      </c>
      <c r="EG75" s="49" t="n">
        <f aca="false">$F25*In_P50_Hours*(1-In_Curtailment)*(1-$E29)*(1-In_Degradation)^(EG21-1)*EG16*EG$6</f>
        <v>32422.5959738952</v>
      </c>
      <c r="EH75" s="49" t="n">
        <f aca="false">$F25*In_P50_Hours*(1-In_Curtailment)*(1-$E29)*(1-In_Degradation)^(EH21-1)*EH16*EH$6</f>
        <v>32325.3281859735</v>
      </c>
      <c r="EI75" s="49" t="n">
        <f aca="false">$F25*In_P50_Hours*(1-In_Curtailment)*(1-$E29)*(1-In_Degradation)^(EI21-1)*EI16*EI$6</f>
        <v>31622.6036601915</v>
      </c>
      <c r="EJ75" s="49" t="n">
        <f aca="false">$F25*In_P50_Hours*(1-In_Curtailment)*(1-$E29)*(1-In_Degradation)^(EJ21-1)*EJ16*EJ$6</f>
        <v>31973.9659230825</v>
      </c>
      <c r="EK75" s="49" t="n">
        <f aca="false">$F25*In_P50_Hours*(1-In_Curtailment)*(1-$E29)*(1-In_Degradation)^(EK21-1)*EK16*EK$6</f>
        <v>32325.3281859735</v>
      </c>
      <c r="EL75" s="49" t="n">
        <f aca="false">$F25*In_P50_Hours*(1-In_Curtailment)*(1-$E29)*(1-In_Degradation)^(EL21-1)*EL16*EL$6</f>
        <v>32228.3522014156</v>
      </c>
      <c r="EM75" s="49" t="n">
        <f aca="false">$F25*In_P50_Hours*(1-In_Curtailment)*(1-$E29)*(1-In_Degradation)^(EM21-1)*EM16*EM$6</f>
        <v>31878.0440253132</v>
      </c>
      <c r="EN75" s="49" t="n">
        <f aca="false">$F25*In_P50_Hours*(1-In_Curtailment)*(1-$E29)*(1-In_Degradation)^(EN21-1)*EN16*EN$6</f>
        <v>31878.0440253132</v>
      </c>
      <c r="EO75" s="49" t="n">
        <f aca="false">$F25*In_P50_Hours*(1-In_Curtailment)*(1-$E29)*(1-In_Degradation)^(EO21-1)*EO16*EO$6</f>
        <v>32228.3522014156</v>
      </c>
    </row>
    <row r="76" customFormat="false" ht="15" hidden="false" customHeight="false" outlineLevel="0" collapsed="false">
      <c r="C76" s="1" t="s">
        <v>469</v>
      </c>
      <c r="D76" s="12" t="s">
        <v>33</v>
      </c>
      <c r="E76" s="49" t="n">
        <f aca="false">SUMIF($J$7:$EO$7,YEAR(In_COD)+1,$J76:$EO76)</f>
        <v>12671.23391352</v>
      </c>
      <c r="I76" s="49" t="n">
        <f aca="false">SUM(J76:EO76)</f>
        <v>420752.711777652</v>
      </c>
      <c r="J76" s="49" t="n">
        <f aca="false">J75*J74/Thousand</f>
        <v>0</v>
      </c>
      <c r="K76" s="49" t="n">
        <f aca="false">K75*K74/Thousand</f>
        <v>0</v>
      </c>
      <c r="L76" s="49" t="n">
        <f aca="false">L75*L74/Thousand</f>
        <v>0</v>
      </c>
      <c r="M76" s="49" t="n">
        <f aca="false">M75*M74/Thousand</f>
        <v>0</v>
      </c>
      <c r="N76" s="49" t="n">
        <f aca="false">N75*N74/Thousand</f>
        <v>0</v>
      </c>
      <c r="O76" s="49" t="n">
        <f aca="false">O75*O74/Thousand</f>
        <v>0</v>
      </c>
      <c r="P76" s="49" t="n">
        <f aca="false">P75*P74/Thousand</f>
        <v>0</v>
      </c>
      <c r="Q76" s="49" t="n">
        <f aca="false">Q75*Q74/Thousand</f>
        <v>0</v>
      </c>
      <c r="R76" s="49" t="n">
        <f aca="false">R75*R74/Thousand</f>
        <v>0</v>
      </c>
      <c r="S76" s="49" t="n">
        <f aca="false">S75*S74/Thousand</f>
        <v>0</v>
      </c>
      <c r="T76" s="49" t="n">
        <f aca="false">T75*T74/Thousand</f>
        <v>0</v>
      </c>
      <c r="U76" s="49" t="n">
        <f aca="false">U75*U74/Thousand</f>
        <v>0</v>
      </c>
      <c r="V76" s="49" t="n">
        <f aca="false">V75*V74/Thousand</f>
        <v>0</v>
      </c>
      <c r="W76" s="49" t="n">
        <f aca="false">W75*W74/Thousand</f>
        <v>0</v>
      </c>
      <c r="X76" s="49" t="n">
        <f aca="false">X75*X74/Thousand</f>
        <v>0</v>
      </c>
      <c r="Y76" s="49" t="n">
        <f aca="false">Y75*Y74/Thousand</f>
        <v>0</v>
      </c>
      <c r="Z76" s="49" t="n">
        <f aca="false">Z75*Z74/Thousand</f>
        <v>3164.616</v>
      </c>
      <c r="AA76" s="49" t="n">
        <f aca="false">AA75*AA74/Thousand</f>
        <v>3126.7782</v>
      </c>
      <c r="AB76" s="49" t="n">
        <f aca="false">AB75*AB74/Thousand</f>
        <v>3161.52018</v>
      </c>
      <c r="AC76" s="49" t="n">
        <f aca="false">AC75*AC74/Thousand</f>
        <v>3196.26216</v>
      </c>
      <c r="AD76" s="49" t="n">
        <f aca="false">AD75*AD74/Thousand</f>
        <v>3186.67337352</v>
      </c>
      <c r="AE76" s="49" t="n">
        <f aca="false">AE75*AE74/Thousand</f>
        <v>3183.5559756546</v>
      </c>
      <c r="AF76" s="49" t="n">
        <f aca="false">AF75*AF74/Thousand</f>
        <v>3183.5559756546</v>
      </c>
      <c r="AG76" s="49" t="n">
        <f aca="false">AG75*AG74/Thousand</f>
        <v>3218.5401072552</v>
      </c>
      <c r="AH76" s="49" t="n">
        <f aca="false">AH75*AH74/Thousand</f>
        <v>3208.88448693344</v>
      </c>
      <c r="AI76" s="49" t="n">
        <f aca="false">AI75*AI74/Thousand</f>
        <v>3170.51738980706</v>
      </c>
      <c r="AJ76" s="49" t="n">
        <f aca="false">AJ75*AJ74/Thousand</f>
        <v>3205.74536080491</v>
      </c>
      <c r="AK76" s="49" t="n">
        <f aca="false">AK75*AK74/Thousand</f>
        <v>3240.97333180277</v>
      </c>
      <c r="AL76" s="49" t="n">
        <f aca="false">AL75*AL74/Thousand</f>
        <v>3231.25041180736</v>
      </c>
      <c r="AM76" s="49" t="n">
        <f aca="false">AM75*AM74/Thousand</f>
        <v>3192.61589601401</v>
      </c>
      <c r="AN76" s="49" t="n">
        <f aca="false">AN75*AN74/Thousand</f>
        <v>3228.08940596972</v>
      </c>
      <c r="AO76" s="49" t="n">
        <f aca="false">AO75*AO74/Thousand</f>
        <v>3263.56291592544</v>
      </c>
      <c r="AP76" s="49" t="n">
        <f aca="false">AP75*AP74/Thousand</f>
        <v>3253.77222717766</v>
      </c>
      <c r="AQ76" s="49" t="n">
        <f aca="false">AQ75*AQ74/Thousand</f>
        <v>3214.86842880923</v>
      </c>
      <c r="AR76" s="49" t="n">
        <f aca="false">AR75*AR74/Thousand</f>
        <v>3250.58918912933</v>
      </c>
      <c r="AS76" s="49" t="n">
        <f aca="false">AS75*AS74/Thousand</f>
        <v>3286.30994944944</v>
      </c>
      <c r="AT76" s="49" t="n">
        <f aca="false">AT75*AT74/Thousand</f>
        <v>3276.45101960109</v>
      </c>
      <c r="AU76" s="49" t="n">
        <f aca="false">AU75*AU74/Thousand</f>
        <v>3273.24579577756</v>
      </c>
      <c r="AV76" s="49" t="n">
        <f aca="false">AV75*AV74/Thousand</f>
        <v>3273.24579577756</v>
      </c>
      <c r="AW76" s="49" t="n">
        <f aca="false">AW75*AW74/Thousand</f>
        <v>3309.2155297971</v>
      </c>
      <c r="AX76" s="49" t="n">
        <f aca="false">AX75*AX74/Thousand</f>
        <v>3299.28788320771</v>
      </c>
      <c r="AY76" s="49" t="n">
        <f aca="false">AY75*AY74/Thousand</f>
        <v>3259.83987590848</v>
      </c>
      <c r="AZ76" s="49" t="n">
        <f aca="false">AZ75*AZ74/Thousand</f>
        <v>3296.06031897413</v>
      </c>
      <c r="BA76" s="49" t="n">
        <f aca="false">BA75*BA74/Thousand</f>
        <v>3332.28076203978</v>
      </c>
      <c r="BB76" s="49" t="n">
        <f aca="false">BB75*BB74/Thousand</f>
        <v>3322.28391975366</v>
      </c>
      <c r="BC76" s="49" t="n">
        <f aca="false">BC75*BC74/Thousand</f>
        <v>3282.56095984357</v>
      </c>
      <c r="BD76" s="49" t="n">
        <f aca="false">BD75*BD74/Thousand</f>
        <v>3319.03385939738</v>
      </c>
      <c r="BE76" s="49" t="n">
        <f aca="false">BE75*BE74/Thousand</f>
        <v>3355.5067589512</v>
      </c>
      <c r="BF76" s="49" t="n">
        <f aca="false">BF75*BF74/Thousand</f>
        <v>3345.44023867435</v>
      </c>
      <c r="BG76" s="49" t="n">
        <f aca="false">BG75*BG74/Thousand</f>
        <v>3305.44040973368</v>
      </c>
      <c r="BH76" s="49" t="n">
        <f aca="false">BH75*BH74/Thousand</f>
        <v>3342.16752539738</v>
      </c>
      <c r="BI76" s="49" t="n">
        <f aca="false">BI75*BI74/Thousand</f>
        <v>3378.89464106109</v>
      </c>
      <c r="BJ76" s="49" t="n">
        <f aca="false">BJ75*BJ74/Thousand</f>
        <v>3368.75795713791</v>
      </c>
      <c r="BK76" s="49" t="n">
        <f aca="false">BK75*BK74/Thousand</f>
        <v>3365.4624330494</v>
      </c>
      <c r="BL76" s="49" t="n">
        <f aca="false">BL75*BL74/Thousand</f>
        <v>3365.4624330494</v>
      </c>
      <c r="BM76" s="49" t="n">
        <f aca="false">BM75*BM74/Thousand</f>
        <v>3402.44553670929</v>
      </c>
      <c r="BN76" s="49" t="n">
        <f aca="false">BN75*BN74/Thousand</f>
        <v>3392.23820009916</v>
      </c>
      <c r="BO76" s="49" t="n">
        <f aca="false">BO75*BO74/Thousand</f>
        <v>3351.67883031536</v>
      </c>
      <c r="BP76" s="49" t="n">
        <f aca="false">BP75*BP74/Thousand</f>
        <v>3388.91970620776</v>
      </c>
      <c r="BQ76" s="49" t="n">
        <f aca="false">BQ75*BQ74/Thousand</f>
        <v>3426.16058210015</v>
      </c>
      <c r="BR76" s="49" t="n">
        <f aca="false">BR75*BR74/Thousand</f>
        <v>3415.88210035385</v>
      </c>
      <c r="BS76" s="49" t="n">
        <f aca="false">BS75*BS74/Thousand</f>
        <v>3375.04003176266</v>
      </c>
      <c r="BT76" s="49" t="n">
        <f aca="false">BT75*BT74/Thousand</f>
        <v>3412.54047656003</v>
      </c>
      <c r="BU76" s="49" t="n">
        <f aca="false">BU75*BU74/Thousand</f>
        <v>3450.04092135739</v>
      </c>
      <c r="BV76" s="49" t="n">
        <f aca="false">BV75*BV74/Thousand</f>
        <v>3439.69079859332</v>
      </c>
      <c r="BW76" s="49" t="n">
        <f aca="false">BW75*BW74/Thousand</f>
        <v>3398.56406078405</v>
      </c>
      <c r="BX76" s="49" t="n">
        <f aca="false">BX75*BX74/Thousand</f>
        <v>3436.32588368165</v>
      </c>
      <c r="BY76" s="49" t="n">
        <f aca="false">BY75*BY74/Thousand</f>
        <v>3474.08770657925</v>
      </c>
      <c r="BZ76" s="49" t="n">
        <f aca="false">BZ75*BZ74/Thousand</f>
        <v>3463.66544345951</v>
      </c>
      <c r="CA76" s="49" t="n">
        <f aca="false">CA75*CA74/Thousand</f>
        <v>3460.27707509091</v>
      </c>
      <c r="CB76" s="49" t="n">
        <f aca="false">CB75*CB74/Thousand</f>
        <v>3460.27707509091</v>
      </c>
      <c r="CC76" s="49" t="n">
        <f aca="false">CC75*CC74/Thousand</f>
        <v>3498.30209789411</v>
      </c>
      <c r="CD76" s="49" t="n">
        <f aca="false">CD75*CD74/Thousand</f>
        <v>3487.80719160042</v>
      </c>
      <c r="CE76" s="49" t="n">
        <f aca="false">CE75*CE74/Thousand</f>
        <v>3446.10514909216</v>
      </c>
      <c r="CF76" s="49" t="n">
        <f aca="false">CF75*CF74/Thousand</f>
        <v>3484.39520630429</v>
      </c>
      <c r="CG76" s="49" t="n">
        <f aca="false">CG75*CG74/Thousand</f>
        <v>3522.68526351643</v>
      </c>
      <c r="CH76" s="49" t="n">
        <f aca="false">CH75*CH74/Thousand</f>
        <v>3512.11720772588</v>
      </c>
      <c r="CI76" s="49" t="n">
        <f aca="false">CI75*CI74/Thousand</f>
        <v>3470.12450198133</v>
      </c>
      <c r="CJ76" s="49" t="n">
        <f aca="false">CJ75*CJ74/Thousand</f>
        <v>3508.68144089223</v>
      </c>
      <c r="CK76" s="49" t="n">
        <f aca="false">CK75*CK74/Thousand</f>
        <v>3547.23837980314</v>
      </c>
      <c r="CL76" s="49" t="n">
        <f aca="false">CL75*CL74/Thousand</f>
        <v>3536.59666466373</v>
      </c>
      <c r="CM76" s="49" t="n">
        <f aca="false">CM75*CM74/Thousand</f>
        <v>3494.31126976014</v>
      </c>
      <c r="CN76" s="49" t="n">
        <f aca="false">CN75*CN74/Thousand</f>
        <v>3533.13695053525</v>
      </c>
      <c r="CO76" s="49" t="n">
        <f aca="false">CO75*CO74/Thousand</f>
        <v>3571.96263131037</v>
      </c>
      <c r="CP76" s="49" t="n">
        <f aca="false">CP75*CP74/Thousand</f>
        <v>3561.24674341644</v>
      </c>
      <c r="CQ76" s="49" t="n">
        <f aca="false">CQ75*CQ74/Thousand</f>
        <v>3557.76291508048</v>
      </c>
      <c r="CR76" s="49" t="n">
        <f aca="false">CR75*CR74/Thousand</f>
        <v>3557.76291508048</v>
      </c>
      <c r="CS76" s="49" t="n">
        <f aca="false">CS75*CS74/Thousand</f>
        <v>3596.8592108506</v>
      </c>
      <c r="CT76" s="49" t="n">
        <f aca="false">CT75*CT74/Thousand</f>
        <v>3586.06863321805</v>
      </c>
      <c r="CU76" s="49" t="n">
        <f aca="false">CU75*CU74/Thousand</f>
        <v>3543.19172564696</v>
      </c>
      <c r="CV76" s="49" t="n">
        <f aca="false">CV75*CV74/Thousand</f>
        <v>3582.5605225986</v>
      </c>
      <c r="CW76" s="49" t="n">
        <f aca="false">CW75*CW74/Thousand</f>
        <v>3621.92931955023</v>
      </c>
      <c r="CX76" s="49" t="n">
        <f aca="false">CX75*CX74/Thousand</f>
        <v>3611.06353159158</v>
      </c>
      <c r="CY76" s="49" t="n">
        <f aca="false">CY75*CY74/Thousand</f>
        <v>3567.88777197472</v>
      </c>
      <c r="CZ76" s="49" t="n">
        <f aca="false">CZ75*CZ74/Thousand</f>
        <v>3607.53096944111</v>
      </c>
      <c r="DA76" s="49" t="n">
        <f aca="false">DA75*DA74/Thousand</f>
        <v>3647.17416690749</v>
      </c>
      <c r="DB76" s="49" t="n">
        <f aca="false">DB75*DB74/Thousand</f>
        <v>3636.23264440677</v>
      </c>
      <c r="DC76" s="49" t="n">
        <f aca="false">DC75*DC74/Thousand</f>
        <v>3592.75594974539</v>
      </c>
      <c r="DD76" s="49" t="n">
        <f aca="false">DD75*DD74/Thousand</f>
        <v>3632.67546029811</v>
      </c>
      <c r="DE76" s="49" t="n">
        <f aca="false">DE75*DE74/Thousand</f>
        <v>3672.59497085084</v>
      </c>
      <c r="DF76" s="49" t="n">
        <f aca="false">DF75*DF74/Thousand</f>
        <v>3661.57718593829</v>
      </c>
      <c r="DG76" s="49" t="n">
        <f aca="false">DG75*DG74/Thousand</f>
        <v>3657.99520825639</v>
      </c>
      <c r="DH76" s="49" t="n">
        <f aca="false">DH75*DH74/Thousand</f>
        <v>3657.99520825639</v>
      </c>
      <c r="DI76" s="49" t="n">
        <f aca="false">DI75*DI74/Thousand</f>
        <v>3698.19295779767</v>
      </c>
      <c r="DJ76" s="49" t="n">
        <f aca="false">DJ75*DJ74/Thousand</f>
        <v>3687.09837892428</v>
      </c>
      <c r="DK76" s="49" t="n">
        <f aca="false">DK75*DK74/Thousand</f>
        <v>3643.01350700236</v>
      </c>
      <c r="DL76" s="49" t="n">
        <f aca="false">DL75*DL74/Thousand</f>
        <v>3683.49143485794</v>
      </c>
      <c r="DM76" s="49" t="n">
        <f aca="false">DM75*DM74/Thousand</f>
        <v>3723.96936271352</v>
      </c>
      <c r="DN76" s="49" t="n">
        <f aca="false">DN75*DN74/Thousand</f>
        <v>3712.79745462538</v>
      </c>
      <c r="DO76" s="49" t="n">
        <f aca="false">DO75*DO74/Thousand</f>
        <v>3668.40531114616</v>
      </c>
      <c r="DP76" s="49" t="n">
        <f aca="false">DP75*DP74/Thousand</f>
        <v>3709.1653701589</v>
      </c>
      <c r="DQ76" s="49" t="n">
        <f aca="false">DQ75*DQ74/Thousand</f>
        <v>3749.92542917163</v>
      </c>
      <c r="DR76" s="49" t="n">
        <f aca="false">DR75*DR74/Thousand</f>
        <v>3738.67565288412</v>
      </c>
      <c r="DS76" s="49" t="n">
        <f aca="false">DS75*DS74/Thousand</f>
        <v>3693.97409616485</v>
      </c>
      <c r="DT76" s="49" t="n">
        <f aca="false">DT75*DT74/Thousand</f>
        <v>3735.0182527889</v>
      </c>
      <c r="DU76" s="49" t="n">
        <f aca="false">DU75*DU74/Thousand</f>
        <v>3776.06240941296</v>
      </c>
      <c r="DV76" s="49" t="n">
        <f aca="false">DV75*DV74/Thousand</f>
        <v>3764.73422218472</v>
      </c>
      <c r="DW76" s="49" t="n">
        <f aca="false">DW75*DW74/Thousand</f>
        <v>3761.05133001084</v>
      </c>
      <c r="DX76" s="49" t="n">
        <f aca="false">DX75*DX74/Thousand</f>
        <v>3761.05133001084</v>
      </c>
      <c r="DY76" s="49" t="n">
        <f aca="false">DY75*DY74/Thousand</f>
        <v>3802.38156440657</v>
      </c>
      <c r="DZ76" s="49" t="n">
        <f aca="false">DZ75*DZ74/Thousand</f>
        <v>3790.97441971335</v>
      </c>
      <c r="EA76" s="49" t="n">
        <f aca="false">EA75*EA74/Thousand</f>
        <v>3745.64755165156</v>
      </c>
      <c r="EB76" s="49" t="n">
        <f aca="false">EB75*EB74/Thousand</f>
        <v>3787.26585778102</v>
      </c>
      <c r="EC76" s="49" t="n">
        <f aca="false">EC75*EC74/Thousand</f>
        <v>3828.88416391048</v>
      </c>
      <c r="ED76" s="49" t="n">
        <f aca="false">ED75*ED74/Thousand</f>
        <v>3817.39751141875</v>
      </c>
      <c r="EE76" s="49" t="n">
        <f aca="false">EE75*EE74/Thousand</f>
        <v>3771.75471508657</v>
      </c>
      <c r="EF76" s="49" t="n">
        <f aca="false">EF75*EF74/Thousand</f>
        <v>3813.66310080975</v>
      </c>
      <c r="EG76" s="49" t="n">
        <f aca="false">EG75*EG74/Thousand</f>
        <v>3855.57148653294</v>
      </c>
      <c r="EH76" s="49" t="n">
        <f aca="false">EH75*EH74/Thousand</f>
        <v>3844.00477207334</v>
      </c>
      <c r="EI76" s="49" t="n">
        <f aca="false">EI75*EI74/Thousand</f>
        <v>3798.04384545072</v>
      </c>
      <c r="EJ76" s="49" t="n">
        <f aca="false">EJ75*EJ74/Thousand</f>
        <v>3840.2443326224</v>
      </c>
      <c r="EK76" s="49" t="n">
        <f aca="false">EK75*EK74/Thousand</f>
        <v>3882.44481979407</v>
      </c>
      <c r="EL76" s="49" t="n">
        <f aca="false">EL75*EL74/Thousand</f>
        <v>3870.79748533469</v>
      </c>
      <c r="EM76" s="49" t="n">
        <f aca="false">EM75*EM74/Thousand</f>
        <v>3867.01083562077</v>
      </c>
      <c r="EN76" s="49" t="n">
        <f aca="false">EN75*EN74/Thousand</f>
        <v>3867.01083562077</v>
      </c>
      <c r="EO76" s="49" t="n">
        <f aca="false">EO75*EO74/Thousand</f>
        <v>3909.50546018804</v>
      </c>
    </row>
    <row r="77" customFormat="false" ht="15" hidden="false" customHeight="false" outlineLevel="0" collapsed="false">
      <c r="C77" s="1" t="s">
        <v>470</v>
      </c>
      <c r="D77" s="12" t="s">
        <v>33</v>
      </c>
      <c r="I77" s="49" t="n">
        <f aca="false">SUM(J77:EO77)</f>
        <v>-29733.4185659025</v>
      </c>
      <c r="J77" s="49" t="n">
        <f aca="false">-In_Var_Opex*J75*J73/Thousand</f>
        <v>-0</v>
      </c>
      <c r="K77" s="49" t="n">
        <f aca="false">-In_Var_Opex*K75*K73/Thousand</f>
        <v>-0</v>
      </c>
      <c r="L77" s="49" t="n">
        <f aca="false">-In_Var_Opex*L75*L73/Thousand</f>
        <v>-0</v>
      </c>
      <c r="M77" s="49" t="n">
        <f aca="false">-In_Var_Opex*M75*M73/Thousand</f>
        <v>-0</v>
      </c>
      <c r="N77" s="49" t="n">
        <f aca="false">-In_Var_Opex*N75*N73/Thousand</f>
        <v>-0</v>
      </c>
      <c r="O77" s="49" t="n">
        <f aca="false">-In_Var_Opex*O75*O73/Thousand</f>
        <v>-0</v>
      </c>
      <c r="P77" s="49" t="n">
        <f aca="false">-In_Var_Opex*P75*P73/Thousand</f>
        <v>-0</v>
      </c>
      <c r="Q77" s="49" t="n">
        <f aca="false">-In_Var_Opex*Q75*Q73/Thousand</f>
        <v>-0</v>
      </c>
      <c r="R77" s="49" t="n">
        <f aca="false">-In_Var_Opex*R75*R73/Thousand</f>
        <v>-0</v>
      </c>
      <c r="S77" s="49" t="n">
        <f aca="false">-In_Var_Opex*S75*S73/Thousand</f>
        <v>-0</v>
      </c>
      <c r="T77" s="49" t="n">
        <f aca="false">-In_Var_Opex*T75*T73/Thousand</f>
        <v>-0</v>
      </c>
      <c r="U77" s="49" t="n">
        <f aca="false">-In_Var_Opex*U75*U73/Thousand</f>
        <v>-0</v>
      </c>
      <c r="V77" s="49" t="n">
        <f aca="false">-In_Var_Opex*V75*V73/Thousand</f>
        <v>-0</v>
      </c>
      <c r="W77" s="49" t="n">
        <f aca="false">-In_Var_Opex*W75*W73/Thousand</f>
        <v>-0</v>
      </c>
      <c r="X77" s="49" t="n">
        <f aca="false">-In_Var_Opex*X75*X73/Thousand</f>
        <v>-0</v>
      </c>
      <c r="Y77" s="49" t="n">
        <f aca="false">-In_Var_Opex*Y75*Y73/Thousand</f>
        <v>-0</v>
      </c>
      <c r="Z77" s="49" t="n">
        <f aca="false">-In_Var_Opex*Z75*Z73/Thousand</f>
        <v>-175.812</v>
      </c>
      <c r="AA77" s="49" t="n">
        <f aca="false">-In_Var_Opex*AA75*AA73/Thousand</f>
        <v>-176.28975</v>
      </c>
      <c r="AB77" s="49" t="n">
        <f aca="false">-In_Var_Opex*AB75*AB73/Thousand</f>
        <v>-178.248525</v>
      </c>
      <c r="AC77" s="49" t="n">
        <f aca="false">-In_Var_Opex*AC75*AC73/Thousand</f>
        <v>-180.2073</v>
      </c>
      <c r="AD77" s="49" t="n">
        <f aca="false">-In_Var_Opex*AD75*AD73/Thousand</f>
        <v>-179.6666781</v>
      </c>
      <c r="AE77" s="49" t="n">
        <f aca="false">-In_Var_Opex*AE75*AE73/Thousand</f>
        <v>-182.156623910625</v>
      </c>
      <c r="AF77" s="49" t="n">
        <f aca="false">-In_Var_Opex*AF75*AF73/Thousand</f>
        <v>-182.156623910625</v>
      </c>
      <c r="AG77" s="49" t="n">
        <f aca="false">-In_Var_Opex*AG75*AG73/Thousand</f>
        <v>-184.1583450525</v>
      </c>
      <c r="AH77" s="49" t="n">
        <f aca="false">-In_Var_Opex*AH75*AH73/Thousand</f>
        <v>-183.605870017343</v>
      </c>
      <c r="AI77" s="49" t="n">
        <f aca="false">-In_Var_Opex*AI75*AI73/Thousand</f>
        <v>-184.104799011955</v>
      </c>
      <c r="AJ77" s="49" t="n">
        <f aca="false">-In_Var_Opex*AJ75*AJ73/Thousand</f>
        <v>-186.150407889865</v>
      </c>
      <c r="AK77" s="49" t="n">
        <f aca="false">-In_Var_Opex*AK75*AK73/Thousand</f>
        <v>-188.196016767776</v>
      </c>
      <c r="AL77" s="49" t="n">
        <f aca="false">-In_Var_Opex*AL75*AL73/Thousand</f>
        <v>-187.631428717473</v>
      </c>
      <c r="AM77" s="49" t="n">
        <f aca="false">-In_Var_Opex*AM75*AM73/Thousand</f>
        <v>-188.141296730292</v>
      </c>
      <c r="AN77" s="49" t="n">
        <f aca="false">-In_Var_Opex*AN75*AN73/Thousand</f>
        <v>-190.231755582851</v>
      </c>
      <c r="AO77" s="49" t="n">
        <f aca="false">-In_Var_Opex*AO75*AO73/Thousand</f>
        <v>-192.32221443541</v>
      </c>
      <c r="AP77" s="49" t="n">
        <f aca="false">-In_Var_Opex*AP75*AP73/Thousand</f>
        <v>-191.745247792103</v>
      </c>
      <c r="AQ77" s="49" t="n">
        <f aca="false">-In_Var_Opex*AQ75*AQ73/Thousand</f>
        <v>-192.266294661104</v>
      </c>
      <c r="AR77" s="49" t="n">
        <f aca="false">-In_Var_Opex*AR75*AR73/Thousand</f>
        <v>-194.402586824005</v>
      </c>
      <c r="AS77" s="49" t="n">
        <f aca="false">-In_Var_Opex*AS75*AS73/Thousand</f>
        <v>-196.538878986906</v>
      </c>
      <c r="AT77" s="49" t="n">
        <f aca="false">-In_Var_Opex*AT75*AT73/Thousand</f>
        <v>-195.949262349945</v>
      </c>
      <c r="AU77" s="49" t="n">
        <f aca="false">-In_Var_Opex*AU75*AU73/Thousand</f>
        <v>-198.664863540121</v>
      </c>
      <c r="AV77" s="49" t="n">
        <f aca="false">-In_Var_Opex*AV75*AV73/Thousand</f>
        <v>-198.664863540121</v>
      </c>
      <c r="AW77" s="49" t="n">
        <f aca="false">-In_Var_Opex*AW75*AW73/Thousand</f>
        <v>-200.847993908694</v>
      </c>
      <c r="AX77" s="49" t="n">
        <f aca="false">-In_Var_Opex*AX75*AX73/Thousand</f>
        <v>-200.245449926968</v>
      </c>
      <c r="AY77" s="49" t="n">
        <f aca="false">-In_Var_Opex*AY75*AY73/Thousand</f>
        <v>-200.789595171334</v>
      </c>
      <c r="AZ77" s="49" t="n">
        <f aca="false">-In_Var_Opex*AZ75*AZ73/Thousand</f>
        <v>-203.020590673238</v>
      </c>
      <c r="BA77" s="49" t="n">
        <f aca="false">-In_Var_Opex*BA75*BA73/Thousand</f>
        <v>-205.251586175142</v>
      </c>
      <c r="BB77" s="49" t="n">
        <f aca="false">-In_Var_Opex*BB75*BB73/Thousand</f>
        <v>-204.635831416616</v>
      </c>
      <c r="BC77" s="49" t="n">
        <f aca="false">-In_Var_Opex*BC75*BC73/Thousand</f>
        <v>-205.191907045466</v>
      </c>
      <c r="BD77" s="49" t="n">
        <f aca="false">-In_Var_Opex*BD75*BD73/Thousand</f>
        <v>-207.471817123749</v>
      </c>
      <c r="BE77" s="49" t="n">
        <f aca="false">-In_Var_Opex*BE75*BE73/Thousand</f>
        <v>-209.751727202032</v>
      </c>
      <c r="BF77" s="49" t="n">
        <f aca="false">-In_Var_Opex*BF75*BF73/Thousand</f>
        <v>-209.122472020426</v>
      </c>
      <c r="BG77" s="49" t="n">
        <f aca="false">-In_Var_Opex*BG75*BG73/Thousand</f>
        <v>-209.690739607438</v>
      </c>
      <c r="BH77" s="49" t="n">
        <f aca="false">-In_Var_Opex*BH75*BH73/Thousand</f>
        <v>-212.020636714187</v>
      </c>
      <c r="BI77" s="49" t="n">
        <f aca="false">-In_Var_Opex*BI75*BI73/Thousand</f>
        <v>-214.350533820936</v>
      </c>
      <c r="BJ77" s="49" t="n">
        <f aca="false">-In_Var_Opex*BJ75*BJ73/Thousand</f>
        <v>-213.707482219474</v>
      </c>
      <c r="BK77" s="49" t="n">
        <f aca="false">-In_Var_Opex*BK75*BK73/Thousand</f>
        <v>-216.669189174146</v>
      </c>
      <c r="BL77" s="49" t="n">
        <f aca="false">-In_Var_Opex*BL75*BL73/Thousand</f>
        <v>-216.669189174146</v>
      </c>
      <c r="BM77" s="49" t="n">
        <f aca="false">-In_Var_Opex*BM75*BM73/Thousand</f>
        <v>-219.05016927496</v>
      </c>
      <c r="BN77" s="49" t="n">
        <f aca="false">-In_Var_Opex*BN75*BN73/Thousand</f>
        <v>-218.393018767136</v>
      </c>
      <c r="BO77" s="49" t="n">
        <f aca="false">-In_Var_Opex*BO75*BO73/Thousand</f>
        <v>-218.986478057264</v>
      </c>
      <c r="BP77" s="49" t="n">
        <f aca="false">-In_Var_Opex*BP75*BP73/Thousand</f>
        <v>-221.419661146789</v>
      </c>
      <c r="BQ77" s="49" t="n">
        <f aca="false">-In_Var_Opex*BQ75*BQ73/Thousand</f>
        <v>-223.852844236314</v>
      </c>
      <c r="BR77" s="49" t="n">
        <f aca="false">-In_Var_Opex*BR75*BR73/Thousand</f>
        <v>-223.181285703605</v>
      </c>
      <c r="BS77" s="49" t="n">
        <f aca="false">-In_Var_Opex*BS75*BS73/Thousand</f>
        <v>-223.787756588669</v>
      </c>
      <c r="BT77" s="49" t="n">
        <f aca="false">-In_Var_Opex*BT75*BT73/Thousand</f>
        <v>-226.274287217432</v>
      </c>
      <c r="BU77" s="49" t="n">
        <f aca="false">-In_Var_Opex*BU75*BU73/Thousand</f>
        <v>-228.760817846195</v>
      </c>
      <c r="BV77" s="49" t="n">
        <f aca="false">-In_Var_Opex*BV75*BV73/Thousand</f>
        <v>-228.074535392656</v>
      </c>
      <c r="BW77" s="49" t="n">
        <f aca="false">-In_Var_Opex*BW75*BW73/Thousand</f>
        <v>-228.694303151876</v>
      </c>
      <c r="BX77" s="49" t="n">
        <f aca="false">-In_Var_Opex*BX75*BX73/Thousand</f>
        <v>-231.235350964674</v>
      </c>
      <c r="BY77" s="49" t="n">
        <f aca="false">-In_Var_Opex*BY75*BY73/Thousand</f>
        <v>-233.776398777473</v>
      </c>
      <c r="BZ77" s="49" t="n">
        <f aca="false">-In_Var_Opex*BZ75*BZ73/Thousand</f>
        <v>-233.07506958114</v>
      </c>
      <c r="CA77" s="49" t="n">
        <f aca="false">-In_Var_Opex*CA75*CA73/Thousand</f>
        <v>-236.305186034575</v>
      </c>
      <c r="CB77" s="49" t="n">
        <f aca="false">-In_Var_Opex*CB75*CB73/Thousand</f>
        <v>-236.305186034575</v>
      </c>
      <c r="CC77" s="49" t="n">
        <f aca="false">-In_Var_Opex*CC75*CC73/Thousand</f>
        <v>-238.901946320669</v>
      </c>
      <c r="CD77" s="49" t="n">
        <f aca="false">-In_Var_Opex*CD75*CD73/Thousand</f>
        <v>-238.185240481707</v>
      </c>
      <c r="CE77" s="49" t="n">
        <f aca="false">-In_Var_Opex*CE75*CE73/Thousand</f>
        <v>-238.832482983016</v>
      </c>
      <c r="CF77" s="49" t="n">
        <f aca="false">-In_Var_Opex*CF75*CF73/Thousand</f>
        <v>-241.486177238383</v>
      </c>
      <c r="CG77" s="49" t="n">
        <f aca="false">-In_Var_Opex*CG75*CG73/Thousand</f>
        <v>-244.13987149375</v>
      </c>
      <c r="CH77" s="49" t="n">
        <f aca="false">-In_Var_Opex*CH75*CH73/Thousand</f>
        <v>-243.407451879268</v>
      </c>
      <c r="CI77" s="49" t="n">
        <f aca="false">-In_Var_Opex*CI75*CI73/Thousand</f>
        <v>-244.068885172418</v>
      </c>
      <c r="CJ77" s="49" t="n">
        <f aca="false">-In_Var_Opex*CJ75*CJ73/Thousand</f>
        <v>-246.780761674334</v>
      </c>
      <c r="CK77" s="49" t="n">
        <f aca="false">-In_Var_Opex*CK75*CK73/Thousand</f>
        <v>-249.49263817625</v>
      </c>
      <c r="CL77" s="49" t="n">
        <f aca="false">-In_Var_Opex*CL75*CL73/Thousand</f>
        <v>-248.744160261721</v>
      </c>
      <c r="CM77" s="49" t="n">
        <f aca="false">-In_Var_Opex*CM75*CM73/Thousand</f>
        <v>-249.420095479824</v>
      </c>
      <c r="CN77" s="49" t="n">
        <f aca="false">-In_Var_Opex*CN75*CN73/Thousand</f>
        <v>-252.191429874044</v>
      </c>
      <c r="CO77" s="49" t="n">
        <f aca="false">-In_Var_Opex*CO75*CO73/Thousand</f>
        <v>-254.962764268264</v>
      </c>
      <c r="CP77" s="49" t="n">
        <f aca="false">-In_Var_Opex*CP75*CP73/Thousand</f>
        <v>-254.197875975459</v>
      </c>
      <c r="CQ77" s="49" t="n">
        <f aca="false">-In_Var_Opex*CQ75*CQ73/Thousand</f>
        <v>-257.720726974032</v>
      </c>
      <c r="CR77" s="49" t="n">
        <f aca="false">-In_Var_Opex*CR75*CR73/Thousand</f>
        <v>-257.720726974032</v>
      </c>
      <c r="CS77" s="49" t="n">
        <f aca="false">-In_Var_Opex*CS75*CS73/Thousand</f>
        <v>-260.552822874846</v>
      </c>
      <c r="CT77" s="49" t="n">
        <f aca="false">-In_Var_Opex*CT75*CT73/Thousand</f>
        <v>-259.771164406221</v>
      </c>
      <c r="CU77" s="49" t="n">
        <f aca="false">-In_Var_Opex*CU75*CU73/Thousand</f>
        <v>-260.477064309499</v>
      </c>
      <c r="CV77" s="49" t="n">
        <f aca="false">-In_Var_Opex*CV75*CV73/Thousand</f>
        <v>-263.371253912938</v>
      </c>
      <c r="CW77" s="49" t="n">
        <f aca="false">-In_Var_Opex*CW75*CW73/Thousand</f>
        <v>-266.265443516377</v>
      </c>
      <c r="CX77" s="49" t="n">
        <f aca="false">-In_Var_Opex*CX75*CX73/Thousand</f>
        <v>-265.466647185828</v>
      </c>
      <c r="CY77" s="49" t="n">
        <f aca="false">-In_Var_Opex*CY75*CY73/Thousand</f>
        <v>-266.188023944485</v>
      </c>
      <c r="CZ77" s="49" t="n">
        <f aca="false">-In_Var_Opex*CZ75*CZ73/Thousand</f>
        <v>-269.145668654979</v>
      </c>
      <c r="DA77" s="49" t="n">
        <f aca="false">-In_Var_Opex*DA75*DA73/Thousand</f>
        <v>-272.103313365473</v>
      </c>
      <c r="DB77" s="49" t="n">
        <f aca="false">-In_Var_Opex*DB75*DB73/Thousand</f>
        <v>-271.287003425377</v>
      </c>
      <c r="DC77" s="49" t="n">
        <f aca="false">-In_Var_Opex*DC75*DC73/Thousand</f>
        <v>-272.024196369468</v>
      </c>
      <c r="DD77" s="49" t="n">
        <f aca="false">-In_Var_Opex*DD75*DD73/Thousand</f>
        <v>-275.04668744024</v>
      </c>
      <c r="DE77" s="49" t="n">
        <f aca="false">-In_Var_Opex*DE75*DE73/Thousand</f>
        <v>-278.069178511011</v>
      </c>
      <c r="DF77" s="49" t="n">
        <f aca="false">-In_Var_Opex*DF75*DF73/Thousand</f>
        <v>-277.234970975478</v>
      </c>
      <c r="DG77" s="49" t="n">
        <f aca="false">-In_Var_Opex*DG75*DG73/Thousand</f>
        <v>-281.077086062367</v>
      </c>
      <c r="DH77" s="49" t="n">
        <f aca="false">-In_Var_Opex*DH75*DH73/Thousand</f>
        <v>-281.077086062367</v>
      </c>
      <c r="DI77" s="49" t="n">
        <f aca="false">-In_Var_Opex*DI75*DI73/Thousand</f>
        <v>-284.165845249865</v>
      </c>
      <c r="DJ77" s="49" t="n">
        <f aca="false">-In_Var_Opex*DJ75*DJ73/Thousand</f>
        <v>-283.313347714116</v>
      </c>
      <c r="DK77" s="49" t="n">
        <f aca="false">-In_Var_Opex*DK75*DK73/Thousand</f>
        <v>-284.0832209416</v>
      </c>
      <c r="DL77" s="49" t="n">
        <f aca="false">-In_Var_Opex*DL75*DL73/Thousand</f>
        <v>-287.239701174284</v>
      </c>
      <c r="DM77" s="49" t="n">
        <f aca="false">-In_Var_Opex*DM75*DM73/Thousand</f>
        <v>-290.396181406969</v>
      </c>
      <c r="DN77" s="49" t="n">
        <f aca="false">-In_Var_Opex*DN75*DN73/Thousand</f>
        <v>-289.524992862748</v>
      </c>
      <c r="DO77" s="49" t="n">
        <f aca="false">-In_Var_Opex*DO75*DO73/Thousand</f>
        <v>-290.311745560744</v>
      </c>
      <c r="DP77" s="49" t="n">
        <f aca="false">-In_Var_Opex*DP75*DP73/Thousand</f>
        <v>-293.53743162253</v>
      </c>
      <c r="DQ77" s="49" t="n">
        <f aca="false">-In_Var_Opex*DQ75*DQ73/Thousand</f>
        <v>-296.763117684316</v>
      </c>
      <c r="DR77" s="49" t="n">
        <f aca="false">-In_Var_Opex*DR75*DR73/Thousand</f>
        <v>-295.872828331263</v>
      </c>
      <c r="DS77" s="49" t="n">
        <f aca="false">-In_Var_Opex*DS75*DS73/Thousand</f>
        <v>-296.676830582163</v>
      </c>
      <c r="DT77" s="49" t="n">
        <f aca="false">-In_Var_Opex*DT75*DT73/Thousand</f>
        <v>-299.973239810854</v>
      </c>
      <c r="DU77" s="49" t="n">
        <f aca="false">-In_Var_Opex*DU75*DU73/Thousand</f>
        <v>-303.269649039545</v>
      </c>
      <c r="DV77" s="49" t="n">
        <f aca="false">-In_Var_Opex*DV75*DV73/Thousand</f>
        <v>-302.359840092426</v>
      </c>
      <c r="DW77" s="49" t="n">
        <f aca="false">-In_Var_Opex*DW75*DW73/Thousand</f>
        <v>-306.550153093707</v>
      </c>
      <c r="DX77" s="49" t="n">
        <f aca="false">-In_Var_Opex*DX75*DX73/Thousand</f>
        <v>-306.550153093707</v>
      </c>
      <c r="DY77" s="49" t="n">
        <f aca="false">-In_Var_Opex*DY75*DY73/Thousand</f>
        <v>-309.918836094737</v>
      </c>
      <c r="DZ77" s="49" t="n">
        <f aca="false">-In_Var_Opex*DZ75*DZ73/Thousand</f>
        <v>-308.989079586453</v>
      </c>
      <c r="EA77" s="49" t="n">
        <f aca="false">-In_Var_Opex*EA75*EA73/Thousand</f>
        <v>-309.828723824459</v>
      </c>
      <c r="EB77" s="49" t="n">
        <f aca="false">-In_Var_Opex*EB75*EB73/Thousand</f>
        <v>-313.271265200287</v>
      </c>
      <c r="EC77" s="49" t="n">
        <f aca="false">-In_Var_Opex*EC75*EC73/Thousand</f>
        <v>-316.713806576114</v>
      </c>
      <c r="ED77" s="49" t="n">
        <f aca="false">-In_Var_Opex*ED75*ED73/Thousand</f>
        <v>-315.763665156386</v>
      </c>
      <c r="EE77" s="49" t="n">
        <f aca="false">-In_Var_Opex*EE75*EE73/Thousand</f>
        <v>-316.621718594311</v>
      </c>
      <c r="EF77" s="49" t="n">
        <f aca="false">-In_Var_Opex*EF75*EF73/Thousand</f>
        <v>-320.139737689803</v>
      </c>
      <c r="EG77" s="49" t="n">
        <f aca="false">-In_Var_Opex*EG75*EG73/Thousand</f>
        <v>-323.657756785295</v>
      </c>
      <c r="EH77" s="49" t="n">
        <f aca="false">-In_Var_Opex*EH75*EH73/Thousand</f>
        <v>-322.686783514939</v>
      </c>
      <c r="EI77" s="49" t="n">
        <f aca="false">-In_Var_Opex*EI75*EI73/Thousand</f>
        <v>-323.563649774491</v>
      </c>
      <c r="EJ77" s="49" t="n">
        <f aca="false">-In_Var_Opex*EJ75*EJ73/Thousand</f>
        <v>-327.158801438652</v>
      </c>
      <c r="EK77" s="49" t="n">
        <f aca="false">-In_Var_Opex*EK75*EK73/Thousand</f>
        <v>-330.753953102813</v>
      </c>
      <c r="EL77" s="49" t="n">
        <f aca="false">-In_Var_Opex*EL75*EL73/Thousand</f>
        <v>-329.761691243504</v>
      </c>
      <c r="EM77" s="49" t="n">
        <f aca="false">-In_Var_Opex*EM75*EM73/Thousand</f>
        <v>-334.331758160194</v>
      </c>
      <c r="EN77" s="49" t="n">
        <f aca="false">-In_Var_Opex*EN75*EN73/Thousand</f>
        <v>-334.331758160194</v>
      </c>
      <c r="EO77" s="49" t="n">
        <f aca="false">-In_Var_Opex*EO75*EO73/Thousand</f>
        <v>-338.005733524592</v>
      </c>
    </row>
    <row r="78" customFormat="false" ht="15" hidden="false" customHeight="false" outlineLevel="0" collapsed="false">
      <c r="C78" s="1" t="s">
        <v>471</v>
      </c>
      <c r="D78" s="12" t="s">
        <v>33</v>
      </c>
      <c r="I78" s="49" t="n">
        <f aca="false">SUM(J78:EO78)</f>
        <v>-60869.5202640337</v>
      </c>
      <c r="J78" s="49" t="n">
        <f aca="false">-(In_Fixed_Opex*$F25+In_Admin)*J73*J16*J$6</f>
        <v>-0</v>
      </c>
      <c r="K78" s="49" t="n">
        <f aca="false">-(In_Fixed_Opex*$F25+In_Admin)*K73*K16*K$6</f>
        <v>-0</v>
      </c>
      <c r="L78" s="49" t="n">
        <f aca="false">-(In_Fixed_Opex*$F25+In_Admin)*L73*L16*L$6</f>
        <v>-0</v>
      </c>
      <c r="M78" s="49" t="n">
        <f aca="false">-(In_Fixed_Opex*$F25+In_Admin)*M73*M16*M$6</f>
        <v>-0</v>
      </c>
      <c r="N78" s="49" t="n">
        <f aca="false">-(In_Fixed_Opex*$F25+In_Admin)*N73*N16*N$6</f>
        <v>-0</v>
      </c>
      <c r="O78" s="49" t="n">
        <f aca="false">-(In_Fixed_Opex*$F25+In_Admin)*O73*O16*O$6</f>
        <v>-0</v>
      </c>
      <c r="P78" s="49" t="n">
        <f aca="false">-(In_Fixed_Opex*$F25+In_Admin)*P73*P16*P$6</f>
        <v>-0</v>
      </c>
      <c r="Q78" s="49" t="n">
        <f aca="false">-(In_Fixed_Opex*$F25+In_Admin)*Q73*Q16*Q$6</f>
        <v>-0</v>
      </c>
      <c r="R78" s="49" t="n">
        <f aca="false">-(In_Fixed_Opex*$F25+In_Admin)*R73*R16*R$6</f>
        <v>-0</v>
      </c>
      <c r="S78" s="49" t="n">
        <f aca="false">-(In_Fixed_Opex*$F25+In_Admin)*S73*S16*S$6</f>
        <v>-0</v>
      </c>
      <c r="T78" s="49" t="n">
        <f aca="false">-(In_Fixed_Opex*$F25+In_Admin)*T73*T16*T$6</f>
        <v>-0</v>
      </c>
      <c r="U78" s="49" t="n">
        <f aca="false">-(In_Fixed_Opex*$F25+In_Admin)*U73*U16*U$6</f>
        <v>-0</v>
      </c>
      <c r="V78" s="49" t="n">
        <f aca="false">-(In_Fixed_Opex*$F25+In_Admin)*V73*V16*V$6</f>
        <v>-0</v>
      </c>
      <c r="W78" s="49" t="n">
        <f aca="false">-(In_Fixed_Opex*$F25+In_Admin)*W73*W16*W$6</f>
        <v>-0</v>
      </c>
      <c r="X78" s="49" t="n">
        <f aca="false">-(In_Fixed_Opex*$F25+In_Admin)*X73*X16*X$6</f>
        <v>-0</v>
      </c>
      <c r="Y78" s="49" t="n">
        <f aca="false">-(In_Fixed_Opex*$F25+In_Admin)*Y73*Y16*Y$6</f>
        <v>-0</v>
      </c>
      <c r="Z78" s="49" t="n">
        <f aca="false">-(In_Fixed_Opex*$F25+In_Admin)*Z73*Z16*Z$6</f>
        <v>-342.794520547945</v>
      </c>
      <c r="AA78" s="49" t="n">
        <f aca="false">-(In_Fixed_Opex*$F25+In_Admin)*AA73*AA16*AA$6</f>
        <v>-343.72602739726</v>
      </c>
      <c r="AB78" s="49" t="n">
        <f aca="false">-(In_Fixed_Opex*$F25+In_Admin)*AB73*AB16*AB$6</f>
        <v>-347.545205479452</v>
      </c>
      <c r="AC78" s="49" t="n">
        <f aca="false">-(In_Fixed_Opex*$F25+In_Admin)*AC73*AC16*AC$6</f>
        <v>-351.364383561644</v>
      </c>
      <c r="AD78" s="49" t="n">
        <f aca="false">-(In_Fixed_Opex*$F25+In_Admin)*AD73*AD16*AD$6</f>
        <v>-351.364383561644</v>
      </c>
      <c r="AE78" s="49" t="n">
        <f aca="false">-(In_Fixed_Opex*$F25+In_Admin)*AE73*AE16*AE$6</f>
        <v>-356.233835616438</v>
      </c>
      <c r="AF78" s="49" t="n">
        <f aca="false">-(In_Fixed_Opex*$F25+In_Admin)*AF73*AF16*AF$6</f>
        <v>-356.233835616438</v>
      </c>
      <c r="AG78" s="49" t="n">
        <f aca="false">-(In_Fixed_Opex*$F25+In_Admin)*AG73*AG16*AG$6</f>
        <v>-360.148493150685</v>
      </c>
      <c r="AH78" s="49" t="n">
        <f aca="false">-(In_Fixed_Opex*$F25+In_Admin)*AH73*AH16*AH$6</f>
        <v>-360.148493150685</v>
      </c>
      <c r="AI78" s="49" t="n">
        <f aca="false">-(In_Fixed_Opex*$F25+In_Admin)*AI73*AI16*AI$6</f>
        <v>-361.127157534246</v>
      </c>
      <c r="AJ78" s="49" t="n">
        <f aca="false">-(In_Fixed_Opex*$F25+In_Admin)*AJ73*AJ16*AJ$6</f>
        <v>-365.139681506849</v>
      </c>
      <c r="AK78" s="49" t="n">
        <f aca="false">-(In_Fixed_Opex*$F25+In_Admin)*AK73*AK16*AK$6</f>
        <v>-369.152205479452</v>
      </c>
      <c r="AL78" s="49" t="n">
        <f aca="false">-(In_Fixed_Opex*$F25+In_Admin)*AL73*AL16*AL$6</f>
        <v>-369.152205479452</v>
      </c>
      <c r="AM78" s="49" t="n">
        <f aca="false">-(In_Fixed_Opex*$F25+In_Admin)*AM73*AM16*AM$6</f>
        <v>-370.155336472603</v>
      </c>
      <c r="AN78" s="49" t="n">
        <f aca="false">-(In_Fixed_Opex*$F25+In_Admin)*AN73*AN16*AN$6</f>
        <v>-374.268173544521</v>
      </c>
      <c r="AO78" s="49" t="n">
        <f aca="false">-(In_Fixed_Opex*$F25+In_Admin)*AO73*AO16*AO$6</f>
        <v>-378.381010616438</v>
      </c>
      <c r="AP78" s="49" t="n">
        <f aca="false">-(In_Fixed_Opex*$F25+In_Admin)*AP73*AP16*AP$6</f>
        <v>-378.381010616438</v>
      </c>
      <c r="AQ78" s="49" t="n">
        <f aca="false">-(In_Fixed_Opex*$F25+In_Admin)*AQ73*AQ16*AQ$6</f>
        <v>-379.409219884418</v>
      </c>
      <c r="AR78" s="49" t="n">
        <f aca="false">-(In_Fixed_Opex*$F25+In_Admin)*AR73*AR16*AR$6</f>
        <v>-383.624877883134</v>
      </c>
      <c r="AS78" s="49" t="n">
        <f aca="false">-(In_Fixed_Opex*$F25+In_Admin)*AS73*AS16*AS$6</f>
        <v>-387.840535881849</v>
      </c>
      <c r="AT78" s="49" t="n">
        <f aca="false">-(In_Fixed_Opex*$F25+In_Admin)*AT73*AT16*AT$6</f>
        <v>-387.840535881849</v>
      </c>
      <c r="AU78" s="49" t="n">
        <f aca="false">-(In_Fixed_Opex*$F25+In_Admin)*AU73*AU16*AU$6</f>
        <v>-393.215499830212</v>
      </c>
      <c r="AV78" s="49" t="n">
        <f aca="false">-(In_Fixed_Opex*$F25+In_Admin)*AV73*AV16*AV$6</f>
        <v>-393.215499830212</v>
      </c>
      <c r="AW78" s="49" t="n">
        <f aca="false">-(In_Fixed_Opex*$F25+In_Admin)*AW73*AW16*AW$6</f>
        <v>-397.536549278895</v>
      </c>
      <c r="AX78" s="49" t="n">
        <f aca="false">-(In_Fixed_Opex*$F25+In_Admin)*AX73*AX16*AX$6</f>
        <v>-397.536549278895</v>
      </c>
      <c r="AY78" s="49" t="n">
        <f aca="false">-(In_Fixed_Opex*$F25+In_Admin)*AY73*AY16*AY$6</f>
        <v>-398.616811641066</v>
      </c>
      <c r="AZ78" s="49" t="n">
        <f aca="false">-(In_Fixed_Opex*$F25+In_Admin)*AZ73*AZ16*AZ$6</f>
        <v>-403.045887325967</v>
      </c>
      <c r="BA78" s="49" t="n">
        <f aca="false">-(In_Fixed_Opex*$F25+In_Admin)*BA73*BA16*BA$6</f>
        <v>-407.474963010868</v>
      </c>
      <c r="BB78" s="49" t="n">
        <f aca="false">-(In_Fixed_Opex*$F25+In_Admin)*BB73*BB16*BB$6</f>
        <v>-407.474963010868</v>
      </c>
      <c r="BC78" s="49" t="n">
        <f aca="false">-(In_Fixed_Opex*$F25+In_Admin)*BC73*BC16*BC$6</f>
        <v>-408.582231932093</v>
      </c>
      <c r="BD78" s="49" t="n">
        <f aca="false">-(In_Fixed_Opex*$F25+In_Admin)*BD73*BD16*BD$6</f>
        <v>-413.122034509116</v>
      </c>
      <c r="BE78" s="49" t="n">
        <f aca="false">-(In_Fixed_Opex*$F25+In_Admin)*BE73*BE16*BE$6</f>
        <v>-417.661837086139</v>
      </c>
      <c r="BF78" s="49" t="n">
        <f aca="false">-(In_Fixed_Opex*$F25+In_Admin)*BF73*BF16*BF$6</f>
        <v>-417.661837086139</v>
      </c>
      <c r="BG78" s="49" t="n">
        <f aca="false">-(In_Fixed_Opex*$F25+In_Admin)*BG73*BG16*BG$6</f>
        <v>-418.796787730395</v>
      </c>
      <c r="BH78" s="49" t="n">
        <f aca="false">-(In_Fixed_Opex*$F25+In_Admin)*BH73*BH16*BH$6</f>
        <v>-423.450085371844</v>
      </c>
      <c r="BI78" s="49" t="n">
        <f aca="false">-(In_Fixed_Opex*$F25+In_Admin)*BI73*BI16*BI$6</f>
        <v>-428.103383013293</v>
      </c>
      <c r="BJ78" s="49" t="n">
        <f aca="false">-(In_Fixed_Opex*$F25+In_Admin)*BJ73*BJ16*BJ$6</f>
        <v>-428.103383013293</v>
      </c>
      <c r="BK78" s="49" t="n">
        <f aca="false">-(In_Fixed_Opex*$F25+In_Admin)*BK73*BK16*BK$6</f>
        <v>-434.03633750614</v>
      </c>
      <c r="BL78" s="49" t="n">
        <f aca="false">-(In_Fixed_Opex*$F25+In_Admin)*BL73*BL16*BL$6</f>
        <v>-434.03633750614</v>
      </c>
      <c r="BM78" s="49" t="n">
        <f aca="false">-(In_Fixed_Opex*$F25+In_Admin)*BM73*BM16*BM$6</f>
        <v>-438.805967588625</v>
      </c>
      <c r="BN78" s="49" t="n">
        <f aca="false">-(In_Fixed_Opex*$F25+In_Admin)*BN73*BN16*BN$6</f>
        <v>-438.805967588625</v>
      </c>
      <c r="BO78" s="49" t="n">
        <f aca="false">-(In_Fixed_Opex*$F25+In_Admin)*BO73*BO16*BO$6</f>
        <v>-439.998375109246</v>
      </c>
      <c r="BP78" s="49" t="n">
        <f aca="false">-(In_Fixed_Opex*$F25+In_Admin)*BP73*BP16*BP$6</f>
        <v>-444.887245943794</v>
      </c>
      <c r="BQ78" s="49" t="n">
        <f aca="false">-(In_Fixed_Opex*$F25+In_Admin)*BQ73*BQ16*BQ$6</f>
        <v>-449.776116778341</v>
      </c>
      <c r="BR78" s="49" t="n">
        <f aca="false">-(In_Fixed_Opex*$F25+In_Admin)*BR73*BR16*BR$6</f>
        <v>-449.776116778341</v>
      </c>
      <c r="BS78" s="49" t="n">
        <f aca="false">-(In_Fixed_Opex*$F25+In_Admin)*BS73*BS16*BS$6</f>
        <v>-450.998334486977</v>
      </c>
      <c r="BT78" s="49" t="n">
        <f aca="false">-(In_Fixed_Opex*$F25+In_Admin)*BT73*BT16*BT$6</f>
        <v>-456.009427092388</v>
      </c>
      <c r="BU78" s="49" t="n">
        <f aca="false">-(In_Fixed_Opex*$F25+In_Admin)*BU73*BU16*BU$6</f>
        <v>-461.020519697799</v>
      </c>
      <c r="BV78" s="49" t="n">
        <f aca="false">-(In_Fixed_Opex*$F25+In_Admin)*BV73*BV16*BV$6</f>
        <v>-461.020519697799</v>
      </c>
      <c r="BW78" s="49" t="n">
        <f aca="false">-(In_Fixed_Opex*$F25+In_Admin)*BW73*BW16*BW$6</f>
        <v>-462.273292849152</v>
      </c>
      <c r="BX78" s="49" t="n">
        <f aca="false">-(In_Fixed_Opex*$F25+In_Admin)*BX73*BX16*BX$6</f>
        <v>-467.409662769698</v>
      </c>
      <c r="BY78" s="49" t="n">
        <f aca="false">-(In_Fixed_Opex*$F25+In_Admin)*BY73*BY16*BY$6</f>
        <v>-472.546032690244</v>
      </c>
      <c r="BZ78" s="49" t="n">
        <f aca="false">-(In_Fixed_Opex*$F25+In_Admin)*BZ73*BZ16*BZ$6</f>
        <v>-472.546032690244</v>
      </c>
      <c r="CA78" s="49" t="n">
        <f aca="false">-(In_Fixed_Opex*$F25+In_Admin)*CA73*CA16*CA$6</f>
        <v>-479.09490433894</v>
      </c>
      <c r="CB78" s="49" t="n">
        <f aca="false">-(In_Fixed_Opex*$F25+In_Admin)*CB73*CB16*CB$6</f>
        <v>-479.09490433894</v>
      </c>
      <c r="CC78" s="49" t="n">
        <f aca="false">-(In_Fixed_Opex*$F25+In_Admin)*CC73*CC16*CC$6</f>
        <v>-484.3596835075</v>
      </c>
      <c r="CD78" s="49" t="n">
        <f aca="false">-(In_Fixed_Opex*$F25+In_Admin)*CD73*CD16*CD$6</f>
        <v>-484.3596835075</v>
      </c>
      <c r="CE78" s="49" t="n">
        <f aca="false">-(In_Fixed_Opex*$F25+In_Admin)*CE73*CE16*CE$6</f>
        <v>-485.67587829964</v>
      </c>
      <c r="CF78" s="49" t="n">
        <f aca="false">-(In_Fixed_Opex*$F25+In_Admin)*CF73*CF16*CF$6</f>
        <v>-491.072276947414</v>
      </c>
      <c r="CG78" s="49" t="n">
        <f aca="false">-(In_Fixed_Opex*$F25+In_Admin)*CG73*CG16*CG$6</f>
        <v>-496.468675595188</v>
      </c>
      <c r="CH78" s="49" t="n">
        <f aca="false">-(In_Fixed_Opex*$F25+In_Admin)*CH73*CH16*CH$6</f>
        <v>-496.468675595188</v>
      </c>
      <c r="CI78" s="49" t="n">
        <f aca="false">-(In_Fixed_Opex*$F25+In_Admin)*CI73*CI16*CI$6</f>
        <v>-497.817775257131</v>
      </c>
      <c r="CJ78" s="49" t="n">
        <f aca="false">-(In_Fixed_Opex*$F25+In_Admin)*CJ73*CJ16*CJ$6</f>
        <v>-503.349083871099</v>
      </c>
      <c r="CK78" s="49" t="n">
        <f aca="false">-(In_Fixed_Opex*$F25+In_Admin)*CK73*CK16*CK$6</f>
        <v>-508.880392485067</v>
      </c>
      <c r="CL78" s="49" t="n">
        <f aca="false">-(In_Fixed_Opex*$F25+In_Admin)*CL73*CL16*CL$6</f>
        <v>-508.880392485067</v>
      </c>
      <c r="CM78" s="49" t="n">
        <f aca="false">-(In_Fixed_Opex*$F25+In_Admin)*CM73*CM16*CM$6</f>
        <v>-510.263219638559</v>
      </c>
      <c r="CN78" s="49" t="n">
        <f aca="false">-(In_Fixed_Opex*$F25+In_Admin)*CN73*CN16*CN$6</f>
        <v>-515.932810967877</v>
      </c>
      <c r="CO78" s="49" t="n">
        <f aca="false">-(In_Fixed_Opex*$F25+In_Admin)*CO73*CO16*CO$6</f>
        <v>-521.602402297194</v>
      </c>
      <c r="CP78" s="49" t="n">
        <f aca="false">-(In_Fixed_Opex*$F25+In_Admin)*CP73*CP16*CP$6</f>
        <v>-521.602402297194</v>
      </c>
      <c r="CQ78" s="49" t="n">
        <f aca="false">-(In_Fixed_Opex*$F25+In_Admin)*CQ73*CQ16*CQ$6</f>
        <v>-528.831131242074</v>
      </c>
      <c r="CR78" s="49" t="n">
        <f aca="false">-(In_Fixed_Opex*$F25+In_Admin)*CR73*CR16*CR$6</f>
        <v>-528.831131242074</v>
      </c>
      <c r="CS78" s="49" t="n">
        <f aca="false">-(In_Fixed_Opex*$F25+In_Admin)*CS73*CS16*CS$6</f>
        <v>-534.642462354624</v>
      </c>
      <c r="CT78" s="49" t="n">
        <f aca="false">-(In_Fixed_Opex*$F25+In_Admin)*CT73*CT16*CT$6</f>
        <v>-534.642462354624</v>
      </c>
      <c r="CU78" s="49" t="n">
        <f aca="false">-(In_Fixed_Opex*$F25+In_Admin)*CU73*CU16*CU$6</f>
        <v>-536.095295132761</v>
      </c>
      <c r="CV78" s="49" t="n">
        <f aca="false">-(In_Fixed_Opex*$F25+In_Admin)*CV73*CV16*CV$6</f>
        <v>-542.051909523125</v>
      </c>
      <c r="CW78" s="49" t="n">
        <f aca="false">-(In_Fixed_Opex*$F25+In_Admin)*CW73*CW16*CW$6</f>
        <v>-548.008523913489</v>
      </c>
      <c r="CX78" s="49" t="n">
        <f aca="false">-(In_Fixed_Opex*$F25+In_Admin)*CX73*CX16*CX$6</f>
        <v>-548.008523913489</v>
      </c>
      <c r="CY78" s="49" t="n">
        <f aca="false">-(In_Fixed_Opex*$F25+In_Admin)*CY73*CY16*CY$6</f>
        <v>-549.49767751108</v>
      </c>
      <c r="CZ78" s="49" t="n">
        <f aca="false">-(In_Fixed_Opex*$F25+In_Admin)*CZ73*CZ16*CZ$6</f>
        <v>-555.603207261203</v>
      </c>
      <c r="DA78" s="49" t="n">
        <f aca="false">-(In_Fixed_Opex*$F25+In_Admin)*DA73*DA16*DA$6</f>
        <v>-561.708737011326</v>
      </c>
      <c r="DB78" s="49" t="n">
        <f aca="false">-(In_Fixed_Opex*$F25+In_Admin)*DB73*DB16*DB$6</f>
        <v>-561.708737011326</v>
      </c>
      <c r="DC78" s="49" t="n">
        <f aca="false">-(In_Fixed_Opex*$F25+In_Admin)*DC73*DC16*DC$6</f>
        <v>-563.235119448857</v>
      </c>
      <c r="DD78" s="49" t="n">
        <f aca="false">-(In_Fixed_Opex*$F25+In_Admin)*DD73*DD16*DD$6</f>
        <v>-569.493287442734</v>
      </c>
      <c r="DE78" s="49" t="n">
        <f aca="false">-(In_Fixed_Opex*$F25+In_Admin)*DE73*DE16*DE$6</f>
        <v>-575.75145543661</v>
      </c>
      <c r="DF78" s="49" t="n">
        <f aca="false">-(In_Fixed_Opex*$F25+In_Admin)*DF73*DF16*DF$6</f>
        <v>-575.75145543661</v>
      </c>
      <c r="DG78" s="49" t="n">
        <f aca="false">-(In_Fixed_Opex*$F25+In_Admin)*DG73*DG16*DG$6</f>
        <v>-583.730619628802</v>
      </c>
      <c r="DH78" s="49" t="n">
        <f aca="false">-(In_Fixed_Opex*$F25+In_Admin)*DH73*DH16*DH$6</f>
        <v>-583.730619628802</v>
      </c>
      <c r="DI78" s="49" t="n">
        <f aca="false">-(In_Fixed_Opex*$F25+In_Admin)*DI73*DI16*DI$6</f>
        <v>-590.145241822525</v>
      </c>
      <c r="DJ78" s="49" t="n">
        <f aca="false">-(In_Fixed_Opex*$F25+In_Admin)*DJ73*DJ16*DJ$6</f>
        <v>-590.145241822525</v>
      </c>
      <c r="DK78" s="49" t="n">
        <f aca="false">-(In_Fixed_Opex*$F25+In_Admin)*DK73*DK16*DK$6</f>
        <v>-591.748897370955</v>
      </c>
      <c r="DL78" s="49" t="n">
        <f aca="false">-(In_Fixed_Opex*$F25+In_Admin)*DL73*DL16*DL$6</f>
        <v>-598.323885119522</v>
      </c>
      <c r="DM78" s="49" t="n">
        <f aca="false">-(In_Fixed_Opex*$F25+In_Admin)*DM73*DM16*DM$6</f>
        <v>-604.898872868088</v>
      </c>
      <c r="DN78" s="49" t="n">
        <f aca="false">-(In_Fixed_Opex*$F25+In_Admin)*DN73*DN16*DN$6</f>
        <v>-604.898872868088</v>
      </c>
      <c r="DO78" s="49" t="n">
        <f aca="false">-(In_Fixed_Opex*$F25+In_Admin)*DO73*DO16*DO$6</f>
        <v>-606.542619805229</v>
      </c>
      <c r="DP78" s="49" t="n">
        <f aca="false">-(In_Fixed_Opex*$F25+In_Admin)*DP73*DP16*DP$6</f>
        <v>-613.28198224751</v>
      </c>
      <c r="DQ78" s="49" t="n">
        <f aca="false">-(In_Fixed_Opex*$F25+In_Admin)*DQ73*DQ16*DQ$6</f>
        <v>-620.02134468979</v>
      </c>
      <c r="DR78" s="49" t="n">
        <f aca="false">-(In_Fixed_Opex*$F25+In_Admin)*DR73*DR16*DR$6</f>
        <v>-620.02134468979</v>
      </c>
      <c r="DS78" s="49" t="n">
        <f aca="false">-(In_Fixed_Opex*$F25+In_Admin)*DS73*DS16*DS$6</f>
        <v>-621.70618530036</v>
      </c>
      <c r="DT78" s="49" t="n">
        <f aca="false">-(In_Fixed_Opex*$F25+In_Admin)*DT73*DT16*DT$6</f>
        <v>-628.614031803698</v>
      </c>
      <c r="DU78" s="49" t="n">
        <f aca="false">-(In_Fixed_Opex*$F25+In_Admin)*DU73*DU16*DU$6</f>
        <v>-635.521878307035</v>
      </c>
      <c r="DV78" s="49" t="n">
        <f aca="false">-(In_Fixed_Opex*$F25+In_Admin)*DV73*DV16*DV$6</f>
        <v>-635.521878307035</v>
      </c>
      <c r="DW78" s="49" t="n">
        <f aca="false">-(In_Fixed_Opex*$F25+In_Admin)*DW73*DW16*DW$6</f>
        <v>-644.32938259879</v>
      </c>
      <c r="DX78" s="49" t="n">
        <f aca="false">-(In_Fixed_Opex*$F25+In_Admin)*DX73*DX16*DX$6</f>
        <v>-644.32938259879</v>
      </c>
      <c r="DY78" s="49" t="n">
        <f aca="false">-(In_Fixed_Opex*$F25+In_Admin)*DY73*DY16*DY$6</f>
        <v>-651.409925264711</v>
      </c>
      <c r="DZ78" s="49" t="n">
        <f aca="false">-(In_Fixed_Opex*$F25+In_Admin)*DZ73*DZ16*DZ$6</f>
        <v>-651.409925264711</v>
      </c>
      <c r="EA78" s="49" t="n">
        <f aca="false">-(In_Fixed_Opex*$F25+In_Admin)*EA73*EA16*EA$6</f>
        <v>-653.180060931191</v>
      </c>
      <c r="EB78" s="49" t="n">
        <f aca="false">-(In_Fixed_Opex*$F25+In_Admin)*EB73*EB16*EB$6</f>
        <v>-660.43761716376</v>
      </c>
      <c r="EC78" s="49" t="n">
        <f aca="false">-(In_Fixed_Opex*$F25+In_Admin)*EC73*EC16*EC$6</f>
        <v>-667.695173396328</v>
      </c>
      <c r="ED78" s="49" t="n">
        <f aca="false">-(In_Fixed_Opex*$F25+In_Admin)*ED73*ED16*ED$6</f>
        <v>-667.695173396328</v>
      </c>
      <c r="EE78" s="49" t="n">
        <f aca="false">-(In_Fixed_Opex*$F25+In_Admin)*EE73*EE16*EE$6</f>
        <v>-669.50956245447</v>
      </c>
      <c r="EF78" s="49" t="n">
        <f aca="false">-(In_Fixed_Opex*$F25+In_Admin)*EF73*EF16*EF$6</f>
        <v>-676.948557592854</v>
      </c>
      <c r="EG78" s="49" t="n">
        <f aca="false">-(In_Fixed_Opex*$F25+In_Admin)*EG73*EG16*EG$6</f>
        <v>-684.387552731237</v>
      </c>
      <c r="EH78" s="49" t="n">
        <f aca="false">-(In_Fixed_Opex*$F25+In_Admin)*EH73*EH16*EH$6</f>
        <v>-684.387552731237</v>
      </c>
      <c r="EI78" s="49" t="n">
        <f aca="false">-(In_Fixed_Opex*$F25+In_Admin)*EI73*EI16*EI$6</f>
        <v>-686.247301515832</v>
      </c>
      <c r="EJ78" s="49" t="n">
        <f aca="false">-(In_Fixed_Opex*$F25+In_Admin)*EJ73*EJ16*EJ$6</f>
        <v>-693.872271532675</v>
      </c>
      <c r="EK78" s="49" t="n">
        <f aca="false">-(In_Fixed_Opex*$F25+In_Admin)*EK73*EK16*EK$6</f>
        <v>-701.497241549517</v>
      </c>
      <c r="EL78" s="49" t="n">
        <f aca="false">-(In_Fixed_Opex*$F25+In_Admin)*EL73*EL16*EL$6</f>
        <v>-701.497241549517</v>
      </c>
      <c r="EM78" s="49" t="n">
        <f aca="false">-(In_Fixed_Opex*$F25+In_Admin)*EM73*EM16*EM$6</f>
        <v>-711.219078320991</v>
      </c>
      <c r="EN78" s="49" t="n">
        <f aca="false">-(In_Fixed_Opex*$F25+In_Admin)*EN73*EN16*EN$6</f>
        <v>-711.219078320991</v>
      </c>
      <c r="EO78" s="49" t="n">
        <f aca="false">-(In_Fixed_Opex*$F25+In_Admin)*EO73*EO16*EO$6</f>
        <v>-719.034672588255</v>
      </c>
    </row>
    <row r="79" customFormat="false" ht="15" hidden="false" customHeight="false" outlineLevel="0" collapsed="false">
      <c r="C79" s="1" t="s">
        <v>472</v>
      </c>
      <c r="D79" s="12" t="s">
        <v>33</v>
      </c>
      <c r="I79" s="49" t="n">
        <f aca="false">SUM(J79:EO79)</f>
        <v>-7708.87664873263</v>
      </c>
      <c r="J79" s="49" t="n">
        <f aca="false">-In_Lease*$F25*J73*J17*J$6</f>
        <v>-0</v>
      </c>
      <c r="K79" s="49" t="n">
        <f aca="false">-In_Lease*$F25*K73*K17*K$6</f>
        <v>-0</v>
      </c>
      <c r="L79" s="49" t="n">
        <f aca="false">-In_Lease*$F25*L73*L17*L$6</f>
        <v>-0</v>
      </c>
      <c r="M79" s="49" t="n">
        <f aca="false">-In_Lease*$F25*M73*M17*M$6</f>
        <v>-0</v>
      </c>
      <c r="N79" s="49" t="n">
        <f aca="false">-In_Lease*$F25*N73*N17*N$6</f>
        <v>-0</v>
      </c>
      <c r="O79" s="49" t="n">
        <f aca="false">-In_Lease*$F25*O73*O17*O$6</f>
        <v>-0</v>
      </c>
      <c r="P79" s="49" t="n">
        <f aca="false">-In_Lease*$F25*P73*P17*P$6</f>
        <v>-0</v>
      </c>
      <c r="Q79" s="49" t="n">
        <f aca="false">-In_Lease*$F25*Q73*Q17*Q$6</f>
        <v>-0</v>
      </c>
      <c r="R79" s="49" t="n">
        <f aca="false">-In_Lease*$F25*R73*R17*R$6</f>
        <v>-39.5850480389201</v>
      </c>
      <c r="S79" s="49" t="n">
        <f aca="false">-In_Lease*$F25*S73*S17*S$6</f>
        <v>-39.6926161042432</v>
      </c>
      <c r="T79" s="49" t="n">
        <f aca="false">-In_Lease*$F25*T73*T17*T$6</f>
        <v>-40.1336451720682</v>
      </c>
      <c r="U79" s="49" t="n">
        <f aca="false">-In_Lease*$F25*U73*U17*U$6</f>
        <v>-40.5746742398931</v>
      </c>
      <c r="V79" s="49" t="n">
        <f aca="false">-In_Lease*$F25*V73*V17*V$6</f>
        <v>-40.5746742398931</v>
      </c>
      <c r="W79" s="49" t="n">
        <f aca="false">-In_Lease*$F25*W73*W17*W$6</f>
        <v>-40.6849315068493</v>
      </c>
      <c r="X79" s="49" t="n">
        <f aca="false">-In_Lease*$F25*X73*X17*X$6</f>
        <v>-41.1369863013699</v>
      </c>
      <c r="Y79" s="49" t="n">
        <f aca="false">-In_Lease*$F25*Y73*Y17*Y$6</f>
        <v>-41.5890410958904</v>
      </c>
      <c r="Z79" s="49" t="n">
        <f aca="false">-In_Lease*$F25*Z73*Z17*Z$6</f>
        <v>-41.5890410958904</v>
      </c>
      <c r="AA79" s="49" t="n">
        <f aca="false">-In_Lease*$F25*AA73*AA17*AA$6</f>
        <v>-41.7020547945206</v>
      </c>
      <c r="AB79" s="49" t="n">
        <f aca="false">-In_Lease*$F25*AB73*AB17*AB$6</f>
        <v>-42.1654109589041</v>
      </c>
      <c r="AC79" s="49" t="n">
        <f aca="false">-In_Lease*$F25*AC73*AC17*AC$6</f>
        <v>-42.6287671232877</v>
      </c>
      <c r="AD79" s="49" t="n">
        <f aca="false">-In_Lease*$F25*AD73*AD17*AD$6</f>
        <v>-42.6287671232877</v>
      </c>
      <c r="AE79" s="49" t="n">
        <f aca="false">-In_Lease*$F25*AE73*AE17*AE$6</f>
        <v>-43.2195462328767</v>
      </c>
      <c r="AF79" s="49" t="n">
        <f aca="false">-In_Lease*$F25*AF73*AF17*AF$6</f>
        <v>-43.2195462328767</v>
      </c>
      <c r="AG79" s="49" t="n">
        <f aca="false">-In_Lease*$F25*AG73*AG17*AG$6</f>
        <v>-43.6944863013699</v>
      </c>
      <c r="AH79" s="49" t="n">
        <f aca="false">-In_Lease*$F25*AH73*AH17*AH$6</f>
        <v>-43.6944863013699</v>
      </c>
      <c r="AI79" s="49" t="n">
        <f aca="false">-In_Lease*$F25*AI73*AI17*AI$6</f>
        <v>-43.8132213184931</v>
      </c>
      <c r="AJ79" s="49" t="n">
        <f aca="false">-In_Lease*$F25*AJ73*AJ17*AJ$6</f>
        <v>-44.3000348886986</v>
      </c>
      <c r="AK79" s="49" t="n">
        <f aca="false">-In_Lease*$F25*AK73*AK17*AK$6</f>
        <v>-44.7868484589041</v>
      </c>
      <c r="AL79" s="49" t="n">
        <f aca="false">-In_Lease*$F25*AL73*AL17*AL$6</f>
        <v>-44.7868484589041</v>
      </c>
      <c r="AM79" s="49" t="n">
        <f aca="false">-In_Lease*$F25*AM73*AM17*AM$6</f>
        <v>-44.9085518514555</v>
      </c>
      <c r="AN79" s="49" t="n">
        <f aca="false">-In_Lease*$F25*AN73*AN17*AN$6</f>
        <v>-45.4075357609161</v>
      </c>
      <c r="AO79" s="49" t="n">
        <f aca="false">-In_Lease*$F25*AO73*AO17*AO$6</f>
        <v>-45.9065196703767</v>
      </c>
      <c r="AP79" s="49" t="n">
        <f aca="false">-In_Lease*$F25*AP73*AP17*AP$6</f>
        <v>-45.9065196703767</v>
      </c>
      <c r="AQ79" s="49" t="n">
        <f aca="false">-In_Lease*$F25*AQ73*AQ17*AQ$6</f>
        <v>-46.0312656477419</v>
      </c>
      <c r="AR79" s="49" t="n">
        <f aca="false">-In_Lease*$F25*AR73*AR17*AR$6</f>
        <v>-46.542724154939</v>
      </c>
      <c r="AS79" s="49" t="n">
        <f aca="false">-In_Lease*$F25*AS73*AS17*AS$6</f>
        <v>-47.0541826621361</v>
      </c>
      <c r="AT79" s="49" t="n">
        <f aca="false">-In_Lease*$F25*AT73*AT17*AT$6</f>
        <v>-47.0541826621361</v>
      </c>
      <c r="AU79" s="49" t="n">
        <f aca="false">-In_Lease*$F25*AU73*AU17*AU$6</f>
        <v>-47.7062922588125</v>
      </c>
      <c r="AV79" s="49" t="n">
        <f aca="false">-In_Lease*$F25*AV73*AV17*AV$6</f>
        <v>-47.7062922588125</v>
      </c>
      <c r="AW79" s="49" t="n">
        <f aca="false">-In_Lease*$F25*AW73*AW17*AW$6</f>
        <v>-48.2305372286895</v>
      </c>
      <c r="AX79" s="49" t="n">
        <f aca="false">-In_Lease*$F25*AX73*AX17*AX$6</f>
        <v>-48.2305372286895</v>
      </c>
      <c r="AY79" s="49" t="n">
        <f aca="false">-In_Lease*$F25*AY73*AY17*AY$6</f>
        <v>-48.3615984711588</v>
      </c>
      <c r="AZ79" s="49" t="n">
        <f aca="false">-In_Lease*$F25*AZ73*AZ17*AZ$6</f>
        <v>-48.8989495652828</v>
      </c>
      <c r="BA79" s="49" t="n">
        <f aca="false">-In_Lease*$F25*BA73*BA17*BA$6</f>
        <v>-49.4363006594068</v>
      </c>
      <c r="BB79" s="49" t="n">
        <f aca="false">-In_Lease*$F25*BB73*BB17*BB$6</f>
        <v>-49.4363006594068</v>
      </c>
      <c r="BC79" s="49" t="n">
        <f aca="false">-In_Lease*$F25*BC73*BC17*BC$6</f>
        <v>-49.5706384329377</v>
      </c>
      <c r="BD79" s="49" t="n">
        <f aca="false">-In_Lease*$F25*BD73*BD17*BD$6</f>
        <v>-50.1214233044148</v>
      </c>
      <c r="BE79" s="49" t="n">
        <f aca="false">-In_Lease*$F25*BE73*BE17*BE$6</f>
        <v>-50.6722081758919</v>
      </c>
      <c r="BF79" s="49" t="n">
        <f aca="false">-In_Lease*$F25*BF73*BF17*BF$6</f>
        <v>-50.6722081758919</v>
      </c>
      <c r="BG79" s="49" t="n">
        <f aca="false">-In_Lease*$F25*BG73*BG17*BG$6</f>
        <v>-50.8099043937612</v>
      </c>
      <c r="BH79" s="49" t="n">
        <f aca="false">-In_Lease*$F25*BH73*BH17*BH$6</f>
        <v>-51.3744588870252</v>
      </c>
      <c r="BI79" s="49" t="n">
        <f aca="false">-In_Lease*$F25*BI73*BI17*BI$6</f>
        <v>-51.9390133802892</v>
      </c>
      <c r="BJ79" s="49" t="n">
        <f aca="false">-In_Lease*$F25*BJ73*BJ17*BJ$6</f>
        <v>-51.9390133802892</v>
      </c>
      <c r="BK79" s="49" t="n">
        <f aca="false">-In_Lease*$F25*BK73*BK17*BK$6</f>
        <v>-52.6588203592008</v>
      </c>
      <c r="BL79" s="49" t="n">
        <f aca="false">-In_Lease*$F25*BL73*BL17*BL$6</f>
        <v>-52.6588203592008</v>
      </c>
      <c r="BM79" s="49" t="n">
        <f aca="false">-In_Lease*$F25*BM73*BM17*BM$6</f>
        <v>-53.2374887147964</v>
      </c>
      <c r="BN79" s="49" t="n">
        <f aca="false">-In_Lease*$F25*BN73*BN17*BN$6</f>
        <v>-53.2374887147964</v>
      </c>
      <c r="BO79" s="49" t="n">
        <f aca="false">-In_Lease*$F25*BO73*BO17*BO$6</f>
        <v>-53.3821558036953</v>
      </c>
      <c r="BP79" s="49" t="n">
        <f aca="false">-In_Lease*$F25*BP73*BP17*BP$6</f>
        <v>-53.9752908681808</v>
      </c>
      <c r="BQ79" s="49" t="n">
        <f aca="false">-In_Lease*$F25*BQ73*BQ17*BQ$6</f>
        <v>-54.5684259326664</v>
      </c>
      <c r="BR79" s="49" t="n">
        <f aca="false">-In_Lease*$F25*BR73*BR17*BR$6</f>
        <v>-54.5684259326664</v>
      </c>
      <c r="BS79" s="49" t="n">
        <f aca="false">-In_Lease*$F25*BS73*BS17*BS$6</f>
        <v>-54.7167096987877</v>
      </c>
      <c r="BT79" s="49" t="n">
        <f aca="false">-In_Lease*$F25*BT73*BT17*BT$6</f>
        <v>-55.3246731398854</v>
      </c>
      <c r="BU79" s="49" t="n">
        <f aca="false">-In_Lease*$F25*BU73*BU17*BU$6</f>
        <v>-55.932636580983</v>
      </c>
      <c r="BV79" s="49" t="n">
        <f aca="false">-In_Lease*$F25*BV73*BV17*BV$6</f>
        <v>-55.932636580983</v>
      </c>
      <c r="BW79" s="49" t="n">
        <f aca="false">-In_Lease*$F25*BW73*BW17*BW$6</f>
        <v>-56.0846274412574</v>
      </c>
      <c r="BX79" s="49" t="n">
        <f aca="false">-In_Lease*$F25*BX73*BX17*BX$6</f>
        <v>-56.7077899683825</v>
      </c>
      <c r="BY79" s="49" t="n">
        <f aca="false">-In_Lease*$F25*BY73*BY17*BY$6</f>
        <v>-57.3309524955076</v>
      </c>
      <c r="BZ79" s="49" t="n">
        <f aca="false">-In_Lease*$F25*BZ73*BZ17*BZ$6</f>
        <v>-57.3309524955076</v>
      </c>
      <c r="CA79" s="49" t="n">
        <f aca="false">-In_Lease*$F25*CA73*CA17*CA$6</f>
        <v>-58.125484717592</v>
      </c>
      <c r="CB79" s="49" t="n">
        <f aca="false">-In_Lease*$F25*CB73*CB17*CB$6</f>
        <v>-58.125484717592</v>
      </c>
      <c r="CC79" s="49" t="n">
        <f aca="false">-In_Lease*$F25*CC73*CC17*CC$6</f>
        <v>-58.7642263078953</v>
      </c>
      <c r="CD79" s="49" t="n">
        <f aca="false">-In_Lease*$F25*CD73*CD17*CD$6</f>
        <v>-58.7642263078953</v>
      </c>
      <c r="CE79" s="49" t="n">
        <f aca="false">-In_Lease*$F25*CE73*CE17*CE$6</f>
        <v>-58.923911705471</v>
      </c>
      <c r="CF79" s="49" t="n">
        <f aca="false">-In_Lease*$F25*CF73*CF17*CF$6</f>
        <v>-59.5786218355318</v>
      </c>
      <c r="CG79" s="49" t="n">
        <f aca="false">-In_Lease*$F25*CG73*CG17*CG$6</f>
        <v>-60.2333319655926</v>
      </c>
      <c r="CH79" s="49" t="n">
        <f aca="false">-In_Lease*$F25*CH73*CH17*CH$6</f>
        <v>-60.2333319655926</v>
      </c>
      <c r="CI79" s="49" t="n">
        <f aca="false">-In_Lease*$F25*CI73*CI17*CI$6</f>
        <v>-60.3970094981078</v>
      </c>
      <c r="CJ79" s="49" t="n">
        <f aca="false">-In_Lease*$F25*CJ73*CJ17*CJ$6</f>
        <v>-61.0680873814201</v>
      </c>
      <c r="CK79" s="49" t="n">
        <f aca="false">-In_Lease*$F25*CK73*CK17*CK$6</f>
        <v>-61.7391652647324</v>
      </c>
      <c r="CL79" s="49" t="n">
        <f aca="false">-In_Lease*$F25*CL73*CL17*CL$6</f>
        <v>-61.7391652647324</v>
      </c>
      <c r="CM79" s="49" t="n">
        <f aca="false">-In_Lease*$F25*CM73*CM17*CM$6</f>
        <v>-61.9069347355605</v>
      </c>
      <c r="CN79" s="49" t="n">
        <f aca="false">-In_Lease*$F25*CN73*CN17*CN$6</f>
        <v>-62.5947895659556</v>
      </c>
      <c r="CO79" s="49" t="n">
        <f aca="false">-In_Lease*$F25*CO73*CO17*CO$6</f>
        <v>-63.2826443963507</v>
      </c>
      <c r="CP79" s="49" t="n">
        <f aca="false">-In_Lease*$F25*CP73*CP17*CP$6</f>
        <v>-63.2826443963507</v>
      </c>
      <c r="CQ79" s="49" t="n">
        <f aca="false">-In_Lease*$F25*CQ73*CQ17*CQ$6</f>
        <v>-64.1596593051045</v>
      </c>
      <c r="CR79" s="49" t="n">
        <f aca="false">-In_Lease*$F25*CR73*CR17*CR$6</f>
        <v>-64.1596593051045</v>
      </c>
      <c r="CS79" s="49" t="n">
        <f aca="false">-In_Lease*$F25*CS73*CS17*CS$6</f>
        <v>-64.8647105062595</v>
      </c>
      <c r="CT79" s="49" t="n">
        <f aca="false">-In_Lease*$F25*CT73*CT17*CT$6</f>
        <v>-64.8647105062595</v>
      </c>
      <c r="CU79" s="49" t="n">
        <f aca="false">-In_Lease*$F25*CU73*CU17*CU$6</f>
        <v>-65.0409733065482</v>
      </c>
      <c r="CV79" s="49" t="n">
        <f aca="false">-In_Lease*$F25*CV73*CV17*CV$6</f>
        <v>-65.7636507877321</v>
      </c>
      <c r="CW79" s="49" t="n">
        <f aca="false">-In_Lease*$F25*CW73*CW17*CW$6</f>
        <v>-66.486328268916</v>
      </c>
      <c r="CX79" s="49" t="n">
        <f aca="false">-In_Lease*$F25*CX73*CX17*CX$6</f>
        <v>-66.486328268916</v>
      </c>
      <c r="CY79" s="49" t="n">
        <f aca="false">-In_Lease*$F25*CY73*CY17*CY$6</f>
        <v>-66.6669976392119</v>
      </c>
      <c r="CZ79" s="49" t="n">
        <f aca="false">-In_Lease*$F25*CZ73*CZ17*CZ$6</f>
        <v>-67.4077420574254</v>
      </c>
      <c r="DA79" s="49" t="n">
        <f aca="false">-In_Lease*$F25*DA73*DA17*DA$6</f>
        <v>-68.1484864756389</v>
      </c>
      <c r="DB79" s="49" t="n">
        <f aca="false">-In_Lease*$F25*DB73*DB17*DB$6</f>
        <v>-68.1484864756389</v>
      </c>
      <c r="DC79" s="49" t="n">
        <f aca="false">-In_Lease*$F25*DC73*DC17*DC$6</f>
        <v>-68.3336725801922</v>
      </c>
      <c r="DD79" s="49" t="n">
        <f aca="false">-In_Lease*$F25*DD73*DD17*DD$6</f>
        <v>-69.0929356088611</v>
      </c>
      <c r="DE79" s="49" t="n">
        <f aca="false">-In_Lease*$F25*DE73*DE17*DE$6</f>
        <v>-69.8521986375299</v>
      </c>
      <c r="DF79" s="49" t="n">
        <f aca="false">-In_Lease*$F25*DF73*DF17*DF$6</f>
        <v>-69.8521986375299</v>
      </c>
      <c r="DG79" s="49" t="n">
        <f aca="false">-In_Lease*$F25*DG73*DG17*DG$6</f>
        <v>-70.8202589990826</v>
      </c>
      <c r="DH79" s="49" t="n">
        <f aca="false">-In_Lease*$F25*DH73*DH17*DH$6</f>
        <v>-70.8202589990826</v>
      </c>
      <c r="DI79" s="49" t="n">
        <f aca="false">-In_Lease*$F25*DI73*DI17*DI$6</f>
        <v>-71.5985036034681</v>
      </c>
      <c r="DJ79" s="49" t="n">
        <f aca="false">-In_Lease*$F25*DJ73*DJ17*DJ$6</f>
        <v>-71.5985036034681</v>
      </c>
      <c r="DK79" s="49" t="n">
        <f aca="false">-In_Lease*$F25*DK73*DK17*DK$6</f>
        <v>-71.7930647545645</v>
      </c>
      <c r="DL79" s="49" t="n">
        <f aca="false">-In_Lease*$F25*DL73*DL17*DL$6</f>
        <v>-72.5907654740596</v>
      </c>
      <c r="DM79" s="49" t="n">
        <f aca="false">-In_Lease*$F25*DM73*DM17*DM$6</f>
        <v>-73.3884661935548</v>
      </c>
      <c r="DN79" s="49" t="n">
        <f aca="false">-In_Lease*$F25*DN73*DN17*DN$6</f>
        <v>-73.3884661935548</v>
      </c>
      <c r="DO79" s="49" t="n">
        <f aca="false">-In_Lease*$F25*DO73*DO17*DO$6</f>
        <v>-73.5878913734286</v>
      </c>
      <c r="DP79" s="49" t="n">
        <f aca="false">-In_Lease*$F25*DP73*DP17*DP$6</f>
        <v>-74.4055346109111</v>
      </c>
      <c r="DQ79" s="49" t="n">
        <f aca="false">-In_Lease*$F25*DQ73*DQ17*DQ$6</f>
        <v>-75.2231778483937</v>
      </c>
      <c r="DR79" s="49" t="n">
        <f aca="false">-In_Lease*$F25*DR73*DR17*DR$6</f>
        <v>-75.2231778483937</v>
      </c>
      <c r="DS79" s="49" t="n">
        <f aca="false">-In_Lease*$F25*DS73*DS17*DS$6</f>
        <v>-75.4275886577643</v>
      </c>
      <c r="DT79" s="49" t="n">
        <f aca="false">-In_Lease*$F25*DT73*DT17*DT$6</f>
        <v>-76.2656729761839</v>
      </c>
      <c r="DU79" s="49" t="n">
        <f aca="false">-In_Lease*$F25*DU73*DU17*DU$6</f>
        <v>-77.1037572946035</v>
      </c>
      <c r="DV79" s="49" t="n">
        <f aca="false">-In_Lease*$F25*DV73*DV17*DV$6</f>
        <v>-77.1037572946035</v>
      </c>
      <c r="DW79" s="49" t="n">
        <f aca="false">-In_Lease*$F25*DW73*DW17*DW$6</f>
        <v>-78.1723148005885</v>
      </c>
      <c r="DX79" s="49" t="n">
        <f aca="false">-In_Lease*$F25*DX73*DX17*DX$6</f>
        <v>-78.1723148005885</v>
      </c>
      <c r="DY79" s="49" t="n">
        <f aca="false">-In_Lease*$F25*DY73*DY17*DY$6</f>
        <v>-79.0313512269686</v>
      </c>
      <c r="DZ79" s="49" t="n">
        <f aca="false">-In_Lease*$F25*DZ73*DZ17*DZ$6</f>
        <v>-79.0313512269686</v>
      </c>
      <c r="EA79" s="49" t="n">
        <f aca="false">-In_Lease*$F25*EA73*EA17*EA$6</f>
        <v>-79.2461103335636</v>
      </c>
      <c r="EB79" s="49" t="n">
        <f aca="false">-In_Lease*$F25*EB73*EB17*EB$6</f>
        <v>-80.1266226706032</v>
      </c>
      <c r="EC79" s="49" t="n">
        <f aca="false">-In_Lease*$F25*EC73*EC17*EC$6</f>
        <v>-81.0071350076428</v>
      </c>
      <c r="ED79" s="49" t="n">
        <f aca="false">-In_Lease*$F25*ED73*ED17*ED$6</f>
        <v>-81.0071350076428</v>
      </c>
      <c r="EE79" s="49" t="n">
        <f aca="false">-In_Lease*$F25*EE73*EE17*EE$6</f>
        <v>-81.2272630919027</v>
      </c>
      <c r="EF79" s="49" t="n">
        <f aca="false">-In_Lease*$F25*EF73*EF17*EF$6</f>
        <v>-82.1297882373683</v>
      </c>
      <c r="EG79" s="49" t="n">
        <f aca="false">-In_Lease*$F25*EG73*EG17*EG$6</f>
        <v>-83.0323133828338</v>
      </c>
      <c r="EH79" s="49" t="n">
        <f aca="false">-In_Lease*$F25*EH73*EH17*EH$6</f>
        <v>-83.0323133828338</v>
      </c>
      <c r="EI79" s="49" t="n">
        <f aca="false">-In_Lease*$F25*EI73*EI17*EI$6</f>
        <v>-83.2579446692002</v>
      </c>
      <c r="EJ79" s="49" t="n">
        <f aca="false">-In_Lease*$F25*EJ73*EJ17*EJ$6</f>
        <v>-84.1830329433024</v>
      </c>
      <c r="EK79" s="49" t="n">
        <f aca="false">-In_Lease*$F25*EK73*EK17*EK$6</f>
        <v>-85.1081212174047</v>
      </c>
      <c r="EL79" s="49" t="n">
        <f aca="false">-In_Lease*$F25*EL73*EL17*EL$6</f>
        <v>-85.1081212174047</v>
      </c>
      <c r="EM79" s="49" t="n">
        <f aca="false">-In_Lease*$F25*EM73*EM17*EM$6</f>
        <v>-86.287608766885</v>
      </c>
      <c r="EN79" s="49" t="n">
        <f aca="false">-In_Lease*$F25*EN73*EN17*EN$6</f>
        <v>-86.287608766885</v>
      </c>
      <c r="EO79" s="49" t="n">
        <f aca="false">-In_Lease*$F25*EO73*EO17*EO$6</f>
        <v>-87.2358242478398</v>
      </c>
    </row>
    <row r="80" customFormat="false" ht="15" hidden="false" customHeight="false" outlineLevel="0" collapsed="false">
      <c r="C80" s="1" t="s">
        <v>473</v>
      </c>
      <c r="D80" s="12" t="s">
        <v>33</v>
      </c>
      <c r="I80" s="49" t="n">
        <f aca="false">SUM(J80:EO80)</f>
        <v>-10098.0650826636</v>
      </c>
      <c r="J80" s="49" t="n">
        <f aca="false">-J76*(In_MEKH+In_HIPA+In_Innovation)</f>
        <v>-0</v>
      </c>
      <c r="K80" s="49" t="n">
        <f aca="false">-K76*(In_MEKH+In_HIPA+In_Innovation)</f>
        <v>-0</v>
      </c>
      <c r="L80" s="49" t="n">
        <f aca="false">-L76*(In_MEKH+In_HIPA+In_Innovation)</f>
        <v>-0</v>
      </c>
      <c r="M80" s="49" t="n">
        <f aca="false">-M76*(In_MEKH+In_HIPA+In_Innovation)</f>
        <v>-0</v>
      </c>
      <c r="N80" s="49" t="n">
        <f aca="false">-N76*(In_MEKH+In_HIPA+In_Innovation)</f>
        <v>-0</v>
      </c>
      <c r="O80" s="49" t="n">
        <f aca="false">-O76*(In_MEKH+In_HIPA+In_Innovation)</f>
        <v>-0</v>
      </c>
      <c r="P80" s="49" t="n">
        <f aca="false">-P76*(In_MEKH+In_HIPA+In_Innovation)</f>
        <v>-0</v>
      </c>
      <c r="Q80" s="49" t="n">
        <f aca="false">-Q76*(In_MEKH+In_HIPA+In_Innovation)</f>
        <v>-0</v>
      </c>
      <c r="R80" s="49" t="n">
        <f aca="false">-R76*(In_MEKH+In_HIPA+In_Innovation)</f>
        <v>-0</v>
      </c>
      <c r="S80" s="49" t="n">
        <f aca="false">-S76*(In_MEKH+In_HIPA+In_Innovation)</f>
        <v>-0</v>
      </c>
      <c r="T80" s="49" t="n">
        <f aca="false">-T76*(In_MEKH+In_HIPA+In_Innovation)</f>
        <v>-0</v>
      </c>
      <c r="U80" s="49" t="n">
        <f aca="false">-U76*(In_MEKH+In_HIPA+In_Innovation)</f>
        <v>-0</v>
      </c>
      <c r="V80" s="49" t="n">
        <f aca="false">-V76*(In_MEKH+In_HIPA+In_Innovation)</f>
        <v>-0</v>
      </c>
      <c r="W80" s="49" t="n">
        <f aca="false">-W76*(In_MEKH+In_HIPA+In_Innovation)</f>
        <v>-0</v>
      </c>
      <c r="X80" s="49" t="n">
        <f aca="false">-X76*(In_MEKH+In_HIPA+In_Innovation)</f>
        <v>-0</v>
      </c>
      <c r="Y80" s="49" t="n">
        <f aca="false">-Y76*(In_MEKH+In_HIPA+In_Innovation)</f>
        <v>-0</v>
      </c>
      <c r="Z80" s="49" t="n">
        <f aca="false">-Z76*(In_MEKH+In_HIPA+In_Innovation)</f>
        <v>-75.950784</v>
      </c>
      <c r="AA80" s="49" t="n">
        <f aca="false">-AA76*(In_MEKH+In_HIPA+In_Innovation)</f>
        <v>-75.0426768</v>
      </c>
      <c r="AB80" s="49" t="n">
        <f aca="false">-AB76*(In_MEKH+In_HIPA+In_Innovation)</f>
        <v>-75.87648432</v>
      </c>
      <c r="AC80" s="49" t="n">
        <f aca="false">-AC76*(In_MEKH+In_HIPA+In_Innovation)</f>
        <v>-76.71029184</v>
      </c>
      <c r="AD80" s="49" t="n">
        <f aca="false">-AD76*(In_MEKH+In_HIPA+In_Innovation)</f>
        <v>-76.48016096448</v>
      </c>
      <c r="AE80" s="49" t="n">
        <f aca="false">-AE76*(In_MEKH+In_HIPA+In_Innovation)</f>
        <v>-76.4053434157104</v>
      </c>
      <c r="AF80" s="49" t="n">
        <f aca="false">-AF76*(In_MEKH+In_HIPA+In_Innovation)</f>
        <v>-76.4053434157104</v>
      </c>
      <c r="AG80" s="49" t="n">
        <f aca="false">-AG76*(In_MEKH+In_HIPA+In_Innovation)</f>
        <v>-77.2449625741248</v>
      </c>
      <c r="AH80" s="49" t="n">
        <f aca="false">-AH76*(In_MEKH+In_HIPA+In_Innovation)</f>
        <v>-77.0132276864024</v>
      </c>
      <c r="AI80" s="49" t="n">
        <f aca="false">-AI76*(In_MEKH+In_HIPA+In_Innovation)</f>
        <v>-76.0924173553694</v>
      </c>
      <c r="AJ80" s="49" t="n">
        <f aca="false">-AJ76*(In_MEKH+In_HIPA+In_Innovation)</f>
        <v>-76.9378886593179</v>
      </c>
      <c r="AK80" s="49" t="n">
        <f aca="false">-AK76*(In_MEKH+In_HIPA+In_Innovation)</f>
        <v>-77.7833599632665</v>
      </c>
      <c r="AL80" s="49" t="n">
        <f aca="false">-AL76*(In_MEKH+In_HIPA+In_Innovation)</f>
        <v>-77.5500098833767</v>
      </c>
      <c r="AM80" s="49" t="n">
        <f aca="false">-AM76*(In_MEKH+In_HIPA+In_Innovation)</f>
        <v>-76.6227815043363</v>
      </c>
      <c r="AN80" s="49" t="n">
        <f aca="false">-AN76*(In_MEKH+In_HIPA+In_Innovation)</f>
        <v>-77.4741457432734</v>
      </c>
      <c r="AO80" s="49" t="n">
        <f aca="false">-AO76*(In_MEKH+In_HIPA+In_Innovation)</f>
        <v>-78.3255099822104</v>
      </c>
      <c r="AP80" s="49" t="n">
        <f aca="false">-AP76*(In_MEKH+In_HIPA+In_Innovation)</f>
        <v>-78.0905334522638</v>
      </c>
      <c r="AQ80" s="49" t="n">
        <f aca="false">-AQ76*(In_MEKH+In_HIPA+In_Innovation)</f>
        <v>-77.1568422914215</v>
      </c>
      <c r="AR80" s="49" t="n">
        <f aca="false">-AR76*(In_MEKH+In_HIPA+In_Innovation)</f>
        <v>-78.014140539104</v>
      </c>
      <c r="AS80" s="49" t="n">
        <f aca="false">-AS76*(In_MEKH+In_HIPA+In_Innovation)</f>
        <v>-78.8714387867865</v>
      </c>
      <c r="AT80" s="49" t="n">
        <f aca="false">-AT76*(In_MEKH+In_HIPA+In_Innovation)</f>
        <v>-78.6348244704261</v>
      </c>
      <c r="AU80" s="49" t="n">
        <f aca="false">-AU76*(In_MEKH+In_HIPA+In_Innovation)</f>
        <v>-78.5578990986615</v>
      </c>
      <c r="AV80" s="49" t="n">
        <f aca="false">-AV76*(In_MEKH+In_HIPA+In_Innovation)</f>
        <v>-78.5578990986615</v>
      </c>
      <c r="AW80" s="49" t="n">
        <f aca="false">-AW76*(In_MEKH+In_HIPA+In_Innovation)</f>
        <v>-79.4211727151304</v>
      </c>
      <c r="AX80" s="49" t="n">
        <f aca="false">-AX76*(In_MEKH+In_HIPA+In_Innovation)</f>
        <v>-79.182909196985</v>
      </c>
      <c r="AY80" s="49" t="n">
        <f aca="false">-AY76*(In_MEKH+In_HIPA+In_Innovation)</f>
        <v>-78.2361570218036</v>
      </c>
      <c r="AZ80" s="49" t="n">
        <f aca="false">-AZ76*(In_MEKH+In_HIPA+In_Innovation)</f>
        <v>-79.1054476553792</v>
      </c>
      <c r="BA80" s="49" t="n">
        <f aca="false">-BA76*(In_MEKH+In_HIPA+In_Innovation)</f>
        <v>-79.9747382889548</v>
      </c>
      <c r="BB80" s="49" t="n">
        <f aca="false">-BB76*(In_MEKH+In_HIPA+In_Innovation)</f>
        <v>-79.7348140740879</v>
      </c>
      <c r="BC80" s="49" t="n">
        <f aca="false">-BC76*(In_MEKH+In_HIPA+In_Innovation)</f>
        <v>-78.7814630362456</v>
      </c>
      <c r="BD80" s="49" t="n">
        <f aca="false">-BD76*(In_MEKH+In_HIPA+In_Innovation)</f>
        <v>-79.6568126255372</v>
      </c>
      <c r="BE80" s="49" t="n">
        <f aca="false">-BE76*(In_MEKH+In_HIPA+In_Innovation)</f>
        <v>-80.5321622148288</v>
      </c>
      <c r="BF80" s="49" t="n">
        <f aca="false">-BF76*(In_MEKH+In_HIPA+In_Innovation)</f>
        <v>-80.2905657281844</v>
      </c>
      <c r="BG80" s="49" t="n">
        <f aca="false">-BG76*(In_MEKH+In_HIPA+In_Innovation)</f>
        <v>-79.3305698336082</v>
      </c>
      <c r="BH80" s="49" t="n">
        <f aca="false">-BH76*(In_MEKH+In_HIPA+In_Innovation)</f>
        <v>-80.2120206095372</v>
      </c>
      <c r="BI80" s="49" t="n">
        <f aca="false">-BI76*(In_MEKH+In_HIPA+In_Innovation)</f>
        <v>-81.0934713854662</v>
      </c>
      <c r="BJ80" s="49" t="n">
        <f aca="false">-BJ76*(In_MEKH+In_HIPA+In_Innovation)</f>
        <v>-80.8501909713098</v>
      </c>
      <c r="BK80" s="49" t="n">
        <f aca="false">-BK76*(In_MEKH+In_HIPA+In_Innovation)</f>
        <v>-80.7710983931857</v>
      </c>
      <c r="BL80" s="49" t="n">
        <f aca="false">-BL76*(In_MEKH+In_HIPA+In_Innovation)</f>
        <v>-80.7710983931857</v>
      </c>
      <c r="BM80" s="49" t="n">
        <f aca="false">-BM76*(In_MEKH+In_HIPA+In_Innovation)</f>
        <v>-81.6586928810229</v>
      </c>
      <c r="BN80" s="49" t="n">
        <f aca="false">-BN76*(In_MEKH+In_HIPA+In_Innovation)</f>
        <v>-81.4137168023798</v>
      </c>
      <c r="BO80" s="49" t="n">
        <f aca="false">-BO76*(In_MEKH+In_HIPA+In_Innovation)</f>
        <v>-80.4402919275687</v>
      </c>
      <c r="BP80" s="49" t="n">
        <f aca="false">-BP76*(In_MEKH+In_HIPA+In_Innovation)</f>
        <v>-81.3340729489862</v>
      </c>
      <c r="BQ80" s="49" t="n">
        <f aca="false">-BQ76*(In_MEKH+In_HIPA+In_Innovation)</f>
        <v>-82.2278539704036</v>
      </c>
      <c r="BR80" s="49" t="n">
        <f aca="false">-BR76*(In_MEKH+In_HIPA+In_Innovation)</f>
        <v>-81.9811704084924</v>
      </c>
      <c r="BS80" s="49" t="n">
        <f aca="false">-BS76*(In_MEKH+In_HIPA+In_Innovation)</f>
        <v>-81.0009607623039</v>
      </c>
      <c r="BT80" s="49" t="n">
        <f aca="false">-BT76*(In_MEKH+In_HIPA+In_Innovation)</f>
        <v>-81.9009714374406</v>
      </c>
      <c r="BU80" s="49" t="n">
        <f aca="false">-BU76*(In_MEKH+In_HIPA+In_Innovation)</f>
        <v>-82.8009821125773</v>
      </c>
      <c r="BV80" s="49" t="n">
        <f aca="false">-BV76*(In_MEKH+In_HIPA+In_Innovation)</f>
        <v>-82.5525791662396</v>
      </c>
      <c r="BW80" s="49" t="n">
        <f aca="false">-BW76*(In_MEKH+In_HIPA+In_Innovation)</f>
        <v>-81.5655374588172</v>
      </c>
      <c r="BX80" s="49" t="n">
        <f aca="false">-BX76*(In_MEKH+In_HIPA+In_Innovation)</f>
        <v>-82.4718212083596</v>
      </c>
      <c r="BY80" s="49" t="n">
        <f aca="false">-BY76*(In_MEKH+In_HIPA+In_Innovation)</f>
        <v>-83.378104957902</v>
      </c>
      <c r="BZ80" s="49" t="n">
        <f aca="false">-BZ76*(In_MEKH+In_HIPA+In_Innovation)</f>
        <v>-83.1279706430283</v>
      </c>
      <c r="CA80" s="49" t="n">
        <f aca="false">-CA76*(In_MEKH+In_HIPA+In_Innovation)</f>
        <v>-83.0466498021818</v>
      </c>
      <c r="CB80" s="49" t="n">
        <f aca="false">-CB76*(In_MEKH+In_HIPA+In_Innovation)</f>
        <v>-83.0466498021818</v>
      </c>
      <c r="CC80" s="49" t="n">
        <f aca="false">-CC76*(In_MEKH+In_HIPA+In_Innovation)</f>
        <v>-83.9592503494586</v>
      </c>
      <c r="CD80" s="49" t="n">
        <f aca="false">-CD76*(In_MEKH+In_HIPA+In_Innovation)</f>
        <v>-83.7073725984102</v>
      </c>
      <c r="CE80" s="49" t="n">
        <f aca="false">-CE76*(In_MEKH+In_HIPA+In_Innovation)</f>
        <v>-82.7065235782118</v>
      </c>
      <c r="CF80" s="49" t="n">
        <f aca="false">-CF76*(In_MEKH+In_HIPA+In_Innovation)</f>
        <v>-83.625484951303</v>
      </c>
      <c r="CG80" s="49" t="n">
        <f aca="false">-CG76*(In_MEKH+In_HIPA+In_Innovation)</f>
        <v>-84.5444463243943</v>
      </c>
      <c r="CH80" s="49" t="n">
        <f aca="false">-CH76*(In_MEKH+In_HIPA+In_Innovation)</f>
        <v>-84.2908129854211</v>
      </c>
      <c r="CI80" s="49" t="n">
        <f aca="false">-CI76*(In_MEKH+In_HIPA+In_Innovation)</f>
        <v>-83.2829880475519</v>
      </c>
      <c r="CJ80" s="49" t="n">
        <f aca="false">-CJ76*(In_MEKH+In_HIPA+In_Innovation)</f>
        <v>-84.2083545814136</v>
      </c>
      <c r="CK80" s="49" t="n">
        <f aca="false">-CK76*(In_MEKH+In_HIPA+In_Innovation)</f>
        <v>-85.1337211152753</v>
      </c>
      <c r="CL80" s="49" t="n">
        <f aca="false">-CL76*(In_MEKH+In_HIPA+In_Innovation)</f>
        <v>-84.8783199519295</v>
      </c>
      <c r="CM80" s="49" t="n">
        <f aca="false">-CM76*(In_MEKH+In_HIPA+In_Innovation)</f>
        <v>-83.8634704742434</v>
      </c>
      <c r="CN80" s="49" t="n">
        <f aca="false">-CN76*(In_MEKH+In_HIPA+In_Innovation)</f>
        <v>-84.7952868128461</v>
      </c>
      <c r="CO80" s="49" t="n">
        <f aca="false">-CO76*(In_MEKH+In_HIPA+In_Innovation)</f>
        <v>-85.7271031514488</v>
      </c>
      <c r="CP80" s="49" t="n">
        <f aca="false">-CP76*(In_MEKH+In_HIPA+In_Innovation)</f>
        <v>-85.4699218419945</v>
      </c>
      <c r="CQ80" s="49" t="n">
        <f aca="false">-CQ76*(In_MEKH+In_HIPA+In_Innovation)</f>
        <v>-85.3863099619316</v>
      </c>
      <c r="CR80" s="49" t="n">
        <f aca="false">-CR76*(In_MEKH+In_HIPA+In_Innovation)</f>
        <v>-85.3863099619316</v>
      </c>
      <c r="CS80" s="49" t="n">
        <f aca="false">-CS76*(In_MEKH+In_HIPA+In_Innovation)</f>
        <v>-86.3246210604144</v>
      </c>
      <c r="CT80" s="49" t="n">
        <f aca="false">-CT76*(In_MEKH+In_HIPA+In_Innovation)</f>
        <v>-86.0656471972332</v>
      </c>
      <c r="CU80" s="49" t="n">
        <f aca="false">-CU76*(In_MEKH+In_HIPA+In_Innovation)</f>
        <v>-85.0366014155271</v>
      </c>
      <c r="CV80" s="49" t="n">
        <f aca="false">-CV76*(In_MEKH+In_HIPA+In_Innovation)</f>
        <v>-85.9814525423663</v>
      </c>
      <c r="CW80" s="49" t="n">
        <f aca="false">-CW76*(In_MEKH+In_HIPA+In_Innovation)</f>
        <v>-86.9263036692055</v>
      </c>
      <c r="CX80" s="49" t="n">
        <f aca="false">-CX76*(In_MEKH+In_HIPA+In_Innovation)</f>
        <v>-86.6655247581979</v>
      </c>
      <c r="CY80" s="49" t="n">
        <f aca="false">-CY76*(In_MEKH+In_HIPA+In_Innovation)</f>
        <v>-85.6293065273933</v>
      </c>
      <c r="CZ80" s="49" t="n">
        <f aca="false">-CZ76*(In_MEKH+In_HIPA+In_Innovation)</f>
        <v>-86.5807432665866</v>
      </c>
      <c r="DA80" s="49" t="n">
        <f aca="false">-DA76*(In_MEKH+In_HIPA+In_Innovation)</f>
        <v>-87.5321800057799</v>
      </c>
      <c r="DB80" s="49" t="n">
        <f aca="false">-DB76*(In_MEKH+In_HIPA+In_Innovation)</f>
        <v>-87.2695834657625</v>
      </c>
      <c r="DC80" s="49" t="n">
        <f aca="false">-DC76*(In_MEKH+In_HIPA+In_Innovation)</f>
        <v>-86.2261427938893</v>
      </c>
      <c r="DD80" s="49" t="n">
        <f aca="false">-DD76*(In_MEKH+In_HIPA+In_Innovation)</f>
        <v>-87.1842110471547</v>
      </c>
      <c r="DE80" s="49" t="n">
        <f aca="false">-DE76*(In_MEKH+In_HIPA+In_Innovation)</f>
        <v>-88.1422793004201</v>
      </c>
      <c r="DF80" s="49" t="n">
        <f aca="false">-DF76*(In_MEKH+In_HIPA+In_Innovation)</f>
        <v>-87.8778524625189</v>
      </c>
      <c r="DG80" s="49" t="n">
        <f aca="false">-DG76*(In_MEKH+In_HIPA+In_Innovation)</f>
        <v>-87.7918849981534</v>
      </c>
      <c r="DH80" s="49" t="n">
        <f aca="false">-DH76*(In_MEKH+In_HIPA+In_Innovation)</f>
        <v>-87.7918849981534</v>
      </c>
      <c r="DI80" s="49" t="n">
        <f aca="false">-DI76*(In_MEKH+In_HIPA+In_Innovation)</f>
        <v>-88.7566309871441</v>
      </c>
      <c r="DJ80" s="49" t="n">
        <f aca="false">-DJ76*(In_MEKH+In_HIPA+In_Innovation)</f>
        <v>-88.4903610941826</v>
      </c>
      <c r="DK80" s="49" t="n">
        <f aca="false">-DK76*(In_MEKH+In_HIPA+In_Innovation)</f>
        <v>-87.4323241680565</v>
      </c>
      <c r="DL80" s="49" t="n">
        <f aca="false">-DL76*(In_MEKH+In_HIPA+In_Innovation)</f>
        <v>-88.4037944365905</v>
      </c>
      <c r="DM80" s="49" t="n">
        <f aca="false">-DM76*(In_MEKH+In_HIPA+In_Innovation)</f>
        <v>-89.3752647051245</v>
      </c>
      <c r="DN80" s="49" t="n">
        <f aca="false">-DN76*(In_MEKH+In_HIPA+In_Innovation)</f>
        <v>-89.1071389110091</v>
      </c>
      <c r="DO80" s="49" t="n">
        <f aca="false">-DO76*(In_MEKH+In_HIPA+In_Innovation)</f>
        <v>-88.0417274675079</v>
      </c>
      <c r="DP80" s="49" t="n">
        <f aca="false">-DP76*(In_MEKH+In_HIPA+In_Innovation)</f>
        <v>-89.0199688838135</v>
      </c>
      <c r="DQ80" s="49" t="n">
        <f aca="false">-DQ76*(In_MEKH+In_HIPA+In_Innovation)</f>
        <v>-89.9982103001192</v>
      </c>
      <c r="DR80" s="49" t="n">
        <f aca="false">-DR76*(In_MEKH+In_HIPA+In_Innovation)</f>
        <v>-89.7282156692188</v>
      </c>
      <c r="DS80" s="49" t="n">
        <f aca="false">-DS76*(In_MEKH+In_HIPA+In_Innovation)</f>
        <v>-88.6553783079564</v>
      </c>
      <c r="DT80" s="49" t="n">
        <f aca="false">-DT76*(In_MEKH+In_HIPA+In_Innovation)</f>
        <v>-89.6404380669337</v>
      </c>
      <c r="DU80" s="49" t="n">
        <f aca="false">-DU76*(In_MEKH+In_HIPA+In_Innovation)</f>
        <v>-90.625497825911</v>
      </c>
      <c r="DV80" s="49" t="n">
        <f aca="false">-DV76*(In_MEKH+In_HIPA+In_Innovation)</f>
        <v>-90.3536213324333</v>
      </c>
      <c r="DW80" s="49" t="n">
        <f aca="false">-DW76*(In_MEKH+In_HIPA+In_Innovation)</f>
        <v>-90.2652319202602</v>
      </c>
      <c r="DX80" s="49" t="n">
        <f aca="false">-DX76*(In_MEKH+In_HIPA+In_Innovation)</f>
        <v>-90.2652319202602</v>
      </c>
      <c r="DY80" s="49" t="n">
        <f aca="false">-DY76*(In_MEKH+In_HIPA+In_Innovation)</f>
        <v>-91.2571575457576</v>
      </c>
      <c r="DZ80" s="49" t="n">
        <f aca="false">-DZ76*(In_MEKH+In_HIPA+In_Innovation)</f>
        <v>-90.9833860731203</v>
      </c>
      <c r="EA80" s="49" t="n">
        <f aca="false">-EA76*(In_MEKH+In_HIPA+In_Innovation)</f>
        <v>-89.8955412396374</v>
      </c>
      <c r="EB80" s="49" t="n">
        <f aca="false">-EB76*(In_MEKH+In_HIPA+In_Innovation)</f>
        <v>-90.8943805867445</v>
      </c>
      <c r="EC80" s="49" t="n">
        <f aca="false">-EC76*(In_MEKH+In_HIPA+In_Innovation)</f>
        <v>-91.8932199338516</v>
      </c>
      <c r="ED80" s="49" t="n">
        <f aca="false">-ED76*(In_MEKH+In_HIPA+In_Innovation)</f>
        <v>-91.61754027405</v>
      </c>
      <c r="EE80" s="49" t="n">
        <f aca="false">-EE76*(In_MEKH+In_HIPA+In_Innovation)</f>
        <v>-90.5221131620776</v>
      </c>
      <c r="EF80" s="49" t="n">
        <f aca="false">-EF76*(In_MEKH+In_HIPA+In_Innovation)</f>
        <v>-91.5279144194341</v>
      </c>
      <c r="EG80" s="49" t="n">
        <f aca="false">-EG76*(In_MEKH+In_HIPA+In_Innovation)</f>
        <v>-92.5337156767905</v>
      </c>
      <c r="EH80" s="49" t="n">
        <f aca="false">-EH76*(In_MEKH+In_HIPA+In_Innovation)</f>
        <v>-92.2561145297601</v>
      </c>
      <c r="EI80" s="49" t="n">
        <f aca="false">-EI76*(In_MEKH+In_HIPA+In_Innovation)</f>
        <v>-91.1530522908173</v>
      </c>
      <c r="EJ80" s="49" t="n">
        <f aca="false">-EJ76*(In_MEKH+In_HIPA+In_Innovation)</f>
        <v>-92.1658639829375</v>
      </c>
      <c r="EK80" s="49" t="n">
        <f aca="false">-EK76*(In_MEKH+In_HIPA+In_Innovation)</f>
        <v>-93.1786756750577</v>
      </c>
      <c r="EL80" s="49" t="n">
        <f aca="false">-EL76*(In_MEKH+In_HIPA+In_Innovation)</f>
        <v>-92.8991396480325</v>
      </c>
      <c r="EM80" s="49" t="n">
        <f aca="false">-EM76*(In_MEKH+In_HIPA+In_Innovation)</f>
        <v>-92.8082600548986</v>
      </c>
      <c r="EN80" s="49" t="n">
        <f aca="false">-EN76*(In_MEKH+In_HIPA+In_Innovation)</f>
        <v>-92.8082600548986</v>
      </c>
      <c r="EO80" s="49" t="n">
        <f aca="false">-EO76*(In_MEKH+In_HIPA+In_Innovation)</f>
        <v>-93.8281310445129</v>
      </c>
    </row>
    <row r="81" customFormat="false" ht="15" hidden="false" customHeight="false" outlineLevel="0" collapsed="false">
      <c r="C81" s="1" t="s">
        <v>346</v>
      </c>
      <c r="D81" s="12" t="s">
        <v>33</v>
      </c>
      <c r="I81" s="49" t="n">
        <f aca="false">SUM(J81:EO81)</f>
        <v>-4936.62840952233</v>
      </c>
      <c r="J81" s="49" t="n">
        <f aca="false">In_Opex_Contingency*(J77+J78+J79-J76*In_MEKH)</f>
        <v>-0</v>
      </c>
      <c r="K81" s="49" t="n">
        <f aca="false">In_Opex_Contingency*(K77+K78+K79-K76*In_MEKH)</f>
        <v>-0</v>
      </c>
      <c r="L81" s="49" t="n">
        <f aca="false">In_Opex_Contingency*(L77+L78+L79-L76*In_MEKH)</f>
        <v>-0</v>
      </c>
      <c r="M81" s="49" t="n">
        <f aca="false">In_Opex_Contingency*(M77+M78+M79-M76*In_MEKH)</f>
        <v>-0</v>
      </c>
      <c r="N81" s="49" t="n">
        <f aca="false">In_Opex_Contingency*(N77+N78+N79-N76*In_MEKH)</f>
        <v>-0</v>
      </c>
      <c r="O81" s="49" t="n">
        <f aca="false">In_Opex_Contingency*(O77+O78+O79-O76*In_MEKH)</f>
        <v>-0</v>
      </c>
      <c r="P81" s="49" t="n">
        <f aca="false">In_Opex_Contingency*(P77+P78+P79-P76*In_MEKH)</f>
        <v>-0</v>
      </c>
      <c r="Q81" s="49" t="n">
        <f aca="false">In_Opex_Contingency*(Q77+Q78+Q79-Q76*In_MEKH)</f>
        <v>-0</v>
      </c>
      <c r="R81" s="49" t="n">
        <f aca="false">In_Opex_Contingency*(R77+R78+R79-R76*In_MEKH)</f>
        <v>-1.979252401946</v>
      </c>
      <c r="S81" s="49" t="n">
        <f aca="false">In_Opex_Contingency*(S77+S78+S79-S76*In_MEKH)</f>
        <v>-1.98463080521216</v>
      </c>
      <c r="T81" s="49" t="n">
        <f aca="false">In_Opex_Contingency*(T77+T78+T79-T76*In_MEKH)</f>
        <v>-2.00668225860341</v>
      </c>
      <c r="U81" s="49" t="n">
        <f aca="false">In_Opex_Contingency*(U77+U78+U79-U76*In_MEKH)</f>
        <v>-2.02873371199466</v>
      </c>
      <c r="V81" s="49" t="n">
        <f aca="false">In_Opex_Contingency*(V77+V78+V79-V76*In_MEKH)</f>
        <v>-2.02873371199466</v>
      </c>
      <c r="W81" s="49" t="n">
        <f aca="false">In_Opex_Contingency*(W77+W78+W79-W76*In_MEKH)</f>
        <v>-2.03424657534247</v>
      </c>
      <c r="X81" s="49" t="n">
        <f aca="false">In_Opex_Contingency*(X77+X78+X79-X76*In_MEKH)</f>
        <v>-2.05684931506849</v>
      </c>
      <c r="Y81" s="49" t="n">
        <f aca="false">In_Opex_Contingency*(Y77+Y78+Y79-Y76*In_MEKH)</f>
        <v>-2.07945205479452</v>
      </c>
      <c r="Z81" s="49" t="n">
        <f aca="false">In_Opex_Contingency*(Z77+Z78+Z79-Z76*In_MEKH)</f>
        <v>-28.1680088821918</v>
      </c>
      <c r="AA81" s="49" t="n">
        <f aca="false">In_Opex_Contingency*(AA77+AA78+AA79-AA76*In_MEKH)</f>
        <v>-28.242230519589</v>
      </c>
      <c r="AB81" s="49" t="n">
        <f aca="false">In_Opex_Contingency*(AB77+AB78+AB79-AB76*In_MEKH)</f>
        <v>-28.5560330809178</v>
      </c>
      <c r="AC81" s="49" t="n">
        <f aca="false">In_Opex_Contingency*(AC77+AC78+AC79-AC76*In_MEKH)</f>
        <v>-28.8698356422466</v>
      </c>
      <c r="AD81" s="49" t="n">
        <f aca="false">In_Opex_Contingency*(AD77+AD78+AD79-AD76*In_MEKH)</f>
        <v>-28.8423251079226</v>
      </c>
      <c r="AE81" s="49" t="n">
        <f aca="false">In_Opex_Contingency*(AE77+AE78+AE79-AE76*In_MEKH)</f>
        <v>-29.2396780867797</v>
      </c>
      <c r="AF81" s="49" t="n">
        <f aca="false">In_Opex_Contingency*(AF77+AF78+AF79-AF76*In_MEKH)</f>
        <v>-29.2396780867797</v>
      </c>
      <c r="AG81" s="49" t="n">
        <f aca="false">In_Opex_Contingency*(AG77+AG78+AG79-AG76*In_MEKH)</f>
        <v>-29.5609932305905</v>
      </c>
      <c r="AH81" s="49" t="n">
        <f aca="false">In_Opex_Contingency*(AH77+AH78+AH79-AH76*In_MEKH)</f>
        <v>-29.5328866978166</v>
      </c>
      <c r="AI81" s="49" t="n">
        <f aca="false">In_Opex_Contingency*(AI77+AI78+AI79-AI76*In_MEKH)</f>
        <v>-29.6107847627251</v>
      </c>
      <c r="AJ81" s="49" t="n">
        <f aca="false">In_Opex_Contingency*(AJ77+AJ78+AJ79-AJ76*In_MEKH)</f>
        <v>-29.9397934823109</v>
      </c>
      <c r="AK81" s="49" t="n">
        <f aca="false">In_Opex_Contingency*(AK77+AK78+AK79-AK76*In_MEKH)</f>
        <v>-30.2688022018968</v>
      </c>
      <c r="AL81" s="49" t="n">
        <f aca="false">In_Opex_Contingency*(AL77+AL78+AL79-AL76*In_MEKH)</f>
        <v>-30.2400866533818</v>
      </c>
      <c r="AM81" s="49" t="n">
        <f aca="false">In_Opex_Contingency*(AM77+AM78+AM79-AM76*In_MEKH)</f>
        <v>-30.3198900475182</v>
      </c>
      <c r="AN81" s="49" t="n">
        <f aca="false">In_Opex_Contingency*(AN77+AN78+AN79-AN76*In_MEKH)</f>
        <v>-30.6567777147129</v>
      </c>
      <c r="AO81" s="49" t="n">
        <f aca="false">In_Opex_Contingency*(AO77+AO78+AO79-AO76*In_MEKH)</f>
        <v>-30.9936653819075</v>
      </c>
      <c r="AP81" s="49" t="n">
        <f aca="false">In_Opex_Contingency*(AP77+AP78+AP79-AP76*In_MEKH)</f>
        <v>-30.9643275153048</v>
      </c>
      <c r="AQ81" s="49" t="n">
        <f aca="false">In_Opex_Contingency*(AQ77+AQ78+AQ79-AQ76*In_MEKH)</f>
        <v>-31.0460824311036</v>
      </c>
      <c r="AR81" s="49" t="n">
        <f aca="false">In_Opex_Contingency*(AR77+AR78+AR79-AR76*In_MEKH)</f>
        <v>-31.3910389025603</v>
      </c>
      <c r="AS81" s="49" t="n">
        <f aca="false">In_Opex_Contingency*(AS77+AS78+AS79-AS76*In_MEKH)</f>
        <v>-31.735995374017</v>
      </c>
      <c r="AT81" s="49" t="n">
        <f aca="false">In_Opex_Contingency*(AT77+AT78+AT79-AT76*In_MEKH)</f>
        <v>-31.7060215956766</v>
      </c>
      <c r="AU81" s="49" t="n">
        <f aca="false">In_Opex_Contingency*(AU77+AU78+AU79-AU76*In_MEKH)</f>
        <v>-32.1429950712461</v>
      </c>
      <c r="AV81" s="49" t="n">
        <f aca="false">In_Opex_Contingency*(AV77+AV78+AV79-AV76*In_MEKH)</f>
        <v>-32.1429950712461</v>
      </c>
      <c r="AW81" s="49" t="n">
        <f aca="false">In_Opex_Contingency*(AW77+AW78+AW79-AW76*In_MEKH)</f>
        <v>-32.4962147973038</v>
      </c>
      <c r="AX81" s="49" t="n">
        <f aca="false">In_Opex_Contingency*(AX77+AX78+AX79-AX76*In_MEKH)</f>
        <v>-32.465591215888</v>
      </c>
      <c r="AY81" s="49" t="n">
        <f aca="false">In_Opex_Contingency*(AY77+AY78+AY79-AY76*In_MEKH)</f>
        <v>-32.5513922579734</v>
      </c>
      <c r="AZ81" s="49" t="n">
        <f aca="false">In_Opex_Contingency*(AZ77+AZ78+AZ79-AZ76*In_MEKH)</f>
        <v>-32.9130743941731</v>
      </c>
      <c r="BA81" s="49" t="n">
        <f aca="false">In_Opex_Contingency*(BA77+BA78+BA79-BA76*In_MEKH)</f>
        <v>-33.2747565303728</v>
      </c>
      <c r="BB81" s="49" t="n">
        <f aca="false">In_Opex_Contingency*(BB77+BB78+BB79-BB76*In_MEKH)</f>
        <v>-33.2434689503322</v>
      </c>
      <c r="BC81" s="49" t="n">
        <f aca="false">In_Opex_Contingency*(BC77+BC78+BC79-BC76*In_MEKH)</f>
        <v>-33.331366918517</v>
      </c>
      <c r="BD81" s="49" t="n">
        <f aca="false">In_Opex_Contingency*(BD77+BD78+BD79-BD76*In_MEKH)</f>
        <v>-33.7017154398339</v>
      </c>
      <c r="BE81" s="49" t="n">
        <f aca="false">In_Opex_Contingency*(BE77+BE78+BE79-BE76*In_MEKH)</f>
        <v>-34.0720639611507</v>
      </c>
      <c r="BF81" s="49" t="n">
        <f aca="false">In_Opex_Contingency*(BF77+BF78+BF79-BF76*In_MEKH)</f>
        <v>-34.0400978760566</v>
      </c>
      <c r="BG81" s="49" t="n">
        <f aca="false">In_Opex_Contingency*(BG77+BG78+BG79-BG76*In_MEKH)</f>
        <v>-34.1301436070664</v>
      </c>
      <c r="BH81" s="49" t="n">
        <f aca="false">In_Opex_Contingency*(BH77+BH78+BH79-BH76*In_MEKH)</f>
        <v>-34.5093674249227</v>
      </c>
      <c r="BI81" s="49" t="n">
        <f aca="false">In_Opex_Contingency*(BI77+BI78+BI79-BI76*In_MEKH)</f>
        <v>-34.888591242779</v>
      </c>
      <c r="BJ81" s="49" t="n">
        <f aca="false">In_Opex_Contingency*(BJ77+BJ78+BJ79-BJ76*In_MEKH)</f>
        <v>-34.8559318285097</v>
      </c>
      <c r="BK81" s="49" t="n">
        <f aca="false">In_Opex_Contingency*(BK77+BK78+BK79-BK76*In_MEKH)</f>
        <v>-35.3364904736268</v>
      </c>
      <c r="BL81" s="49" t="n">
        <f aca="false">In_Opex_Contingency*(BL77+BL78+BL79-BL76*In_MEKH)</f>
        <v>-35.3364904736268</v>
      </c>
      <c r="BM81" s="49" t="n">
        <f aca="false">In_Opex_Contingency*(BM77+BM78+BM79-BM76*In_MEKH)</f>
        <v>-35.7248035557546</v>
      </c>
      <c r="BN81" s="49" t="n">
        <f aca="false">In_Opex_Contingency*(BN77+BN78+BN79-BN76*In_MEKH)</f>
        <v>-35.6914356635328</v>
      </c>
      <c r="BO81" s="49" t="n">
        <f aca="false">In_Opex_Contingency*(BO77+BO78+BO79-BO76*In_MEKH)</f>
        <v>-35.785934390026</v>
      </c>
      <c r="BP81" s="49" t="n">
        <f aca="false">In_Opex_Contingency*(BP77+BP78+BP79-BP76*In_MEKH)</f>
        <v>-36.1835558832485</v>
      </c>
      <c r="BQ81" s="49" t="n">
        <f aca="false">In_Opex_Contingency*(BQ77+BQ78+BQ79-BQ76*In_MEKH)</f>
        <v>-36.5811773764711</v>
      </c>
      <c r="BR81" s="49" t="n">
        <f aca="false">In_Opex_Contingency*(BR77+BR78+BR79-BR76*In_MEKH)</f>
        <v>-36.5470855257483</v>
      </c>
      <c r="BS81" s="49" t="n">
        <f aca="false">In_Opex_Contingency*(BS77+BS78+BS79-BS76*In_MEKH)</f>
        <v>-36.6438920403098</v>
      </c>
      <c r="BT81" s="49" t="n">
        <f aca="false">In_Opex_Contingency*(BT77+BT78+BT79-BT76*In_MEKH)</f>
        <v>-37.0510463963133</v>
      </c>
      <c r="BU81" s="49" t="n">
        <f aca="false">In_Opex_Contingency*(BU77+BU78+BU79-BU76*In_MEKH)</f>
        <v>-37.4582007523167</v>
      </c>
      <c r="BV81" s="49" t="n">
        <f aca="false">In_Opex_Contingency*(BV77+BV78+BV79-BV76*In_MEKH)</f>
        <v>-37.4233691235016</v>
      </c>
      <c r="BW81" s="49" t="n">
        <f aca="false">In_Opex_Contingency*(BW77+BW78+BW79-BW76*In_MEKH)</f>
        <v>-37.5225393751534</v>
      </c>
      <c r="BX81" s="49" t="n">
        <f aca="false">In_Opex_Contingency*(BX77+BX78+BX79-BX76*In_MEKH)</f>
        <v>-37.9394564793218</v>
      </c>
      <c r="BY81" s="49" t="n">
        <f aca="false">In_Opex_Contingency*(BY77+BY78+BY79-BY76*In_MEKH)</f>
        <v>-38.3563735834902</v>
      </c>
      <c r="BZ81" s="49" t="n">
        <f aca="false">In_Opex_Contingency*(BZ77+BZ78+BZ79-BZ76*In_MEKH)</f>
        <v>-38.3207860105176</v>
      </c>
      <c r="CA81" s="49" t="n">
        <f aca="false">In_Opex_Contingency*(CA77+CA78+CA79-CA76*In_MEKH)</f>
        <v>-38.8492926083099</v>
      </c>
      <c r="CB81" s="49" t="n">
        <f aca="false">In_Opex_Contingency*(CB77+CB78+CB79-CB76*In_MEKH)</f>
        <v>-38.8492926083099</v>
      </c>
      <c r="CC81" s="49" t="n">
        <f aca="false">In_Opex_Contingency*(CC77+CC78+CC79-CC76*In_MEKH)</f>
        <v>-39.2762079116979</v>
      </c>
      <c r="CD81" s="49" t="n">
        <f aca="false">In_Opex_Contingency*(CD77+CD78+CD79-CD76*In_MEKH)</f>
        <v>-39.2398478744351</v>
      </c>
      <c r="CE81" s="49" t="n">
        <f aca="false">In_Opex_Contingency*(CE77+CE78+CE79-CE76*In_MEKH)</f>
        <v>-39.343918906861</v>
      </c>
      <c r="CF81" s="49" t="n">
        <f aca="false">In_Opex_Contingency*(CF77+CF78+CF79-CF76*In_MEKH)</f>
        <v>-39.7810735613816</v>
      </c>
      <c r="CG81" s="49" t="n">
        <f aca="false">In_Opex_Contingency*(CG77+CG78+CG79-CG76*In_MEKH)</f>
        <v>-40.2182282159023</v>
      </c>
      <c r="CH81" s="49" t="n">
        <f aca="false">In_Opex_Contingency*(CH77+CH78+CH79-CH76*In_MEKH)</f>
        <v>-40.1810788323887</v>
      </c>
      <c r="CI81" s="49" t="n">
        <f aca="false">In_Opex_Contingency*(CI77+CI78+CI79-CI76*In_MEKH)</f>
        <v>-40.2876897214819</v>
      </c>
      <c r="CJ81" s="49" t="n">
        <f aca="false">In_Opex_Contingency*(CJ77+CJ78+CJ79-CJ76*In_MEKH)</f>
        <v>-40.7353307183873</v>
      </c>
      <c r="CK81" s="49" t="n">
        <f aca="false">In_Opex_Contingency*(CK77+CK78+CK79-CK76*In_MEKH)</f>
        <v>-41.1829717152927</v>
      </c>
      <c r="CL81" s="49" t="n">
        <f aca="false">In_Opex_Contingency*(CL77+CL78+CL79-CL76*In_MEKH)</f>
        <v>-41.1450157338092</v>
      </c>
      <c r="CM81" s="49" t="n">
        <f aca="false">In_Opex_Contingency*(CM77+CM78+CM79-CM76*In_MEKH)</f>
        <v>-41.2542280561852</v>
      </c>
      <c r="CN81" s="49" t="n">
        <f aca="false">In_Opex_Contingency*(CN77+CN78+CN79-CN76*In_MEKH)</f>
        <v>-41.7126083679206</v>
      </c>
      <c r="CO81" s="49" t="n">
        <f aca="false">In_Opex_Contingency*(CO77+CO78+CO79-CO76*In_MEKH)</f>
        <v>-42.170988679656</v>
      </c>
      <c r="CP81" s="49" t="n">
        <f aca="false">In_Opex_Contingency*(CP77+CP78+CP79-CP76*In_MEKH)</f>
        <v>-42.132208470621</v>
      </c>
      <c r="CQ81" s="49" t="n">
        <f aca="false">In_Opex_Contingency*(CQ77+CQ78+CQ79-CQ76*In_MEKH)</f>
        <v>-42.7134640218145</v>
      </c>
      <c r="CR81" s="49" t="n">
        <f aca="false">In_Opex_Contingency*(CR77+CR78+CR79-CR76*In_MEKH)</f>
        <v>-42.7134640218145</v>
      </c>
      <c r="CS81" s="49" t="n">
        <f aca="false">In_Opex_Contingency*(CS77+CS78+CS79-CS76*In_MEKH)</f>
        <v>-43.182842747329</v>
      </c>
      <c r="CT81" s="49" t="n">
        <f aca="false">In_Opex_Contingency*(CT77+CT78+CT79-CT76*In_MEKH)</f>
        <v>-43.1432202950161</v>
      </c>
      <c r="CU81" s="49" t="n">
        <f aca="false">In_Opex_Contingency*(CU77+CU78+CU79-CU76*In_MEKH)</f>
        <v>-43.2578262237228</v>
      </c>
      <c r="CV81" s="49" t="n">
        <f aca="false">In_Opex_Contingency*(CV77+CV78+CV79-CV76*In_MEKH)</f>
        <v>-43.7384687373197</v>
      </c>
      <c r="CW81" s="49" t="n">
        <f aca="false">In_Opex_Contingency*(CW77+CW78+CW79-CW76*In_MEKH)</f>
        <v>-44.2191112509166</v>
      </c>
      <c r="CX81" s="49" t="n">
        <f aca="false">In_Opex_Contingency*(CX77+CX78+CX79-CX76*In_MEKH)</f>
        <v>-44.1786281449912</v>
      </c>
      <c r="CY81" s="49" t="n">
        <f aca="false">In_Opex_Contingency*(CY77+CY78+CY79-CY76*In_MEKH)</f>
        <v>-44.2960293433376</v>
      </c>
      <c r="CZ81" s="49" t="n">
        <f aca="false">In_Opex_Contingency*(CZ77+CZ78+CZ79-CZ76*In_MEKH)</f>
        <v>-44.7882074471524</v>
      </c>
      <c r="DA81" s="49" t="n">
        <f aca="false">In_Opex_Contingency*(DA77+DA78+DA79-DA76*In_MEKH)</f>
        <v>-45.2803855509673</v>
      </c>
      <c r="DB81" s="49" t="n">
        <f aca="false">In_Opex_Contingency*(DB77+DB78+DB79-DB76*In_MEKH)</f>
        <v>-45.2390229778375</v>
      </c>
      <c r="DC81" s="49" t="n">
        <f aca="false">In_Opex_Contingency*(DC77+DC78+DC79-DC76*In_MEKH)</f>
        <v>-45.3592872174131</v>
      </c>
      <c r="DD81" s="49" t="n">
        <f aca="false">In_Opex_Contingency*(DD77+DD78+DD79-DD76*In_MEKH)</f>
        <v>-45.8632792976066</v>
      </c>
      <c r="DE81" s="49" t="n">
        <f aca="false">In_Opex_Contingency*(DE77+DE78+DE79-DE76*In_MEKH)</f>
        <v>-46.3672713778001</v>
      </c>
      <c r="DF81" s="49" t="n">
        <f aca="false">In_Opex_Contingency*(DF77+DF78+DF79-DF76*In_MEKH)</f>
        <v>-46.3250101117778</v>
      </c>
      <c r="DG81" s="49" t="n">
        <f aca="false">In_Opex_Contingency*(DG77+DG78+DG79-DG76*In_MEKH)</f>
        <v>-46.9642979949254</v>
      </c>
      <c r="DH81" s="49" t="n">
        <f aca="false">In_Opex_Contingency*(DH77+DH78+DH79-DH76*In_MEKH)</f>
        <v>-46.9642979949254</v>
      </c>
      <c r="DI81" s="49" t="n">
        <f aca="false">In_Opex_Contingency*(DI77+DI78+DI79-DI76*In_MEKH)</f>
        <v>-47.4803891816828</v>
      </c>
      <c r="DJ81" s="49" t="n">
        <f aca="false">In_Opex_Contingency*(DJ77+DJ78+DJ79-DJ76*In_MEKH)</f>
        <v>-47.4372095759517</v>
      </c>
      <c r="DK81" s="49" t="n">
        <f aca="false">In_Opex_Contingency*(DK77+DK78+DK79-DK76*In_MEKH)</f>
        <v>-47.5634098287061</v>
      </c>
      <c r="DL81" s="49" t="n">
        <f aca="false">In_Opex_Contingency*(DL77+DL78+DL79-DL76*In_MEKH)</f>
        <v>-48.0918921601362</v>
      </c>
      <c r="DM81" s="49" t="n">
        <f aca="false">In_Opex_Contingency*(DM77+DM78+DM79-DM76*In_MEKH)</f>
        <v>-48.6203744915662</v>
      </c>
      <c r="DN81" s="49" t="n">
        <f aca="false">In_Opex_Contingency*(DN77+DN78+DN79-DN76*In_MEKH)</f>
        <v>-48.5762564689508</v>
      </c>
      <c r="DO81" s="49" t="n">
        <f aca="false">In_Opex_Contingency*(DO77+DO78+DO79-DO76*In_MEKH)</f>
        <v>-48.7055331025274</v>
      </c>
      <c r="DP81" s="49" t="n">
        <f aca="false">In_Opex_Contingency*(DP77+DP78+DP79-DP76*In_MEKH)</f>
        <v>-49.2467056925555</v>
      </c>
      <c r="DQ81" s="49" t="n">
        <f aca="false">In_Opex_Contingency*(DQ77+DQ78+DQ79-DQ76*In_MEKH)</f>
        <v>-49.7878782825836</v>
      </c>
      <c r="DR81" s="49" t="n">
        <f aca="false">In_Opex_Contingency*(DR77+DR78+DR79-DR76*In_MEKH)</f>
        <v>-49.7428013261166</v>
      </c>
      <c r="DS81" s="49" t="n">
        <f aca="false">In_Opex_Contingency*(DS77+DS78+DS79-DS76*In_MEKH)</f>
        <v>-49.8752289318226</v>
      </c>
      <c r="DT81" s="49" t="n">
        <f aca="false">In_Opex_Contingency*(DT77+DT78+DT79-DT76*In_MEKH)</f>
        <v>-50.4293981421762</v>
      </c>
      <c r="DU81" s="49" t="n">
        <f aca="false">In_Opex_Contingency*(DU77+DU78+DU79-DU76*In_MEKH)</f>
        <v>-50.9835673525298</v>
      </c>
      <c r="DV81" s="49" t="n">
        <f aca="false">In_Opex_Contingency*(DV77+DV78+DV79-DV76*In_MEKH)</f>
        <v>-50.9375104958125</v>
      </c>
      <c r="DW81" s="49" t="n">
        <f aca="false">In_Opex_Contingency*(DW77+DW78+DW79-DW76*In_MEKH)</f>
        <v>-51.6406450911548</v>
      </c>
      <c r="DX81" s="49" t="n">
        <f aca="false">In_Opex_Contingency*(DX77+DX78+DX79-DX76*In_MEKH)</f>
        <v>-51.6406450911548</v>
      </c>
      <c r="DY81" s="49" t="n">
        <f aca="false">In_Opex_Contingency*(DY77+DY78+DY79-DY76*In_MEKH)</f>
        <v>-52.2081247075411</v>
      </c>
      <c r="DZ81" s="49" t="n">
        <f aca="false">In_Opex_Contingency*(DZ77+DZ78+DZ79-DZ76*In_MEKH)</f>
        <v>-52.1610665248923</v>
      </c>
      <c r="EA81" s="49" t="n">
        <f aca="false">In_Opex_Contingency*(EA77+EA78+EA79-EA76*In_MEKH)</f>
        <v>-52.3000271320433</v>
      </c>
      <c r="EB81" s="49" t="n">
        <f aca="false">In_Opex_Contingency*(EB77+EB78+EB79-EB76*In_MEKH)</f>
        <v>-52.8811385446215</v>
      </c>
      <c r="EC81" s="49" t="n">
        <f aca="false">In_Opex_Contingency*(EC77+EC78+EC79-EC76*In_MEKH)</f>
        <v>-53.4622499571998</v>
      </c>
      <c r="ED81" s="49" t="n">
        <f aca="false">In_Opex_Contingency*(ED77+ED78+ED79-ED76*In_MEKH)</f>
        <v>-53.4141685535888</v>
      </c>
      <c r="EE81" s="49" t="n">
        <f aca="false">In_Opex_Contingency*(EE77+EE78+EE79-EE76*In_MEKH)</f>
        <v>-53.5565149427885</v>
      </c>
      <c r="EF81" s="49" t="n">
        <f aca="false">In_Opex_Contingency*(EF77+EF78+EF79-EF76*In_MEKH)</f>
        <v>-54.1515873310417</v>
      </c>
      <c r="EG81" s="49" t="n">
        <f aca="false">In_Opex_Contingency*(EG77+EG78+EG79-EG76*In_MEKH)</f>
        <v>-54.7466597192949</v>
      </c>
      <c r="EH81" s="49" t="n">
        <f aca="false">In_Opex_Contingency*(EH77+EH78+EH79-EH76*In_MEKH)</f>
        <v>-54.6975327200541</v>
      </c>
      <c r="EI81" s="49" t="n">
        <f aca="false">In_Opex_Contingency*(EI77+EI78+EI79-EI76*In_MEKH)</f>
        <v>-54.8433469902487</v>
      </c>
      <c r="EJ81" s="49" t="n">
        <f aca="false">In_Opex_Contingency*(EJ77+EJ78+EJ79-EJ76*In_MEKH)</f>
        <v>-55.4527175123626</v>
      </c>
      <c r="EK81" s="49" t="n">
        <f aca="false">In_Opex_Contingency*(EK77+EK78+EK79-EK76*In_MEKH)</f>
        <v>-56.0620880344765</v>
      </c>
      <c r="EL81" s="49" t="n">
        <f aca="false">In_Opex_Contingency*(EL77+EL78+EL79-EL76*In_MEKH)</f>
        <v>-56.0118925747881</v>
      </c>
      <c r="EM81" s="49" t="n">
        <f aca="false">In_Opex_Contingency*(EM77+EM78+EM79-EM76*In_MEKH)</f>
        <v>-56.7852728041846</v>
      </c>
      <c r="EN81" s="49" t="n">
        <f aca="false">In_Opex_Contingency*(EN77+EN78+EN79-EN76*In_MEKH)</f>
        <v>-56.7852728041846</v>
      </c>
      <c r="EO81" s="49" t="n">
        <f aca="false">In_Opex_Contingency*(EO77+EO78+EO79-EO76*In_MEKH)</f>
        <v>-57.4092867910437</v>
      </c>
    </row>
    <row r="82" customFormat="false" ht="15" hidden="false" customHeight="false" outlineLevel="0" collapsed="false">
      <c r="C82" s="1" t="s">
        <v>23</v>
      </c>
      <c r="D82" s="12" t="s">
        <v>33</v>
      </c>
      <c r="I82" s="49" t="n">
        <f aca="false">SUM(J82:EO82)</f>
        <v>-12032.8750809572</v>
      </c>
      <c r="J82" s="49" t="n">
        <f aca="false">-$E35*In_Deliver*J75/Thousand</f>
        <v>-0</v>
      </c>
      <c r="K82" s="49" t="n">
        <f aca="false">-$E35*In_Deliver*K75/Thousand</f>
        <v>-0</v>
      </c>
      <c r="L82" s="49" t="n">
        <f aca="false">-$E35*In_Deliver*L75/Thousand</f>
        <v>-0</v>
      </c>
      <c r="M82" s="49" t="n">
        <f aca="false">-$E35*In_Deliver*M75/Thousand</f>
        <v>-0</v>
      </c>
      <c r="N82" s="49" t="n">
        <f aca="false">-$E35*In_Deliver*N75/Thousand</f>
        <v>-0</v>
      </c>
      <c r="O82" s="49" t="n">
        <f aca="false">-$E35*In_Deliver*O75/Thousand</f>
        <v>-0</v>
      </c>
      <c r="P82" s="49" t="n">
        <f aca="false">-$E35*In_Deliver*P75/Thousand</f>
        <v>-0</v>
      </c>
      <c r="Q82" s="49" t="n">
        <f aca="false">-$E35*In_Deliver*Q75/Thousand</f>
        <v>-0</v>
      </c>
      <c r="R82" s="49" t="n">
        <f aca="false">-$E35*In_Deliver*R75/Thousand</f>
        <v>-0</v>
      </c>
      <c r="S82" s="49" t="n">
        <f aca="false">-$E35*In_Deliver*S75/Thousand</f>
        <v>-0</v>
      </c>
      <c r="T82" s="49" t="n">
        <f aca="false">-$E35*In_Deliver*T75/Thousand</f>
        <v>-0</v>
      </c>
      <c r="U82" s="49" t="n">
        <f aca="false">-$E35*In_Deliver*U75/Thousand</f>
        <v>-0</v>
      </c>
      <c r="V82" s="49" t="n">
        <f aca="false">-$E35*In_Deliver*V75/Thousand</f>
        <v>-0</v>
      </c>
      <c r="W82" s="49" t="n">
        <f aca="false">-$E35*In_Deliver*W75/Thousand</f>
        <v>-0</v>
      </c>
      <c r="X82" s="49" t="n">
        <f aca="false">-$E35*In_Deliver*X75/Thousand</f>
        <v>-0</v>
      </c>
      <c r="Y82" s="49" t="n">
        <f aca="false">-$E35*In_Deliver*Y75/Thousand</f>
        <v>-0</v>
      </c>
      <c r="Z82" s="49" t="n">
        <f aca="false">-$E35*In_Deliver*Z75/Thousand</f>
        <v>-105.4872</v>
      </c>
      <c r="AA82" s="49" t="n">
        <f aca="false">-$E35*In_Deliver*AA75/Thousand</f>
        <v>-103.194</v>
      </c>
      <c r="AB82" s="49" t="n">
        <f aca="false">-$E35*In_Deliver*AB75/Thousand</f>
        <v>-104.3406</v>
      </c>
      <c r="AC82" s="49" t="n">
        <f aca="false">-$E35*In_Deliver*AC75/Thousand</f>
        <v>-105.4872</v>
      </c>
      <c r="AD82" s="49" t="n">
        <f aca="false">-$E35*In_Deliver*AD75/Thousand</f>
        <v>-105.1707384</v>
      </c>
      <c r="AE82" s="49" t="n">
        <f aca="false">-$E35*In_Deliver*AE75/Thousand</f>
        <v>-104.0275782</v>
      </c>
      <c r="AF82" s="49" t="n">
        <f aca="false">-$E35*In_Deliver*AF75/Thousand</f>
        <v>-104.0275782</v>
      </c>
      <c r="AG82" s="49" t="n">
        <f aca="false">-$E35*In_Deliver*AG75/Thousand</f>
        <v>-105.1707384</v>
      </c>
      <c r="AH82" s="49" t="n">
        <f aca="false">-$E35*In_Deliver*AH75/Thousand</f>
        <v>-104.8552261848</v>
      </c>
      <c r="AI82" s="49" t="n">
        <f aca="false">-$E35*In_Deliver*AI75/Thousand</f>
        <v>-102.575764746</v>
      </c>
      <c r="AJ82" s="49" t="n">
        <f aca="false">-$E35*In_Deliver*AJ75/Thousand</f>
        <v>-103.7154954654</v>
      </c>
      <c r="AK82" s="49" t="n">
        <f aca="false">-$E35*In_Deliver*AK75/Thousand</f>
        <v>-104.8552261848</v>
      </c>
      <c r="AL82" s="49" t="n">
        <f aca="false">-$E35*In_Deliver*AL75/Thousand</f>
        <v>-104.540660506246</v>
      </c>
      <c r="AM82" s="49" t="n">
        <f aca="false">-$E35*In_Deliver*AM75/Thousand</f>
        <v>-102.268037451762</v>
      </c>
      <c r="AN82" s="49" t="n">
        <f aca="false">-$E35*In_Deliver*AN75/Thousand</f>
        <v>-103.404348979004</v>
      </c>
      <c r="AO82" s="49" t="n">
        <f aca="false">-$E35*In_Deliver*AO75/Thousand</f>
        <v>-104.540660506246</v>
      </c>
      <c r="AP82" s="49" t="n">
        <f aca="false">-$E35*In_Deliver*AP75/Thousand</f>
        <v>-104.227038524727</v>
      </c>
      <c r="AQ82" s="49" t="n">
        <f aca="false">-$E35*In_Deliver*AQ75/Thousand</f>
        <v>-101.961233339407</v>
      </c>
      <c r="AR82" s="49" t="n">
        <f aca="false">-$E35*In_Deliver*AR75/Thousand</f>
        <v>-103.094135932067</v>
      </c>
      <c r="AS82" s="49" t="n">
        <f aca="false">-$E35*In_Deliver*AS75/Thousand</f>
        <v>-104.227038524727</v>
      </c>
      <c r="AT82" s="49" t="n">
        <f aca="false">-$E35*In_Deliver*AT75/Thousand</f>
        <v>-103.914357409153</v>
      </c>
      <c r="AU82" s="49" t="n">
        <f aca="false">-$E35*In_Deliver*AU75/Thousand</f>
        <v>-102.784853524271</v>
      </c>
      <c r="AV82" s="49" t="n">
        <f aca="false">-$E35*In_Deliver*AV75/Thousand</f>
        <v>-102.784853524271</v>
      </c>
      <c r="AW82" s="49" t="n">
        <f aca="false">-$E35*In_Deliver*AW75/Thousand</f>
        <v>-103.914357409153</v>
      </c>
      <c r="AX82" s="49" t="n">
        <f aca="false">-$E35*In_Deliver*AX75/Thousand</f>
        <v>-103.602614336925</v>
      </c>
      <c r="AY82" s="49" t="n">
        <f aca="false">-$E35*In_Deliver*AY75/Thousand</f>
        <v>-101.35038359047</v>
      </c>
      <c r="AZ82" s="49" t="n">
        <f aca="false">-$E35*In_Deliver*AZ75/Thousand</f>
        <v>-102.476498963698</v>
      </c>
      <c r="BA82" s="49" t="n">
        <f aca="false">-$E35*In_Deliver*BA75/Thousand</f>
        <v>-103.602614336925</v>
      </c>
      <c r="BB82" s="49" t="n">
        <f aca="false">-$E35*In_Deliver*BB75/Thousand</f>
        <v>-103.291806493914</v>
      </c>
      <c r="BC82" s="49" t="n">
        <f aca="false">-$E35*In_Deliver*BC75/Thousand</f>
        <v>-101.046332439699</v>
      </c>
      <c r="BD82" s="49" t="n">
        <f aca="false">-$E35*In_Deliver*BD75/Thousand</f>
        <v>-102.169069466807</v>
      </c>
      <c r="BE82" s="49" t="n">
        <f aca="false">-$E35*In_Deliver*BE75/Thousand</f>
        <v>-103.291806493914</v>
      </c>
      <c r="BF82" s="49" t="n">
        <f aca="false">-$E35*In_Deliver*BF75/Thousand</f>
        <v>-102.981931074433</v>
      </c>
      <c r="BG82" s="49" t="n">
        <f aca="false">-$E35*In_Deliver*BG75/Thousand</f>
        <v>-100.74319344238</v>
      </c>
      <c r="BH82" s="49" t="n">
        <f aca="false">-$E35*In_Deliver*BH75/Thousand</f>
        <v>-101.862562258406</v>
      </c>
      <c r="BI82" s="49" t="n">
        <f aca="false">-$E35*In_Deliver*BI75/Thousand</f>
        <v>-102.981931074433</v>
      </c>
      <c r="BJ82" s="49" t="n">
        <f aca="false">-$E35*In_Deliver*BJ75/Thousand</f>
        <v>-102.672985281209</v>
      </c>
      <c r="BK82" s="49" t="n">
        <f aca="false">-$E35*In_Deliver*BK75/Thousand</f>
        <v>-101.556974571631</v>
      </c>
      <c r="BL82" s="49" t="n">
        <f aca="false">-$E35*In_Deliver*BL75/Thousand</f>
        <v>-101.556974571631</v>
      </c>
      <c r="BM82" s="49" t="n">
        <f aca="false">-$E35*In_Deliver*BM75/Thousand</f>
        <v>-102.672985281209</v>
      </c>
      <c r="BN82" s="49" t="n">
        <f aca="false">-$E35*In_Deliver*BN75/Thousand</f>
        <v>-102.364966325366</v>
      </c>
      <c r="BO82" s="49" t="n">
        <f aca="false">-$E35*In_Deliver*BO75/Thousand</f>
        <v>-100.139640970467</v>
      </c>
      <c r="BP82" s="49" t="n">
        <f aca="false">-$E35*In_Deliver*BP75/Thousand</f>
        <v>-101.252303647916</v>
      </c>
      <c r="BQ82" s="49" t="n">
        <f aca="false">-$E35*In_Deliver*BQ75/Thousand</f>
        <v>-102.364966325366</v>
      </c>
      <c r="BR82" s="49" t="n">
        <f aca="false">-$E35*In_Deliver*BR75/Thousand</f>
        <v>-102.05787142639</v>
      </c>
      <c r="BS82" s="49" t="n">
        <f aca="false">-$E35*In_Deliver*BS75/Thousand</f>
        <v>-99.8392220475551</v>
      </c>
      <c r="BT82" s="49" t="n">
        <f aca="false">-$E35*In_Deliver*BT75/Thousand</f>
        <v>-100.948546736972</v>
      </c>
      <c r="BU82" s="49" t="n">
        <f aca="false">-$E35*In_Deliver*BU75/Thousand</f>
        <v>-102.05787142639</v>
      </c>
      <c r="BV82" s="49" t="n">
        <f aca="false">-$E35*In_Deliver*BV75/Thousand</f>
        <v>-101.751697812111</v>
      </c>
      <c r="BW82" s="49" t="n">
        <f aca="false">-$E35*In_Deliver*BW75/Thousand</f>
        <v>-99.5397043814125</v>
      </c>
      <c r="BX82" s="49" t="n">
        <f aca="false">-$E35*In_Deliver*BX75/Thousand</f>
        <v>-100.645701096762</v>
      </c>
      <c r="BY82" s="49" t="n">
        <f aca="false">-$E35*In_Deliver*BY75/Thousand</f>
        <v>-101.751697812111</v>
      </c>
      <c r="BZ82" s="49" t="n">
        <f aca="false">-$E35*In_Deliver*BZ75/Thousand</f>
        <v>-101.446442718674</v>
      </c>
      <c r="CA82" s="49" t="n">
        <f aca="false">-$E35*In_Deliver*CA75/Thousand</f>
        <v>-100.343763993471</v>
      </c>
      <c r="CB82" s="49" t="n">
        <f aca="false">-$E35*In_Deliver*CB75/Thousand</f>
        <v>-100.343763993471</v>
      </c>
      <c r="CC82" s="49" t="n">
        <f aca="false">-$E35*In_Deliver*CC75/Thousand</f>
        <v>-101.446442718674</v>
      </c>
      <c r="CD82" s="49" t="n">
        <f aca="false">-$E35*In_Deliver*CD75/Thousand</f>
        <v>-101.142103390518</v>
      </c>
      <c r="CE82" s="49" t="n">
        <f aca="false">-$E35*In_Deliver*CE75/Thousand</f>
        <v>-98.9433620124634</v>
      </c>
      <c r="CF82" s="49" t="n">
        <f aca="false">-$E35*In_Deliver*CF75/Thousand</f>
        <v>-100.042732701491</v>
      </c>
      <c r="CG82" s="49" t="n">
        <f aca="false">-$E35*In_Deliver*CG75/Thousand</f>
        <v>-101.142103390518</v>
      </c>
      <c r="CH82" s="49" t="n">
        <f aca="false">-$E35*In_Deliver*CH75/Thousand</f>
        <v>-100.838677080347</v>
      </c>
      <c r="CI82" s="49" t="n">
        <f aca="false">-$E35*In_Deliver*CI75/Thousand</f>
        <v>-98.646531926426</v>
      </c>
      <c r="CJ82" s="49" t="n">
        <f aca="false">-$E35*In_Deliver*CJ75/Thousand</f>
        <v>-99.7426045033863</v>
      </c>
      <c r="CK82" s="49" t="n">
        <f aca="false">-$E35*In_Deliver*CK75/Thousand</f>
        <v>-100.838677080347</v>
      </c>
      <c r="CL82" s="49" t="n">
        <f aca="false">-$E35*In_Deliver*CL75/Thousand</f>
        <v>-100.536161049106</v>
      </c>
      <c r="CM82" s="49" t="n">
        <f aca="false">-$E35*In_Deliver*CM75/Thousand</f>
        <v>-98.3505923306468</v>
      </c>
      <c r="CN82" s="49" t="n">
        <f aca="false">-$E35*In_Deliver*CN75/Thousand</f>
        <v>-99.4433766898762</v>
      </c>
      <c r="CO82" s="49" t="n">
        <f aca="false">-$E35*In_Deliver*CO75/Thousand</f>
        <v>-100.536161049106</v>
      </c>
      <c r="CP82" s="49" t="n">
        <f aca="false">-$E35*In_Deliver*CP75/Thousand</f>
        <v>-100.234552565958</v>
      </c>
      <c r="CQ82" s="49" t="n">
        <f aca="false">-$E35*In_Deliver*CQ75/Thousand</f>
        <v>-99.1450465598065</v>
      </c>
      <c r="CR82" s="49" t="n">
        <f aca="false">-$E35*In_Deliver*CR75/Thousand</f>
        <v>-99.1450465598065</v>
      </c>
      <c r="CS82" s="49" t="n">
        <f aca="false">-$E35*In_Deliver*CS75/Thousand</f>
        <v>-100.234552565958</v>
      </c>
      <c r="CT82" s="49" t="n">
        <f aca="false">-$E35*In_Deliver*CT75/Thousand</f>
        <v>-99.9338489082604</v>
      </c>
      <c r="CU82" s="49" t="n">
        <f aca="false">-$E35*In_Deliver*CU75/Thousand</f>
        <v>-97.7613739319939</v>
      </c>
      <c r="CV82" s="49" t="n">
        <f aca="false">-$E35*In_Deliver*CV75/Thousand</f>
        <v>-98.8476114201271</v>
      </c>
      <c r="CW82" s="49" t="n">
        <f aca="false">-$E35*In_Deliver*CW75/Thousand</f>
        <v>-99.9338489082604</v>
      </c>
      <c r="CX82" s="49" t="n">
        <f aca="false">-$E35*In_Deliver*CX75/Thousand</f>
        <v>-99.6340473615356</v>
      </c>
      <c r="CY82" s="49" t="n">
        <f aca="false">-$E35*In_Deliver*CY75/Thousand</f>
        <v>-97.4680898101979</v>
      </c>
      <c r="CZ82" s="49" t="n">
        <f aca="false">-$E35*In_Deliver*CZ75/Thousand</f>
        <v>-98.5510685858667</v>
      </c>
      <c r="DA82" s="49" t="n">
        <f aca="false">-$E35*In_Deliver*DA75/Thousand</f>
        <v>-99.6340473615356</v>
      </c>
      <c r="DB82" s="49" t="n">
        <f aca="false">-$E35*In_Deliver*DB75/Thousand</f>
        <v>-99.335145219451</v>
      </c>
      <c r="DC82" s="49" t="n">
        <f aca="false">-$E35*In_Deliver*DC75/Thousand</f>
        <v>-97.1756855407673</v>
      </c>
      <c r="DD82" s="49" t="n">
        <f aca="false">-$E35*In_Deliver*DD75/Thousand</f>
        <v>-98.2554153801091</v>
      </c>
      <c r="DE82" s="49" t="n">
        <f aca="false">-$E35*In_Deliver*DE75/Thousand</f>
        <v>-99.335145219451</v>
      </c>
      <c r="DF82" s="49" t="n">
        <f aca="false">-$E35*In_Deliver*DF75/Thousand</f>
        <v>-99.0371397837927</v>
      </c>
      <c r="DG82" s="49" t="n">
        <f aca="false">-$E35*In_Deliver*DG75/Thousand</f>
        <v>-97.9606491339688</v>
      </c>
      <c r="DH82" s="49" t="n">
        <f aca="false">-$E35*In_Deliver*DH75/Thousand</f>
        <v>-97.9606491339688</v>
      </c>
      <c r="DI82" s="49" t="n">
        <f aca="false">-$E35*In_Deliver*DI75/Thousand</f>
        <v>-99.0371397837927</v>
      </c>
      <c r="DJ82" s="49" t="n">
        <f aca="false">-$E35*In_Deliver*DJ75/Thousand</f>
        <v>-98.7400283644413</v>
      </c>
      <c r="DK82" s="49" t="n">
        <f aca="false">-$E35*In_Deliver*DK75/Thousand</f>
        <v>-96.5935060086926</v>
      </c>
      <c r="DL82" s="49" t="n">
        <f aca="false">-$E35*In_Deliver*DL75/Thousand</f>
        <v>-97.6667671865669</v>
      </c>
      <c r="DM82" s="49" t="n">
        <f aca="false">-$E35*In_Deliver*DM75/Thousand</f>
        <v>-98.7400283644413</v>
      </c>
      <c r="DN82" s="49" t="n">
        <f aca="false">-$E35*In_Deliver*DN75/Thousand</f>
        <v>-98.443808279348</v>
      </c>
      <c r="DO82" s="49" t="n">
        <f aca="false">-$E35*In_Deliver*DO75/Thousand</f>
        <v>-96.3037254906665</v>
      </c>
      <c r="DP82" s="49" t="n">
        <f aca="false">-$E35*In_Deliver*DP75/Thousand</f>
        <v>-97.3737668850072</v>
      </c>
      <c r="DQ82" s="49" t="n">
        <f aca="false">-$E35*In_Deliver*DQ75/Thousand</f>
        <v>-98.443808279348</v>
      </c>
      <c r="DR82" s="49" t="n">
        <f aca="false">-$E35*In_Deliver*DR75/Thousand</f>
        <v>-98.1484768545099</v>
      </c>
      <c r="DS82" s="49" t="n">
        <f aca="false">-$E35*In_Deliver*DS75/Thousand</f>
        <v>-96.0148143141945</v>
      </c>
      <c r="DT82" s="49" t="n">
        <f aca="false">-$E35*In_Deliver*DT75/Thousand</f>
        <v>-97.0816455843522</v>
      </c>
      <c r="DU82" s="49" t="n">
        <f aca="false">-$E35*In_Deliver*DU75/Thousand</f>
        <v>-98.1484768545099</v>
      </c>
      <c r="DV82" s="49" t="n">
        <f aca="false">-$E35*In_Deliver*DV75/Thousand</f>
        <v>-97.8540314239464</v>
      </c>
      <c r="DW82" s="49" t="n">
        <f aca="false">-$E35*In_Deliver*DW75/Thousand</f>
        <v>-96.7904006475991</v>
      </c>
      <c r="DX82" s="49" t="n">
        <f aca="false">-$E35*In_Deliver*DX75/Thousand</f>
        <v>-96.7904006475991</v>
      </c>
      <c r="DY82" s="49" t="n">
        <f aca="false">-$E35*In_Deliver*DY75/Thousand</f>
        <v>-97.8540314239464</v>
      </c>
      <c r="DZ82" s="49" t="n">
        <f aca="false">-$E35*In_Deliver*DZ75/Thousand</f>
        <v>-97.5604693296746</v>
      </c>
      <c r="EA82" s="49" t="n">
        <f aca="false">-$E35*In_Deliver*EA75/Thousand</f>
        <v>-95.4395895616381</v>
      </c>
      <c r="EB82" s="49" t="n">
        <f aca="false">-$E35*In_Deliver*EB75/Thousand</f>
        <v>-96.5000294456563</v>
      </c>
      <c r="EC82" s="49" t="n">
        <f aca="false">-$E35*In_Deliver*EC75/Thousand</f>
        <v>-97.5604693296746</v>
      </c>
      <c r="ED82" s="49" t="n">
        <f aca="false">-$E35*In_Deliver*ED75/Thousand</f>
        <v>-97.2677879216855</v>
      </c>
      <c r="EE82" s="49" t="n">
        <f aca="false">-$E35*In_Deliver*EE75/Thousand</f>
        <v>-95.1532707929532</v>
      </c>
      <c r="EF82" s="49" t="n">
        <f aca="false">-$E35*In_Deliver*EF75/Thousand</f>
        <v>-96.2105293573194</v>
      </c>
      <c r="EG82" s="49" t="n">
        <f aca="false">-$E35*In_Deliver*EG75/Thousand</f>
        <v>-97.2677879216855</v>
      </c>
      <c r="EH82" s="49" t="n">
        <f aca="false">-$E35*In_Deliver*EH75/Thousand</f>
        <v>-96.9759845579205</v>
      </c>
      <c r="EI82" s="49" t="n">
        <f aca="false">-$E35*In_Deliver*EI75/Thousand</f>
        <v>-94.8678109805744</v>
      </c>
      <c r="EJ82" s="49" t="n">
        <f aca="false">-$E35*In_Deliver*EJ75/Thousand</f>
        <v>-95.9218977692474</v>
      </c>
      <c r="EK82" s="49" t="n">
        <f aca="false">-$E35*In_Deliver*EK75/Thousand</f>
        <v>-96.9759845579205</v>
      </c>
      <c r="EL82" s="49" t="n">
        <f aca="false">-$E35*In_Deliver*EL75/Thousand</f>
        <v>-96.6850566042467</v>
      </c>
      <c r="EM82" s="49" t="n">
        <f aca="false">-$E35*In_Deliver*EM75/Thousand</f>
        <v>-95.6341320759397</v>
      </c>
      <c r="EN82" s="49" t="n">
        <f aca="false">-$E35*In_Deliver*EN75/Thousand</f>
        <v>-95.6341320759397</v>
      </c>
      <c r="EO82" s="49" t="n">
        <f aca="false">-$E35*In_Deliver*EO75/Thousand</f>
        <v>-96.6850566042467</v>
      </c>
    </row>
    <row r="83" customFormat="false" ht="15" hidden="false" customHeight="false" outlineLevel="0" collapsed="false">
      <c r="C83" s="26" t="s">
        <v>474</v>
      </c>
      <c r="D83" s="12" t="s">
        <v>33</v>
      </c>
      <c r="E83" s="58" t="n">
        <f aca="false">SUMIF($J$7:$EO$7,YEAR(In_COD)+1,$J83:$EO83)</f>
        <v>9556.88408374485</v>
      </c>
      <c r="I83" s="58" t="n">
        <f aca="false">SUM(J83:EO83)</f>
        <v>295373.32772584</v>
      </c>
      <c r="J83" s="58" t="n">
        <f aca="false">SUM(J76:J82)</f>
        <v>0</v>
      </c>
      <c r="K83" s="58" t="n">
        <f aca="false">SUM(K76:K82)</f>
        <v>0</v>
      </c>
      <c r="L83" s="58" t="n">
        <f aca="false">SUM(L76:L82)</f>
        <v>0</v>
      </c>
      <c r="M83" s="58" t="n">
        <f aca="false">SUM(M76:M82)</f>
        <v>0</v>
      </c>
      <c r="N83" s="58" t="n">
        <f aca="false">SUM(N76:N82)</f>
        <v>0</v>
      </c>
      <c r="O83" s="58" t="n">
        <f aca="false">SUM(O76:O82)</f>
        <v>0</v>
      </c>
      <c r="P83" s="58" t="n">
        <f aca="false">SUM(P76:P82)</f>
        <v>0</v>
      </c>
      <c r="Q83" s="58" t="n">
        <f aca="false">SUM(Q76:Q82)</f>
        <v>0</v>
      </c>
      <c r="R83" s="58" t="n">
        <f aca="false">SUM(R76:R82)</f>
        <v>-41.5643004408661</v>
      </c>
      <c r="S83" s="58" t="n">
        <f aca="false">SUM(S76:S82)</f>
        <v>-41.6772469094554</v>
      </c>
      <c r="T83" s="58" t="n">
        <f aca="false">SUM(T76:T82)</f>
        <v>-42.1403274306716</v>
      </c>
      <c r="U83" s="58" t="n">
        <f aca="false">SUM(U76:U82)</f>
        <v>-42.6034079518878</v>
      </c>
      <c r="V83" s="58" t="n">
        <f aca="false">SUM(V76:V82)</f>
        <v>-42.6034079518878</v>
      </c>
      <c r="W83" s="58" t="n">
        <f aca="false">SUM(W76:W82)</f>
        <v>-42.7191780821918</v>
      </c>
      <c r="X83" s="58" t="n">
        <f aca="false">SUM(X76:X82)</f>
        <v>-43.1938356164384</v>
      </c>
      <c r="Y83" s="58" t="n">
        <f aca="false">SUM(Y76:Y82)</f>
        <v>-43.6684931506849</v>
      </c>
      <c r="Z83" s="58" t="n">
        <f aca="false">SUM(Z76:Z82)</f>
        <v>2394.81444547397</v>
      </c>
      <c r="AA83" s="58" t="n">
        <f aca="false">SUM(AA76:AA82)</f>
        <v>2358.58146048863</v>
      </c>
      <c r="AB83" s="58" t="n">
        <f aca="false">SUM(AB76:AB82)</f>
        <v>2384.78792116073</v>
      </c>
      <c r="AC83" s="58" t="n">
        <f aca="false">SUM(AC76:AC82)</f>
        <v>2410.99438183282</v>
      </c>
      <c r="AD83" s="58" t="n">
        <f aca="false">SUM(AD76:AD82)</f>
        <v>2402.52032026267</v>
      </c>
      <c r="AE83" s="58" t="n">
        <f aca="false">SUM(AE76:AE82)</f>
        <v>2392.27337019217</v>
      </c>
      <c r="AF83" s="58" t="n">
        <f aca="false">SUM(AF76:AF82)</f>
        <v>2392.27337019217</v>
      </c>
      <c r="AG83" s="58" t="n">
        <f aca="false">SUM(AG76:AG82)</f>
        <v>2418.56208854593</v>
      </c>
      <c r="AH83" s="58" t="n">
        <f aca="false">SUM(AH76:AH82)</f>
        <v>2410.03429689502</v>
      </c>
      <c r="AI83" s="58" t="n">
        <f aca="false">SUM(AI76:AI82)</f>
        <v>2373.19324507827</v>
      </c>
      <c r="AJ83" s="58" t="n">
        <f aca="false">SUM(AJ76:AJ82)</f>
        <v>2399.56205891247</v>
      </c>
      <c r="AK83" s="58" t="n">
        <f aca="false">SUM(AK76:AK82)</f>
        <v>2425.93087274668</v>
      </c>
      <c r="AL83" s="58" t="n">
        <f aca="false">SUM(AL76:AL82)</f>
        <v>2417.34917210853</v>
      </c>
      <c r="AM83" s="58" t="n">
        <f aca="false">SUM(AM76:AM82)</f>
        <v>2380.20000195605</v>
      </c>
      <c r="AN83" s="58" t="n">
        <f aca="false">SUM(AN76:AN82)</f>
        <v>2406.64666864445</v>
      </c>
      <c r="AO83" s="58" t="n">
        <f aca="false">SUM(AO76:AO82)</f>
        <v>2433.09333533285</v>
      </c>
      <c r="AP83" s="58" t="n">
        <f aca="false">SUM(AP76:AP82)</f>
        <v>2424.45754960645</v>
      </c>
      <c r="AQ83" s="58" t="n">
        <f aca="false">SUM(AQ76:AQ82)</f>
        <v>2386.99749055404</v>
      </c>
      <c r="AR83" s="58" t="n">
        <f aca="false">SUM(AR76:AR82)</f>
        <v>2413.51968489352</v>
      </c>
      <c r="AS83" s="58" t="n">
        <f aca="false">SUM(AS76:AS82)</f>
        <v>2440.04187923301</v>
      </c>
      <c r="AT83" s="58" t="n">
        <f aca="false">SUM(AT76:AT82)</f>
        <v>2431.3518352319</v>
      </c>
      <c r="AU83" s="58" t="n">
        <f aca="false">SUM(AU76:AU82)</f>
        <v>2420.17339245424</v>
      </c>
      <c r="AV83" s="58" t="n">
        <f aca="false">SUM(AV76:AV82)</f>
        <v>2420.17339245424</v>
      </c>
      <c r="AW83" s="58" t="n">
        <f aca="false">SUM(AW76:AW82)</f>
        <v>2446.76870445923</v>
      </c>
      <c r="AX83" s="58" t="n">
        <f aca="false">SUM(AX76:AX82)</f>
        <v>2438.02423202336</v>
      </c>
      <c r="AY83" s="58" t="n">
        <f aca="false">SUM(AY76:AY82)</f>
        <v>2399.93393775468</v>
      </c>
      <c r="AZ83" s="58" t="n">
        <f aca="false">SUM(AZ76:AZ82)</f>
        <v>2426.5998703964</v>
      </c>
      <c r="BA83" s="58" t="n">
        <f aca="false">SUM(BA76:BA82)</f>
        <v>2453.26580303812</v>
      </c>
      <c r="BB83" s="58" t="n">
        <f aca="false">SUM(BB76:BB82)</f>
        <v>2444.46673514844</v>
      </c>
      <c r="BC83" s="58" t="n">
        <f aca="false">SUM(BC76:BC82)</f>
        <v>2406.05702003861</v>
      </c>
      <c r="BD83" s="58" t="n">
        <f aca="false">SUM(BD76:BD82)</f>
        <v>2432.79098692793</v>
      </c>
      <c r="BE83" s="58" t="n">
        <f aca="false">SUM(BE76:BE82)</f>
        <v>2459.52495381724</v>
      </c>
      <c r="BF83" s="58" t="n">
        <f aca="false">SUM(BF76:BF82)</f>
        <v>2450.67112671322</v>
      </c>
      <c r="BG83" s="58" t="n">
        <f aca="false">SUM(BG76:BG82)</f>
        <v>2411.93907111903</v>
      </c>
      <c r="BH83" s="58" t="n">
        <f aca="false">SUM(BH76:BH82)</f>
        <v>2438.73839413146</v>
      </c>
      <c r="BI83" s="58" t="n">
        <f aca="false">SUM(BI76:BI82)</f>
        <v>2465.5377171439</v>
      </c>
      <c r="BJ83" s="58" t="n">
        <f aca="false">SUM(BJ76:BJ82)</f>
        <v>2456.62897044382</v>
      </c>
      <c r="BK83" s="58" t="n">
        <f aca="false">SUM(BK76:BK82)</f>
        <v>2444.43352257147</v>
      </c>
      <c r="BL83" s="58" t="n">
        <f aca="false">SUM(BL76:BL82)</f>
        <v>2444.43352257147</v>
      </c>
      <c r="BM83" s="58" t="n">
        <f aca="false">SUM(BM76:BM82)</f>
        <v>2471.29542941292</v>
      </c>
      <c r="BN83" s="58" t="n">
        <f aca="false">SUM(BN76:BN82)</f>
        <v>2462.33160623732</v>
      </c>
      <c r="BO83" s="58" t="n">
        <f aca="false">SUM(BO76:BO82)</f>
        <v>2422.9459540571</v>
      </c>
      <c r="BP83" s="58" t="n">
        <f aca="false">SUM(BP76:BP82)</f>
        <v>2449.86757576884</v>
      </c>
      <c r="BQ83" s="58" t="n">
        <f aca="false">SUM(BQ76:BQ82)</f>
        <v>2476.78919748059</v>
      </c>
      <c r="BR83" s="58" t="n">
        <f aca="false">SUM(BR76:BR82)</f>
        <v>2467.77014457861</v>
      </c>
      <c r="BS83" s="58" t="n">
        <f aca="false">SUM(BS76:BS82)</f>
        <v>2428.05315613806</v>
      </c>
      <c r="BT83" s="58" t="n">
        <f aca="false">SUM(BT76:BT82)</f>
        <v>2455.03152453959</v>
      </c>
      <c r="BU83" s="58" t="n">
        <f aca="false">SUM(BU76:BU82)</f>
        <v>2482.00989294113</v>
      </c>
      <c r="BV83" s="58" t="n">
        <f aca="false">SUM(BV76:BV82)</f>
        <v>2472.93546082003</v>
      </c>
      <c r="BW83" s="58" t="n">
        <f aca="false">SUM(BW76:BW82)</f>
        <v>2432.88405612638</v>
      </c>
      <c r="BX83" s="58" t="n">
        <f aca="false">SUM(BX76:BX82)</f>
        <v>2459.91610119445</v>
      </c>
      <c r="BY83" s="58" t="n">
        <f aca="false">SUM(BY76:BY82)</f>
        <v>2486.94814626252</v>
      </c>
      <c r="BZ83" s="58" t="n">
        <f aca="false">SUM(BZ76:BZ82)</f>
        <v>2477.8181893204</v>
      </c>
      <c r="CA83" s="58" t="n">
        <f aca="false">SUM(CA76:CA82)</f>
        <v>2464.51179359584</v>
      </c>
      <c r="CB83" s="58" t="n">
        <f aca="false">SUM(CB76:CB82)</f>
        <v>2464.51179359584</v>
      </c>
      <c r="CC83" s="58" t="n">
        <f aca="false">SUM(CC76:CC82)</f>
        <v>2491.59434077821</v>
      </c>
      <c r="CD83" s="58" t="n">
        <f aca="false">SUM(CD76:CD82)</f>
        <v>2482.40871743996</v>
      </c>
      <c r="CE83" s="58" t="n">
        <f aca="false">SUM(CE76:CE82)</f>
        <v>2441.67907160649</v>
      </c>
      <c r="CF83" s="58" t="n">
        <f aca="false">SUM(CF76:CF82)</f>
        <v>2468.80883906879</v>
      </c>
      <c r="CG83" s="58" t="n">
        <f aca="false">SUM(CG76:CG82)</f>
        <v>2495.93860653108</v>
      </c>
      <c r="CH83" s="58" t="n">
        <f aca="false">SUM(CH76:CH82)</f>
        <v>2486.69717938767</v>
      </c>
      <c r="CI83" s="58" t="n">
        <f aca="false">SUM(CI76:CI82)</f>
        <v>2445.62362235821</v>
      </c>
      <c r="CJ83" s="58" t="n">
        <f aca="false">SUM(CJ76:CJ82)</f>
        <v>2472.79721816219</v>
      </c>
      <c r="CK83" s="58" t="n">
        <f aca="false">SUM(CK76:CK82)</f>
        <v>2499.97081396617</v>
      </c>
      <c r="CL83" s="58" t="n">
        <f aca="false">SUM(CL76:CL82)</f>
        <v>2490.67344991736</v>
      </c>
      <c r="CM83" s="58" t="n">
        <f aca="false">SUM(CM76:CM82)</f>
        <v>2449.25272904512</v>
      </c>
      <c r="CN83" s="58" t="n">
        <f aca="false">SUM(CN76:CN82)</f>
        <v>2476.46664825673</v>
      </c>
      <c r="CO83" s="58" t="n">
        <f aca="false">SUM(CO76:CO82)</f>
        <v>2503.68056746835</v>
      </c>
      <c r="CP83" s="58" t="n">
        <f aca="false">SUM(CP76:CP82)</f>
        <v>2494.32713786886</v>
      </c>
      <c r="CQ83" s="58" t="n">
        <f aca="false">SUM(CQ76:CQ82)</f>
        <v>2479.80657701572</v>
      </c>
      <c r="CR83" s="58" t="n">
        <f aca="false">SUM(CR76:CR82)</f>
        <v>2479.80657701572</v>
      </c>
      <c r="CS83" s="58" t="n">
        <f aca="false">SUM(CS76:CS82)</f>
        <v>2507.05719874117</v>
      </c>
      <c r="CT83" s="58" t="n">
        <f aca="false">SUM(CT76:CT82)</f>
        <v>2497.64757955043</v>
      </c>
      <c r="CU83" s="58" t="n">
        <f aca="false">SUM(CU76:CU82)</f>
        <v>2455.52259132691</v>
      </c>
      <c r="CV83" s="58" t="n">
        <f aca="false">SUM(CV76:CV82)</f>
        <v>2482.80617567499</v>
      </c>
      <c r="CW83" s="58" t="n">
        <f aca="false">SUM(CW76:CW82)</f>
        <v>2510.08976002306</v>
      </c>
      <c r="CX83" s="58" t="n">
        <f aca="false">SUM(CX76:CX82)</f>
        <v>2500.62383195862</v>
      </c>
      <c r="CY83" s="58" t="n">
        <f aca="false">SUM(CY76:CY82)</f>
        <v>2458.14164719902</v>
      </c>
      <c r="CZ83" s="58" t="n">
        <f aca="false">SUM(CZ76:CZ82)</f>
        <v>2485.45433216789</v>
      </c>
      <c r="DA83" s="58" t="n">
        <f aca="false">SUM(DA76:DA82)</f>
        <v>2512.76701713677</v>
      </c>
      <c r="DB83" s="58" t="n">
        <f aca="false">SUM(DB76:DB82)</f>
        <v>2503.24466583138</v>
      </c>
      <c r="DC83" s="58" t="n">
        <f aca="false">SUM(DC76:DC82)</f>
        <v>2460.4018457948</v>
      </c>
      <c r="DD83" s="58" t="n">
        <f aca="false">SUM(DD76:DD82)</f>
        <v>2487.73964408141</v>
      </c>
      <c r="DE83" s="58" t="n">
        <f aca="false">SUM(DE76:DE82)</f>
        <v>2515.07744236802</v>
      </c>
      <c r="DF83" s="58" t="n">
        <f aca="false">SUM(DF76:DF82)</f>
        <v>2505.49855853058</v>
      </c>
      <c r="DG83" s="58" t="n">
        <f aca="false">SUM(DG76:DG82)</f>
        <v>2489.65041143909</v>
      </c>
      <c r="DH83" s="58" t="n">
        <f aca="false">SUM(DH76:DH82)</f>
        <v>2489.65041143909</v>
      </c>
      <c r="DI83" s="58" t="n">
        <f aca="false">SUM(DI76:DI82)</f>
        <v>2517.00920716919</v>
      </c>
      <c r="DJ83" s="58" t="n">
        <f aca="false">SUM(DJ76:DJ82)</f>
        <v>2507.37368674959</v>
      </c>
      <c r="DK83" s="58" t="n">
        <f aca="false">SUM(DK76:DK82)</f>
        <v>2463.79908392978</v>
      </c>
      <c r="DL83" s="58" t="n">
        <f aca="false">SUM(DL76:DL82)</f>
        <v>2491.17462930678</v>
      </c>
      <c r="DM83" s="58" t="n">
        <f aca="false">SUM(DM76:DM82)</f>
        <v>2518.55017468378</v>
      </c>
      <c r="DN83" s="58" t="n">
        <f aca="false">SUM(DN76:DN82)</f>
        <v>2508.85791904168</v>
      </c>
      <c r="DO83" s="58" t="n">
        <f aca="false">SUM(DO76:DO82)</f>
        <v>2464.91206834606</v>
      </c>
      <c r="DP83" s="58" t="n">
        <f aca="false">SUM(DP76:DP82)</f>
        <v>2492.29998021657</v>
      </c>
      <c r="DQ83" s="58" t="n">
        <f aca="false">SUM(DQ76:DQ82)</f>
        <v>2519.68789208708</v>
      </c>
      <c r="DR83" s="58" t="n">
        <f aca="false">SUM(DR76:DR82)</f>
        <v>2509.93880816483</v>
      </c>
      <c r="DS83" s="58" t="n">
        <f aca="false">SUM(DS76:DS82)</f>
        <v>2465.61807007059</v>
      </c>
      <c r="DT83" s="58" t="n">
        <f aca="false">SUM(DT76:DT82)</f>
        <v>2493.01382640471</v>
      </c>
      <c r="DU83" s="58" t="n">
        <f aca="false">SUM(DU76:DU82)</f>
        <v>2520.40958273882</v>
      </c>
      <c r="DV83" s="58" t="n">
        <f aca="false">SUM(DV76:DV82)</f>
        <v>2510.60358323846</v>
      </c>
      <c r="DW83" s="58" t="n">
        <f aca="false">SUM(DW76:DW82)</f>
        <v>2493.30320185874</v>
      </c>
      <c r="DX83" s="58" t="n">
        <f aca="false">SUM(DX76:DX82)</f>
        <v>2493.30320185874</v>
      </c>
      <c r="DY83" s="58" t="n">
        <f aca="false">SUM(DY76:DY82)</f>
        <v>2520.70213814291</v>
      </c>
      <c r="DZ83" s="58" t="n">
        <f aca="false">SUM(DZ76:DZ82)</f>
        <v>2510.83914170753</v>
      </c>
      <c r="EA83" s="58" t="n">
        <f aca="false">SUM(EA76:EA82)</f>
        <v>2465.75749862902</v>
      </c>
      <c r="EB83" s="58" t="n">
        <f aca="false">SUM(EB76:EB82)</f>
        <v>2493.15480416935</v>
      </c>
      <c r="EC83" s="58" t="n">
        <f aca="false">SUM(EC76:EC82)</f>
        <v>2520.55210970967</v>
      </c>
      <c r="ED83" s="58" t="n">
        <f aca="false">SUM(ED76:ED82)</f>
        <v>2510.63204110907</v>
      </c>
      <c r="EE83" s="58" t="n">
        <f aca="false">SUM(EE76:EE82)</f>
        <v>2465.16427204807</v>
      </c>
      <c r="EF83" s="58" t="n">
        <f aca="false">SUM(EF76:EF82)</f>
        <v>2492.55498618193</v>
      </c>
      <c r="EG83" s="58" t="n">
        <f aca="false">SUM(EG76:EG82)</f>
        <v>2519.9457003158</v>
      </c>
      <c r="EH83" s="58" t="n">
        <f aca="false">SUM(EH76:EH82)</f>
        <v>2509.96849063659</v>
      </c>
      <c r="EI83" s="58" t="n">
        <f aca="false">SUM(EI76:EI82)</f>
        <v>2464.11073922956</v>
      </c>
      <c r="EJ83" s="58" t="n">
        <f aca="false">SUM(EJ76:EJ82)</f>
        <v>2491.48974744322</v>
      </c>
      <c r="EK83" s="58" t="n">
        <f aca="false">SUM(EK76:EK82)</f>
        <v>2518.86875565688</v>
      </c>
      <c r="EL83" s="58" t="n">
        <f aca="false">SUM(EL76:EL82)</f>
        <v>2508.8343424972</v>
      </c>
      <c r="EM83" s="58" t="n">
        <f aca="false">SUM(EM76:EM82)</f>
        <v>2489.94472543768</v>
      </c>
      <c r="EN83" s="58" t="n">
        <f aca="false">SUM(EN76:EN82)</f>
        <v>2489.94472543768</v>
      </c>
      <c r="EO83" s="58" t="n">
        <f aca="false">SUM(EO76:EO82)</f>
        <v>2517.30675538755</v>
      </c>
    </row>
    <row r="85" customFormat="false" ht="15" hidden="false" customHeight="false" outlineLevel="0" collapsed="false">
      <c r="A85" s="10" t="s">
        <v>13</v>
      </c>
      <c r="B85" s="10"/>
      <c r="C85" s="10" t="s">
        <v>475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customFormat="false" ht="15" hidden="false" customHeight="false" outlineLevel="0" collapsed="false">
      <c r="C86" s="1" t="s">
        <v>476</v>
      </c>
      <c r="D86" s="12" t="s">
        <v>33</v>
      </c>
      <c r="J86" s="59" t="n">
        <v>0</v>
      </c>
      <c r="K86" s="59" t="n">
        <v>0</v>
      </c>
      <c r="L86" s="59" t="n">
        <v>0</v>
      </c>
      <c r="M86" s="59" t="n">
        <v>0</v>
      </c>
      <c r="N86" s="59" t="n">
        <v>0</v>
      </c>
      <c r="O86" s="59" t="n">
        <v>0</v>
      </c>
      <c r="P86" s="59" t="n">
        <v>0</v>
      </c>
      <c r="Q86" s="59" t="n">
        <v>0</v>
      </c>
      <c r="R86" s="59" t="n">
        <v>0</v>
      </c>
      <c r="S86" s="59" t="n">
        <v>0</v>
      </c>
      <c r="T86" s="59" t="n">
        <v>0</v>
      </c>
      <c r="U86" s="59" t="n">
        <v>0</v>
      </c>
      <c r="V86" s="59" t="n">
        <v>0</v>
      </c>
      <c r="W86" s="59" t="n">
        <v>0</v>
      </c>
      <c r="X86" s="59" t="n">
        <v>0</v>
      </c>
      <c r="Y86" s="59" t="n">
        <v>0</v>
      </c>
      <c r="Z86" s="59" t="n">
        <v>-26.2442780644279</v>
      </c>
      <c r="AA86" s="59" t="n">
        <v>-26.3759569726434</v>
      </c>
      <c r="AB86" s="59" t="n">
        <v>-27.7092991505735</v>
      </c>
      <c r="AC86" s="59" t="n">
        <v>-29.0492722329979</v>
      </c>
      <c r="AD86" s="59" t="n">
        <v>-28.957534670077</v>
      </c>
      <c r="AE86" s="59" t="n">
        <v>-29.9022429148392</v>
      </c>
      <c r="AF86" s="59" t="n">
        <v>-30.4597403674658</v>
      </c>
      <c r="AG86" s="59" t="n">
        <v>-31.8332456827592</v>
      </c>
      <c r="AH86" s="59" t="n">
        <v>-31.7651833068601</v>
      </c>
      <c r="AI86" s="59" t="n">
        <v>-31.9059999075431</v>
      </c>
      <c r="AJ86" s="59" t="n">
        <v>-40.0225791103471</v>
      </c>
      <c r="AK86" s="59" t="n">
        <v>-74.4584051435515</v>
      </c>
      <c r="AL86" s="59" t="n">
        <v>-74.3724268051436</v>
      </c>
      <c r="AM86" s="59" t="n">
        <v>-74.5574991177988</v>
      </c>
      <c r="AN86" s="59" t="n">
        <v>-77.4854179374257</v>
      </c>
      <c r="AO86" s="59" t="n">
        <v>-80.4287304617494</v>
      </c>
      <c r="AP86" s="59" t="n">
        <v>-80.3958388092316</v>
      </c>
      <c r="AQ86" s="59" t="n">
        <v>-80.5962422291403</v>
      </c>
      <c r="AR86" s="59" t="n">
        <v>-83.598229194201</v>
      </c>
      <c r="AS86" s="59" t="n">
        <v>-86.6163941014305</v>
      </c>
      <c r="AT86" s="59" t="n">
        <v>-86.6396809833894</v>
      </c>
      <c r="AU86" s="59" t="n">
        <v>-88.5768705267662</v>
      </c>
      <c r="AV86" s="59" t="n">
        <v>-89.9370411574267</v>
      </c>
      <c r="AW86" s="59" t="n">
        <v>-93.0329331623456</v>
      </c>
      <c r="AX86" s="59" t="n">
        <v>-93.1156497200521</v>
      </c>
      <c r="AY86" s="59" t="n">
        <v>-93.355077964374</v>
      </c>
      <c r="AZ86" s="59" t="n">
        <v>-96.5138552829583</v>
      </c>
      <c r="BA86" s="59" t="n">
        <v>-99.6905009138139</v>
      </c>
      <c r="BB86" s="59" t="n">
        <v>-99.8360656905084</v>
      </c>
      <c r="BC86" s="59" t="n">
        <v>-100.099506314929</v>
      </c>
      <c r="BD86" s="59" t="n">
        <v>-103.341313345752</v>
      </c>
      <c r="BE86" s="59" t="n">
        <v>-106.601898996036</v>
      </c>
      <c r="BF86" s="59" t="n">
        <v>-106.813906458895</v>
      </c>
      <c r="BG86" s="59" t="n">
        <v>-107.104585786082</v>
      </c>
      <c r="BH86" s="59" t="n">
        <v>-110.432730882987</v>
      </c>
      <c r="BI86" s="59" t="n">
        <v>-113.780611282447</v>
      </c>
      <c r="BJ86" s="59" t="n">
        <v>-114.062840778242</v>
      </c>
      <c r="BK86" s="59" t="n">
        <v>-116.142874426328</v>
      </c>
      <c r="BL86" s="59" t="n">
        <v>-117.802132361764</v>
      </c>
      <c r="BM86" s="59" t="n">
        <v>-121.240839488235</v>
      </c>
      <c r="BN86" s="59" t="n">
        <v>-121.597264654769</v>
      </c>
      <c r="BO86" s="59" t="n">
        <v>-121.952833072392</v>
      </c>
      <c r="BP86" s="59" t="n">
        <v>-125.464288159763</v>
      </c>
      <c r="BQ86" s="59" t="n">
        <v>-128.99754061451</v>
      </c>
      <c r="BR86" s="59" t="n">
        <v>-129.432339271037</v>
      </c>
      <c r="BS86" s="59" t="n">
        <v>-129.825948422925</v>
      </c>
      <c r="BT86" s="59" t="n">
        <v>-133.434753451745</v>
      </c>
      <c r="BU86" s="59" t="n">
        <v>-137.066466322164</v>
      </c>
      <c r="BV86" s="59" t="n">
        <v>-137.584030863181</v>
      </c>
      <c r="BW86" s="59" t="n">
        <v>-138.019688754053</v>
      </c>
      <c r="BX86" s="59" t="n">
        <v>-141.729909099514</v>
      </c>
      <c r="BY86" s="59" t="n">
        <v>-145.464204334283</v>
      </c>
      <c r="BZ86" s="59" t="n">
        <v>-146.069152652321</v>
      </c>
      <c r="CA86" s="59" t="n">
        <v>-148.342893235609</v>
      </c>
      <c r="CB86" s="59" t="n">
        <v>-150.367004647989</v>
      </c>
      <c r="CC86" s="59" t="n">
        <v>-154.208221971007</v>
      </c>
      <c r="CD86" s="59" t="n">
        <v>-154.905408935367</v>
      </c>
      <c r="CE86" s="59" t="n">
        <v>-155.438085525006</v>
      </c>
      <c r="CF86" s="59" t="n">
        <v>-159.364203535213</v>
      </c>
      <c r="CG86" s="59" t="n">
        <v>-163.316911926047</v>
      </c>
      <c r="CH86" s="59" t="n">
        <v>-164.111441445785</v>
      </c>
      <c r="CI86" s="59" t="n">
        <v>-162.491563010113</v>
      </c>
      <c r="CJ86" s="59" t="n">
        <v>-164.297024821337</v>
      </c>
      <c r="CK86" s="59" t="n">
        <v>-166.10248663256</v>
      </c>
      <c r="CL86" s="59" t="n">
        <v>-164.707882025239</v>
      </c>
      <c r="CM86" s="59" t="n">
        <v>-163.035929013149</v>
      </c>
      <c r="CN86" s="59" t="n">
        <v>-164.847439335518</v>
      </c>
      <c r="CO86" s="59" t="n">
        <v>-166.658949657886</v>
      </c>
      <c r="CP86" s="59" t="n">
        <v>-165.255935217963</v>
      </c>
      <c r="CQ86" s="59" t="n">
        <v>-165.348428649366</v>
      </c>
      <c r="CR86" s="59" t="n">
        <v>-165.348428649366</v>
      </c>
      <c r="CS86" s="59" t="n">
        <v>-167.165444348809</v>
      </c>
      <c r="CT86" s="59" t="n">
        <v>-165.754001470199</v>
      </c>
      <c r="CU86" s="59" t="n">
        <v>-163.976408355418</v>
      </c>
      <c r="CV86" s="59" t="n">
        <v>-165.798368448256</v>
      </c>
      <c r="CW86" s="59" t="n">
        <v>-167.620328541094</v>
      </c>
      <c r="CX86" s="59" t="n">
        <v>-166.200439331427</v>
      </c>
      <c r="CY86" s="59" t="n">
        <v>-164.369266736234</v>
      </c>
      <c r="CZ86" s="59" t="n">
        <v>-166.195591922192</v>
      </c>
      <c r="DA86" s="59" t="n">
        <v>-168.02191710815</v>
      </c>
      <c r="DB86" s="59" t="n">
        <v>-375.486699874707</v>
      </c>
      <c r="DC86" s="59" t="n">
        <v>-369.06027686922</v>
      </c>
      <c r="DD86" s="59" t="n">
        <v>-373.160946612211</v>
      </c>
      <c r="DE86" s="59" t="n">
        <v>-377.261616355202</v>
      </c>
      <c r="DF86" s="59" t="n">
        <v>-375.824783779587</v>
      </c>
      <c r="DG86" s="59" t="n">
        <v>-373.447561715864</v>
      </c>
      <c r="DH86" s="59" t="n">
        <v>-373.447561715864</v>
      </c>
      <c r="DI86" s="59" t="n">
        <v>-377.551381075379</v>
      </c>
      <c r="DJ86" s="59" t="n">
        <v>-376.106053012439</v>
      </c>
      <c r="DK86" s="59" t="n">
        <v>-369.569862589467</v>
      </c>
      <c r="DL86" s="59" t="n">
        <v>-373.676194396017</v>
      </c>
      <c r="DM86" s="59" t="n">
        <v>-377.782526202566</v>
      </c>
      <c r="DN86" s="59" t="n">
        <v>-376.328687856252</v>
      </c>
      <c r="DO86" s="59" t="n">
        <v>-369.736810251909</v>
      </c>
      <c r="DP86" s="59" t="n">
        <v>-373.844997032485</v>
      </c>
      <c r="DQ86" s="59" t="n">
        <v>-377.953183813062</v>
      </c>
      <c r="DR86" s="59" t="n">
        <v>-376.490821224724</v>
      </c>
      <c r="DS86" s="59" t="n">
        <v>-369.842710510588</v>
      </c>
      <c r="DT86" s="59" t="n">
        <v>-373.952073960706</v>
      </c>
      <c r="DU86" s="59" t="n">
        <v>-378.061437410824</v>
      </c>
      <c r="DV86" s="59" t="n">
        <v>-376.590537485769</v>
      </c>
      <c r="DW86" s="59" t="n">
        <v>-373.995480278812</v>
      </c>
      <c r="DX86" s="59" t="n">
        <v>-373.995480278812</v>
      </c>
      <c r="DY86" s="59" t="n">
        <v>-378.105320721436</v>
      </c>
      <c r="DZ86" s="59" t="n">
        <v>-376.625871256129</v>
      </c>
      <c r="EA86" s="59" t="n">
        <v>-369.863624794354</v>
      </c>
      <c r="EB86" s="59" t="n">
        <v>-373.973220625402</v>
      </c>
      <c r="EC86" s="59" t="n">
        <v>-378.082816456451</v>
      </c>
      <c r="ED86" s="59" t="n">
        <v>-376.59480616636</v>
      </c>
      <c r="EE86" s="59" t="n">
        <v>-369.77464080721</v>
      </c>
      <c r="EF86" s="59" t="n">
        <v>-373.88324792729</v>
      </c>
      <c r="EG86" s="59" t="n">
        <v>-377.99185504737</v>
      </c>
      <c r="EH86" s="59" t="n">
        <v>-376.495273595489</v>
      </c>
      <c r="EI86" s="59" t="n">
        <v>-369.616610884434</v>
      </c>
      <c r="EJ86" s="59" t="n">
        <v>-373.723462116483</v>
      </c>
      <c r="EK86" s="59" t="n">
        <v>-377.830313348532</v>
      </c>
      <c r="EL86" s="59" t="n">
        <v>-376.325151374579</v>
      </c>
      <c r="EM86" s="59" t="n">
        <v>-373.491708815652</v>
      </c>
      <c r="EN86" s="59" t="n">
        <v>-373.491708815652</v>
      </c>
      <c r="EO86" s="59" t="n">
        <v>-377.596013308132</v>
      </c>
    </row>
    <row r="87" customFormat="false" ht="15" hidden="false" customHeight="false" outlineLevel="0" collapsed="false">
      <c r="C87" s="1" t="s">
        <v>477</v>
      </c>
      <c r="D87" s="12" t="s">
        <v>33</v>
      </c>
      <c r="I87" s="49" t="n">
        <f aca="false">SUM(J87:EO87)</f>
        <v>271159.472810698</v>
      </c>
      <c r="J87" s="49" t="n">
        <f aca="false">(J83+J59+J86)*(J$4&gt;In_COD)</f>
        <v>-0</v>
      </c>
      <c r="K87" s="49" t="n">
        <f aca="false">(K83+K59+K86)*(K$4&gt;In_COD)</f>
        <v>-0</v>
      </c>
      <c r="L87" s="49" t="n">
        <f aca="false">(L83+L59+L86)*(L$4&gt;In_COD)</f>
        <v>-0</v>
      </c>
      <c r="M87" s="49" t="n">
        <f aca="false">(M83+M59+M86)*(M$4&gt;In_COD)</f>
        <v>-0</v>
      </c>
      <c r="N87" s="49" t="n">
        <f aca="false">(N83+N59+N86)*(N$4&gt;In_COD)</f>
        <v>-0</v>
      </c>
      <c r="O87" s="49" t="n">
        <f aca="false">(O83+O59+O86)*(O$4&gt;In_COD)</f>
        <v>-0</v>
      </c>
      <c r="P87" s="49" t="n">
        <f aca="false">(P83+P59+P86)*(P$4&gt;In_COD)</f>
        <v>-0</v>
      </c>
      <c r="Q87" s="49" t="n">
        <f aca="false">(Q83+Q59+Q86)*(Q$4&gt;In_COD)</f>
        <v>-0</v>
      </c>
      <c r="R87" s="49" t="n">
        <f aca="false">(R83+R59+R86)*(R$4&gt;In_COD)</f>
        <v>-0</v>
      </c>
      <c r="S87" s="49" t="n">
        <f aca="false">(S83+S59+S86)*(S$4&gt;In_COD)</f>
        <v>-0</v>
      </c>
      <c r="T87" s="49" t="n">
        <f aca="false">(T83+T59+T86)*(T$4&gt;In_COD)</f>
        <v>-0</v>
      </c>
      <c r="U87" s="49" t="n">
        <f aca="false">(U83+U59+U86)*(U$4&gt;In_COD)</f>
        <v>-0</v>
      </c>
      <c r="V87" s="49" t="n">
        <f aca="false">(V83+V59+V86)*(V$4&gt;In_COD)</f>
        <v>-0</v>
      </c>
      <c r="W87" s="49" t="n">
        <f aca="false">(W83+W59+W86)*(W$4&gt;In_COD)</f>
        <v>-0</v>
      </c>
      <c r="X87" s="49" t="n">
        <f aca="false">(X83+X59+X86)*(X$4&gt;In_COD)</f>
        <v>-0</v>
      </c>
      <c r="Y87" s="49" t="n">
        <f aca="false">(Y83+Y59+Y86)*(Y$4&gt;In_COD)</f>
        <v>-0</v>
      </c>
      <c r="Z87" s="49" t="n">
        <f aca="false">(Z83+Z59+Z86)*(Z$4&gt;In_COD)</f>
        <v>2335.05033254372</v>
      </c>
      <c r="AA87" s="49" t="n">
        <f aca="false">(AA83+AA59+AA86)*(AA$4&gt;In_COD)</f>
        <v>2299.41436071246</v>
      </c>
      <c r="AB87" s="49" t="n">
        <f aca="false">(AB83+AB59+AB86)*(AB$4&gt;In_COD)</f>
        <v>2323.92313317548</v>
      </c>
      <c r="AC87" s="49" t="n">
        <f aca="false">(AC83+AC59+AC86)*(AC$4&gt;In_COD)</f>
        <v>2348.425274734</v>
      </c>
      <c r="AD87" s="49" t="n">
        <f aca="false">(AD83+AD59+AD86)*(AD$4&gt;In_COD)</f>
        <v>2340.04295072676</v>
      </c>
      <c r="AE87" s="49" t="n">
        <f aca="false">(AE83+AE59+AE86)*(AE$4&gt;In_COD)</f>
        <v>2329.21563844265</v>
      </c>
      <c r="AF87" s="49" t="n">
        <f aca="false">(AF83+AF59+AF86)*(AF$4&gt;In_COD)</f>
        <v>2328.65814099003</v>
      </c>
      <c r="AG87" s="49" t="n">
        <f aca="false">(AG83+AG59+AG86)*(AG$4&gt;In_COD)</f>
        <v>2353.20900799734</v>
      </c>
      <c r="AH87" s="49" t="n">
        <f aca="false">(AH83+AH59+AH86)*(AH$4&gt;In_COD)</f>
        <v>2344.74927872233</v>
      </c>
      <c r="AI87" s="49" t="n">
        <f aca="false">(AI83+AI59+AI86)*(AI$4&gt;In_COD)</f>
        <v>2308.4961023672</v>
      </c>
      <c r="AJ87" s="49" t="n">
        <f aca="false">(AJ83+AJ59+AJ86)*(AJ$4&gt;In_COD)</f>
        <v>2359.53947980212</v>
      </c>
      <c r="AK87" s="49" t="n">
        <f aca="false">(AK83+AK59+AK86)*(AK$4&gt;In_COD)</f>
        <v>2351.47246760312</v>
      </c>
      <c r="AL87" s="49" t="n">
        <f aca="false">(AL83+AL59+AL86)*(AL$4&gt;In_COD)</f>
        <v>2342.97674530338</v>
      </c>
      <c r="AM87" s="49" t="n">
        <f aca="false">(AM83+AM59+AM86)*(AM$4&gt;In_COD)</f>
        <v>2305.64250283825</v>
      </c>
      <c r="AN87" s="49" t="n">
        <f aca="false">(AN83+AN59+AN86)*(AN$4&gt;In_COD)</f>
        <v>2329.16125070702</v>
      </c>
      <c r="AO87" s="49" t="n">
        <f aca="false">(AO83+AO59+AO86)*(AO$4&gt;In_COD)</f>
        <v>2352.6646048711</v>
      </c>
      <c r="AP87" s="49" t="n">
        <f aca="false">(AP83+AP59+AP86)*(AP$4&gt;In_COD)</f>
        <v>2344.06171079721</v>
      </c>
      <c r="AQ87" s="49" t="n">
        <f aca="false">(AQ83+AQ59+AQ86)*(AQ$4&gt;In_COD)</f>
        <v>2306.4012483249</v>
      </c>
      <c r="AR87" s="49" t="n">
        <f aca="false">(AR83+AR59+AR86)*(AR$4&gt;In_COD)</f>
        <v>2329.92145569932</v>
      </c>
      <c r="AS87" s="49" t="n">
        <f aca="false">(AS83+AS59+AS86)*(AS$4&gt;In_COD)</f>
        <v>2353.42548513158</v>
      </c>
      <c r="AT87" s="49" t="n">
        <f aca="false">(AT83+AT59+AT86)*(AT$4&gt;In_COD)</f>
        <v>2344.71215424851</v>
      </c>
      <c r="AU87" s="49" t="n">
        <f aca="false">(AU83+AU59+AU86)*(AU$4&gt;In_COD)</f>
        <v>2331.59652192748</v>
      </c>
      <c r="AV87" s="49" t="n">
        <f aca="false">(AV83+AV59+AV86)*(AV$4&gt;In_COD)</f>
        <v>2330.23635129681</v>
      </c>
      <c r="AW87" s="49" t="n">
        <f aca="false">(AW83+AW59+AW86)*(AW$4&gt;In_COD)</f>
        <v>2353.73577129689</v>
      </c>
      <c r="AX87" s="49" t="n">
        <f aca="false">(AX83+AX59+AX86)*(AX$4&gt;In_COD)</f>
        <v>2344.9085823033</v>
      </c>
      <c r="AY87" s="49" t="n">
        <f aca="false">(AY83+AY59+AY86)*(AY$4&gt;In_COD)</f>
        <v>2306.5788597903</v>
      </c>
      <c r="AZ87" s="49" t="n">
        <f aca="false">(AZ83+AZ59+AZ86)*(AZ$4&gt;In_COD)</f>
        <v>2330.08601511344</v>
      </c>
      <c r="BA87" s="49" t="n">
        <f aca="false">(BA83+BA59+BA86)*(BA$4&gt;In_COD)</f>
        <v>2353.5753021243</v>
      </c>
      <c r="BB87" s="49" t="n">
        <f aca="false">(BB83+BB59+BB86)*(BB$4&gt;In_COD)</f>
        <v>2344.63066945793</v>
      </c>
      <c r="BC87" s="49" t="n">
        <f aca="false">(BC83+BC59+BC86)*(BC$4&gt;In_COD)</f>
        <v>2305.95751372368</v>
      </c>
      <c r="BD87" s="49" t="n">
        <f aca="false">(BD83+BD59+BD86)*(BD$4&gt;In_COD)</f>
        <v>2329.44967358217</v>
      </c>
      <c r="BE87" s="49" t="n">
        <f aca="false">(BE83+BE59+BE86)*(BE$4&gt;In_COD)</f>
        <v>2352.92305482121</v>
      </c>
      <c r="BF87" s="49" t="n">
        <f aca="false">(BF83+BF59+BF86)*(BF$4&gt;In_COD)</f>
        <v>2343.85722025432</v>
      </c>
      <c r="BG87" s="49" t="n">
        <f aca="false">(BG83+BG59+BG86)*(BG$4&gt;In_COD)</f>
        <v>2304.83448533295</v>
      </c>
      <c r="BH87" s="49" t="n">
        <f aca="false">(BH83+BH59+BH86)*(BH$4&gt;In_COD)</f>
        <v>2328.30566324847</v>
      </c>
      <c r="BI87" s="49" t="n">
        <f aca="false">(BI83+BI59+BI86)*(BI$4&gt;In_COD)</f>
        <v>2351.75710586145</v>
      </c>
      <c r="BJ87" s="49" t="n">
        <f aca="false">(BJ83+BJ59+BJ86)*(BJ$4&gt;In_COD)</f>
        <v>2342.56612966558</v>
      </c>
      <c r="BK87" s="49" t="n">
        <f aca="false">(BK83+BK59+BK86)*(BK$4&gt;In_COD)</f>
        <v>2328.29064814514</v>
      </c>
      <c r="BL87" s="49" t="n">
        <f aca="false">(BL83+BL59+BL86)*(BL$4&gt;In_COD)</f>
        <v>2326.63139020971</v>
      </c>
      <c r="BM87" s="49" t="n">
        <f aca="false">(BM83+BM59+BM86)*(BM$4&gt;In_COD)</f>
        <v>2350.05458992468</v>
      </c>
      <c r="BN87" s="49" t="n">
        <f aca="false">(BN83+BN59+BN86)*(BN$4&gt;In_COD)</f>
        <v>2340.73434158255</v>
      </c>
      <c r="BO87" s="49" t="n">
        <f aca="false">(BO83+BO59+BO86)*(BO$4&gt;In_COD)</f>
        <v>2300.9931209847</v>
      </c>
      <c r="BP87" s="49" t="n">
        <f aca="false">(BP83+BP59+BP86)*(BP$4&gt;In_COD)</f>
        <v>2324.40328760908</v>
      </c>
      <c r="BQ87" s="49" t="n">
        <f aca="false">(BQ83+BQ59+BQ86)*(BQ$4&gt;In_COD)</f>
        <v>2347.79165686608</v>
      </c>
      <c r="BR87" s="49" t="n">
        <f aca="false">(BR83+BR59+BR86)*(BR$4&gt;In_COD)</f>
        <v>2338.33780530757</v>
      </c>
      <c r="BS87" s="49" t="n">
        <f aca="false">(BS83+BS59+BS86)*(BS$4&gt;In_COD)</f>
        <v>2298.22720771513</v>
      </c>
      <c r="BT87" s="49" t="n">
        <f aca="false">(BT83+BT59+BT86)*(BT$4&gt;In_COD)</f>
        <v>2321.59677108785</v>
      </c>
      <c r="BU87" s="49" t="n">
        <f aca="false">(BU83+BU59+BU86)*(BU$4&gt;In_COD)</f>
        <v>2344.94342661896</v>
      </c>
      <c r="BV87" s="49" t="n">
        <f aca="false">(BV83+BV59+BV86)*(BV$4&gt;In_COD)</f>
        <v>2335.35142995684</v>
      </c>
      <c r="BW87" s="49" t="n">
        <f aca="false">(BW83+BW59+BW86)*(BW$4&gt;In_COD)</f>
        <v>2294.86436737233</v>
      </c>
      <c r="BX87" s="49" t="n">
        <f aca="false">(BX83+BX59+BX86)*(BX$4&gt;In_COD)</f>
        <v>2318.18619209494</v>
      </c>
      <c r="BY87" s="49" t="n">
        <f aca="false">(BY83+BY59+BY86)*(BY$4&gt;In_COD)</f>
        <v>2341.48394192824</v>
      </c>
      <c r="BZ87" s="49" t="n">
        <f aca="false">(BZ83+BZ59+BZ86)*(BZ$4&gt;In_COD)</f>
        <v>2331.74903666808</v>
      </c>
      <c r="CA87" s="49" t="n">
        <f aca="false">(CA83+CA59+CA86)*(CA$4&gt;In_COD)</f>
        <v>2316.16890036023</v>
      </c>
      <c r="CB87" s="49" t="n">
        <f aca="false">(CB83+CB59+CB86)*(CB$4&gt;In_COD)</f>
        <v>2314.14478894785</v>
      </c>
      <c r="CC87" s="49" t="n">
        <f aca="false">(CC83+CC59+CC86)*(CC$4&gt;In_COD)</f>
        <v>2337.38611880721</v>
      </c>
      <c r="CD87" s="49" t="n">
        <f aca="false">(CD83+CD59+CD86)*(CD$4&gt;In_COD)</f>
        <v>2327.50330850459</v>
      </c>
      <c r="CE87" s="49" t="n">
        <f aca="false">(CE83+CE59+CE86)*(CE$4&gt;In_COD)</f>
        <v>2286.24098608149</v>
      </c>
      <c r="CF87" s="49" t="n">
        <f aca="false">(CF83+CF59+CF86)*(CF$4&gt;In_COD)</f>
        <v>2309.44463553358</v>
      </c>
      <c r="CG87" s="49" t="n">
        <f aca="false">(CG83+CG59+CG86)*(CG$4&gt;In_COD)</f>
        <v>2332.62169460504</v>
      </c>
      <c r="CH87" s="49" t="n">
        <f aca="false">(CH83+CH59+CH86)*(CH$4&gt;In_COD)</f>
        <v>2322.58573794189</v>
      </c>
      <c r="CI87" s="49" t="n">
        <f aca="false">(CI83+CI59+CI86)*(CI$4&gt;In_COD)</f>
        <v>2283.1320593481</v>
      </c>
      <c r="CJ87" s="49" t="n">
        <f aca="false">(CJ83+CJ59+CJ86)*(CJ$4&gt;In_COD)</f>
        <v>2308.50019334086</v>
      </c>
      <c r="CK87" s="49" t="n">
        <f aca="false">(CK83+CK59+CK86)*(CK$4&gt;In_COD)</f>
        <v>2333.86832733361</v>
      </c>
      <c r="CL87" s="49" t="n">
        <f aca="false">(CL83+CL59+CL86)*(CL$4&gt;In_COD)</f>
        <v>2325.96556789212</v>
      </c>
      <c r="CM87" s="49" t="n">
        <f aca="false">(CM83+CM59+CM86)*(CM$4&gt;In_COD)</f>
        <v>2286.21680003197</v>
      </c>
      <c r="CN87" s="49" t="n">
        <f aca="false">(CN83+CN59+CN86)*(CN$4&gt;In_COD)</f>
        <v>2311.61920892122</v>
      </c>
      <c r="CO87" s="49" t="n">
        <f aca="false">(CO83+CO59+CO86)*(CO$4&gt;In_COD)</f>
        <v>2337.02161781046</v>
      </c>
      <c r="CP87" s="49" t="n">
        <f aca="false">(CP83+CP59+CP86)*(CP$4&gt;In_COD)</f>
        <v>2329.07120265089</v>
      </c>
      <c r="CQ87" s="49" t="n">
        <f aca="false">(CQ83+CQ59+CQ86)*(CQ$4&gt;In_COD)</f>
        <v>2314.45814836636</v>
      </c>
      <c r="CR87" s="49" t="n">
        <f aca="false">(CR83+CR59+CR86)*(CR$4&gt;In_COD)</f>
        <v>2314.45814836636</v>
      </c>
      <c r="CS87" s="49" t="n">
        <f aca="false">(CS83+CS59+CS86)*(CS$4&gt;In_COD)</f>
        <v>2339.89175439236</v>
      </c>
      <c r="CT87" s="49" t="n">
        <f aca="false">(CT83+CT59+CT86)*(CT$4&gt;In_COD)</f>
        <v>2331.89357808024</v>
      </c>
      <c r="CU87" s="49" t="n">
        <f aca="false">(CU83+CU59+CU86)*(CU$4&gt;In_COD)</f>
        <v>2291.54618297149</v>
      </c>
      <c r="CV87" s="49" t="n">
        <f aca="false">(CV83+CV59+CV86)*(CV$4&gt;In_COD)</f>
        <v>2317.00780722673</v>
      </c>
      <c r="CW87" s="49" t="n">
        <f aca="false">(CW83+CW59+CW86)*(CW$4&gt;In_COD)</f>
        <v>2342.46943148197</v>
      </c>
      <c r="CX87" s="49" t="n">
        <f aca="false">(CX83+CX59+CX86)*(CX$4&gt;In_COD)</f>
        <v>2334.42339262719</v>
      </c>
      <c r="CY87" s="49" t="n">
        <f aca="false">(CY83+CY59+CY86)*(CY$4&gt;In_COD)</f>
        <v>2293.77238046278</v>
      </c>
      <c r="CZ87" s="49" t="n">
        <f aca="false">(CZ83+CZ59+CZ86)*(CZ$4&gt;In_COD)</f>
        <v>2319.2587402457</v>
      </c>
      <c r="DA87" s="49" t="n">
        <f aca="false">(DA83+DA59+DA86)*(DA$4&gt;In_COD)</f>
        <v>2344.74510002862</v>
      </c>
      <c r="DB87" s="49" t="n">
        <f aca="false">(DB83+DB59+DB86)*(DB$4&gt;In_COD)</f>
        <v>2127.75796595667</v>
      </c>
      <c r="DC87" s="49" t="n">
        <f aca="false">(DC83+DC59+DC86)*(DC$4&gt;In_COD)</f>
        <v>2091.34156892558</v>
      </c>
      <c r="DD87" s="49" t="n">
        <f aca="false">(DD83+DD59+DD86)*(DD$4&gt;In_COD)</f>
        <v>2114.5786974692</v>
      </c>
      <c r="DE87" s="49" t="n">
        <f aca="false">(DE83+DE59+DE86)*(DE$4&gt;In_COD)</f>
        <v>2137.81582601281</v>
      </c>
      <c r="DF87" s="49" t="n">
        <f aca="false">(DF83+DF59+DF86)*(DF$4&gt;In_COD)</f>
        <v>2129.67377475099</v>
      </c>
      <c r="DG87" s="49" t="n">
        <f aca="false">(DG83+DG59+DG86)*(DG$4&gt;In_COD)</f>
        <v>2116.20284972323</v>
      </c>
      <c r="DH87" s="49" t="n">
        <f aca="false">(DH83+DH59+DH86)*(DH$4&gt;In_COD)</f>
        <v>2116.20284972323</v>
      </c>
      <c r="DI87" s="49" t="n">
        <f aca="false">(DI83+DI59+DI86)*(DI$4&gt;In_COD)</f>
        <v>2139.45782609381</v>
      </c>
      <c r="DJ87" s="49" t="n">
        <f aca="false">(DJ83+DJ59+DJ86)*(DJ$4&gt;In_COD)</f>
        <v>2131.26763373715</v>
      </c>
      <c r="DK87" s="49" t="n">
        <f aca="false">(DK83+DK59+DK86)*(DK$4&gt;In_COD)</f>
        <v>2094.22922134031</v>
      </c>
      <c r="DL87" s="49" t="n">
        <f aca="false">(DL83+DL59+DL86)*(DL$4&gt;In_COD)</f>
        <v>2117.49843491076</v>
      </c>
      <c r="DM87" s="49" t="n">
        <f aca="false">(DM83+DM59+DM86)*(DM$4&gt;In_COD)</f>
        <v>2140.76764848121</v>
      </c>
      <c r="DN87" s="49" t="n">
        <f aca="false">(DN83+DN59+DN86)*(DN$4&gt;In_COD)</f>
        <v>2132.52923118543</v>
      </c>
      <c r="DO87" s="49" t="n">
        <f aca="false">(DO83+DO59+DO86)*(DO$4&gt;In_COD)</f>
        <v>2095.17525809415</v>
      </c>
      <c r="DP87" s="49" t="n">
        <f aca="false">(DP83+DP59+DP86)*(DP$4&gt;In_COD)</f>
        <v>2118.45498318408</v>
      </c>
      <c r="DQ87" s="49" t="n">
        <f aca="false">(DQ83+DQ59+DQ86)*(DQ$4&gt;In_COD)</f>
        <v>2141.73470827402</v>
      </c>
      <c r="DR87" s="49" t="n">
        <f aca="false">(DR83+DR59+DR86)*(DR$4&gt;In_COD)</f>
        <v>2133.4479869401</v>
      </c>
      <c r="DS87" s="49" t="n">
        <f aca="false">(DS83+DS59+DS86)*(DS$4&gt;In_COD)</f>
        <v>2095.77535956</v>
      </c>
      <c r="DT87" s="49" t="n">
        <f aca="false">(DT83+DT59+DT86)*(DT$4&gt;In_COD)</f>
        <v>2119.061752444</v>
      </c>
      <c r="DU87" s="49" t="n">
        <f aca="false">(DU83+DU59+DU86)*(DU$4&gt;In_COD)</f>
        <v>2142.348145328</v>
      </c>
      <c r="DV87" s="49" t="n">
        <f aca="false">(DV83+DV59+DV86)*(DV$4&gt;In_COD)</f>
        <v>2134.01304575269</v>
      </c>
      <c r="DW87" s="49" t="n">
        <f aca="false">(DW83+DW59+DW86)*(DW$4&gt;In_COD)</f>
        <v>2119.30772157993</v>
      </c>
      <c r="DX87" s="49" t="n">
        <f aca="false">(DX83+DX59+DX86)*(DX$4&gt;In_COD)</f>
        <v>2119.30772157993</v>
      </c>
      <c r="DY87" s="49" t="n">
        <f aca="false">(DY83+DY59+DY86)*(DY$4&gt;In_COD)</f>
        <v>2142.59681742147</v>
      </c>
      <c r="DZ87" s="49" t="n">
        <f aca="false">(DZ83+DZ59+DZ86)*(DZ$4&gt;In_COD)</f>
        <v>2134.2132704514</v>
      </c>
      <c r="EA87" s="49" t="n">
        <f aca="false">(EA83+EA59+EA86)*(EA$4&gt;In_COD)</f>
        <v>2095.89387383467</v>
      </c>
      <c r="EB87" s="49" t="n">
        <f aca="false">(EB83+EB59+EB86)*(EB$4&gt;In_COD)</f>
        <v>2119.18158354395</v>
      </c>
      <c r="EC87" s="49" t="n">
        <f aca="false">(EC83+EC59+EC86)*(EC$4&gt;In_COD)</f>
        <v>2142.46929325322</v>
      </c>
      <c r="ED87" s="49" t="n">
        <f aca="false">(ED83+ED59+ED86)*(ED$4&gt;In_COD)</f>
        <v>2134.03723494271</v>
      </c>
      <c r="EE87" s="49" t="n">
        <f aca="false">(EE83+EE59+EE86)*(EE$4&gt;In_COD)</f>
        <v>2095.38963124086</v>
      </c>
      <c r="EF87" s="49" t="n">
        <f aca="false">(EF83+EF59+EF86)*(EF$4&gt;In_COD)</f>
        <v>2118.67173825464</v>
      </c>
      <c r="EG87" s="49" t="n">
        <f aca="false">(EG83+EG59+EG86)*(EG$4&gt;In_COD)</f>
        <v>2141.95384526843</v>
      </c>
      <c r="EH87" s="49" t="n">
        <f aca="false">(EH83+EH59+EH86)*(EH$4&gt;In_COD)</f>
        <v>2133.4732170411</v>
      </c>
      <c r="EI87" s="49" t="n">
        <f aca="false">(EI83+EI59+EI86)*(EI$4&gt;In_COD)</f>
        <v>2094.49412834512</v>
      </c>
      <c r="EJ87" s="49" t="n">
        <f aca="false">(EJ83+EJ59+EJ86)*(EJ$4&gt;In_COD)</f>
        <v>2117.76628532674</v>
      </c>
      <c r="EK87" s="49" t="n">
        <f aca="false">(EK83+EK59+EK86)*(EK$4&gt;In_COD)</f>
        <v>2141.03844230835</v>
      </c>
      <c r="EL87" s="49" t="n">
        <f aca="false">(EL83+EL59+EL86)*(EL$4&gt;In_COD)</f>
        <v>2132.50919112262</v>
      </c>
      <c r="EM87" s="49" t="n">
        <f aca="false">(EM83+EM59+EM86)*(EM$4&gt;In_COD)</f>
        <v>2116.45301662203</v>
      </c>
      <c r="EN87" s="49" t="n">
        <f aca="false">(EN83+EN59+EN86)*(EN$4&gt;In_COD)</f>
        <v>2116.45301662203</v>
      </c>
      <c r="EO87" s="49" t="n">
        <f aca="false">(EO83+EO59+EO86)*(EO$4&gt;In_COD)</f>
        <v>2139.71074207941</v>
      </c>
    </row>
    <row r="88" customFormat="false" ht="15" hidden="false" customHeight="false" outlineLevel="0" collapsed="false">
      <c r="C88" s="1" t="s">
        <v>478</v>
      </c>
      <c r="D88" s="12" t="s">
        <v>33</v>
      </c>
      <c r="E88" s="49" t="n">
        <f aca="false">PV($F22,In_Debt_Tenor*Months_In_Year/Months_Per_Period,-$F88)</f>
        <v>80084.3388281759</v>
      </c>
      <c r="F88" s="49" t="n">
        <f aca="false">MIN($J88:$EO88)</f>
        <v>1905.20082173457</v>
      </c>
      <c r="J88" s="49" t="str">
        <f aca="false">IF(J18=1,J87/In_DSCR,"")</f>
        <v/>
      </c>
      <c r="K88" s="49" t="str">
        <f aca="false">IF(K18=1,K87/In_DSCR,"")</f>
        <v/>
      </c>
      <c r="L88" s="49" t="str">
        <f aca="false">IF(L18=1,L87/In_DSCR,"")</f>
        <v/>
      </c>
      <c r="M88" s="49" t="str">
        <f aca="false">IF(M18=1,M87/In_DSCR,"")</f>
        <v/>
      </c>
      <c r="N88" s="49" t="str">
        <f aca="false">IF(N18=1,N87/In_DSCR,"")</f>
        <v/>
      </c>
      <c r="O88" s="49" t="str">
        <f aca="false">IF(O18=1,O87/In_DSCR,"")</f>
        <v/>
      </c>
      <c r="P88" s="49" t="str">
        <f aca="false">IF(P18=1,P87/In_DSCR,"")</f>
        <v/>
      </c>
      <c r="Q88" s="49" t="str">
        <f aca="false">IF(Q18=1,Q87/In_DSCR,"")</f>
        <v/>
      </c>
      <c r="R88" s="49" t="str">
        <f aca="false">IF(R18=1,R87/In_DSCR,"")</f>
        <v/>
      </c>
      <c r="S88" s="49" t="str">
        <f aca="false">IF(S18=1,S87/In_DSCR,"")</f>
        <v/>
      </c>
      <c r="T88" s="49" t="str">
        <f aca="false">IF(T18=1,T87/In_DSCR,"")</f>
        <v/>
      </c>
      <c r="U88" s="49" t="str">
        <f aca="false">IF(U18=1,U87/In_DSCR,"")</f>
        <v/>
      </c>
      <c r="V88" s="49" t="str">
        <f aca="false">IF(V18=1,V87/In_DSCR,"")</f>
        <v/>
      </c>
      <c r="W88" s="49" t="str">
        <f aca="false">IF(W18=1,W87/In_DSCR,"")</f>
        <v/>
      </c>
      <c r="X88" s="49" t="str">
        <f aca="false">IF(X18=1,X87/In_DSCR,"")</f>
        <v/>
      </c>
      <c r="Y88" s="49" t="str">
        <f aca="false">IF(Y18=1,Y87/In_DSCR,"")</f>
        <v/>
      </c>
      <c r="Z88" s="49" t="n">
        <f aca="false">IF(Z18=1,Z87/In_DSCR,"")</f>
        <v>1945.87527711976</v>
      </c>
      <c r="AA88" s="49" t="n">
        <f aca="false">IF(AA18=1,AA87/In_DSCR,"")</f>
        <v>1916.17863392705</v>
      </c>
      <c r="AB88" s="49" t="n">
        <f aca="false">IF(AB18=1,AB87/In_DSCR,"")</f>
        <v>1936.60261097956</v>
      </c>
      <c r="AC88" s="49" t="n">
        <f aca="false">IF(AC18=1,AC87/In_DSCR,"")</f>
        <v>1957.02106227833</v>
      </c>
      <c r="AD88" s="49" t="n">
        <f aca="false">IF(AD18=1,AD87/In_DSCR,"")</f>
        <v>1950.0357922723</v>
      </c>
      <c r="AE88" s="49" t="n">
        <f aca="false">IF(AE18=1,AE87/In_DSCR,"")</f>
        <v>1941.01303203554</v>
      </c>
      <c r="AF88" s="49" t="n">
        <f aca="false">IF(AF18=1,AF87/In_DSCR,"")</f>
        <v>1940.54845082502</v>
      </c>
      <c r="AG88" s="49" t="n">
        <f aca="false">IF(AG18=1,AG87/In_DSCR,"")</f>
        <v>1961.00750666445</v>
      </c>
      <c r="AH88" s="49" t="n">
        <f aca="false">IF(AH18=1,AH87/In_DSCR,"")</f>
        <v>1953.95773226861</v>
      </c>
      <c r="AI88" s="49" t="n">
        <f aca="false">IF(AI18=1,AI87/In_DSCR,"")</f>
        <v>1923.74675197266</v>
      </c>
      <c r="AJ88" s="49" t="n">
        <f aca="false">IF(AJ18=1,AJ87/In_DSCR,"")</f>
        <v>1966.2828998351</v>
      </c>
      <c r="AK88" s="49" t="n">
        <f aca="false">IF(AK18=1,AK87/In_DSCR,"")</f>
        <v>1959.56038966927</v>
      </c>
      <c r="AL88" s="49" t="n">
        <f aca="false">IF(AL18=1,AL87/In_DSCR,"")</f>
        <v>1952.48062108615</v>
      </c>
      <c r="AM88" s="49" t="n">
        <f aca="false">IF(AM18=1,AM87/In_DSCR,"")</f>
        <v>1921.36875236521</v>
      </c>
      <c r="AN88" s="49" t="n">
        <f aca="false">IF(AN18=1,AN87/In_DSCR,"")</f>
        <v>1940.96770892252</v>
      </c>
      <c r="AO88" s="49" t="n">
        <f aca="false">IF(AO18=1,AO87/In_DSCR,"")</f>
        <v>1960.55383739258</v>
      </c>
      <c r="AP88" s="49" t="n">
        <f aca="false">IF(AP18=1,AP87/In_DSCR,"")</f>
        <v>1953.38475899768</v>
      </c>
      <c r="AQ88" s="49" t="n">
        <f aca="false">IF(AQ18=1,AQ87/In_DSCR,"")</f>
        <v>1922.00104027075</v>
      </c>
      <c r="AR88" s="49" t="n">
        <f aca="false">IF(AR18=1,AR87/In_DSCR,"")</f>
        <v>1941.60121308277</v>
      </c>
      <c r="AS88" s="49" t="n">
        <f aca="false">IF(AS18=1,AS87/In_DSCR,"")</f>
        <v>1961.18790427632</v>
      </c>
      <c r="AT88" s="49" t="n">
        <f aca="false">IF(AT18=1,AT87/In_DSCR,"")</f>
        <v>1953.92679520709</v>
      </c>
      <c r="AU88" s="49" t="n">
        <f aca="false">IF(AU18=1,AU87/In_DSCR,"")</f>
        <v>1942.99710160623</v>
      </c>
      <c r="AV88" s="49" t="n">
        <f aca="false">IF(AV18=1,AV87/In_DSCR,"")</f>
        <v>1941.86362608068</v>
      </c>
      <c r="AW88" s="49" t="n">
        <f aca="false">IF(AW18=1,AW87/In_DSCR,"")</f>
        <v>1961.44647608074</v>
      </c>
      <c r="AX88" s="49" t="n">
        <f aca="false">IF(AX18=1,AX87/In_DSCR,"")</f>
        <v>1954.09048525275</v>
      </c>
      <c r="AY88" s="49" t="n">
        <f aca="false">IF(AY18=1,AY87/In_DSCR,"")</f>
        <v>1922.14904982525</v>
      </c>
      <c r="AZ88" s="49" t="n">
        <f aca="false">IF(AZ18=1,AZ87/In_DSCR,"")</f>
        <v>1941.73834592786</v>
      </c>
      <c r="BA88" s="49" t="n">
        <f aca="false">IF(BA18=1,BA87/In_DSCR,"")</f>
        <v>1961.31275177025</v>
      </c>
      <c r="BB88" s="49" t="n">
        <f aca="false">IF(BB18=1,BB87/In_DSCR,"")</f>
        <v>1953.85889121494</v>
      </c>
      <c r="BC88" s="49" t="n">
        <f aca="false">IF(BC18=1,BC87/In_DSCR,"")</f>
        <v>1921.6312614364</v>
      </c>
      <c r="BD88" s="49" t="n">
        <f aca="false">IF(BD18=1,BD87/In_DSCR,"")</f>
        <v>1941.20806131848</v>
      </c>
      <c r="BE88" s="49" t="n">
        <f aca="false">IF(BE18=1,BE87/In_DSCR,"")</f>
        <v>1960.76921235101</v>
      </c>
      <c r="BF88" s="49" t="n">
        <f aca="false">IF(BF18=1,BF87/In_DSCR,"")</f>
        <v>1953.21435021194</v>
      </c>
      <c r="BG88" s="49" t="n">
        <f aca="false">IF(BG18=1,BG87/In_DSCR,"")</f>
        <v>1920.69540444412</v>
      </c>
      <c r="BH88" s="49" t="n">
        <f aca="false">IF(BH18=1,BH87/In_DSCR,"")</f>
        <v>1940.25471937373</v>
      </c>
      <c r="BI88" s="49" t="n">
        <f aca="false">IF(BI18=1,BI87/In_DSCR,"")</f>
        <v>1959.79758821787</v>
      </c>
      <c r="BJ88" s="49" t="n">
        <f aca="false">IF(BJ18=1,BJ87/In_DSCR,"")</f>
        <v>1952.13844138798</v>
      </c>
      <c r="BK88" s="49" t="n">
        <f aca="false">IF(BK18=1,BK87/In_DSCR,"")</f>
        <v>1940.24220678762</v>
      </c>
      <c r="BL88" s="49" t="n">
        <f aca="false">IF(BL18=1,BL87/In_DSCR,"")</f>
        <v>1938.85949184142</v>
      </c>
      <c r="BM88" s="49" t="n">
        <f aca="false">IF(BM18=1,BM87/In_DSCR,"")</f>
        <v>1958.37882493724</v>
      </c>
      <c r="BN88" s="49" t="n">
        <f aca="false">IF(BN18=1,BN87/In_DSCR,"")</f>
        <v>1950.6119513188</v>
      </c>
      <c r="BO88" s="49" t="n">
        <f aca="false">IF(BO18=1,BO87/In_DSCR,"")</f>
        <v>1917.49426748725</v>
      </c>
      <c r="BP88" s="49" t="n">
        <f aca="false">IF(BP18=1,BP87/In_DSCR,"")</f>
        <v>1937.00273967423</v>
      </c>
      <c r="BQ88" s="49" t="n">
        <f aca="false">IF(BQ18=1,BQ87/In_DSCR,"")</f>
        <v>1956.4930473884</v>
      </c>
      <c r="BR88" s="49" t="n">
        <f aca="false">IF(BR18=1,BR87/In_DSCR,"")</f>
        <v>1948.61483775631</v>
      </c>
      <c r="BS88" s="49" t="n">
        <f aca="false">IF(BS18=1,BS87/In_DSCR,"")</f>
        <v>1915.18933976261</v>
      </c>
      <c r="BT88" s="49" t="n">
        <f aca="false">IF(BT18=1,BT87/In_DSCR,"")</f>
        <v>1934.66397590654</v>
      </c>
      <c r="BU88" s="49" t="n">
        <f aca="false">IF(BU18=1,BU87/In_DSCR,"")</f>
        <v>1954.11952218247</v>
      </c>
      <c r="BV88" s="49" t="n">
        <f aca="false">IF(BV18=1,BV87/In_DSCR,"")</f>
        <v>1946.1261916307</v>
      </c>
      <c r="BW88" s="49" t="n">
        <f aca="false">IF(BW18=1,BW87/In_DSCR,"")</f>
        <v>1912.38697281027</v>
      </c>
      <c r="BX88" s="49" t="n">
        <f aca="false">IF(BX18=1,BX87/In_DSCR,"")</f>
        <v>1931.82182674578</v>
      </c>
      <c r="BY88" s="49" t="n">
        <f aca="false">IF(BY18=1,BY87/In_DSCR,"")</f>
        <v>1951.23661827353</v>
      </c>
      <c r="BZ88" s="49" t="n">
        <f aca="false">IF(BZ18=1,BZ87/In_DSCR,"")</f>
        <v>1943.1241972234</v>
      </c>
      <c r="CA88" s="49" t="n">
        <f aca="false">IF(CA18=1,CA87/In_DSCR,"")</f>
        <v>1930.14075030019</v>
      </c>
      <c r="CB88" s="49" t="n">
        <f aca="false">IF(CB18=1,CB87/In_DSCR,"")</f>
        <v>1928.45399078988</v>
      </c>
      <c r="CC88" s="49" t="n">
        <f aca="false">IF(CC18=1,CC87/In_DSCR,"")</f>
        <v>1947.82176567267</v>
      </c>
      <c r="CD88" s="49" t="n">
        <f aca="false">IF(CD18=1,CD87/In_DSCR,"")</f>
        <v>1939.58609042049</v>
      </c>
      <c r="CE88" s="49" t="n">
        <f aca="false">IF(CE18=1,CE87/In_DSCR,"")</f>
        <v>1905.20082173457</v>
      </c>
      <c r="CF88" s="49" t="n">
        <f aca="false">IF(CF18=1,CF87/In_DSCR,"")</f>
        <v>1924.53719627798</v>
      </c>
      <c r="CG88" s="49" t="n">
        <f aca="false">IF(CG18=1,CG87/In_DSCR,"")</f>
        <v>1943.85141217086</v>
      </c>
      <c r="CH88" s="49" t="str">
        <f aca="false">IF(CH18=1,CH87/In_DSCR,"")</f>
        <v/>
      </c>
      <c r="CI88" s="49" t="str">
        <f aca="false">IF(CI18=1,CI87/In_DSCR,"")</f>
        <v/>
      </c>
      <c r="CJ88" s="49" t="str">
        <f aca="false">IF(CJ18=1,CJ87/In_DSCR,"")</f>
        <v/>
      </c>
      <c r="CK88" s="49" t="str">
        <f aca="false">IF(CK18=1,CK87/In_DSCR,"")</f>
        <v/>
      </c>
      <c r="CL88" s="49" t="str">
        <f aca="false">IF(CL18=1,CL87/In_DSCR,"")</f>
        <v/>
      </c>
      <c r="CM88" s="49" t="str">
        <f aca="false">IF(CM18=1,CM87/In_DSCR,"")</f>
        <v/>
      </c>
      <c r="CN88" s="49" t="str">
        <f aca="false">IF(CN18=1,CN87/In_DSCR,"")</f>
        <v/>
      </c>
      <c r="CO88" s="49" t="str">
        <f aca="false">IF(CO18=1,CO87/In_DSCR,"")</f>
        <v/>
      </c>
      <c r="CP88" s="49" t="str">
        <f aca="false">IF(CP18=1,CP87/In_DSCR,"")</f>
        <v/>
      </c>
      <c r="CQ88" s="49" t="str">
        <f aca="false">IF(CQ18=1,CQ87/In_DSCR,"")</f>
        <v/>
      </c>
      <c r="CR88" s="49" t="str">
        <f aca="false">IF(CR18=1,CR87/In_DSCR,"")</f>
        <v/>
      </c>
      <c r="CS88" s="49" t="str">
        <f aca="false">IF(CS18=1,CS87/In_DSCR,"")</f>
        <v/>
      </c>
      <c r="CT88" s="49" t="str">
        <f aca="false">IF(CT18=1,CT87/In_DSCR,"")</f>
        <v/>
      </c>
      <c r="CU88" s="49" t="str">
        <f aca="false">IF(CU18=1,CU87/In_DSCR,"")</f>
        <v/>
      </c>
      <c r="CV88" s="49" t="str">
        <f aca="false">IF(CV18=1,CV87/In_DSCR,"")</f>
        <v/>
      </c>
      <c r="CW88" s="49" t="str">
        <f aca="false">IF(CW18=1,CW87/In_DSCR,"")</f>
        <v/>
      </c>
      <c r="CX88" s="49" t="str">
        <f aca="false">IF(CX18=1,CX87/In_DSCR,"")</f>
        <v/>
      </c>
      <c r="CY88" s="49" t="str">
        <f aca="false">IF(CY18=1,CY87/In_DSCR,"")</f>
        <v/>
      </c>
      <c r="CZ88" s="49" t="str">
        <f aca="false">IF(CZ18=1,CZ87/In_DSCR,"")</f>
        <v/>
      </c>
      <c r="DA88" s="49" t="str">
        <f aca="false">IF(DA18=1,DA87/In_DSCR,"")</f>
        <v/>
      </c>
      <c r="DB88" s="49" t="str">
        <f aca="false">IF(DB18=1,DB87/In_DSCR,"")</f>
        <v/>
      </c>
      <c r="DC88" s="49" t="str">
        <f aca="false">IF(DC18=1,DC87/In_DSCR,"")</f>
        <v/>
      </c>
      <c r="DD88" s="49" t="str">
        <f aca="false">IF(DD18=1,DD87/In_DSCR,"")</f>
        <v/>
      </c>
      <c r="DE88" s="49" t="str">
        <f aca="false">IF(DE18=1,DE87/In_DSCR,"")</f>
        <v/>
      </c>
      <c r="DF88" s="49" t="str">
        <f aca="false">IF(DF18=1,DF87/In_DSCR,"")</f>
        <v/>
      </c>
      <c r="DG88" s="49" t="str">
        <f aca="false">IF(DG18=1,DG87/In_DSCR,"")</f>
        <v/>
      </c>
      <c r="DH88" s="49" t="str">
        <f aca="false">IF(DH18=1,DH87/In_DSCR,"")</f>
        <v/>
      </c>
      <c r="DI88" s="49" t="str">
        <f aca="false">IF(DI18=1,DI87/In_DSCR,"")</f>
        <v/>
      </c>
      <c r="DJ88" s="49" t="str">
        <f aca="false">IF(DJ18=1,DJ87/In_DSCR,"")</f>
        <v/>
      </c>
      <c r="DK88" s="49" t="str">
        <f aca="false">IF(DK18=1,DK87/In_DSCR,"")</f>
        <v/>
      </c>
      <c r="DL88" s="49" t="str">
        <f aca="false">IF(DL18=1,DL87/In_DSCR,"")</f>
        <v/>
      </c>
      <c r="DM88" s="49" t="str">
        <f aca="false">IF(DM18=1,DM87/In_DSCR,"")</f>
        <v/>
      </c>
      <c r="DN88" s="49" t="str">
        <f aca="false">IF(DN18=1,DN87/In_DSCR,"")</f>
        <v/>
      </c>
      <c r="DO88" s="49" t="str">
        <f aca="false">IF(DO18=1,DO87/In_DSCR,"")</f>
        <v/>
      </c>
      <c r="DP88" s="49" t="str">
        <f aca="false">IF(DP18=1,DP87/In_DSCR,"")</f>
        <v/>
      </c>
      <c r="DQ88" s="49" t="str">
        <f aca="false">IF(DQ18=1,DQ87/In_DSCR,"")</f>
        <v/>
      </c>
      <c r="DR88" s="49" t="str">
        <f aca="false">IF(DR18=1,DR87/In_DSCR,"")</f>
        <v/>
      </c>
      <c r="DS88" s="49" t="str">
        <f aca="false">IF(DS18=1,DS87/In_DSCR,"")</f>
        <v/>
      </c>
      <c r="DT88" s="49" t="str">
        <f aca="false">IF(DT18=1,DT87/In_DSCR,"")</f>
        <v/>
      </c>
      <c r="DU88" s="49" t="str">
        <f aca="false">IF(DU18=1,DU87/In_DSCR,"")</f>
        <v/>
      </c>
      <c r="DV88" s="49" t="str">
        <f aca="false">IF(DV18=1,DV87/In_DSCR,"")</f>
        <v/>
      </c>
      <c r="DW88" s="49" t="str">
        <f aca="false">IF(DW18=1,DW87/In_DSCR,"")</f>
        <v/>
      </c>
      <c r="DX88" s="49" t="str">
        <f aca="false">IF(DX18=1,DX87/In_DSCR,"")</f>
        <v/>
      </c>
      <c r="DY88" s="49" t="str">
        <f aca="false">IF(DY18=1,DY87/In_DSCR,"")</f>
        <v/>
      </c>
      <c r="DZ88" s="49" t="str">
        <f aca="false">IF(DZ18=1,DZ87/In_DSCR,"")</f>
        <v/>
      </c>
      <c r="EA88" s="49" t="str">
        <f aca="false">IF(EA18=1,EA87/In_DSCR,"")</f>
        <v/>
      </c>
      <c r="EB88" s="49" t="str">
        <f aca="false">IF(EB18=1,EB87/In_DSCR,"")</f>
        <v/>
      </c>
      <c r="EC88" s="49" t="str">
        <f aca="false">IF(EC18=1,EC87/In_DSCR,"")</f>
        <v/>
      </c>
      <c r="ED88" s="49" t="str">
        <f aca="false">IF(ED18=1,ED87/In_DSCR,"")</f>
        <v/>
      </c>
      <c r="EE88" s="49" t="str">
        <f aca="false">IF(EE18=1,EE87/In_DSCR,"")</f>
        <v/>
      </c>
      <c r="EF88" s="49" t="str">
        <f aca="false">IF(EF18=1,EF87/In_DSCR,"")</f>
        <v/>
      </c>
      <c r="EG88" s="49" t="str">
        <f aca="false">IF(EG18=1,EG87/In_DSCR,"")</f>
        <v/>
      </c>
      <c r="EH88" s="49" t="str">
        <f aca="false">IF(EH18=1,EH87/In_DSCR,"")</f>
        <v/>
      </c>
      <c r="EI88" s="49" t="str">
        <f aca="false">IF(EI18=1,EI87/In_DSCR,"")</f>
        <v/>
      </c>
      <c r="EJ88" s="49" t="str">
        <f aca="false">IF(EJ18=1,EJ87/In_DSCR,"")</f>
        <v/>
      </c>
      <c r="EK88" s="49" t="str">
        <f aca="false">IF(EK18=1,EK87/In_DSCR,"")</f>
        <v/>
      </c>
      <c r="EL88" s="49" t="str">
        <f aca="false">IF(EL18=1,EL87/In_DSCR,"")</f>
        <v/>
      </c>
      <c r="EM88" s="49" t="str">
        <f aca="false">IF(EM18=1,EM87/In_DSCR,"")</f>
        <v/>
      </c>
      <c r="EN88" s="49" t="str">
        <f aca="false">IF(EN18=1,EN87/In_DSCR,"")</f>
        <v/>
      </c>
      <c r="EO88" s="49" t="str">
        <f aca="false">IF(EO18=1,EO87/In_DSCR,"")</f>
        <v/>
      </c>
    </row>
    <row r="89" customFormat="false" ht="15" hidden="false" customHeight="false" outlineLevel="0" collapsed="false">
      <c r="C89" s="1" t="s">
        <v>479</v>
      </c>
      <c r="D89" s="12" t="s">
        <v>33</v>
      </c>
      <c r="E89" s="49" t="n">
        <f aca="false">In_Debt_Per_MW*$F25</f>
        <v>49500</v>
      </c>
    </row>
    <row r="90" customFormat="false" ht="15" hidden="false" customHeight="false" outlineLevel="0" collapsed="false">
      <c r="C90" s="26" t="s">
        <v>480</v>
      </c>
      <c r="D90" s="12" t="s">
        <v>27</v>
      </c>
      <c r="E90" s="34" t="n">
        <f aca="false">MIN(In_Gearing,$E88/-$E70,$E89/-$E70)</f>
        <v>0.461007037155847</v>
      </c>
      <c r="F90" s="34" t="n">
        <f aca="false">$E90*-$E70/$E88</f>
        <v>0.618098378837892</v>
      </c>
    </row>
    <row r="91" customFormat="false" ht="15" hidden="false" customHeight="false" outlineLevel="0" collapsed="false">
      <c r="C91" s="1" t="s">
        <v>481</v>
      </c>
      <c r="D91" s="12" t="s">
        <v>33</v>
      </c>
      <c r="E91" s="49" t="n">
        <f aca="false">$E90*-$E70</f>
        <v>49500</v>
      </c>
      <c r="F91" s="49" t="n">
        <f aca="false">PMT($F22,In_Debt_Tenor*Months_In_Year/Months_Per_Period,-$E91)</f>
        <v>1177.60153927476</v>
      </c>
    </row>
    <row r="93" customFormat="false" ht="15" hidden="false" customHeight="false" outlineLevel="0" collapsed="false">
      <c r="A93" s="10" t="s">
        <v>13</v>
      </c>
      <c r="B93" s="10"/>
      <c r="C93" s="10" t="s">
        <v>356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customFormat="false" ht="15" hidden="false" customHeight="false" outlineLevel="0" collapsed="false">
      <c r="C94" s="1" t="s">
        <v>482</v>
      </c>
      <c r="D94" s="12" t="s">
        <v>33</v>
      </c>
      <c r="I94" s="49" t="n">
        <f aca="false">SUM(J94:EO94)</f>
        <v>-21156.0923564854</v>
      </c>
      <c r="J94" s="49" t="n">
        <f aca="false">-I103*$F22*(J$4&gt;In_COD)</f>
        <v>-0</v>
      </c>
      <c r="K94" s="49" t="n">
        <f aca="false">-J103*$F22*(K$4&gt;In_COD)</f>
        <v>-0</v>
      </c>
      <c r="L94" s="49" t="n">
        <f aca="false">-K103*$F22*(L$4&gt;In_COD)</f>
        <v>-0</v>
      </c>
      <c r="M94" s="49" t="n">
        <f aca="false">-L103*$F22*(M$4&gt;In_COD)</f>
        <v>-0</v>
      </c>
      <c r="N94" s="49" t="n">
        <f aca="false">-M103*$F22*(N$4&gt;In_COD)</f>
        <v>-0</v>
      </c>
      <c r="O94" s="49" t="n">
        <f aca="false">-N103*$F22*(O$4&gt;In_COD)</f>
        <v>-0</v>
      </c>
      <c r="P94" s="49" t="n">
        <f aca="false">-O103*$F22*(P$4&gt;In_COD)</f>
        <v>-0</v>
      </c>
      <c r="Q94" s="49" t="n">
        <f aca="false">-P103*$F22*(Q$4&gt;In_COD)</f>
        <v>-0</v>
      </c>
      <c r="R94" s="49" t="n">
        <f aca="false">-Q103*$F22*(R$4&gt;In_COD)</f>
        <v>-0</v>
      </c>
      <c r="S94" s="49" t="n">
        <f aca="false">-R103*$F22*(S$4&gt;In_COD)</f>
        <v>-0</v>
      </c>
      <c r="T94" s="49" t="n">
        <f aca="false">-S103*$F22*(T$4&gt;In_COD)</f>
        <v>-0</v>
      </c>
      <c r="U94" s="49" t="n">
        <f aca="false">-T103*$F22*(U$4&gt;In_COD)</f>
        <v>-0</v>
      </c>
      <c r="V94" s="49" t="n">
        <f aca="false">-U103*$F22*(V$4&gt;In_COD)</f>
        <v>-0</v>
      </c>
      <c r="W94" s="49" t="n">
        <f aca="false">-V103*$F22*(W$4&gt;In_COD)</f>
        <v>-0</v>
      </c>
      <c r="X94" s="49" t="n">
        <f aca="false">-W103*$F22*(X$4&gt;In_COD)</f>
        <v>-0</v>
      </c>
      <c r="Y94" s="49" t="n">
        <f aca="false">-X103*$F22*(Y$4&gt;In_COD)</f>
        <v>-0</v>
      </c>
      <c r="Z94" s="49" t="n">
        <f aca="false">-Y103*$F22*(Z$4&gt;In_COD)</f>
        <v>-618.75</v>
      </c>
      <c r="AA94" s="49" t="n">
        <f aca="false">-Z103*$F22*(AA$4&gt;In_COD)</f>
        <v>-611.764355759066</v>
      </c>
      <c r="AB94" s="49" t="n">
        <f aca="false">-AA103*$F22*(AB$4&gt;In_COD)</f>
        <v>-604.69139096512</v>
      </c>
      <c r="AC94" s="49" t="n">
        <f aca="false">-AB103*$F22*(AC$4&gt;In_COD)</f>
        <v>-597.530014111249</v>
      </c>
      <c r="AD94" s="49" t="n">
        <f aca="false">-AC103*$F22*(AD$4&gt;In_COD)</f>
        <v>-590.279120046705</v>
      </c>
      <c r="AE94" s="49" t="n">
        <f aca="false">-AD103*$F22*(AE$4&gt;In_COD)</f>
        <v>-582.937589806355</v>
      </c>
      <c r="AF94" s="49" t="n">
        <f aca="false">-AE103*$F22*(AF$4&gt;In_COD)</f>
        <v>-575.504290438</v>
      </c>
      <c r="AG94" s="49" t="n">
        <f aca="false">-AF103*$F22*(AG$4&gt;In_COD)</f>
        <v>-567.97807482754</v>
      </c>
      <c r="AH94" s="49" t="n">
        <f aca="false">-AG103*$F22*(AH$4&gt;In_COD)</f>
        <v>-560.35778152195</v>
      </c>
      <c r="AI94" s="49" t="n">
        <f aca="false">-AH103*$F22*(AI$4&gt;In_COD)</f>
        <v>-552.64223455004</v>
      </c>
      <c r="AJ94" s="49" t="n">
        <f aca="false">-AI103*$F22*(AJ$4&gt;In_COD)</f>
        <v>-544.830243240981</v>
      </c>
      <c r="AK94" s="49" t="n">
        <f aca="false">-AJ103*$F22*(AK$4&gt;In_COD)</f>
        <v>-536.920602040559</v>
      </c>
      <c r="AL94" s="49" t="n">
        <f aca="false">-AK103*$F22*(AL$4&gt;In_COD)</f>
        <v>-528.912090325131</v>
      </c>
      <c r="AM94" s="49" t="n">
        <f aca="false">-AL103*$F22*(AM$4&gt;In_COD)</f>
        <v>-520.803472213261</v>
      </c>
      <c r="AN94" s="49" t="n">
        <f aca="false">-AM103*$F22*(AN$4&gt;In_COD)</f>
        <v>-512.593496374992</v>
      </c>
      <c r="AO94" s="49" t="n">
        <f aca="false">-AN103*$F22*(AO$4&gt;In_COD)</f>
        <v>-504.280895838745</v>
      </c>
      <c r="AP94" s="49" t="n">
        <f aca="false">-AO103*$F22*(AP$4&gt;In_COD)</f>
        <v>-495.864387795795</v>
      </c>
      <c r="AQ94" s="49" t="n">
        <f aca="false">-AP103*$F22*(AQ$4&gt;In_COD)</f>
        <v>-487.342673402308</v>
      </c>
      <c r="AR94" s="49" t="n">
        <f aca="false">-AQ103*$F22*(AR$4&gt;In_COD)</f>
        <v>-478.714437578902</v>
      </c>
      <c r="AS94" s="49" t="n">
        <f aca="false">-AR103*$F22*(AS$4&gt;In_COD)</f>
        <v>-469.978348807704</v>
      </c>
      <c r="AT94" s="49" t="n">
        <f aca="false">-AS103*$F22*(AT$4&gt;In_COD)</f>
        <v>-461.133058926866</v>
      </c>
      <c r="AU94" s="49" t="n">
        <f aca="false">-AT103*$F22*(AU$4&gt;In_COD)</f>
        <v>-452.177202922517</v>
      </c>
      <c r="AV94" s="49" t="n">
        <f aca="false">-AU103*$F22*(AV$4&gt;In_COD)</f>
        <v>-443.109398718114</v>
      </c>
      <c r="AW94" s="49" t="n">
        <f aca="false">-AV103*$F22*(AW$4&gt;In_COD)</f>
        <v>-433.928246961156</v>
      </c>
      <c r="AX94" s="49" t="n">
        <f aca="false">-AW103*$F22*(AX$4&gt;In_COD)</f>
        <v>-424.632330807236</v>
      </c>
      <c r="AY94" s="49" t="n">
        <f aca="false">-AX103*$F22*(AY$4&gt;In_COD)</f>
        <v>-415.220215701392</v>
      </c>
      <c r="AZ94" s="49" t="n">
        <f aca="false">-AY103*$F22*(AZ$4&gt;In_COD)</f>
        <v>-405.690449156725</v>
      </c>
      <c r="BA94" s="49" t="n">
        <f aca="false">-AZ103*$F22*(BA$4&gt;In_COD)</f>
        <v>-396.04156053025</v>
      </c>
      <c r="BB94" s="49" t="n">
        <f aca="false">-BA103*$F22*(BB$4&gt;In_COD)</f>
        <v>-386.272060795943</v>
      </c>
      <c r="BC94" s="49" t="n">
        <f aca="false">-BB103*$F22*(BC$4&gt;In_COD)</f>
        <v>-376.380442314958</v>
      </c>
      <c r="BD94" s="49" t="n">
        <f aca="false">-BC103*$F22*(BD$4&gt;In_COD)</f>
        <v>-366.365178602961</v>
      </c>
      <c r="BE94" s="49" t="n">
        <f aca="false">-BD103*$F22*(BE$4&gt;In_COD)</f>
        <v>-356.224724094563</v>
      </c>
      <c r="BF94" s="49" t="n">
        <f aca="false">-BE103*$F22*(BF$4&gt;In_COD)</f>
        <v>-345.957513904811</v>
      </c>
      <c r="BG94" s="49" t="n">
        <f aca="false">-BF103*$F22*(BG$4&gt;In_COD)</f>
        <v>-335.561963587686</v>
      </c>
      <c r="BH94" s="49" t="n">
        <f aca="false">-BG103*$F22*(BH$4&gt;In_COD)</f>
        <v>-325.036468891598</v>
      </c>
      <c r="BI94" s="49" t="n">
        <f aca="false">-BH103*$F22*(BI$4&gt;In_COD)</f>
        <v>-314.379405511809</v>
      </c>
      <c r="BJ94" s="49" t="n">
        <f aca="false">-BI103*$F22*(BJ$4&gt;In_COD)</f>
        <v>-303.589128839772</v>
      </c>
      <c r="BK94" s="49" t="n">
        <f aca="false">-BJ103*$F22*(BK$4&gt;In_COD)</f>
        <v>-292.663973709334</v>
      </c>
      <c r="BL94" s="49" t="n">
        <f aca="false">-BK103*$F22*(BL$4&gt;In_COD)</f>
        <v>-281.602254139767</v>
      </c>
      <c r="BM94" s="49" t="n">
        <f aca="false">-BL103*$F22*(BM$4&gt;In_COD)</f>
        <v>-270.402263075579</v>
      </c>
      <c r="BN94" s="49" t="n">
        <f aca="false">-BM103*$F22*(BN$4&gt;In_COD)</f>
        <v>-259.062272123089</v>
      </c>
      <c r="BO94" s="49" t="n">
        <f aca="false">-BN103*$F22*(BO$4&gt;In_COD)</f>
        <v>-247.580531283694</v>
      </c>
      <c r="BP94" s="49" t="n">
        <f aca="false">-BO103*$F22*(BP$4&gt;In_COD)</f>
        <v>-235.955268683805</v>
      </c>
      <c r="BQ94" s="49" t="n">
        <f aca="false">-BP103*$F22*(BQ$4&gt;In_COD)</f>
        <v>-224.184690301418</v>
      </c>
      <c r="BR94" s="49" t="n">
        <f aca="false">-BQ103*$F22*(BR$4&gt;In_COD)</f>
        <v>-212.266979689252</v>
      </c>
      <c r="BS94" s="49" t="n">
        <f aca="false">-BR103*$F22*(BS$4&gt;In_COD)</f>
        <v>-200.200297694433</v>
      </c>
      <c r="BT94" s="49" t="n">
        <f aca="false">-BS103*$F22*(BT$4&gt;In_COD)</f>
        <v>-187.982782174679</v>
      </c>
      <c r="BU94" s="49" t="n">
        <f aca="false">-BT103*$F22*(BU$4&gt;In_COD)</f>
        <v>-175.612547710928</v>
      </c>
      <c r="BV94" s="49" t="n">
        <f aca="false">-BU103*$F22*(BV$4&gt;In_COD)</f>
        <v>-163.08768531638</v>
      </c>
      <c r="BW94" s="49" t="n">
        <f aca="false">-BV103*$F22*(BW$4&gt;In_COD)</f>
        <v>-150.4062621419</v>
      </c>
      <c r="BX94" s="49" t="n">
        <f aca="false">-BW103*$F22*(BX$4&gt;In_COD)</f>
        <v>-137.566321177739</v>
      </c>
      <c r="BY94" s="49" t="n">
        <f aca="false">-BX103*$F22*(BY$4&gt;In_COD)</f>
        <v>-124.565880951527</v>
      </c>
      <c r="BZ94" s="49" t="n">
        <f aca="false">-BY103*$F22*(BZ$4&gt;In_COD)</f>
        <v>-111.402935222486</v>
      </c>
      <c r="CA94" s="49" t="n">
        <f aca="false">-BZ103*$F22*(CA$4&gt;In_COD)</f>
        <v>-98.0754526718329</v>
      </c>
      <c r="CB94" s="49" t="n">
        <f aca="false">-CA103*$F22*(CB$4&gt;In_COD)</f>
        <v>-84.5813765892963</v>
      </c>
      <c r="CC94" s="49" t="n">
        <f aca="false">-CB103*$F22*(CC$4&gt;In_COD)</f>
        <v>-70.918624555728</v>
      </c>
      <c r="CD94" s="49" t="n">
        <f aca="false">-CC103*$F22*(CD$4&gt;In_COD)</f>
        <v>-57.0850881217402</v>
      </c>
      <c r="CE94" s="49" t="n">
        <f aca="false">-CD103*$F22*(CE$4&gt;In_COD)</f>
        <v>-43.0786324823275</v>
      </c>
      <c r="CF94" s="49" t="n">
        <f aca="false">-CE103*$F22*(CF$4&gt;In_COD)</f>
        <v>-28.8970961474221</v>
      </c>
      <c r="CG94" s="49" t="n">
        <f aca="false">-CF103*$F22*(CG$4&gt;In_COD)</f>
        <v>-14.5382906083304</v>
      </c>
      <c r="CH94" s="49" t="n">
        <f aca="false">-CG103*$F22*(CH$4&gt;In_COD)</f>
        <v>-0</v>
      </c>
      <c r="CI94" s="49" t="n">
        <f aca="false">-CH103*$F22*(CI$4&gt;In_COD)</f>
        <v>-0</v>
      </c>
      <c r="CJ94" s="49" t="n">
        <f aca="false">-CI103*$F22*(CJ$4&gt;In_COD)</f>
        <v>-0</v>
      </c>
      <c r="CK94" s="49" t="n">
        <f aca="false">-CJ103*$F22*(CK$4&gt;In_COD)</f>
        <v>-0</v>
      </c>
      <c r="CL94" s="49" t="n">
        <f aca="false">-CK103*$F22*(CL$4&gt;In_COD)</f>
        <v>-0</v>
      </c>
      <c r="CM94" s="49" t="n">
        <f aca="false">-CL103*$F22*(CM$4&gt;In_COD)</f>
        <v>-0</v>
      </c>
      <c r="CN94" s="49" t="n">
        <f aca="false">-CM103*$F22*(CN$4&gt;In_COD)</f>
        <v>-0</v>
      </c>
      <c r="CO94" s="49" t="n">
        <f aca="false">-CN103*$F22*(CO$4&gt;In_COD)</f>
        <v>-0</v>
      </c>
      <c r="CP94" s="49" t="n">
        <f aca="false">-CO103*$F22*(CP$4&gt;In_COD)</f>
        <v>-0</v>
      </c>
      <c r="CQ94" s="49" t="n">
        <f aca="false">-CP103*$F22*(CQ$4&gt;In_COD)</f>
        <v>-0</v>
      </c>
      <c r="CR94" s="49" t="n">
        <f aca="false">-CQ103*$F22*(CR$4&gt;In_COD)</f>
        <v>-0</v>
      </c>
      <c r="CS94" s="49" t="n">
        <f aca="false">-CR103*$F22*(CS$4&gt;In_COD)</f>
        <v>-0</v>
      </c>
      <c r="CT94" s="49" t="n">
        <f aca="false">-CS103*$F22*(CT$4&gt;In_COD)</f>
        <v>-0</v>
      </c>
      <c r="CU94" s="49" t="n">
        <f aca="false">-CT103*$F22*(CU$4&gt;In_COD)</f>
        <v>-0</v>
      </c>
      <c r="CV94" s="49" t="n">
        <f aca="false">-CU103*$F22*(CV$4&gt;In_COD)</f>
        <v>-0</v>
      </c>
      <c r="CW94" s="49" t="n">
        <f aca="false">-CV103*$F22*(CW$4&gt;In_COD)</f>
        <v>-0</v>
      </c>
      <c r="CX94" s="49" t="n">
        <f aca="false">-CW103*$F22*(CX$4&gt;In_COD)</f>
        <v>-0</v>
      </c>
      <c r="CY94" s="49" t="n">
        <f aca="false">-CX103*$F22*(CY$4&gt;In_COD)</f>
        <v>-0</v>
      </c>
      <c r="CZ94" s="49" t="n">
        <f aca="false">-CY103*$F22*(CZ$4&gt;In_COD)</f>
        <v>-0</v>
      </c>
      <c r="DA94" s="49" t="n">
        <f aca="false">-CZ103*$F22*(DA$4&gt;In_COD)</f>
        <v>-0</v>
      </c>
      <c r="DB94" s="49" t="n">
        <f aca="false">-DA103*$F22*(DB$4&gt;In_COD)</f>
        <v>-0</v>
      </c>
      <c r="DC94" s="49" t="n">
        <f aca="false">-DB103*$F22*(DC$4&gt;In_COD)</f>
        <v>-0</v>
      </c>
      <c r="DD94" s="49" t="n">
        <f aca="false">-DC103*$F22*(DD$4&gt;In_COD)</f>
        <v>-0</v>
      </c>
      <c r="DE94" s="49" t="n">
        <f aca="false">-DD103*$F22*(DE$4&gt;In_COD)</f>
        <v>-0</v>
      </c>
      <c r="DF94" s="49" t="n">
        <f aca="false">-DE103*$F22*(DF$4&gt;In_COD)</f>
        <v>-0</v>
      </c>
      <c r="DG94" s="49" t="n">
        <f aca="false">-DF103*$F22*(DG$4&gt;In_COD)</f>
        <v>-0</v>
      </c>
      <c r="DH94" s="49" t="n">
        <f aca="false">-DG103*$F22*(DH$4&gt;In_COD)</f>
        <v>-0</v>
      </c>
      <c r="DI94" s="49" t="n">
        <f aca="false">-DH103*$F22*(DI$4&gt;In_COD)</f>
        <v>-0</v>
      </c>
      <c r="DJ94" s="49" t="n">
        <f aca="false">-DI103*$F22*(DJ$4&gt;In_COD)</f>
        <v>-0</v>
      </c>
      <c r="DK94" s="49" t="n">
        <f aca="false">-DJ103*$F22*(DK$4&gt;In_COD)</f>
        <v>-0</v>
      </c>
      <c r="DL94" s="49" t="n">
        <f aca="false">-DK103*$F22*(DL$4&gt;In_COD)</f>
        <v>-0</v>
      </c>
      <c r="DM94" s="49" t="n">
        <f aca="false">-DL103*$F22*(DM$4&gt;In_COD)</f>
        <v>-0</v>
      </c>
      <c r="DN94" s="49" t="n">
        <f aca="false">-DM103*$F22*(DN$4&gt;In_COD)</f>
        <v>-0</v>
      </c>
      <c r="DO94" s="49" t="n">
        <f aca="false">-DN103*$F22*(DO$4&gt;In_COD)</f>
        <v>-0</v>
      </c>
      <c r="DP94" s="49" t="n">
        <f aca="false">-DO103*$F22*(DP$4&gt;In_COD)</f>
        <v>-0</v>
      </c>
      <c r="DQ94" s="49" t="n">
        <f aca="false">-DP103*$F22*(DQ$4&gt;In_COD)</f>
        <v>-0</v>
      </c>
      <c r="DR94" s="49" t="n">
        <f aca="false">-DQ103*$F22*(DR$4&gt;In_COD)</f>
        <v>-0</v>
      </c>
      <c r="DS94" s="49" t="n">
        <f aca="false">-DR103*$F22*(DS$4&gt;In_COD)</f>
        <v>-0</v>
      </c>
      <c r="DT94" s="49" t="n">
        <f aca="false">-DS103*$F22*(DT$4&gt;In_COD)</f>
        <v>-0</v>
      </c>
      <c r="DU94" s="49" t="n">
        <f aca="false">-DT103*$F22*(DU$4&gt;In_COD)</f>
        <v>-0</v>
      </c>
      <c r="DV94" s="49" t="n">
        <f aca="false">-DU103*$F22*(DV$4&gt;In_COD)</f>
        <v>-0</v>
      </c>
      <c r="DW94" s="49" t="n">
        <f aca="false">-DV103*$F22*(DW$4&gt;In_COD)</f>
        <v>-0</v>
      </c>
      <c r="DX94" s="49" t="n">
        <f aca="false">-DW103*$F22*(DX$4&gt;In_COD)</f>
        <v>-0</v>
      </c>
      <c r="DY94" s="49" t="n">
        <f aca="false">-DX103*$F22*(DY$4&gt;In_COD)</f>
        <v>-0</v>
      </c>
      <c r="DZ94" s="49" t="n">
        <f aca="false">-DY103*$F22*(DZ$4&gt;In_COD)</f>
        <v>-0</v>
      </c>
      <c r="EA94" s="49" t="n">
        <f aca="false">-DZ103*$F22*(EA$4&gt;In_COD)</f>
        <v>-0</v>
      </c>
      <c r="EB94" s="49" t="n">
        <f aca="false">-EA103*$F22*(EB$4&gt;In_COD)</f>
        <v>-0</v>
      </c>
      <c r="EC94" s="49" t="n">
        <f aca="false">-EB103*$F22*(EC$4&gt;In_COD)</f>
        <v>-0</v>
      </c>
      <c r="ED94" s="49" t="n">
        <f aca="false">-EC103*$F22*(ED$4&gt;In_COD)</f>
        <v>-0</v>
      </c>
      <c r="EE94" s="49" t="n">
        <f aca="false">-ED103*$F22*(EE$4&gt;In_COD)</f>
        <v>-0</v>
      </c>
      <c r="EF94" s="49" t="n">
        <f aca="false">-EE103*$F22*(EF$4&gt;In_COD)</f>
        <v>-0</v>
      </c>
      <c r="EG94" s="49" t="n">
        <f aca="false">-EF103*$F22*(EG$4&gt;In_COD)</f>
        <v>-0</v>
      </c>
      <c r="EH94" s="49" t="n">
        <f aca="false">-EG103*$F22*(EH$4&gt;In_COD)</f>
        <v>-0</v>
      </c>
      <c r="EI94" s="49" t="n">
        <f aca="false">-EH103*$F22*(EI$4&gt;In_COD)</f>
        <v>-0</v>
      </c>
      <c r="EJ94" s="49" t="n">
        <f aca="false">-EI103*$F22*(EJ$4&gt;In_COD)</f>
        <v>-0</v>
      </c>
      <c r="EK94" s="49" t="n">
        <f aca="false">-EJ103*$F22*(EK$4&gt;In_COD)</f>
        <v>-0</v>
      </c>
      <c r="EL94" s="49" t="n">
        <f aca="false">-EK103*$F22*(EL$4&gt;In_COD)</f>
        <v>-0</v>
      </c>
      <c r="EM94" s="49" t="n">
        <f aca="false">-EL103*$F22*(EM$4&gt;In_COD)</f>
        <v>-0</v>
      </c>
      <c r="EN94" s="49" t="n">
        <f aca="false">-EM103*$F22*(EN$4&gt;In_COD)</f>
        <v>-0</v>
      </c>
      <c r="EO94" s="49" t="n">
        <f aca="false">-EN103*$F22*(EO$4&gt;In_COD)</f>
        <v>-0</v>
      </c>
    </row>
    <row r="95" customFormat="false" ht="15" hidden="false" customHeight="false" outlineLevel="0" collapsed="false">
      <c r="C95" s="1" t="s">
        <v>483</v>
      </c>
      <c r="D95" s="12" t="s">
        <v>33</v>
      </c>
      <c r="I95" s="49" t="n">
        <f aca="false">SUM(J95:EO95)</f>
        <v>-49500</v>
      </c>
      <c r="J95" s="49" t="n">
        <f aca="false">-MIN(I103,$F91+J94)*J18</f>
        <v>-0</v>
      </c>
      <c r="K95" s="49" t="n">
        <f aca="false">-MIN(J103,$F91+K94)*K18</f>
        <v>-0</v>
      </c>
      <c r="L95" s="49" t="n">
        <f aca="false">-MIN(K103,$F91+L94)*L18</f>
        <v>-0</v>
      </c>
      <c r="M95" s="49" t="n">
        <f aca="false">-MIN(L103,$F91+M94)*M18</f>
        <v>-0</v>
      </c>
      <c r="N95" s="49" t="n">
        <f aca="false">-MIN(M103,$F91+N94)*N18</f>
        <v>-0</v>
      </c>
      <c r="O95" s="49" t="n">
        <f aca="false">-MIN(N103,$F91+O94)*O18</f>
        <v>-0</v>
      </c>
      <c r="P95" s="49" t="n">
        <f aca="false">-MIN(O103,$F91+P94)*P18</f>
        <v>-0</v>
      </c>
      <c r="Q95" s="49" t="n">
        <f aca="false">-MIN(P103,$F91+Q94)*Q18</f>
        <v>-0</v>
      </c>
      <c r="R95" s="49" t="n">
        <f aca="false">-MIN(Q103,$F91+R94)*R18</f>
        <v>-0</v>
      </c>
      <c r="S95" s="49" t="n">
        <f aca="false">-MIN(R103,$F91+S94)*S18</f>
        <v>-0</v>
      </c>
      <c r="T95" s="49" t="n">
        <f aca="false">-MIN(S103,$F91+T94)*T18</f>
        <v>-0</v>
      </c>
      <c r="U95" s="49" t="n">
        <f aca="false">-MIN(T103,$F91+U94)*U18</f>
        <v>-0</v>
      </c>
      <c r="V95" s="49" t="n">
        <f aca="false">-MIN(U103,$F91+V94)*V18</f>
        <v>-0</v>
      </c>
      <c r="W95" s="49" t="n">
        <f aca="false">-MIN(V103,$F91+W94)*W18</f>
        <v>-0</v>
      </c>
      <c r="X95" s="49" t="n">
        <f aca="false">-MIN(W103,$F91+X94)*X18</f>
        <v>-0</v>
      </c>
      <c r="Y95" s="49" t="n">
        <f aca="false">-MIN(X103,$F91+Y94)*Y18</f>
        <v>-0</v>
      </c>
      <c r="Z95" s="49" t="n">
        <f aca="false">-MIN(Y103,$F91+Z94)*Z18</f>
        <v>-558.851539274757</v>
      </c>
      <c r="AA95" s="49" t="n">
        <f aca="false">-MIN(Z103,$F91+AA94)*AA18</f>
        <v>-565.837183515692</v>
      </c>
      <c r="AB95" s="49" t="n">
        <f aca="false">-MIN(AA103,$F91+AB94)*AB18</f>
        <v>-572.910148309638</v>
      </c>
      <c r="AC95" s="49" t="n">
        <f aca="false">-MIN(AB103,$F91+AC94)*AC18</f>
        <v>-580.071525163509</v>
      </c>
      <c r="AD95" s="49" t="n">
        <f aca="false">-MIN(AC103,$F91+AD94)*AD18</f>
        <v>-587.322419228052</v>
      </c>
      <c r="AE95" s="49" t="n">
        <f aca="false">-MIN(AD103,$F91+AE94)*AE18</f>
        <v>-594.663949468403</v>
      </c>
      <c r="AF95" s="49" t="n">
        <f aca="false">-MIN(AE103,$F91+AF94)*AF18</f>
        <v>-602.097248836758</v>
      </c>
      <c r="AG95" s="49" t="n">
        <f aca="false">-MIN(AF103,$F91+AG94)*AG18</f>
        <v>-609.623464447218</v>
      </c>
      <c r="AH95" s="49" t="n">
        <f aca="false">-MIN(AG103,$F91+AH94)*AH18</f>
        <v>-617.243757752808</v>
      </c>
      <c r="AI95" s="49" t="n">
        <f aca="false">-MIN(AH103,$F91+AI94)*AI18</f>
        <v>-624.959304724718</v>
      </c>
      <c r="AJ95" s="49" t="n">
        <f aca="false">-MIN(AI103,$F91+AJ94)*AJ18</f>
        <v>-632.771296033777</v>
      </c>
      <c r="AK95" s="49" t="n">
        <f aca="false">-MIN(AJ103,$F91+AK94)*AK18</f>
        <v>-640.680937234199</v>
      </c>
      <c r="AL95" s="49" t="n">
        <f aca="false">-MIN(AK103,$F91+AL94)*AL18</f>
        <v>-648.689448949627</v>
      </c>
      <c r="AM95" s="49" t="n">
        <f aca="false">-MIN(AL103,$F91+AM94)*AM18</f>
        <v>-656.798067061497</v>
      </c>
      <c r="AN95" s="49" t="n">
        <f aca="false">-MIN(AM103,$F91+AN94)*AN18</f>
        <v>-665.008042899766</v>
      </c>
      <c r="AO95" s="49" t="n">
        <f aca="false">-MIN(AN103,$F91+AO94)*AO18</f>
        <v>-673.320643436013</v>
      </c>
      <c r="AP95" s="49" t="n">
        <f aca="false">-MIN(AO103,$F91+AP94)*AP18</f>
        <v>-681.737151478963</v>
      </c>
      <c r="AQ95" s="49" t="n">
        <f aca="false">-MIN(AP103,$F91+AQ94)*AQ18</f>
        <v>-690.25886587245</v>
      </c>
      <c r="AR95" s="49" t="n">
        <f aca="false">-MIN(AQ103,$F91+AR94)*AR18</f>
        <v>-698.887101695855</v>
      </c>
      <c r="AS95" s="49" t="n">
        <f aca="false">-MIN(AR103,$F91+AS94)*AS18</f>
        <v>-707.623190467054</v>
      </c>
      <c r="AT95" s="49" t="n">
        <f aca="false">-MIN(AS103,$F91+AT94)*AT18</f>
        <v>-716.468480347892</v>
      </c>
      <c r="AU95" s="49" t="n">
        <f aca="false">-MIN(AT103,$F91+AU94)*AU18</f>
        <v>-725.424336352241</v>
      </c>
      <c r="AV95" s="49" t="n">
        <f aca="false">-MIN(AU103,$F91+AV94)*AV18</f>
        <v>-734.492140556644</v>
      </c>
      <c r="AW95" s="49" t="n">
        <f aca="false">-MIN(AV103,$F91+AW94)*AW18</f>
        <v>-743.673292313602</v>
      </c>
      <c r="AX95" s="49" t="n">
        <f aca="false">-MIN(AW103,$F91+AX94)*AX18</f>
        <v>-752.969208467522</v>
      </c>
      <c r="AY95" s="49" t="n">
        <f aca="false">-MIN(AX103,$F91+AY94)*AY18</f>
        <v>-762.381323573366</v>
      </c>
      <c r="AZ95" s="49" t="n">
        <f aca="false">-MIN(AY103,$F91+AZ94)*AZ18</f>
        <v>-771.911090118033</v>
      </c>
      <c r="BA95" s="49" t="n">
        <f aca="false">-MIN(AZ103,$F91+BA94)*BA18</f>
        <v>-781.559978744508</v>
      </c>
      <c r="BB95" s="49" t="n">
        <f aca="false">-MIN(BA103,$F91+BB94)*BB18</f>
        <v>-791.329478478814</v>
      </c>
      <c r="BC95" s="49" t="n">
        <f aca="false">-MIN(BB103,$F91+BC94)*BC18</f>
        <v>-801.2210969598</v>
      </c>
      <c r="BD95" s="49" t="n">
        <f aca="false">-MIN(BC103,$F91+BD94)*BD18</f>
        <v>-811.236360671797</v>
      </c>
      <c r="BE95" s="49" t="n">
        <f aca="false">-MIN(BD103,$F91+BE94)*BE18</f>
        <v>-821.376815180194</v>
      </c>
      <c r="BF95" s="49" t="n">
        <f aca="false">-MIN(BE103,$F91+BF94)*BF18</f>
        <v>-831.644025369947</v>
      </c>
      <c r="BG95" s="49" t="n">
        <f aca="false">-MIN(BF103,$F91+BG94)*BG18</f>
        <v>-842.039575687071</v>
      </c>
      <c r="BH95" s="49" t="n">
        <f aca="false">-MIN(BG103,$F91+BH94)*BH18</f>
        <v>-852.56507038316</v>
      </c>
      <c r="BI95" s="49" t="n">
        <f aca="false">-MIN(BH103,$F91+BI94)*BI18</f>
        <v>-863.222133762949</v>
      </c>
      <c r="BJ95" s="49" t="n">
        <f aca="false">-MIN(BI103,$F91+BJ94)*BJ18</f>
        <v>-874.012410434986</v>
      </c>
      <c r="BK95" s="49" t="n">
        <f aca="false">-MIN(BJ103,$F91+BK94)*BK18</f>
        <v>-884.937565565423</v>
      </c>
      <c r="BL95" s="49" t="n">
        <f aca="false">-MIN(BK103,$F91+BL94)*BL18</f>
        <v>-895.999285134991</v>
      </c>
      <c r="BM95" s="49" t="n">
        <f aca="false">-MIN(BL103,$F91+BM94)*BM18</f>
        <v>-907.199276199179</v>
      </c>
      <c r="BN95" s="49" t="n">
        <f aca="false">-MIN(BM103,$F91+BN94)*BN18</f>
        <v>-918.539267151668</v>
      </c>
      <c r="BO95" s="49" t="n">
        <f aca="false">-MIN(BN103,$F91+BO94)*BO18</f>
        <v>-930.021007991064</v>
      </c>
      <c r="BP95" s="49" t="n">
        <f aca="false">-MIN(BO103,$F91+BP94)*BP18</f>
        <v>-941.646270590952</v>
      </c>
      <c r="BQ95" s="49" t="n">
        <f aca="false">-MIN(BP103,$F91+BQ94)*BQ18</f>
        <v>-953.416848973339</v>
      </c>
      <c r="BR95" s="49" t="n">
        <f aca="false">-MIN(BQ103,$F91+BR94)*BR18</f>
        <v>-965.334559585506</v>
      </c>
      <c r="BS95" s="49" t="n">
        <f aca="false">-MIN(BR103,$F91+BS94)*BS18</f>
        <v>-977.401241580325</v>
      </c>
      <c r="BT95" s="49" t="n">
        <f aca="false">-MIN(BS103,$F91+BT94)*BT18</f>
        <v>-989.618757100079</v>
      </c>
      <c r="BU95" s="49" t="n">
        <f aca="false">-MIN(BT103,$F91+BU94)*BU18</f>
        <v>-1001.98899156383</v>
      </c>
      <c r="BV95" s="49" t="n">
        <f aca="false">-MIN(BU103,$F91+BV94)*BV18</f>
        <v>-1014.51385395838</v>
      </c>
      <c r="BW95" s="49" t="n">
        <f aca="false">-MIN(BV103,$F91+BW94)*BW18</f>
        <v>-1027.19527713286</v>
      </c>
      <c r="BX95" s="49" t="n">
        <f aca="false">-MIN(BW103,$F91+BX94)*BX18</f>
        <v>-1040.03521809702</v>
      </c>
      <c r="BY95" s="49" t="n">
        <f aca="false">-MIN(BX103,$F91+BY94)*BY18</f>
        <v>-1053.03565832323</v>
      </c>
      <c r="BZ95" s="49" t="n">
        <f aca="false">-MIN(BY103,$F91+BZ94)*BZ18</f>
        <v>-1066.19860405227</v>
      </c>
      <c r="CA95" s="49" t="n">
        <f aca="false">-MIN(BZ103,$F91+CA94)*CA18</f>
        <v>-1079.52608660292</v>
      </c>
      <c r="CB95" s="49" t="n">
        <f aca="false">-MIN(CA103,$F91+CB94)*CB18</f>
        <v>-1093.02016268546</v>
      </c>
      <c r="CC95" s="49" t="n">
        <f aca="false">-MIN(CB103,$F91+CC94)*CC18</f>
        <v>-1106.68291471903</v>
      </c>
      <c r="CD95" s="49" t="n">
        <f aca="false">-MIN(CC103,$F91+CD94)*CD18</f>
        <v>-1120.51645115302</v>
      </c>
      <c r="CE95" s="49" t="n">
        <f aca="false">-MIN(CD103,$F91+CE94)*CE18</f>
        <v>-1134.52290679243</v>
      </c>
      <c r="CF95" s="49" t="n">
        <f aca="false">-MIN(CE103,$F91+CF94)*CF18</f>
        <v>-1148.70444312734</v>
      </c>
      <c r="CG95" s="49" t="n">
        <f aca="false">-MIN(CF103,$F91+CG94)*CG18</f>
        <v>-1163.06324866643</v>
      </c>
      <c r="CH95" s="49" t="n">
        <f aca="false">-MIN(CG103,$F91+CH94)*CH18</f>
        <v>-0</v>
      </c>
      <c r="CI95" s="49" t="n">
        <f aca="false">-MIN(CH103,$F91+CI94)*CI18</f>
        <v>-0</v>
      </c>
      <c r="CJ95" s="49" t="n">
        <f aca="false">-MIN(CI103,$F91+CJ94)*CJ18</f>
        <v>-0</v>
      </c>
      <c r="CK95" s="49" t="n">
        <f aca="false">-MIN(CJ103,$F91+CK94)*CK18</f>
        <v>-0</v>
      </c>
      <c r="CL95" s="49" t="n">
        <f aca="false">-MIN(CK103,$F91+CL94)*CL18</f>
        <v>-0</v>
      </c>
      <c r="CM95" s="49" t="n">
        <f aca="false">-MIN(CL103,$F91+CM94)*CM18</f>
        <v>-0</v>
      </c>
      <c r="CN95" s="49" t="n">
        <f aca="false">-MIN(CM103,$F91+CN94)*CN18</f>
        <v>-0</v>
      </c>
      <c r="CO95" s="49" t="n">
        <f aca="false">-MIN(CN103,$F91+CO94)*CO18</f>
        <v>-0</v>
      </c>
      <c r="CP95" s="49" t="n">
        <f aca="false">-MIN(CO103,$F91+CP94)*CP18</f>
        <v>-0</v>
      </c>
      <c r="CQ95" s="49" t="n">
        <f aca="false">-MIN(CP103,$F91+CQ94)*CQ18</f>
        <v>-0</v>
      </c>
      <c r="CR95" s="49" t="n">
        <f aca="false">-MIN(CQ103,$F91+CR94)*CR18</f>
        <v>-0</v>
      </c>
      <c r="CS95" s="49" t="n">
        <f aca="false">-MIN(CR103,$F91+CS94)*CS18</f>
        <v>-0</v>
      </c>
      <c r="CT95" s="49" t="n">
        <f aca="false">-MIN(CS103,$F91+CT94)*CT18</f>
        <v>-0</v>
      </c>
      <c r="CU95" s="49" t="n">
        <f aca="false">-MIN(CT103,$F91+CU94)*CU18</f>
        <v>-0</v>
      </c>
      <c r="CV95" s="49" t="n">
        <f aca="false">-MIN(CU103,$F91+CV94)*CV18</f>
        <v>-0</v>
      </c>
      <c r="CW95" s="49" t="n">
        <f aca="false">-MIN(CV103,$F91+CW94)*CW18</f>
        <v>-0</v>
      </c>
      <c r="CX95" s="49" t="n">
        <f aca="false">-MIN(CW103,$F91+CX94)*CX18</f>
        <v>-0</v>
      </c>
      <c r="CY95" s="49" t="n">
        <f aca="false">-MIN(CX103,$F91+CY94)*CY18</f>
        <v>-0</v>
      </c>
      <c r="CZ95" s="49" t="n">
        <f aca="false">-MIN(CY103,$F91+CZ94)*CZ18</f>
        <v>-0</v>
      </c>
      <c r="DA95" s="49" t="n">
        <f aca="false">-MIN(CZ103,$F91+DA94)*DA18</f>
        <v>-0</v>
      </c>
      <c r="DB95" s="49" t="n">
        <f aca="false">-MIN(DA103,$F91+DB94)*DB18</f>
        <v>-0</v>
      </c>
      <c r="DC95" s="49" t="n">
        <f aca="false">-MIN(DB103,$F91+DC94)*DC18</f>
        <v>-0</v>
      </c>
      <c r="DD95" s="49" t="n">
        <f aca="false">-MIN(DC103,$F91+DD94)*DD18</f>
        <v>-0</v>
      </c>
      <c r="DE95" s="49" t="n">
        <f aca="false">-MIN(DD103,$F91+DE94)*DE18</f>
        <v>-0</v>
      </c>
      <c r="DF95" s="49" t="n">
        <f aca="false">-MIN(DE103,$F91+DF94)*DF18</f>
        <v>-0</v>
      </c>
      <c r="DG95" s="49" t="n">
        <f aca="false">-MIN(DF103,$F91+DG94)*DG18</f>
        <v>-0</v>
      </c>
      <c r="DH95" s="49" t="n">
        <f aca="false">-MIN(DG103,$F91+DH94)*DH18</f>
        <v>-0</v>
      </c>
      <c r="DI95" s="49" t="n">
        <f aca="false">-MIN(DH103,$F91+DI94)*DI18</f>
        <v>-0</v>
      </c>
      <c r="DJ95" s="49" t="n">
        <f aca="false">-MIN(DI103,$F91+DJ94)*DJ18</f>
        <v>-0</v>
      </c>
      <c r="DK95" s="49" t="n">
        <f aca="false">-MIN(DJ103,$F91+DK94)*DK18</f>
        <v>-0</v>
      </c>
      <c r="DL95" s="49" t="n">
        <f aca="false">-MIN(DK103,$F91+DL94)*DL18</f>
        <v>-0</v>
      </c>
      <c r="DM95" s="49" t="n">
        <f aca="false">-MIN(DL103,$F91+DM94)*DM18</f>
        <v>-0</v>
      </c>
      <c r="DN95" s="49" t="n">
        <f aca="false">-MIN(DM103,$F91+DN94)*DN18</f>
        <v>-0</v>
      </c>
      <c r="DO95" s="49" t="n">
        <f aca="false">-MIN(DN103,$F91+DO94)*DO18</f>
        <v>-0</v>
      </c>
      <c r="DP95" s="49" t="n">
        <f aca="false">-MIN(DO103,$F91+DP94)*DP18</f>
        <v>-0</v>
      </c>
      <c r="DQ95" s="49" t="n">
        <f aca="false">-MIN(DP103,$F91+DQ94)*DQ18</f>
        <v>-0</v>
      </c>
      <c r="DR95" s="49" t="n">
        <f aca="false">-MIN(DQ103,$F91+DR94)*DR18</f>
        <v>-0</v>
      </c>
      <c r="DS95" s="49" t="n">
        <f aca="false">-MIN(DR103,$F91+DS94)*DS18</f>
        <v>-0</v>
      </c>
      <c r="DT95" s="49" t="n">
        <f aca="false">-MIN(DS103,$F91+DT94)*DT18</f>
        <v>-0</v>
      </c>
      <c r="DU95" s="49" t="n">
        <f aca="false">-MIN(DT103,$F91+DU94)*DU18</f>
        <v>-0</v>
      </c>
      <c r="DV95" s="49" t="n">
        <f aca="false">-MIN(DU103,$F91+DV94)*DV18</f>
        <v>-0</v>
      </c>
      <c r="DW95" s="49" t="n">
        <f aca="false">-MIN(DV103,$F91+DW94)*DW18</f>
        <v>-0</v>
      </c>
      <c r="DX95" s="49" t="n">
        <f aca="false">-MIN(DW103,$F91+DX94)*DX18</f>
        <v>-0</v>
      </c>
      <c r="DY95" s="49" t="n">
        <f aca="false">-MIN(DX103,$F91+DY94)*DY18</f>
        <v>-0</v>
      </c>
      <c r="DZ95" s="49" t="n">
        <f aca="false">-MIN(DY103,$F91+DZ94)*DZ18</f>
        <v>-0</v>
      </c>
      <c r="EA95" s="49" t="n">
        <f aca="false">-MIN(DZ103,$F91+EA94)*EA18</f>
        <v>-0</v>
      </c>
      <c r="EB95" s="49" t="n">
        <f aca="false">-MIN(EA103,$F91+EB94)*EB18</f>
        <v>-0</v>
      </c>
      <c r="EC95" s="49" t="n">
        <f aca="false">-MIN(EB103,$F91+EC94)*EC18</f>
        <v>-0</v>
      </c>
      <c r="ED95" s="49" t="n">
        <f aca="false">-MIN(EC103,$F91+ED94)*ED18</f>
        <v>-0</v>
      </c>
      <c r="EE95" s="49" t="n">
        <f aca="false">-MIN(ED103,$F91+EE94)*EE18</f>
        <v>-0</v>
      </c>
      <c r="EF95" s="49" t="n">
        <f aca="false">-MIN(EE103,$F91+EF94)*EF18</f>
        <v>-0</v>
      </c>
      <c r="EG95" s="49" t="n">
        <f aca="false">-MIN(EF103,$F91+EG94)*EG18</f>
        <v>-0</v>
      </c>
      <c r="EH95" s="49" t="n">
        <f aca="false">-MIN(EG103,$F91+EH94)*EH18</f>
        <v>-0</v>
      </c>
      <c r="EI95" s="49" t="n">
        <f aca="false">-MIN(EH103,$F91+EI94)*EI18</f>
        <v>-0</v>
      </c>
      <c r="EJ95" s="49" t="n">
        <f aca="false">-MIN(EI103,$F91+EJ94)*EJ18</f>
        <v>-0</v>
      </c>
      <c r="EK95" s="49" t="n">
        <f aca="false">-MIN(EJ103,$F91+EK94)*EK18</f>
        <v>-0</v>
      </c>
      <c r="EL95" s="49" t="n">
        <f aca="false">-MIN(EK103,$F91+EL94)*EL18</f>
        <v>-0</v>
      </c>
      <c r="EM95" s="49" t="n">
        <f aca="false">-MIN(EL103,$F91+EM94)*EM18</f>
        <v>-0</v>
      </c>
      <c r="EN95" s="49" t="n">
        <f aca="false">-MIN(EM103,$F91+EN94)*EN18</f>
        <v>-0</v>
      </c>
      <c r="EO95" s="49" t="n">
        <f aca="false">-MIN(EN103,$F91+EO94)*EO18</f>
        <v>-0</v>
      </c>
    </row>
    <row r="96" customFormat="false" ht="15" hidden="false" customHeight="false" outlineLevel="0" collapsed="false">
      <c r="C96" s="1" t="s">
        <v>484</v>
      </c>
      <c r="D96" s="12" t="s">
        <v>33</v>
      </c>
      <c r="I96" s="49" t="n">
        <f aca="false">SUM(J96:EO96)</f>
        <v>-70656.0923564855</v>
      </c>
      <c r="J96" s="49" t="n">
        <f aca="false">J94+J95</f>
        <v>-0</v>
      </c>
      <c r="K96" s="49" t="n">
        <f aca="false">K94+K95</f>
        <v>-0</v>
      </c>
      <c r="L96" s="49" t="n">
        <f aca="false">L94+L95</f>
        <v>-0</v>
      </c>
      <c r="M96" s="49" t="n">
        <f aca="false">M94+M95</f>
        <v>-0</v>
      </c>
      <c r="N96" s="49" t="n">
        <f aca="false">N94+N95</f>
        <v>-0</v>
      </c>
      <c r="O96" s="49" t="n">
        <f aca="false">O94+O95</f>
        <v>-0</v>
      </c>
      <c r="P96" s="49" t="n">
        <f aca="false">P94+P95</f>
        <v>-0</v>
      </c>
      <c r="Q96" s="49" t="n">
        <f aca="false">Q94+Q95</f>
        <v>-0</v>
      </c>
      <c r="R96" s="49" t="n">
        <f aca="false">R94+R95</f>
        <v>-0</v>
      </c>
      <c r="S96" s="49" t="n">
        <f aca="false">S94+S95</f>
        <v>-0</v>
      </c>
      <c r="T96" s="49" t="n">
        <f aca="false">T94+T95</f>
        <v>-0</v>
      </c>
      <c r="U96" s="49" t="n">
        <f aca="false">U94+U95</f>
        <v>-0</v>
      </c>
      <c r="V96" s="49" t="n">
        <f aca="false">V94+V95</f>
        <v>-0</v>
      </c>
      <c r="W96" s="49" t="n">
        <f aca="false">W94+W95</f>
        <v>-0</v>
      </c>
      <c r="X96" s="49" t="n">
        <f aca="false">X94+X95</f>
        <v>-0</v>
      </c>
      <c r="Y96" s="49" t="n">
        <f aca="false">Y94+Y95</f>
        <v>-0</v>
      </c>
      <c r="Z96" s="49" t="n">
        <f aca="false">Z94+Z95</f>
        <v>-1177.60153927476</v>
      </c>
      <c r="AA96" s="49" t="n">
        <f aca="false">AA94+AA95</f>
        <v>-1177.60153927476</v>
      </c>
      <c r="AB96" s="49" t="n">
        <f aca="false">AB94+AB95</f>
        <v>-1177.60153927476</v>
      </c>
      <c r="AC96" s="49" t="n">
        <f aca="false">AC94+AC95</f>
        <v>-1177.60153927476</v>
      </c>
      <c r="AD96" s="49" t="n">
        <f aca="false">AD94+AD95</f>
        <v>-1177.60153927476</v>
      </c>
      <c r="AE96" s="49" t="n">
        <f aca="false">AE94+AE95</f>
        <v>-1177.60153927476</v>
      </c>
      <c r="AF96" s="49" t="n">
        <f aca="false">AF94+AF95</f>
        <v>-1177.60153927476</v>
      </c>
      <c r="AG96" s="49" t="n">
        <f aca="false">AG94+AG95</f>
        <v>-1177.60153927476</v>
      </c>
      <c r="AH96" s="49" t="n">
        <f aca="false">AH94+AH95</f>
        <v>-1177.60153927476</v>
      </c>
      <c r="AI96" s="49" t="n">
        <f aca="false">AI94+AI95</f>
        <v>-1177.60153927476</v>
      </c>
      <c r="AJ96" s="49" t="n">
        <f aca="false">AJ94+AJ95</f>
        <v>-1177.60153927476</v>
      </c>
      <c r="AK96" s="49" t="n">
        <f aca="false">AK94+AK95</f>
        <v>-1177.60153927476</v>
      </c>
      <c r="AL96" s="49" t="n">
        <f aca="false">AL94+AL95</f>
        <v>-1177.60153927476</v>
      </c>
      <c r="AM96" s="49" t="n">
        <f aca="false">AM94+AM95</f>
        <v>-1177.60153927476</v>
      </c>
      <c r="AN96" s="49" t="n">
        <f aca="false">AN94+AN95</f>
        <v>-1177.60153927476</v>
      </c>
      <c r="AO96" s="49" t="n">
        <f aca="false">AO94+AO95</f>
        <v>-1177.60153927476</v>
      </c>
      <c r="AP96" s="49" t="n">
        <f aca="false">AP94+AP95</f>
        <v>-1177.60153927476</v>
      </c>
      <c r="AQ96" s="49" t="n">
        <f aca="false">AQ94+AQ95</f>
        <v>-1177.60153927476</v>
      </c>
      <c r="AR96" s="49" t="n">
        <f aca="false">AR94+AR95</f>
        <v>-1177.60153927476</v>
      </c>
      <c r="AS96" s="49" t="n">
        <f aca="false">AS94+AS95</f>
        <v>-1177.60153927476</v>
      </c>
      <c r="AT96" s="49" t="n">
        <f aca="false">AT94+AT95</f>
        <v>-1177.60153927476</v>
      </c>
      <c r="AU96" s="49" t="n">
        <f aca="false">AU94+AU95</f>
        <v>-1177.60153927476</v>
      </c>
      <c r="AV96" s="49" t="n">
        <f aca="false">AV94+AV95</f>
        <v>-1177.60153927476</v>
      </c>
      <c r="AW96" s="49" t="n">
        <f aca="false">AW94+AW95</f>
        <v>-1177.60153927476</v>
      </c>
      <c r="AX96" s="49" t="n">
        <f aca="false">AX94+AX95</f>
        <v>-1177.60153927476</v>
      </c>
      <c r="AY96" s="49" t="n">
        <f aca="false">AY94+AY95</f>
        <v>-1177.60153927476</v>
      </c>
      <c r="AZ96" s="49" t="n">
        <f aca="false">AZ94+AZ95</f>
        <v>-1177.60153927476</v>
      </c>
      <c r="BA96" s="49" t="n">
        <f aca="false">BA94+BA95</f>
        <v>-1177.60153927476</v>
      </c>
      <c r="BB96" s="49" t="n">
        <f aca="false">BB94+BB95</f>
        <v>-1177.60153927476</v>
      </c>
      <c r="BC96" s="49" t="n">
        <f aca="false">BC94+BC95</f>
        <v>-1177.60153927476</v>
      </c>
      <c r="BD96" s="49" t="n">
        <f aca="false">BD94+BD95</f>
        <v>-1177.60153927476</v>
      </c>
      <c r="BE96" s="49" t="n">
        <f aca="false">BE94+BE95</f>
        <v>-1177.60153927476</v>
      </c>
      <c r="BF96" s="49" t="n">
        <f aca="false">BF94+BF95</f>
        <v>-1177.60153927476</v>
      </c>
      <c r="BG96" s="49" t="n">
        <f aca="false">BG94+BG95</f>
        <v>-1177.60153927476</v>
      </c>
      <c r="BH96" s="49" t="n">
        <f aca="false">BH94+BH95</f>
        <v>-1177.60153927476</v>
      </c>
      <c r="BI96" s="49" t="n">
        <f aca="false">BI94+BI95</f>
        <v>-1177.60153927476</v>
      </c>
      <c r="BJ96" s="49" t="n">
        <f aca="false">BJ94+BJ95</f>
        <v>-1177.60153927476</v>
      </c>
      <c r="BK96" s="49" t="n">
        <f aca="false">BK94+BK95</f>
        <v>-1177.60153927476</v>
      </c>
      <c r="BL96" s="49" t="n">
        <f aca="false">BL94+BL95</f>
        <v>-1177.60153927476</v>
      </c>
      <c r="BM96" s="49" t="n">
        <f aca="false">BM94+BM95</f>
        <v>-1177.60153927476</v>
      </c>
      <c r="BN96" s="49" t="n">
        <f aca="false">BN94+BN95</f>
        <v>-1177.60153927476</v>
      </c>
      <c r="BO96" s="49" t="n">
        <f aca="false">BO94+BO95</f>
        <v>-1177.60153927476</v>
      </c>
      <c r="BP96" s="49" t="n">
        <f aca="false">BP94+BP95</f>
        <v>-1177.60153927476</v>
      </c>
      <c r="BQ96" s="49" t="n">
        <f aca="false">BQ94+BQ95</f>
        <v>-1177.60153927476</v>
      </c>
      <c r="BR96" s="49" t="n">
        <f aca="false">BR94+BR95</f>
        <v>-1177.60153927476</v>
      </c>
      <c r="BS96" s="49" t="n">
        <f aca="false">BS94+BS95</f>
        <v>-1177.60153927476</v>
      </c>
      <c r="BT96" s="49" t="n">
        <f aca="false">BT94+BT95</f>
        <v>-1177.60153927476</v>
      </c>
      <c r="BU96" s="49" t="n">
        <f aca="false">BU94+BU95</f>
        <v>-1177.60153927476</v>
      </c>
      <c r="BV96" s="49" t="n">
        <f aca="false">BV94+BV95</f>
        <v>-1177.60153927476</v>
      </c>
      <c r="BW96" s="49" t="n">
        <f aca="false">BW94+BW95</f>
        <v>-1177.60153927476</v>
      </c>
      <c r="BX96" s="49" t="n">
        <f aca="false">BX94+BX95</f>
        <v>-1177.60153927476</v>
      </c>
      <c r="BY96" s="49" t="n">
        <f aca="false">BY94+BY95</f>
        <v>-1177.60153927476</v>
      </c>
      <c r="BZ96" s="49" t="n">
        <f aca="false">BZ94+BZ95</f>
        <v>-1177.60153927476</v>
      </c>
      <c r="CA96" s="49" t="n">
        <f aca="false">CA94+CA95</f>
        <v>-1177.60153927476</v>
      </c>
      <c r="CB96" s="49" t="n">
        <f aca="false">CB94+CB95</f>
        <v>-1177.60153927476</v>
      </c>
      <c r="CC96" s="49" t="n">
        <f aca="false">CC94+CC95</f>
        <v>-1177.60153927476</v>
      </c>
      <c r="CD96" s="49" t="n">
        <f aca="false">CD94+CD95</f>
        <v>-1177.60153927476</v>
      </c>
      <c r="CE96" s="49" t="n">
        <f aca="false">CE94+CE95</f>
        <v>-1177.60153927476</v>
      </c>
      <c r="CF96" s="49" t="n">
        <f aca="false">CF94+CF95</f>
        <v>-1177.60153927476</v>
      </c>
      <c r="CG96" s="49" t="n">
        <f aca="false">CG94+CG95</f>
        <v>-1177.60153927476</v>
      </c>
      <c r="CH96" s="49" t="n">
        <f aca="false">CH94+CH95</f>
        <v>-0</v>
      </c>
      <c r="CI96" s="49" t="n">
        <f aca="false">CI94+CI95</f>
        <v>-0</v>
      </c>
      <c r="CJ96" s="49" t="n">
        <f aca="false">CJ94+CJ95</f>
        <v>-0</v>
      </c>
      <c r="CK96" s="49" t="n">
        <f aca="false">CK94+CK95</f>
        <v>-0</v>
      </c>
      <c r="CL96" s="49" t="n">
        <f aca="false">CL94+CL95</f>
        <v>-0</v>
      </c>
      <c r="CM96" s="49" t="n">
        <f aca="false">CM94+CM95</f>
        <v>-0</v>
      </c>
      <c r="CN96" s="49" t="n">
        <f aca="false">CN94+CN95</f>
        <v>-0</v>
      </c>
      <c r="CO96" s="49" t="n">
        <f aca="false">CO94+CO95</f>
        <v>-0</v>
      </c>
      <c r="CP96" s="49" t="n">
        <f aca="false">CP94+CP95</f>
        <v>-0</v>
      </c>
      <c r="CQ96" s="49" t="n">
        <f aca="false">CQ94+CQ95</f>
        <v>-0</v>
      </c>
      <c r="CR96" s="49" t="n">
        <f aca="false">CR94+CR95</f>
        <v>-0</v>
      </c>
      <c r="CS96" s="49" t="n">
        <f aca="false">CS94+CS95</f>
        <v>-0</v>
      </c>
      <c r="CT96" s="49" t="n">
        <f aca="false">CT94+CT95</f>
        <v>-0</v>
      </c>
      <c r="CU96" s="49" t="n">
        <f aca="false">CU94+CU95</f>
        <v>-0</v>
      </c>
      <c r="CV96" s="49" t="n">
        <f aca="false">CV94+CV95</f>
        <v>-0</v>
      </c>
      <c r="CW96" s="49" t="n">
        <f aca="false">CW94+CW95</f>
        <v>-0</v>
      </c>
      <c r="CX96" s="49" t="n">
        <f aca="false">CX94+CX95</f>
        <v>-0</v>
      </c>
      <c r="CY96" s="49" t="n">
        <f aca="false">CY94+CY95</f>
        <v>-0</v>
      </c>
      <c r="CZ96" s="49" t="n">
        <f aca="false">CZ94+CZ95</f>
        <v>-0</v>
      </c>
      <c r="DA96" s="49" t="n">
        <f aca="false">DA94+DA95</f>
        <v>-0</v>
      </c>
      <c r="DB96" s="49" t="n">
        <f aca="false">DB94+DB95</f>
        <v>-0</v>
      </c>
      <c r="DC96" s="49" t="n">
        <f aca="false">DC94+DC95</f>
        <v>-0</v>
      </c>
      <c r="DD96" s="49" t="n">
        <f aca="false">DD94+DD95</f>
        <v>-0</v>
      </c>
      <c r="DE96" s="49" t="n">
        <f aca="false">DE94+DE95</f>
        <v>-0</v>
      </c>
      <c r="DF96" s="49" t="n">
        <f aca="false">DF94+DF95</f>
        <v>-0</v>
      </c>
      <c r="DG96" s="49" t="n">
        <f aca="false">DG94+DG95</f>
        <v>-0</v>
      </c>
      <c r="DH96" s="49" t="n">
        <f aca="false">DH94+DH95</f>
        <v>-0</v>
      </c>
      <c r="DI96" s="49" t="n">
        <f aca="false">DI94+DI95</f>
        <v>-0</v>
      </c>
      <c r="DJ96" s="49" t="n">
        <f aca="false">DJ94+DJ95</f>
        <v>-0</v>
      </c>
      <c r="DK96" s="49" t="n">
        <f aca="false">DK94+DK95</f>
        <v>-0</v>
      </c>
      <c r="DL96" s="49" t="n">
        <f aca="false">DL94+DL95</f>
        <v>-0</v>
      </c>
      <c r="DM96" s="49" t="n">
        <f aca="false">DM94+DM95</f>
        <v>-0</v>
      </c>
      <c r="DN96" s="49" t="n">
        <f aca="false">DN94+DN95</f>
        <v>-0</v>
      </c>
      <c r="DO96" s="49" t="n">
        <f aca="false">DO94+DO95</f>
        <v>-0</v>
      </c>
      <c r="DP96" s="49" t="n">
        <f aca="false">DP94+DP95</f>
        <v>-0</v>
      </c>
      <c r="DQ96" s="49" t="n">
        <f aca="false">DQ94+DQ95</f>
        <v>-0</v>
      </c>
      <c r="DR96" s="49" t="n">
        <f aca="false">DR94+DR95</f>
        <v>-0</v>
      </c>
      <c r="DS96" s="49" t="n">
        <f aca="false">DS94+DS95</f>
        <v>-0</v>
      </c>
      <c r="DT96" s="49" t="n">
        <f aca="false">DT94+DT95</f>
        <v>-0</v>
      </c>
      <c r="DU96" s="49" t="n">
        <f aca="false">DU94+DU95</f>
        <v>-0</v>
      </c>
      <c r="DV96" s="49" t="n">
        <f aca="false">DV94+DV95</f>
        <v>-0</v>
      </c>
      <c r="DW96" s="49" t="n">
        <f aca="false">DW94+DW95</f>
        <v>-0</v>
      </c>
      <c r="DX96" s="49" t="n">
        <f aca="false">DX94+DX95</f>
        <v>-0</v>
      </c>
      <c r="DY96" s="49" t="n">
        <f aca="false">DY94+DY95</f>
        <v>-0</v>
      </c>
      <c r="DZ96" s="49" t="n">
        <f aca="false">DZ94+DZ95</f>
        <v>-0</v>
      </c>
      <c r="EA96" s="49" t="n">
        <f aca="false">EA94+EA95</f>
        <v>-0</v>
      </c>
      <c r="EB96" s="49" t="n">
        <f aca="false">EB94+EB95</f>
        <v>-0</v>
      </c>
      <c r="EC96" s="49" t="n">
        <f aca="false">EC94+EC95</f>
        <v>-0</v>
      </c>
      <c r="ED96" s="49" t="n">
        <f aca="false">ED94+ED95</f>
        <v>-0</v>
      </c>
      <c r="EE96" s="49" t="n">
        <f aca="false">EE94+EE95</f>
        <v>-0</v>
      </c>
      <c r="EF96" s="49" t="n">
        <f aca="false">EF94+EF95</f>
        <v>-0</v>
      </c>
      <c r="EG96" s="49" t="n">
        <f aca="false">EG94+EG95</f>
        <v>-0</v>
      </c>
      <c r="EH96" s="49" t="n">
        <f aca="false">EH94+EH95</f>
        <v>-0</v>
      </c>
      <c r="EI96" s="49" t="n">
        <f aca="false">EI94+EI95</f>
        <v>-0</v>
      </c>
      <c r="EJ96" s="49" t="n">
        <f aca="false">EJ94+EJ95</f>
        <v>-0</v>
      </c>
      <c r="EK96" s="49" t="n">
        <f aca="false">EK94+EK95</f>
        <v>-0</v>
      </c>
      <c r="EL96" s="49" t="n">
        <f aca="false">EL94+EL95</f>
        <v>-0</v>
      </c>
      <c r="EM96" s="49" t="n">
        <f aca="false">EM94+EM95</f>
        <v>-0</v>
      </c>
      <c r="EN96" s="49" t="n">
        <f aca="false">EN94+EN95</f>
        <v>-0</v>
      </c>
      <c r="EO96" s="49" t="n">
        <f aca="false">EO94+EO95</f>
        <v>-0</v>
      </c>
    </row>
    <row r="97" customFormat="false" ht="15" hidden="false" customHeight="false" outlineLevel="0" collapsed="false">
      <c r="C97" s="1" t="s">
        <v>485</v>
      </c>
      <c r="D97" s="12" t="s">
        <v>33</v>
      </c>
      <c r="I97" s="49" t="n">
        <f aca="false">SUM(J97:EO97)</f>
        <v>0</v>
      </c>
      <c r="J97" s="49" t="n">
        <f aca="false">-MIN(I103+J95,In_Sweep*MAX(0,J87+J96))*(J$4&gt;In_COD)</f>
        <v>0</v>
      </c>
      <c r="K97" s="49" t="n">
        <f aca="false">-MIN(J103+K95,In_Sweep*MAX(0,K87+K96))*(K$4&gt;In_COD)</f>
        <v>0</v>
      </c>
      <c r="L97" s="49" t="n">
        <f aca="false">-MIN(K103+L95,In_Sweep*MAX(0,L87+L96))*(L$4&gt;In_COD)</f>
        <v>0</v>
      </c>
      <c r="M97" s="49" t="n">
        <f aca="false">-MIN(L103+M95,In_Sweep*MAX(0,M87+M96))*(M$4&gt;In_COD)</f>
        <v>0</v>
      </c>
      <c r="N97" s="49" t="n">
        <f aca="false">-MIN(M103+N95,In_Sweep*MAX(0,N87+N96))*(N$4&gt;In_COD)</f>
        <v>0</v>
      </c>
      <c r="O97" s="49" t="n">
        <f aca="false">-MIN(N103+O95,In_Sweep*MAX(0,O87+O96))*(O$4&gt;In_COD)</f>
        <v>0</v>
      </c>
      <c r="P97" s="49" t="n">
        <f aca="false">-MIN(O103+P95,In_Sweep*MAX(0,P87+P96))*(P$4&gt;In_COD)</f>
        <v>0</v>
      </c>
      <c r="Q97" s="49" t="n">
        <f aca="false">-MIN(P103+Q95,In_Sweep*MAX(0,Q87+Q96))*(Q$4&gt;In_COD)</f>
        <v>0</v>
      </c>
      <c r="R97" s="49" t="n">
        <f aca="false">-MIN(Q103+R95,In_Sweep*MAX(0,R87+R96))*(R$4&gt;In_COD)</f>
        <v>0</v>
      </c>
      <c r="S97" s="49" t="n">
        <f aca="false">-MIN(R103+S95,In_Sweep*MAX(0,S87+S96))*(S$4&gt;In_COD)</f>
        <v>0</v>
      </c>
      <c r="T97" s="49" t="n">
        <f aca="false">-MIN(S103+T95,In_Sweep*MAX(0,T87+T96))*(T$4&gt;In_COD)</f>
        <v>0</v>
      </c>
      <c r="U97" s="49" t="n">
        <f aca="false">-MIN(T103+U95,In_Sweep*MAX(0,U87+U96))*(U$4&gt;In_COD)</f>
        <v>0</v>
      </c>
      <c r="V97" s="49" t="n">
        <f aca="false">-MIN(U103+V95,In_Sweep*MAX(0,V87+V96))*(V$4&gt;In_COD)</f>
        <v>0</v>
      </c>
      <c r="W97" s="49" t="n">
        <f aca="false">-MIN(V103+W95,In_Sweep*MAX(0,W87+W96))*(W$4&gt;In_COD)</f>
        <v>0</v>
      </c>
      <c r="X97" s="49" t="n">
        <f aca="false">-MIN(W103+X95,In_Sweep*MAX(0,X87+X96))*(X$4&gt;In_COD)</f>
        <v>0</v>
      </c>
      <c r="Y97" s="49" t="n">
        <f aca="false">-MIN(X103+Y95,In_Sweep*MAX(0,Y87+Y96))*(Y$4&gt;In_COD)</f>
        <v>0</v>
      </c>
      <c r="Z97" s="49" t="n">
        <f aca="false">-MIN(Y103+Z95,In_Sweep*MAX(0,Z87+Z96))*(Z$4&gt;In_COD)</f>
        <v>-0</v>
      </c>
      <c r="AA97" s="49" t="n">
        <f aca="false">-MIN(Z103+AA95,In_Sweep*MAX(0,AA87+AA96))*(AA$4&gt;In_COD)</f>
        <v>-0</v>
      </c>
      <c r="AB97" s="49" t="n">
        <f aca="false">-MIN(AA103+AB95,In_Sweep*MAX(0,AB87+AB96))*(AB$4&gt;In_COD)</f>
        <v>-0</v>
      </c>
      <c r="AC97" s="49" t="n">
        <f aca="false">-MIN(AB103+AC95,In_Sweep*MAX(0,AC87+AC96))*(AC$4&gt;In_COD)</f>
        <v>-0</v>
      </c>
      <c r="AD97" s="49" t="n">
        <f aca="false">-MIN(AC103+AD95,In_Sweep*MAX(0,AD87+AD96))*(AD$4&gt;In_COD)</f>
        <v>-0</v>
      </c>
      <c r="AE97" s="49" t="n">
        <f aca="false">-MIN(AD103+AE95,In_Sweep*MAX(0,AE87+AE96))*(AE$4&gt;In_COD)</f>
        <v>-0</v>
      </c>
      <c r="AF97" s="49" t="n">
        <f aca="false">-MIN(AE103+AF95,In_Sweep*MAX(0,AF87+AF96))*(AF$4&gt;In_COD)</f>
        <v>-0</v>
      </c>
      <c r="AG97" s="49" t="n">
        <f aca="false">-MIN(AF103+AG95,In_Sweep*MAX(0,AG87+AG96))*(AG$4&gt;In_COD)</f>
        <v>-0</v>
      </c>
      <c r="AH97" s="49" t="n">
        <f aca="false">-MIN(AG103+AH95,In_Sweep*MAX(0,AH87+AH96))*(AH$4&gt;In_COD)</f>
        <v>-0</v>
      </c>
      <c r="AI97" s="49" t="n">
        <f aca="false">-MIN(AH103+AI95,In_Sweep*MAX(0,AI87+AI96))*(AI$4&gt;In_COD)</f>
        <v>-0</v>
      </c>
      <c r="AJ97" s="49" t="n">
        <f aca="false">-MIN(AI103+AJ95,In_Sweep*MAX(0,AJ87+AJ96))*(AJ$4&gt;In_COD)</f>
        <v>-0</v>
      </c>
      <c r="AK97" s="49" t="n">
        <f aca="false">-MIN(AJ103+AK95,In_Sweep*MAX(0,AK87+AK96))*(AK$4&gt;In_COD)</f>
        <v>-0</v>
      </c>
      <c r="AL97" s="49" t="n">
        <f aca="false">-MIN(AK103+AL95,In_Sweep*MAX(0,AL87+AL96))*(AL$4&gt;In_COD)</f>
        <v>-0</v>
      </c>
      <c r="AM97" s="49" t="n">
        <f aca="false">-MIN(AL103+AM95,In_Sweep*MAX(0,AM87+AM96))*(AM$4&gt;In_COD)</f>
        <v>-0</v>
      </c>
      <c r="AN97" s="49" t="n">
        <f aca="false">-MIN(AM103+AN95,In_Sweep*MAX(0,AN87+AN96))*(AN$4&gt;In_COD)</f>
        <v>-0</v>
      </c>
      <c r="AO97" s="49" t="n">
        <f aca="false">-MIN(AN103+AO95,In_Sweep*MAX(0,AO87+AO96))*(AO$4&gt;In_COD)</f>
        <v>-0</v>
      </c>
      <c r="AP97" s="49" t="n">
        <f aca="false">-MIN(AO103+AP95,In_Sweep*MAX(0,AP87+AP96))*(AP$4&gt;In_COD)</f>
        <v>-0</v>
      </c>
      <c r="AQ97" s="49" t="n">
        <f aca="false">-MIN(AP103+AQ95,In_Sweep*MAX(0,AQ87+AQ96))*(AQ$4&gt;In_COD)</f>
        <v>-0</v>
      </c>
      <c r="AR97" s="49" t="n">
        <f aca="false">-MIN(AQ103+AR95,In_Sweep*MAX(0,AR87+AR96))*(AR$4&gt;In_COD)</f>
        <v>-0</v>
      </c>
      <c r="AS97" s="49" t="n">
        <f aca="false">-MIN(AR103+AS95,In_Sweep*MAX(0,AS87+AS96))*(AS$4&gt;In_COD)</f>
        <v>-0</v>
      </c>
      <c r="AT97" s="49" t="n">
        <f aca="false">-MIN(AS103+AT95,In_Sweep*MAX(0,AT87+AT96))*(AT$4&gt;In_COD)</f>
        <v>-0</v>
      </c>
      <c r="AU97" s="49" t="n">
        <f aca="false">-MIN(AT103+AU95,In_Sweep*MAX(0,AU87+AU96))*(AU$4&gt;In_COD)</f>
        <v>-0</v>
      </c>
      <c r="AV97" s="49" t="n">
        <f aca="false">-MIN(AU103+AV95,In_Sweep*MAX(0,AV87+AV96))*(AV$4&gt;In_COD)</f>
        <v>-0</v>
      </c>
      <c r="AW97" s="49" t="n">
        <f aca="false">-MIN(AV103+AW95,In_Sweep*MAX(0,AW87+AW96))*(AW$4&gt;In_COD)</f>
        <v>-0</v>
      </c>
      <c r="AX97" s="49" t="n">
        <f aca="false">-MIN(AW103+AX95,In_Sweep*MAX(0,AX87+AX96))*(AX$4&gt;In_COD)</f>
        <v>-0</v>
      </c>
      <c r="AY97" s="49" t="n">
        <f aca="false">-MIN(AX103+AY95,In_Sweep*MAX(0,AY87+AY96))*(AY$4&gt;In_COD)</f>
        <v>-0</v>
      </c>
      <c r="AZ97" s="49" t="n">
        <f aca="false">-MIN(AY103+AZ95,In_Sweep*MAX(0,AZ87+AZ96))*(AZ$4&gt;In_COD)</f>
        <v>-0</v>
      </c>
      <c r="BA97" s="49" t="n">
        <f aca="false">-MIN(AZ103+BA95,In_Sweep*MAX(0,BA87+BA96))*(BA$4&gt;In_COD)</f>
        <v>-0</v>
      </c>
      <c r="BB97" s="49" t="n">
        <f aca="false">-MIN(BA103+BB95,In_Sweep*MAX(0,BB87+BB96))*(BB$4&gt;In_COD)</f>
        <v>-0</v>
      </c>
      <c r="BC97" s="49" t="n">
        <f aca="false">-MIN(BB103+BC95,In_Sweep*MAX(0,BC87+BC96))*(BC$4&gt;In_COD)</f>
        <v>-0</v>
      </c>
      <c r="BD97" s="49" t="n">
        <f aca="false">-MIN(BC103+BD95,In_Sweep*MAX(0,BD87+BD96))*(BD$4&gt;In_COD)</f>
        <v>-0</v>
      </c>
      <c r="BE97" s="49" t="n">
        <f aca="false">-MIN(BD103+BE95,In_Sweep*MAX(0,BE87+BE96))*(BE$4&gt;In_COD)</f>
        <v>-0</v>
      </c>
      <c r="BF97" s="49" t="n">
        <f aca="false">-MIN(BE103+BF95,In_Sweep*MAX(0,BF87+BF96))*(BF$4&gt;In_COD)</f>
        <v>-0</v>
      </c>
      <c r="BG97" s="49" t="n">
        <f aca="false">-MIN(BF103+BG95,In_Sweep*MAX(0,BG87+BG96))*(BG$4&gt;In_COD)</f>
        <v>-0</v>
      </c>
      <c r="BH97" s="49" t="n">
        <f aca="false">-MIN(BG103+BH95,In_Sweep*MAX(0,BH87+BH96))*(BH$4&gt;In_COD)</f>
        <v>-0</v>
      </c>
      <c r="BI97" s="49" t="n">
        <f aca="false">-MIN(BH103+BI95,In_Sweep*MAX(0,BI87+BI96))*(BI$4&gt;In_COD)</f>
        <v>-0</v>
      </c>
      <c r="BJ97" s="49" t="n">
        <f aca="false">-MIN(BI103+BJ95,In_Sweep*MAX(0,BJ87+BJ96))*(BJ$4&gt;In_COD)</f>
        <v>-0</v>
      </c>
      <c r="BK97" s="49" t="n">
        <f aca="false">-MIN(BJ103+BK95,In_Sweep*MAX(0,BK87+BK96))*(BK$4&gt;In_COD)</f>
        <v>-0</v>
      </c>
      <c r="BL97" s="49" t="n">
        <f aca="false">-MIN(BK103+BL95,In_Sweep*MAX(0,BL87+BL96))*(BL$4&gt;In_COD)</f>
        <v>-0</v>
      </c>
      <c r="BM97" s="49" t="n">
        <f aca="false">-MIN(BL103+BM95,In_Sweep*MAX(0,BM87+BM96))*(BM$4&gt;In_COD)</f>
        <v>-0</v>
      </c>
      <c r="BN97" s="49" t="n">
        <f aca="false">-MIN(BM103+BN95,In_Sweep*MAX(0,BN87+BN96))*(BN$4&gt;In_COD)</f>
        <v>-0</v>
      </c>
      <c r="BO97" s="49" t="n">
        <f aca="false">-MIN(BN103+BO95,In_Sweep*MAX(0,BO87+BO96))*(BO$4&gt;In_COD)</f>
        <v>-0</v>
      </c>
      <c r="BP97" s="49" t="n">
        <f aca="false">-MIN(BO103+BP95,In_Sweep*MAX(0,BP87+BP96))*(BP$4&gt;In_COD)</f>
        <v>-0</v>
      </c>
      <c r="BQ97" s="49" t="n">
        <f aca="false">-MIN(BP103+BQ95,In_Sweep*MAX(0,BQ87+BQ96))*(BQ$4&gt;In_COD)</f>
        <v>-0</v>
      </c>
      <c r="BR97" s="49" t="n">
        <f aca="false">-MIN(BQ103+BR95,In_Sweep*MAX(0,BR87+BR96))*(BR$4&gt;In_COD)</f>
        <v>-0</v>
      </c>
      <c r="BS97" s="49" t="n">
        <f aca="false">-MIN(BR103+BS95,In_Sweep*MAX(0,BS87+BS96))*(BS$4&gt;In_COD)</f>
        <v>-0</v>
      </c>
      <c r="BT97" s="49" t="n">
        <f aca="false">-MIN(BS103+BT95,In_Sweep*MAX(0,BT87+BT96))*(BT$4&gt;In_COD)</f>
        <v>-0</v>
      </c>
      <c r="BU97" s="49" t="n">
        <f aca="false">-MIN(BT103+BU95,In_Sweep*MAX(0,BU87+BU96))*(BU$4&gt;In_COD)</f>
        <v>-0</v>
      </c>
      <c r="BV97" s="49" t="n">
        <f aca="false">-MIN(BU103+BV95,In_Sweep*MAX(0,BV87+BV96))*(BV$4&gt;In_COD)</f>
        <v>-0</v>
      </c>
      <c r="BW97" s="49" t="n">
        <f aca="false">-MIN(BV103+BW95,In_Sweep*MAX(0,BW87+BW96))*(BW$4&gt;In_COD)</f>
        <v>-0</v>
      </c>
      <c r="BX97" s="49" t="n">
        <f aca="false">-MIN(BW103+BX95,In_Sweep*MAX(0,BX87+BX96))*(BX$4&gt;In_COD)</f>
        <v>-0</v>
      </c>
      <c r="BY97" s="49" t="n">
        <f aca="false">-MIN(BX103+BY95,In_Sweep*MAX(0,BY87+BY96))*(BY$4&gt;In_COD)</f>
        <v>-0</v>
      </c>
      <c r="BZ97" s="49" t="n">
        <f aca="false">-MIN(BY103+BZ95,In_Sweep*MAX(0,BZ87+BZ96))*(BZ$4&gt;In_COD)</f>
        <v>-0</v>
      </c>
      <c r="CA97" s="49" t="n">
        <f aca="false">-MIN(BZ103+CA95,In_Sweep*MAX(0,CA87+CA96))*(CA$4&gt;In_COD)</f>
        <v>-0</v>
      </c>
      <c r="CB97" s="49" t="n">
        <f aca="false">-MIN(CA103+CB95,In_Sweep*MAX(0,CB87+CB96))*(CB$4&gt;In_COD)</f>
        <v>-0</v>
      </c>
      <c r="CC97" s="49" t="n">
        <f aca="false">-MIN(CB103+CC95,In_Sweep*MAX(0,CC87+CC96))*(CC$4&gt;In_COD)</f>
        <v>-0</v>
      </c>
      <c r="CD97" s="49" t="n">
        <f aca="false">-MIN(CC103+CD95,In_Sweep*MAX(0,CD87+CD96))*(CD$4&gt;In_COD)</f>
        <v>-0</v>
      </c>
      <c r="CE97" s="49" t="n">
        <f aca="false">-MIN(CD103+CE95,In_Sweep*MAX(0,CE87+CE96))*(CE$4&gt;In_COD)</f>
        <v>-0</v>
      </c>
      <c r="CF97" s="49" t="n">
        <f aca="false">-MIN(CE103+CF95,In_Sweep*MAX(0,CF87+CF96))*(CF$4&gt;In_COD)</f>
        <v>-0</v>
      </c>
      <c r="CG97" s="49" t="n">
        <f aca="false">-MIN(CF103+CG95,In_Sweep*MAX(0,CG87+CG96))*(CG$4&gt;In_COD)</f>
        <v>-0</v>
      </c>
      <c r="CH97" s="49" t="n">
        <f aca="false">-MIN(CG103+CH95,In_Sweep*MAX(0,CH87+CH96))*(CH$4&gt;In_COD)</f>
        <v>-0</v>
      </c>
      <c r="CI97" s="49" t="n">
        <f aca="false">-MIN(CH103+CI95,In_Sweep*MAX(0,CI87+CI96))*(CI$4&gt;In_COD)</f>
        <v>-0</v>
      </c>
      <c r="CJ97" s="49" t="n">
        <f aca="false">-MIN(CI103+CJ95,In_Sweep*MAX(0,CJ87+CJ96))*(CJ$4&gt;In_COD)</f>
        <v>-0</v>
      </c>
      <c r="CK97" s="49" t="n">
        <f aca="false">-MIN(CJ103+CK95,In_Sweep*MAX(0,CK87+CK96))*(CK$4&gt;In_COD)</f>
        <v>-0</v>
      </c>
      <c r="CL97" s="49" t="n">
        <f aca="false">-MIN(CK103+CL95,In_Sweep*MAX(0,CL87+CL96))*(CL$4&gt;In_COD)</f>
        <v>-0</v>
      </c>
      <c r="CM97" s="49" t="n">
        <f aca="false">-MIN(CL103+CM95,In_Sweep*MAX(0,CM87+CM96))*(CM$4&gt;In_COD)</f>
        <v>-0</v>
      </c>
      <c r="CN97" s="49" t="n">
        <f aca="false">-MIN(CM103+CN95,In_Sweep*MAX(0,CN87+CN96))*(CN$4&gt;In_COD)</f>
        <v>-0</v>
      </c>
      <c r="CO97" s="49" t="n">
        <f aca="false">-MIN(CN103+CO95,In_Sweep*MAX(0,CO87+CO96))*(CO$4&gt;In_COD)</f>
        <v>-0</v>
      </c>
      <c r="CP97" s="49" t="n">
        <f aca="false">-MIN(CO103+CP95,In_Sweep*MAX(0,CP87+CP96))*(CP$4&gt;In_COD)</f>
        <v>-0</v>
      </c>
      <c r="CQ97" s="49" t="n">
        <f aca="false">-MIN(CP103+CQ95,In_Sweep*MAX(0,CQ87+CQ96))*(CQ$4&gt;In_COD)</f>
        <v>-0</v>
      </c>
      <c r="CR97" s="49" t="n">
        <f aca="false">-MIN(CQ103+CR95,In_Sweep*MAX(0,CR87+CR96))*(CR$4&gt;In_COD)</f>
        <v>-0</v>
      </c>
      <c r="CS97" s="49" t="n">
        <f aca="false">-MIN(CR103+CS95,In_Sweep*MAX(0,CS87+CS96))*(CS$4&gt;In_COD)</f>
        <v>-0</v>
      </c>
      <c r="CT97" s="49" t="n">
        <f aca="false">-MIN(CS103+CT95,In_Sweep*MAX(0,CT87+CT96))*(CT$4&gt;In_COD)</f>
        <v>-0</v>
      </c>
      <c r="CU97" s="49" t="n">
        <f aca="false">-MIN(CT103+CU95,In_Sweep*MAX(0,CU87+CU96))*(CU$4&gt;In_COD)</f>
        <v>-0</v>
      </c>
      <c r="CV97" s="49" t="n">
        <f aca="false">-MIN(CU103+CV95,In_Sweep*MAX(0,CV87+CV96))*(CV$4&gt;In_COD)</f>
        <v>-0</v>
      </c>
      <c r="CW97" s="49" t="n">
        <f aca="false">-MIN(CV103+CW95,In_Sweep*MAX(0,CW87+CW96))*(CW$4&gt;In_COD)</f>
        <v>-0</v>
      </c>
      <c r="CX97" s="49" t="n">
        <f aca="false">-MIN(CW103+CX95,In_Sweep*MAX(0,CX87+CX96))*(CX$4&gt;In_COD)</f>
        <v>-0</v>
      </c>
      <c r="CY97" s="49" t="n">
        <f aca="false">-MIN(CX103+CY95,In_Sweep*MAX(0,CY87+CY96))*(CY$4&gt;In_COD)</f>
        <v>-0</v>
      </c>
      <c r="CZ97" s="49" t="n">
        <f aca="false">-MIN(CY103+CZ95,In_Sweep*MAX(0,CZ87+CZ96))*(CZ$4&gt;In_COD)</f>
        <v>-0</v>
      </c>
      <c r="DA97" s="49" t="n">
        <f aca="false">-MIN(CZ103+DA95,In_Sweep*MAX(0,DA87+DA96))*(DA$4&gt;In_COD)</f>
        <v>-0</v>
      </c>
      <c r="DB97" s="49" t="n">
        <f aca="false">-MIN(DA103+DB95,In_Sweep*MAX(0,DB87+DB96))*(DB$4&gt;In_COD)</f>
        <v>-0</v>
      </c>
      <c r="DC97" s="49" t="n">
        <f aca="false">-MIN(DB103+DC95,In_Sweep*MAX(0,DC87+DC96))*(DC$4&gt;In_COD)</f>
        <v>-0</v>
      </c>
      <c r="DD97" s="49" t="n">
        <f aca="false">-MIN(DC103+DD95,In_Sweep*MAX(0,DD87+DD96))*(DD$4&gt;In_COD)</f>
        <v>-0</v>
      </c>
      <c r="DE97" s="49" t="n">
        <f aca="false">-MIN(DD103+DE95,In_Sweep*MAX(0,DE87+DE96))*(DE$4&gt;In_COD)</f>
        <v>-0</v>
      </c>
      <c r="DF97" s="49" t="n">
        <f aca="false">-MIN(DE103+DF95,In_Sweep*MAX(0,DF87+DF96))*(DF$4&gt;In_COD)</f>
        <v>-0</v>
      </c>
      <c r="DG97" s="49" t="n">
        <f aca="false">-MIN(DF103+DG95,In_Sweep*MAX(0,DG87+DG96))*(DG$4&gt;In_COD)</f>
        <v>-0</v>
      </c>
      <c r="DH97" s="49" t="n">
        <f aca="false">-MIN(DG103+DH95,In_Sweep*MAX(0,DH87+DH96))*(DH$4&gt;In_COD)</f>
        <v>-0</v>
      </c>
      <c r="DI97" s="49" t="n">
        <f aca="false">-MIN(DH103+DI95,In_Sweep*MAX(0,DI87+DI96))*(DI$4&gt;In_COD)</f>
        <v>-0</v>
      </c>
      <c r="DJ97" s="49" t="n">
        <f aca="false">-MIN(DI103+DJ95,In_Sweep*MAX(0,DJ87+DJ96))*(DJ$4&gt;In_COD)</f>
        <v>-0</v>
      </c>
      <c r="DK97" s="49" t="n">
        <f aca="false">-MIN(DJ103+DK95,In_Sweep*MAX(0,DK87+DK96))*(DK$4&gt;In_COD)</f>
        <v>-0</v>
      </c>
      <c r="DL97" s="49" t="n">
        <f aca="false">-MIN(DK103+DL95,In_Sweep*MAX(0,DL87+DL96))*(DL$4&gt;In_COD)</f>
        <v>-0</v>
      </c>
      <c r="DM97" s="49" t="n">
        <f aca="false">-MIN(DL103+DM95,In_Sweep*MAX(0,DM87+DM96))*(DM$4&gt;In_COD)</f>
        <v>-0</v>
      </c>
      <c r="DN97" s="49" t="n">
        <f aca="false">-MIN(DM103+DN95,In_Sweep*MAX(0,DN87+DN96))*(DN$4&gt;In_COD)</f>
        <v>-0</v>
      </c>
      <c r="DO97" s="49" t="n">
        <f aca="false">-MIN(DN103+DO95,In_Sweep*MAX(0,DO87+DO96))*(DO$4&gt;In_COD)</f>
        <v>-0</v>
      </c>
      <c r="DP97" s="49" t="n">
        <f aca="false">-MIN(DO103+DP95,In_Sweep*MAX(0,DP87+DP96))*(DP$4&gt;In_COD)</f>
        <v>-0</v>
      </c>
      <c r="DQ97" s="49" t="n">
        <f aca="false">-MIN(DP103+DQ95,In_Sweep*MAX(0,DQ87+DQ96))*(DQ$4&gt;In_COD)</f>
        <v>-0</v>
      </c>
      <c r="DR97" s="49" t="n">
        <f aca="false">-MIN(DQ103+DR95,In_Sweep*MAX(0,DR87+DR96))*(DR$4&gt;In_COD)</f>
        <v>-0</v>
      </c>
      <c r="DS97" s="49" t="n">
        <f aca="false">-MIN(DR103+DS95,In_Sweep*MAX(0,DS87+DS96))*(DS$4&gt;In_COD)</f>
        <v>-0</v>
      </c>
      <c r="DT97" s="49" t="n">
        <f aca="false">-MIN(DS103+DT95,In_Sweep*MAX(0,DT87+DT96))*(DT$4&gt;In_COD)</f>
        <v>-0</v>
      </c>
      <c r="DU97" s="49" t="n">
        <f aca="false">-MIN(DT103+DU95,In_Sweep*MAX(0,DU87+DU96))*(DU$4&gt;In_COD)</f>
        <v>-0</v>
      </c>
      <c r="DV97" s="49" t="n">
        <f aca="false">-MIN(DU103+DV95,In_Sweep*MAX(0,DV87+DV96))*(DV$4&gt;In_COD)</f>
        <v>-0</v>
      </c>
      <c r="DW97" s="49" t="n">
        <f aca="false">-MIN(DV103+DW95,In_Sweep*MAX(0,DW87+DW96))*(DW$4&gt;In_COD)</f>
        <v>-0</v>
      </c>
      <c r="DX97" s="49" t="n">
        <f aca="false">-MIN(DW103+DX95,In_Sweep*MAX(0,DX87+DX96))*(DX$4&gt;In_COD)</f>
        <v>-0</v>
      </c>
      <c r="DY97" s="49" t="n">
        <f aca="false">-MIN(DX103+DY95,In_Sweep*MAX(0,DY87+DY96))*(DY$4&gt;In_COD)</f>
        <v>-0</v>
      </c>
      <c r="DZ97" s="49" t="n">
        <f aca="false">-MIN(DY103+DZ95,In_Sweep*MAX(0,DZ87+DZ96))*(DZ$4&gt;In_COD)</f>
        <v>-0</v>
      </c>
      <c r="EA97" s="49" t="n">
        <f aca="false">-MIN(DZ103+EA95,In_Sweep*MAX(0,EA87+EA96))*(EA$4&gt;In_COD)</f>
        <v>-0</v>
      </c>
      <c r="EB97" s="49" t="n">
        <f aca="false">-MIN(EA103+EB95,In_Sweep*MAX(0,EB87+EB96))*(EB$4&gt;In_COD)</f>
        <v>-0</v>
      </c>
      <c r="EC97" s="49" t="n">
        <f aca="false">-MIN(EB103+EC95,In_Sweep*MAX(0,EC87+EC96))*(EC$4&gt;In_COD)</f>
        <v>-0</v>
      </c>
      <c r="ED97" s="49" t="n">
        <f aca="false">-MIN(EC103+ED95,In_Sweep*MAX(0,ED87+ED96))*(ED$4&gt;In_COD)</f>
        <v>-0</v>
      </c>
      <c r="EE97" s="49" t="n">
        <f aca="false">-MIN(ED103+EE95,In_Sweep*MAX(0,EE87+EE96))*(EE$4&gt;In_COD)</f>
        <v>-0</v>
      </c>
      <c r="EF97" s="49" t="n">
        <f aca="false">-MIN(EE103+EF95,In_Sweep*MAX(0,EF87+EF96))*(EF$4&gt;In_COD)</f>
        <v>-0</v>
      </c>
      <c r="EG97" s="49" t="n">
        <f aca="false">-MIN(EF103+EG95,In_Sweep*MAX(0,EG87+EG96))*(EG$4&gt;In_COD)</f>
        <v>-0</v>
      </c>
      <c r="EH97" s="49" t="n">
        <f aca="false">-MIN(EG103+EH95,In_Sweep*MAX(0,EH87+EH96))*(EH$4&gt;In_COD)</f>
        <v>-0</v>
      </c>
      <c r="EI97" s="49" t="n">
        <f aca="false">-MIN(EH103+EI95,In_Sweep*MAX(0,EI87+EI96))*(EI$4&gt;In_COD)</f>
        <v>-0</v>
      </c>
      <c r="EJ97" s="49" t="n">
        <f aca="false">-MIN(EI103+EJ95,In_Sweep*MAX(0,EJ87+EJ96))*(EJ$4&gt;In_COD)</f>
        <v>-0</v>
      </c>
      <c r="EK97" s="49" t="n">
        <f aca="false">-MIN(EJ103+EK95,In_Sweep*MAX(0,EK87+EK96))*(EK$4&gt;In_COD)</f>
        <v>-0</v>
      </c>
      <c r="EL97" s="49" t="n">
        <f aca="false">-MIN(EK103+EL95,In_Sweep*MAX(0,EL87+EL96))*(EL$4&gt;In_COD)</f>
        <v>-0</v>
      </c>
      <c r="EM97" s="49" t="n">
        <f aca="false">-MIN(EL103+EM95,In_Sweep*MAX(0,EM87+EM96))*(EM$4&gt;In_COD)</f>
        <v>-0</v>
      </c>
      <c r="EN97" s="49" t="n">
        <f aca="false">-MIN(EM103+EN95,In_Sweep*MAX(0,EN87+EN96))*(EN$4&gt;In_COD)</f>
        <v>-0</v>
      </c>
      <c r="EO97" s="49" t="n">
        <f aca="false">-MIN(EN103+EO95,In_Sweep*MAX(0,EO87+EO96))*(EO$4&gt;In_COD)</f>
        <v>-0</v>
      </c>
    </row>
    <row r="98" customFormat="false" ht="15" hidden="false" customHeight="false" outlineLevel="0" collapsed="false">
      <c r="C98" s="1" t="s">
        <v>486</v>
      </c>
      <c r="D98" s="12" t="s">
        <v>33</v>
      </c>
      <c r="I98" s="49" t="n">
        <f aca="false">SUM(J98:EO98)</f>
        <v>-70656.0923564855</v>
      </c>
      <c r="J98" s="49" t="n">
        <f aca="false">J96+J97</f>
        <v>0</v>
      </c>
      <c r="K98" s="49" t="n">
        <f aca="false">K96+K97</f>
        <v>0</v>
      </c>
      <c r="L98" s="49" t="n">
        <f aca="false">L96+L97</f>
        <v>0</v>
      </c>
      <c r="M98" s="49" t="n">
        <f aca="false">M96+M97</f>
        <v>0</v>
      </c>
      <c r="N98" s="49" t="n">
        <f aca="false">N96+N97</f>
        <v>0</v>
      </c>
      <c r="O98" s="49" t="n">
        <f aca="false">O96+O97</f>
        <v>0</v>
      </c>
      <c r="P98" s="49" t="n">
        <f aca="false">P96+P97</f>
        <v>0</v>
      </c>
      <c r="Q98" s="49" t="n">
        <f aca="false">Q96+Q97</f>
        <v>0</v>
      </c>
      <c r="R98" s="49" t="n">
        <f aca="false">R96+R97</f>
        <v>0</v>
      </c>
      <c r="S98" s="49" t="n">
        <f aca="false">S96+S97</f>
        <v>0</v>
      </c>
      <c r="T98" s="49" t="n">
        <f aca="false">T96+T97</f>
        <v>0</v>
      </c>
      <c r="U98" s="49" t="n">
        <f aca="false">U96+U97</f>
        <v>0</v>
      </c>
      <c r="V98" s="49" t="n">
        <f aca="false">V96+V97</f>
        <v>0</v>
      </c>
      <c r="W98" s="49" t="n">
        <f aca="false">W96+W97</f>
        <v>0</v>
      </c>
      <c r="X98" s="49" t="n">
        <f aca="false">X96+X97</f>
        <v>0</v>
      </c>
      <c r="Y98" s="49" t="n">
        <f aca="false">Y96+Y97</f>
        <v>0</v>
      </c>
      <c r="Z98" s="49" t="n">
        <f aca="false">Z96+Z97</f>
        <v>-1177.60153927476</v>
      </c>
      <c r="AA98" s="49" t="n">
        <f aca="false">AA96+AA97</f>
        <v>-1177.60153927476</v>
      </c>
      <c r="AB98" s="49" t="n">
        <f aca="false">AB96+AB97</f>
        <v>-1177.60153927476</v>
      </c>
      <c r="AC98" s="49" t="n">
        <f aca="false">AC96+AC97</f>
        <v>-1177.60153927476</v>
      </c>
      <c r="AD98" s="49" t="n">
        <f aca="false">AD96+AD97</f>
        <v>-1177.60153927476</v>
      </c>
      <c r="AE98" s="49" t="n">
        <f aca="false">AE96+AE97</f>
        <v>-1177.60153927476</v>
      </c>
      <c r="AF98" s="49" t="n">
        <f aca="false">AF96+AF97</f>
        <v>-1177.60153927476</v>
      </c>
      <c r="AG98" s="49" t="n">
        <f aca="false">AG96+AG97</f>
        <v>-1177.60153927476</v>
      </c>
      <c r="AH98" s="49" t="n">
        <f aca="false">AH96+AH97</f>
        <v>-1177.60153927476</v>
      </c>
      <c r="AI98" s="49" t="n">
        <f aca="false">AI96+AI97</f>
        <v>-1177.60153927476</v>
      </c>
      <c r="AJ98" s="49" t="n">
        <f aca="false">AJ96+AJ97</f>
        <v>-1177.60153927476</v>
      </c>
      <c r="AK98" s="49" t="n">
        <f aca="false">AK96+AK97</f>
        <v>-1177.60153927476</v>
      </c>
      <c r="AL98" s="49" t="n">
        <f aca="false">AL96+AL97</f>
        <v>-1177.60153927476</v>
      </c>
      <c r="AM98" s="49" t="n">
        <f aca="false">AM96+AM97</f>
        <v>-1177.60153927476</v>
      </c>
      <c r="AN98" s="49" t="n">
        <f aca="false">AN96+AN97</f>
        <v>-1177.60153927476</v>
      </c>
      <c r="AO98" s="49" t="n">
        <f aca="false">AO96+AO97</f>
        <v>-1177.60153927476</v>
      </c>
      <c r="AP98" s="49" t="n">
        <f aca="false">AP96+AP97</f>
        <v>-1177.60153927476</v>
      </c>
      <c r="AQ98" s="49" t="n">
        <f aca="false">AQ96+AQ97</f>
        <v>-1177.60153927476</v>
      </c>
      <c r="AR98" s="49" t="n">
        <f aca="false">AR96+AR97</f>
        <v>-1177.60153927476</v>
      </c>
      <c r="AS98" s="49" t="n">
        <f aca="false">AS96+AS97</f>
        <v>-1177.60153927476</v>
      </c>
      <c r="AT98" s="49" t="n">
        <f aca="false">AT96+AT97</f>
        <v>-1177.60153927476</v>
      </c>
      <c r="AU98" s="49" t="n">
        <f aca="false">AU96+AU97</f>
        <v>-1177.60153927476</v>
      </c>
      <c r="AV98" s="49" t="n">
        <f aca="false">AV96+AV97</f>
        <v>-1177.60153927476</v>
      </c>
      <c r="AW98" s="49" t="n">
        <f aca="false">AW96+AW97</f>
        <v>-1177.60153927476</v>
      </c>
      <c r="AX98" s="49" t="n">
        <f aca="false">AX96+AX97</f>
        <v>-1177.60153927476</v>
      </c>
      <c r="AY98" s="49" t="n">
        <f aca="false">AY96+AY97</f>
        <v>-1177.60153927476</v>
      </c>
      <c r="AZ98" s="49" t="n">
        <f aca="false">AZ96+AZ97</f>
        <v>-1177.60153927476</v>
      </c>
      <c r="BA98" s="49" t="n">
        <f aca="false">BA96+BA97</f>
        <v>-1177.60153927476</v>
      </c>
      <c r="BB98" s="49" t="n">
        <f aca="false">BB96+BB97</f>
        <v>-1177.60153927476</v>
      </c>
      <c r="BC98" s="49" t="n">
        <f aca="false">BC96+BC97</f>
        <v>-1177.60153927476</v>
      </c>
      <c r="BD98" s="49" t="n">
        <f aca="false">BD96+BD97</f>
        <v>-1177.60153927476</v>
      </c>
      <c r="BE98" s="49" t="n">
        <f aca="false">BE96+BE97</f>
        <v>-1177.60153927476</v>
      </c>
      <c r="BF98" s="49" t="n">
        <f aca="false">BF96+BF97</f>
        <v>-1177.60153927476</v>
      </c>
      <c r="BG98" s="49" t="n">
        <f aca="false">BG96+BG97</f>
        <v>-1177.60153927476</v>
      </c>
      <c r="BH98" s="49" t="n">
        <f aca="false">BH96+BH97</f>
        <v>-1177.60153927476</v>
      </c>
      <c r="BI98" s="49" t="n">
        <f aca="false">BI96+BI97</f>
        <v>-1177.60153927476</v>
      </c>
      <c r="BJ98" s="49" t="n">
        <f aca="false">BJ96+BJ97</f>
        <v>-1177.60153927476</v>
      </c>
      <c r="BK98" s="49" t="n">
        <f aca="false">BK96+BK97</f>
        <v>-1177.60153927476</v>
      </c>
      <c r="BL98" s="49" t="n">
        <f aca="false">BL96+BL97</f>
        <v>-1177.60153927476</v>
      </c>
      <c r="BM98" s="49" t="n">
        <f aca="false">BM96+BM97</f>
        <v>-1177.60153927476</v>
      </c>
      <c r="BN98" s="49" t="n">
        <f aca="false">BN96+BN97</f>
        <v>-1177.60153927476</v>
      </c>
      <c r="BO98" s="49" t="n">
        <f aca="false">BO96+BO97</f>
        <v>-1177.60153927476</v>
      </c>
      <c r="BP98" s="49" t="n">
        <f aca="false">BP96+BP97</f>
        <v>-1177.60153927476</v>
      </c>
      <c r="BQ98" s="49" t="n">
        <f aca="false">BQ96+BQ97</f>
        <v>-1177.60153927476</v>
      </c>
      <c r="BR98" s="49" t="n">
        <f aca="false">BR96+BR97</f>
        <v>-1177.60153927476</v>
      </c>
      <c r="BS98" s="49" t="n">
        <f aca="false">BS96+BS97</f>
        <v>-1177.60153927476</v>
      </c>
      <c r="BT98" s="49" t="n">
        <f aca="false">BT96+BT97</f>
        <v>-1177.60153927476</v>
      </c>
      <c r="BU98" s="49" t="n">
        <f aca="false">BU96+BU97</f>
        <v>-1177.60153927476</v>
      </c>
      <c r="BV98" s="49" t="n">
        <f aca="false">BV96+BV97</f>
        <v>-1177.60153927476</v>
      </c>
      <c r="BW98" s="49" t="n">
        <f aca="false">BW96+BW97</f>
        <v>-1177.60153927476</v>
      </c>
      <c r="BX98" s="49" t="n">
        <f aca="false">BX96+BX97</f>
        <v>-1177.60153927476</v>
      </c>
      <c r="BY98" s="49" t="n">
        <f aca="false">BY96+BY97</f>
        <v>-1177.60153927476</v>
      </c>
      <c r="BZ98" s="49" t="n">
        <f aca="false">BZ96+BZ97</f>
        <v>-1177.60153927476</v>
      </c>
      <c r="CA98" s="49" t="n">
        <f aca="false">CA96+CA97</f>
        <v>-1177.60153927476</v>
      </c>
      <c r="CB98" s="49" t="n">
        <f aca="false">CB96+CB97</f>
        <v>-1177.60153927476</v>
      </c>
      <c r="CC98" s="49" t="n">
        <f aca="false">CC96+CC97</f>
        <v>-1177.60153927476</v>
      </c>
      <c r="CD98" s="49" t="n">
        <f aca="false">CD96+CD97</f>
        <v>-1177.60153927476</v>
      </c>
      <c r="CE98" s="49" t="n">
        <f aca="false">CE96+CE97</f>
        <v>-1177.60153927476</v>
      </c>
      <c r="CF98" s="49" t="n">
        <f aca="false">CF96+CF97</f>
        <v>-1177.60153927476</v>
      </c>
      <c r="CG98" s="49" t="n">
        <f aca="false">CG96+CG97</f>
        <v>-1177.60153927476</v>
      </c>
      <c r="CH98" s="49" t="n">
        <f aca="false">CH96+CH97</f>
        <v>-0</v>
      </c>
      <c r="CI98" s="49" t="n">
        <f aca="false">CI96+CI97</f>
        <v>-0</v>
      </c>
      <c r="CJ98" s="49" t="n">
        <f aca="false">CJ96+CJ97</f>
        <v>-0</v>
      </c>
      <c r="CK98" s="49" t="n">
        <f aca="false">CK96+CK97</f>
        <v>-0</v>
      </c>
      <c r="CL98" s="49" t="n">
        <f aca="false">CL96+CL97</f>
        <v>-0</v>
      </c>
      <c r="CM98" s="49" t="n">
        <f aca="false">CM96+CM97</f>
        <v>-0</v>
      </c>
      <c r="CN98" s="49" t="n">
        <f aca="false">CN96+CN97</f>
        <v>-0</v>
      </c>
      <c r="CO98" s="49" t="n">
        <f aca="false">CO96+CO97</f>
        <v>-0</v>
      </c>
      <c r="CP98" s="49" t="n">
        <f aca="false">CP96+CP97</f>
        <v>-0</v>
      </c>
      <c r="CQ98" s="49" t="n">
        <f aca="false">CQ96+CQ97</f>
        <v>-0</v>
      </c>
      <c r="CR98" s="49" t="n">
        <f aca="false">CR96+CR97</f>
        <v>-0</v>
      </c>
      <c r="CS98" s="49" t="n">
        <f aca="false">CS96+CS97</f>
        <v>-0</v>
      </c>
      <c r="CT98" s="49" t="n">
        <f aca="false">CT96+CT97</f>
        <v>-0</v>
      </c>
      <c r="CU98" s="49" t="n">
        <f aca="false">CU96+CU97</f>
        <v>-0</v>
      </c>
      <c r="CV98" s="49" t="n">
        <f aca="false">CV96+CV97</f>
        <v>-0</v>
      </c>
      <c r="CW98" s="49" t="n">
        <f aca="false">CW96+CW97</f>
        <v>-0</v>
      </c>
      <c r="CX98" s="49" t="n">
        <f aca="false">CX96+CX97</f>
        <v>-0</v>
      </c>
      <c r="CY98" s="49" t="n">
        <f aca="false">CY96+CY97</f>
        <v>-0</v>
      </c>
      <c r="CZ98" s="49" t="n">
        <f aca="false">CZ96+CZ97</f>
        <v>-0</v>
      </c>
      <c r="DA98" s="49" t="n">
        <f aca="false">DA96+DA97</f>
        <v>-0</v>
      </c>
      <c r="DB98" s="49" t="n">
        <f aca="false">DB96+DB97</f>
        <v>-0</v>
      </c>
      <c r="DC98" s="49" t="n">
        <f aca="false">DC96+DC97</f>
        <v>-0</v>
      </c>
      <c r="DD98" s="49" t="n">
        <f aca="false">DD96+DD97</f>
        <v>-0</v>
      </c>
      <c r="DE98" s="49" t="n">
        <f aca="false">DE96+DE97</f>
        <v>-0</v>
      </c>
      <c r="DF98" s="49" t="n">
        <f aca="false">DF96+DF97</f>
        <v>-0</v>
      </c>
      <c r="DG98" s="49" t="n">
        <f aca="false">DG96+DG97</f>
        <v>-0</v>
      </c>
      <c r="DH98" s="49" t="n">
        <f aca="false">DH96+DH97</f>
        <v>-0</v>
      </c>
      <c r="DI98" s="49" t="n">
        <f aca="false">DI96+DI97</f>
        <v>-0</v>
      </c>
      <c r="DJ98" s="49" t="n">
        <f aca="false">DJ96+DJ97</f>
        <v>-0</v>
      </c>
      <c r="DK98" s="49" t="n">
        <f aca="false">DK96+DK97</f>
        <v>-0</v>
      </c>
      <c r="DL98" s="49" t="n">
        <f aca="false">DL96+DL97</f>
        <v>-0</v>
      </c>
      <c r="DM98" s="49" t="n">
        <f aca="false">DM96+DM97</f>
        <v>-0</v>
      </c>
      <c r="DN98" s="49" t="n">
        <f aca="false">DN96+DN97</f>
        <v>-0</v>
      </c>
      <c r="DO98" s="49" t="n">
        <f aca="false">DO96+DO97</f>
        <v>-0</v>
      </c>
      <c r="DP98" s="49" t="n">
        <f aca="false">DP96+DP97</f>
        <v>-0</v>
      </c>
      <c r="DQ98" s="49" t="n">
        <f aca="false">DQ96+DQ97</f>
        <v>-0</v>
      </c>
      <c r="DR98" s="49" t="n">
        <f aca="false">DR96+DR97</f>
        <v>-0</v>
      </c>
      <c r="DS98" s="49" t="n">
        <f aca="false">DS96+DS97</f>
        <v>-0</v>
      </c>
      <c r="DT98" s="49" t="n">
        <f aca="false">DT96+DT97</f>
        <v>-0</v>
      </c>
      <c r="DU98" s="49" t="n">
        <f aca="false">DU96+DU97</f>
        <v>-0</v>
      </c>
      <c r="DV98" s="49" t="n">
        <f aca="false">DV96+DV97</f>
        <v>-0</v>
      </c>
      <c r="DW98" s="49" t="n">
        <f aca="false">DW96+DW97</f>
        <v>-0</v>
      </c>
      <c r="DX98" s="49" t="n">
        <f aca="false">DX96+DX97</f>
        <v>-0</v>
      </c>
      <c r="DY98" s="49" t="n">
        <f aca="false">DY96+DY97</f>
        <v>-0</v>
      </c>
      <c r="DZ98" s="49" t="n">
        <f aca="false">DZ96+DZ97</f>
        <v>-0</v>
      </c>
      <c r="EA98" s="49" t="n">
        <f aca="false">EA96+EA97</f>
        <v>-0</v>
      </c>
      <c r="EB98" s="49" t="n">
        <f aca="false">EB96+EB97</f>
        <v>-0</v>
      </c>
      <c r="EC98" s="49" t="n">
        <f aca="false">EC96+EC97</f>
        <v>-0</v>
      </c>
      <c r="ED98" s="49" t="n">
        <f aca="false">ED96+ED97</f>
        <v>-0</v>
      </c>
      <c r="EE98" s="49" t="n">
        <f aca="false">EE96+EE97</f>
        <v>-0</v>
      </c>
      <c r="EF98" s="49" t="n">
        <f aca="false">EF96+EF97</f>
        <v>-0</v>
      </c>
      <c r="EG98" s="49" t="n">
        <f aca="false">EG96+EG97</f>
        <v>-0</v>
      </c>
      <c r="EH98" s="49" t="n">
        <f aca="false">EH96+EH97</f>
        <v>-0</v>
      </c>
      <c r="EI98" s="49" t="n">
        <f aca="false">EI96+EI97</f>
        <v>-0</v>
      </c>
      <c r="EJ98" s="49" t="n">
        <f aca="false">EJ96+EJ97</f>
        <v>-0</v>
      </c>
      <c r="EK98" s="49" t="n">
        <f aca="false">EK96+EK97</f>
        <v>-0</v>
      </c>
      <c r="EL98" s="49" t="n">
        <f aca="false">EL96+EL97</f>
        <v>-0</v>
      </c>
      <c r="EM98" s="49" t="n">
        <f aca="false">EM96+EM97</f>
        <v>-0</v>
      </c>
      <c r="EN98" s="49" t="n">
        <f aca="false">EN96+EN97</f>
        <v>-0</v>
      </c>
      <c r="EO98" s="49" t="n">
        <f aca="false">EO96+EO97</f>
        <v>-0</v>
      </c>
    </row>
    <row r="99" customFormat="false" ht="15" hidden="false" customHeight="false" outlineLevel="0" collapsed="false">
      <c r="C99" s="1" t="s">
        <v>487</v>
      </c>
      <c r="D99" s="12" t="s">
        <v>33</v>
      </c>
      <c r="J99" s="19" t="n">
        <f aca="false">I103</f>
        <v>0</v>
      </c>
      <c r="K99" s="19" t="n">
        <f aca="false">J103</f>
        <v>0</v>
      </c>
      <c r="L99" s="19" t="n">
        <f aca="false">K103</f>
        <v>0</v>
      </c>
      <c r="M99" s="19" t="n">
        <f aca="false">L103</f>
        <v>0</v>
      </c>
      <c r="N99" s="19" t="n">
        <f aca="false">M103</f>
        <v>0</v>
      </c>
      <c r="O99" s="19" t="n">
        <f aca="false">N103</f>
        <v>0</v>
      </c>
      <c r="P99" s="19" t="n">
        <f aca="false">O103</f>
        <v>0</v>
      </c>
      <c r="Q99" s="19" t="n">
        <f aca="false">P103</f>
        <v>0</v>
      </c>
      <c r="R99" s="19" t="n">
        <f aca="false">Q103</f>
        <v>0</v>
      </c>
      <c r="S99" s="19" t="n">
        <f aca="false">R103</f>
        <v>5343.04945755914</v>
      </c>
      <c r="T99" s="19" t="n">
        <f aca="false">S103</f>
        <v>14396.1646434876</v>
      </c>
      <c r="U99" s="19" t="n">
        <f aca="false">T103</f>
        <v>19861.0895345516</v>
      </c>
      <c r="V99" s="19" t="n">
        <f aca="false">U103</f>
        <v>25452.4026112927</v>
      </c>
      <c r="W99" s="19" t="n">
        <f aca="false">V103</f>
        <v>31113.607101493</v>
      </c>
      <c r="X99" s="19" t="n">
        <f aca="false">W103</f>
        <v>36729.4233987434</v>
      </c>
      <c r="Y99" s="19" t="n">
        <f aca="false">X103</f>
        <v>42473.5140242482</v>
      </c>
      <c r="Z99" s="19" t="n">
        <f aca="false">Y103</f>
        <v>49500</v>
      </c>
      <c r="AA99" s="19" t="n">
        <f aca="false">Z103</f>
        <v>48941.1484607253</v>
      </c>
      <c r="AB99" s="19" t="n">
        <f aca="false">AA103</f>
        <v>48375.3112772096</v>
      </c>
      <c r="AC99" s="19" t="n">
        <f aca="false">AB103</f>
        <v>47802.4011288999</v>
      </c>
      <c r="AD99" s="19" t="n">
        <f aca="false">AC103</f>
        <v>47222.3296037364</v>
      </c>
      <c r="AE99" s="19" t="n">
        <f aca="false">AD103</f>
        <v>46635.0071845084</v>
      </c>
      <c r="AF99" s="19" t="n">
        <f aca="false">AE103</f>
        <v>46040.34323504</v>
      </c>
      <c r="AG99" s="19" t="n">
        <f aca="false">AF103</f>
        <v>45438.2459862032</v>
      </c>
      <c r="AH99" s="19" t="n">
        <f aca="false">AG103</f>
        <v>44828.622521756</v>
      </c>
      <c r="AI99" s="19" t="n">
        <f aca="false">AH103</f>
        <v>44211.3787640032</v>
      </c>
      <c r="AJ99" s="19" t="n">
        <f aca="false">AI103</f>
        <v>43586.4194592785</v>
      </c>
      <c r="AK99" s="19" t="n">
        <f aca="false">AJ103</f>
        <v>42953.6481632447</v>
      </c>
      <c r="AL99" s="19" t="n">
        <f aca="false">AK103</f>
        <v>42312.9672260105</v>
      </c>
      <c r="AM99" s="19" t="n">
        <f aca="false">AL103</f>
        <v>41664.2777770609</v>
      </c>
      <c r="AN99" s="19" t="n">
        <f aca="false">AM103</f>
        <v>41007.4797099994</v>
      </c>
      <c r="AO99" s="19" t="n">
        <f aca="false">AN103</f>
        <v>40342.4716670996</v>
      </c>
      <c r="AP99" s="19" t="n">
        <f aca="false">AO103</f>
        <v>39669.1510236636</v>
      </c>
      <c r="AQ99" s="19" t="n">
        <f aca="false">AP103</f>
        <v>38987.4138721846</v>
      </c>
      <c r="AR99" s="19" t="n">
        <f aca="false">AQ103</f>
        <v>38297.1550063122</v>
      </c>
      <c r="AS99" s="19" t="n">
        <f aca="false">AR103</f>
        <v>37598.2679046163</v>
      </c>
      <c r="AT99" s="19" t="n">
        <f aca="false">AS103</f>
        <v>36890.6447141493</v>
      </c>
      <c r="AU99" s="19" t="n">
        <f aca="false">AT103</f>
        <v>36174.1762338014</v>
      </c>
      <c r="AV99" s="19" t="n">
        <f aca="false">AU103</f>
        <v>35448.7518974491</v>
      </c>
      <c r="AW99" s="19" t="n">
        <f aca="false">AV103</f>
        <v>34714.2597568925</v>
      </c>
      <c r="AX99" s="19" t="n">
        <f aca="false">AW103</f>
        <v>33970.5864645789</v>
      </c>
      <c r="AY99" s="19" t="n">
        <f aca="false">AX103</f>
        <v>33217.6172561114</v>
      </c>
      <c r="AZ99" s="19" t="n">
        <f aca="false">AY103</f>
        <v>32455.235932538</v>
      </c>
      <c r="BA99" s="19" t="n">
        <f aca="false">AZ103</f>
        <v>31683.32484242</v>
      </c>
      <c r="BB99" s="19" t="n">
        <f aca="false">BA103</f>
        <v>30901.7648636755</v>
      </c>
      <c r="BC99" s="19" t="n">
        <f aca="false">BB103</f>
        <v>30110.4353851966</v>
      </c>
      <c r="BD99" s="19" t="n">
        <f aca="false">BC103</f>
        <v>29309.2142882368</v>
      </c>
      <c r="BE99" s="19" t="n">
        <f aca="false">BD103</f>
        <v>28497.9779275651</v>
      </c>
      <c r="BF99" s="19" t="n">
        <f aca="false">BE103</f>
        <v>27676.6011123849</v>
      </c>
      <c r="BG99" s="19" t="n">
        <f aca="false">BF103</f>
        <v>26844.9570870149</v>
      </c>
      <c r="BH99" s="19" t="n">
        <f aca="false">BG103</f>
        <v>26002.9175113278</v>
      </c>
      <c r="BI99" s="19" t="n">
        <f aca="false">BH103</f>
        <v>25150.3524409447</v>
      </c>
      <c r="BJ99" s="19" t="n">
        <f aca="false">BI103</f>
        <v>24287.1303071817</v>
      </c>
      <c r="BK99" s="19" t="n">
        <f aca="false">BJ103</f>
        <v>23413.1178967467</v>
      </c>
      <c r="BL99" s="19" t="n">
        <f aca="false">BK103</f>
        <v>22528.1803311813</v>
      </c>
      <c r="BM99" s="19" t="n">
        <f aca="false">BL103</f>
        <v>21632.1810460463</v>
      </c>
      <c r="BN99" s="19" t="n">
        <f aca="false">BM103</f>
        <v>20724.9817698472</v>
      </c>
      <c r="BO99" s="19" t="n">
        <f aca="false">BN103</f>
        <v>19806.4425026955</v>
      </c>
      <c r="BP99" s="19" t="n">
        <f aca="false">BO103</f>
        <v>18876.4214947044</v>
      </c>
      <c r="BQ99" s="19" t="n">
        <f aca="false">BP103</f>
        <v>17934.7752241135</v>
      </c>
      <c r="BR99" s="19" t="n">
        <f aca="false">BQ103</f>
        <v>16981.3583751401</v>
      </c>
      <c r="BS99" s="19" t="n">
        <f aca="false">BR103</f>
        <v>16016.0238155546</v>
      </c>
      <c r="BT99" s="19" t="n">
        <f aca="false">BS103</f>
        <v>15038.6225739743</v>
      </c>
      <c r="BU99" s="19" t="n">
        <f aca="false">BT103</f>
        <v>14049.0038168742</v>
      </c>
      <c r="BV99" s="19" t="n">
        <f aca="false">BU103</f>
        <v>13047.0148253104</v>
      </c>
      <c r="BW99" s="19" t="n">
        <f aca="false">BV103</f>
        <v>12032.500971352</v>
      </c>
      <c r="BX99" s="19" t="n">
        <f aca="false">BW103</f>
        <v>11005.3056942192</v>
      </c>
      <c r="BY99" s="19" t="n">
        <f aca="false">BX103</f>
        <v>9965.27047612213</v>
      </c>
      <c r="BZ99" s="19" t="n">
        <f aca="false">BY103</f>
        <v>8912.2348177989</v>
      </c>
      <c r="CA99" s="19" t="n">
        <f aca="false">BZ103</f>
        <v>7846.03621374663</v>
      </c>
      <c r="CB99" s="19" t="n">
        <f aca="false">CA103</f>
        <v>6766.5101271437</v>
      </c>
      <c r="CC99" s="19" t="n">
        <f aca="false">CB103</f>
        <v>5673.48996445824</v>
      </c>
      <c r="CD99" s="19" t="n">
        <f aca="false">CC103</f>
        <v>4566.80704973921</v>
      </c>
      <c r="CE99" s="19" t="n">
        <f aca="false">CD103</f>
        <v>3446.2905985862</v>
      </c>
      <c r="CF99" s="19" t="n">
        <f aca="false">CE103</f>
        <v>2311.76769179377</v>
      </c>
      <c r="CG99" s="19" t="n">
        <f aca="false">CF103</f>
        <v>1163.06324866643</v>
      </c>
      <c r="CH99" s="19" t="n">
        <f aca="false">CG103</f>
        <v>0</v>
      </c>
      <c r="CI99" s="19" t="n">
        <f aca="false">CH103</f>
        <v>0</v>
      </c>
      <c r="CJ99" s="19" t="n">
        <f aca="false">CI103</f>
        <v>0</v>
      </c>
      <c r="CK99" s="19" t="n">
        <f aca="false">CJ103</f>
        <v>0</v>
      </c>
      <c r="CL99" s="19" t="n">
        <f aca="false">CK103</f>
        <v>0</v>
      </c>
      <c r="CM99" s="19" t="n">
        <f aca="false">CL103</f>
        <v>0</v>
      </c>
      <c r="CN99" s="19" t="n">
        <f aca="false">CM103</f>
        <v>0</v>
      </c>
      <c r="CO99" s="19" t="n">
        <f aca="false">CN103</f>
        <v>0</v>
      </c>
      <c r="CP99" s="19" t="n">
        <f aca="false">CO103</f>
        <v>0</v>
      </c>
      <c r="CQ99" s="19" t="n">
        <f aca="false">CP103</f>
        <v>0</v>
      </c>
      <c r="CR99" s="19" t="n">
        <f aca="false">CQ103</f>
        <v>0</v>
      </c>
      <c r="CS99" s="19" t="n">
        <f aca="false">CR103</f>
        <v>0</v>
      </c>
      <c r="CT99" s="19" t="n">
        <f aca="false">CS103</f>
        <v>0</v>
      </c>
      <c r="CU99" s="19" t="n">
        <f aca="false">CT103</f>
        <v>0</v>
      </c>
      <c r="CV99" s="19" t="n">
        <f aca="false">CU103</f>
        <v>0</v>
      </c>
      <c r="CW99" s="19" t="n">
        <f aca="false">CV103</f>
        <v>0</v>
      </c>
      <c r="CX99" s="19" t="n">
        <f aca="false">CW103</f>
        <v>0</v>
      </c>
      <c r="CY99" s="19" t="n">
        <f aca="false">CX103</f>
        <v>0</v>
      </c>
      <c r="CZ99" s="19" t="n">
        <f aca="false">CY103</f>
        <v>0</v>
      </c>
      <c r="DA99" s="19" t="n">
        <f aca="false">CZ103</f>
        <v>0</v>
      </c>
      <c r="DB99" s="19" t="n">
        <f aca="false">DA103</f>
        <v>0</v>
      </c>
      <c r="DC99" s="19" t="n">
        <f aca="false">DB103</f>
        <v>0</v>
      </c>
      <c r="DD99" s="19" t="n">
        <f aca="false">DC103</f>
        <v>0</v>
      </c>
      <c r="DE99" s="19" t="n">
        <f aca="false">DD103</f>
        <v>0</v>
      </c>
      <c r="DF99" s="19" t="n">
        <f aca="false">DE103</f>
        <v>0</v>
      </c>
      <c r="DG99" s="19" t="n">
        <f aca="false">DF103</f>
        <v>0</v>
      </c>
      <c r="DH99" s="19" t="n">
        <f aca="false">DG103</f>
        <v>0</v>
      </c>
      <c r="DI99" s="19" t="n">
        <f aca="false">DH103</f>
        <v>0</v>
      </c>
      <c r="DJ99" s="19" t="n">
        <f aca="false">DI103</f>
        <v>0</v>
      </c>
      <c r="DK99" s="19" t="n">
        <f aca="false">DJ103</f>
        <v>0</v>
      </c>
      <c r="DL99" s="19" t="n">
        <f aca="false">DK103</f>
        <v>0</v>
      </c>
      <c r="DM99" s="19" t="n">
        <f aca="false">DL103</f>
        <v>0</v>
      </c>
      <c r="DN99" s="19" t="n">
        <f aca="false">DM103</f>
        <v>0</v>
      </c>
      <c r="DO99" s="19" t="n">
        <f aca="false">DN103</f>
        <v>0</v>
      </c>
      <c r="DP99" s="19" t="n">
        <f aca="false">DO103</f>
        <v>0</v>
      </c>
      <c r="DQ99" s="19" t="n">
        <f aca="false">DP103</f>
        <v>0</v>
      </c>
      <c r="DR99" s="19" t="n">
        <f aca="false">DQ103</f>
        <v>0</v>
      </c>
      <c r="DS99" s="19" t="n">
        <f aca="false">DR103</f>
        <v>0</v>
      </c>
      <c r="DT99" s="19" t="n">
        <f aca="false">DS103</f>
        <v>0</v>
      </c>
      <c r="DU99" s="19" t="n">
        <f aca="false">DT103</f>
        <v>0</v>
      </c>
      <c r="DV99" s="19" t="n">
        <f aca="false">DU103</f>
        <v>0</v>
      </c>
      <c r="DW99" s="19" t="n">
        <f aca="false">DV103</f>
        <v>0</v>
      </c>
      <c r="DX99" s="19" t="n">
        <f aca="false">DW103</f>
        <v>0</v>
      </c>
      <c r="DY99" s="19" t="n">
        <f aca="false">DX103</f>
        <v>0</v>
      </c>
      <c r="DZ99" s="19" t="n">
        <f aca="false">DY103</f>
        <v>0</v>
      </c>
      <c r="EA99" s="19" t="n">
        <f aca="false">DZ103</f>
        <v>0</v>
      </c>
      <c r="EB99" s="19" t="n">
        <f aca="false">EA103</f>
        <v>0</v>
      </c>
      <c r="EC99" s="19" t="n">
        <f aca="false">EB103</f>
        <v>0</v>
      </c>
      <c r="ED99" s="19" t="n">
        <f aca="false">EC103</f>
        <v>0</v>
      </c>
      <c r="EE99" s="19" t="n">
        <f aca="false">ED103</f>
        <v>0</v>
      </c>
      <c r="EF99" s="19" t="n">
        <f aca="false">EE103</f>
        <v>0</v>
      </c>
      <c r="EG99" s="19" t="n">
        <f aca="false">EF103</f>
        <v>0</v>
      </c>
      <c r="EH99" s="19" t="n">
        <f aca="false">EG103</f>
        <v>0</v>
      </c>
      <c r="EI99" s="19" t="n">
        <f aca="false">EH103</f>
        <v>0</v>
      </c>
      <c r="EJ99" s="19" t="n">
        <f aca="false">EI103</f>
        <v>0</v>
      </c>
      <c r="EK99" s="19" t="n">
        <f aca="false">EJ103</f>
        <v>0</v>
      </c>
      <c r="EL99" s="19" t="n">
        <f aca="false">EK103</f>
        <v>0</v>
      </c>
      <c r="EM99" s="19" t="n">
        <f aca="false">EL103</f>
        <v>0</v>
      </c>
      <c r="EN99" s="19" t="n">
        <f aca="false">EM103</f>
        <v>0</v>
      </c>
      <c r="EO99" s="19" t="n">
        <f aca="false">EN103</f>
        <v>0</v>
      </c>
    </row>
    <row r="100" customFormat="false" ht="15" hidden="false" customHeight="false" outlineLevel="0" collapsed="false">
      <c r="C100" s="1" t="s">
        <v>488</v>
      </c>
      <c r="D100" s="12" t="s">
        <v>33</v>
      </c>
      <c r="I100" s="49" t="n">
        <f aca="false">SUM(J100:EO100)</f>
        <v>47307.8843653578</v>
      </c>
      <c r="J100" s="49" t="n">
        <f aca="false">-$E90*J70</f>
        <v>0</v>
      </c>
      <c r="K100" s="49" t="n">
        <f aca="false">-$E90*K70</f>
        <v>0</v>
      </c>
      <c r="L100" s="49" t="n">
        <f aca="false">-$E90*L70</f>
        <v>0</v>
      </c>
      <c r="M100" s="49" t="n">
        <f aca="false">-$E90*M70</f>
        <v>0</v>
      </c>
      <c r="N100" s="49" t="n">
        <f aca="false">-$E90*N70</f>
        <v>0</v>
      </c>
      <c r="O100" s="49" t="n">
        <f aca="false">-$E90*O70</f>
        <v>0</v>
      </c>
      <c r="P100" s="49" t="n">
        <f aca="false">-$E90*P70</f>
        <v>0</v>
      </c>
      <c r="Q100" s="49" t="n">
        <f aca="false">-$E90*Q70</f>
        <v>0</v>
      </c>
      <c r="R100" s="49" t="n">
        <f aca="false">-$E90*R70</f>
        <v>5343.04945755914</v>
      </c>
      <c r="S100" s="49" t="n">
        <f aca="false">-$E90*S70</f>
        <v>8986.32706770894</v>
      </c>
      <c r="T100" s="49" t="n">
        <f aca="false">-$E90*T70</f>
        <v>5284.97283302046</v>
      </c>
      <c r="U100" s="49" t="n">
        <f aca="false">-$E90*U70</f>
        <v>5343.04945755914</v>
      </c>
      <c r="V100" s="49" t="n">
        <f aca="false">-$E90*V70</f>
        <v>5343.04945755914</v>
      </c>
      <c r="W100" s="49" t="n">
        <f aca="false">-$E90*W70</f>
        <v>5226.89620848177</v>
      </c>
      <c r="X100" s="49" t="n">
        <f aca="false">-$E90*X70</f>
        <v>5284.97283302046</v>
      </c>
      <c r="Y100" s="49" t="n">
        <f aca="false">-$E90*Y70</f>
        <v>6495.56705044876</v>
      </c>
      <c r="Z100" s="49" t="n">
        <f aca="false">-$E90*Z70</f>
        <v>0</v>
      </c>
      <c r="AA100" s="49" t="n">
        <f aca="false">-$E90*AA70</f>
        <v>0</v>
      </c>
      <c r="AB100" s="49" t="n">
        <f aca="false">-$E90*AB70</f>
        <v>0</v>
      </c>
      <c r="AC100" s="49" t="n">
        <f aca="false">-$E90*AC70</f>
        <v>0</v>
      </c>
      <c r="AD100" s="49" t="n">
        <f aca="false">-$E90*AD70</f>
        <v>0</v>
      </c>
      <c r="AE100" s="49" t="n">
        <f aca="false">-$E90*AE70</f>
        <v>0</v>
      </c>
      <c r="AF100" s="49" t="n">
        <f aca="false">-$E90*AF70</f>
        <v>0</v>
      </c>
      <c r="AG100" s="49" t="n">
        <f aca="false">-$E90*AG70</f>
        <v>0</v>
      </c>
      <c r="AH100" s="49" t="n">
        <f aca="false">-$E90*AH70</f>
        <v>0</v>
      </c>
      <c r="AI100" s="49" t="n">
        <f aca="false">-$E90*AI70</f>
        <v>0</v>
      </c>
      <c r="AJ100" s="49" t="n">
        <f aca="false">-$E90*AJ70</f>
        <v>0</v>
      </c>
      <c r="AK100" s="49" t="n">
        <f aca="false">-$E90*AK70</f>
        <v>0</v>
      </c>
      <c r="AL100" s="49" t="n">
        <f aca="false">-$E90*AL70</f>
        <v>0</v>
      </c>
      <c r="AM100" s="49" t="n">
        <f aca="false">-$E90*AM70</f>
        <v>0</v>
      </c>
      <c r="AN100" s="49" t="n">
        <f aca="false">-$E90*AN70</f>
        <v>0</v>
      </c>
      <c r="AO100" s="49" t="n">
        <f aca="false">-$E90*AO70</f>
        <v>0</v>
      </c>
      <c r="AP100" s="49" t="n">
        <f aca="false">-$E90*AP70</f>
        <v>0</v>
      </c>
      <c r="AQ100" s="49" t="n">
        <f aca="false">-$E90*AQ70</f>
        <v>0</v>
      </c>
      <c r="AR100" s="49" t="n">
        <f aca="false">-$E90*AR70</f>
        <v>0</v>
      </c>
      <c r="AS100" s="49" t="n">
        <f aca="false">-$E90*AS70</f>
        <v>0</v>
      </c>
      <c r="AT100" s="49" t="n">
        <f aca="false">-$E90*AT70</f>
        <v>0</v>
      </c>
      <c r="AU100" s="49" t="n">
        <f aca="false">-$E90*AU70</f>
        <v>0</v>
      </c>
      <c r="AV100" s="49" t="n">
        <f aca="false">-$E90*AV70</f>
        <v>0</v>
      </c>
      <c r="AW100" s="49" t="n">
        <f aca="false">-$E90*AW70</f>
        <v>0</v>
      </c>
      <c r="AX100" s="49" t="n">
        <f aca="false">-$E90*AX70</f>
        <v>0</v>
      </c>
      <c r="AY100" s="49" t="n">
        <f aca="false">-$E90*AY70</f>
        <v>0</v>
      </c>
      <c r="AZ100" s="49" t="n">
        <f aca="false">-$E90*AZ70</f>
        <v>0</v>
      </c>
      <c r="BA100" s="49" t="n">
        <f aca="false">-$E90*BA70</f>
        <v>0</v>
      </c>
      <c r="BB100" s="49" t="n">
        <f aca="false">-$E90*BB70</f>
        <v>0</v>
      </c>
      <c r="BC100" s="49" t="n">
        <f aca="false">-$E90*BC70</f>
        <v>0</v>
      </c>
      <c r="BD100" s="49" t="n">
        <f aca="false">-$E90*BD70</f>
        <v>0</v>
      </c>
      <c r="BE100" s="49" t="n">
        <f aca="false">-$E90*BE70</f>
        <v>0</v>
      </c>
      <c r="BF100" s="49" t="n">
        <f aca="false">-$E90*BF70</f>
        <v>0</v>
      </c>
      <c r="BG100" s="49" t="n">
        <f aca="false">-$E90*BG70</f>
        <v>0</v>
      </c>
      <c r="BH100" s="49" t="n">
        <f aca="false">-$E90*BH70</f>
        <v>0</v>
      </c>
      <c r="BI100" s="49" t="n">
        <f aca="false">-$E90*BI70</f>
        <v>0</v>
      </c>
      <c r="BJ100" s="49" t="n">
        <f aca="false">-$E90*BJ70</f>
        <v>0</v>
      </c>
      <c r="BK100" s="49" t="n">
        <f aca="false">-$E90*BK70</f>
        <v>0</v>
      </c>
      <c r="BL100" s="49" t="n">
        <f aca="false">-$E90*BL70</f>
        <v>0</v>
      </c>
      <c r="BM100" s="49" t="n">
        <f aca="false">-$E90*BM70</f>
        <v>0</v>
      </c>
      <c r="BN100" s="49" t="n">
        <f aca="false">-$E90*BN70</f>
        <v>0</v>
      </c>
      <c r="BO100" s="49" t="n">
        <f aca="false">-$E90*BO70</f>
        <v>0</v>
      </c>
      <c r="BP100" s="49" t="n">
        <f aca="false">-$E90*BP70</f>
        <v>0</v>
      </c>
      <c r="BQ100" s="49" t="n">
        <f aca="false">-$E90*BQ70</f>
        <v>0</v>
      </c>
      <c r="BR100" s="49" t="n">
        <f aca="false">-$E90*BR70</f>
        <v>0</v>
      </c>
      <c r="BS100" s="49" t="n">
        <f aca="false">-$E90*BS70</f>
        <v>0</v>
      </c>
      <c r="BT100" s="49" t="n">
        <f aca="false">-$E90*BT70</f>
        <v>0</v>
      </c>
      <c r="BU100" s="49" t="n">
        <f aca="false">-$E90*BU70</f>
        <v>0</v>
      </c>
      <c r="BV100" s="49" t="n">
        <f aca="false">-$E90*BV70</f>
        <v>0</v>
      </c>
      <c r="BW100" s="49" t="n">
        <f aca="false">-$E90*BW70</f>
        <v>0</v>
      </c>
      <c r="BX100" s="49" t="n">
        <f aca="false">-$E90*BX70</f>
        <v>0</v>
      </c>
      <c r="BY100" s="49" t="n">
        <f aca="false">-$E90*BY70</f>
        <v>0</v>
      </c>
      <c r="BZ100" s="49" t="n">
        <f aca="false">-$E90*BZ70</f>
        <v>0</v>
      </c>
      <c r="CA100" s="49" t="n">
        <f aca="false">-$E90*CA70</f>
        <v>0</v>
      </c>
      <c r="CB100" s="49" t="n">
        <f aca="false">-$E90*CB70</f>
        <v>0</v>
      </c>
      <c r="CC100" s="49" t="n">
        <f aca="false">-$E90*CC70</f>
        <v>0</v>
      </c>
      <c r="CD100" s="49" t="n">
        <f aca="false">-$E90*CD70</f>
        <v>0</v>
      </c>
      <c r="CE100" s="49" t="n">
        <f aca="false">-$E90*CE70</f>
        <v>0</v>
      </c>
      <c r="CF100" s="49" t="n">
        <f aca="false">-$E90*CF70</f>
        <v>0</v>
      </c>
      <c r="CG100" s="49" t="n">
        <f aca="false">-$E90*CG70</f>
        <v>0</v>
      </c>
      <c r="CH100" s="49" t="n">
        <f aca="false">-$E90*CH70</f>
        <v>0</v>
      </c>
      <c r="CI100" s="49" t="n">
        <f aca="false">-$E90*CI70</f>
        <v>0</v>
      </c>
      <c r="CJ100" s="49" t="n">
        <f aca="false">-$E90*CJ70</f>
        <v>0</v>
      </c>
      <c r="CK100" s="49" t="n">
        <f aca="false">-$E90*CK70</f>
        <v>0</v>
      </c>
      <c r="CL100" s="49" t="n">
        <f aca="false">-$E90*CL70</f>
        <v>0</v>
      </c>
      <c r="CM100" s="49" t="n">
        <f aca="false">-$E90*CM70</f>
        <v>0</v>
      </c>
      <c r="CN100" s="49" t="n">
        <f aca="false">-$E90*CN70</f>
        <v>0</v>
      </c>
      <c r="CO100" s="49" t="n">
        <f aca="false">-$E90*CO70</f>
        <v>0</v>
      </c>
      <c r="CP100" s="49" t="n">
        <f aca="false">-$E90*CP70</f>
        <v>0</v>
      </c>
      <c r="CQ100" s="49" t="n">
        <f aca="false">-$E90*CQ70</f>
        <v>0</v>
      </c>
      <c r="CR100" s="49" t="n">
        <f aca="false">-$E90*CR70</f>
        <v>0</v>
      </c>
      <c r="CS100" s="49" t="n">
        <f aca="false">-$E90*CS70</f>
        <v>0</v>
      </c>
      <c r="CT100" s="49" t="n">
        <f aca="false">-$E90*CT70</f>
        <v>0</v>
      </c>
      <c r="CU100" s="49" t="n">
        <f aca="false">-$E90*CU70</f>
        <v>0</v>
      </c>
      <c r="CV100" s="49" t="n">
        <f aca="false">-$E90*CV70</f>
        <v>0</v>
      </c>
      <c r="CW100" s="49" t="n">
        <f aca="false">-$E90*CW70</f>
        <v>0</v>
      </c>
      <c r="CX100" s="49" t="n">
        <f aca="false">-$E90*CX70</f>
        <v>0</v>
      </c>
      <c r="CY100" s="49" t="n">
        <f aca="false">-$E90*CY70</f>
        <v>0</v>
      </c>
      <c r="CZ100" s="49" t="n">
        <f aca="false">-$E90*CZ70</f>
        <v>0</v>
      </c>
      <c r="DA100" s="49" t="n">
        <f aca="false">-$E90*DA70</f>
        <v>0</v>
      </c>
      <c r="DB100" s="49" t="n">
        <f aca="false">-$E90*DB70</f>
        <v>0</v>
      </c>
      <c r="DC100" s="49" t="n">
        <f aca="false">-$E90*DC70</f>
        <v>0</v>
      </c>
      <c r="DD100" s="49" t="n">
        <f aca="false">-$E90*DD70</f>
        <v>0</v>
      </c>
      <c r="DE100" s="49" t="n">
        <f aca="false">-$E90*DE70</f>
        <v>0</v>
      </c>
      <c r="DF100" s="49" t="n">
        <f aca="false">-$E90*DF70</f>
        <v>0</v>
      </c>
      <c r="DG100" s="49" t="n">
        <f aca="false">-$E90*DG70</f>
        <v>0</v>
      </c>
      <c r="DH100" s="49" t="n">
        <f aca="false">-$E90*DH70</f>
        <v>0</v>
      </c>
      <c r="DI100" s="49" t="n">
        <f aca="false">-$E90*DI70</f>
        <v>0</v>
      </c>
      <c r="DJ100" s="49" t="n">
        <f aca="false">-$E90*DJ70</f>
        <v>0</v>
      </c>
      <c r="DK100" s="49" t="n">
        <f aca="false">-$E90*DK70</f>
        <v>0</v>
      </c>
      <c r="DL100" s="49" t="n">
        <f aca="false">-$E90*DL70</f>
        <v>0</v>
      </c>
      <c r="DM100" s="49" t="n">
        <f aca="false">-$E90*DM70</f>
        <v>0</v>
      </c>
      <c r="DN100" s="49" t="n">
        <f aca="false">-$E90*DN70</f>
        <v>0</v>
      </c>
      <c r="DO100" s="49" t="n">
        <f aca="false">-$E90*DO70</f>
        <v>0</v>
      </c>
      <c r="DP100" s="49" t="n">
        <f aca="false">-$E90*DP70</f>
        <v>0</v>
      </c>
      <c r="DQ100" s="49" t="n">
        <f aca="false">-$E90*DQ70</f>
        <v>0</v>
      </c>
      <c r="DR100" s="49" t="n">
        <f aca="false">-$E90*DR70</f>
        <v>0</v>
      </c>
      <c r="DS100" s="49" t="n">
        <f aca="false">-$E90*DS70</f>
        <v>0</v>
      </c>
      <c r="DT100" s="49" t="n">
        <f aca="false">-$E90*DT70</f>
        <v>0</v>
      </c>
      <c r="DU100" s="49" t="n">
        <f aca="false">-$E90*DU70</f>
        <v>0</v>
      </c>
      <c r="DV100" s="49" t="n">
        <f aca="false">-$E90*DV70</f>
        <v>0</v>
      </c>
      <c r="DW100" s="49" t="n">
        <f aca="false">-$E90*DW70</f>
        <v>0</v>
      </c>
      <c r="DX100" s="49" t="n">
        <f aca="false">-$E90*DX70</f>
        <v>0</v>
      </c>
      <c r="DY100" s="49" t="n">
        <f aca="false">-$E90*DY70</f>
        <v>0</v>
      </c>
      <c r="DZ100" s="49" t="n">
        <f aca="false">-$E90*DZ70</f>
        <v>0</v>
      </c>
      <c r="EA100" s="49" t="n">
        <f aca="false">-$E90*EA70</f>
        <v>0</v>
      </c>
      <c r="EB100" s="49" t="n">
        <f aca="false">-$E90*EB70</f>
        <v>0</v>
      </c>
      <c r="EC100" s="49" t="n">
        <f aca="false">-$E90*EC70</f>
        <v>0</v>
      </c>
      <c r="ED100" s="49" t="n">
        <f aca="false">-$E90*ED70</f>
        <v>0</v>
      </c>
      <c r="EE100" s="49" t="n">
        <f aca="false">-$E90*EE70</f>
        <v>0</v>
      </c>
      <c r="EF100" s="49" t="n">
        <f aca="false">-$E90*EF70</f>
        <v>0</v>
      </c>
      <c r="EG100" s="49" t="n">
        <f aca="false">-$E90*EG70</f>
        <v>0</v>
      </c>
      <c r="EH100" s="49" t="n">
        <f aca="false">-$E90*EH70</f>
        <v>0</v>
      </c>
      <c r="EI100" s="49" t="n">
        <f aca="false">-$E90*EI70</f>
        <v>0</v>
      </c>
      <c r="EJ100" s="49" t="n">
        <f aca="false">-$E90*EJ70</f>
        <v>0</v>
      </c>
      <c r="EK100" s="49" t="n">
        <f aca="false">-$E90*EK70</f>
        <v>0</v>
      </c>
      <c r="EL100" s="49" t="n">
        <f aca="false">-$E90*EL70</f>
        <v>0</v>
      </c>
      <c r="EM100" s="49" t="n">
        <f aca="false">-$E90*EM70</f>
        <v>0</v>
      </c>
      <c r="EN100" s="49" t="n">
        <f aca="false">-$E90*EN70</f>
        <v>0</v>
      </c>
      <c r="EO100" s="49" t="n">
        <f aca="false">-$E90*EO70</f>
        <v>0</v>
      </c>
    </row>
    <row r="101" customFormat="false" ht="15" hidden="false" customHeight="false" outlineLevel="0" collapsed="false">
      <c r="C101" s="1" t="s">
        <v>489</v>
      </c>
      <c r="D101" s="12" t="s">
        <v>33</v>
      </c>
      <c r="I101" s="49" t="n">
        <f aca="false">SUM(J101:EO101)</f>
        <v>2192.1156346422</v>
      </c>
      <c r="J101" s="49" t="n">
        <f aca="false">J99*$F22*(J$4&lt;=In_COD)</f>
        <v>0</v>
      </c>
      <c r="K101" s="49" t="n">
        <f aca="false">K99*$F22*(K$4&lt;=In_COD)</f>
        <v>0</v>
      </c>
      <c r="L101" s="49" t="n">
        <f aca="false">L99*$F22*(L$4&lt;=In_COD)</f>
        <v>0</v>
      </c>
      <c r="M101" s="49" t="n">
        <f aca="false">M99*$F22*(M$4&lt;=In_COD)</f>
        <v>0</v>
      </c>
      <c r="N101" s="49" t="n">
        <f aca="false">N99*$F22*(N$4&lt;=In_COD)</f>
        <v>0</v>
      </c>
      <c r="O101" s="49" t="n">
        <f aca="false">O99*$F22*(O$4&lt;=In_COD)</f>
        <v>0</v>
      </c>
      <c r="P101" s="49" t="n">
        <f aca="false">P99*$F22*(P$4&lt;=In_COD)</f>
        <v>0</v>
      </c>
      <c r="Q101" s="49" t="n">
        <f aca="false">Q99*$F22*(Q$4&lt;=In_COD)</f>
        <v>0</v>
      </c>
      <c r="R101" s="49" t="n">
        <f aca="false">R99*$F22*(R$4&lt;=In_COD)</f>
        <v>0</v>
      </c>
      <c r="S101" s="49" t="n">
        <f aca="false">S99*$F22*(S$4&lt;=In_COD)</f>
        <v>66.7881182194893</v>
      </c>
      <c r="T101" s="49" t="n">
        <f aca="false">T99*$F22*(T$4&lt;=In_COD)</f>
        <v>179.952058043595</v>
      </c>
      <c r="U101" s="49" t="n">
        <f aca="false">U99*$F22*(U$4&lt;=In_COD)</f>
        <v>248.263619181895</v>
      </c>
      <c r="V101" s="49" t="n">
        <f aca="false">V99*$F22*(V$4&lt;=In_COD)</f>
        <v>318.155032641158</v>
      </c>
      <c r="W101" s="49" t="n">
        <f aca="false">W99*$F22*(W$4&lt;=In_COD)</f>
        <v>388.920088768662</v>
      </c>
      <c r="X101" s="49" t="n">
        <f aca="false">X99*$F22*(X$4&lt;=In_COD)</f>
        <v>459.117792484293</v>
      </c>
      <c r="Y101" s="49" t="n">
        <f aca="false">Y99*$F22*(Y$4&lt;=In_COD)</f>
        <v>530.918925303102</v>
      </c>
      <c r="Z101" s="49" t="n">
        <f aca="false">Z99*$F22*(Z$4&lt;=In_COD)</f>
        <v>0</v>
      </c>
      <c r="AA101" s="49" t="n">
        <f aca="false">AA99*$F22*(AA$4&lt;=In_COD)</f>
        <v>0</v>
      </c>
      <c r="AB101" s="49" t="n">
        <f aca="false">AB99*$F22*(AB$4&lt;=In_COD)</f>
        <v>0</v>
      </c>
      <c r="AC101" s="49" t="n">
        <f aca="false">AC99*$F22*(AC$4&lt;=In_COD)</f>
        <v>0</v>
      </c>
      <c r="AD101" s="49" t="n">
        <f aca="false">AD99*$F22*(AD$4&lt;=In_COD)</f>
        <v>0</v>
      </c>
      <c r="AE101" s="49" t="n">
        <f aca="false">AE99*$F22*(AE$4&lt;=In_COD)</f>
        <v>0</v>
      </c>
      <c r="AF101" s="49" t="n">
        <f aca="false">AF99*$F22*(AF$4&lt;=In_COD)</f>
        <v>0</v>
      </c>
      <c r="AG101" s="49" t="n">
        <f aca="false">AG99*$F22*(AG$4&lt;=In_COD)</f>
        <v>0</v>
      </c>
      <c r="AH101" s="49" t="n">
        <f aca="false">AH99*$F22*(AH$4&lt;=In_COD)</f>
        <v>0</v>
      </c>
      <c r="AI101" s="49" t="n">
        <f aca="false">AI99*$F22*(AI$4&lt;=In_COD)</f>
        <v>0</v>
      </c>
      <c r="AJ101" s="49" t="n">
        <f aca="false">AJ99*$F22*(AJ$4&lt;=In_COD)</f>
        <v>0</v>
      </c>
      <c r="AK101" s="49" t="n">
        <f aca="false">AK99*$F22*(AK$4&lt;=In_COD)</f>
        <v>0</v>
      </c>
      <c r="AL101" s="49" t="n">
        <f aca="false">AL99*$F22*(AL$4&lt;=In_COD)</f>
        <v>0</v>
      </c>
      <c r="AM101" s="49" t="n">
        <f aca="false">AM99*$F22*(AM$4&lt;=In_COD)</f>
        <v>0</v>
      </c>
      <c r="AN101" s="49" t="n">
        <f aca="false">AN99*$F22*(AN$4&lt;=In_COD)</f>
        <v>0</v>
      </c>
      <c r="AO101" s="49" t="n">
        <f aca="false">AO99*$F22*(AO$4&lt;=In_COD)</f>
        <v>0</v>
      </c>
      <c r="AP101" s="49" t="n">
        <f aca="false">AP99*$F22*(AP$4&lt;=In_COD)</f>
        <v>0</v>
      </c>
      <c r="AQ101" s="49" t="n">
        <f aca="false">AQ99*$F22*(AQ$4&lt;=In_COD)</f>
        <v>0</v>
      </c>
      <c r="AR101" s="49" t="n">
        <f aca="false">AR99*$F22*(AR$4&lt;=In_COD)</f>
        <v>0</v>
      </c>
      <c r="AS101" s="49" t="n">
        <f aca="false">AS99*$F22*(AS$4&lt;=In_COD)</f>
        <v>0</v>
      </c>
      <c r="AT101" s="49" t="n">
        <f aca="false">AT99*$F22*(AT$4&lt;=In_COD)</f>
        <v>0</v>
      </c>
      <c r="AU101" s="49" t="n">
        <f aca="false">AU99*$F22*(AU$4&lt;=In_COD)</f>
        <v>0</v>
      </c>
      <c r="AV101" s="49" t="n">
        <f aca="false">AV99*$F22*(AV$4&lt;=In_COD)</f>
        <v>0</v>
      </c>
      <c r="AW101" s="49" t="n">
        <f aca="false">AW99*$F22*(AW$4&lt;=In_COD)</f>
        <v>0</v>
      </c>
      <c r="AX101" s="49" t="n">
        <f aca="false">AX99*$F22*(AX$4&lt;=In_COD)</f>
        <v>0</v>
      </c>
      <c r="AY101" s="49" t="n">
        <f aca="false">AY99*$F22*(AY$4&lt;=In_COD)</f>
        <v>0</v>
      </c>
      <c r="AZ101" s="49" t="n">
        <f aca="false">AZ99*$F22*(AZ$4&lt;=In_COD)</f>
        <v>0</v>
      </c>
      <c r="BA101" s="49" t="n">
        <f aca="false">BA99*$F22*(BA$4&lt;=In_COD)</f>
        <v>0</v>
      </c>
      <c r="BB101" s="49" t="n">
        <f aca="false">BB99*$F22*(BB$4&lt;=In_COD)</f>
        <v>0</v>
      </c>
      <c r="BC101" s="49" t="n">
        <f aca="false">BC99*$F22*(BC$4&lt;=In_COD)</f>
        <v>0</v>
      </c>
      <c r="BD101" s="49" t="n">
        <f aca="false">BD99*$F22*(BD$4&lt;=In_COD)</f>
        <v>0</v>
      </c>
      <c r="BE101" s="49" t="n">
        <f aca="false">BE99*$F22*(BE$4&lt;=In_COD)</f>
        <v>0</v>
      </c>
      <c r="BF101" s="49" t="n">
        <f aca="false">BF99*$F22*(BF$4&lt;=In_COD)</f>
        <v>0</v>
      </c>
      <c r="BG101" s="49" t="n">
        <f aca="false">BG99*$F22*(BG$4&lt;=In_COD)</f>
        <v>0</v>
      </c>
      <c r="BH101" s="49" t="n">
        <f aca="false">BH99*$F22*(BH$4&lt;=In_COD)</f>
        <v>0</v>
      </c>
      <c r="BI101" s="49" t="n">
        <f aca="false">BI99*$F22*(BI$4&lt;=In_COD)</f>
        <v>0</v>
      </c>
      <c r="BJ101" s="49" t="n">
        <f aca="false">BJ99*$F22*(BJ$4&lt;=In_COD)</f>
        <v>0</v>
      </c>
      <c r="BK101" s="49" t="n">
        <f aca="false">BK99*$F22*(BK$4&lt;=In_COD)</f>
        <v>0</v>
      </c>
      <c r="BL101" s="49" t="n">
        <f aca="false">BL99*$F22*(BL$4&lt;=In_COD)</f>
        <v>0</v>
      </c>
      <c r="BM101" s="49" t="n">
        <f aca="false">BM99*$F22*(BM$4&lt;=In_COD)</f>
        <v>0</v>
      </c>
      <c r="BN101" s="49" t="n">
        <f aca="false">BN99*$F22*(BN$4&lt;=In_COD)</f>
        <v>0</v>
      </c>
      <c r="BO101" s="49" t="n">
        <f aca="false">BO99*$F22*(BO$4&lt;=In_COD)</f>
        <v>0</v>
      </c>
      <c r="BP101" s="49" t="n">
        <f aca="false">BP99*$F22*(BP$4&lt;=In_COD)</f>
        <v>0</v>
      </c>
      <c r="BQ101" s="49" t="n">
        <f aca="false">BQ99*$F22*(BQ$4&lt;=In_COD)</f>
        <v>0</v>
      </c>
      <c r="BR101" s="49" t="n">
        <f aca="false">BR99*$F22*(BR$4&lt;=In_COD)</f>
        <v>0</v>
      </c>
      <c r="BS101" s="49" t="n">
        <f aca="false">BS99*$F22*(BS$4&lt;=In_COD)</f>
        <v>0</v>
      </c>
      <c r="BT101" s="49" t="n">
        <f aca="false">BT99*$F22*(BT$4&lt;=In_COD)</f>
        <v>0</v>
      </c>
      <c r="BU101" s="49" t="n">
        <f aca="false">BU99*$F22*(BU$4&lt;=In_COD)</f>
        <v>0</v>
      </c>
      <c r="BV101" s="49" t="n">
        <f aca="false">BV99*$F22*(BV$4&lt;=In_COD)</f>
        <v>0</v>
      </c>
      <c r="BW101" s="49" t="n">
        <f aca="false">BW99*$F22*(BW$4&lt;=In_COD)</f>
        <v>0</v>
      </c>
      <c r="BX101" s="49" t="n">
        <f aca="false">BX99*$F22*(BX$4&lt;=In_COD)</f>
        <v>0</v>
      </c>
      <c r="BY101" s="49" t="n">
        <f aca="false">BY99*$F22*(BY$4&lt;=In_COD)</f>
        <v>0</v>
      </c>
      <c r="BZ101" s="49" t="n">
        <f aca="false">BZ99*$F22*(BZ$4&lt;=In_COD)</f>
        <v>0</v>
      </c>
      <c r="CA101" s="49" t="n">
        <f aca="false">CA99*$F22*(CA$4&lt;=In_COD)</f>
        <v>0</v>
      </c>
      <c r="CB101" s="49" t="n">
        <f aca="false">CB99*$F22*(CB$4&lt;=In_COD)</f>
        <v>0</v>
      </c>
      <c r="CC101" s="49" t="n">
        <f aca="false">CC99*$F22*(CC$4&lt;=In_COD)</f>
        <v>0</v>
      </c>
      <c r="CD101" s="49" t="n">
        <f aca="false">CD99*$F22*(CD$4&lt;=In_COD)</f>
        <v>0</v>
      </c>
      <c r="CE101" s="49" t="n">
        <f aca="false">CE99*$F22*(CE$4&lt;=In_COD)</f>
        <v>0</v>
      </c>
      <c r="CF101" s="49" t="n">
        <f aca="false">CF99*$F22*(CF$4&lt;=In_COD)</f>
        <v>0</v>
      </c>
      <c r="CG101" s="49" t="n">
        <f aca="false">CG99*$F22*(CG$4&lt;=In_COD)</f>
        <v>0</v>
      </c>
      <c r="CH101" s="49" t="n">
        <f aca="false">CH99*$F22*(CH$4&lt;=In_COD)</f>
        <v>0</v>
      </c>
      <c r="CI101" s="49" t="n">
        <f aca="false">CI99*$F22*(CI$4&lt;=In_COD)</f>
        <v>0</v>
      </c>
      <c r="CJ101" s="49" t="n">
        <f aca="false">CJ99*$F22*(CJ$4&lt;=In_COD)</f>
        <v>0</v>
      </c>
      <c r="CK101" s="49" t="n">
        <f aca="false">CK99*$F22*(CK$4&lt;=In_COD)</f>
        <v>0</v>
      </c>
      <c r="CL101" s="49" t="n">
        <f aca="false">CL99*$F22*(CL$4&lt;=In_COD)</f>
        <v>0</v>
      </c>
      <c r="CM101" s="49" t="n">
        <f aca="false">CM99*$F22*(CM$4&lt;=In_COD)</f>
        <v>0</v>
      </c>
      <c r="CN101" s="49" t="n">
        <f aca="false">CN99*$F22*(CN$4&lt;=In_COD)</f>
        <v>0</v>
      </c>
      <c r="CO101" s="49" t="n">
        <f aca="false">CO99*$F22*(CO$4&lt;=In_COD)</f>
        <v>0</v>
      </c>
      <c r="CP101" s="49" t="n">
        <f aca="false">CP99*$F22*(CP$4&lt;=In_COD)</f>
        <v>0</v>
      </c>
      <c r="CQ101" s="49" t="n">
        <f aca="false">CQ99*$F22*(CQ$4&lt;=In_COD)</f>
        <v>0</v>
      </c>
      <c r="CR101" s="49" t="n">
        <f aca="false">CR99*$F22*(CR$4&lt;=In_COD)</f>
        <v>0</v>
      </c>
      <c r="CS101" s="49" t="n">
        <f aca="false">CS99*$F22*(CS$4&lt;=In_COD)</f>
        <v>0</v>
      </c>
      <c r="CT101" s="49" t="n">
        <f aca="false">CT99*$F22*(CT$4&lt;=In_COD)</f>
        <v>0</v>
      </c>
      <c r="CU101" s="49" t="n">
        <f aca="false">CU99*$F22*(CU$4&lt;=In_COD)</f>
        <v>0</v>
      </c>
      <c r="CV101" s="49" t="n">
        <f aca="false">CV99*$F22*(CV$4&lt;=In_COD)</f>
        <v>0</v>
      </c>
      <c r="CW101" s="49" t="n">
        <f aca="false">CW99*$F22*(CW$4&lt;=In_COD)</f>
        <v>0</v>
      </c>
      <c r="CX101" s="49" t="n">
        <f aca="false">CX99*$F22*(CX$4&lt;=In_COD)</f>
        <v>0</v>
      </c>
      <c r="CY101" s="49" t="n">
        <f aca="false">CY99*$F22*(CY$4&lt;=In_COD)</f>
        <v>0</v>
      </c>
      <c r="CZ101" s="49" t="n">
        <f aca="false">CZ99*$F22*(CZ$4&lt;=In_COD)</f>
        <v>0</v>
      </c>
      <c r="DA101" s="49" t="n">
        <f aca="false">DA99*$F22*(DA$4&lt;=In_COD)</f>
        <v>0</v>
      </c>
      <c r="DB101" s="49" t="n">
        <f aca="false">DB99*$F22*(DB$4&lt;=In_COD)</f>
        <v>0</v>
      </c>
      <c r="DC101" s="49" t="n">
        <f aca="false">DC99*$F22*(DC$4&lt;=In_COD)</f>
        <v>0</v>
      </c>
      <c r="DD101" s="49" t="n">
        <f aca="false">DD99*$F22*(DD$4&lt;=In_COD)</f>
        <v>0</v>
      </c>
      <c r="DE101" s="49" t="n">
        <f aca="false">DE99*$F22*(DE$4&lt;=In_COD)</f>
        <v>0</v>
      </c>
      <c r="DF101" s="49" t="n">
        <f aca="false">DF99*$F22*(DF$4&lt;=In_COD)</f>
        <v>0</v>
      </c>
      <c r="DG101" s="49" t="n">
        <f aca="false">DG99*$F22*(DG$4&lt;=In_COD)</f>
        <v>0</v>
      </c>
      <c r="DH101" s="49" t="n">
        <f aca="false">DH99*$F22*(DH$4&lt;=In_COD)</f>
        <v>0</v>
      </c>
      <c r="DI101" s="49" t="n">
        <f aca="false">DI99*$F22*(DI$4&lt;=In_COD)</f>
        <v>0</v>
      </c>
      <c r="DJ101" s="49" t="n">
        <f aca="false">DJ99*$F22*(DJ$4&lt;=In_COD)</f>
        <v>0</v>
      </c>
      <c r="DK101" s="49" t="n">
        <f aca="false">DK99*$F22*(DK$4&lt;=In_COD)</f>
        <v>0</v>
      </c>
      <c r="DL101" s="49" t="n">
        <f aca="false">DL99*$F22*(DL$4&lt;=In_COD)</f>
        <v>0</v>
      </c>
      <c r="DM101" s="49" t="n">
        <f aca="false">DM99*$F22*(DM$4&lt;=In_COD)</f>
        <v>0</v>
      </c>
      <c r="DN101" s="49" t="n">
        <f aca="false">DN99*$F22*(DN$4&lt;=In_COD)</f>
        <v>0</v>
      </c>
      <c r="DO101" s="49" t="n">
        <f aca="false">DO99*$F22*(DO$4&lt;=In_COD)</f>
        <v>0</v>
      </c>
      <c r="DP101" s="49" t="n">
        <f aca="false">DP99*$F22*(DP$4&lt;=In_COD)</f>
        <v>0</v>
      </c>
      <c r="DQ101" s="49" t="n">
        <f aca="false">DQ99*$F22*(DQ$4&lt;=In_COD)</f>
        <v>0</v>
      </c>
      <c r="DR101" s="49" t="n">
        <f aca="false">DR99*$F22*(DR$4&lt;=In_COD)</f>
        <v>0</v>
      </c>
      <c r="DS101" s="49" t="n">
        <f aca="false">DS99*$F22*(DS$4&lt;=In_COD)</f>
        <v>0</v>
      </c>
      <c r="DT101" s="49" t="n">
        <f aca="false">DT99*$F22*(DT$4&lt;=In_COD)</f>
        <v>0</v>
      </c>
      <c r="DU101" s="49" t="n">
        <f aca="false">DU99*$F22*(DU$4&lt;=In_COD)</f>
        <v>0</v>
      </c>
      <c r="DV101" s="49" t="n">
        <f aca="false">DV99*$F22*(DV$4&lt;=In_COD)</f>
        <v>0</v>
      </c>
      <c r="DW101" s="49" t="n">
        <f aca="false">DW99*$F22*(DW$4&lt;=In_COD)</f>
        <v>0</v>
      </c>
      <c r="DX101" s="49" t="n">
        <f aca="false">DX99*$F22*(DX$4&lt;=In_COD)</f>
        <v>0</v>
      </c>
      <c r="DY101" s="49" t="n">
        <f aca="false">DY99*$F22*(DY$4&lt;=In_COD)</f>
        <v>0</v>
      </c>
      <c r="DZ101" s="49" t="n">
        <f aca="false">DZ99*$F22*(DZ$4&lt;=In_COD)</f>
        <v>0</v>
      </c>
      <c r="EA101" s="49" t="n">
        <f aca="false">EA99*$F22*(EA$4&lt;=In_COD)</f>
        <v>0</v>
      </c>
      <c r="EB101" s="49" t="n">
        <f aca="false">EB99*$F22*(EB$4&lt;=In_COD)</f>
        <v>0</v>
      </c>
      <c r="EC101" s="49" t="n">
        <f aca="false">EC99*$F22*(EC$4&lt;=In_COD)</f>
        <v>0</v>
      </c>
      <c r="ED101" s="49" t="n">
        <f aca="false">ED99*$F22*(ED$4&lt;=In_COD)</f>
        <v>0</v>
      </c>
      <c r="EE101" s="49" t="n">
        <f aca="false">EE99*$F22*(EE$4&lt;=In_COD)</f>
        <v>0</v>
      </c>
      <c r="EF101" s="49" t="n">
        <f aca="false">EF99*$F22*(EF$4&lt;=In_COD)</f>
        <v>0</v>
      </c>
      <c r="EG101" s="49" t="n">
        <f aca="false">EG99*$F22*(EG$4&lt;=In_COD)</f>
        <v>0</v>
      </c>
      <c r="EH101" s="49" t="n">
        <f aca="false">EH99*$F22*(EH$4&lt;=In_COD)</f>
        <v>0</v>
      </c>
      <c r="EI101" s="49" t="n">
        <f aca="false">EI99*$F22*(EI$4&lt;=In_COD)</f>
        <v>0</v>
      </c>
      <c r="EJ101" s="49" t="n">
        <f aca="false">EJ99*$F22*(EJ$4&lt;=In_COD)</f>
        <v>0</v>
      </c>
      <c r="EK101" s="49" t="n">
        <f aca="false">EK99*$F22*(EK$4&lt;=In_COD)</f>
        <v>0</v>
      </c>
      <c r="EL101" s="49" t="n">
        <f aca="false">EL99*$F22*(EL$4&lt;=In_COD)</f>
        <v>0</v>
      </c>
      <c r="EM101" s="49" t="n">
        <f aca="false">EM99*$F22*(EM$4&lt;=In_COD)</f>
        <v>0</v>
      </c>
      <c r="EN101" s="49" t="n">
        <f aca="false">EN99*$F22*(EN$4&lt;=In_COD)</f>
        <v>0</v>
      </c>
      <c r="EO101" s="49" t="n">
        <f aca="false">EO99*$F22*(EO$4&lt;=In_COD)</f>
        <v>0</v>
      </c>
    </row>
    <row r="102" customFormat="false" ht="15" hidden="false" customHeight="false" outlineLevel="0" collapsed="false">
      <c r="C102" s="1" t="s">
        <v>490</v>
      </c>
      <c r="D102" s="12" t="s">
        <v>33</v>
      </c>
      <c r="I102" s="49" t="n">
        <f aca="false">SUM(J102:EO102)</f>
        <v>-49500</v>
      </c>
      <c r="J102" s="49" t="n">
        <f aca="false">J95+J97</f>
        <v>0</v>
      </c>
      <c r="K102" s="49" t="n">
        <f aca="false">K95+K97</f>
        <v>0</v>
      </c>
      <c r="L102" s="49" t="n">
        <f aca="false">L95+L97</f>
        <v>0</v>
      </c>
      <c r="M102" s="49" t="n">
        <f aca="false">M95+M97</f>
        <v>0</v>
      </c>
      <c r="N102" s="49" t="n">
        <f aca="false">N95+N97</f>
        <v>0</v>
      </c>
      <c r="O102" s="49" t="n">
        <f aca="false">O95+O97</f>
        <v>0</v>
      </c>
      <c r="P102" s="49" t="n">
        <f aca="false">P95+P97</f>
        <v>0</v>
      </c>
      <c r="Q102" s="49" t="n">
        <f aca="false">Q95+Q97</f>
        <v>0</v>
      </c>
      <c r="R102" s="49" t="n">
        <f aca="false">R95+R97</f>
        <v>0</v>
      </c>
      <c r="S102" s="49" t="n">
        <f aca="false">S95+S97</f>
        <v>0</v>
      </c>
      <c r="T102" s="49" t="n">
        <f aca="false">T95+T97</f>
        <v>0</v>
      </c>
      <c r="U102" s="49" t="n">
        <f aca="false">U95+U97</f>
        <v>0</v>
      </c>
      <c r="V102" s="49" t="n">
        <f aca="false">V95+V97</f>
        <v>0</v>
      </c>
      <c r="W102" s="49" t="n">
        <f aca="false">W95+W97</f>
        <v>0</v>
      </c>
      <c r="X102" s="49" t="n">
        <f aca="false">X95+X97</f>
        <v>0</v>
      </c>
      <c r="Y102" s="49" t="n">
        <f aca="false">Y95+Y97</f>
        <v>0</v>
      </c>
      <c r="Z102" s="49" t="n">
        <f aca="false">Z95+Z97</f>
        <v>-558.851539274757</v>
      </c>
      <c r="AA102" s="49" t="n">
        <f aca="false">AA95+AA97</f>
        <v>-565.837183515692</v>
      </c>
      <c r="AB102" s="49" t="n">
        <f aca="false">AB95+AB97</f>
        <v>-572.910148309638</v>
      </c>
      <c r="AC102" s="49" t="n">
        <f aca="false">AC95+AC97</f>
        <v>-580.071525163509</v>
      </c>
      <c r="AD102" s="49" t="n">
        <f aca="false">AD95+AD97</f>
        <v>-587.322419228052</v>
      </c>
      <c r="AE102" s="49" t="n">
        <f aca="false">AE95+AE97</f>
        <v>-594.663949468403</v>
      </c>
      <c r="AF102" s="49" t="n">
        <f aca="false">AF95+AF97</f>
        <v>-602.097248836758</v>
      </c>
      <c r="AG102" s="49" t="n">
        <f aca="false">AG95+AG97</f>
        <v>-609.623464447218</v>
      </c>
      <c r="AH102" s="49" t="n">
        <f aca="false">AH95+AH97</f>
        <v>-617.243757752808</v>
      </c>
      <c r="AI102" s="49" t="n">
        <f aca="false">AI95+AI97</f>
        <v>-624.959304724718</v>
      </c>
      <c r="AJ102" s="49" t="n">
        <f aca="false">AJ95+AJ97</f>
        <v>-632.771296033777</v>
      </c>
      <c r="AK102" s="49" t="n">
        <f aca="false">AK95+AK97</f>
        <v>-640.680937234199</v>
      </c>
      <c r="AL102" s="49" t="n">
        <f aca="false">AL95+AL97</f>
        <v>-648.689448949627</v>
      </c>
      <c r="AM102" s="49" t="n">
        <f aca="false">AM95+AM97</f>
        <v>-656.798067061497</v>
      </c>
      <c r="AN102" s="49" t="n">
        <f aca="false">AN95+AN97</f>
        <v>-665.008042899766</v>
      </c>
      <c r="AO102" s="49" t="n">
        <f aca="false">AO95+AO97</f>
        <v>-673.320643436013</v>
      </c>
      <c r="AP102" s="49" t="n">
        <f aca="false">AP95+AP97</f>
        <v>-681.737151478963</v>
      </c>
      <c r="AQ102" s="49" t="n">
        <f aca="false">AQ95+AQ97</f>
        <v>-690.25886587245</v>
      </c>
      <c r="AR102" s="49" t="n">
        <f aca="false">AR95+AR97</f>
        <v>-698.887101695855</v>
      </c>
      <c r="AS102" s="49" t="n">
        <f aca="false">AS95+AS97</f>
        <v>-707.623190467054</v>
      </c>
      <c r="AT102" s="49" t="n">
        <f aca="false">AT95+AT97</f>
        <v>-716.468480347892</v>
      </c>
      <c r="AU102" s="49" t="n">
        <f aca="false">AU95+AU97</f>
        <v>-725.424336352241</v>
      </c>
      <c r="AV102" s="49" t="n">
        <f aca="false">AV95+AV97</f>
        <v>-734.492140556644</v>
      </c>
      <c r="AW102" s="49" t="n">
        <f aca="false">AW95+AW97</f>
        <v>-743.673292313602</v>
      </c>
      <c r="AX102" s="49" t="n">
        <f aca="false">AX95+AX97</f>
        <v>-752.969208467522</v>
      </c>
      <c r="AY102" s="49" t="n">
        <f aca="false">AY95+AY97</f>
        <v>-762.381323573366</v>
      </c>
      <c r="AZ102" s="49" t="n">
        <f aca="false">AZ95+AZ97</f>
        <v>-771.911090118033</v>
      </c>
      <c r="BA102" s="49" t="n">
        <f aca="false">BA95+BA97</f>
        <v>-781.559978744508</v>
      </c>
      <c r="BB102" s="49" t="n">
        <f aca="false">BB95+BB97</f>
        <v>-791.329478478814</v>
      </c>
      <c r="BC102" s="49" t="n">
        <f aca="false">BC95+BC97</f>
        <v>-801.2210969598</v>
      </c>
      <c r="BD102" s="49" t="n">
        <f aca="false">BD95+BD97</f>
        <v>-811.236360671797</v>
      </c>
      <c r="BE102" s="49" t="n">
        <f aca="false">BE95+BE97</f>
        <v>-821.376815180194</v>
      </c>
      <c r="BF102" s="49" t="n">
        <f aca="false">BF95+BF97</f>
        <v>-831.644025369947</v>
      </c>
      <c r="BG102" s="49" t="n">
        <f aca="false">BG95+BG97</f>
        <v>-842.039575687071</v>
      </c>
      <c r="BH102" s="49" t="n">
        <f aca="false">BH95+BH97</f>
        <v>-852.56507038316</v>
      </c>
      <c r="BI102" s="49" t="n">
        <f aca="false">BI95+BI97</f>
        <v>-863.222133762949</v>
      </c>
      <c r="BJ102" s="49" t="n">
        <f aca="false">BJ95+BJ97</f>
        <v>-874.012410434986</v>
      </c>
      <c r="BK102" s="49" t="n">
        <f aca="false">BK95+BK97</f>
        <v>-884.937565565423</v>
      </c>
      <c r="BL102" s="49" t="n">
        <f aca="false">BL95+BL97</f>
        <v>-895.999285134991</v>
      </c>
      <c r="BM102" s="49" t="n">
        <f aca="false">BM95+BM97</f>
        <v>-907.199276199179</v>
      </c>
      <c r="BN102" s="49" t="n">
        <f aca="false">BN95+BN97</f>
        <v>-918.539267151668</v>
      </c>
      <c r="BO102" s="49" t="n">
        <f aca="false">BO95+BO97</f>
        <v>-930.021007991064</v>
      </c>
      <c r="BP102" s="49" t="n">
        <f aca="false">BP95+BP97</f>
        <v>-941.646270590952</v>
      </c>
      <c r="BQ102" s="49" t="n">
        <f aca="false">BQ95+BQ97</f>
        <v>-953.416848973339</v>
      </c>
      <c r="BR102" s="49" t="n">
        <f aca="false">BR95+BR97</f>
        <v>-965.334559585506</v>
      </c>
      <c r="BS102" s="49" t="n">
        <f aca="false">BS95+BS97</f>
        <v>-977.401241580325</v>
      </c>
      <c r="BT102" s="49" t="n">
        <f aca="false">BT95+BT97</f>
        <v>-989.618757100079</v>
      </c>
      <c r="BU102" s="49" t="n">
        <f aca="false">BU95+BU97</f>
        <v>-1001.98899156383</v>
      </c>
      <c r="BV102" s="49" t="n">
        <f aca="false">BV95+BV97</f>
        <v>-1014.51385395838</v>
      </c>
      <c r="BW102" s="49" t="n">
        <f aca="false">BW95+BW97</f>
        <v>-1027.19527713286</v>
      </c>
      <c r="BX102" s="49" t="n">
        <f aca="false">BX95+BX97</f>
        <v>-1040.03521809702</v>
      </c>
      <c r="BY102" s="49" t="n">
        <f aca="false">BY95+BY97</f>
        <v>-1053.03565832323</v>
      </c>
      <c r="BZ102" s="49" t="n">
        <f aca="false">BZ95+BZ97</f>
        <v>-1066.19860405227</v>
      </c>
      <c r="CA102" s="49" t="n">
        <f aca="false">CA95+CA97</f>
        <v>-1079.52608660292</v>
      </c>
      <c r="CB102" s="49" t="n">
        <f aca="false">CB95+CB97</f>
        <v>-1093.02016268546</v>
      </c>
      <c r="CC102" s="49" t="n">
        <f aca="false">CC95+CC97</f>
        <v>-1106.68291471903</v>
      </c>
      <c r="CD102" s="49" t="n">
        <f aca="false">CD95+CD97</f>
        <v>-1120.51645115302</v>
      </c>
      <c r="CE102" s="49" t="n">
        <f aca="false">CE95+CE97</f>
        <v>-1134.52290679243</v>
      </c>
      <c r="CF102" s="49" t="n">
        <f aca="false">CF95+CF97</f>
        <v>-1148.70444312734</v>
      </c>
      <c r="CG102" s="49" t="n">
        <f aca="false">CG95+CG97</f>
        <v>-1163.06324866643</v>
      </c>
      <c r="CH102" s="49" t="n">
        <f aca="false">CH95+CH97</f>
        <v>-0</v>
      </c>
      <c r="CI102" s="49" t="n">
        <f aca="false">CI95+CI97</f>
        <v>-0</v>
      </c>
      <c r="CJ102" s="49" t="n">
        <f aca="false">CJ95+CJ97</f>
        <v>-0</v>
      </c>
      <c r="CK102" s="49" t="n">
        <f aca="false">CK95+CK97</f>
        <v>-0</v>
      </c>
      <c r="CL102" s="49" t="n">
        <f aca="false">CL95+CL97</f>
        <v>-0</v>
      </c>
      <c r="CM102" s="49" t="n">
        <f aca="false">CM95+CM97</f>
        <v>-0</v>
      </c>
      <c r="CN102" s="49" t="n">
        <f aca="false">CN95+CN97</f>
        <v>-0</v>
      </c>
      <c r="CO102" s="49" t="n">
        <f aca="false">CO95+CO97</f>
        <v>-0</v>
      </c>
      <c r="CP102" s="49" t="n">
        <f aca="false">CP95+CP97</f>
        <v>-0</v>
      </c>
      <c r="CQ102" s="49" t="n">
        <f aca="false">CQ95+CQ97</f>
        <v>-0</v>
      </c>
      <c r="CR102" s="49" t="n">
        <f aca="false">CR95+CR97</f>
        <v>-0</v>
      </c>
      <c r="CS102" s="49" t="n">
        <f aca="false">CS95+CS97</f>
        <v>-0</v>
      </c>
      <c r="CT102" s="49" t="n">
        <f aca="false">CT95+CT97</f>
        <v>-0</v>
      </c>
      <c r="CU102" s="49" t="n">
        <f aca="false">CU95+CU97</f>
        <v>-0</v>
      </c>
      <c r="CV102" s="49" t="n">
        <f aca="false">CV95+CV97</f>
        <v>-0</v>
      </c>
      <c r="CW102" s="49" t="n">
        <f aca="false">CW95+CW97</f>
        <v>-0</v>
      </c>
      <c r="CX102" s="49" t="n">
        <f aca="false">CX95+CX97</f>
        <v>-0</v>
      </c>
      <c r="CY102" s="49" t="n">
        <f aca="false">CY95+CY97</f>
        <v>-0</v>
      </c>
      <c r="CZ102" s="49" t="n">
        <f aca="false">CZ95+CZ97</f>
        <v>-0</v>
      </c>
      <c r="DA102" s="49" t="n">
        <f aca="false">DA95+DA97</f>
        <v>-0</v>
      </c>
      <c r="DB102" s="49" t="n">
        <f aca="false">DB95+DB97</f>
        <v>-0</v>
      </c>
      <c r="DC102" s="49" t="n">
        <f aca="false">DC95+DC97</f>
        <v>-0</v>
      </c>
      <c r="DD102" s="49" t="n">
        <f aca="false">DD95+DD97</f>
        <v>-0</v>
      </c>
      <c r="DE102" s="49" t="n">
        <f aca="false">DE95+DE97</f>
        <v>-0</v>
      </c>
      <c r="DF102" s="49" t="n">
        <f aca="false">DF95+DF97</f>
        <v>-0</v>
      </c>
      <c r="DG102" s="49" t="n">
        <f aca="false">DG95+DG97</f>
        <v>-0</v>
      </c>
      <c r="DH102" s="49" t="n">
        <f aca="false">DH95+DH97</f>
        <v>-0</v>
      </c>
      <c r="DI102" s="49" t="n">
        <f aca="false">DI95+DI97</f>
        <v>-0</v>
      </c>
      <c r="DJ102" s="49" t="n">
        <f aca="false">DJ95+DJ97</f>
        <v>-0</v>
      </c>
      <c r="DK102" s="49" t="n">
        <f aca="false">DK95+DK97</f>
        <v>-0</v>
      </c>
      <c r="DL102" s="49" t="n">
        <f aca="false">DL95+DL97</f>
        <v>-0</v>
      </c>
      <c r="DM102" s="49" t="n">
        <f aca="false">DM95+DM97</f>
        <v>-0</v>
      </c>
      <c r="DN102" s="49" t="n">
        <f aca="false">DN95+DN97</f>
        <v>-0</v>
      </c>
      <c r="DO102" s="49" t="n">
        <f aca="false">DO95+DO97</f>
        <v>-0</v>
      </c>
      <c r="DP102" s="49" t="n">
        <f aca="false">DP95+DP97</f>
        <v>-0</v>
      </c>
      <c r="DQ102" s="49" t="n">
        <f aca="false">DQ95+DQ97</f>
        <v>-0</v>
      </c>
      <c r="DR102" s="49" t="n">
        <f aca="false">DR95+DR97</f>
        <v>-0</v>
      </c>
      <c r="DS102" s="49" t="n">
        <f aca="false">DS95+DS97</f>
        <v>-0</v>
      </c>
      <c r="DT102" s="49" t="n">
        <f aca="false">DT95+DT97</f>
        <v>-0</v>
      </c>
      <c r="DU102" s="49" t="n">
        <f aca="false">DU95+DU97</f>
        <v>-0</v>
      </c>
      <c r="DV102" s="49" t="n">
        <f aca="false">DV95+DV97</f>
        <v>-0</v>
      </c>
      <c r="DW102" s="49" t="n">
        <f aca="false">DW95+DW97</f>
        <v>-0</v>
      </c>
      <c r="DX102" s="49" t="n">
        <f aca="false">DX95+DX97</f>
        <v>-0</v>
      </c>
      <c r="DY102" s="49" t="n">
        <f aca="false">DY95+DY97</f>
        <v>-0</v>
      </c>
      <c r="DZ102" s="49" t="n">
        <f aca="false">DZ95+DZ97</f>
        <v>-0</v>
      </c>
      <c r="EA102" s="49" t="n">
        <f aca="false">EA95+EA97</f>
        <v>-0</v>
      </c>
      <c r="EB102" s="49" t="n">
        <f aca="false">EB95+EB97</f>
        <v>-0</v>
      </c>
      <c r="EC102" s="49" t="n">
        <f aca="false">EC95+EC97</f>
        <v>-0</v>
      </c>
      <c r="ED102" s="49" t="n">
        <f aca="false">ED95+ED97</f>
        <v>-0</v>
      </c>
      <c r="EE102" s="49" t="n">
        <f aca="false">EE95+EE97</f>
        <v>-0</v>
      </c>
      <c r="EF102" s="49" t="n">
        <f aca="false">EF95+EF97</f>
        <v>-0</v>
      </c>
      <c r="EG102" s="49" t="n">
        <f aca="false">EG95+EG97</f>
        <v>-0</v>
      </c>
      <c r="EH102" s="49" t="n">
        <f aca="false">EH95+EH97</f>
        <v>-0</v>
      </c>
      <c r="EI102" s="49" t="n">
        <f aca="false">EI95+EI97</f>
        <v>-0</v>
      </c>
      <c r="EJ102" s="49" t="n">
        <f aca="false">EJ95+EJ97</f>
        <v>-0</v>
      </c>
      <c r="EK102" s="49" t="n">
        <f aca="false">EK95+EK97</f>
        <v>-0</v>
      </c>
      <c r="EL102" s="49" t="n">
        <f aca="false">EL95+EL97</f>
        <v>-0</v>
      </c>
      <c r="EM102" s="49" t="n">
        <f aca="false">EM95+EM97</f>
        <v>-0</v>
      </c>
      <c r="EN102" s="49" t="n">
        <f aca="false">EN95+EN97</f>
        <v>-0</v>
      </c>
      <c r="EO102" s="49" t="n">
        <f aca="false">EO95+EO97</f>
        <v>-0</v>
      </c>
    </row>
    <row r="103" customFormat="false" ht="15" hidden="false" customHeight="false" outlineLevel="0" collapsed="false">
      <c r="C103" s="26" t="s">
        <v>491</v>
      </c>
      <c r="D103" s="12" t="s">
        <v>33</v>
      </c>
      <c r="E103" s="58" t="n">
        <f aca="false">SUMIF($J$4:$EO$4,In_COD,$J103:$EO103)</f>
        <v>49500</v>
      </c>
      <c r="I103" s="60"/>
      <c r="J103" s="58" t="n">
        <f aca="false">SUM(J99:J102)</f>
        <v>0</v>
      </c>
      <c r="K103" s="58" t="n">
        <f aca="false">SUM(K99:K102)</f>
        <v>0</v>
      </c>
      <c r="L103" s="58" t="n">
        <f aca="false">SUM(L99:L102)</f>
        <v>0</v>
      </c>
      <c r="M103" s="58" t="n">
        <f aca="false">SUM(M99:M102)</f>
        <v>0</v>
      </c>
      <c r="N103" s="58" t="n">
        <f aca="false">SUM(N99:N102)</f>
        <v>0</v>
      </c>
      <c r="O103" s="58" t="n">
        <f aca="false">SUM(O99:O102)</f>
        <v>0</v>
      </c>
      <c r="P103" s="58" t="n">
        <f aca="false">SUM(P99:P102)</f>
        <v>0</v>
      </c>
      <c r="Q103" s="58" t="n">
        <f aca="false">SUM(Q99:Q102)</f>
        <v>0</v>
      </c>
      <c r="R103" s="58" t="n">
        <f aca="false">SUM(R99:R102)</f>
        <v>5343.04945755914</v>
      </c>
      <c r="S103" s="58" t="n">
        <f aca="false">SUM(S99:S102)</f>
        <v>14396.1646434876</v>
      </c>
      <c r="T103" s="58" t="n">
        <f aca="false">SUM(T99:T102)</f>
        <v>19861.0895345516</v>
      </c>
      <c r="U103" s="58" t="n">
        <f aca="false">SUM(U99:U102)</f>
        <v>25452.4026112927</v>
      </c>
      <c r="V103" s="58" t="n">
        <f aca="false">SUM(V99:V102)</f>
        <v>31113.607101493</v>
      </c>
      <c r="W103" s="58" t="n">
        <f aca="false">SUM(W99:W102)</f>
        <v>36729.4233987434</v>
      </c>
      <c r="X103" s="58" t="n">
        <f aca="false">SUM(X99:X102)</f>
        <v>42473.5140242482</v>
      </c>
      <c r="Y103" s="58" t="n">
        <f aca="false">SUM(Y99:Y102)</f>
        <v>49500</v>
      </c>
      <c r="Z103" s="58" t="n">
        <f aca="false">SUM(Z99:Z102)</f>
        <v>48941.1484607253</v>
      </c>
      <c r="AA103" s="58" t="n">
        <f aca="false">SUM(AA99:AA102)</f>
        <v>48375.3112772096</v>
      </c>
      <c r="AB103" s="58" t="n">
        <f aca="false">SUM(AB99:AB102)</f>
        <v>47802.4011288999</v>
      </c>
      <c r="AC103" s="58" t="n">
        <f aca="false">SUM(AC99:AC102)</f>
        <v>47222.3296037364</v>
      </c>
      <c r="AD103" s="58" t="n">
        <f aca="false">SUM(AD99:AD102)</f>
        <v>46635.0071845084</v>
      </c>
      <c r="AE103" s="58" t="n">
        <f aca="false">SUM(AE99:AE102)</f>
        <v>46040.34323504</v>
      </c>
      <c r="AF103" s="58" t="n">
        <f aca="false">SUM(AF99:AF102)</f>
        <v>45438.2459862032</v>
      </c>
      <c r="AG103" s="58" t="n">
        <f aca="false">SUM(AG99:AG102)</f>
        <v>44828.622521756</v>
      </c>
      <c r="AH103" s="58" t="n">
        <f aca="false">SUM(AH99:AH102)</f>
        <v>44211.3787640032</v>
      </c>
      <c r="AI103" s="58" t="n">
        <f aca="false">SUM(AI99:AI102)</f>
        <v>43586.4194592785</v>
      </c>
      <c r="AJ103" s="58" t="n">
        <f aca="false">SUM(AJ99:AJ102)</f>
        <v>42953.6481632447</v>
      </c>
      <c r="AK103" s="58" t="n">
        <f aca="false">SUM(AK99:AK102)</f>
        <v>42312.9672260105</v>
      </c>
      <c r="AL103" s="58" t="n">
        <f aca="false">SUM(AL99:AL102)</f>
        <v>41664.2777770609</v>
      </c>
      <c r="AM103" s="58" t="n">
        <f aca="false">SUM(AM99:AM102)</f>
        <v>41007.4797099994</v>
      </c>
      <c r="AN103" s="58" t="n">
        <f aca="false">SUM(AN99:AN102)</f>
        <v>40342.4716670996</v>
      </c>
      <c r="AO103" s="58" t="n">
        <f aca="false">SUM(AO99:AO102)</f>
        <v>39669.1510236636</v>
      </c>
      <c r="AP103" s="58" t="n">
        <f aca="false">SUM(AP99:AP102)</f>
        <v>38987.4138721846</v>
      </c>
      <c r="AQ103" s="58" t="n">
        <f aca="false">SUM(AQ99:AQ102)</f>
        <v>38297.1550063122</v>
      </c>
      <c r="AR103" s="58" t="n">
        <f aca="false">SUM(AR99:AR102)</f>
        <v>37598.2679046163</v>
      </c>
      <c r="AS103" s="58" t="n">
        <f aca="false">SUM(AS99:AS102)</f>
        <v>36890.6447141493</v>
      </c>
      <c r="AT103" s="58" t="n">
        <f aca="false">SUM(AT99:AT102)</f>
        <v>36174.1762338014</v>
      </c>
      <c r="AU103" s="58" t="n">
        <f aca="false">SUM(AU99:AU102)</f>
        <v>35448.7518974491</v>
      </c>
      <c r="AV103" s="58" t="n">
        <f aca="false">SUM(AV99:AV102)</f>
        <v>34714.2597568925</v>
      </c>
      <c r="AW103" s="58" t="n">
        <f aca="false">SUM(AW99:AW102)</f>
        <v>33970.5864645789</v>
      </c>
      <c r="AX103" s="58" t="n">
        <f aca="false">SUM(AX99:AX102)</f>
        <v>33217.6172561114</v>
      </c>
      <c r="AY103" s="58" t="n">
        <f aca="false">SUM(AY99:AY102)</f>
        <v>32455.235932538</v>
      </c>
      <c r="AZ103" s="58" t="n">
        <f aca="false">SUM(AZ99:AZ102)</f>
        <v>31683.32484242</v>
      </c>
      <c r="BA103" s="58" t="n">
        <f aca="false">SUM(BA99:BA102)</f>
        <v>30901.7648636755</v>
      </c>
      <c r="BB103" s="58" t="n">
        <f aca="false">SUM(BB99:BB102)</f>
        <v>30110.4353851966</v>
      </c>
      <c r="BC103" s="58" t="n">
        <f aca="false">SUM(BC99:BC102)</f>
        <v>29309.2142882368</v>
      </c>
      <c r="BD103" s="58" t="n">
        <f aca="false">SUM(BD99:BD102)</f>
        <v>28497.9779275651</v>
      </c>
      <c r="BE103" s="58" t="n">
        <f aca="false">SUM(BE99:BE102)</f>
        <v>27676.6011123849</v>
      </c>
      <c r="BF103" s="58" t="n">
        <f aca="false">SUM(BF99:BF102)</f>
        <v>26844.9570870149</v>
      </c>
      <c r="BG103" s="58" t="n">
        <f aca="false">SUM(BG99:BG102)</f>
        <v>26002.9175113278</v>
      </c>
      <c r="BH103" s="58" t="n">
        <f aca="false">SUM(BH99:BH102)</f>
        <v>25150.3524409447</v>
      </c>
      <c r="BI103" s="58" t="n">
        <f aca="false">SUM(BI99:BI102)</f>
        <v>24287.1303071817</v>
      </c>
      <c r="BJ103" s="58" t="n">
        <f aca="false">SUM(BJ99:BJ102)</f>
        <v>23413.1178967467</v>
      </c>
      <c r="BK103" s="58" t="n">
        <f aca="false">SUM(BK99:BK102)</f>
        <v>22528.1803311813</v>
      </c>
      <c r="BL103" s="58" t="n">
        <f aca="false">SUM(BL99:BL102)</f>
        <v>21632.1810460463</v>
      </c>
      <c r="BM103" s="58" t="n">
        <f aca="false">SUM(BM99:BM102)</f>
        <v>20724.9817698472</v>
      </c>
      <c r="BN103" s="58" t="n">
        <f aca="false">SUM(BN99:BN102)</f>
        <v>19806.4425026955</v>
      </c>
      <c r="BO103" s="58" t="n">
        <f aca="false">SUM(BO99:BO102)</f>
        <v>18876.4214947044</v>
      </c>
      <c r="BP103" s="58" t="n">
        <f aca="false">SUM(BP99:BP102)</f>
        <v>17934.7752241135</v>
      </c>
      <c r="BQ103" s="58" t="n">
        <f aca="false">SUM(BQ99:BQ102)</f>
        <v>16981.3583751401</v>
      </c>
      <c r="BR103" s="58" t="n">
        <f aca="false">SUM(BR99:BR102)</f>
        <v>16016.0238155546</v>
      </c>
      <c r="BS103" s="58" t="n">
        <f aca="false">SUM(BS99:BS102)</f>
        <v>15038.6225739743</v>
      </c>
      <c r="BT103" s="58" t="n">
        <f aca="false">SUM(BT99:BT102)</f>
        <v>14049.0038168742</v>
      </c>
      <c r="BU103" s="58" t="n">
        <f aca="false">SUM(BU99:BU102)</f>
        <v>13047.0148253104</v>
      </c>
      <c r="BV103" s="58" t="n">
        <f aca="false">SUM(BV99:BV102)</f>
        <v>12032.500971352</v>
      </c>
      <c r="BW103" s="58" t="n">
        <f aca="false">SUM(BW99:BW102)</f>
        <v>11005.3056942192</v>
      </c>
      <c r="BX103" s="58" t="n">
        <f aca="false">SUM(BX99:BX102)</f>
        <v>9965.27047612213</v>
      </c>
      <c r="BY103" s="58" t="n">
        <f aca="false">SUM(BY99:BY102)</f>
        <v>8912.2348177989</v>
      </c>
      <c r="BZ103" s="58" t="n">
        <f aca="false">SUM(BZ99:BZ102)</f>
        <v>7846.03621374663</v>
      </c>
      <c r="CA103" s="58" t="n">
        <f aca="false">SUM(CA99:CA102)</f>
        <v>6766.5101271437</v>
      </c>
      <c r="CB103" s="58" t="n">
        <f aca="false">SUM(CB99:CB102)</f>
        <v>5673.48996445824</v>
      </c>
      <c r="CC103" s="58" t="n">
        <f aca="false">SUM(CC99:CC102)</f>
        <v>4566.80704973921</v>
      </c>
      <c r="CD103" s="58" t="n">
        <f aca="false">SUM(CD99:CD102)</f>
        <v>3446.2905985862</v>
      </c>
      <c r="CE103" s="58" t="n">
        <f aca="false">SUM(CE99:CE102)</f>
        <v>2311.76769179377</v>
      </c>
      <c r="CF103" s="58" t="n">
        <f aca="false">SUM(CF99:CF102)</f>
        <v>1163.06324866643</v>
      </c>
      <c r="CG103" s="58" t="n">
        <f aca="false">SUM(CG99:CG102)</f>
        <v>0</v>
      </c>
      <c r="CH103" s="58" t="n">
        <f aca="false">SUM(CH99:CH102)</f>
        <v>0</v>
      </c>
      <c r="CI103" s="58" t="n">
        <f aca="false">SUM(CI99:CI102)</f>
        <v>0</v>
      </c>
      <c r="CJ103" s="58" t="n">
        <f aca="false">SUM(CJ99:CJ102)</f>
        <v>0</v>
      </c>
      <c r="CK103" s="58" t="n">
        <f aca="false">SUM(CK99:CK102)</f>
        <v>0</v>
      </c>
      <c r="CL103" s="58" t="n">
        <f aca="false">SUM(CL99:CL102)</f>
        <v>0</v>
      </c>
      <c r="CM103" s="58" t="n">
        <f aca="false">SUM(CM99:CM102)</f>
        <v>0</v>
      </c>
      <c r="CN103" s="58" t="n">
        <f aca="false">SUM(CN99:CN102)</f>
        <v>0</v>
      </c>
      <c r="CO103" s="58" t="n">
        <f aca="false">SUM(CO99:CO102)</f>
        <v>0</v>
      </c>
      <c r="CP103" s="58" t="n">
        <f aca="false">SUM(CP99:CP102)</f>
        <v>0</v>
      </c>
      <c r="CQ103" s="58" t="n">
        <f aca="false">SUM(CQ99:CQ102)</f>
        <v>0</v>
      </c>
      <c r="CR103" s="58" t="n">
        <f aca="false">SUM(CR99:CR102)</f>
        <v>0</v>
      </c>
      <c r="CS103" s="58" t="n">
        <f aca="false">SUM(CS99:CS102)</f>
        <v>0</v>
      </c>
      <c r="CT103" s="58" t="n">
        <f aca="false">SUM(CT99:CT102)</f>
        <v>0</v>
      </c>
      <c r="CU103" s="58" t="n">
        <f aca="false">SUM(CU99:CU102)</f>
        <v>0</v>
      </c>
      <c r="CV103" s="58" t="n">
        <f aca="false">SUM(CV99:CV102)</f>
        <v>0</v>
      </c>
      <c r="CW103" s="58" t="n">
        <f aca="false">SUM(CW99:CW102)</f>
        <v>0</v>
      </c>
      <c r="CX103" s="58" t="n">
        <f aca="false">SUM(CX99:CX102)</f>
        <v>0</v>
      </c>
      <c r="CY103" s="58" t="n">
        <f aca="false">SUM(CY99:CY102)</f>
        <v>0</v>
      </c>
      <c r="CZ103" s="58" t="n">
        <f aca="false">SUM(CZ99:CZ102)</f>
        <v>0</v>
      </c>
      <c r="DA103" s="58" t="n">
        <f aca="false">SUM(DA99:DA102)</f>
        <v>0</v>
      </c>
      <c r="DB103" s="58" t="n">
        <f aca="false">SUM(DB99:DB102)</f>
        <v>0</v>
      </c>
      <c r="DC103" s="58" t="n">
        <f aca="false">SUM(DC99:DC102)</f>
        <v>0</v>
      </c>
      <c r="DD103" s="58" t="n">
        <f aca="false">SUM(DD99:DD102)</f>
        <v>0</v>
      </c>
      <c r="DE103" s="58" t="n">
        <f aca="false">SUM(DE99:DE102)</f>
        <v>0</v>
      </c>
      <c r="DF103" s="58" t="n">
        <f aca="false">SUM(DF99:DF102)</f>
        <v>0</v>
      </c>
      <c r="DG103" s="58" t="n">
        <f aca="false">SUM(DG99:DG102)</f>
        <v>0</v>
      </c>
      <c r="DH103" s="58" t="n">
        <f aca="false">SUM(DH99:DH102)</f>
        <v>0</v>
      </c>
      <c r="DI103" s="58" t="n">
        <f aca="false">SUM(DI99:DI102)</f>
        <v>0</v>
      </c>
      <c r="DJ103" s="58" t="n">
        <f aca="false">SUM(DJ99:DJ102)</f>
        <v>0</v>
      </c>
      <c r="DK103" s="58" t="n">
        <f aca="false">SUM(DK99:DK102)</f>
        <v>0</v>
      </c>
      <c r="DL103" s="58" t="n">
        <f aca="false">SUM(DL99:DL102)</f>
        <v>0</v>
      </c>
      <c r="DM103" s="58" t="n">
        <f aca="false">SUM(DM99:DM102)</f>
        <v>0</v>
      </c>
      <c r="DN103" s="58" t="n">
        <f aca="false">SUM(DN99:DN102)</f>
        <v>0</v>
      </c>
      <c r="DO103" s="58" t="n">
        <f aca="false">SUM(DO99:DO102)</f>
        <v>0</v>
      </c>
      <c r="DP103" s="58" t="n">
        <f aca="false">SUM(DP99:DP102)</f>
        <v>0</v>
      </c>
      <c r="DQ103" s="58" t="n">
        <f aca="false">SUM(DQ99:DQ102)</f>
        <v>0</v>
      </c>
      <c r="DR103" s="58" t="n">
        <f aca="false">SUM(DR99:DR102)</f>
        <v>0</v>
      </c>
      <c r="DS103" s="58" t="n">
        <f aca="false">SUM(DS99:DS102)</f>
        <v>0</v>
      </c>
      <c r="DT103" s="58" t="n">
        <f aca="false">SUM(DT99:DT102)</f>
        <v>0</v>
      </c>
      <c r="DU103" s="58" t="n">
        <f aca="false">SUM(DU99:DU102)</f>
        <v>0</v>
      </c>
      <c r="DV103" s="58" t="n">
        <f aca="false">SUM(DV99:DV102)</f>
        <v>0</v>
      </c>
      <c r="DW103" s="58" t="n">
        <f aca="false">SUM(DW99:DW102)</f>
        <v>0</v>
      </c>
      <c r="DX103" s="58" t="n">
        <f aca="false">SUM(DX99:DX102)</f>
        <v>0</v>
      </c>
      <c r="DY103" s="58" t="n">
        <f aca="false">SUM(DY99:DY102)</f>
        <v>0</v>
      </c>
      <c r="DZ103" s="58" t="n">
        <f aca="false">SUM(DZ99:DZ102)</f>
        <v>0</v>
      </c>
      <c r="EA103" s="58" t="n">
        <f aca="false">SUM(EA99:EA102)</f>
        <v>0</v>
      </c>
      <c r="EB103" s="58" t="n">
        <f aca="false">SUM(EB99:EB102)</f>
        <v>0</v>
      </c>
      <c r="EC103" s="58" t="n">
        <f aca="false">SUM(EC99:EC102)</f>
        <v>0</v>
      </c>
      <c r="ED103" s="58" t="n">
        <f aca="false">SUM(ED99:ED102)</f>
        <v>0</v>
      </c>
      <c r="EE103" s="58" t="n">
        <f aca="false">SUM(EE99:EE102)</f>
        <v>0</v>
      </c>
      <c r="EF103" s="58" t="n">
        <f aca="false">SUM(EF99:EF102)</f>
        <v>0</v>
      </c>
      <c r="EG103" s="58" t="n">
        <f aca="false">SUM(EG99:EG102)</f>
        <v>0</v>
      </c>
      <c r="EH103" s="58" t="n">
        <f aca="false">SUM(EH99:EH102)</f>
        <v>0</v>
      </c>
      <c r="EI103" s="58" t="n">
        <f aca="false">SUM(EI99:EI102)</f>
        <v>0</v>
      </c>
      <c r="EJ103" s="58" t="n">
        <f aca="false">SUM(EJ99:EJ102)</f>
        <v>0</v>
      </c>
      <c r="EK103" s="58" t="n">
        <f aca="false">SUM(EK99:EK102)</f>
        <v>0</v>
      </c>
      <c r="EL103" s="58" t="n">
        <f aca="false">SUM(EL99:EL102)</f>
        <v>0</v>
      </c>
      <c r="EM103" s="58" t="n">
        <f aca="false">SUM(EM99:EM102)</f>
        <v>0</v>
      </c>
      <c r="EN103" s="58" t="n">
        <f aca="false">SUM(EN99:EN102)</f>
        <v>0</v>
      </c>
      <c r="EO103" s="58" t="n">
        <f aca="false">SUM(EO99:EO102)</f>
        <v>0</v>
      </c>
    </row>
    <row r="104" customFormat="false" ht="15" hidden="false" customHeight="false" outlineLevel="0" collapsed="false">
      <c r="C104" s="1" t="s">
        <v>492</v>
      </c>
      <c r="D104" s="12" t="s">
        <v>33</v>
      </c>
      <c r="I104" s="49" t="n">
        <f aca="false">SUM(J104:EO104)</f>
        <v>-866.250000000001</v>
      </c>
      <c r="J104" s="49" t="n">
        <f aca="false">-In_Upfront_Fee*$E103*(J99=0)*(J100&gt;0)</f>
        <v>-0</v>
      </c>
      <c r="K104" s="49" t="n">
        <f aca="false">-In_Upfront_Fee*$E103*(K99=0)*(K100&gt;0)</f>
        <v>-0</v>
      </c>
      <c r="L104" s="49" t="n">
        <f aca="false">-In_Upfront_Fee*$E103*(L99=0)*(L100&gt;0)</f>
        <v>-0</v>
      </c>
      <c r="M104" s="49" t="n">
        <f aca="false">-In_Upfront_Fee*$E103*(M99=0)*(M100&gt;0)</f>
        <v>-0</v>
      </c>
      <c r="N104" s="49" t="n">
        <f aca="false">-In_Upfront_Fee*$E103*(N99=0)*(N100&gt;0)</f>
        <v>-0</v>
      </c>
      <c r="O104" s="49" t="n">
        <f aca="false">-In_Upfront_Fee*$E103*(O99=0)*(O100&gt;0)</f>
        <v>-0</v>
      </c>
      <c r="P104" s="49" t="n">
        <f aca="false">-In_Upfront_Fee*$E103*(P99=0)*(P100&gt;0)</f>
        <v>-0</v>
      </c>
      <c r="Q104" s="49" t="n">
        <f aca="false">-In_Upfront_Fee*$E103*(Q99=0)*(Q100&gt;0)</f>
        <v>-0</v>
      </c>
      <c r="R104" s="49" t="n">
        <f aca="false">-In_Upfront_Fee*$E103*(R99=0)*(R100&gt;0)</f>
        <v>-866.250000000001</v>
      </c>
      <c r="S104" s="49" t="n">
        <f aca="false">-In_Upfront_Fee*$E103*(S99=0)*(S100&gt;0)</f>
        <v>-0</v>
      </c>
      <c r="T104" s="49" t="n">
        <f aca="false">-In_Upfront_Fee*$E103*(T99=0)*(T100&gt;0)</f>
        <v>-0</v>
      </c>
      <c r="U104" s="49" t="n">
        <f aca="false">-In_Upfront_Fee*$E103*(U99=0)*(U100&gt;0)</f>
        <v>-0</v>
      </c>
      <c r="V104" s="49" t="n">
        <f aca="false">-In_Upfront_Fee*$E103*(V99=0)*(V100&gt;0)</f>
        <v>-0</v>
      </c>
      <c r="W104" s="49" t="n">
        <f aca="false">-In_Upfront_Fee*$E103*(W99=0)*(W100&gt;0)</f>
        <v>-0</v>
      </c>
      <c r="X104" s="49" t="n">
        <f aca="false">-In_Upfront_Fee*$E103*(X99=0)*(X100&gt;0)</f>
        <v>-0</v>
      </c>
      <c r="Y104" s="49" t="n">
        <f aca="false">-In_Upfront_Fee*$E103*(Y99=0)*(Y100&gt;0)</f>
        <v>-0</v>
      </c>
      <c r="Z104" s="49" t="n">
        <f aca="false">-In_Upfront_Fee*$E103*(Z99=0)*(Z100&gt;0)</f>
        <v>-0</v>
      </c>
      <c r="AA104" s="49" t="n">
        <f aca="false">-In_Upfront_Fee*$E103*(AA99=0)*(AA100&gt;0)</f>
        <v>-0</v>
      </c>
      <c r="AB104" s="49" t="n">
        <f aca="false">-In_Upfront_Fee*$E103*(AB99=0)*(AB100&gt;0)</f>
        <v>-0</v>
      </c>
      <c r="AC104" s="49" t="n">
        <f aca="false">-In_Upfront_Fee*$E103*(AC99=0)*(AC100&gt;0)</f>
        <v>-0</v>
      </c>
      <c r="AD104" s="49" t="n">
        <f aca="false">-In_Upfront_Fee*$E103*(AD99=0)*(AD100&gt;0)</f>
        <v>-0</v>
      </c>
      <c r="AE104" s="49" t="n">
        <f aca="false">-In_Upfront_Fee*$E103*(AE99=0)*(AE100&gt;0)</f>
        <v>-0</v>
      </c>
      <c r="AF104" s="49" t="n">
        <f aca="false">-In_Upfront_Fee*$E103*(AF99=0)*(AF100&gt;0)</f>
        <v>-0</v>
      </c>
      <c r="AG104" s="49" t="n">
        <f aca="false">-In_Upfront_Fee*$E103*(AG99=0)*(AG100&gt;0)</f>
        <v>-0</v>
      </c>
      <c r="AH104" s="49" t="n">
        <f aca="false">-In_Upfront_Fee*$E103*(AH99=0)*(AH100&gt;0)</f>
        <v>-0</v>
      </c>
      <c r="AI104" s="49" t="n">
        <f aca="false">-In_Upfront_Fee*$E103*(AI99=0)*(AI100&gt;0)</f>
        <v>-0</v>
      </c>
      <c r="AJ104" s="49" t="n">
        <f aca="false">-In_Upfront_Fee*$E103*(AJ99=0)*(AJ100&gt;0)</f>
        <v>-0</v>
      </c>
      <c r="AK104" s="49" t="n">
        <f aca="false">-In_Upfront_Fee*$E103*(AK99=0)*(AK100&gt;0)</f>
        <v>-0</v>
      </c>
      <c r="AL104" s="49" t="n">
        <f aca="false">-In_Upfront_Fee*$E103*(AL99=0)*(AL100&gt;0)</f>
        <v>-0</v>
      </c>
      <c r="AM104" s="49" t="n">
        <f aca="false">-In_Upfront_Fee*$E103*(AM99=0)*(AM100&gt;0)</f>
        <v>-0</v>
      </c>
      <c r="AN104" s="49" t="n">
        <f aca="false">-In_Upfront_Fee*$E103*(AN99=0)*(AN100&gt;0)</f>
        <v>-0</v>
      </c>
      <c r="AO104" s="49" t="n">
        <f aca="false">-In_Upfront_Fee*$E103*(AO99=0)*(AO100&gt;0)</f>
        <v>-0</v>
      </c>
      <c r="AP104" s="49" t="n">
        <f aca="false">-In_Upfront_Fee*$E103*(AP99=0)*(AP100&gt;0)</f>
        <v>-0</v>
      </c>
      <c r="AQ104" s="49" t="n">
        <f aca="false">-In_Upfront_Fee*$E103*(AQ99=0)*(AQ100&gt;0)</f>
        <v>-0</v>
      </c>
      <c r="AR104" s="49" t="n">
        <f aca="false">-In_Upfront_Fee*$E103*(AR99=0)*(AR100&gt;0)</f>
        <v>-0</v>
      </c>
      <c r="AS104" s="49" t="n">
        <f aca="false">-In_Upfront_Fee*$E103*(AS99=0)*(AS100&gt;0)</f>
        <v>-0</v>
      </c>
      <c r="AT104" s="49" t="n">
        <f aca="false">-In_Upfront_Fee*$E103*(AT99=0)*(AT100&gt;0)</f>
        <v>-0</v>
      </c>
      <c r="AU104" s="49" t="n">
        <f aca="false">-In_Upfront_Fee*$E103*(AU99=0)*(AU100&gt;0)</f>
        <v>-0</v>
      </c>
      <c r="AV104" s="49" t="n">
        <f aca="false">-In_Upfront_Fee*$E103*(AV99=0)*(AV100&gt;0)</f>
        <v>-0</v>
      </c>
      <c r="AW104" s="49" t="n">
        <f aca="false">-In_Upfront_Fee*$E103*(AW99=0)*(AW100&gt;0)</f>
        <v>-0</v>
      </c>
      <c r="AX104" s="49" t="n">
        <f aca="false">-In_Upfront_Fee*$E103*(AX99=0)*(AX100&gt;0)</f>
        <v>-0</v>
      </c>
      <c r="AY104" s="49" t="n">
        <f aca="false">-In_Upfront_Fee*$E103*(AY99=0)*(AY100&gt;0)</f>
        <v>-0</v>
      </c>
      <c r="AZ104" s="49" t="n">
        <f aca="false">-In_Upfront_Fee*$E103*(AZ99=0)*(AZ100&gt;0)</f>
        <v>-0</v>
      </c>
      <c r="BA104" s="49" t="n">
        <f aca="false">-In_Upfront_Fee*$E103*(BA99=0)*(BA100&gt;0)</f>
        <v>-0</v>
      </c>
      <c r="BB104" s="49" t="n">
        <f aca="false">-In_Upfront_Fee*$E103*(BB99=0)*(BB100&gt;0)</f>
        <v>-0</v>
      </c>
      <c r="BC104" s="49" t="n">
        <f aca="false">-In_Upfront_Fee*$E103*(BC99=0)*(BC100&gt;0)</f>
        <v>-0</v>
      </c>
      <c r="BD104" s="49" t="n">
        <f aca="false">-In_Upfront_Fee*$E103*(BD99=0)*(BD100&gt;0)</f>
        <v>-0</v>
      </c>
      <c r="BE104" s="49" t="n">
        <f aca="false">-In_Upfront_Fee*$E103*(BE99=0)*(BE100&gt;0)</f>
        <v>-0</v>
      </c>
      <c r="BF104" s="49" t="n">
        <f aca="false">-In_Upfront_Fee*$E103*(BF99=0)*(BF100&gt;0)</f>
        <v>-0</v>
      </c>
      <c r="BG104" s="49" t="n">
        <f aca="false">-In_Upfront_Fee*$E103*(BG99=0)*(BG100&gt;0)</f>
        <v>-0</v>
      </c>
      <c r="BH104" s="49" t="n">
        <f aca="false">-In_Upfront_Fee*$E103*(BH99=0)*(BH100&gt;0)</f>
        <v>-0</v>
      </c>
      <c r="BI104" s="49" t="n">
        <f aca="false">-In_Upfront_Fee*$E103*(BI99=0)*(BI100&gt;0)</f>
        <v>-0</v>
      </c>
      <c r="BJ104" s="49" t="n">
        <f aca="false">-In_Upfront_Fee*$E103*(BJ99=0)*(BJ100&gt;0)</f>
        <v>-0</v>
      </c>
      <c r="BK104" s="49" t="n">
        <f aca="false">-In_Upfront_Fee*$E103*(BK99=0)*(BK100&gt;0)</f>
        <v>-0</v>
      </c>
      <c r="BL104" s="49" t="n">
        <f aca="false">-In_Upfront_Fee*$E103*(BL99=0)*(BL100&gt;0)</f>
        <v>-0</v>
      </c>
      <c r="BM104" s="49" t="n">
        <f aca="false">-In_Upfront_Fee*$E103*(BM99=0)*(BM100&gt;0)</f>
        <v>-0</v>
      </c>
      <c r="BN104" s="49" t="n">
        <f aca="false">-In_Upfront_Fee*$E103*(BN99=0)*(BN100&gt;0)</f>
        <v>-0</v>
      </c>
      <c r="BO104" s="49" t="n">
        <f aca="false">-In_Upfront_Fee*$E103*(BO99=0)*(BO100&gt;0)</f>
        <v>-0</v>
      </c>
      <c r="BP104" s="49" t="n">
        <f aca="false">-In_Upfront_Fee*$E103*(BP99=0)*(BP100&gt;0)</f>
        <v>-0</v>
      </c>
      <c r="BQ104" s="49" t="n">
        <f aca="false">-In_Upfront_Fee*$E103*(BQ99=0)*(BQ100&gt;0)</f>
        <v>-0</v>
      </c>
      <c r="BR104" s="49" t="n">
        <f aca="false">-In_Upfront_Fee*$E103*(BR99=0)*(BR100&gt;0)</f>
        <v>-0</v>
      </c>
      <c r="BS104" s="49" t="n">
        <f aca="false">-In_Upfront_Fee*$E103*(BS99=0)*(BS100&gt;0)</f>
        <v>-0</v>
      </c>
      <c r="BT104" s="49" t="n">
        <f aca="false">-In_Upfront_Fee*$E103*(BT99=0)*(BT100&gt;0)</f>
        <v>-0</v>
      </c>
      <c r="BU104" s="49" t="n">
        <f aca="false">-In_Upfront_Fee*$E103*(BU99=0)*(BU100&gt;0)</f>
        <v>-0</v>
      </c>
      <c r="BV104" s="49" t="n">
        <f aca="false">-In_Upfront_Fee*$E103*(BV99=0)*(BV100&gt;0)</f>
        <v>-0</v>
      </c>
      <c r="BW104" s="49" t="n">
        <f aca="false">-In_Upfront_Fee*$E103*(BW99=0)*(BW100&gt;0)</f>
        <v>-0</v>
      </c>
      <c r="BX104" s="49" t="n">
        <f aca="false">-In_Upfront_Fee*$E103*(BX99=0)*(BX100&gt;0)</f>
        <v>-0</v>
      </c>
      <c r="BY104" s="49" t="n">
        <f aca="false">-In_Upfront_Fee*$E103*(BY99=0)*(BY100&gt;0)</f>
        <v>-0</v>
      </c>
      <c r="BZ104" s="49" t="n">
        <f aca="false">-In_Upfront_Fee*$E103*(BZ99=0)*(BZ100&gt;0)</f>
        <v>-0</v>
      </c>
      <c r="CA104" s="49" t="n">
        <f aca="false">-In_Upfront_Fee*$E103*(CA99=0)*(CA100&gt;0)</f>
        <v>-0</v>
      </c>
      <c r="CB104" s="49" t="n">
        <f aca="false">-In_Upfront_Fee*$E103*(CB99=0)*(CB100&gt;0)</f>
        <v>-0</v>
      </c>
      <c r="CC104" s="49" t="n">
        <f aca="false">-In_Upfront_Fee*$E103*(CC99=0)*(CC100&gt;0)</f>
        <v>-0</v>
      </c>
      <c r="CD104" s="49" t="n">
        <f aca="false">-In_Upfront_Fee*$E103*(CD99=0)*(CD100&gt;0)</f>
        <v>-0</v>
      </c>
      <c r="CE104" s="49" t="n">
        <f aca="false">-In_Upfront_Fee*$E103*(CE99=0)*(CE100&gt;0)</f>
        <v>-0</v>
      </c>
      <c r="CF104" s="49" t="n">
        <f aca="false">-In_Upfront_Fee*$E103*(CF99=0)*(CF100&gt;0)</f>
        <v>-0</v>
      </c>
      <c r="CG104" s="49" t="n">
        <f aca="false">-In_Upfront_Fee*$E103*(CG99=0)*(CG100&gt;0)</f>
        <v>-0</v>
      </c>
      <c r="CH104" s="49" t="n">
        <f aca="false">-In_Upfront_Fee*$E103*(CH99=0)*(CH100&gt;0)</f>
        <v>-0</v>
      </c>
      <c r="CI104" s="49" t="n">
        <f aca="false">-In_Upfront_Fee*$E103*(CI99=0)*(CI100&gt;0)</f>
        <v>-0</v>
      </c>
      <c r="CJ104" s="49" t="n">
        <f aca="false">-In_Upfront_Fee*$E103*(CJ99=0)*(CJ100&gt;0)</f>
        <v>-0</v>
      </c>
      <c r="CK104" s="49" t="n">
        <f aca="false">-In_Upfront_Fee*$E103*(CK99=0)*(CK100&gt;0)</f>
        <v>-0</v>
      </c>
      <c r="CL104" s="49" t="n">
        <f aca="false">-In_Upfront_Fee*$E103*(CL99=0)*(CL100&gt;0)</f>
        <v>-0</v>
      </c>
      <c r="CM104" s="49" t="n">
        <f aca="false">-In_Upfront_Fee*$E103*(CM99=0)*(CM100&gt;0)</f>
        <v>-0</v>
      </c>
      <c r="CN104" s="49" t="n">
        <f aca="false">-In_Upfront_Fee*$E103*(CN99=0)*(CN100&gt;0)</f>
        <v>-0</v>
      </c>
      <c r="CO104" s="49" t="n">
        <f aca="false">-In_Upfront_Fee*$E103*(CO99=0)*(CO100&gt;0)</f>
        <v>-0</v>
      </c>
      <c r="CP104" s="49" t="n">
        <f aca="false">-In_Upfront_Fee*$E103*(CP99=0)*(CP100&gt;0)</f>
        <v>-0</v>
      </c>
      <c r="CQ104" s="49" t="n">
        <f aca="false">-In_Upfront_Fee*$E103*(CQ99=0)*(CQ100&gt;0)</f>
        <v>-0</v>
      </c>
      <c r="CR104" s="49" t="n">
        <f aca="false">-In_Upfront_Fee*$E103*(CR99=0)*(CR100&gt;0)</f>
        <v>-0</v>
      </c>
      <c r="CS104" s="49" t="n">
        <f aca="false">-In_Upfront_Fee*$E103*(CS99=0)*(CS100&gt;0)</f>
        <v>-0</v>
      </c>
      <c r="CT104" s="49" t="n">
        <f aca="false">-In_Upfront_Fee*$E103*(CT99=0)*(CT100&gt;0)</f>
        <v>-0</v>
      </c>
      <c r="CU104" s="49" t="n">
        <f aca="false">-In_Upfront_Fee*$E103*(CU99=0)*(CU100&gt;0)</f>
        <v>-0</v>
      </c>
      <c r="CV104" s="49" t="n">
        <f aca="false">-In_Upfront_Fee*$E103*(CV99=0)*(CV100&gt;0)</f>
        <v>-0</v>
      </c>
      <c r="CW104" s="49" t="n">
        <f aca="false">-In_Upfront_Fee*$E103*(CW99=0)*(CW100&gt;0)</f>
        <v>-0</v>
      </c>
      <c r="CX104" s="49" t="n">
        <f aca="false">-In_Upfront_Fee*$E103*(CX99=0)*(CX100&gt;0)</f>
        <v>-0</v>
      </c>
      <c r="CY104" s="49" t="n">
        <f aca="false">-In_Upfront_Fee*$E103*(CY99=0)*(CY100&gt;0)</f>
        <v>-0</v>
      </c>
      <c r="CZ104" s="49" t="n">
        <f aca="false">-In_Upfront_Fee*$E103*(CZ99=0)*(CZ100&gt;0)</f>
        <v>-0</v>
      </c>
      <c r="DA104" s="49" t="n">
        <f aca="false">-In_Upfront_Fee*$E103*(DA99=0)*(DA100&gt;0)</f>
        <v>-0</v>
      </c>
      <c r="DB104" s="49" t="n">
        <f aca="false">-In_Upfront_Fee*$E103*(DB99=0)*(DB100&gt;0)</f>
        <v>-0</v>
      </c>
      <c r="DC104" s="49" t="n">
        <f aca="false">-In_Upfront_Fee*$E103*(DC99=0)*(DC100&gt;0)</f>
        <v>-0</v>
      </c>
      <c r="DD104" s="49" t="n">
        <f aca="false">-In_Upfront_Fee*$E103*(DD99=0)*(DD100&gt;0)</f>
        <v>-0</v>
      </c>
      <c r="DE104" s="49" t="n">
        <f aca="false">-In_Upfront_Fee*$E103*(DE99=0)*(DE100&gt;0)</f>
        <v>-0</v>
      </c>
      <c r="DF104" s="49" t="n">
        <f aca="false">-In_Upfront_Fee*$E103*(DF99=0)*(DF100&gt;0)</f>
        <v>-0</v>
      </c>
      <c r="DG104" s="49" t="n">
        <f aca="false">-In_Upfront_Fee*$E103*(DG99=0)*(DG100&gt;0)</f>
        <v>-0</v>
      </c>
      <c r="DH104" s="49" t="n">
        <f aca="false">-In_Upfront_Fee*$E103*(DH99=0)*(DH100&gt;0)</f>
        <v>-0</v>
      </c>
      <c r="DI104" s="49" t="n">
        <f aca="false">-In_Upfront_Fee*$E103*(DI99=0)*(DI100&gt;0)</f>
        <v>-0</v>
      </c>
      <c r="DJ104" s="49" t="n">
        <f aca="false">-In_Upfront_Fee*$E103*(DJ99=0)*(DJ100&gt;0)</f>
        <v>-0</v>
      </c>
      <c r="DK104" s="49" t="n">
        <f aca="false">-In_Upfront_Fee*$E103*(DK99=0)*(DK100&gt;0)</f>
        <v>-0</v>
      </c>
      <c r="DL104" s="49" t="n">
        <f aca="false">-In_Upfront_Fee*$E103*(DL99=0)*(DL100&gt;0)</f>
        <v>-0</v>
      </c>
      <c r="DM104" s="49" t="n">
        <f aca="false">-In_Upfront_Fee*$E103*(DM99=0)*(DM100&gt;0)</f>
        <v>-0</v>
      </c>
      <c r="DN104" s="49" t="n">
        <f aca="false">-In_Upfront_Fee*$E103*(DN99=0)*(DN100&gt;0)</f>
        <v>-0</v>
      </c>
      <c r="DO104" s="49" t="n">
        <f aca="false">-In_Upfront_Fee*$E103*(DO99=0)*(DO100&gt;0)</f>
        <v>-0</v>
      </c>
      <c r="DP104" s="49" t="n">
        <f aca="false">-In_Upfront_Fee*$E103*(DP99=0)*(DP100&gt;0)</f>
        <v>-0</v>
      </c>
      <c r="DQ104" s="49" t="n">
        <f aca="false">-In_Upfront_Fee*$E103*(DQ99=0)*(DQ100&gt;0)</f>
        <v>-0</v>
      </c>
      <c r="DR104" s="49" t="n">
        <f aca="false">-In_Upfront_Fee*$E103*(DR99=0)*(DR100&gt;0)</f>
        <v>-0</v>
      </c>
      <c r="DS104" s="49" t="n">
        <f aca="false">-In_Upfront_Fee*$E103*(DS99=0)*(DS100&gt;0)</f>
        <v>-0</v>
      </c>
      <c r="DT104" s="49" t="n">
        <f aca="false">-In_Upfront_Fee*$E103*(DT99=0)*(DT100&gt;0)</f>
        <v>-0</v>
      </c>
      <c r="DU104" s="49" t="n">
        <f aca="false">-In_Upfront_Fee*$E103*(DU99=0)*(DU100&gt;0)</f>
        <v>-0</v>
      </c>
      <c r="DV104" s="49" t="n">
        <f aca="false">-In_Upfront_Fee*$E103*(DV99=0)*(DV100&gt;0)</f>
        <v>-0</v>
      </c>
      <c r="DW104" s="49" t="n">
        <f aca="false">-In_Upfront_Fee*$E103*(DW99=0)*(DW100&gt;0)</f>
        <v>-0</v>
      </c>
      <c r="DX104" s="49" t="n">
        <f aca="false">-In_Upfront_Fee*$E103*(DX99=0)*(DX100&gt;0)</f>
        <v>-0</v>
      </c>
      <c r="DY104" s="49" t="n">
        <f aca="false">-In_Upfront_Fee*$E103*(DY99=0)*(DY100&gt;0)</f>
        <v>-0</v>
      </c>
      <c r="DZ104" s="49" t="n">
        <f aca="false">-In_Upfront_Fee*$E103*(DZ99=0)*(DZ100&gt;0)</f>
        <v>-0</v>
      </c>
      <c r="EA104" s="49" t="n">
        <f aca="false">-In_Upfront_Fee*$E103*(EA99=0)*(EA100&gt;0)</f>
        <v>-0</v>
      </c>
      <c r="EB104" s="49" t="n">
        <f aca="false">-In_Upfront_Fee*$E103*(EB99=0)*(EB100&gt;0)</f>
        <v>-0</v>
      </c>
      <c r="EC104" s="49" t="n">
        <f aca="false">-In_Upfront_Fee*$E103*(EC99=0)*(EC100&gt;0)</f>
        <v>-0</v>
      </c>
      <c r="ED104" s="49" t="n">
        <f aca="false">-In_Upfront_Fee*$E103*(ED99=0)*(ED100&gt;0)</f>
        <v>-0</v>
      </c>
      <c r="EE104" s="49" t="n">
        <f aca="false">-In_Upfront_Fee*$E103*(EE99=0)*(EE100&gt;0)</f>
        <v>-0</v>
      </c>
      <c r="EF104" s="49" t="n">
        <f aca="false">-In_Upfront_Fee*$E103*(EF99=0)*(EF100&gt;0)</f>
        <v>-0</v>
      </c>
      <c r="EG104" s="49" t="n">
        <f aca="false">-In_Upfront_Fee*$E103*(EG99=0)*(EG100&gt;0)</f>
        <v>-0</v>
      </c>
      <c r="EH104" s="49" t="n">
        <f aca="false">-In_Upfront_Fee*$E103*(EH99=0)*(EH100&gt;0)</f>
        <v>-0</v>
      </c>
      <c r="EI104" s="49" t="n">
        <f aca="false">-In_Upfront_Fee*$E103*(EI99=0)*(EI100&gt;0)</f>
        <v>-0</v>
      </c>
      <c r="EJ104" s="49" t="n">
        <f aca="false">-In_Upfront_Fee*$E103*(EJ99=0)*(EJ100&gt;0)</f>
        <v>-0</v>
      </c>
      <c r="EK104" s="49" t="n">
        <f aca="false">-In_Upfront_Fee*$E103*(EK99=0)*(EK100&gt;0)</f>
        <v>-0</v>
      </c>
      <c r="EL104" s="49" t="n">
        <f aca="false">-In_Upfront_Fee*$E103*(EL99=0)*(EL100&gt;0)</f>
        <v>-0</v>
      </c>
      <c r="EM104" s="49" t="n">
        <f aca="false">-In_Upfront_Fee*$E103*(EM99=0)*(EM100&gt;0)</f>
        <v>-0</v>
      </c>
      <c r="EN104" s="49" t="n">
        <f aca="false">-In_Upfront_Fee*$E103*(EN99=0)*(EN100&gt;0)</f>
        <v>-0</v>
      </c>
      <c r="EO104" s="49" t="n">
        <f aca="false">-In_Upfront_Fee*$E103*(EO99=0)*(EO100&gt;0)</f>
        <v>-0</v>
      </c>
    </row>
    <row r="105" customFormat="false" ht="15" hidden="false" customHeight="false" outlineLevel="0" collapsed="false">
      <c r="C105" s="1" t="s">
        <v>493</v>
      </c>
      <c r="D105" s="12" t="s">
        <v>33</v>
      </c>
      <c r="I105" s="49" t="n">
        <f aca="false">SUM(J105:EO105)</f>
        <v>-466.879195585007</v>
      </c>
      <c r="J105" s="49" t="n">
        <f aca="false">-In_Commitment_Fee*($I100-SUM($J100:J100)+J100)*J$6*(J12&gt;0)</f>
        <v>-0</v>
      </c>
      <c r="K105" s="49" t="n">
        <f aca="false">-In_Commitment_Fee*($I100-SUM($J100:K100)+K100)*K$6*(K12&gt;0)</f>
        <v>-0</v>
      </c>
      <c r="L105" s="49" t="n">
        <f aca="false">-In_Commitment_Fee*($I100-SUM($J100:L100)+L100)*L$6*(L12&gt;0)</f>
        <v>-0</v>
      </c>
      <c r="M105" s="49" t="n">
        <f aca="false">-In_Commitment_Fee*($I100-SUM($J100:M100)+M100)*M$6*(M12&gt;0)</f>
        <v>-0</v>
      </c>
      <c r="N105" s="49" t="n">
        <f aca="false">-In_Commitment_Fee*($I100-SUM($J100:N100)+N100)*N$6*(N12&gt;0)</f>
        <v>-0</v>
      </c>
      <c r="O105" s="49" t="n">
        <f aca="false">-In_Commitment_Fee*($I100-SUM($J100:O100)+O100)*O$6*(O12&gt;0)</f>
        <v>-0</v>
      </c>
      <c r="P105" s="49" t="n">
        <f aca="false">-In_Commitment_Fee*($I100-SUM($J100:P100)+P100)*P$6*(P12&gt;0)</f>
        <v>-0</v>
      </c>
      <c r="Q105" s="49" t="n">
        <f aca="false">-In_Commitment_Fee*($I100-SUM($J100:Q100)+Q100)*Q$6*(Q12&gt;0)</f>
        <v>-0</v>
      </c>
      <c r="R105" s="49" t="n">
        <f aca="false">-In_Commitment_Fee*($I100-SUM($J100:R100)+R100)*R$6*(R12&gt;0)</f>
        <v>-107.317611656209</v>
      </c>
      <c r="S105" s="49" t="n">
        <f aca="false">-In_Commitment_Fee*($I100-SUM($J100:S100)+S100)*S$6*(S12&gt;0)</f>
        <v>-93.1274418501834</v>
      </c>
      <c r="T105" s="49" t="n">
        <f aca="false">-In_Commitment_Fee*($I100-SUM($J100:T100)+T100)*T$6*(T12&gt;0)</f>
        <v>-73.9983504685849</v>
      </c>
      <c r="U105" s="49" t="n">
        <f aca="false">-In_Commitment_Fee*($I100-SUM($J100:U100)+U100)*U$6*(U12&gt;0)</f>
        <v>-62.82259448179</v>
      </c>
      <c r="V105" s="49" t="n">
        <f aca="false">-In_Commitment_Fee*($I100-SUM($J100:V100)+V100)*V$6*(V12&gt;0)</f>
        <v>-50.7019233835463</v>
      </c>
      <c r="W105" s="49" t="n">
        <f aca="false">-In_Commitment_Fee*($I100-SUM($J100:W100)+W100)*W$6*(W12&gt;0)</f>
        <v>-37.7425294095351</v>
      </c>
      <c r="X105" s="49" t="n">
        <f aca="false">-In_Commitment_Fee*($I100-SUM($J100:X100)+X100)*X$6*(X12&gt;0)</f>
        <v>-26.4335949714008</v>
      </c>
      <c r="Y105" s="49" t="n">
        <f aca="false">-In_Commitment_Fee*($I100-SUM($J100:Y100)+Y100)*Y$6*(Y12&gt;0)</f>
        <v>-14.7351493637577</v>
      </c>
      <c r="Z105" s="49" t="n">
        <f aca="false">-In_Commitment_Fee*($I100-SUM($J100:Z100)+Z100)*Z$6*(Z12&gt;0)</f>
        <v>-0</v>
      </c>
      <c r="AA105" s="49" t="n">
        <f aca="false">-In_Commitment_Fee*($I100-SUM($J100:AA100)+AA100)*AA$6*(AA12&gt;0)</f>
        <v>-0</v>
      </c>
      <c r="AB105" s="49" t="n">
        <f aca="false">-In_Commitment_Fee*($I100-SUM($J100:AB100)+AB100)*AB$6*(AB12&gt;0)</f>
        <v>-0</v>
      </c>
      <c r="AC105" s="49" t="n">
        <f aca="false">-In_Commitment_Fee*($I100-SUM($J100:AC100)+AC100)*AC$6*(AC12&gt;0)</f>
        <v>-0</v>
      </c>
      <c r="AD105" s="49" t="n">
        <f aca="false">-In_Commitment_Fee*($I100-SUM($J100:AD100)+AD100)*AD$6*(AD12&gt;0)</f>
        <v>-0</v>
      </c>
      <c r="AE105" s="49" t="n">
        <f aca="false">-In_Commitment_Fee*($I100-SUM($J100:AE100)+AE100)*AE$6*(AE12&gt;0)</f>
        <v>-0</v>
      </c>
      <c r="AF105" s="49" t="n">
        <f aca="false">-In_Commitment_Fee*($I100-SUM($J100:AF100)+AF100)*AF$6*(AF12&gt;0)</f>
        <v>-0</v>
      </c>
      <c r="AG105" s="49" t="n">
        <f aca="false">-In_Commitment_Fee*($I100-SUM($J100:AG100)+AG100)*AG$6*(AG12&gt;0)</f>
        <v>-0</v>
      </c>
      <c r="AH105" s="49" t="n">
        <f aca="false">-In_Commitment_Fee*($I100-SUM($J100:AH100)+AH100)*AH$6*(AH12&gt;0)</f>
        <v>-0</v>
      </c>
      <c r="AI105" s="49" t="n">
        <f aca="false">-In_Commitment_Fee*($I100-SUM($J100:AI100)+AI100)*AI$6*(AI12&gt;0)</f>
        <v>-0</v>
      </c>
      <c r="AJ105" s="49" t="n">
        <f aca="false">-In_Commitment_Fee*($I100-SUM($J100:AJ100)+AJ100)*AJ$6*(AJ12&gt;0)</f>
        <v>-0</v>
      </c>
      <c r="AK105" s="49" t="n">
        <f aca="false">-In_Commitment_Fee*($I100-SUM($J100:AK100)+AK100)*AK$6*(AK12&gt;0)</f>
        <v>-0</v>
      </c>
      <c r="AL105" s="49" t="n">
        <f aca="false">-In_Commitment_Fee*($I100-SUM($J100:AL100)+AL100)*AL$6*(AL12&gt;0)</f>
        <v>-0</v>
      </c>
      <c r="AM105" s="49" t="n">
        <f aca="false">-In_Commitment_Fee*($I100-SUM($J100:AM100)+AM100)*AM$6*(AM12&gt;0)</f>
        <v>-0</v>
      </c>
      <c r="AN105" s="49" t="n">
        <f aca="false">-In_Commitment_Fee*($I100-SUM($J100:AN100)+AN100)*AN$6*(AN12&gt;0)</f>
        <v>-0</v>
      </c>
      <c r="AO105" s="49" t="n">
        <f aca="false">-In_Commitment_Fee*($I100-SUM($J100:AO100)+AO100)*AO$6*(AO12&gt;0)</f>
        <v>-0</v>
      </c>
      <c r="AP105" s="49" t="n">
        <f aca="false">-In_Commitment_Fee*($I100-SUM($J100:AP100)+AP100)*AP$6*(AP12&gt;0)</f>
        <v>-0</v>
      </c>
      <c r="AQ105" s="49" t="n">
        <f aca="false">-In_Commitment_Fee*($I100-SUM($J100:AQ100)+AQ100)*AQ$6*(AQ12&gt;0)</f>
        <v>-0</v>
      </c>
      <c r="AR105" s="49" t="n">
        <f aca="false">-In_Commitment_Fee*($I100-SUM($J100:AR100)+AR100)*AR$6*(AR12&gt;0)</f>
        <v>-0</v>
      </c>
      <c r="AS105" s="49" t="n">
        <f aca="false">-In_Commitment_Fee*($I100-SUM($J100:AS100)+AS100)*AS$6*(AS12&gt;0)</f>
        <v>-0</v>
      </c>
      <c r="AT105" s="49" t="n">
        <f aca="false">-In_Commitment_Fee*($I100-SUM($J100:AT100)+AT100)*AT$6*(AT12&gt;0)</f>
        <v>-0</v>
      </c>
      <c r="AU105" s="49" t="n">
        <f aca="false">-In_Commitment_Fee*($I100-SUM($J100:AU100)+AU100)*AU$6*(AU12&gt;0)</f>
        <v>-0</v>
      </c>
      <c r="AV105" s="49" t="n">
        <f aca="false">-In_Commitment_Fee*($I100-SUM($J100:AV100)+AV100)*AV$6*(AV12&gt;0)</f>
        <v>-0</v>
      </c>
      <c r="AW105" s="49" t="n">
        <f aca="false">-In_Commitment_Fee*($I100-SUM($J100:AW100)+AW100)*AW$6*(AW12&gt;0)</f>
        <v>-0</v>
      </c>
      <c r="AX105" s="49" t="n">
        <f aca="false">-In_Commitment_Fee*($I100-SUM($J100:AX100)+AX100)*AX$6*(AX12&gt;0)</f>
        <v>-0</v>
      </c>
      <c r="AY105" s="49" t="n">
        <f aca="false">-In_Commitment_Fee*($I100-SUM($J100:AY100)+AY100)*AY$6*(AY12&gt;0)</f>
        <v>-0</v>
      </c>
      <c r="AZ105" s="49" t="n">
        <f aca="false">-In_Commitment_Fee*($I100-SUM($J100:AZ100)+AZ100)*AZ$6*(AZ12&gt;0)</f>
        <v>-0</v>
      </c>
      <c r="BA105" s="49" t="n">
        <f aca="false">-In_Commitment_Fee*($I100-SUM($J100:BA100)+BA100)*BA$6*(BA12&gt;0)</f>
        <v>-0</v>
      </c>
      <c r="BB105" s="49" t="n">
        <f aca="false">-In_Commitment_Fee*($I100-SUM($J100:BB100)+BB100)*BB$6*(BB12&gt;0)</f>
        <v>-0</v>
      </c>
      <c r="BC105" s="49" t="n">
        <f aca="false">-In_Commitment_Fee*($I100-SUM($J100:BC100)+BC100)*BC$6*(BC12&gt;0)</f>
        <v>-0</v>
      </c>
      <c r="BD105" s="49" t="n">
        <f aca="false">-In_Commitment_Fee*($I100-SUM($J100:BD100)+BD100)*BD$6*(BD12&gt;0)</f>
        <v>-0</v>
      </c>
      <c r="BE105" s="49" t="n">
        <f aca="false">-In_Commitment_Fee*($I100-SUM($J100:BE100)+BE100)*BE$6*(BE12&gt;0)</f>
        <v>-0</v>
      </c>
      <c r="BF105" s="49" t="n">
        <f aca="false">-In_Commitment_Fee*($I100-SUM($J100:BF100)+BF100)*BF$6*(BF12&gt;0)</f>
        <v>-0</v>
      </c>
      <c r="BG105" s="49" t="n">
        <f aca="false">-In_Commitment_Fee*($I100-SUM($J100:BG100)+BG100)*BG$6*(BG12&gt;0)</f>
        <v>-0</v>
      </c>
      <c r="BH105" s="49" t="n">
        <f aca="false">-In_Commitment_Fee*($I100-SUM($J100:BH100)+BH100)*BH$6*(BH12&gt;0)</f>
        <v>-0</v>
      </c>
      <c r="BI105" s="49" t="n">
        <f aca="false">-In_Commitment_Fee*($I100-SUM($J100:BI100)+BI100)*BI$6*(BI12&gt;0)</f>
        <v>-0</v>
      </c>
      <c r="BJ105" s="49" t="n">
        <f aca="false">-In_Commitment_Fee*($I100-SUM($J100:BJ100)+BJ100)*BJ$6*(BJ12&gt;0)</f>
        <v>-0</v>
      </c>
      <c r="BK105" s="49" t="n">
        <f aca="false">-In_Commitment_Fee*($I100-SUM($J100:BK100)+BK100)*BK$6*(BK12&gt;0)</f>
        <v>-0</v>
      </c>
      <c r="BL105" s="49" t="n">
        <f aca="false">-In_Commitment_Fee*($I100-SUM($J100:BL100)+BL100)*BL$6*(BL12&gt;0)</f>
        <v>-0</v>
      </c>
      <c r="BM105" s="49" t="n">
        <f aca="false">-In_Commitment_Fee*($I100-SUM($J100:BM100)+BM100)*BM$6*(BM12&gt;0)</f>
        <v>-0</v>
      </c>
      <c r="BN105" s="49" t="n">
        <f aca="false">-In_Commitment_Fee*($I100-SUM($J100:BN100)+BN100)*BN$6*(BN12&gt;0)</f>
        <v>-0</v>
      </c>
      <c r="BO105" s="49" t="n">
        <f aca="false">-In_Commitment_Fee*($I100-SUM($J100:BO100)+BO100)*BO$6*(BO12&gt;0)</f>
        <v>-0</v>
      </c>
      <c r="BP105" s="49" t="n">
        <f aca="false">-In_Commitment_Fee*($I100-SUM($J100:BP100)+BP100)*BP$6*(BP12&gt;0)</f>
        <v>-0</v>
      </c>
      <c r="BQ105" s="49" t="n">
        <f aca="false">-In_Commitment_Fee*($I100-SUM($J100:BQ100)+BQ100)*BQ$6*(BQ12&gt;0)</f>
        <v>-0</v>
      </c>
      <c r="BR105" s="49" t="n">
        <f aca="false">-In_Commitment_Fee*($I100-SUM($J100:BR100)+BR100)*BR$6*(BR12&gt;0)</f>
        <v>-0</v>
      </c>
      <c r="BS105" s="49" t="n">
        <f aca="false">-In_Commitment_Fee*($I100-SUM($J100:BS100)+BS100)*BS$6*(BS12&gt;0)</f>
        <v>-0</v>
      </c>
      <c r="BT105" s="49" t="n">
        <f aca="false">-In_Commitment_Fee*($I100-SUM($J100:BT100)+BT100)*BT$6*(BT12&gt;0)</f>
        <v>-0</v>
      </c>
      <c r="BU105" s="49" t="n">
        <f aca="false">-In_Commitment_Fee*($I100-SUM($J100:BU100)+BU100)*BU$6*(BU12&gt;0)</f>
        <v>-0</v>
      </c>
      <c r="BV105" s="49" t="n">
        <f aca="false">-In_Commitment_Fee*($I100-SUM($J100:BV100)+BV100)*BV$6*(BV12&gt;0)</f>
        <v>-0</v>
      </c>
      <c r="BW105" s="49" t="n">
        <f aca="false">-In_Commitment_Fee*($I100-SUM($J100:BW100)+BW100)*BW$6*(BW12&gt;0)</f>
        <v>-0</v>
      </c>
      <c r="BX105" s="49" t="n">
        <f aca="false">-In_Commitment_Fee*($I100-SUM($J100:BX100)+BX100)*BX$6*(BX12&gt;0)</f>
        <v>-0</v>
      </c>
      <c r="BY105" s="49" t="n">
        <f aca="false">-In_Commitment_Fee*($I100-SUM($J100:BY100)+BY100)*BY$6*(BY12&gt;0)</f>
        <v>-0</v>
      </c>
      <c r="BZ105" s="49" t="n">
        <f aca="false">-In_Commitment_Fee*($I100-SUM($J100:BZ100)+BZ100)*BZ$6*(BZ12&gt;0)</f>
        <v>-0</v>
      </c>
      <c r="CA105" s="49" t="n">
        <f aca="false">-In_Commitment_Fee*($I100-SUM($J100:CA100)+CA100)*CA$6*(CA12&gt;0)</f>
        <v>-0</v>
      </c>
      <c r="CB105" s="49" t="n">
        <f aca="false">-In_Commitment_Fee*($I100-SUM($J100:CB100)+CB100)*CB$6*(CB12&gt;0)</f>
        <v>-0</v>
      </c>
      <c r="CC105" s="49" t="n">
        <f aca="false">-In_Commitment_Fee*($I100-SUM($J100:CC100)+CC100)*CC$6*(CC12&gt;0)</f>
        <v>-0</v>
      </c>
      <c r="CD105" s="49" t="n">
        <f aca="false">-In_Commitment_Fee*($I100-SUM($J100:CD100)+CD100)*CD$6*(CD12&gt;0)</f>
        <v>-0</v>
      </c>
      <c r="CE105" s="49" t="n">
        <f aca="false">-In_Commitment_Fee*($I100-SUM($J100:CE100)+CE100)*CE$6*(CE12&gt;0)</f>
        <v>-0</v>
      </c>
      <c r="CF105" s="49" t="n">
        <f aca="false">-In_Commitment_Fee*($I100-SUM($J100:CF100)+CF100)*CF$6*(CF12&gt;0)</f>
        <v>-0</v>
      </c>
      <c r="CG105" s="49" t="n">
        <f aca="false">-In_Commitment_Fee*($I100-SUM($J100:CG100)+CG100)*CG$6*(CG12&gt;0)</f>
        <v>-0</v>
      </c>
      <c r="CH105" s="49" t="n">
        <f aca="false">-In_Commitment_Fee*($I100-SUM($J100:CH100)+CH100)*CH$6*(CH12&gt;0)</f>
        <v>-0</v>
      </c>
      <c r="CI105" s="49" t="n">
        <f aca="false">-In_Commitment_Fee*($I100-SUM($J100:CI100)+CI100)*CI$6*(CI12&gt;0)</f>
        <v>-0</v>
      </c>
      <c r="CJ105" s="49" t="n">
        <f aca="false">-In_Commitment_Fee*($I100-SUM($J100:CJ100)+CJ100)*CJ$6*(CJ12&gt;0)</f>
        <v>-0</v>
      </c>
      <c r="CK105" s="49" t="n">
        <f aca="false">-In_Commitment_Fee*($I100-SUM($J100:CK100)+CK100)*CK$6*(CK12&gt;0)</f>
        <v>-0</v>
      </c>
      <c r="CL105" s="49" t="n">
        <f aca="false">-In_Commitment_Fee*($I100-SUM($J100:CL100)+CL100)*CL$6*(CL12&gt;0)</f>
        <v>-0</v>
      </c>
      <c r="CM105" s="49" t="n">
        <f aca="false">-In_Commitment_Fee*($I100-SUM($J100:CM100)+CM100)*CM$6*(CM12&gt;0)</f>
        <v>-0</v>
      </c>
      <c r="CN105" s="49" t="n">
        <f aca="false">-In_Commitment_Fee*($I100-SUM($J100:CN100)+CN100)*CN$6*(CN12&gt;0)</f>
        <v>-0</v>
      </c>
      <c r="CO105" s="49" t="n">
        <f aca="false">-In_Commitment_Fee*($I100-SUM($J100:CO100)+CO100)*CO$6*(CO12&gt;0)</f>
        <v>-0</v>
      </c>
      <c r="CP105" s="49" t="n">
        <f aca="false">-In_Commitment_Fee*($I100-SUM($J100:CP100)+CP100)*CP$6*(CP12&gt;0)</f>
        <v>-0</v>
      </c>
      <c r="CQ105" s="49" t="n">
        <f aca="false">-In_Commitment_Fee*($I100-SUM($J100:CQ100)+CQ100)*CQ$6*(CQ12&gt;0)</f>
        <v>-0</v>
      </c>
      <c r="CR105" s="49" t="n">
        <f aca="false">-In_Commitment_Fee*($I100-SUM($J100:CR100)+CR100)*CR$6*(CR12&gt;0)</f>
        <v>-0</v>
      </c>
      <c r="CS105" s="49" t="n">
        <f aca="false">-In_Commitment_Fee*($I100-SUM($J100:CS100)+CS100)*CS$6*(CS12&gt;0)</f>
        <v>-0</v>
      </c>
      <c r="CT105" s="49" t="n">
        <f aca="false">-In_Commitment_Fee*($I100-SUM($J100:CT100)+CT100)*CT$6*(CT12&gt;0)</f>
        <v>-0</v>
      </c>
      <c r="CU105" s="49" t="n">
        <f aca="false">-In_Commitment_Fee*($I100-SUM($J100:CU100)+CU100)*CU$6*(CU12&gt;0)</f>
        <v>-0</v>
      </c>
      <c r="CV105" s="49" t="n">
        <f aca="false">-In_Commitment_Fee*($I100-SUM($J100:CV100)+CV100)*CV$6*(CV12&gt;0)</f>
        <v>-0</v>
      </c>
      <c r="CW105" s="49" t="n">
        <f aca="false">-In_Commitment_Fee*($I100-SUM($J100:CW100)+CW100)*CW$6*(CW12&gt;0)</f>
        <v>-0</v>
      </c>
      <c r="CX105" s="49" t="n">
        <f aca="false">-In_Commitment_Fee*($I100-SUM($J100:CX100)+CX100)*CX$6*(CX12&gt;0)</f>
        <v>-0</v>
      </c>
      <c r="CY105" s="49" t="n">
        <f aca="false">-In_Commitment_Fee*($I100-SUM($J100:CY100)+CY100)*CY$6*(CY12&gt;0)</f>
        <v>-0</v>
      </c>
      <c r="CZ105" s="49" t="n">
        <f aca="false">-In_Commitment_Fee*($I100-SUM($J100:CZ100)+CZ100)*CZ$6*(CZ12&gt;0)</f>
        <v>-0</v>
      </c>
      <c r="DA105" s="49" t="n">
        <f aca="false">-In_Commitment_Fee*($I100-SUM($J100:DA100)+DA100)*DA$6*(DA12&gt;0)</f>
        <v>-0</v>
      </c>
      <c r="DB105" s="49" t="n">
        <f aca="false">-In_Commitment_Fee*($I100-SUM($J100:DB100)+DB100)*DB$6*(DB12&gt;0)</f>
        <v>-0</v>
      </c>
      <c r="DC105" s="49" t="n">
        <f aca="false">-In_Commitment_Fee*($I100-SUM($J100:DC100)+DC100)*DC$6*(DC12&gt;0)</f>
        <v>-0</v>
      </c>
      <c r="DD105" s="49" t="n">
        <f aca="false">-In_Commitment_Fee*($I100-SUM($J100:DD100)+DD100)*DD$6*(DD12&gt;0)</f>
        <v>-0</v>
      </c>
      <c r="DE105" s="49" t="n">
        <f aca="false">-In_Commitment_Fee*($I100-SUM($J100:DE100)+DE100)*DE$6*(DE12&gt;0)</f>
        <v>-0</v>
      </c>
      <c r="DF105" s="49" t="n">
        <f aca="false">-In_Commitment_Fee*($I100-SUM($J100:DF100)+DF100)*DF$6*(DF12&gt;0)</f>
        <v>-0</v>
      </c>
      <c r="DG105" s="49" t="n">
        <f aca="false">-In_Commitment_Fee*($I100-SUM($J100:DG100)+DG100)*DG$6*(DG12&gt;0)</f>
        <v>-0</v>
      </c>
      <c r="DH105" s="49" t="n">
        <f aca="false">-In_Commitment_Fee*($I100-SUM($J100:DH100)+DH100)*DH$6*(DH12&gt;0)</f>
        <v>-0</v>
      </c>
      <c r="DI105" s="49" t="n">
        <f aca="false">-In_Commitment_Fee*($I100-SUM($J100:DI100)+DI100)*DI$6*(DI12&gt;0)</f>
        <v>-0</v>
      </c>
      <c r="DJ105" s="49" t="n">
        <f aca="false">-In_Commitment_Fee*($I100-SUM($J100:DJ100)+DJ100)*DJ$6*(DJ12&gt;0)</f>
        <v>-0</v>
      </c>
      <c r="DK105" s="49" t="n">
        <f aca="false">-In_Commitment_Fee*($I100-SUM($J100:DK100)+DK100)*DK$6*(DK12&gt;0)</f>
        <v>-0</v>
      </c>
      <c r="DL105" s="49" t="n">
        <f aca="false">-In_Commitment_Fee*($I100-SUM($J100:DL100)+DL100)*DL$6*(DL12&gt;0)</f>
        <v>-0</v>
      </c>
      <c r="DM105" s="49" t="n">
        <f aca="false">-In_Commitment_Fee*($I100-SUM($J100:DM100)+DM100)*DM$6*(DM12&gt;0)</f>
        <v>-0</v>
      </c>
      <c r="DN105" s="49" t="n">
        <f aca="false">-In_Commitment_Fee*($I100-SUM($J100:DN100)+DN100)*DN$6*(DN12&gt;0)</f>
        <v>-0</v>
      </c>
      <c r="DO105" s="49" t="n">
        <f aca="false">-In_Commitment_Fee*($I100-SUM($J100:DO100)+DO100)*DO$6*(DO12&gt;0)</f>
        <v>-0</v>
      </c>
      <c r="DP105" s="49" t="n">
        <f aca="false">-In_Commitment_Fee*($I100-SUM($J100:DP100)+DP100)*DP$6*(DP12&gt;0)</f>
        <v>-0</v>
      </c>
      <c r="DQ105" s="49" t="n">
        <f aca="false">-In_Commitment_Fee*($I100-SUM($J100:DQ100)+DQ100)*DQ$6*(DQ12&gt;0)</f>
        <v>-0</v>
      </c>
      <c r="DR105" s="49" t="n">
        <f aca="false">-In_Commitment_Fee*($I100-SUM($J100:DR100)+DR100)*DR$6*(DR12&gt;0)</f>
        <v>-0</v>
      </c>
      <c r="DS105" s="49" t="n">
        <f aca="false">-In_Commitment_Fee*($I100-SUM($J100:DS100)+DS100)*DS$6*(DS12&gt;0)</f>
        <v>-0</v>
      </c>
      <c r="DT105" s="49" t="n">
        <f aca="false">-In_Commitment_Fee*($I100-SUM($J100:DT100)+DT100)*DT$6*(DT12&gt;0)</f>
        <v>-0</v>
      </c>
      <c r="DU105" s="49" t="n">
        <f aca="false">-In_Commitment_Fee*($I100-SUM($J100:DU100)+DU100)*DU$6*(DU12&gt;0)</f>
        <v>-0</v>
      </c>
      <c r="DV105" s="49" t="n">
        <f aca="false">-In_Commitment_Fee*($I100-SUM($J100:DV100)+DV100)*DV$6*(DV12&gt;0)</f>
        <v>-0</v>
      </c>
      <c r="DW105" s="49" t="n">
        <f aca="false">-In_Commitment_Fee*($I100-SUM($J100:DW100)+DW100)*DW$6*(DW12&gt;0)</f>
        <v>-0</v>
      </c>
      <c r="DX105" s="49" t="n">
        <f aca="false">-In_Commitment_Fee*($I100-SUM($J100:DX100)+DX100)*DX$6*(DX12&gt;0)</f>
        <v>-0</v>
      </c>
      <c r="DY105" s="49" t="n">
        <f aca="false">-In_Commitment_Fee*($I100-SUM($J100:DY100)+DY100)*DY$6*(DY12&gt;0)</f>
        <v>-0</v>
      </c>
      <c r="DZ105" s="49" t="n">
        <f aca="false">-In_Commitment_Fee*($I100-SUM($J100:DZ100)+DZ100)*DZ$6*(DZ12&gt;0)</f>
        <v>-0</v>
      </c>
      <c r="EA105" s="49" t="n">
        <f aca="false">-In_Commitment_Fee*($I100-SUM($J100:EA100)+EA100)*EA$6*(EA12&gt;0)</f>
        <v>-0</v>
      </c>
      <c r="EB105" s="49" t="n">
        <f aca="false">-In_Commitment_Fee*($I100-SUM($J100:EB100)+EB100)*EB$6*(EB12&gt;0)</f>
        <v>-0</v>
      </c>
      <c r="EC105" s="49" t="n">
        <f aca="false">-In_Commitment_Fee*($I100-SUM($J100:EC100)+EC100)*EC$6*(EC12&gt;0)</f>
        <v>-0</v>
      </c>
      <c r="ED105" s="49" t="n">
        <f aca="false">-In_Commitment_Fee*($I100-SUM($J100:ED100)+ED100)*ED$6*(ED12&gt;0)</f>
        <v>-0</v>
      </c>
      <c r="EE105" s="49" t="n">
        <f aca="false">-In_Commitment_Fee*($I100-SUM($J100:EE100)+EE100)*EE$6*(EE12&gt;0)</f>
        <v>-0</v>
      </c>
      <c r="EF105" s="49" t="n">
        <f aca="false">-In_Commitment_Fee*($I100-SUM($J100:EF100)+EF100)*EF$6*(EF12&gt;0)</f>
        <v>-0</v>
      </c>
      <c r="EG105" s="49" t="n">
        <f aca="false">-In_Commitment_Fee*($I100-SUM($J100:EG100)+EG100)*EG$6*(EG12&gt;0)</f>
        <v>-0</v>
      </c>
      <c r="EH105" s="49" t="n">
        <f aca="false">-In_Commitment_Fee*($I100-SUM($J100:EH100)+EH100)*EH$6*(EH12&gt;0)</f>
        <v>-0</v>
      </c>
      <c r="EI105" s="49" t="n">
        <f aca="false">-In_Commitment_Fee*($I100-SUM($J100:EI100)+EI100)*EI$6*(EI12&gt;0)</f>
        <v>-0</v>
      </c>
      <c r="EJ105" s="49" t="n">
        <f aca="false">-In_Commitment_Fee*($I100-SUM($J100:EJ100)+EJ100)*EJ$6*(EJ12&gt;0)</f>
        <v>-0</v>
      </c>
      <c r="EK105" s="49" t="n">
        <f aca="false">-In_Commitment_Fee*($I100-SUM($J100:EK100)+EK100)*EK$6*(EK12&gt;0)</f>
        <v>-0</v>
      </c>
      <c r="EL105" s="49" t="n">
        <f aca="false">-In_Commitment_Fee*($I100-SUM($J100:EL100)+EL100)*EL$6*(EL12&gt;0)</f>
        <v>-0</v>
      </c>
      <c r="EM105" s="49" t="n">
        <f aca="false">-In_Commitment_Fee*($I100-SUM($J100:EM100)+EM100)*EM$6*(EM12&gt;0)</f>
        <v>-0</v>
      </c>
      <c r="EN105" s="49" t="n">
        <f aca="false">-In_Commitment_Fee*($I100-SUM($J100:EN100)+EN100)*EN$6*(EN12&gt;0)</f>
        <v>-0</v>
      </c>
      <c r="EO105" s="49" t="n">
        <f aca="false">-In_Commitment_Fee*($I100-SUM($J100:EO100)+EO100)*EO$6*(EO12&gt;0)</f>
        <v>-0</v>
      </c>
    </row>
    <row r="106" customFormat="false" ht="15" hidden="false" customHeight="false" outlineLevel="0" collapsed="false">
      <c r="C106" s="1" t="s">
        <v>494</v>
      </c>
      <c r="D106" s="12" t="s">
        <v>33</v>
      </c>
      <c r="E106" s="49" t="n">
        <f aca="false">-SUMIFS($J96:$EO96,$J$4:$EO$4,"&gt;"&amp;In_COD,$J$4:$EO$4,"&lt;="&amp;EDATE(In_COD,In_DSRA_Months))</f>
        <v>1177.60153927476</v>
      </c>
      <c r="I106" s="49" t="n">
        <f aca="false">SUM(J106:EO106)</f>
        <v>0</v>
      </c>
      <c r="J106" s="49" t="n">
        <f aca="false">$E106*(J19-J14)</f>
        <v>0</v>
      </c>
      <c r="K106" s="49" t="n">
        <f aca="false">$E106*(K19-K14)</f>
        <v>0</v>
      </c>
      <c r="L106" s="49" t="n">
        <f aca="false">$E106*(L19-L14)</f>
        <v>0</v>
      </c>
      <c r="M106" s="49" t="n">
        <f aca="false">$E106*(M19-M14)</f>
        <v>0</v>
      </c>
      <c r="N106" s="49" t="n">
        <f aca="false">$E106*(N19-N14)</f>
        <v>0</v>
      </c>
      <c r="O106" s="49" t="n">
        <f aca="false">$E106*(O19-O14)</f>
        <v>0</v>
      </c>
      <c r="P106" s="49" t="n">
        <f aca="false">$E106*(P19-P14)</f>
        <v>0</v>
      </c>
      <c r="Q106" s="49" t="n">
        <f aca="false">$E106*(Q19-Q14)</f>
        <v>0</v>
      </c>
      <c r="R106" s="49" t="n">
        <f aca="false">$E106*(R19-R14)</f>
        <v>0</v>
      </c>
      <c r="S106" s="49" t="n">
        <f aca="false">$E106*(S19-S14)</f>
        <v>0</v>
      </c>
      <c r="T106" s="49" t="n">
        <f aca="false">$E106*(T19-T14)</f>
        <v>0</v>
      </c>
      <c r="U106" s="49" t="n">
        <f aca="false">$E106*(U19-U14)</f>
        <v>0</v>
      </c>
      <c r="V106" s="49" t="n">
        <f aca="false">$E106*(V19-V14)</f>
        <v>0</v>
      </c>
      <c r="W106" s="49" t="n">
        <f aca="false">$E106*(W19-W14)</f>
        <v>0</v>
      </c>
      <c r="X106" s="49" t="n">
        <f aca="false">$E106*(X19-X14)</f>
        <v>0</v>
      </c>
      <c r="Y106" s="49" t="n">
        <f aca="false">$E106*(Y19-Y14)</f>
        <v>-1177.60153927476</v>
      </c>
      <c r="Z106" s="49" t="n">
        <f aca="false">$E106*(Z19-Z14)</f>
        <v>0</v>
      </c>
      <c r="AA106" s="49" t="n">
        <f aca="false">$E106*(AA19-AA14)</f>
        <v>0</v>
      </c>
      <c r="AB106" s="49" t="n">
        <f aca="false">$E106*(AB19-AB14)</f>
        <v>0</v>
      </c>
      <c r="AC106" s="49" t="n">
        <f aca="false">$E106*(AC19-AC14)</f>
        <v>0</v>
      </c>
      <c r="AD106" s="49" t="n">
        <f aca="false">$E106*(AD19-AD14)</f>
        <v>0</v>
      </c>
      <c r="AE106" s="49" t="n">
        <f aca="false">$E106*(AE19-AE14)</f>
        <v>0</v>
      </c>
      <c r="AF106" s="49" t="n">
        <f aca="false">$E106*(AF19-AF14)</f>
        <v>0</v>
      </c>
      <c r="AG106" s="49" t="n">
        <f aca="false">$E106*(AG19-AG14)</f>
        <v>0</v>
      </c>
      <c r="AH106" s="49" t="n">
        <f aca="false">$E106*(AH19-AH14)</f>
        <v>0</v>
      </c>
      <c r="AI106" s="49" t="n">
        <f aca="false">$E106*(AI19-AI14)</f>
        <v>0</v>
      </c>
      <c r="AJ106" s="49" t="n">
        <f aca="false">$E106*(AJ19-AJ14)</f>
        <v>0</v>
      </c>
      <c r="AK106" s="49" t="n">
        <f aca="false">$E106*(AK19-AK14)</f>
        <v>0</v>
      </c>
      <c r="AL106" s="49" t="n">
        <f aca="false">$E106*(AL19-AL14)</f>
        <v>0</v>
      </c>
      <c r="AM106" s="49" t="n">
        <f aca="false">$E106*(AM19-AM14)</f>
        <v>0</v>
      </c>
      <c r="AN106" s="49" t="n">
        <f aca="false">$E106*(AN19-AN14)</f>
        <v>0</v>
      </c>
      <c r="AO106" s="49" t="n">
        <f aca="false">$E106*(AO19-AO14)</f>
        <v>0</v>
      </c>
      <c r="AP106" s="49" t="n">
        <f aca="false">$E106*(AP19-AP14)</f>
        <v>0</v>
      </c>
      <c r="AQ106" s="49" t="n">
        <f aca="false">$E106*(AQ19-AQ14)</f>
        <v>0</v>
      </c>
      <c r="AR106" s="49" t="n">
        <f aca="false">$E106*(AR19-AR14)</f>
        <v>0</v>
      </c>
      <c r="AS106" s="49" t="n">
        <f aca="false">$E106*(AS19-AS14)</f>
        <v>0</v>
      </c>
      <c r="AT106" s="49" t="n">
        <f aca="false">$E106*(AT19-AT14)</f>
        <v>0</v>
      </c>
      <c r="AU106" s="49" t="n">
        <f aca="false">$E106*(AU19-AU14)</f>
        <v>0</v>
      </c>
      <c r="AV106" s="49" t="n">
        <f aca="false">$E106*(AV19-AV14)</f>
        <v>0</v>
      </c>
      <c r="AW106" s="49" t="n">
        <f aca="false">$E106*(AW19-AW14)</f>
        <v>0</v>
      </c>
      <c r="AX106" s="49" t="n">
        <f aca="false">$E106*(AX19-AX14)</f>
        <v>0</v>
      </c>
      <c r="AY106" s="49" t="n">
        <f aca="false">$E106*(AY19-AY14)</f>
        <v>0</v>
      </c>
      <c r="AZ106" s="49" t="n">
        <f aca="false">$E106*(AZ19-AZ14)</f>
        <v>0</v>
      </c>
      <c r="BA106" s="49" t="n">
        <f aca="false">$E106*(BA19-BA14)</f>
        <v>0</v>
      </c>
      <c r="BB106" s="49" t="n">
        <f aca="false">$E106*(BB19-BB14)</f>
        <v>0</v>
      </c>
      <c r="BC106" s="49" t="n">
        <f aca="false">$E106*(BC19-BC14)</f>
        <v>0</v>
      </c>
      <c r="BD106" s="49" t="n">
        <f aca="false">$E106*(BD19-BD14)</f>
        <v>0</v>
      </c>
      <c r="BE106" s="49" t="n">
        <f aca="false">$E106*(BE19-BE14)</f>
        <v>0</v>
      </c>
      <c r="BF106" s="49" t="n">
        <f aca="false">$E106*(BF19-BF14)</f>
        <v>0</v>
      </c>
      <c r="BG106" s="49" t="n">
        <f aca="false">$E106*(BG19-BG14)</f>
        <v>0</v>
      </c>
      <c r="BH106" s="49" t="n">
        <f aca="false">$E106*(BH19-BH14)</f>
        <v>0</v>
      </c>
      <c r="BI106" s="49" t="n">
        <f aca="false">$E106*(BI19-BI14)</f>
        <v>0</v>
      </c>
      <c r="BJ106" s="49" t="n">
        <f aca="false">$E106*(BJ19-BJ14)</f>
        <v>0</v>
      </c>
      <c r="BK106" s="49" t="n">
        <f aca="false">$E106*(BK19-BK14)</f>
        <v>0</v>
      </c>
      <c r="BL106" s="49" t="n">
        <f aca="false">$E106*(BL19-BL14)</f>
        <v>0</v>
      </c>
      <c r="BM106" s="49" t="n">
        <f aca="false">$E106*(BM19-BM14)</f>
        <v>0</v>
      </c>
      <c r="BN106" s="49" t="n">
        <f aca="false">$E106*(BN19-BN14)</f>
        <v>0</v>
      </c>
      <c r="BO106" s="49" t="n">
        <f aca="false">$E106*(BO19-BO14)</f>
        <v>0</v>
      </c>
      <c r="BP106" s="49" t="n">
        <f aca="false">$E106*(BP19-BP14)</f>
        <v>0</v>
      </c>
      <c r="BQ106" s="49" t="n">
        <f aca="false">$E106*(BQ19-BQ14)</f>
        <v>0</v>
      </c>
      <c r="BR106" s="49" t="n">
        <f aca="false">$E106*(BR19-BR14)</f>
        <v>0</v>
      </c>
      <c r="BS106" s="49" t="n">
        <f aca="false">$E106*(BS19-BS14)</f>
        <v>0</v>
      </c>
      <c r="BT106" s="49" t="n">
        <f aca="false">$E106*(BT19-BT14)</f>
        <v>0</v>
      </c>
      <c r="BU106" s="49" t="n">
        <f aca="false">$E106*(BU19-BU14)</f>
        <v>0</v>
      </c>
      <c r="BV106" s="49" t="n">
        <f aca="false">$E106*(BV19-BV14)</f>
        <v>0</v>
      </c>
      <c r="BW106" s="49" t="n">
        <f aca="false">$E106*(BW19-BW14)</f>
        <v>0</v>
      </c>
      <c r="BX106" s="49" t="n">
        <f aca="false">$E106*(BX19-BX14)</f>
        <v>0</v>
      </c>
      <c r="BY106" s="49" t="n">
        <f aca="false">$E106*(BY19-BY14)</f>
        <v>0</v>
      </c>
      <c r="BZ106" s="49" t="n">
        <f aca="false">$E106*(BZ19-BZ14)</f>
        <v>0</v>
      </c>
      <c r="CA106" s="49" t="n">
        <f aca="false">$E106*(CA19-CA14)</f>
        <v>0</v>
      </c>
      <c r="CB106" s="49" t="n">
        <f aca="false">$E106*(CB19-CB14)</f>
        <v>0</v>
      </c>
      <c r="CC106" s="49" t="n">
        <f aca="false">$E106*(CC19-CC14)</f>
        <v>0</v>
      </c>
      <c r="CD106" s="49" t="n">
        <f aca="false">$E106*(CD19-CD14)</f>
        <v>0</v>
      </c>
      <c r="CE106" s="49" t="n">
        <f aca="false">$E106*(CE19-CE14)</f>
        <v>0</v>
      </c>
      <c r="CF106" s="49" t="n">
        <f aca="false">$E106*(CF19-CF14)</f>
        <v>0</v>
      </c>
      <c r="CG106" s="49" t="n">
        <f aca="false">$E106*(CG19-CG14)</f>
        <v>1177.60153927476</v>
      </c>
      <c r="CH106" s="49" t="n">
        <f aca="false">$E106*(CH19-CH14)</f>
        <v>0</v>
      </c>
      <c r="CI106" s="49" t="n">
        <f aca="false">$E106*(CI19-CI14)</f>
        <v>0</v>
      </c>
      <c r="CJ106" s="49" t="n">
        <f aca="false">$E106*(CJ19-CJ14)</f>
        <v>0</v>
      </c>
      <c r="CK106" s="49" t="n">
        <f aca="false">$E106*(CK19-CK14)</f>
        <v>0</v>
      </c>
      <c r="CL106" s="49" t="n">
        <f aca="false">$E106*(CL19-CL14)</f>
        <v>0</v>
      </c>
      <c r="CM106" s="49" t="n">
        <f aca="false">$E106*(CM19-CM14)</f>
        <v>0</v>
      </c>
      <c r="CN106" s="49" t="n">
        <f aca="false">$E106*(CN19-CN14)</f>
        <v>0</v>
      </c>
      <c r="CO106" s="49" t="n">
        <f aca="false">$E106*(CO19-CO14)</f>
        <v>0</v>
      </c>
      <c r="CP106" s="49" t="n">
        <f aca="false">$E106*(CP19-CP14)</f>
        <v>0</v>
      </c>
      <c r="CQ106" s="49" t="n">
        <f aca="false">$E106*(CQ19-CQ14)</f>
        <v>0</v>
      </c>
      <c r="CR106" s="49" t="n">
        <f aca="false">$E106*(CR19-CR14)</f>
        <v>0</v>
      </c>
      <c r="CS106" s="49" t="n">
        <f aca="false">$E106*(CS19-CS14)</f>
        <v>0</v>
      </c>
      <c r="CT106" s="49" t="n">
        <f aca="false">$E106*(CT19-CT14)</f>
        <v>0</v>
      </c>
      <c r="CU106" s="49" t="n">
        <f aca="false">$E106*(CU19-CU14)</f>
        <v>0</v>
      </c>
      <c r="CV106" s="49" t="n">
        <f aca="false">$E106*(CV19-CV14)</f>
        <v>0</v>
      </c>
      <c r="CW106" s="49" t="n">
        <f aca="false">$E106*(CW19-CW14)</f>
        <v>0</v>
      </c>
      <c r="CX106" s="49" t="n">
        <f aca="false">$E106*(CX19-CX14)</f>
        <v>0</v>
      </c>
      <c r="CY106" s="49" t="n">
        <f aca="false">$E106*(CY19-CY14)</f>
        <v>0</v>
      </c>
      <c r="CZ106" s="49" t="n">
        <f aca="false">$E106*(CZ19-CZ14)</f>
        <v>0</v>
      </c>
      <c r="DA106" s="49" t="n">
        <f aca="false">$E106*(DA19-DA14)</f>
        <v>0</v>
      </c>
      <c r="DB106" s="49" t="n">
        <f aca="false">$E106*(DB19-DB14)</f>
        <v>0</v>
      </c>
      <c r="DC106" s="49" t="n">
        <f aca="false">$E106*(DC19-DC14)</f>
        <v>0</v>
      </c>
      <c r="DD106" s="49" t="n">
        <f aca="false">$E106*(DD19-DD14)</f>
        <v>0</v>
      </c>
      <c r="DE106" s="49" t="n">
        <f aca="false">$E106*(DE19-DE14)</f>
        <v>0</v>
      </c>
      <c r="DF106" s="49" t="n">
        <f aca="false">$E106*(DF19-DF14)</f>
        <v>0</v>
      </c>
      <c r="DG106" s="49" t="n">
        <f aca="false">$E106*(DG19-DG14)</f>
        <v>0</v>
      </c>
      <c r="DH106" s="49" t="n">
        <f aca="false">$E106*(DH19-DH14)</f>
        <v>0</v>
      </c>
      <c r="DI106" s="49" t="n">
        <f aca="false">$E106*(DI19-DI14)</f>
        <v>0</v>
      </c>
      <c r="DJ106" s="49" t="n">
        <f aca="false">$E106*(DJ19-DJ14)</f>
        <v>0</v>
      </c>
      <c r="DK106" s="49" t="n">
        <f aca="false">$E106*(DK19-DK14)</f>
        <v>0</v>
      </c>
      <c r="DL106" s="49" t="n">
        <f aca="false">$E106*(DL19-DL14)</f>
        <v>0</v>
      </c>
      <c r="DM106" s="49" t="n">
        <f aca="false">$E106*(DM19-DM14)</f>
        <v>0</v>
      </c>
      <c r="DN106" s="49" t="n">
        <f aca="false">$E106*(DN19-DN14)</f>
        <v>0</v>
      </c>
      <c r="DO106" s="49" t="n">
        <f aca="false">$E106*(DO19-DO14)</f>
        <v>0</v>
      </c>
      <c r="DP106" s="49" t="n">
        <f aca="false">$E106*(DP19-DP14)</f>
        <v>0</v>
      </c>
      <c r="DQ106" s="49" t="n">
        <f aca="false">$E106*(DQ19-DQ14)</f>
        <v>0</v>
      </c>
      <c r="DR106" s="49" t="n">
        <f aca="false">$E106*(DR19-DR14)</f>
        <v>0</v>
      </c>
      <c r="DS106" s="49" t="n">
        <f aca="false">$E106*(DS19-DS14)</f>
        <v>0</v>
      </c>
      <c r="DT106" s="49" t="n">
        <f aca="false">$E106*(DT19-DT14)</f>
        <v>0</v>
      </c>
      <c r="DU106" s="49" t="n">
        <f aca="false">$E106*(DU19-DU14)</f>
        <v>0</v>
      </c>
      <c r="DV106" s="49" t="n">
        <f aca="false">$E106*(DV19-DV14)</f>
        <v>0</v>
      </c>
      <c r="DW106" s="49" t="n">
        <f aca="false">$E106*(DW19-DW14)</f>
        <v>0</v>
      </c>
      <c r="DX106" s="49" t="n">
        <f aca="false">$E106*(DX19-DX14)</f>
        <v>0</v>
      </c>
      <c r="DY106" s="49" t="n">
        <f aca="false">$E106*(DY19-DY14)</f>
        <v>0</v>
      </c>
      <c r="DZ106" s="49" t="n">
        <f aca="false">$E106*(DZ19-DZ14)</f>
        <v>0</v>
      </c>
      <c r="EA106" s="49" t="n">
        <f aca="false">$E106*(EA19-EA14)</f>
        <v>0</v>
      </c>
      <c r="EB106" s="49" t="n">
        <f aca="false">$E106*(EB19-EB14)</f>
        <v>0</v>
      </c>
      <c r="EC106" s="49" t="n">
        <f aca="false">$E106*(EC19-EC14)</f>
        <v>0</v>
      </c>
      <c r="ED106" s="49" t="n">
        <f aca="false">$E106*(ED19-ED14)</f>
        <v>0</v>
      </c>
      <c r="EE106" s="49" t="n">
        <f aca="false">$E106*(EE19-EE14)</f>
        <v>0</v>
      </c>
      <c r="EF106" s="49" t="n">
        <f aca="false">$E106*(EF19-EF14)</f>
        <v>0</v>
      </c>
      <c r="EG106" s="49" t="n">
        <f aca="false">$E106*(EG19-EG14)</f>
        <v>0</v>
      </c>
      <c r="EH106" s="49" t="n">
        <f aca="false">$E106*(EH19-EH14)</f>
        <v>0</v>
      </c>
      <c r="EI106" s="49" t="n">
        <f aca="false">$E106*(EI19-EI14)</f>
        <v>0</v>
      </c>
      <c r="EJ106" s="49" t="n">
        <f aca="false">$E106*(EJ19-EJ14)</f>
        <v>0</v>
      </c>
      <c r="EK106" s="49" t="n">
        <f aca="false">$E106*(EK19-EK14)</f>
        <v>0</v>
      </c>
      <c r="EL106" s="49" t="n">
        <f aca="false">$E106*(EL19-EL14)</f>
        <v>0</v>
      </c>
      <c r="EM106" s="49" t="n">
        <f aca="false">$E106*(EM19-EM14)</f>
        <v>0</v>
      </c>
      <c r="EN106" s="49" t="n">
        <f aca="false">$E106*(EN19-EN14)</f>
        <v>0</v>
      </c>
      <c r="EO106" s="49" t="n">
        <f aca="false">$E106*(EO19-EO14)</f>
        <v>0</v>
      </c>
    </row>
    <row r="107" customFormat="false" ht="15" hidden="false" customHeight="false" outlineLevel="0" collapsed="false">
      <c r="C107" s="1" t="s">
        <v>495</v>
      </c>
      <c r="D107" s="12" t="s">
        <v>13</v>
      </c>
      <c r="E107" s="54" t="n">
        <f aca="false">MIN($J107:$EO107)</f>
        <v>1.94143851704669</v>
      </c>
      <c r="J107" s="54" t="str">
        <f aca="false">IF(J96&lt;0,J87/-J96,"")</f>
        <v/>
      </c>
      <c r="K107" s="54" t="str">
        <f aca="false">IF(K96&lt;0,K87/-K96,"")</f>
        <v/>
      </c>
      <c r="L107" s="54" t="str">
        <f aca="false">IF(L96&lt;0,L87/-L96,"")</f>
        <v/>
      </c>
      <c r="M107" s="54" t="str">
        <f aca="false">IF(M96&lt;0,M87/-M96,"")</f>
        <v/>
      </c>
      <c r="N107" s="54" t="str">
        <f aca="false">IF(N96&lt;0,N87/-N96,"")</f>
        <v/>
      </c>
      <c r="O107" s="54" t="str">
        <f aca="false">IF(O96&lt;0,O87/-O96,"")</f>
        <v/>
      </c>
      <c r="P107" s="54" t="str">
        <f aca="false">IF(P96&lt;0,P87/-P96,"")</f>
        <v/>
      </c>
      <c r="Q107" s="54" t="str">
        <f aca="false">IF(Q96&lt;0,Q87/-Q96,"")</f>
        <v/>
      </c>
      <c r="R107" s="54" t="str">
        <f aca="false">IF(R96&lt;0,R87/-R96,"")</f>
        <v/>
      </c>
      <c r="S107" s="54" t="str">
        <f aca="false">IF(S96&lt;0,S87/-S96,"")</f>
        <v/>
      </c>
      <c r="T107" s="54" t="str">
        <f aca="false">IF(T96&lt;0,T87/-T96,"")</f>
        <v/>
      </c>
      <c r="U107" s="54" t="str">
        <f aca="false">IF(U96&lt;0,U87/-U96,"")</f>
        <v/>
      </c>
      <c r="V107" s="54" t="str">
        <f aca="false">IF(V96&lt;0,V87/-V96,"")</f>
        <v/>
      </c>
      <c r="W107" s="54" t="str">
        <f aca="false">IF(W96&lt;0,W87/-W96,"")</f>
        <v/>
      </c>
      <c r="X107" s="54" t="str">
        <f aca="false">IF(X96&lt;0,X87/-X96,"")</f>
        <v/>
      </c>
      <c r="Y107" s="54" t="str">
        <f aca="false">IF(Y96&lt;0,Y87/-Y96,"")</f>
        <v/>
      </c>
      <c r="Z107" s="54" t="n">
        <f aca="false">IF(Z96&lt;0,Z87/-Z96,"")</f>
        <v>1.98288661713349</v>
      </c>
      <c r="AA107" s="54" t="n">
        <f aca="false">IF(AA96&lt;0,AA87/-AA96,"")</f>
        <v>1.95262513169657</v>
      </c>
      <c r="AB107" s="54" t="n">
        <f aca="false">IF(AB96&lt;0,AB87/-AB96,"")</f>
        <v>1.97343758110803</v>
      </c>
      <c r="AC107" s="54" t="n">
        <f aca="false">IF(AC96&lt;0,AC87/-AC96,"")</f>
        <v>1.99424439966366</v>
      </c>
      <c r="AD107" s="54" t="n">
        <f aca="false">IF(AD96&lt;0,AD87/-AD96,"")</f>
        <v>1.98712626697814</v>
      </c>
      <c r="AE107" s="54" t="n">
        <f aca="false">IF(AE96&lt;0,AE87/-AE96,"")</f>
        <v>1.97793189016816</v>
      </c>
      <c r="AF107" s="54" t="n">
        <f aca="false">IF(AF96&lt;0,AF87/-AF96,"")</f>
        <v>1.97745847243386</v>
      </c>
      <c r="AG107" s="54" t="n">
        <f aca="false">IF(AG96&lt;0,AG87/-AG96,"")</f>
        <v>1.99830666784505</v>
      </c>
      <c r="AH107" s="54" t="n">
        <f aca="false">IF(AH96&lt;0,AH87/-AH96,"")</f>
        <v>1.99112280386995</v>
      </c>
      <c r="AI107" s="54" t="n">
        <f aca="false">IF(AI96&lt;0,AI87/-AI96,"")</f>
        <v>1.9603371984287</v>
      </c>
      <c r="AJ107" s="54" t="n">
        <f aca="false">IF(AJ96&lt;0,AJ87/-AJ96,"")</f>
        <v>2.00368240114163</v>
      </c>
      <c r="AK107" s="54" t="n">
        <f aca="false">IF(AK96&lt;0,AK87/-AK96,"")</f>
        <v>1.99683202609544</v>
      </c>
      <c r="AL107" s="54" t="n">
        <f aca="false">IF(AL96&lt;0,AL87/-AL96,"")</f>
        <v>1.98961759743142</v>
      </c>
      <c r="AM107" s="54" t="n">
        <f aca="false">IF(AM96&lt;0,AM87/-AM96,"")</f>
        <v>1.95791396830052</v>
      </c>
      <c r="AN107" s="54" t="n">
        <f aca="false">IF(AN96&lt;0,AN87/-AN96,"")</f>
        <v>1.97788570499107</v>
      </c>
      <c r="AO107" s="54" t="n">
        <f aca="false">IF(AO96&lt;0,AO87/-AO96,"")</f>
        <v>1.99784436959892</v>
      </c>
      <c r="AP107" s="54" t="n">
        <f aca="false">IF(AP96&lt;0,AP87/-AP96,"")</f>
        <v>1.99053893241413</v>
      </c>
      <c r="AQ107" s="54" t="n">
        <f aca="false">IF(AQ96&lt;0,AQ87/-AQ96,"")</f>
        <v>1.95855828257946</v>
      </c>
      <c r="AR107" s="54" t="n">
        <f aca="false">IF(AR96&lt;0,AR87/-AR96,"")</f>
        <v>1.97853125865837</v>
      </c>
      <c r="AS107" s="54" t="n">
        <f aca="false">IF(AS96&lt;0,AS87/-AS96,"")</f>
        <v>1.99849049669294</v>
      </c>
      <c r="AT107" s="54" t="n">
        <f aca="false">IF(AT96&lt;0,AT87/-AT96,"")</f>
        <v>1.99109127837293</v>
      </c>
      <c r="AU107" s="54" t="n">
        <f aca="false">IF(AU96&lt;0,AU87/-AU96,"")</f>
        <v>1.97995369754987</v>
      </c>
      <c r="AV107" s="54" t="n">
        <f aca="false">IF(AV96&lt;0,AV87/-AV96,"")</f>
        <v>1.97879866285834</v>
      </c>
      <c r="AW107" s="54" t="n">
        <f aca="false">IF(AW96&lt;0,AW87/-AW96,"")</f>
        <v>1.99875398663836</v>
      </c>
      <c r="AX107" s="54" t="n">
        <f aca="false">IF(AX96&lt;0,AX87/-AX96,"")</f>
        <v>1.99125808186991</v>
      </c>
      <c r="AY107" s="54" t="n">
        <f aca="false">IF(AY96&lt;0,AY87/-AY96,"")</f>
        <v>1.95870910733595</v>
      </c>
      <c r="AZ107" s="54" t="n">
        <f aca="false">IF(AZ96&lt;0,AZ87/-AZ96,"")</f>
        <v>1.97867099982601</v>
      </c>
      <c r="BA107" s="54" t="n">
        <f aca="false">IF(BA96&lt;0,BA87/-BA96,"")</f>
        <v>1.99861771883704</v>
      </c>
      <c r="BB107" s="54" t="n">
        <f aca="false">IF(BB96&lt;0,BB87/-BB96,"")</f>
        <v>1.99102208281921</v>
      </c>
      <c r="BC107" s="54" t="n">
        <f aca="false">IF(BC96&lt;0,BC87/-BC96,"")</f>
        <v>1.95818147040113</v>
      </c>
      <c r="BD107" s="54" t="n">
        <f aca="false">IF(BD96&lt;0,BD87/-BD96,"")</f>
        <v>1.97813062898746</v>
      </c>
      <c r="BE107" s="54" t="n">
        <f aca="false">IF(BE96&lt;0,BE87/-BE96,"")</f>
        <v>1.99806384107674</v>
      </c>
      <c r="BF107" s="54" t="n">
        <f aca="false">IF(BF96&lt;0,BF87/-BF96,"")</f>
        <v>1.9903652823839</v>
      </c>
      <c r="BG107" s="54" t="n">
        <f aca="false">IF(BG96&lt;0,BG87/-BG96,"")</f>
        <v>1.95722781302783</v>
      </c>
      <c r="BH107" s="54" t="n">
        <f aca="false">IF(BH96&lt;0,BH87/-BH96,"")</f>
        <v>1.97715915409077</v>
      </c>
      <c r="BI107" s="54" t="n">
        <f aca="false">IF(BI96&lt;0,BI87/-BI96,"")</f>
        <v>1.99707373625701</v>
      </c>
      <c r="BJ107" s="54" t="n">
        <f aca="false">IF(BJ96&lt;0,BJ87/-BJ96,"")</f>
        <v>1.98926890933608</v>
      </c>
      <c r="BK107" s="54" t="n">
        <f aca="false">IF(BK96&lt;0,BK87/-BK96,"")</f>
        <v>1.97714640351018</v>
      </c>
      <c r="BL107" s="54" t="n">
        <f aca="false">IF(BL96&lt;0,BL87/-BL96,"")</f>
        <v>1.97573738876275</v>
      </c>
      <c r="BM107" s="54" t="n">
        <f aca="false">IF(BM96&lt;0,BM87/-BM96,"")</f>
        <v>1.99562798752114</v>
      </c>
      <c r="BN107" s="54" t="n">
        <f aca="false">IF(BN96&lt;0,BN87/-BN96,"")</f>
        <v>1.98771338480428</v>
      </c>
      <c r="BO107" s="54" t="n">
        <f aca="false">IF(BO96&lt;0,BO87/-BO96,"")</f>
        <v>1.95396578914274</v>
      </c>
      <c r="BP107" s="54" t="n">
        <f aca="false">IF(BP96&lt;0,BP87/-BP96,"")</f>
        <v>1.97384532041339</v>
      </c>
      <c r="BQ107" s="54" t="n">
        <f aca="false">IF(BQ96&lt;0,BQ87/-BQ96,"")</f>
        <v>1.99370634171555</v>
      </c>
      <c r="BR107" s="54" t="n">
        <f aca="false">IF(BR96&lt;0,BR87/-BR96,"")</f>
        <v>1.98567828532873</v>
      </c>
      <c r="BS107" s="54" t="n">
        <f aca="false">IF(BS96&lt;0,BS87/-BS96,"")</f>
        <v>1.95161702075435</v>
      </c>
      <c r="BT107" s="54" t="n">
        <f aca="false">IF(BT96&lt;0,BT87/-BT96,"")</f>
        <v>1.97146207240663</v>
      </c>
      <c r="BU107" s="54" t="n">
        <f aca="false">IF(BU96&lt;0,BU87/-BU96,"")</f>
        <v>1.99128767109385</v>
      </c>
      <c r="BV107" s="54" t="n">
        <f aca="false">IF(BV96&lt;0,BV87/-BV96,"")</f>
        <v>1.98314230414059</v>
      </c>
      <c r="BW107" s="54" t="n">
        <f aca="false">IF(BW96&lt;0,BW87/-BW96,"")</f>
        <v>1.94876135164162</v>
      </c>
      <c r="BX107" s="54" t="n">
        <f aca="false">IF(BX96&lt;0,BX87/-BX96,"")</f>
        <v>1.96856586441168</v>
      </c>
      <c r="BY107" s="54" t="n">
        <f aca="false">IF(BY96&lt;0,BY87/-BY96,"")</f>
        <v>1.98834993317882</v>
      </c>
      <c r="BZ107" s="54" t="n">
        <f aca="false">IF(BZ96&lt;0,BZ87/-BZ96,"")</f>
        <v>1.98008321057742</v>
      </c>
      <c r="CA107" s="54" t="n">
        <f aca="false">IF(CA96&lt;0,CA87/-CA96,"")</f>
        <v>1.96685281320766</v>
      </c>
      <c r="CB107" s="54" t="n">
        <f aca="false">IF(CB96&lt;0,CB87/-CB96,"")</f>
        <v>1.96513397084471</v>
      </c>
      <c r="CC107" s="54" t="n">
        <f aca="false">IF(CC96&lt;0,CC87/-CC96,"")</f>
        <v>1.98487012869117</v>
      </c>
      <c r="CD107" s="54" t="n">
        <f aca="false">IF(CD96&lt;0,CD87/-CD96,"")</f>
        <v>1.97647780754262</v>
      </c>
      <c r="CE107" s="54" t="n">
        <f aca="false">IF(CE96&lt;0,CE87/-CE96,"")</f>
        <v>1.94143851704669</v>
      </c>
      <c r="CF107" s="54" t="n">
        <f aca="false">IF(CF96&lt;0,CF87/-CF96,"")</f>
        <v>1.96114267730652</v>
      </c>
      <c r="CG107" s="54" t="n">
        <f aca="false">IF(CG96&lt;0,CG87/-CG96,"")</f>
        <v>1.98082425744927</v>
      </c>
      <c r="CH107" s="54" t="str">
        <f aca="false">IF(CH96&lt;0,CH87/-CH96,"")</f>
        <v/>
      </c>
      <c r="CI107" s="54" t="str">
        <f aca="false">IF(CI96&lt;0,CI87/-CI96,"")</f>
        <v/>
      </c>
      <c r="CJ107" s="54" t="str">
        <f aca="false">IF(CJ96&lt;0,CJ87/-CJ96,"")</f>
        <v/>
      </c>
      <c r="CK107" s="54" t="str">
        <f aca="false">IF(CK96&lt;0,CK87/-CK96,"")</f>
        <v/>
      </c>
      <c r="CL107" s="54" t="str">
        <f aca="false">IF(CL96&lt;0,CL87/-CL96,"")</f>
        <v/>
      </c>
      <c r="CM107" s="54" t="str">
        <f aca="false">IF(CM96&lt;0,CM87/-CM96,"")</f>
        <v/>
      </c>
      <c r="CN107" s="54" t="str">
        <f aca="false">IF(CN96&lt;0,CN87/-CN96,"")</f>
        <v/>
      </c>
      <c r="CO107" s="54" t="str">
        <f aca="false">IF(CO96&lt;0,CO87/-CO96,"")</f>
        <v/>
      </c>
      <c r="CP107" s="54" t="str">
        <f aca="false">IF(CP96&lt;0,CP87/-CP96,"")</f>
        <v/>
      </c>
      <c r="CQ107" s="54" t="str">
        <f aca="false">IF(CQ96&lt;0,CQ87/-CQ96,"")</f>
        <v/>
      </c>
      <c r="CR107" s="54" t="str">
        <f aca="false">IF(CR96&lt;0,CR87/-CR96,"")</f>
        <v/>
      </c>
      <c r="CS107" s="54" t="str">
        <f aca="false">IF(CS96&lt;0,CS87/-CS96,"")</f>
        <v/>
      </c>
      <c r="CT107" s="54" t="str">
        <f aca="false">IF(CT96&lt;0,CT87/-CT96,"")</f>
        <v/>
      </c>
      <c r="CU107" s="54" t="str">
        <f aca="false">IF(CU96&lt;0,CU87/-CU96,"")</f>
        <v/>
      </c>
      <c r="CV107" s="54" t="str">
        <f aca="false">IF(CV96&lt;0,CV87/-CV96,"")</f>
        <v/>
      </c>
      <c r="CW107" s="54" t="str">
        <f aca="false">IF(CW96&lt;0,CW87/-CW96,"")</f>
        <v/>
      </c>
      <c r="CX107" s="54" t="str">
        <f aca="false">IF(CX96&lt;0,CX87/-CX96,"")</f>
        <v/>
      </c>
      <c r="CY107" s="54" t="str">
        <f aca="false">IF(CY96&lt;0,CY87/-CY96,"")</f>
        <v/>
      </c>
      <c r="CZ107" s="54" t="str">
        <f aca="false">IF(CZ96&lt;0,CZ87/-CZ96,"")</f>
        <v/>
      </c>
      <c r="DA107" s="54" t="str">
        <f aca="false">IF(DA96&lt;0,DA87/-DA96,"")</f>
        <v/>
      </c>
      <c r="DB107" s="54" t="str">
        <f aca="false">IF(DB96&lt;0,DB87/-DB96,"")</f>
        <v/>
      </c>
      <c r="DC107" s="54" t="str">
        <f aca="false">IF(DC96&lt;0,DC87/-DC96,"")</f>
        <v/>
      </c>
      <c r="DD107" s="54" t="str">
        <f aca="false">IF(DD96&lt;0,DD87/-DD96,"")</f>
        <v/>
      </c>
      <c r="DE107" s="54" t="str">
        <f aca="false">IF(DE96&lt;0,DE87/-DE96,"")</f>
        <v/>
      </c>
      <c r="DF107" s="54" t="str">
        <f aca="false">IF(DF96&lt;0,DF87/-DF96,"")</f>
        <v/>
      </c>
      <c r="DG107" s="54" t="str">
        <f aca="false">IF(DG96&lt;0,DG87/-DG96,"")</f>
        <v/>
      </c>
      <c r="DH107" s="54" t="str">
        <f aca="false">IF(DH96&lt;0,DH87/-DH96,"")</f>
        <v/>
      </c>
      <c r="DI107" s="54" t="str">
        <f aca="false">IF(DI96&lt;0,DI87/-DI96,"")</f>
        <v/>
      </c>
      <c r="DJ107" s="54" t="str">
        <f aca="false">IF(DJ96&lt;0,DJ87/-DJ96,"")</f>
        <v/>
      </c>
      <c r="DK107" s="54" t="str">
        <f aca="false">IF(DK96&lt;0,DK87/-DK96,"")</f>
        <v/>
      </c>
      <c r="DL107" s="54" t="str">
        <f aca="false">IF(DL96&lt;0,DL87/-DL96,"")</f>
        <v/>
      </c>
      <c r="DM107" s="54" t="str">
        <f aca="false">IF(DM96&lt;0,DM87/-DM96,"")</f>
        <v/>
      </c>
      <c r="DN107" s="54" t="str">
        <f aca="false">IF(DN96&lt;0,DN87/-DN96,"")</f>
        <v/>
      </c>
      <c r="DO107" s="54" t="str">
        <f aca="false">IF(DO96&lt;0,DO87/-DO96,"")</f>
        <v/>
      </c>
      <c r="DP107" s="54" t="str">
        <f aca="false">IF(DP96&lt;0,DP87/-DP96,"")</f>
        <v/>
      </c>
      <c r="DQ107" s="54" t="str">
        <f aca="false">IF(DQ96&lt;0,DQ87/-DQ96,"")</f>
        <v/>
      </c>
      <c r="DR107" s="54" t="str">
        <f aca="false">IF(DR96&lt;0,DR87/-DR96,"")</f>
        <v/>
      </c>
      <c r="DS107" s="54" t="str">
        <f aca="false">IF(DS96&lt;0,DS87/-DS96,"")</f>
        <v/>
      </c>
      <c r="DT107" s="54" t="str">
        <f aca="false">IF(DT96&lt;0,DT87/-DT96,"")</f>
        <v/>
      </c>
      <c r="DU107" s="54" t="str">
        <f aca="false">IF(DU96&lt;0,DU87/-DU96,"")</f>
        <v/>
      </c>
      <c r="DV107" s="54" t="str">
        <f aca="false">IF(DV96&lt;0,DV87/-DV96,"")</f>
        <v/>
      </c>
      <c r="DW107" s="54" t="str">
        <f aca="false">IF(DW96&lt;0,DW87/-DW96,"")</f>
        <v/>
      </c>
      <c r="DX107" s="54" t="str">
        <f aca="false">IF(DX96&lt;0,DX87/-DX96,"")</f>
        <v/>
      </c>
      <c r="DY107" s="54" t="str">
        <f aca="false">IF(DY96&lt;0,DY87/-DY96,"")</f>
        <v/>
      </c>
      <c r="DZ107" s="54" t="str">
        <f aca="false">IF(DZ96&lt;0,DZ87/-DZ96,"")</f>
        <v/>
      </c>
      <c r="EA107" s="54" t="str">
        <f aca="false">IF(EA96&lt;0,EA87/-EA96,"")</f>
        <v/>
      </c>
      <c r="EB107" s="54" t="str">
        <f aca="false">IF(EB96&lt;0,EB87/-EB96,"")</f>
        <v/>
      </c>
      <c r="EC107" s="54" t="str">
        <f aca="false">IF(EC96&lt;0,EC87/-EC96,"")</f>
        <v/>
      </c>
      <c r="ED107" s="54" t="str">
        <f aca="false">IF(ED96&lt;0,ED87/-ED96,"")</f>
        <v/>
      </c>
      <c r="EE107" s="54" t="str">
        <f aca="false">IF(EE96&lt;0,EE87/-EE96,"")</f>
        <v/>
      </c>
      <c r="EF107" s="54" t="str">
        <f aca="false">IF(EF96&lt;0,EF87/-EF96,"")</f>
        <v/>
      </c>
      <c r="EG107" s="54" t="str">
        <f aca="false">IF(EG96&lt;0,EG87/-EG96,"")</f>
        <v/>
      </c>
      <c r="EH107" s="54" t="str">
        <f aca="false">IF(EH96&lt;0,EH87/-EH96,"")</f>
        <v/>
      </c>
      <c r="EI107" s="54" t="str">
        <f aca="false">IF(EI96&lt;0,EI87/-EI96,"")</f>
        <v/>
      </c>
      <c r="EJ107" s="54" t="str">
        <f aca="false">IF(EJ96&lt;0,EJ87/-EJ96,"")</f>
        <v/>
      </c>
      <c r="EK107" s="54" t="str">
        <f aca="false">IF(EK96&lt;0,EK87/-EK96,"")</f>
        <v/>
      </c>
      <c r="EL107" s="54" t="str">
        <f aca="false">IF(EL96&lt;0,EL87/-EL96,"")</f>
        <v/>
      </c>
      <c r="EM107" s="54" t="str">
        <f aca="false">IF(EM96&lt;0,EM87/-EM96,"")</f>
        <v/>
      </c>
      <c r="EN107" s="54" t="str">
        <f aca="false">IF(EN96&lt;0,EN87/-EN96,"")</f>
        <v/>
      </c>
      <c r="EO107" s="54" t="str">
        <f aca="false">IF(EO96&lt;0,EO87/-EO96,"")</f>
        <v/>
      </c>
    </row>
    <row r="109" customFormat="false" ht="15" hidden="false" customHeight="false" outlineLevel="0" collapsed="false">
      <c r="A109" s="10" t="s">
        <v>13</v>
      </c>
      <c r="B109" s="10"/>
      <c r="C109" s="10" t="s">
        <v>496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customFormat="false" ht="15" hidden="false" customHeight="false" outlineLevel="0" collapsed="false">
      <c r="C110" s="1" t="s">
        <v>497</v>
      </c>
      <c r="D110" s="12" t="s">
        <v>33</v>
      </c>
      <c r="E110" s="49" t="n">
        <f aca="false">$I101-($I68+$I58+$I69+$I55+$I48+$I49+$I50)</f>
        <v>110577.127141492</v>
      </c>
      <c r="I110" s="49" t="n">
        <f aca="false">SUM(J110:EO110)</f>
        <v>-110577.127141492</v>
      </c>
      <c r="J110" s="49" t="n">
        <f aca="false">-$E110*J20</f>
        <v>-0</v>
      </c>
      <c r="K110" s="49" t="n">
        <f aca="false">-$E110*K20</f>
        <v>-0</v>
      </c>
      <c r="L110" s="49" t="n">
        <f aca="false">-$E110*L20</f>
        <v>-0</v>
      </c>
      <c r="M110" s="49" t="n">
        <f aca="false">-$E110*M20</f>
        <v>-0</v>
      </c>
      <c r="N110" s="49" t="n">
        <f aca="false">-$E110*N20</f>
        <v>-0</v>
      </c>
      <c r="O110" s="49" t="n">
        <f aca="false">-$E110*O20</f>
        <v>-0</v>
      </c>
      <c r="P110" s="49" t="n">
        <f aca="false">-$E110*P20</f>
        <v>-0</v>
      </c>
      <c r="Q110" s="49" t="n">
        <f aca="false">-$E110*Q20</f>
        <v>-0</v>
      </c>
      <c r="R110" s="49" t="n">
        <f aca="false">-$E110*R20</f>
        <v>-0</v>
      </c>
      <c r="S110" s="49" t="n">
        <f aca="false">-$E110*S20</f>
        <v>-0</v>
      </c>
      <c r="T110" s="49" t="n">
        <f aca="false">-$E110*T20</f>
        <v>-0</v>
      </c>
      <c r="U110" s="49" t="n">
        <f aca="false">-$E110*U20</f>
        <v>-0</v>
      </c>
      <c r="V110" s="49" t="n">
        <f aca="false">-$E110*V20</f>
        <v>-0</v>
      </c>
      <c r="W110" s="49" t="n">
        <f aca="false">-$E110*W20</f>
        <v>-0</v>
      </c>
      <c r="X110" s="49" t="n">
        <f aca="false">-$E110*X20</f>
        <v>-0</v>
      </c>
      <c r="Y110" s="49" t="n">
        <f aca="false">-$E110*Y20</f>
        <v>-0</v>
      </c>
      <c r="Z110" s="49" t="n">
        <f aca="false">-$E110*Z20</f>
        <v>-1392.62090308244</v>
      </c>
      <c r="AA110" s="49" t="n">
        <f aca="false">-$E110*AA20</f>
        <v>-1362.34653562413</v>
      </c>
      <c r="AB110" s="49" t="n">
        <f aca="false">-$E110*AB20</f>
        <v>-1377.48371935328</v>
      </c>
      <c r="AC110" s="49" t="n">
        <f aca="false">-$E110*AC20</f>
        <v>-1392.62090308244</v>
      </c>
      <c r="AD110" s="49" t="n">
        <f aca="false">-$E110*AD20</f>
        <v>-1392.62090308244</v>
      </c>
      <c r="AE110" s="49" t="n">
        <f aca="false">-$E110*AE20</f>
        <v>-1377.48371935328</v>
      </c>
      <c r="AF110" s="49" t="n">
        <f aca="false">-$E110*AF20</f>
        <v>-1377.48371935328</v>
      </c>
      <c r="AG110" s="49" t="n">
        <f aca="false">-$E110*AG20</f>
        <v>-1392.62090308244</v>
      </c>
      <c r="AH110" s="49" t="n">
        <f aca="false">-$E110*AH20</f>
        <v>-1392.62090308244</v>
      </c>
      <c r="AI110" s="49" t="n">
        <f aca="false">-$E110*AI20</f>
        <v>-1362.34653562413</v>
      </c>
      <c r="AJ110" s="49" t="n">
        <f aca="false">-$E110*AJ20</f>
        <v>-1377.48371935328</v>
      </c>
      <c r="AK110" s="49" t="n">
        <f aca="false">-$E110*AK20</f>
        <v>-1392.62090308244</v>
      </c>
      <c r="AL110" s="49" t="n">
        <f aca="false">-$E110*AL20</f>
        <v>-1392.62090308244</v>
      </c>
      <c r="AM110" s="49" t="n">
        <f aca="false">-$E110*AM20</f>
        <v>-1362.34653562413</v>
      </c>
      <c r="AN110" s="49" t="n">
        <f aca="false">-$E110*AN20</f>
        <v>-1377.48371935328</v>
      </c>
      <c r="AO110" s="49" t="n">
        <f aca="false">-$E110*AO20</f>
        <v>-1392.62090308244</v>
      </c>
      <c r="AP110" s="49" t="n">
        <f aca="false">-$E110*AP20</f>
        <v>-1392.62090308244</v>
      </c>
      <c r="AQ110" s="49" t="n">
        <f aca="false">-$E110*AQ20</f>
        <v>-1362.34653562413</v>
      </c>
      <c r="AR110" s="49" t="n">
        <f aca="false">-$E110*AR20</f>
        <v>-1377.48371935328</v>
      </c>
      <c r="AS110" s="49" t="n">
        <f aca="false">-$E110*AS20</f>
        <v>-1392.62090308244</v>
      </c>
      <c r="AT110" s="49" t="n">
        <f aca="false">-$E110*AT20</f>
        <v>-1392.62090308244</v>
      </c>
      <c r="AU110" s="49" t="n">
        <f aca="false">-$E110*AU20</f>
        <v>-1377.48371935328</v>
      </c>
      <c r="AV110" s="49" t="n">
        <f aca="false">-$E110*AV20</f>
        <v>-1377.48371935328</v>
      </c>
      <c r="AW110" s="49" t="n">
        <f aca="false">-$E110*AW20</f>
        <v>-1392.62090308244</v>
      </c>
      <c r="AX110" s="49" t="n">
        <f aca="false">-$E110*AX20</f>
        <v>-1392.62090308244</v>
      </c>
      <c r="AY110" s="49" t="n">
        <f aca="false">-$E110*AY20</f>
        <v>-1362.34653562413</v>
      </c>
      <c r="AZ110" s="49" t="n">
        <f aca="false">-$E110*AZ20</f>
        <v>-1377.48371935328</v>
      </c>
      <c r="BA110" s="49" t="n">
        <f aca="false">-$E110*BA20</f>
        <v>-1392.62090308244</v>
      </c>
      <c r="BB110" s="49" t="n">
        <f aca="false">-$E110*BB20</f>
        <v>-1392.62090308244</v>
      </c>
      <c r="BC110" s="49" t="n">
        <f aca="false">-$E110*BC20</f>
        <v>-1362.34653562413</v>
      </c>
      <c r="BD110" s="49" t="n">
        <f aca="false">-$E110*BD20</f>
        <v>-1377.48371935328</v>
      </c>
      <c r="BE110" s="49" t="n">
        <f aca="false">-$E110*BE20</f>
        <v>-1392.62090308244</v>
      </c>
      <c r="BF110" s="49" t="n">
        <f aca="false">-$E110*BF20</f>
        <v>-1392.62090308244</v>
      </c>
      <c r="BG110" s="49" t="n">
        <f aca="false">-$E110*BG20</f>
        <v>-1362.34653562413</v>
      </c>
      <c r="BH110" s="49" t="n">
        <f aca="false">-$E110*BH20</f>
        <v>-1377.48371935328</v>
      </c>
      <c r="BI110" s="49" t="n">
        <f aca="false">-$E110*BI20</f>
        <v>-1392.62090308244</v>
      </c>
      <c r="BJ110" s="49" t="n">
        <f aca="false">-$E110*BJ20</f>
        <v>-1392.62090308244</v>
      </c>
      <c r="BK110" s="49" t="n">
        <f aca="false">-$E110*BK20</f>
        <v>-1377.48371935328</v>
      </c>
      <c r="BL110" s="49" t="n">
        <f aca="false">-$E110*BL20</f>
        <v>-1377.48371935328</v>
      </c>
      <c r="BM110" s="49" t="n">
        <f aca="false">-$E110*BM20</f>
        <v>-1392.62090308244</v>
      </c>
      <c r="BN110" s="49" t="n">
        <f aca="false">-$E110*BN20</f>
        <v>-1392.62090308244</v>
      </c>
      <c r="BO110" s="49" t="n">
        <f aca="false">-$E110*BO20</f>
        <v>-1362.34653562413</v>
      </c>
      <c r="BP110" s="49" t="n">
        <f aca="false">-$E110*BP20</f>
        <v>-1377.48371935328</v>
      </c>
      <c r="BQ110" s="49" t="n">
        <f aca="false">-$E110*BQ20</f>
        <v>-1392.62090308244</v>
      </c>
      <c r="BR110" s="49" t="n">
        <f aca="false">-$E110*BR20</f>
        <v>-1392.62090308244</v>
      </c>
      <c r="BS110" s="49" t="n">
        <f aca="false">-$E110*BS20</f>
        <v>-1362.34653562413</v>
      </c>
      <c r="BT110" s="49" t="n">
        <f aca="false">-$E110*BT20</f>
        <v>-1377.48371935328</v>
      </c>
      <c r="BU110" s="49" t="n">
        <f aca="false">-$E110*BU20</f>
        <v>-1392.62090308244</v>
      </c>
      <c r="BV110" s="49" t="n">
        <f aca="false">-$E110*BV20</f>
        <v>-1392.62090308244</v>
      </c>
      <c r="BW110" s="49" t="n">
        <f aca="false">-$E110*BW20</f>
        <v>-1362.34653562413</v>
      </c>
      <c r="BX110" s="49" t="n">
        <f aca="false">-$E110*BX20</f>
        <v>-1377.48371935328</v>
      </c>
      <c r="BY110" s="49" t="n">
        <f aca="false">-$E110*BY20</f>
        <v>-1392.62090308244</v>
      </c>
      <c r="BZ110" s="49" t="n">
        <f aca="false">-$E110*BZ20</f>
        <v>-1392.62090308244</v>
      </c>
      <c r="CA110" s="49" t="n">
        <f aca="false">-$E110*CA20</f>
        <v>-1377.48371935328</v>
      </c>
      <c r="CB110" s="49" t="n">
        <f aca="false">-$E110*CB20</f>
        <v>-1377.48371935328</v>
      </c>
      <c r="CC110" s="49" t="n">
        <f aca="false">-$E110*CC20</f>
        <v>-1392.62090308244</v>
      </c>
      <c r="CD110" s="49" t="n">
        <f aca="false">-$E110*CD20</f>
        <v>-1392.62090308244</v>
      </c>
      <c r="CE110" s="49" t="n">
        <f aca="false">-$E110*CE20</f>
        <v>-1362.34653562413</v>
      </c>
      <c r="CF110" s="49" t="n">
        <f aca="false">-$E110*CF20</f>
        <v>-1377.48371935328</v>
      </c>
      <c r="CG110" s="49" t="n">
        <f aca="false">-$E110*CG20</f>
        <v>-1392.62090308244</v>
      </c>
      <c r="CH110" s="49" t="n">
        <f aca="false">-$E110*CH20</f>
        <v>-1392.62090308244</v>
      </c>
      <c r="CI110" s="49" t="n">
        <f aca="false">-$E110*CI20</f>
        <v>-1362.34653562413</v>
      </c>
      <c r="CJ110" s="49" t="n">
        <f aca="false">-$E110*CJ20</f>
        <v>-1377.48371935328</v>
      </c>
      <c r="CK110" s="49" t="n">
        <f aca="false">-$E110*CK20</f>
        <v>-1392.62090308244</v>
      </c>
      <c r="CL110" s="49" t="n">
        <f aca="false">-$E110*CL20</f>
        <v>-1392.62090308244</v>
      </c>
      <c r="CM110" s="49" t="n">
        <f aca="false">-$E110*CM20</f>
        <v>-1362.34653562413</v>
      </c>
      <c r="CN110" s="49" t="n">
        <f aca="false">-$E110*CN20</f>
        <v>-1377.48371935328</v>
      </c>
      <c r="CO110" s="49" t="n">
        <f aca="false">-$E110*CO20</f>
        <v>-1392.62090308244</v>
      </c>
      <c r="CP110" s="49" t="n">
        <f aca="false">-$E110*CP20</f>
        <v>-1392.62090308244</v>
      </c>
      <c r="CQ110" s="49" t="n">
        <f aca="false">-$E110*CQ20</f>
        <v>-1377.48371935328</v>
      </c>
      <c r="CR110" s="49" t="n">
        <f aca="false">-$E110*CR20</f>
        <v>-1377.48371935328</v>
      </c>
      <c r="CS110" s="49" t="n">
        <f aca="false">-$E110*CS20</f>
        <v>-1392.62090308244</v>
      </c>
      <c r="CT110" s="49" t="n">
        <f aca="false">-$E110*CT20</f>
        <v>-1392.62090308244</v>
      </c>
      <c r="CU110" s="49" t="n">
        <f aca="false">-$E110*CU20</f>
        <v>-1362.34653562413</v>
      </c>
      <c r="CV110" s="49" t="n">
        <f aca="false">-$E110*CV20</f>
        <v>-1377.48371935328</v>
      </c>
      <c r="CW110" s="49" t="n">
        <f aca="false">-$E110*CW20</f>
        <v>-1392.62090308244</v>
      </c>
      <c r="CX110" s="49" t="n">
        <f aca="false">-$E110*CX20</f>
        <v>-1392.62090308244</v>
      </c>
      <c r="CY110" s="49" t="n">
        <f aca="false">-$E110*CY20</f>
        <v>-1362.34653562413</v>
      </c>
      <c r="CZ110" s="49" t="n">
        <f aca="false">-$E110*CZ20</f>
        <v>-1377.48371935328</v>
      </c>
      <c r="DA110" s="49" t="n">
        <f aca="false">-$E110*DA20</f>
        <v>-1392.62090308244</v>
      </c>
      <c r="DB110" s="49" t="n">
        <f aca="false">-$E110*DB20</f>
        <v>-0</v>
      </c>
      <c r="DC110" s="49" t="n">
        <f aca="false">-$E110*DC20</f>
        <v>-0</v>
      </c>
      <c r="DD110" s="49" t="n">
        <f aca="false">-$E110*DD20</f>
        <v>-0</v>
      </c>
      <c r="DE110" s="49" t="n">
        <f aca="false">-$E110*DE20</f>
        <v>-0</v>
      </c>
      <c r="DF110" s="49" t="n">
        <f aca="false">-$E110*DF20</f>
        <v>-0</v>
      </c>
      <c r="DG110" s="49" t="n">
        <f aca="false">-$E110*DG20</f>
        <v>-0</v>
      </c>
      <c r="DH110" s="49" t="n">
        <f aca="false">-$E110*DH20</f>
        <v>-0</v>
      </c>
      <c r="DI110" s="49" t="n">
        <f aca="false">-$E110*DI20</f>
        <v>-0</v>
      </c>
      <c r="DJ110" s="49" t="n">
        <f aca="false">-$E110*DJ20</f>
        <v>-0</v>
      </c>
      <c r="DK110" s="49" t="n">
        <f aca="false">-$E110*DK20</f>
        <v>-0</v>
      </c>
      <c r="DL110" s="49" t="n">
        <f aca="false">-$E110*DL20</f>
        <v>-0</v>
      </c>
      <c r="DM110" s="49" t="n">
        <f aca="false">-$E110*DM20</f>
        <v>-0</v>
      </c>
      <c r="DN110" s="49" t="n">
        <f aca="false">-$E110*DN20</f>
        <v>-0</v>
      </c>
      <c r="DO110" s="49" t="n">
        <f aca="false">-$E110*DO20</f>
        <v>-0</v>
      </c>
      <c r="DP110" s="49" t="n">
        <f aca="false">-$E110*DP20</f>
        <v>-0</v>
      </c>
      <c r="DQ110" s="49" t="n">
        <f aca="false">-$E110*DQ20</f>
        <v>-0</v>
      </c>
      <c r="DR110" s="49" t="n">
        <f aca="false">-$E110*DR20</f>
        <v>-0</v>
      </c>
      <c r="DS110" s="49" t="n">
        <f aca="false">-$E110*DS20</f>
        <v>-0</v>
      </c>
      <c r="DT110" s="49" t="n">
        <f aca="false">-$E110*DT20</f>
        <v>-0</v>
      </c>
      <c r="DU110" s="49" t="n">
        <f aca="false">-$E110*DU20</f>
        <v>-0</v>
      </c>
      <c r="DV110" s="49" t="n">
        <f aca="false">-$E110*DV20</f>
        <v>-0</v>
      </c>
      <c r="DW110" s="49" t="n">
        <f aca="false">-$E110*DW20</f>
        <v>-0</v>
      </c>
      <c r="DX110" s="49" t="n">
        <f aca="false">-$E110*DX20</f>
        <v>-0</v>
      </c>
      <c r="DY110" s="49" t="n">
        <f aca="false">-$E110*DY20</f>
        <v>-0</v>
      </c>
      <c r="DZ110" s="49" t="n">
        <f aca="false">-$E110*DZ20</f>
        <v>-0</v>
      </c>
      <c r="EA110" s="49" t="n">
        <f aca="false">-$E110*EA20</f>
        <v>-0</v>
      </c>
      <c r="EB110" s="49" t="n">
        <f aca="false">-$E110*EB20</f>
        <v>-0</v>
      </c>
      <c r="EC110" s="49" t="n">
        <f aca="false">-$E110*EC20</f>
        <v>-0</v>
      </c>
      <c r="ED110" s="49" t="n">
        <f aca="false">-$E110*ED20</f>
        <v>-0</v>
      </c>
      <c r="EE110" s="49" t="n">
        <f aca="false">-$E110*EE20</f>
        <v>-0</v>
      </c>
      <c r="EF110" s="49" t="n">
        <f aca="false">-$E110*EF20</f>
        <v>-0</v>
      </c>
      <c r="EG110" s="49" t="n">
        <f aca="false">-$E110*EG20</f>
        <v>-0</v>
      </c>
      <c r="EH110" s="49" t="n">
        <f aca="false">-$E110*EH20</f>
        <v>-0</v>
      </c>
      <c r="EI110" s="49" t="n">
        <f aca="false">-$E110*EI20</f>
        <v>-0</v>
      </c>
      <c r="EJ110" s="49" t="n">
        <f aca="false">-$E110*EJ20</f>
        <v>-0</v>
      </c>
      <c r="EK110" s="49" t="n">
        <f aca="false">-$E110*EK20</f>
        <v>-0</v>
      </c>
      <c r="EL110" s="49" t="n">
        <f aca="false">-$E110*EL20</f>
        <v>-0</v>
      </c>
      <c r="EM110" s="49" t="n">
        <f aca="false">-$E110*EM20</f>
        <v>-0</v>
      </c>
      <c r="EN110" s="49" t="n">
        <f aca="false">-$E110*EN20</f>
        <v>-0</v>
      </c>
      <c r="EO110" s="49" t="n">
        <f aca="false">-$E110*EO20</f>
        <v>-0</v>
      </c>
    </row>
    <row r="111" customFormat="false" ht="15" hidden="false" customHeight="false" outlineLevel="0" collapsed="false">
      <c r="C111" s="1" t="s">
        <v>498</v>
      </c>
      <c r="D111" s="12" t="s">
        <v>33</v>
      </c>
      <c r="I111" s="49" t="n">
        <f aca="false">SUM(J111:EO111)</f>
        <v>161475.847908239</v>
      </c>
      <c r="J111" s="49" t="n">
        <f aca="false">J83+J110+J94+J104+J105+J52+J59</f>
        <v>-12.8099380746857</v>
      </c>
      <c r="K111" s="49" t="n">
        <f aca="false">K83+K110+K94+K104+K105+K52+K59</f>
        <v>-19.6746856821167</v>
      </c>
      <c r="L111" s="49" t="n">
        <f aca="false">L83+L110+L94+L104+L105+L52+L59</f>
        <v>-33.1554888346782</v>
      </c>
      <c r="M111" s="49" t="n">
        <f aca="false">M83+M110+M94+M104+M105+M52+M59</f>
        <v>-33.5198348658285</v>
      </c>
      <c r="N111" s="49" t="n">
        <f aca="false">N83+N110+N94+N104+N105+N52+N59</f>
        <v>-33.5198348658285</v>
      </c>
      <c r="O111" s="49" t="n">
        <f aca="false">O83+O110+O94+O104+O105+O52+O59</f>
        <v>-33.1554888346782</v>
      </c>
      <c r="P111" s="49" t="n">
        <f aca="false">P83+P110+P94+P104+P105+P52+P59</f>
        <v>-33.1554888346782</v>
      </c>
      <c r="Q111" s="49" t="n">
        <f aca="false">Q83+Q110+Q94+Q104+Q105+Q52+Q59</f>
        <v>-33.5198348658285</v>
      </c>
      <c r="R111" s="49" t="n">
        <f aca="false">R83+R110+R94+R104+R105+R52+R59</f>
        <v>-1048.6517469629</v>
      </c>
      <c r="S111" s="49" t="n">
        <f aca="false">S83+S110+S94+S104+S105+S52+S59</f>
        <v>-167.595831563167</v>
      </c>
      <c r="T111" s="49" t="n">
        <f aca="false">T83+T110+T94+T104+T105+T52+T59</f>
        <v>-149.294166733935</v>
      </c>
      <c r="U111" s="49" t="n">
        <f aca="false">U83+U110+U94+U104+U105+U52+U59</f>
        <v>-138.945837299506</v>
      </c>
      <c r="V111" s="49" t="n">
        <f aca="false">V83+V110+V94+V104+V105+V52+V59</f>
        <v>-126.825166201263</v>
      </c>
      <c r="W111" s="49" t="n">
        <f aca="false">W83+W110+W94+W104+W105+W52+W59</f>
        <v>-113.252850295255</v>
      </c>
      <c r="X111" s="49" t="n">
        <f aca="false">X83+X110+X94+X104+X105+X52+X59</f>
        <v>-102.782919422517</v>
      </c>
      <c r="Y111" s="49" t="n">
        <f aca="false">Y83+Y110+Y94+Y104+Y105+Y52+Y59</f>
        <v>-91.9234773802712</v>
      </c>
      <c r="Z111" s="49" t="n">
        <f aca="false">Z83+Z110+Z94+Z104+Z105+Z52+Z59</f>
        <v>349.923707525705</v>
      </c>
      <c r="AA111" s="49" t="n">
        <f aca="false">AA83+AA110+AA94+AA104+AA105+AA52+AA59</f>
        <v>351.679426301912</v>
      </c>
      <c r="AB111" s="49" t="n">
        <f aca="false">AB83+AB110+AB94+AB104+AB105+AB52+AB59</f>
        <v>369.457322007646</v>
      </c>
      <c r="AC111" s="49" t="n">
        <f aca="false">AC83+AC110+AC94+AC104+AC105+AC52+AC59</f>
        <v>387.323629773306</v>
      </c>
      <c r="AD111" s="49" t="n">
        <f aca="false">AD83+AD110+AD94+AD104+AD105+AD52+AD59</f>
        <v>386.100462267694</v>
      </c>
      <c r="AE111" s="49" t="n">
        <f aca="false">AE83+AE110+AE94+AE104+AE105+AE52+AE59</f>
        <v>398.696572197855</v>
      </c>
      <c r="AF111" s="49" t="n">
        <f aca="false">AF83+AF110+AF94+AF104+AF105+AF52+AF59</f>
        <v>406.12987156621</v>
      </c>
      <c r="AG111" s="49" t="n">
        <f aca="false">AG83+AG110+AG94+AG104+AG105+AG52+AG59</f>
        <v>424.443275770123</v>
      </c>
      <c r="AH111" s="49" t="n">
        <f aca="false">AH83+AH110+AH94+AH104+AH105+AH52+AH59</f>
        <v>423.535777424801</v>
      </c>
      <c r="AI111" s="49" t="n">
        <f aca="false">AI83+AI110+AI94+AI104+AI105+AI52+AI59</f>
        <v>425.413332100575</v>
      </c>
      <c r="AJ111" s="49" t="n">
        <f aca="false">AJ83+AJ110+AJ94+AJ104+AJ105+AJ52+AJ59</f>
        <v>477.248096318208</v>
      </c>
      <c r="AK111" s="49" t="n">
        <f aca="false">AK83+AK110+AK94+AK104+AK105+AK52+AK59</f>
        <v>496.389367623677</v>
      </c>
      <c r="AL111" s="49" t="n">
        <f aca="false">AL83+AL110+AL94+AL104+AL105+AL52+AL59</f>
        <v>495.816178700958</v>
      </c>
      <c r="AM111" s="49" t="n">
        <f aca="false">AM83+AM110+AM94+AM104+AM105+AM52+AM59</f>
        <v>497.049994118659</v>
      </c>
      <c r="AN111" s="49" t="n">
        <f aca="false">AN83+AN110+AN94+AN104+AN105+AN52+AN59</f>
        <v>516.569452916171</v>
      </c>
      <c r="AO111" s="49" t="n">
        <f aca="false">AO83+AO110+AO94+AO104+AO105+AO52+AO59</f>
        <v>536.191536411662</v>
      </c>
      <c r="AP111" s="49" t="n">
        <f aca="false">AP83+AP110+AP94+AP104+AP105+AP52+AP59</f>
        <v>535.972258728211</v>
      </c>
      <c r="AQ111" s="49" t="n">
        <f aca="false">AQ83+AQ110+AQ94+AQ104+AQ105+AQ52+AQ59</f>
        <v>537.308281527602</v>
      </c>
      <c r="AR111" s="49" t="n">
        <f aca="false">AR83+AR110+AR94+AR104+AR105+AR52+AR59</f>
        <v>557.32152796134</v>
      </c>
      <c r="AS111" s="49" t="n">
        <f aca="false">AS83+AS110+AS94+AS104+AS105+AS52+AS59</f>
        <v>577.44262734287</v>
      </c>
      <c r="AT111" s="49" t="n">
        <f aca="false">AT83+AT110+AT94+AT104+AT105+AT52+AT59</f>
        <v>577.597873222596</v>
      </c>
      <c r="AU111" s="49" t="n">
        <f aca="false">AU83+AU110+AU94+AU104+AU105+AU52+AU59</f>
        <v>590.512470178441</v>
      </c>
      <c r="AV111" s="49" t="n">
        <f aca="false">AV83+AV110+AV94+AV104+AV105+AV52+AV59</f>
        <v>599.580274382844</v>
      </c>
      <c r="AW111" s="49" t="n">
        <f aca="false">AW83+AW110+AW94+AW104+AW105+AW52+AW59</f>
        <v>620.219554415637</v>
      </c>
      <c r="AX111" s="49" t="n">
        <f aca="false">AX83+AX110+AX94+AX104+AX105+AX52+AX59</f>
        <v>620.770998133681</v>
      </c>
      <c r="AY111" s="49" t="n">
        <f aca="false">AY83+AY110+AY94+AY104+AY105+AY52+AY59</f>
        <v>622.36718642916</v>
      </c>
      <c r="AZ111" s="49" t="n">
        <f aca="false">AZ83+AZ110+AZ94+AZ104+AZ105+AZ52+AZ59</f>
        <v>643.425701886389</v>
      </c>
      <c r="BA111" s="49" t="n">
        <f aca="false">BA83+BA110+BA94+BA104+BA105+BA52+BA59</f>
        <v>664.603339425426</v>
      </c>
      <c r="BB111" s="49" t="n">
        <f aca="false">BB83+BB110+BB94+BB104+BB105+BB52+BB59</f>
        <v>665.573771270056</v>
      </c>
      <c r="BC111" s="49" t="n">
        <f aca="false">BC83+BC110+BC94+BC104+BC105+BC52+BC59</f>
        <v>667.330042099525</v>
      </c>
      <c r="BD111" s="49" t="n">
        <f aca="false">BD83+BD110+BD94+BD104+BD105+BD52+BD59</f>
        <v>688.942088971683</v>
      </c>
      <c r="BE111" s="49" t="n">
        <f aca="false">BE83+BE110+BE94+BE104+BE105+BE52+BE59</f>
        <v>710.679326640241</v>
      </c>
      <c r="BF111" s="49" t="n">
        <f aca="false">BF83+BF110+BF94+BF104+BF105+BF52+BF59</f>
        <v>712.092709725967</v>
      </c>
      <c r="BG111" s="49" t="n">
        <f aca="false">BG83+BG110+BG94+BG104+BG105+BG52+BG59</f>
        <v>714.030571907216</v>
      </c>
      <c r="BH111" s="49" t="n">
        <f aca="false">BH83+BH110+BH94+BH104+BH105+BH52+BH59</f>
        <v>736.21820588658</v>
      </c>
      <c r="BI111" s="49" t="n">
        <f aca="false">BI83+BI110+BI94+BI104+BI105+BI52+BI59</f>
        <v>758.537408549647</v>
      </c>
      <c r="BJ111" s="49" t="n">
        <f aca="false">BJ83+BJ110+BJ94+BJ104+BJ105+BJ52+BJ59</f>
        <v>760.418938521612</v>
      </c>
      <c r="BK111" s="49" t="n">
        <f aca="false">BK83+BK110+BK94+BK104+BK105+BK52+BK59</f>
        <v>774.285829508856</v>
      </c>
      <c r="BL111" s="49" t="n">
        <f aca="false">BL83+BL110+BL94+BL104+BL105+BL52+BL59</f>
        <v>785.347549078424</v>
      </c>
      <c r="BM111" s="49" t="n">
        <f aca="false">BM83+BM110+BM94+BM104+BM105+BM52+BM59</f>
        <v>808.272263254899</v>
      </c>
      <c r="BN111" s="49" t="n">
        <f aca="false">BN83+BN110+BN94+BN104+BN105+BN52+BN59</f>
        <v>810.648431031794</v>
      </c>
      <c r="BO111" s="49" t="n">
        <f aca="false">BO83+BO110+BO94+BO104+BO105+BO52+BO59</f>
        <v>813.018887149277</v>
      </c>
      <c r="BP111" s="49" t="n">
        <f aca="false">BP83+BP110+BP94+BP104+BP105+BP52+BP59</f>
        <v>836.428587731755</v>
      </c>
      <c r="BQ111" s="49" t="n">
        <f aca="false">BQ83+BQ110+BQ94+BQ104+BQ105+BQ52+BQ59</f>
        <v>859.983604096731</v>
      </c>
      <c r="BR111" s="49" t="n">
        <f aca="false">BR83+BR110+BR94+BR104+BR105+BR52+BR59</f>
        <v>862.882261806916</v>
      </c>
      <c r="BS111" s="49" t="n">
        <f aca="false">BS83+BS110+BS94+BS104+BS105+BS52+BS59</f>
        <v>865.506322819501</v>
      </c>
      <c r="BT111" s="49" t="n">
        <f aca="false">BT83+BT110+BT94+BT104+BT105+BT52+BT59</f>
        <v>889.565023011633</v>
      </c>
      <c r="BU111" s="49" t="n">
        <f aca="false">BU83+BU110+BU94+BU104+BU105+BU52+BU59</f>
        <v>913.776442147761</v>
      </c>
      <c r="BV111" s="49" t="n">
        <f aca="false">BV83+BV110+BV94+BV104+BV105+BV52+BV59</f>
        <v>917.226872421206</v>
      </c>
      <c r="BW111" s="49" t="n">
        <f aca="false">BW83+BW110+BW94+BW104+BW105+BW52+BW59</f>
        <v>920.131258360354</v>
      </c>
      <c r="BX111" s="49" t="n">
        <f aca="false">BX83+BX110+BX94+BX104+BX105+BX52+BX59</f>
        <v>944.86606066343</v>
      </c>
      <c r="BY111" s="49" t="n">
        <f aca="false">BY83+BY110+BY94+BY104+BY105+BY52+BY59</f>
        <v>969.761362228556</v>
      </c>
      <c r="BZ111" s="49" t="n">
        <f aca="false">BZ83+BZ110+BZ94+BZ104+BZ105+BZ52+BZ59</f>
        <v>973.794351015474</v>
      </c>
      <c r="CA111" s="49" t="n">
        <f aca="false">CA83+CA110+CA94+CA104+CA105+CA52+CA59</f>
        <v>988.952621570724</v>
      </c>
      <c r="CB111" s="49" t="n">
        <f aca="false">CB83+CB110+CB94+CB104+CB105+CB52+CB59</f>
        <v>1002.44669765326</v>
      </c>
      <c r="CC111" s="49" t="n">
        <f aca="false">CC83+CC110+CC94+CC104+CC105+CC52+CC59</f>
        <v>1028.05481314004</v>
      </c>
      <c r="CD111" s="49" t="n">
        <f aca="false">CD83+CD110+CD94+CD104+CD105+CD52+CD59</f>
        <v>1032.70272623578</v>
      </c>
      <c r="CE111" s="49" t="n">
        <f aca="false">CE83+CE110+CE94+CE104+CE105+CE52+CE59</f>
        <v>1036.25390350004</v>
      </c>
      <c r="CF111" s="49" t="n">
        <f aca="false">CF83+CF110+CF94+CF104+CF105+CF52+CF59</f>
        <v>1062.42802356808</v>
      </c>
      <c r="CG111" s="49" t="n">
        <f aca="false">CG83+CG110+CG94+CG104+CG105+CG52+CG59</f>
        <v>1088.77941284031</v>
      </c>
      <c r="CH111" s="49" t="n">
        <f aca="false">CH83+CH110+CH94+CH104+CH105+CH52+CH59</f>
        <v>1094.07627630523</v>
      </c>
      <c r="CI111" s="49" t="n">
        <f aca="false">CI83+CI110+CI94+CI104+CI105+CI52+CI59</f>
        <v>1083.27708673409</v>
      </c>
      <c r="CJ111" s="49" t="n">
        <f aca="false">CJ83+CJ110+CJ94+CJ104+CJ105+CJ52+CJ59</f>
        <v>1095.31349880891</v>
      </c>
      <c r="CK111" s="49" t="n">
        <f aca="false">CK83+CK110+CK94+CK104+CK105+CK52+CK59</f>
        <v>1107.34991088373</v>
      </c>
      <c r="CL111" s="49" t="n">
        <f aca="false">CL83+CL110+CL94+CL104+CL105+CL52+CL59</f>
        <v>1098.05254683492</v>
      </c>
      <c r="CM111" s="49" t="n">
        <f aca="false">CM83+CM110+CM94+CM104+CM105+CM52+CM59</f>
        <v>1086.906193421</v>
      </c>
      <c r="CN111" s="49" t="n">
        <f aca="false">CN83+CN110+CN94+CN104+CN105+CN52+CN59</f>
        <v>1098.98292890345</v>
      </c>
      <c r="CO111" s="49" t="n">
        <f aca="false">CO83+CO110+CO94+CO104+CO105+CO52+CO59</f>
        <v>1111.05966438591</v>
      </c>
      <c r="CP111" s="49" t="n">
        <f aca="false">CP83+CP110+CP94+CP104+CP105+CP52+CP59</f>
        <v>1101.70623478642</v>
      </c>
      <c r="CQ111" s="49" t="n">
        <f aca="false">CQ83+CQ110+CQ94+CQ104+CQ105+CQ52+CQ59</f>
        <v>1102.32285766244</v>
      </c>
      <c r="CR111" s="49" t="n">
        <f aca="false">CR83+CR110+CR94+CR104+CR105+CR52+CR59</f>
        <v>1102.32285766244</v>
      </c>
      <c r="CS111" s="49" t="n">
        <f aca="false">CS83+CS110+CS94+CS104+CS105+CS52+CS59</f>
        <v>1114.43629565873</v>
      </c>
      <c r="CT111" s="49" t="n">
        <f aca="false">CT83+CT110+CT94+CT104+CT105+CT52+CT59</f>
        <v>1105.02667646799</v>
      </c>
      <c r="CU111" s="49" t="n">
        <f aca="false">CU83+CU110+CU94+CU104+CU105+CU52+CU59</f>
        <v>1093.17605570278</v>
      </c>
      <c r="CV111" s="49" t="n">
        <f aca="false">CV83+CV110+CV94+CV104+CV105+CV52+CV59</f>
        <v>1105.32245632171</v>
      </c>
      <c r="CW111" s="49" t="n">
        <f aca="false">CW83+CW110+CW94+CW104+CW105+CW52+CW59</f>
        <v>1117.46885694062</v>
      </c>
      <c r="CX111" s="49" t="n">
        <f aca="false">CX83+CX110+CX94+CX104+CX105+CX52+CX59</f>
        <v>1108.00292887618</v>
      </c>
      <c r="CY111" s="49" t="n">
        <f aca="false">CY83+CY110+CY94+CY104+CY105+CY52+CY59</f>
        <v>1095.79511157489</v>
      </c>
      <c r="CZ111" s="49" t="n">
        <f aca="false">CZ83+CZ110+CZ94+CZ104+CZ105+CZ52+CZ59</f>
        <v>1107.97061281461</v>
      </c>
      <c r="DA111" s="49" t="n">
        <f aca="false">DA83+DA110+DA94+DA104+DA105+DA52+DA59</f>
        <v>1120.14611405433</v>
      </c>
      <c r="DB111" s="49" t="n">
        <f aca="false">DB83+DB110+DB94+DB104+DB105+DB52+DB59</f>
        <v>2503.24466583138</v>
      </c>
      <c r="DC111" s="49" t="n">
        <f aca="false">DC83+DC110+DC94+DC104+DC105+DC52+DC59</f>
        <v>2460.4018457948</v>
      </c>
      <c r="DD111" s="49" t="n">
        <f aca="false">DD83+DD110+DD94+DD104+DD105+DD52+DD59</f>
        <v>2487.73964408141</v>
      </c>
      <c r="DE111" s="49" t="n">
        <f aca="false">DE83+DE110+DE94+DE104+DE105+DE52+DE59</f>
        <v>2515.07744236802</v>
      </c>
      <c r="DF111" s="49" t="n">
        <f aca="false">DF83+DF110+DF94+DF104+DF105+DF52+DF59</f>
        <v>2505.49855853058</v>
      </c>
      <c r="DG111" s="49" t="n">
        <f aca="false">DG83+DG110+DG94+DG104+DG105+DG52+DG59</f>
        <v>2489.65041143909</v>
      </c>
      <c r="DH111" s="49" t="n">
        <f aca="false">DH83+DH110+DH94+DH104+DH105+DH52+DH59</f>
        <v>2489.65041143909</v>
      </c>
      <c r="DI111" s="49" t="n">
        <f aca="false">DI83+DI110+DI94+DI104+DI105+DI52+DI59</f>
        <v>2517.00920716919</v>
      </c>
      <c r="DJ111" s="49" t="n">
        <f aca="false">DJ83+DJ110+DJ94+DJ104+DJ105+DJ52+DJ59</f>
        <v>2507.37368674959</v>
      </c>
      <c r="DK111" s="49" t="n">
        <f aca="false">DK83+DK110+DK94+DK104+DK105+DK52+DK59</f>
        <v>2463.79908392978</v>
      </c>
      <c r="DL111" s="49" t="n">
        <f aca="false">DL83+DL110+DL94+DL104+DL105+DL52+DL59</f>
        <v>2491.17462930678</v>
      </c>
      <c r="DM111" s="49" t="n">
        <f aca="false">DM83+DM110+DM94+DM104+DM105+DM52+DM59</f>
        <v>2518.55017468378</v>
      </c>
      <c r="DN111" s="49" t="n">
        <f aca="false">DN83+DN110+DN94+DN104+DN105+DN52+DN59</f>
        <v>2508.85791904168</v>
      </c>
      <c r="DO111" s="49" t="n">
        <f aca="false">DO83+DO110+DO94+DO104+DO105+DO52+DO59</f>
        <v>2464.91206834606</v>
      </c>
      <c r="DP111" s="49" t="n">
        <f aca="false">DP83+DP110+DP94+DP104+DP105+DP52+DP59</f>
        <v>2492.29998021657</v>
      </c>
      <c r="DQ111" s="49" t="n">
        <f aca="false">DQ83+DQ110+DQ94+DQ104+DQ105+DQ52+DQ59</f>
        <v>2519.68789208708</v>
      </c>
      <c r="DR111" s="49" t="n">
        <f aca="false">DR83+DR110+DR94+DR104+DR105+DR52+DR59</f>
        <v>2509.93880816483</v>
      </c>
      <c r="DS111" s="49" t="n">
        <f aca="false">DS83+DS110+DS94+DS104+DS105+DS52+DS59</f>
        <v>2465.61807007059</v>
      </c>
      <c r="DT111" s="49" t="n">
        <f aca="false">DT83+DT110+DT94+DT104+DT105+DT52+DT59</f>
        <v>2493.01382640471</v>
      </c>
      <c r="DU111" s="49" t="n">
        <f aca="false">DU83+DU110+DU94+DU104+DU105+DU52+DU59</f>
        <v>2520.40958273882</v>
      </c>
      <c r="DV111" s="49" t="n">
        <f aca="false">DV83+DV110+DV94+DV104+DV105+DV52+DV59</f>
        <v>2510.60358323846</v>
      </c>
      <c r="DW111" s="49" t="n">
        <f aca="false">DW83+DW110+DW94+DW104+DW105+DW52+DW59</f>
        <v>2493.30320185874</v>
      </c>
      <c r="DX111" s="49" t="n">
        <f aca="false">DX83+DX110+DX94+DX104+DX105+DX52+DX59</f>
        <v>2493.30320185874</v>
      </c>
      <c r="DY111" s="49" t="n">
        <f aca="false">DY83+DY110+DY94+DY104+DY105+DY52+DY59</f>
        <v>2520.70213814291</v>
      </c>
      <c r="DZ111" s="49" t="n">
        <f aca="false">DZ83+DZ110+DZ94+DZ104+DZ105+DZ52+DZ59</f>
        <v>2510.83914170753</v>
      </c>
      <c r="EA111" s="49" t="n">
        <f aca="false">EA83+EA110+EA94+EA104+EA105+EA52+EA59</f>
        <v>2465.75749862902</v>
      </c>
      <c r="EB111" s="49" t="n">
        <f aca="false">EB83+EB110+EB94+EB104+EB105+EB52+EB59</f>
        <v>2493.15480416935</v>
      </c>
      <c r="EC111" s="49" t="n">
        <f aca="false">EC83+EC110+EC94+EC104+EC105+EC52+EC59</f>
        <v>2520.55210970967</v>
      </c>
      <c r="ED111" s="49" t="n">
        <f aca="false">ED83+ED110+ED94+ED104+ED105+ED52+ED59</f>
        <v>2510.63204110907</v>
      </c>
      <c r="EE111" s="49" t="n">
        <f aca="false">EE83+EE110+EE94+EE104+EE105+EE52+EE59</f>
        <v>2465.16427204807</v>
      </c>
      <c r="EF111" s="49" t="n">
        <f aca="false">EF83+EF110+EF94+EF104+EF105+EF52+EF59</f>
        <v>2492.55498618193</v>
      </c>
      <c r="EG111" s="49" t="n">
        <f aca="false">EG83+EG110+EG94+EG104+EG105+EG52+EG59</f>
        <v>2519.9457003158</v>
      </c>
      <c r="EH111" s="49" t="n">
        <f aca="false">EH83+EH110+EH94+EH104+EH105+EH52+EH59</f>
        <v>2509.96849063659</v>
      </c>
      <c r="EI111" s="49" t="n">
        <f aca="false">EI83+EI110+EI94+EI104+EI105+EI52+EI59</f>
        <v>2464.11073922956</v>
      </c>
      <c r="EJ111" s="49" t="n">
        <f aca="false">EJ83+EJ110+EJ94+EJ104+EJ105+EJ52+EJ59</f>
        <v>2491.48974744322</v>
      </c>
      <c r="EK111" s="49" t="n">
        <f aca="false">EK83+EK110+EK94+EK104+EK105+EK52+EK59</f>
        <v>2518.86875565688</v>
      </c>
      <c r="EL111" s="49" t="n">
        <f aca="false">EL83+EL110+EL94+EL104+EL105+EL52+EL59</f>
        <v>2508.8343424972</v>
      </c>
      <c r="EM111" s="49" t="n">
        <f aca="false">EM83+EM110+EM94+EM104+EM105+EM52+EM59</f>
        <v>2489.94472543768</v>
      </c>
      <c r="EN111" s="49" t="n">
        <f aca="false">EN83+EN110+EN94+EN104+EN105+EN52+EN59</f>
        <v>2489.94472543768</v>
      </c>
      <c r="EO111" s="49" t="n">
        <f aca="false">EO83+EO110+EO94+EO104+EO105+EO52+EO59</f>
        <v>2517.30675538755</v>
      </c>
    </row>
    <row r="112" customFormat="false" ht="15" hidden="false" customHeight="false" outlineLevel="0" collapsed="false">
      <c r="C112" s="1" t="s">
        <v>499</v>
      </c>
      <c r="D112" s="12" t="s">
        <v>33</v>
      </c>
      <c r="J112" s="19" t="n">
        <f aca="false">I116</f>
        <v>0</v>
      </c>
      <c r="K112" s="19" t="n">
        <f aca="false">J116</f>
        <v>12.8099380746857</v>
      </c>
      <c r="L112" s="19" t="n">
        <f aca="false">K116</f>
        <v>32.4846237568024</v>
      </c>
      <c r="M112" s="19" t="n">
        <f aca="false">L116</f>
        <v>65.6401125914806</v>
      </c>
      <c r="N112" s="19" t="n">
        <f aca="false">M116</f>
        <v>99.1599474573091</v>
      </c>
      <c r="O112" s="19" t="n">
        <f aca="false">N116</f>
        <v>132.679782323138</v>
      </c>
      <c r="P112" s="19" t="n">
        <f aca="false">O116</f>
        <v>165.835271157816</v>
      </c>
      <c r="Q112" s="19" t="n">
        <f aca="false">P116</f>
        <v>198.990759992494</v>
      </c>
      <c r="R112" s="19" t="n">
        <f aca="false">Q116</f>
        <v>232.510594858322</v>
      </c>
      <c r="S112" s="19" t="n">
        <f aca="false">R116</f>
        <v>1281.16234182123</v>
      </c>
      <c r="T112" s="19" t="n">
        <f aca="false">S116</f>
        <v>1448.75817338439</v>
      </c>
      <c r="U112" s="19" t="n">
        <f aca="false">T116</f>
        <v>1598.05234011833</v>
      </c>
      <c r="V112" s="19" t="n">
        <f aca="false">U116</f>
        <v>1736.99817741783</v>
      </c>
      <c r="W112" s="19" t="n">
        <f aca="false">V116</f>
        <v>1863.8233436191</v>
      </c>
      <c r="X112" s="19" t="n">
        <f aca="false">W116</f>
        <v>1977.07619391435</v>
      </c>
      <c r="Y112" s="19" t="n">
        <f aca="false">X116</f>
        <v>2079.85911333687</v>
      </c>
      <c r="Z112" s="19" t="n">
        <f aca="false">Y116</f>
        <v>2171.78259071714</v>
      </c>
      <c r="AA112" s="19" t="n">
        <f aca="false">Z116</f>
        <v>1996.82073695429</v>
      </c>
      <c r="AB112" s="19" t="n">
        <f aca="false">AA116</f>
        <v>1820.98102380333</v>
      </c>
      <c r="AC112" s="19" t="n">
        <f aca="false">AB116</f>
        <v>1636.25236279951</v>
      </c>
      <c r="AD112" s="19" t="n">
        <f aca="false">AC116</f>
        <v>1442.59054791286</v>
      </c>
      <c r="AE112" s="19" t="n">
        <f aca="false">AD116</f>
        <v>1249.54031677901</v>
      </c>
      <c r="AF112" s="19" t="n">
        <f aca="false">AE116</f>
        <v>1050.19203068008</v>
      </c>
      <c r="AG112" s="19" t="n">
        <f aca="false">AF116</f>
        <v>847.127094896977</v>
      </c>
      <c r="AH112" s="19" t="n">
        <f aca="false">AG116</f>
        <v>634.905457011915</v>
      </c>
      <c r="AI112" s="19" t="n">
        <f aca="false">AH116</f>
        <v>423.137568299515</v>
      </c>
      <c r="AJ112" s="19" t="n">
        <f aca="false">AI116</f>
        <v>210.430902249227</v>
      </c>
      <c r="AK112" s="19" t="n">
        <f aca="false">AJ116</f>
        <v>0</v>
      </c>
      <c r="AL112" s="19" t="n">
        <f aca="false">AK116</f>
        <v>0</v>
      </c>
      <c r="AM112" s="19" t="n">
        <f aca="false">AL116</f>
        <v>0</v>
      </c>
      <c r="AN112" s="19" t="n">
        <f aca="false">AM116</f>
        <v>0</v>
      </c>
      <c r="AO112" s="19" t="n">
        <f aca="false">AN116</f>
        <v>0</v>
      </c>
      <c r="AP112" s="19" t="n">
        <f aca="false">AO116</f>
        <v>0</v>
      </c>
      <c r="AQ112" s="19" t="n">
        <f aca="false">AP116</f>
        <v>0</v>
      </c>
      <c r="AR112" s="19" t="n">
        <f aca="false">AQ116</f>
        <v>0</v>
      </c>
      <c r="AS112" s="19" t="n">
        <f aca="false">AR116</f>
        <v>0</v>
      </c>
      <c r="AT112" s="19" t="n">
        <f aca="false">AS116</f>
        <v>0</v>
      </c>
      <c r="AU112" s="19" t="n">
        <f aca="false">AT116</f>
        <v>0</v>
      </c>
      <c r="AV112" s="19" t="n">
        <f aca="false">AU116</f>
        <v>0</v>
      </c>
      <c r="AW112" s="19" t="n">
        <f aca="false">AV116</f>
        <v>0</v>
      </c>
      <c r="AX112" s="19" t="n">
        <f aca="false">AW116</f>
        <v>0</v>
      </c>
      <c r="AY112" s="19" t="n">
        <f aca="false">AX116</f>
        <v>0</v>
      </c>
      <c r="AZ112" s="19" t="n">
        <f aca="false">AY116</f>
        <v>0</v>
      </c>
      <c r="BA112" s="19" t="n">
        <f aca="false">AZ116</f>
        <v>0</v>
      </c>
      <c r="BB112" s="19" t="n">
        <f aca="false">BA116</f>
        <v>0</v>
      </c>
      <c r="BC112" s="19" t="n">
        <f aca="false">BB116</f>
        <v>0</v>
      </c>
      <c r="BD112" s="19" t="n">
        <f aca="false">BC116</f>
        <v>0</v>
      </c>
      <c r="BE112" s="19" t="n">
        <f aca="false">BD116</f>
        <v>0</v>
      </c>
      <c r="BF112" s="19" t="n">
        <f aca="false">BE116</f>
        <v>0</v>
      </c>
      <c r="BG112" s="19" t="n">
        <f aca="false">BF116</f>
        <v>0</v>
      </c>
      <c r="BH112" s="19" t="n">
        <f aca="false">BG116</f>
        <v>0</v>
      </c>
      <c r="BI112" s="19" t="n">
        <f aca="false">BH116</f>
        <v>0</v>
      </c>
      <c r="BJ112" s="19" t="n">
        <f aca="false">BI116</f>
        <v>0</v>
      </c>
      <c r="BK112" s="19" t="n">
        <f aca="false">BJ116</f>
        <v>0</v>
      </c>
      <c r="BL112" s="19" t="n">
        <f aca="false">BK116</f>
        <v>0</v>
      </c>
      <c r="BM112" s="19" t="n">
        <f aca="false">BL116</f>
        <v>0</v>
      </c>
      <c r="BN112" s="19" t="n">
        <f aca="false">BM116</f>
        <v>0</v>
      </c>
      <c r="BO112" s="19" t="n">
        <f aca="false">BN116</f>
        <v>0</v>
      </c>
      <c r="BP112" s="19" t="n">
        <f aca="false">BO116</f>
        <v>0</v>
      </c>
      <c r="BQ112" s="19" t="n">
        <f aca="false">BP116</f>
        <v>0</v>
      </c>
      <c r="BR112" s="19" t="n">
        <f aca="false">BQ116</f>
        <v>0</v>
      </c>
      <c r="BS112" s="19" t="n">
        <f aca="false">BR116</f>
        <v>0</v>
      </c>
      <c r="BT112" s="19" t="n">
        <f aca="false">BS116</f>
        <v>0</v>
      </c>
      <c r="BU112" s="19" t="n">
        <f aca="false">BT116</f>
        <v>0</v>
      </c>
      <c r="BV112" s="19" t="n">
        <f aca="false">BU116</f>
        <v>0</v>
      </c>
      <c r="BW112" s="19" t="n">
        <f aca="false">BV116</f>
        <v>0</v>
      </c>
      <c r="BX112" s="19" t="n">
        <f aca="false">BW116</f>
        <v>0</v>
      </c>
      <c r="BY112" s="19" t="n">
        <f aca="false">BX116</f>
        <v>0</v>
      </c>
      <c r="BZ112" s="19" t="n">
        <f aca="false">BY116</f>
        <v>0</v>
      </c>
      <c r="CA112" s="19" t="n">
        <f aca="false">BZ116</f>
        <v>0</v>
      </c>
      <c r="CB112" s="19" t="n">
        <f aca="false">CA116</f>
        <v>0</v>
      </c>
      <c r="CC112" s="19" t="n">
        <f aca="false">CB116</f>
        <v>0</v>
      </c>
      <c r="CD112" s="19" t="n">
        <f aca="false">CC116</f>
        <v>0</v>
      </c>
      <c r="CE112" s="19" t="n">
        <f aca="false">CD116</f>
        <v>0</v>
      </c>
      <c r="CF112" s="19" t="n">
        <f aca="false">CE116</f>
        <v>0</v>
      </c>
      <c r="CG112" s="19" t="n">
        <f aca="false">CF116</f>
        <v>0</v>
      </c>
      <c r="CH112" s="19" t="n">
        <f aca="false">CG116</f>
        <v>0</v>
      </c>
      <c r="CI112" s="19" t="n">
        <f aca="false">CH116</f>
        <v>0</v>
      </c>
      <c r="CJ112" s="19" t="n">
        <f aca="false">CI116</f>
        <v>0</v>
      </c>
      <c r="CK112" s="19" t="n">
        <f aca="false">CJ116</f>
        <v>0</v>
      </c>
      <c r="CL112" s="19" t="n">
        <f aca="false">CK116</f>
        <v>0</v>
      </c>
      <c r="CM112" s="19" t="n">
        <f aca="false">CL116</f>
        <v>0</v>
      </c>
      <c r="CN112" s="19" t="n">
        <f aca="false">CM116</f>
        <v>0</v>
      </c>
      <c r="CO112" s="19" t="n">
        <f aca="false">CN116</f>
        <v>0</v>
      </c>
      <c r="CP112" s="19" t="n">
        <f aca="false">CO116</f>
        <v>0</v>
      </c>
      <c r="CQ112" s="19" t="n">
        <f aca="false">CP116</f>
        <v>0</v>
      </c>
      <c r="CR112" s="19" t="n">
        <f aca="false">CQ116</f>
        <v>0</v>
      </c>
      <c r="CS112" s="19" t="n">
        <f aca="false">CR116</f>
        <v>0</v>
      </c>
      <c r="CT112" s="19" t="n">
        <f aca="false">CS116</f>
        <v>0</v>
      </c>
      <c r="CU112" s="19" t="n">
        <f aca="false">CT116</f>
        <v>0</v>
      </c>
      <c r="CV112" s="19" t="n">
        <f aca="false">CU116</f>
        <v>0</v>
      </c>
      <c r="CW112" s="19" t="n">
        <f aca="false">CV116</f>
        <v>0</v>
      </c>
      <c r="CX112" s="19" t="n">
        <f aca="false">CW116</f>
        <v>0</v>
      </c>
      <c r="CY112" s="19" t="n">
        <f aca="false">CX116</f>
        <v>0</v>
      </c>
      <c r="CZ112" s="19" t="n">
        <f aca="false">CY116</f>
        <v>0</v>
      </c>
      <c r="DA112" s="19" t="n">
        <f aca="false">CZ116</f>
        <v>0</v>
      </c>
      <c r="DB112" s="19" t="n">
        <f aca="false">DA116</f>
        <v>0</v>
      </c>
      <c r="DC112" s="19" t="n">
        <f aca="false">DB116</f>
        <v>0</v>
      </c>
      <c r="DD112" s="19" t="n">
        <f aca="false">DC116</f>
        <v>0</v>
      </c>
      <c r="DE112" s="19" t="n">
        <f aca="false">DD116</f>
        <v>0</v>
      </c>
      <c r="DF112" s="19" t="n">
        <f aca="false">DE116</f>
        <v>0</v>
      </c>
      <c r="DG112" s="19" t="n">
        <f aca="false">DF116</f>
        <v>0</v>
      </c>
      <c r="DH112" s="19" t="n">
        <f aca="false">DG116</f>
        <v>0</v>
      </c>
      <c r="DI112" s="19" t="n">
        <f aca="false">DH116</f>
        <v>0</v>
      </c>
      <c r="DJ112" s="19" t="n">
        <f aca="false">DI116</f>
        <v>0</v>
      </c>
      <c r="DK112" s="19" t="n">
        <f aca="false">DJ116</f>
        <v>0</v>
      </c>
      <c r="DL112" s="19" t="n">
        <f aca="false">DK116</f>
        <v>0</v>
      </c>
      <c r="DM112" s="19" t="n">
        <f aca="false">DL116</f>
        <v>0</v>
      </c>
      <c r="DN112" s="19" t="n">
        <f aca="false">DM116</f>
        <v>0</v>
      </c>
      <c r="DO112" s="19" t="n">
        <f aca="false">DN116</f>
        <v>0</v>
      </c>
      <c r="DP112" s="19" t="n">
        <f aca="false">DO116</f>
        <v>0</v>
      </c>
      <c r="DQ112" s="19" t="n">
        <f aca="false">DP116</f>
        <v>0</v>
      </c>
      <c r="DR112" s="19" t="n">
        <f aca="false">DQ116</f>
        <v>0</v>
      </c>
      <c r="DS112" s="19" t="n">
        <f aca="false">DR116</f>
        <v>0</v>
      </c>
      <c r="DT112" s="19" t="n">
        <f aca="false">DS116</f>
        <v>0</v>
      </c>
      <c r="DU112" s="19" t="n">
        <f aca="false">DT116</f>
        <v>0</v>
      </c>
      <c r="DV112" s="19" t="n">
        <f aca="false">DU116</f>
        <v>0</v>
      </c>
      <c r="DW112" s="19" t="n">
        <f aca="false">DV116</f>
        <v>0</v>
      </c>
      <c r="DX112" s="19" t="n">
        <f aca="false">DW116</f>
        <v>0</v>
      </c>
      <c r="DY112" s="19" t="n">
        <f aca="false">DX116</f>
        <v>0</v>
      </c>
      <c r="DZ112" s="19" t="n">
        <f aca="false">DY116</f>
        <v>0</v>
      </c>
      <c r="EA112" s="19" t="n">
        <f aca="false">DZ116</f>
        <v>0</v>
      </c>
      <c r="EB112" s="19" t="n">
        <f aca="false">EA116</f>
        <v>0</v>
      </c>
      <c r="EC112" s="19" t="n">
        <f aca="false">EB116</f>
        <v>0</v>
      </c>
      <c r="ED112" s="19" t="n">
        <f aca="false">EC116</f>
        <v>0</v>
      </c>
      <c r="EE112" s="19" t="n">
        <f aca="false">ED116</f>
        <v>0</v>
      </c>
      <c r="EF112" s="19" t="n">
        <f aca="false">EE116</f>
        <v>0</v>
      </c>
      <c r="EG112" s="19" t="n">
        <f aca="false">EF116</f>
        <v>0</v>
      </c>
      <c r="EH112" s="19" t="n">
        <f aca="false">EG116</f>
        <v>0</v>
      </c>
      <c r="EI112" s="19" t="n">
        <f aca="false">EH116</f>
        <v>0</v>
      </c>
      <c r="EJ112" s="19" t="n">
        <f aca="false">EI116</f>
        <v>0</v>
      </c>
      <c r="EK112" s="19" t="n">
        <f aca="false">EJ116</f>
        <v>0</v>
      </c>
      <c r="EL112" s="19" t="n">
        <f aca="false">EK116</f>
        <v>0</v>
      </c>
      <c r="EM112" s="19" t="n">
        <f aca="false">EL116</f>
        <v>0</v>
      </c>
      <c r="EN112" s="19" t="n">
        <f aca="false">EM116</f>
        <v>0</v>
      </c>
      <c r="EO112" s="19" t="n">
        <f aca="false">EN116</f>
        <v>0</v>
      </c>
    </row>
    <row r="113" customFormat="false" ht="15" hidden="false" customHeight="false" outlineLevel="0" collapsed="false">
      <c r="C113" s="1" t="s">
        <v>500</v>
      </c>
      <c r="D113" s="12" t="s">
        <v>33</v>
      </c>
      <c r="I113" s="49" t="n">
        <f aca="false">SUM(J113:EO113)</f>
        <v>2171.78259071714</v>
      </c>
      <c r="J113" s="49" t="n">
        <f aca="false">MAX(0,-J111)</f>
        <v>12.8099380746857</v>
      </c>
      <c r="K113" s="49" t="n">
        <f aca="false">MAX(0,-K111)</f>
        <v>19.6746856821167</v>
      </c>
      <c r="L113" s="49" t="n">
        <f aca="false">MAX(0,-L111)</f>
        <v>33.1554888346782</v>
      </c>
      <c r="M113" s="49" t="n">
        <f aca="false">MAX(0,-M111)</f>
        <v>33.5198348658285</v>
      </c>
      <c r="N113" s="49" t="n">
        <f aca="false">MAX(0,-N111)</f>
        <v>33.5198348658285</v>
      </c>
      <c r="O113" s="49" t="n">
        <f aca="false">MAX(0,-O111)</f>
        <v>33.1554888346782</v>
      </c>
      <c r="P113" s="49" t="n">
        <f aca="false">MAX(0,-P111)</f>
        <v>33.1554888346782</v>
      </c>
      <c r="Q113" s="49" t="n">
        <f aca="false">MAX(0,-Q111)</f>
        <v>33.5198348658285</v>
      </c>
      <c r="R113" s="49" t="n">
        <f aca="false">MAX(0,-R111)</f>
        <v>1048.6517469629</v>
      </c>
      <c r="S113" s="49" t="n">
        <f aca="false">MAX(0,-S111)</f>
        <v>167.595831563167</v>
      </c>
      <c r="T113" s="49" t="n">
        <f aca="false">MAX(0,-T111)</f>
        <v>149.294166733935</v>
      </c>
      <c r="U113" s="49" t="n">
        <f aca="false">MAX(0,-U111)</f>
        <v>138.945837299506</v>
      </c>
      <c r="V113" s="49" t="n">
        <f aca="false">MAX(0,-V111)</f>
        <v>126.825166201263</v>
      </c>
      <c r="W113" s="49" t="n">
        <f aca="false">MAX(0,-W111)</f>
        <v>113.252850295255</v>
      </c>
      <c r="X113" s="49" t="n">
        <f aca="false">MAX(0,-X111)</f>
        <v>102.782919422517</v>
      </c>
      <c r="Y113" s="49" t="n">
        <f aca="false">MAX(0,-Y111)</f>
        <v>91.9234773802712</v>
      </c>
      <c r="Z113" s="49" t="n">
        <f aca="false">MAX(0,-Z111)</f>
        <v>0</v>
      </c>
      <c r="AA113" s="49" t="n">
        <f aca="false">MAX(0,-AA111)</f>
        <v>0</v>
      </c>
      <c r="AB113" s="49" t="n">
        <f aca="false">MAX(0,-AB111)</f>
        <v>0</v>
      </c>
      <c r="AC113" s="49" t="n">
        <f aca="false">MAX(0,-AC111)</f>
        <v>0</v>
      </c>
      <c r="AD113" s="49" t="n">
        <f aca="false">MAX(0,-AD111)</f>
        <v>0</v>
      </c>
      <c r="AE113" s="49" t="n">
        <f aca="false">MAX(0,-AE111)</f>
        <v>0</v>
      </c>
      <c r="AF113" s="49" t="n">
        <f aca="false">MAX(0,-AF111)</f>
        <v>0</v>
      </c>
      <c r="AG113" s="49" t="n">
        <f aca="false">MAX(0,-AG111)</f>
        <v>0</v>
      </c>
      <c r="AH113" s="49" t="n">
        <f aca="false">MAX(0,-AH111)</f>
        <v>0</v>
      </c>
      <c r="AI113" s="49" t="n">
        <f aca="false">MAX(0,-AI111)</f>
        <v>0</v>
      </c>
      <c r="AJ113" s="49" t="n">
        <f aca="false">MAX(0,-AJ111)</f>
        <v>0</v>
      </c>
      <c r="AK113" s="49" t="n">
        <f aca="false">MAX(0,-AK111)</f>
        <v>0</v>
      </c>
      <c r="AL113" s="49" t="n">
        <f aca="false">MAX(0,-AL111)</f>
        <v>0</v>
      </c>
      <c r="AM113" s="49" t="n">
        <f aca="false">MAX(0,-AM111)</f>
        <v>0</v>
      </c>
      <c r="AN113" s="49" t="n">
        <f aca="false">MAX(0,-AN111)</f>
        <v>0</v>
      </c>
      <c r="AO113" s="49" t="n">
        <f aca="false">MAX(0,-AO111)</f>
        <v>0</v>
      </c>
      <c r="AP113" s="49" t="n">
        <f aca="false">MAX(0,-AP111)</f>
        <v>0</v>
      </c>
      <c r="AQ113" s="49" t="n">
        <f aca="false">MAX(0,-AQ111)</f>
        <v>0</v>
      </c>
      <c r="AR113" s="49" t="n">
        <f aca="false">MAX(0,-AR111)</f>
        <v>0</v>
      </c>
      <c r="AS113" s="49" t="n">
        <f aca="false">MAX(0,-AS111)</f>
        <v>0</v>
      </c>
      <c r="AT113" s="49" t="n">
        <f aca="false">MAX(0,-AT111)</f>
        <v>0</v>
      </c>
      <c r="AU113" s="49" t="n">
        <f aca="false">MAX(0,-AU111)</f>
        <v>0</v>
      </c>
      <c r="AV113" s="49" t="n">
        <f aca="false">MAX(0,-AV111)</f>
        <v>0</v>
      </c>
      <c r="AW113" s="49" t="n">
        <f aca="false">MAX(0,-AW111)</f>
        <v>0</v>
      </c>
      <c r="AX113" s="49" t="n">
        <f aca="false">MAX(0,-AX111)</f>
        <v>0</v>
      </c>
      <c r="AY113" s="49" t="n">
        <f aca="false">MAX(0,-AY111)</f>
        <v>0</v>
      </c>
      <c r="AZ113" s="49" t="n">
        <f aca="false">MAX(0,-AZ111)</f>
        <v>0</v>
      </c>
      <c r="BA113" s="49" t="n">
        <f aca="false">MAX(0,-BA111)</f>
        <v>0</v>
      </c>
      <c r="BB113" s="49" t="n">
        <f aca="false">MAX(0,-BB111)</f>
        <v>0</v>
      </c>
      <c r="BC113" s="49" t="n">
        <f aca="false">MAX(0,-BC111)</f>
        <v>0</v>
      </c>
      <c r="BD113" s="49" t="n">
        <f aca="false">MAX(0,-BD111)</f>
        <v>0</v>
      </c>
      <c r="BE113" s="49" t="n">
        <f aca="false">MAX(0,-BE111)</f>
        <v>0</v>
      </c>
      <c r="BF113" s="49" t="n">
        <f aca="false">MAX(0,-BF111)</f>
        <v>0</v>
      </c>
      <c r="BG113" s="49" t="n">
        <f aca="false">MAX(0,-BG111)</f>
        <v>0</v>
      </c>
      <c r="BH113" s="49" t="n">
        <f aca="false">MAX(0,-BH111)</f>
        <v>0</v>
      </c>
      <c r="BI113" s="49" t="n">
        <f aca="false">MAX(0,-BI111)</f>
        <v>0</v>
      </c>
      <c r="BJ113" s="49" t="n">
        <f aca="false">MAX(0,-BJ111)</f>
        <v>0</v>
      </c>
      <c r="BK113" s="49" t="n">
        <f aca="false">MAX(0,-BK111)</f>
        <v>0</v>
      </c>
      <c r="BL113" s="49" t="n">
        <f aca="false">MAX(0,-BL111)</f>
        <v>0</v>
      </c>
      <c r="BM113" s="49" t="n">
        <f aca="false">MAX(0,-BM111)</f>
        <v>0</v>
      </c>
      <c r="BN113" s="49" t="n">
        <f aca="false">MAX(0,-BN111)</f>
        <v>0</v>
      </c>
      <c r="BO113" s="49" t="n">
        <f aca="false">MAX(0,-BO111)</f>
        <v>0</v>
      </c>
      <c r="BP113" s="49" t="n">
        <f aca="false">MAX(0,-BP111)</f>
        <v>0</v>
      </c>
      <c r="BQ113" s="49" t="n">
        <f aca="false">MAX(0,-BQ111)</f>
        <v>0</v>
      </c>
      <c r="BR113" s="49" t="n">
        <f aca="false">MAX(0,-BR111)</f>
        <v>0</v>
      </c>
      <c r="BS113" s="49" t="n">
        <f aca="false">MAX(0,-BS111)</f>
        <v>0</v>
      </c>
      <c r="BT113" s="49" t="n">
        <f aca="false">MAX(0,-BT111)</f>
        <v>0</v>
      </c>
      <c r="BU113" s="49" t="n">
        <f aca="false">MAX(0,-BU111)</f>
        <v>0</v>
      </c>
      <c r="BV113" s="49" t="n">
        <f aca="false">MAX(0,-BV111)</f>
        <v>0</v>
      </c>
      <c r="BW113" s="49" t="n">
        <f aca="false">MAX(0,-BW111)</f>
        <v>0</v>
      </c>
      <c r="BX113" s="49" t="n">
        <f aca="false">MAX(0,-BX111)</f>
        <v>0</v>
      </c>
      <c r="BY113" s="49" t="n">
        <f aca="false">MAX(0,-BY111)</f>
        <v>0</v>
      </c>
      <c r="BZ113" s="49" t="n">
        <f aca="false">MAX(0,-BZ111)</f>
        <v>0</v>
      </c>
      <c r="CA113" s="49" t="n">
        <f aca="false">MAX(0,-CA111)</f>
        <v>0</v>
      </c>
      <c r="CB113" s="49" t="n">
        <f aca="false">MAX(0,-CB111)</f>
        <v>0</v>
      </c>
      <c r="CC113" s="49" t="n">
        <f aca="false">MAX(0,-CC111)</f>
        <v>0</v>
      </c>
      <c r="CD113" s="49" t="n">
        <f aca="false">MAX(0,-CD111)</f>
        <v>0</v>
      </c>
      <c r="CE113" s="49" t="n">
        <f aca="false">MAX(0,-CE111)</f>
        <v>0</v>
      </c>
      <c r="CF113" s="49" t="n">
        <f aca="false">MAX(0,-CF111)</f>
        <v>0</v>
      </c>
      <c r="CG113" s="49" t="n">
        <f aca="false">MAX(0,-CG111)</f>
        <v>0</v>
      </c>
      <c r="CH113" s="49" t="n">
        <f aca="false">MAX(0,-CH111)</f>
        <v>0</v>
      </c>
      <c r="CI113" s="49" t="n">
        <f aca="false">MAX(0,-CI111)</f>
        <v>0</v>
      </c>
      <c r="CJ113" s="49" t="n">
        <f aca="false">MAX(0,-CJ111)</f>
        <v>0</v>
      </c>
      <c r="CK113" s="49" t="n">
        <f aca="false">MAX(0,-CK111)</f>
        <v>0</v>
      </c>
      <c r="CL113" s="49" t="n">
        <f aca="false">MAX(0,-CL111)</f>
        <v>0</v>
      </c>
      <c r="CM113" s="49" t="n">
        <f aca="false">MAX(0,-CM111)</f>
        <v>0</v>
      </c>
      <c r="CN113" s="49" t="n">
        <f aca="false">MAX(0,-CN111)</f>
        <v>0</v>
      </c>
      <c r="CO113" s="49" t="n">
        <f aca="false">MAX(0,-CO111)</f>
        <v>0</v>
      </c>
      <c r="CP113" s="49" t="n">
        <f aca="false">MAX(0,-CP111)</f>
        <v>0</v>
      </c>
      <c r="CQ113" s="49" t="n">
        <f aca="false">MAX(0,-CQ111)</f>
        <v>0</v>
      </c>
      <c r="CR113" s="49" t="n">
        <f aca="false">MAX(0,-CR111)</f>
        <v>0</v>
      </c>
      <c r="CS113" s="49" t="n">
        <f aca="false">MAX(0,-CS111)</f>
        <v>0</v>
      </c>
      <c r="CT113" s="49" t="n">
        <f aca="false">MAX(0,-CT111)</f>
        <v>0</v>
      </c>
      <c r="CU113" s="49" t="n">
        <f aca="false">MAX(0,-CU111)</f>
        <v>0</v>
      </c>
      <c r="CV113" s="49" t="n">
        <f aca="false">MAX(0,-CV111)</f>
        <v>0</v>
      </c>
      <c r="CW113" s="49" t="n">
        <f aca="false">MAX(0,-CW111)</f>
        <v>0</v>
      </c>
      <c r="CX113" s="49" t="n">
        <f aca="false">MAX(0,-CX111)</f>
        <v>0</v>
      </c>
      <c r="CY113" s="49" t="n">
        <f aca="false">MAX(0,-CY111)</f>
        <v>0</v>
      </c>
      <c r="CZ113" s="49" t="n">
        <f aca="false">MAX(0,-CZ111)</f>
        <v>0</v>
      </c>
      <c r="DA113" s="49" t="n">
        <f aca="false">MAX(0,-DA111)</f>
        <v>0</v>
      </c>
      <c r="DB113" s="49" t="n">
        <f aca="false">MAX(0,-DB111)</f>
        <v>0</v>
      </c>
      <c r="DC113" s="49" t="n">
        <f aca="false">MAX(0,-DC111)</f>
        <v>0</v>
      </c>
      <c r="DD113" s="49" t="n">
        <f aca="false">MAX(0,-DD111)</f>
        <v>0</v>
      </c>
      <c r="DE113" s="49" t="n">
        <f aca="false">MAX(0,-DE111)</f>
        <v>0</v>
      </c>
      <c r="DF113" s="49" t="n">
        <f aca="false">MAX(0,-DF111)</f>
        <v>0</v>
      </c>
      <c r="DG113" s="49" t="n">
        <f aca="false">MAX(0,-DG111)</f>
        <v>0</v>
      </c>
      <c r="DH113" s="49" t="n">
        <f aca="false">MAX(0,-DH111)</f>
        <v>0</v>
      </c>
      <c r="DI113" s="49" t="n">
        <f aca="false">MAX(0,-DI111)</f>
        <v>0</v>
      </c>
      <c r="DJ113" s="49" t="n">
        <f aca="false">MAX(0,-DJ111)</f>
        <v>0</v>
      </c>
      <c r="DK113" s="49" t="n">
        <f aca="false">MAX(0,-DK111)</f>
        <v>0</v>
      </c>
      <c r="DL113" s="49" t="n">
        <f aca="false">MAX(0,-DL111)</f>
        <v>0</v>
      </c>
      <c r="DM113" s="49" t="n">
        <f aca="false">MAX(0,-DM111)</f>
        <v>0</v>
      </c>
      <c r="DN113" s="49" t="n">
        <f aca="false">MAX(0,-DN111)</f>
        <v>0</v>
      </c>
      <c r="DO113" s="49" t="n">
        <f aca="false">MAX(0,-DO111)</f>
        <v>0</v>
      </c>
      <c r="DP113" s="49" t="n">
        <f aca="false">MAX(0,-DP111)</f>
        <v>0</v>
      </c>
      <c r="DQ113" s="49" t="n">
        <f aca="false">MAX(0,-DQ111)</f>
        <v>0</v>
      </c>
      <c r="DR113" s="49" t="n">
        <f aca="false">MAX(0,-DR111)</f>
        <v>0</v>
      </c>
      <c r="DS113" s="49" t="n">
        <f aca="false">MAX(0,-DS111)</f>
        <v>0</v>
      </c>
      <c r="DT113" s="49" t="n">
        <f aca="false">MAX(0,-DT111)</f>
        <v>0</v>
      </c>
      <c r="DU113" s="49" t="n">
        <f aca="false">MAX(0,-DU111)</f>
        <v>0</v>
      </c>
      <c r="DV113" s="49" t="n">
        <f aca="false">MAX(0,-DV111)</f>
        <v>0</v>
      </c>
      <c r="DW113" s="49" t="n">
        <f aca="false">MAX(0,-DW111)</f>
        <v>0</v>
      </c>
      <c r="DX113" s="49" t="n">
        <f aca="false">MAX(0,-DX111)</f>
        <v>0</v>
      </c>
      <c r="DY113" s="49" t="n">
        <f aca="false">MAX(0,-DY111)</f>
        <v>0</v>
      </c>
      <c r="DZ113" s="49" t="n">
        <f aca="false">MAX(0,-DZ111)</f>
        <v>0</v>
      </c>
      <c r="EA113" s="49" t="n">
        <f aca="false">MAX(0,-EA111)</f>
        <v>0</v>
      </c>
      <c r="EB113" s="49" t="n">
        <f aca="false">MAX(0,-EB111)</f>
        <v>0</v>
      </c>
      <c r="EC113" s="49" t="n">
        <f aca="false">MAX(0,-EC111)</f>
        <v>0</v>
      </c>
      <c r="ED113" s="49" t="n">
        <f aca="false">MAX(0,-ED111)</f>
        <v>0</v>
      </c>
      <c r="EE113" s="49" t="n">
        <f aca="false">MAX(0,-EE111)</f>
        <v>0</v>
      </c>
      <c r="EF113" s="49" t="n">
        <f aca="false">MAX(0,-EF111)</f>
        <v>0</v>
      </c>
      <c r="EG113" s="49" t="n">
        <f aca="false">MAX(0,-EG111)</f>
        <v>0</v>
      </c>
      <c r="EH113" s="49" t="n">
        <f aca="false">MAX(0,-EH111)</f>
        <v>0</v>
      </c>
      <c r="EI113" s="49" t="n">
        <f aca="false">MAX(0,-EI111)</f>
        <v>0</v>
      </c>
      <c r="EJ113" s="49" t="n">
        <f aca="false">MAX(0,-EJ111)</f>
        <v>0</v>
      </c>
      <c r="EK113" s="49" t="n">
        <f aca="false">MAX(0,-EK111)</f>
        <v>0</v>
      </c>
      <c r="EL113" s="49" t="n">
        <f aca="false">MAX(0,-EL111)</f>
        <v>0</v>
      </c>
      <c r="EM113" s="49" t="n">
        <f aca="false">MAX(0,-EM111)</f>
        <v>0</v>
      </c>
      <c r="EN113" s="49" t="n">
        <f aca="false">MAX(0,-EN111)</f>
        <v>0</v>
      </c>
      <c r="EO113" s="49" t="n">
        <f aca="false">MAX(0,-EO111)</f>
        <v>0</v>
      </c>
    </row>
    <row r="114" customFormat="false" ht="15" hidden="false" customHeight="false" outlineLevel="0" collapsed="false">
      <c r="C114" s="1" t="s">
        <v>501</v>
      </c>
      <c r="D114" s="12" t="s">
        <v>33</v>
      </c>
      <c r="I114" s="49" t="n">
        <f aca="false">SUM(J114:EO114)</f>
        <v>-2171.78259071714</v>
      </c>
      <c r="J114" s="49" t="n">
        <f aca="false">-MIN(J112,In_Loss_Cap*MAX(0,J111))</f>
        <v>-0</v>
      </c>
      <c r="K114" s="49" t="n">
        <f aca="false">-MIN(K112,In_Loss_Cap*MAX(0,K111))</f>
        <v>-0</v>
      </c>
      <c r="L114" s="49" t="n">
        <f aca="false">-MIN(L112,In_Loss_Cap*MAX(0,L111))</f>
        <v>-0</v>
      </c>
      <c r="M114" s="49" t="n">
        <f aca="false">-MIN(M112,In_Loss_Cap*MAX(0,M111))</f>
        <v>-0</v>
      </c>
      <c r="N114" s="49" t="n">
        <f aca="false">-MIN(N112,In_Loss_Cap*MAX(0,N111))</f>
        <v>-0</v>
      </c>
      <c r="O114" s="49" t="n">
        <f aca="false">-MIN(O112,In_Loss_Cap*MAX(0,O111))</f>
        <v>-0</v>
      </c>
      <c r="P114" s="49" t="n">
        <f aca="false">-MIN(P112,In_Loss_Cap*MAX(0,P111))</f>
        <v>-0</v>
      </c>
      <c r="Q114" s="49" t="n">
        <f aca="false">-MIN(Q112,In_Loss_Cap*MAX(0,Q111))</f>
        <v>-0</v>
      </c>
      <c r="R114" s="49" t="n">
        <f aca="false">-MIN(R112,In_Loss_Cap*MAX(0,R111))</f>
        <v>-0</v>
      </c>
      <c r="S114" s="49" t="n">
        <f aca="false">-MIN(S112,In_Loss_Cap*MAX(0,S111))</f>
        <v>-0</v>
      </c>
      <c r="T114" s="49" t="n">
        <f aca="false">-MIN(T112,In_Loss_Cap*MAX(0,T111))</f>
        <v>-0</v>
      </c>
      <c r="U114" s="49" t="n">
        <f aca="false">-MIN(U112,In_Loss_Cap*MAX(0,U111))</f>
        <v>-0</v>
      </c>
      <c r="V114" s="49" t="n">
        <f aca="false">-MIN(V112,In_Loss_Cap*MAX(0,V111))</f>
        <v>-0</v>
      </c>
      <c r="W114" s="49" t="n">
        <f aca="false">-MIN(W112,In_Loss_Cap*MAX(0,W111))</f>
        <v>-0</v>
      </c>
      <c r="X114" s="49" t="n">
        <f aca="false">-MIN(X112,In_Loss_Cap*MAX(0,X111))</f>
        <v>-0</v>
      </c>
      <c r="Y114" s="49" t="n">
        <f aca="false">-MIN(Y112,In_Loss_Cap*MAX(0,Y111))</f>
        <v>-0</v>
      </c>
      <c r="Z114" s="49" t="n">
        <f aca="false">-MIN(Z112,In_Loss_Cap*MAX(0,Z111))</f>
        <v>-174.961853762852</v>
      </c>
      <c r="AA114" s="49" t="n">
        <f aca="false">-MIN(AA112,In_Loss_Cap*MAX(0,AA111))</f>
        <v>-175.839713150956</v>
      </c>
      <c r="AB114" s="49" t="n">
        <f aca="false">-MIN(AB112,In_Loss_Cap*MAX(0,AB111))</f>
        <v>-184.728661003823</v>
      </c>
      <c r="AC114" s="49" t="n">
        <f aca="false">-MIN(AC112,In_Loss_Cap*MAX(0,AC111))</f>
        <v>-193.661814886653</v>
      </c>
      <c r="AD114" s="49" t="n">
        <f aca="false">-MIN(AD112,In_Loss_Cap*MAX(0,AD111))</f>
        <v>-193.050231133847</v>
      </c>
      <c r="AE114" s="49" t="n">
        <f aca="false">-MIN(AE112,In_Loss_Cap*MAX(0,AE111))</f>
        <v>-199.348286098928</v>
      </c>
      <c r="AF114" s="49" t="n">
        <f aca="false">-MIN(AF112,In_Loss_Cap*MAX(0,AF111))</f>
        <v>-203.064935783105</v>
      </c>
      <c r="AG114" s="49" t="n">
        <f aca="false">-MIN(AG112,In_Loss_Cap*MAX(0,AG111))</f>
        <v>-212.221637885061</v>
      </c>
      <c r="AH114" s="49" t="n">
        <f aca="false">-MIN(AH112,In_Loss_Cap*MAX(0,AH111))</f>
        <v>-211.767888712401</v>
      </c>
      <c r="AI114" s="49" t="n">
        <f aca="false">-MIN(AI112,In_Loss_Cap*MAX(0,AI111))</f>
        <v>-212.706666050288</v>
      </c>
      <c r="AJ114" s="49" t="n">
        <f aca="false">-MIN(AJ112,In_Loss_Cap*MAX(0,AJ111))</f>
        <v>-210.430902249227</v>
      </c>
      <c r="AK114" s="49" t="n">
        <f aca="false">-MIN(AK112,In_Loss_Cap*MAX(0,AK111))</f>
        <v>-0</v>
      </c>
      <c r="AL114" s="49" t="n">
        <f aca="false">-MIN(AL112,In_Loss_Cap*MAX(0,AL111))</f>
        <v>-0</v>
      </c>
      <c r="AM114" s="49" t="n">
        <f aca="false">-MIN(AM112,In_Loss_Cap*MAX(0,AM111))</f>
        <v>-0</v>
      </c>
      <c r="AN114" s="49" t="n">
        <f aca="false">-MIN(AN112,In_Loss_Cap*MAX(0,AN111))</f>
        <v>-0</v>
      </c>
      <c r="AO114" s="49" t="n">
        <f aca="false">-MIN(AO112,In_Loss_Cap*MAX(0,AO111))</f>
        <v>-0</v>
      </c>
      <c r="AP114" s="49" t="n">
        <f aca="false">-MIN(AP112,In_Loss_Cap*MAX(0,AP111))</f>
        <v>-0</v>
      </c>
      <c r="AQ114" s="49" t="n">
        <f aca="false">-MIN(AQ112,In_Loss_Cap*MAX(0,AQ111))</f>
        <v>-0</v>
      </c>
      <c r="AR114" s="49" t="n">
        <f aca="false">-MIN(AR112,In_Loss_Cap*MAX(0,AR111))</f>
        <v>-0</v>
      </c>
      <c r="AS114" s="49" t="n">
        <f aca="false">-MIN(AS112,In_Loss_Cap*MAX(0,AS111))</f>
        <v>-0</v>
      </c>
      <c r="AT114" s="49" t="n">
        <f aca="false">-MIN(AT112,In_Loss_Cap*MAX(0,AT111))</f>
        <v>-0</v>
      </c>
      <c r="AU114" s="49" t="n">
        <f aca="false">-MIN(AU112,In_Loss_Cap*MAX(0,AU111))</f>
        <v>-0</v>
      </c>
      <c r="AV114" s="49" t="n">
        <f aca="false">-MIN(AV112,In_Loss_Cap*MAX(0,AV111))</f>
        <v>-0</v>
      </c>
      <c r="AW114" s="49" t="n">
        <f aca="false">-MIN(AW112,In_Loss_Cap*MAX(0,AW111))</f>
        <v>-0</v>
      </c>
      <c r="AX114" s="49" t="n">
        <f aca="false">-MIN(AX112,In_Loss_Cap*MAX(0,AX111))</f>
        <v>-0</v>
      </c>
      <c r="AY114" s="49" t="n">
        <f aca="false">-MIN(AY112,In_Loss_Cap*MAX(0,AY111))</f>
        <v>-0</v>
      </c>
      <c r="AZ114" s="49" t="n">
        <f aca="false">-MIN(AZ112,In_Loss_Cap*MAX(0,AZ111))</f>
        <v>-0</v>
      </c>
      <c r="BA114" s="49" t="n">
        <f aca="false">-MIN(BA112,In_Loss_Cap*MAX(0,BA111))</f>
        <v>-0</v>
      </c>
      <c r="BB114" s="49" t="n">
        <f aca="false">-MIN(BB112,In_Loss_Cap*MAX(0,BB111))</f>
        <v>-0</v>
      </c>
      <c r="BC114" s="49" t="n">
        <f aca="false">-MIN(BC112,In_Loss_Cap*MAX(0,BC111))</f>
        <v>-0</v>
      </c>
      <c r="BD114" s="49" t="n">
        <f aca="false">-MIN(BD112,In_Loss_Cap*MAX(0,BD111))</f>
        <v>-0</v>
      </c>
      <c r="BE114" s="49" t="n">
        <f aca="false">-MIN(BE112,In_Loss_Cap*MAX(0,BE111))</f>
        <v>-0</v>
      </c>
      <c r="BF114" s="49" t="n">
        <f aca="false">-MIN(BF112,In_Loss_Cap*MAX(0,BF111))</f>
        <v>-0</v>
      </c>
      <c r="BG114" s="49" t="n">
        <f aca="false">-MIN(BG112,In_Loss_Cap*MAX(0,BG111))</f>
        <v>-0</v>
      </c>
      <c r="BH114" s="49" t="n">
        <f aca="false">-MIN(BH112,In_Loss_Cap*MAX(0,BH111))</f>
        <v>-0</v>
      </c>
      <c r="BI114" s="49" t="n">
        <f aca="false">-MIN(BI112,In_Loss_Cap*MAX(0,BI111))</f>
        <v>-0</v>
      </c>
      <c r="BJ114" s="49" t="n">
        <f aca="false">-MIN(BJ112,In_Loss_Cap*MAX(0,BJ111))</f>
        <v>-0</v>
      </c>
      <c r="BK114" s="49" t="n">
        <f aca="false">-MIN(BK112,In_Loss_Cap*MAX(0,BK111))</f>
        <v>-0</v>
      </c>
      <c r="BL114" s="49" t="n">
        <f aca="false">-MIN(BL112,In_Loss_Cap*MAX(0,BL111))</f>
        <v>-0</v>
      </c>
      <c r="BM114" s="49" t="n">
        <f aca="false">-MIN(BM112,In_Loss_Cap*MAX(0,BM111))</f>
        <v>-0</v>
      </c>
      <c r="BN114" s="49" t="n">
        <f aca="false">-MIN(BN112,In_Loss_Cap*MAX(0,BN111))</f>
        <v>-0</v>
      </c>
      <c r="BO114" s="49" t="n">
        <f aca="false">-MIN(BO112,In_Loss_Cap*MAX(0,BO111))</f>
        <v>-0</v>
      </c>
      <c r="BP114" s="49" t="n">
        <f aca="false">-MIN(BP112,In_Loss_Cap*MAX(0,BP111))</f>
        <v>-0</v>
      </c>
      <c r="BQ114" s="49" t="n">
        <f aca="false">-MIN(BQ112,In_Loss_Cap*MAX(0,BQ111))</f>
        <v>-0</v>
      </c>
      <c r="BR114" s="49" t="n">
        <f aca="false">-MIN(BR112,In_Loss_Cap*MAX(0,BR111))</f>
        <v>-0</v>
      </c>
      <c r="BS114" s="49" t="n">
        <f aca="false">-MIN(BS112,In_Loss_Cap*MAX(0,BS111))</f>
        <v>-0</v>
      </c>
      <c r="BT114" s="49" t="n">
        <f aca="false">-MIN(BT112,In_Loss_Cap*MAX(0,BT111))</f>
        <v>-0</v>
      </c>
      <c r="BU114" s="49" t="n">
        <f aca="false">-MIN(BU112,In_Loss_Cap*MAX(0,BU111))</f>
        <v>-0</v>
      </c>
      <c r="BV114" s="49" t="n">
        <f aca="false">-MIN(BV112,In_Loss_Cap*MAX(0,BV111))</f>
        <v>-0</v>
      </c>
      <c r="BW114" s="49" t="n">
        <f aca="false">-MIN(BW112,In_Loss_Cap*MAX(0,BW111))</f>
        <v>-0</v>
      </c>
      <c r="BX114" s="49" t="n">
        <f aca="false">-MIN(BX112,In_Loss_Cap*MAX(0,BX111))</f>
        <v>-0</v>
      </c>
      <c r="BY114" s="49" t="n">
        <f aca="false">-MIN(BY112,In_Loss_Cap*MAX(0,BY111))</f>
        <v>-0</v>
      </c>
      <c r="BZ114" s="49" t="n">
        <f aca="false">-MIN(BZ112,In_Loss_Cap*MAX(0,BZ111))</f>
        <v>-0</v>
      </c>
      <c r="CA114" s="49" t="n">
        <f aca="false">-MIN(CA112,In_Loss_Cap*MAX(0,CA111))</f>
        <v>-0</v>
      </c>
      <c r="CB114" s="49" t="n">
        <f aca="false">-MIN(CB112,In_Loss_Cap*MAX(0,CB111))</f>
        <v>-0</v>
      </c>
      <c r="CC114" s="49" t="n">
        <f aca="false">-MIN(CC112,In_Loss_Cap*MAX(0,CC111))</f>
        <v>-0</v>
      </c>
      <c r="CD114" s="49" t="n">
        <f aca="false">-MIN(CD112,In_Loss_Cap*MAX(0,CD111))</f>
        <v>-0</v>
      </c>
      <c r="CE114" s="49" t="n">
        <f aca="false">-MIN(CE112,In_Loss_Cap*MAX(0,CE111))</f>
        <v>-0</v>
      </c>
      <c r="CF114" s="49" t="n">
        <f aca="false">-MIN(CF112,In_Loss_Cap*MAX(0,CF111))</f>
        <v>-0</v>
      </c>
      <c r="CG114" s="49" t="n">
        <f aca="false">-MIN(CG112,In_Loss_Cap*MAX(0,CG111))</f>
        <v>-0</v>
      </c>
      <c r="CH114" s="49" t="n">
        <f aca="false">-MIN(CH112,In_Loss_Cap*MAX(0,CH111))</f>
        <v>-0</v>
      </c>
      <c r="CI114" s="49" t="n">
        <f aca="false">-MIN(CI112,In_Loss_Cap*MAX(0,CI111))</f>
        <v>-0</v>
      </c>
      <c r="CJ114" s="49" t="n">
        <f aca="false">-MIN(CJ112,In_Loss_Cap*MAX(0,CJ111))</f>
        <v>-0</v>
      </c>
      <c r="CK114" s="49" t="n">
        <f aca="false">-MIN(CK112,In_Loss_Cap*MAX(0,CK111))</f>
        <v>-0</v>
      </c>
      <c r="CL114" s="49" t="n">
        <f aca="false">-MIN(CL112,In_Loss_Cap*MAX(0,CL111))</f>
        <v>-0</v>
      </c>
      <c r="CM114" s="49" t="n">
        <f aca="false">-MIN(CM112,In_Loss_Cap*MAX(0,CM111))</f>
        <v>-0</v>
      </c>
      <c r="CN114" s="49" t="n">
        <f aca="false">-MIN(CN112,In_Loss_Cap*MAX(0,CN111))</f>
        <v>-0</v>
      </c>
      <c r="CO114" s="49" t="n">
        <f aca="false">-MIN(CO112,In_Loss_Cap*MAX(0,CO111))</f>
        <v>-0</v>
      </c>
      <c r="CP114" s="49" t="n">
        <f aca="false">-MIN(CP112,In_Loss_Cap*MAX(0,CP111))</f>
        <v>-0</v>
      </c>
      <c r="CQ114" s="49" t="n">
        <f aca="false">-MIN(CQ112,In_Loss_Cap*MAX(0,CQ111))</f>
        <v>-0</v>
      </c>
      <c r="CR114" s="49" t="n">
        <f aca="false">-MIN(CR112,In_Loss_Cap*MAX(0,CR111))</f>
        <v>-0</v>
      </c>
      <c r="CS114" s="49" t="n">
        <f aca="false">-MIN(CS112,In_Loss_Cap*MAX(0,CS111))</f>
        <v>-0</v>
      </c>
      <c r="CT114" s="49" t="n">
        <f aca="false">-MIN(CT112,In_Loss_Cap*MAX(0,CT111))</f>
        <v>-0</v>
      </c>
      <c r="CU114" s="49" t="n">
        <f aca="false">-MIN(CU112,In_Loss_Cap*MAX(0,CU111))</f>
        <v>-0</v>
      </c>
      <c r="CV114" s="49" t="n">
        <f aca="false">-MIN(CV112,In_Loss_Cap*MAX(0,CV111))</f>
        <v>-0</v>
      </c>
      <c r="CW114" s="49" t="n">
        <f aca="false">-MIN(CW112,In_Loss_Cap*MAX(0,CW111))</f>
        <v>-0</v>
      </c>
      <c r="CX114" s="49" t="n">
        <f aca="false">-MIN(CX112,In_Loss_Cap*MAX(0,CX111))</f>
        <v>-0</v>
      </c>
      <c r="CY114" s="49" t="n">
        <f aca="false">-MIN(CY112,In_Loss_Cap*MAX(0,CY111))</f>
        <v>-0</v>
      </c>
      <c r="CZ114" s="49" t="n">
        <f aca="false">-MIN(CZ112,In_Loss_Cap*MAX(0,CZ111))</f>
        <v>-0</v>
      </c>
      <c r="DA114" s="49" t="n">
        <f aca="false">-MIN(DA112,In_Loss_Cap*MAX(0,DA111))</f>
        <v>-0</v>
      </c>
      <c r="DB114" s="49" t="n">
        <f aca="false">-MIN(DB112,In_Loss_Cap*MAX(0,DB111))</f>
        <v>-0</v>
      </c>
      <c r="DC114" s="49" t="n">
        <f aca="false">-MIN(DC112,In_Loss_Cap*MAX(0,DC111))</f>
        <v>-0</v>
      </c>
      <c r="DD114" s="49" t="n">
        <f aca="false">-MIN(DD112,In_Loss_Cap*MAX(0,DD111))</f>
        <v>-0</v>
      </c>
      <c r="DE114" s="49" t="n">
        <f aca="false">-MIN(DE112,In_Loss_Cap*MAX(0,DE111))</f>
        <v>-0</v>
      </c>
      <c r="DF114" s="49" t="n">
        <f aca="false">-MIN(DF112,In_Loss_Cap*MAX(0,DF111))</f>
        <v>-0</v>
      </c>
      <c r="DG114" s="49" t="n">
        <f aca="false">-MIN(DG112,In_Loss_Cap*MAX(0,DG111))</f>
        <v>-0</v>
      </c>
      <c r="DH114" s="49" t="n">
        <f aca="false">-MIN(DH112,In_Loss_Cap*MAX(0,DH111))</f>
        <v>-0</v>
      </c>
      <c r="DI114" s="49" t="n">
        <f aca="false">-MIN(DI112,In_Loss_Cap*MAX(0,DI111))</f>
        <v>-0</v>
      </c>
      <c r="DJ114" s="49" t="n">
        <f aca="false">-MIN(DJ112,In_Loss_Cap*MAX(0,DJ111))</f>
        <v>-0</v>
      </c>
      <c r="DK114" s="49" t="n">
        <f aca="false">-MIN(DK112,In_Loss_Cap*MAX(0,DK111))</f>
        <v>-0</v>
      </c>
      <c r="DL114" s="49" t="n">
        <f aca="false">-MIN(DL112,In_Loss_Cap*MAX(0,DL111))</f>
        <v>-0</v>
      </c>
      <c r="DM114" s="49" t="n">
        <f aca="false">-MIN(DM112,In_Loss_Cap*MAX(0,DM111))</f>
        <v>-0</v>
      </c>
      <c r="DN114" s="49" t="n">
        <f aca="false">-MIN(DN112,In_Loss_Cap*MAX(0,DN111))</f>
        <v>-0</v>
      </c>
      <c r="DO114" s="49" t="n">
        <f aca="false">-MIN(DO112,In_Loss_Cap*MAX(0,DO111))</f>
        <v>-0</v>
      </c>
      <c r="DP114" s="49" t="n">
        <f aca="false">-MIN(DP112,In_Loss_Cap*MAX(0,DP111))</f>
        <v>-0</v>
      </c>
      <c r="DQ114" s="49" t="n">
        <f aca="false">-MIN(DQ112,In_Loss_Cap*MAX(0,DQ111))</f>
        <v>-0</v>
      </c>
      <c r="DR114" s="49" t="n">
        <f aca="false">-MIN(DR112,In_Loss_Cap*MAX(0,DR111))</f>
        <v>-0</v>
      </c>
      <c r="DS114" s="49" t="n">
        <f aca="false">-MIN(DS112,In_Loss_Cap*MAX(0,DS111))</f>
        <v>-0</v>
      </c>
      <c r="DT114" s="49" t="n">
        <f aca="false">-MIN(DT112,In_Loss_Cap*MAX(0,DT111))</f>
        <v>-0</v>
      </c>
      <c r="DU114" s="49" t="n">
        <f aca="false">-MIN(DU112,In_Loss_Cap*MAX(0,DU111))</f>
        <v>-0</v>
      </c>
      <c r="DV114" s="49" t="n">
        <f aca="false">-MIN(DV112,In_Loss_Cap*MAX(0,DV111))</f>
        <v>-0</v>
      </c>
      <c r="DW114" s="49" t="n">
        <f aca="false">-MIN(DW112,In_Loss_Cap*MAX(0,DW111))</f>
        <v>-0</v>
      </c>
      <c r="DX114" s="49" t="n">
        <f aca="false">-MIN(DX112,In_Loss_Cap*MAX(0,DX111))</f>
        <v>-0</v>
      </c>
      <c r="DY114" s="49" t="n">
        <f aca="false">-MIN(DY112,In_Loss_Cap*MAX(0,DY111))</f>
        <v>-0</v>
      </c>
      <c r="DZ114" s="49" t="n">
        <f aca="false">-MIN(DZ112,In_Loss_Cap*MAX(0,DZ111))</f>
        <v>-0</v>
      </c>
      <c r="EA114" s="49" t="n">
        <f aca="false">-MIN(EA112,In_Loss_Cap*MAX(0,EA111))</f>
        <v>-0</v>
      </c>
      <c r="EB114" s="49" t="n">
        <f aca="false">-MIN(EB112,In_Loss_Cap*MAX(0,EB111))</f>
        <v>-0</v>
      </c>
      <c r="EC114" s="49" t="n">
        <f aca="false">-MIN(EC112,In_Loss_Cap*MAX(0,EC111))</f>
        <v>-0</v>
      </c>
      <c r="ED114" s="49" t="n">
        <f aca="false">-MIN(ED112,In_Loss_Cap*MAX(0,ED111))</f>
        <v>-0</v>
      </c>
      <c r="EE114" s="49" t="n">
        <f aca="false">-MIN(EE112,In_Loss_Cap*MAX(0,EE111))</f>
        <v>-0</v>
      </c>
      <c r="EF114" s="49" t="n">
        <f aca="false">-MIN(EF112,In_Loss_Cap*MAX(0,EF111))</f>
        <v>-0</v>
      </c>
      <c r="EG114" s="49" t="n">
        <f aca="false">-MIN(EG112,In_Loss_Cap*MAX(0,EG111))</f>
        <v>-0</v>
      </c>
      <c r="EH114" s="49" t="n">
        <f aca="false">-MIN(EH112,In_Loss_Cap*MAX(0,EH111))</f>
        <v>-0</v>
      </c>
      <c r="EI114" s="49" t="n">
        <f aca="false">-MIN(EI112,In_Loss_Cap*MAX(0,EI111))</f>
        <v>-0</v>
      </c>
      <c r="EJ114" s="49" t="n">
        <f aca="false">-MIN(EJ112,In_Loss_Cap*MAX(0,EJ111))</f>
        <v>-0</v>
      </c>
      <c r="EK114" s="49" t="n">
        <f aca="false">-MIN(EK112,In_Loss_Cap*MAX(0,EK111))</f>
        <v>-0</v>
      </c>
      <c r="EL114" s="49" t="n">
        <f aca="false">-MIN(EL112,In_Loss_Cap*MAX(0,EL111))</f>
        <v>-0</v>
      </c>
      <c r="EM114" s="49" t="n">
        <f aca="false">-MIN(EM112,In_Loss_Cap*MAX(0,EM111))</f>
        <v>-0</v>
      </c>
      <c r="EN114" s="49" t="n">
        <f aca="false">-MIN(EN112,In_Loss_Cap*MAX(0,EN111))</f>
        <v>-0</v>
      </c>
      <c r="EO114" s="49" t="n">
        <f aca="false">-MIN(EO112,In_Loss_Cap*MAX(0,EO111))</f>
        <v>-0</v>
      </c>
    </row>
    <row r="115" customFormat="false" ht="15" hidden="false" customHeight="false" outlineLevel="0" collapsed="false">
      <c r="C115" s="1" t="s">
        <v>502</v>
      </c>
      <c r="D115" s="12" t="s">
        <v>33</v>
      </c>
      <c r="E115" s="47" t="n">
        <f aca="false">EDATE(In_NTP,In_Loss_Years*Months_In_Year)</f>
        <v>48852</v>
      </c>
      <c r="I115" s="49" t="n">
        <f aca="false">SUM(J115:EO115)</f>
        <v>0</v>
      </c>
      <c r="J115" s="49" t="n">
        <f aca="false">-(J112+J113+J114)*N(AND(J$3&lt;=$E115,J$4&gt;=$E115))</f>
        <v>-0</v>
      </c>
      <c r="K115" s="49" t="n">
        <f aca="false">-(K112+K113+K114)*N(AND(K$3&lt;=$E115,K$4&gt;=$E115))</f>
        <v>-0</v>
      </c>
      <c r="L115" s="49" t="n">
        <f aca="false">-(L112+L113+L114)*N(AND(L$3&lt;=$E115,L$4&gt;=$E115))</f>
        <v>-0</v>
      </c>
      <c r="M115" s="49" t="n">
        <f aca="false">-(M112+M113+M114)*N(AND(M$3&lt;=$E115,M$4&gt;=$E115))</f>
        <v>-0</v>
      </c>
      <c r="N115" s="49" t="n">
        <f aca="false">-(N112+N113+N114)*N(AND(N$3&lt;=$E115,N$4&gt;=$E115))</f>
        <v>-0</v>
      </c>
      <c r="O115" s="49" t="n">
        <f aca="false">-(O112+O113+O114)*N(AND(O$3&lt;=$E115,O$4&gt;=$E115))</f>
        <v>-0</v>
      </c>
      <c r="P115" s="49" t="n">
        <f aca="false">-(P112+P113+P114)*N(AND(P$3&lt;=$E115,P$4&gt;=$E115))</f>
        <v>-0</v>
      </c>
      <c r="Q115" s="49" t="n">
        <f aca="false">-(Q112+Q113+Q114)*N(AND(Q$3&lt;=$E115,Q$4&gt;=$E115))</f>
        <v>-0</v>
      </c>
      <c r="R115" s="49" t="n">
        <f aca="false">-(R112+R113+R114)*N(AND(R$3&lt;=$E115,R$4&gt;=$E115))</f>
        <v>-0</v>
      </c>
      <c r="S115" s="49" t="n">
        <f aca="false">-(S112+S113+S114)*N(AND(S$3&lt;=$E115,S$4&gt;=$E115))</f>
        <v>-0</v>
      </c>
      <c r="T115" s="49" t="n">
        <f aca="false">-(T112+T113+T114)*N(AND(T$3&lt;=$E115,T$4&gt;=$E115))</f>
        <v>-0</v>
      </c>
      <c r="U115" s="49" t="n">
        <f aca="false">-(U112+U113+U114)*N(AND(U$3&lt;=$E115,U$4&gt;=$E115))</f>
        <v>-0</v>
      </c>
      <c r="V115" s="49" t="n">
        <f aca="false">-(V112+V113+V114)*N(AND(V$3&lt;=$E115,V$4&gt;=$E115))</f>
        <v>-0</v>
      </c>
      <c r="W115" s="49" t="n">
        <f aca="false">-(W112+W113+W114)*N(AND(W$3&lt;=$E115,W$4&gt;=$E115))</f>
        <v>-0</v>
      </c>
      <c r="X115" s="49" t="n">
        <f aca="false">-(X112+X113+X114)*N(AND(X$3&lt;=$E115,X$4&gt;=$E115))</f>
        <v>-0</v>
      </c>
      <c r="Y115" s="49" t="n">
        <f aca="false">-(Y112+Y113+Y114)*N(AND(Y$3&lt;=$E115,Y$4&gt;=$E115))</f>
        <v>-0</v>
      </c>
      <c r="Z115" s="49" t="n">
        <f aca="false">-(Z112+Z113+Z114)*N(AND(Z$3&lt;=$E115,Z$4&gt;=$E115))</f>
        <v>-0</v>
      </c>
      <c r="AA115" s="49" t="n">
        <f aca="false">-(AA112+AA113+AA114)*N(AND(AA$3&lt;=$E115,AA$4&gt;=$E115))</f>
        <v>-0</v>
      </c>
      <c r="AB115" s="49" t="n">
        <f aca="false">-(AB112+AB113+AB114)*N(AND(AB$3&lt;=$E115,AB$4&gt;=$E115))</f>
        <v>-0</v>
      </c>
      <c r="AC115" s="49" t="n">
        <f aca="false">-(AC112+AC113+AC114)*N(AND(AC$3&lt;=$E115,AC$4&gt;=$E115))</f>
        <v>-0</v>
      </c>
      <c r="AD115" s="49" t="n">
        <f aca="false">-(AD112+AD113+AD114)*N(AND(AD$3&lt;=$E115,AD$4&gt;=$E115))</f>
        <v>-0</v>
      </c>
      <c r="AE115" s="49" t="n">
        <f aca="false">-(AE112+AE113+AE114)*N(AND(AE$3&lt;=$E115,AE$4&gt;=$E115))</f>
        <v>-0</v>
      </c>
      <c r="AF115" s="49" t="n">
        <f aca="false">-(AF112+AF113+AF114)*N(AND(AF$3&lt;=$E115,AF$4&gt;=$E115))</f>
        <v>-0</v>
      </c>
      <c r="AG115" s="49" t="n">
        <f aca="false">-(AG112+AG113+AG114)*N(AND(AG$3&lt;=$E115,AG$4&gt;=$E115))</f>
        <v>-0</v>
      </c>
      <c r="AH115" s="49" t="n">
        <f aca="false">-(AH112+AH113+AH114)*N(AND(AH$3&lt;=$E115,AH$4&gt;=$E115))</f>
        <v>-0</v>
      </c>
      <c r="AI115" s="49" t="n">
        <f aca="false">-(AI112+AI113+AI114)*N(AND(AI$3&lt;=$E115,AI$4&gt;=$E115))</f>
        <v>-0</v>
      </c>
      <c r="AJ115" s="49" t="n">
        <f aca="false">-(AJ112+AJ113+AJ114)*N(AND(AJ$3&lt;=$E115,AJ$4&gt;=$E115))</f>
        <v>-0</v>
      </c>
      <c r="AK115" s="49" t="n">
        <f aca="false">-(AK112+AK113+AK114)*N(AND(AK$3&lt;=$E115,AK$4&gt;=$E115))</f>
        <v>-0</v>
      </c>
      <c r="AL115" s="49" t="n">
        <f aca="false">-(AL112+AL113+AL114)*N(AND(AL$3&lt;=$E115,AL$4&gt;=$E115))</f>
        <v>-0</v>
      </c>
      <c r="AM115" s="49" t="n">
        <f aca="false">-(AM112+AM113+AM114)*N(AND(AM$3&lt;=$E115,AM$4&gt;=$E115))</f>
        <v>-0</v>
      </c>
      <c r="AN115" s="49" t="n">
        <f aca="false">-(AN112+AN113+AN114)*N(AND(AN$3&lt;=$E115,AN$4&gt;=$E115))</f>
        <v>-0</v>
      </c>
      <c r="AO115" s="49" t="n">
        <f aca="false">-(AO112+AO113+AO114)*N(AND(AO$3&lt;=$E115,AO$4&gt;=$E115))</f>
        <v>-0</v>
      </c>
      <c r="AP115" s="49" t="n">
        <f aca="false">-(AP112+AP113+AP114)*N(AND(AP$3&lt;=$E115,AP$4&gt;=$E115))</f>
        <v>-0</v>
      </c>
      <c r="AQ115" s="49" t="n">
        <f aca="false">-(AQ112+AQ113+AQ114)*N(AND(AQ$3&lt;=$E115,AQ$4&gt;=$E115))</f>
        <v>-0</v>
      </c>
      <c r="AR115" s="49" t="n">
        <f aca="false">-(AR112+AR113+AR114)*N(AND(AR$3&lt;=$E115,AR$4&gt;=$E115))</f>
        <v>-0</v>
      </c>
      <c r="AS115" s="49" t="n">
        <f aca="false">-(AS112+AS113+AS114)*N(AND(AS$3&lt;=$E115,AS$4&gt;=$E115))</f>
        <v>-0</v>
      </c>
      <c r="AT115" s="49" t="n">
        <f aca="false">-(AT112+AT113+AT114)*N(AND(AT$3&lt;=$E115,AT$4&gt;=$E115))</f>
        <v>-0</v>
      </c>
      <c r="AU115" s="49" t="n">
        <f aca="false">-(AU112+AU113+AU114)*N(AND(AU$3&lt;=$E115,AU$4&gt;=$E115))</f>
        <v>-0</v>
      </c>
      <c r="AV115" s="49" t="n">
        <f aca="false">-(AV112+AV113+AV114)*N(AND(AV$3&lt;=$E115,AV$4&gt;=$E115))</f>
        <v>-0</v>
      </c>
      <c r="AW115" s="49" t="n">
        <f aca="false">-(AW112+AW113+AW114)*N(AND(AW$3&lt;=$E115,AW$4&gt;=$E115))</f>
        <v>-0</v>
      </c>
      <c r="AX115" s="49" t="n">
        <f aca="false">-(AX112+AX113+AX114)*N(AND(AX$3&lt;=$E115,AX$4&gt;=$E115))</f>
        <v>-0</v>
      </c>
      <c r="AY115" s="49" t="n">
        <f aca="false">-(AY112+AY113+AY114)*N(AND(AY$3&lt;=$E115,AY$4&gt;=$E115))</f>
        <v>-0</v>
      </c>
      <c r="AZ115" s="49" t="n">
        <f aca="false">-(AZ112+AZ113+AZ114)*N(AND(AZ$3&lt;=$E115,AZ$4&gt;=$E115))</f>
        <v>-0</v>
      </c>
      <c r="BA115" s="49" t="n">
        <f aca="false">-(BA112+BA113+BA114)*N(AND(BA$3&lt;=$E115,BA$4&gt;=$E115))</f>
        <v>-0</v>
      </c>
      <c r="BB115" s="49" t="n">
        <f aca="false">-(BB112+BB113+BB114)*N(AND(BB$3&lt;=$E115,BB$4&gt;=$E115))</f>
        <v>-0</v>
      </c>
      <c r="BC115" s="49" t="n">
        <f aca="false">-(BC112+BC113+BC114)*N(AND(BC$3&lt;=$E115,BC$4&gt;=$E115))</f>
        <v>-0</v>
      </c>
      <c r="BD115" s="49" t="n">
        <f aca="false">-(BD112+BD113+BD114)*N(AND(BD$3&lt;=$E115,BD$4&gt;=$E115))</f>
        <v>-0</v>
      </c>
      <c r="BE115" s="49" t="n">
        <f aca="false">-(BE112+BE113+BE114)*N(AND(BE$3&lt;=$E115,BE$4&gt;=$E115))</f>
        <v>-0</v>
      </c>
      <c r="BF115" s="49" t="n">
        <f aca="false">-(BF112+BF113+BF114)*N(AND(BF$3&lt;=$E115,BF$4&gt;=$E115))</f>
        <v>-0</v>
      </c>
      <c r="BG115" s="49" t="n">
        <f aca="false">-(BG112+BG113+BG114)*N(AND(BG$3&lt;=$E115,BG$4&gt;=$E115))</f>
        <v>-0</v>
      </c>
      <c r="BH115" s="49" t="n">
        <f aca="false">-(BH112+BH113+BH114)*N(AND(BH$3&lt;=$E115,BH$4&gt;=$E115))</f>
        <v>-0</v>
      </c>
      <c r="BI115" s="49" t="n">
        <f aca="false">-(BI112+BI113+BI114)*N(AND(BI$3&lt;=$E115,BI$4&gt;=$E115))</f>
        <v>-0</v>
      </c>
      <c r="BJ115" s="49" t="n">
        <f aca="false">-(BJ112+BJ113+BJ114)*N(AND(BJ$3&lt;=$E115,BJ$4&gt;=$E115))</f>
        <v>-0</v>
      </c>
      <c r="BK115" s="49" t="n">
        <f aca="false">-(BK112+BK113+BK114)*N(AND(BK$3&lt;=$E115,BK$4&gt;=$E115))</f>
        <v>-0</v>
      </c>
      <c r="BL115" s="49" t="n">
        <f aca="false">-(BL112+BL113+BL114)*N(AND(BL$3&lt;=$E115,BL$4&gt;=$E115))</f>
        <v>-0</v>
      </c>
      <c r="BM115" s="49" t="n">
        <f aca="false">-(BM112+BM113+BM114)*N(AND(BM$3&lt;=$E115,BM$4&gt;=$E115))</f>
        <v>-0</v>
      </c>
      <c r="BN115" s="49" t="n">
        <f aca="false">-(BN112+BN113+BN114)*N(AND(BN$3&lt;=$E115,BN$4&gt;=$E115))</f>
        <v>-0</v>
      </c>
      <c r="BO115" s="49" t="n">
        <f aca="false">-(BO112+BO113+BO114)*N(AND(BO$3&lt;=$E115,BO$4&gt;=$E115))</f>
        <v>-0</v>
      </c>
      <c r="BP115" s="49" t="n">
        <f aca="false">-(BP112+BP113+BP114)*N(AND(BP$3&lt;=$E115,BP$4&gt;=$E115))</f>
        <v>-0</v>
      </c>
      <c r="BQ115" s="49" t="n">
        <f aca="false">-(BQ112+BQ113+BQ114)*N(AND(BQ$3&lt;=$E115,BQ$4&gt;=$E115))</f>
        <v>-0</v>
      </c>
      <c r="BR115" s="49" t="n">
        <f aca="false">-(BR112+BR113+BR114)*N(AND(BR$3&lt;=$E115,BR$4&gt;=$E115))</f>
        <v>-0</v>
      </c>
      <c r="BS115" s="49" t="n">
        <f aca="false">-(BS112+BS113+BS114)*N(AND(BS$3&lt;=$E115,BS$4&gt;=$E115))</f>
        <v>-0</v>
      </c>
      <c r="BT115" s="49" t="n">
        <f aca="false">-(BT112+BT113+BT114)*N(AND(BT$3&lt;=$E115,BT$4&gt;=$E115))</f>
        <v>-0</v>
      </c>
      <c r="BU115" s="49" t="n">
        <f aca="false">-(BU112+BU113+BU114)*N(AND(BU$3&lt;=$E115,BU$4&gt;=$E115))</f>
        <v>-0</v>
      </c>
      <c r="BV115" s="49" t="n">
        <f aca="false">-(BV112+BV113+BV114)*N(AND(BV$3&lt;=$E115,BV$4&gt;=$E115))</f>
        <v>-0</v>
      </c>
      <c r="BW115" s="49" t="n">
        <f aca="false">-(BW112+BW113+BW114)*N(AND(BW$3&lt;=$E115,BW$4&gt;=$E115))</f>
        <v>-0</v>
      </c>
      <c r="BX115" s="49" t="n">
        <f aca="false">-(BX112+BX113+BX114)*N(AND(BX$3&lt;=$E115,BX$4&gt;=$E115))</f>
        <v>-0</v>
      </c>
      <c r="BY115" s="49" t="n">
        <f aca="false">-(BY112+BY113+BY114)*N(AND(BY$3&lt;=$E115,BY$4&gt;=$E115))</f>
        <v>-0</v>
      </c>
      <c r="BZ115" s="49" t="n">
        <f aca="false">-(BZ112+BZ113+BZ114)*N(AND(BZ$3&lt;=$E115,BZ$4&gt;=$E115))</f>
        <v>-0</v>
      </c>
      <c r="CA115" s="49" t="n">
        <f aca="false">-(CA112+CA113+CA114)*N(AND(CA$3&lt;=$E115,CA$4&gt;=$E115))</f>
        <v>-0</v>
      </c>
      <c r="CB115" s="49" t="n">
        <f aca="false">-(CB112+CB113+CB114)*N(AND(CB$3&lt;=$E115,CB$4&gt;=$E115))</f>
        <v>-0</v>
      </c>
      <c r="CC115" s="49" t="n">
        <f aca="false">-(CC112+CC113+CC114)*N(AND(CC$3&lt;=$E115,CC$4&gt;=$E115))</f>
        <v>-0</v>
      </c>
      <c r="CD115" s="49" t="n">
        <f aca="false">-(CD112+CD113+CD114)*N(AND(CD$3&lt;=$E115,CD$4&gt;=$E115))</f>
        <v>-0</v>
      </c>
      <c r="CE115" s="49" t="n">
        <f aca="false">-(CE112+CE113+CE114)*N(AND(CE$3&lt;=$E115,CE$4&gt;=$E115))</f>
        <v>-0</v>
      </c>
      <c r="CF115" s="49" t="n">
        <f aca="false">-(CF112+CF113+CF114)*N(AND(CF$3&lt;=$E115,CF$4&gt;=$E115))</f>
        <v>-0</v>
      </c>
      <c r="CG115" s="49" t="n">
        <f aca="false">-(CG112+CG113+CG114)*N(AND(CG$3&lt;=$E115,CG$4&gt;=$E115))</f>
        <v>-0</v>
      </c>
      <c r="CH115" s="49" t="n">
        <f aca="false">-(CH112+CH113+CH114)*N(AND(CH$3&lt;=$E115,CH$4&gt;=$E115))</f>
        <v>-0</v>
      </c>
      <c r="CI115" s="49" t="n">
        <f aca="false">-(CI112+CI113+CI114)*N(AND(CI$3&lt;=$E115,CI$4&gt;=$E115))</f>
        <v>-0</v>
      </c>
      <c r="CJ115" s="49" t="n">
        <f aca="false">-(CJ112+CJ113+CJ114)*N(AND(CJ$3&lt;=$E115,CJ$4&gt;=$E115))</f>
        <v>-0</v>
      </c>
      <c r="CK115" s="49" t="n">
        <f aca="false">-(CK112+CK113+CK114)*N(AND(CK$3&lt;=$E115,CK$4&gt;=$E115))</f>
        <v>-0</v>
      </c>
      <c r="CL115" s="49" t="n">
        <f aca="false">-(CL112+CL113+CL114)*N(AND(CL$3&lt;=$E115,CL$4&gt;=$E115))</f>
        <v>-0</v>
      </c>
      <c r="CM115" s="49" t="n">
        <f aca="false">-(CM112+CM113+CM114)*N(AND(CM$3&lt;=$E115,CM$4&gt;=$E115))</f>
        <v>-0</v>
      </c>
      <c r="CN115" s="49" t="n">
        <f aca="false">-(CN112+CN113+CN114)*N(AND(CN$3&lt;=$E115,CN$4&gt;=$E115))</f>
        <v>-0</v>
      </c>
      <c r="CO115" s="49" t="n">
        <f aca="false">-(CO112+CO113+CO114)*N(AND(CO$3&lt;=$E115,CO$4&gt;=$E115))</f>
        <v>-0</v>
      </c>
      <c r="CP115" s="49" t="n">
        <f aca="false">-(CP112+CP113+CP114)*N(AND(CP$3&lt;=$E115,CP$4&gt;=$E115))</f>
        <v>-0</v>
      </c>
      <c r="CQ115" s="49" t="n">
        <f aca="false">-(CQ112+CQ113+CQ114)*N(AND(CQ$3&lt;=$E115,CQ$4&gt;=$E115))</f>
        <v>-0</v>
      </c>
      <c r="CR115" s="49" t="n">
        <f aca="false">-(CR112+CR113+CR114)*N(AND(CR$3&lt;=$E115,CR$4&gt;=$E115))</f>
        <v>-0</v>
      </c>
      <c r="CS115" s="49" t="n">
        <f aca="false">-(CS112+CS113+CS114)*N(AND(CS$3&lt;=$E115,CS$4&gt;=$E115))</f>
        <v>-0</v>
      </c>
      <c r="CT115" s="49" t="n">
        <f aca="false">-(CT112+CT113+CT114)*N(AND(CT$3&lt;=$E115,CT$4&gt;=$E115))</f>
        <v>-0</v>
      </c>
      <c r="CU115" s="49" t="n">
        <f aca="false">-(CU112+CU113+CU114)*N(AND(CU$3&lt;=$E115,CU$4&gt;=$E115))</f>
        <v>-0</v>
      </c>
      <c r="CV115" s="49" t="n">
        <f aca="false">-(CV112+CV113+CV114)*N(AND(CV$3&lt;=$E115,CV$4&gt;=$E115))</f>
        <v>-0</v>
      </c>
      <c r="CW115" s="49" t="n">
        <f aca="false">-(CW112+CW113+CW114)*N(AND(CW$3&lt;=$E115,CW$4&gt;=$E115))</f>
        <v>-0</v>
      </c>
      <c r="CX115" s="49" t="n">
        <f aca="false">-(CX112+CX113+CX114)*N(AND(CX$3&lt;=$E115,CX$4&gt;=$E115))</f>
        <v>-0</v>
      </c>
      <c r="CY115" s="49" t="n">
        <f aca="false">-(CY112+CY113+CY114)*N(AND(CY$3&lt;=$E115,CY$4&gt;=$E115))</f>
        <v>-0</v>
      </c>
      <c r="CZ115" s="49" t="n">
        <f aca="false">-(CZ112+CZ113+CZ114)*N(AND(CZ$3&lt;=$E115,CZ$4&gt;=$E115))</f>
        <v>-0</v>
      </c>
      <c r="DA115" s="49" t="n">
        <f aca="false">-(DA112+DA113+DA114)*N(AND(DA$3&lt;=$E115,DA$4&gt;=$E115))</f>
        <v>-0</v>
      </c>
      <c r="DB115" s="49" t="n">
        <f aca="false">-(DB112+DB113+DB114)*N(AND(DB$3&lt;=$E115,DB$4&gt;=$E115))</f>
        <v>-0</v>
      </c>
      <c r="DC115" s="49" t="n">
        <f aca="false">-(DC112+DC113+DC114)*N(AND(DC$3&lt;=$E115,DC$4&gt;=$E115))</f>
        <v>-0</v>
      </c>
      <c r="DD115" s="49" t="n">
        <f aca="false">-(DD112+DD113+DD114)*N(AND(DD$3&lt;=$E115,DD$4&gt;=$E115))</f>
        <v>-0</v>
      </c>
      <c r="DE115" s="49" t="n">
        <f aca="false">-(DE112+DE113+DE114)*N(AND(DE$3&lt;=$E115,DE$4&gt;=$E115))</f>
        <v>-0</v>
      </c>
      <c r="DF115" s="49" t="n">
        <f aca="false">-(DF112+DF113+DF114)*N(AND(DF$3&lt;=$E115,DF$4&gt;=$E115))</f>
        <v>-0</v>
      </c>
      <c r="DG115" s="49" t="n">
        <f aca="false">-(DG112+DG113+DG114)*N(AND(DG$3&lt;=$E115,DG$4&gt;=$E115))</f>
        <v>-0</v>
      </c>
      <c r="DH115" s="49" t="n">
        <f aca="false">-(DH112+DH113+DH114)*N(AND(DH$3&lt;=$E115,DH$4&gt;=$E115))</f>
        <v>-0</v>
      </c>
      <c r="DI115" s="49" t="n">
        <f aca="false">-(DI112+DI113+DI114)*N(AND(DI$3&lt;=$E115,DI$4&gt;=$E115))</f>
        <v>-0</v>
      </c>
      <c r="DJ115" s="49" t="n">
        <f aca="false">-(DJ112+DJ113+DJ114)*N(AND(DJ$3&lt;=$E115,DJ$4&gt;=$E115))</f>
        <v>-0</v>
      </c>
      <c r="DK115" s="49" t="n">
        <f aca="false">-(DK112+DK113+DK114)*N(AND(DK$3&lt;=$E115,DK$4&gt;=$E115))</f>
        <v>-0</v>
      </c>
      <c r="DL115" s="49" t="n">
        <f aca="false">-(DL112+DL113+DL114)*N(AND(DL$3&lt;=$E115,DL$4&gt;=$E115))</f>
        <v>-0</v>
      </c>
      <c r="DM115" s="49" t="n">
        <f aca="false">-(DM112+DM113+DM114)*N(AND(DM$3&lt;=$E115,DM$4&gt;=$E115))</f>
        <v>-0</v>
      </c>
      <c r="DN115" s="49" t="n">
        <f aca="false">-(DN112+DN113+DN114)*N(AND(DN$3&lt;=$E115,DN$4&gt;=$E115))</f>
        <v>-0</v>
      </c>
      <c r="DO115" s="49" t="n">
        <f aca="false">-(DO112+DO113+DO114)*N(AND(DO$3&lt;=$E115,DO$4&gt;=$E115))</f>
        <v>-0</v>
      </c>
      <c r="DP115" s="49" t="n">
        <f aca="false">-(DP112+DP113+DP114)*N(AND(DP$3&lt;=$E115,DP$4&gt;=$E115))</f>
        <v>-0</v>
      </c>
      <c r="DQ115" s="49" t="n">
        <f aca="false">-(DQ112+DQ113+DQ114)*N(AND(DQ$3&lt;=$E115,DQ$4&gt;=$E115))</f>
        <v>-0</v>
      </c>
      <c r="DR115" s="49" t="n">
        <f aca="false">-(DR112+DR113+DR114)*N(AND(DR$3&lt;=$E115,DR$4&gt;=$E115))</f>
        <v>-0</v>
      </c>
      <c r="DS115" s="49" t="n">
        <f aca="false">-(DS112+DS113+DS114)*N(AND(DS$3&lt;=$E115,DS$4&gt;=$E115))</f>
        <v>-0</v>
      </c>
      <c r="DT115" s="49" t="n">
        <f aca="false">-(DT112+DT113+DT114)*N(AND(DT$3&lt;=$E115,DT$4&gt;=$E115))</f>
        <v>-0</v>
      </c>
      <c r="DU115" s="49" t="n">
        <f aca="false">-(DU112+DU113+DU114)*N(AND(DU$3&lt;=$E115,DU$4&gt;=$E115))</f>
        <v>-0</v>
      </c>
      <c r="DV115" s="49" t="n">
        <f aca="false">-(DV112+DV113+DV114)*N(AND(DV$3&lt;=$E115,DV$4&gt;=$E115))</f>
        <v>-0</v>
      </c>
      <c r="DW115" s="49" t="n">
        <f aca="false">-(DW112+DW113+DW114)*N(AND(DW$3&lt;=$E115,DW$4&gt;=$E115))</f>
        <v>-0</v>
      </c>
      <c r="DX115" s="49" t="n">
        <f aca="false">-(DX112+DX113+DX114)*N(AND(DX$3&lt;=$E115,DX$4&gt;=$E115))</f>
        <v>-0</v>
      </c>
      <c r="DY115" s="49" t="n">
        <f aca="false">-(DY112+DY113+DY114)*N(AND(DY$3&lt;=$E115,DY$4&gt;=$E115))</f>
        <v>-0</v>
      </c>
      <c r="DZ115" s="49" t="n">
        <f aca="false">-(DZ112+DZ113+DZ114)*N(AND(DZ$3&lt;=$E115,DZ$4&gt;=$E115))</f>
        <v>-0</v>
      </c>
      <c r="EA115" s="49" t="n">
        <f aca="false">-(EA112+EA113+EA114)*N(AND(EA$3&lt;=$E115,EA$4&gt;=$E115))</f>
        <v>-0</v>
      </c>
      <c r="EB115" s="49" t="n">
        <f aca="false">-(EB112+EB113+EB114)*N(AND(EB$3&lt;=$E115,EB$4&gt;=$E115))</f>
        <v>-0</v>
      </c>
      <c r="EC115" s="49" t="n">
        <f aca="false">-(EC112+EC113+EC114)*N(AND(EC$3&lt;=$E115,EC$4&gt;=$E115))</f>
        <v>-0</v>
      </c>
      <c r="ED115" s="49" t="n">
        <f aca="false">-(ED112+ED113+ED114)*N(AND(ED$3&lt;=$E115,ED$4&gt;=$E115))</f>
        <v>-0</v>
      </c>
      <c r="EE115" s="49" t="n">
        <f aca="false">-(EE112+EE113+EE114)*N(AND(EE$3&lt;=$E115,EE$4&gt;=$E115))</f>
        <v>-0</v>
      </c>
      <c r="EF115" s="49" t="n">
        <f aca="false">-(EF112+EF113+EF114)*N(AND(EF$3&lt;=$E115,EF$4&gt;=$E115))</f>
        <v>-0</v>
      </c>
      <c r="EG115" s="49" t="n">
        <f aca="false">-(EG112+EG113+EG114)*N(AND(EG$3&lt;=$E115,EG$4&gt;=$E115))</f>
        <v>-0</v>
      </c>
      <c r="EH115" s="49" t="n">
        <f aca="false">-(EH112+EH113+EH114)*N(AND(EH$3&lt;=$E115,EH$4&gt;=$E115))</f>
        <v>-0</v>
      </c>
      <c r="EI115" s="49" t="n">
        <f aca="false">-(EI112+EI113+EI114)*N(AND(EI$3&lt;=$E115,EI$4&gt;=$E115))</f>
        <v>-0</v>
      </c>
      <c r="EJ115" s="49" t="n">
        <f aca="false">-(EJ112+EJ113+EJ114)*N(AND(EJ$3&lt;=$E115,EJ$4&gt;=$E115))</f>
        <v>-0</v>
      </c>
      <c r="EK115" s="49" t="n">
        <f aca="false">-(EK112+EK113+EK114)*N(AND(EK$3&lt;=$E115,EK$4&gt;=$E115))</f>
        <v>-0</v>
      </c>
      <c r="EL115" s="49" t="n">
        <f aca="false">-(EL112+EL113+EL114)*N(AND(EL$3&lt;=$E115,EL$4&gt;=$E115))</f>
        <v>-0</v>
      </c>
      <c r="EM115" s="49" t="n">
        <f aca="false">-(EM112+EM113+EM114)*N(AND(EM$3&lt;=$E115,EM$4&gt;=$E115))</f>
        <v>-0</v>
      </c>
      <c r="EN115" s="49" t="n">
        <f aca="false">-(EN112+EN113+EN114)*N(AND(EN$3&lt;=$E115,EN$4&gt;=$E115))</f>
        <v>-0</v>
      </c>
      <c r="EO115" s="49" t="n">
        <f aca="false">-(EO112+EO113+EO114)*N(AND(EO$3&lt;=$E115,EO$4&gt;=$E115))</f>
        <v>-0</v>
      </c>
    </row>
    <row r="116" customFormat="false" ht="15" hidden="false" customHeight="false" outlineLevel="0" collapsed="false">
      <c r="C116" s="1" t="s">
        <v>503</v>
      </c>
      <c r="D116" s="12" t="s">
        <v>33</v>
      </c>
      <c r="I116" s="60"/>
      <c r="J116" s="49" t="n">
        <f aca="false">SUM(J112:J115)</f>
        <v>12.8099380746857</v>
      </c>
      <c r="K116" s="49" t="n">
        <f aca="false">SUM(K112:K115)</f>
        <v>32.4846237568024</v>
      </c>
      <c r="L116" s="49" t="n">
        <f aca="false">SUM(L112:L115)</f>
        <v>65.6401125914806</v>
      </c>
      <c r="M116" s="49" t="n">
        <f aca="false">SUM(M112:M115)</f>
        <v>99.1599474573091</v>
      </c>
      <c r="N116" s="49" t="n">
        <f aca="false">SUM(N112:N115)</f>
        <v>132.679782323138</v>
      </c>
      <c r="O116" s="49" t="n">
        <f aca="false">SUM(O112:O115)</f>
        <v>165.835271157816</v>
      </c>
      <c r="P116" s="49" t="n">
        <f aca="false">SUM(P112:P115)</f>
        <v>198.990759992494</v>
      </c>
      <c r="Q116" s="49" t="n">
        <f aca="false">SUM(Q112:Q115)</f>
        <v>232.510594858322</v>
      </c>
      <c r="R116" s="49" t="n">
        <f aca="false">SUM(R112:R115)</f>
        <v>1281.16234182123</v>
      </c>
      <c r="S116" s="49" t="n">
        <f aca="false">SUM(S112:S115)</f>
        <v>1448.75817338439</v>
      </c>
      <c r="T116" s="49" t="n">
        <f aca="false">SUM(T112:T115)</f>
        <v>1598.05234011833</v>
      </c>
      <c r="U116" s="49" t="n">
        <f aca="false">SUM(U112:U115)</f>
        <v>1736.99817741783</v>
      </c>
      <c r="V116" s="49" t="n">
        <f aca="false">SUM(V112:V115)</f>
        <v>1863.8233436191</v>
      </c>
      <c r="W116" s="49" t="n">
        <f aca="false">SUM(W112:W115)</f>
        <v>1977.07619391435</v>
      </c>
      <c r="X116" s="49" t="n">
        <f aca="false">SUM(X112:X115)</f>
        <v>2079.85911333687</v>
      </c>
      <c r="Y116" s="49" t="n">
        <f aca="false">SUM(Y112:Y115)</f>
        <v>2171.78259071714</v>
      </c>
      <c r="Z116" s="49" t="n">
        <f aca="false">SUM(Z112:Z115)</f>
        <v>1996.82073695429</v>
      </c>
      <c r="AA116" s="49" t="n">
        <f aca="false">SUM(AA112:AA115)</f>
        <v>1820.98102380333</v>
      </c>
      <c r="AB116" s="49" t="n">
        <f aca="false">SUM(AB112:AB115)</f>
        <v>1636.25236279951</v>
      </c>
      <c r="AC116" s="49" t="n">
        <f aca="false">SUM(AC112:AC115)</f>
        <v>1442.59054791286</v>
      </c>
      <c r="AD116" s="49" t="n">
        <f aca="false">SUM(AD112:AD115)</f>
        <v>1249.54031677901</v>
      </c>
      <c r="AE116" s="49" t="n">
        <f aca="false">SUM(AE112:AE115)</f>
        <v>1050.19203068008</v>
      </c>
      <c r="AF116" s="49" t="n">
        <f aca="false">SUM(AF112:AF115)</f>
        <v>847.127094896977</v>
      </c>
      <c r="AG116" s="49" t="n">
        <f aca="false">SUM(AG112:AG115)</f>
        <v>634.905457011915</v>
      </c>
      <c r="AH116" s="49" t="n">
        <f aca="false">SUM(AH112:AH115)</f>
        <v>423.137568299515</v>
      </c>
      <c r="AI116" s="49" t="n">
        <f aca="false">SUM(AI112:AI115)</f>
        <v>210.430902249227</v>
      </c>
      <c r="AJ116" s="49" t="n">
        <f aca="false">SUM(AJ112:AJ115)</f>
        <v>0</v>
      </c>
      <c r="AK116" s="49" t="n">
        <f aca="false">SUM(AK112:AK115)</f>
        <v>0</v>
      </c>
      <c r="AL116" s="49" t="n">
        <f aca="false">SUM(AL112:AL115)</f>
        <v>0</v>
      </c>
      <c r="AM116" s="49" t="n">
        <f aca="false">SUM(AM112:AM115)</f>
        <v>0</v>
      </c>
      <c r="AN116" s="49" t="n">
        <f aca="false">SUM(AN112:AN115)</f>
        <v>0</v>
      </c>
      <c r="AO116" s="49" t="n">
        <f aca="false">SUM(AO112:AO115)</f>
        <v>0</v>
      </c>
      <c r="AP116" s="49" t="n">
        <f aca="false">SUM(AP112:AP115)</f>
        <v>0</v>
      </c>
      <c r="AQ116" s="49" t="n">
        <f aca="false">SUM(AQ112:AQ115)</f>
        <v>0</v>
      </c>
      <c r="AR116" s="49" t="n">
        <f aca="false">SUM(AR112:AR115)</f>
        <v>0</v>
      </c>
      <c r="AS116" s="49" t="n">
        <f aca="false">SUM(AS112:AS115)</f>
        <v>0</v>
      </c>
      <c r="AT116" s="49" t="n">
        <f aca="false">SUM(AT112:AT115)</f>
        <v>0</v>
      </c>
      <c r="AU116" s="49" t="n">
        <f aca="false">SUM(AU112:AU115)</f>
        <v>0</v>
      </c>
      <c r="AV116" s="49" t="n">
        <f aca="false">SUM(AV112:AV115)</f>
        <v>0</v>
      </c>
      <c r="AW116" s="49" t="n">
        <f aca="false">SUM(AW112:AW115)</f>
        <v>0</v>
      </c>
      <c r="AX116" s="49" t="n">
        <f aca="false">SUM(AX112:AX115)</f>
        <v>0</v>
      </c>
      <c r="AY116" s="49" t="n">
        <f aca="false">SUM(AY112:AY115)</f>
        <v>0</v>
      </c>
      <c r="AZ116" s="49" t="n">
        <f aca="false">SUM(AZ112:AZ115)</f>
        <v>0</v>
      </c>
      <c r="BA116" s="49" t="n">
        <f aca="false">SUM(BA112:BA115)</f>
        <v>0</v>
      </c>
      <c r="BB116" s="49" t="n">
        <f aca="false">SUM(BB112:BB115)</f>
        <v>0</v>
      </c>
      <c r="BC116" s="49" t="n">
        <f aca="false">SUM(BC112:BC115)</f>
        <v>0</v>
      </c>
      <c r="BD116" s="49" t="n">
        <f aca="false">SUM(BD112:BD115)</f>
        <v>0</v>
      </c>
      <c r="BE116" s="49" t="n">
        <f aca="false">SUM(BE112:BE115)</f>
        <v>0</v>
      </c>
      <c r="BF116" s="49" t="n">
        <f aca="false">SUM(BF112:BF115)</f>
        <v>0</v>
      </c>
      <c r="BG116" s="49" t="n">
        <f aca="false">SUM(BG112:BG115)</f>
        <v>0</v>
      </c>
      <c r="BH116" s="49" t="n">
        <f aca="false">SUM(BH112:BH115)</f>
        <v>0</v>
      </c>
      <c r="BI116" s="49" t="n">
        <f aca="false">SUM(BI112:BI115)</f>
        <v>0</v>
      </c>
      <c r="BJ116" s="49" t="n">
        <f aca="false">SUM(BJ112:BJ115)</f>
        <v>0</v>
      </c>
      <c r="BK116" s="49" t="n">
        <f aca="false">SUM(BK112:BK115)</f>
        <v>0</v>
      </c>
      <c r="BL116" s="49" t="n">
        <f aca="false">SUM(BL112:BL115)</f>
        <v>0</v>
      </c>
      <c r="BM116" s="49" t="n">
        <f aca="false">SUM(BM112:BM115)</f>
        <v>0</v>
      </c>
      <c r="BN116" s="49" t="n">
        <f aca="false">SUM(BN112:BN115)</f>
        <v>0</v>
      </c>
      <c r="BO116" s="49" t="n">
        <f aca="false">SUM(BO112:BO115)</f>
        <v>0</v>
      </c>
      <c r="BP116" s="49" t="n">
        <f aca="false">SUM(BP112:BP115)</f>
        <v>0</v>
      </c>
      <c r="BQ116" s="49" t="n">
        <f aca="false">SUM(BQ112:BQ115)</f>
        <v>0</v>
      </c>
      <c r="BR116" s="49" t="n">
        <f aca="false">SUM(BR112:BR115)</f>
        <v>0</v>
      </c>
      <c r="BS116" s="49" t="n">
        <f aca="false">SUM(BS112:BS115)</f>
        <v>0</v>
      </c>
      <c r="BT116" s="49" t="n">
        <f aca="false">SUM(BT112:BT115)</f>
        <v>0</v>
      </c>
      <c r="BU116" s="49" t="n">
        <f aca="false">SUM(BU112:BU115)</f>
        <v>0</v>
      </c>
      <c r="BV116" s="49" t="n">
        <f aca="false">SUM(BV112:BV115)</f>
        <v>0</v>
      </c>
      <c r="BW116" s="49" t="n">
        <f aca="false">SUM(BW112:BW115)</f>
        <v>0</v>
      </c>
      <c r="BX116" s="49" t="n">
        <f aca="false">SUM(BX112:BX115)</f>
        <v>0</v>
      </c>
      <c r="BY116" s="49" t="n">
        <f aca="false">SUM(BY112:BY115)</f>
        <v>0</v>
      </c>
      <c r="BZ116" s="49" t="n">
        <f aca="false">SUM(BZ112:BZ115)</f>
        <v>0</v>
      </c>
      <c r="CA116" s="49" t="n">
        <f aca="false">SUM(CA112:CA115)</f>
        <v>0</v>
      </c>
      <c r="CB116" s="49" t="n">
        <f aca="false">SUM(CB112:CB115)</f>
        <v>0</v>
      </c>
      <c r="CC116" s="49" t="n">
        <f aca="false">SUM(CC112:CC115)</f>
        <v>0</v>
      </c>
      <c r="CD116" s="49" t="n">
        <f aca="false">SUM(CD112:CD115)</f>
        <v>0</v>
      </c>
      <c r="CE116" s="49" t="n">
        <f aca="false">SUM(CE112:CE115)</f>
        <v>0</v>
      </c>
      <c r="CF116" s="49" t="n">
        <f aca="false">SUM(CF112:CF115)</f>
        <v>0</v>
      </c>
      <c r="CG116" s="49" t="n">
        <f aca="false">SUM(CG112:CG115)</f>
        <v>0</v>
      </c>
      <c r="CH116" s="49" t="n">
        <f aca="false">SUM(CH112:CH115)</f>
        <v>0</v>
      </c>
      <c r="CI116" s="49" t="n">
        <f aca="false">SUM(CI112:CI115)</f>
        <v>0</v>
      </c>
      <c r="CJ116" s="49" t="n">
        <f aca="false">SUM(CJ112:CJ115)</f>
        <v>0</v>
      </c>
      <c r="CK116" s="49" t="n">
        <f aca="false">SUM(CK112:CK115)</f>
        <v>0</v>
      </c>
      <c r="CL116" s="49" t="n">
        <f aca="false">SUM(CL112:CL115)</f>
        <v>0</v>
      </c>
      <c r="CM116" s="49" t="n">
        <f aca="false">SUM(CM112:CM115)</f>
        <v>0</v>
      </c>
      <c r="CN116" s="49" t="n">
        <f aca="false">SUM(CN112:CN115)</f>
        <v>0</v>
      </c>
      <c r="CO116" s="49" t="n">
        <f aca="false">SUM(CO112:CO115)</f>
        <v>0</v>
      </c>
      <c r="CP116" s="49" t="n">
        <f aca="false">SUM(CP112:CP115)</f>
        <v>0</v>
      </c>
      <c r="CQ116" s="49" t="n">
        <f aca="false">SUM(CQ112:CQ115)</f>
        <v>0</v>
      </c>
      <c r="CR116" s="49" t="n">
        <f aca="false">SUM(CR112:CR115)</f>
        <v>0</v>
      </c>
      <c r="CS116" s="49" t="n">
        <f aca="false">SUM(CS112:CS115)</f>
        <v>0</v>
      </c>
      <c r="CT116" s="49" t="n">
        <f aca="false">SUM(CT112:CT115)</f>
        <v>0</v>
      </c>
      <c r="CU116" s="49" t="n">
        <f aca="false">SUM(CU112:CU115)</f>
        <v>0</v>
      </c>
      <c r="CV116" s="49" t="n">
        <f aca="false">SUM(CV112:CV115)</f>
        <v>0</v>
      </c>
      <c r="CW116" s="49" t="n">
        <f aca="false">SUM(CW112:CW115)</f>
        <v>0</v>
      </c>
      <c r="CX116" s="49" t="n">
        <f aca="false">SUM(CX112:CX115)</f>
        <v>0</v>
      </c>
      <c r="CY116" s="49" t="n">
        <f aca="false">SUM(CY112:CY115)</f>
        <v>0</v>
      </c>
      <c r="CZ116" s="49" t="n">
        <f aca="false">SUM(CZ112:CZ115)</f>
        <v>0</v>
      </c>
      <c r="DA116" s="49" t="n">
        <f aca="false">SUM(DA112:DA115)</f>
        <v>0</v>
      </c>
      <c r="DB116" s="49" t="n">
        <f aca="false">SUM(DB112:DB115)</f>
        <v>0</v>
      </c>
      <c r="DC116" s="49" t="n">
        <f aca="false">SUM(DC112:DC115)</f>
        <v>0</v>
      </c>
      <c r="DD116" s="49" t="n">
        <f aca="false">SUM(DD112:DD115)</f>
        <v>0</v>
      </c>
      <c r="DE116" s="49" t="n">
        <f aca="false">SUM(DE112:DE115)</f>
        <v>0</v>
      </c>
      <c r="DF116" s="49" t="n">
        <f aca="false">SUM(DF112:DF115)</f>
        <v>0</v>
      </c>
      <c r="DG116" s="49" t="n">
        <f aca="false">SUM(DG112:DG115)</f>
        <v>0</v>
      </c>
      <c r="DH116" s="49" t="n">
        <f aca="false">SUM(DH112:DH115)</f>
        <v>0</v>
      </c>
      <c r="DI116" s="49" t="n">
        <f aca="false">SUM(DI112:DI115)</f>
        <v>0</v>
      </c>
      <c r="DJ116" s="49" t="n">
        <f aca="false">SUM(DJ112:DJ115)</f>
        <v>0</v>
      </c>
      <c r="DK116" s="49" t="n">
        <f aca="false">SUM(DK112:DK115)</f>
        <v>0</v>
      </c>
      <c r="DL116" s="49" t="n">
        <f aca="false">SUM(DL112:DL115)</f>
        <v>0</v>
      </c>
      <c r="DM116" s="49" t="n">
        <f aca="false">SUM(DM112:DM115)</f>
        <v>0</v>
      </c>
      <c r="DN116" s="49" t="n">
        <f aca="false">SUM(DN112:DN115)</f>
        <v>0</v>
      </c>
      <c r="DO116" s="49" t="n">
        <f aca="false">SUM(DO112:DO115)</f>
        <v>0</v>
      </c>
      <c r="DP116" s="49" t="n">
        <f aca="false">SUM(DP112:DP115)</f>
        <v>0</v>
      </c>
      <c r="DQ116" s="49" t="n">
        <f aca="false">SUM(DQ112:DQ115)</f>
        <v>0</v>
      </c>
      <c r="DR116" s="49" t="n">
        <f aca="false">SUM(DR112:DR115)</f>
        <v>0</v>
      </c>
      <c r="DS116" s="49" t="n">
        <f aca="false">SUM(DS112:DS115)</f>
        <v>0</v>
      </c>
      <c r="DT116" s="49" t="n">
        <f aca="false">SUM(DT112:DT115)</f>
        <v>0</v>
      </c>
      <c r="DU116" s="49" t="n">
        <f aca="false">SUM(DU112:DU115)</f>
        <v>0</v>
      </c>
      <c r="DV116" s="49" t="n">
        <f aca="false">SUM(DV112:DV115)</f>
        <v>0</v>
      </c>
      <c r="DW116" s="49" t="n">
        <f aca="false">SUM(DW112:DW115)</f>
        <v>0</v>
      </c>
      <c r="DX116" s="49" t="n">
        <f aca="false">SUM(DX112:DX115)</f>
        <v>0</v>
      </c>
      <c r="DY116" s="49" t="n">
        <f aca="false">SUM(DY112:DY115)</f>
        <v>0</v>
      </c>
      <c r="DZ116" s="49" t="n">
        <f aca="false">SUM(DZ112:DZ115)</f>
        <v>0</v>
      </c>
      <c r="EA116" s="49" t="n">
        <f aca="false">SUM(EA112:EA115)</f>
        <v>0</v>
      </c>
      <c r="EB116" s="49" t="n">
        <f aca="false">SUM(EB112:EB115)</f>
        <v>0</v>
      </c>
      <c r="EC116" s="49" t="n">
        <f aca="false">SUM(EC112:EC115)</f>
        <v>0</v>
      </c>
      <c r="ED116" s="49" t="n">
        <f aca="false">SUM(ED112:ED115)</f>
        <v>0</v>
      </c>
      <c r="EE116" s="49" t="n">
        <f aca="false">SUM(EE112:EE115)</f>
        <v>0</v>
      </c>
      <c r="EF116" s="49" t="n">
        <f aca="false">SUM(EF112:EF115)</f>
        <v>0</v>
      </c>
      <c r="EG116" s="49" t="n">
        <f aca="false">SUM(EG112:EG115)</f>
        <v>0</v>
      </c>
      <c r="EH116" s="49" t="n">
        <f aca="false">SUM(EH112:EH115)</f>
        <v>0</v>
      </c>
      <c r="EI116" s="49" t="n">
        <f aca="false">SUM(EI112:EI115)</f>
        <v>0</v>
      </c>
      <c r="EJ116" s="49" t="n">
        <f aca="false">SUM(EJ112:EJ115)</f>
        <v>0</v>
      </c>
      <c r="EK116" s="49" t="n">
        <f aca="false">SUM(EK112:EK115)</f>
        <v>0</v>
      </c>
      <c r="EL116" s="49" t="n">
        <f aca="false">SUM(EL112:EL115)</f>
        <v>0</v>
      </c>
      <c r="EM116" s="49" t="n">
        <f aca="false">SUM(EM112:EM115)</f>
        <v>0</v>
      </c>
      <c r="EN116" s="49" t="n">
        <f aca="false">SUM(EN112:EN115)</f>
        <v>0</v>
      </c>
      <c r="EO116" s="49" t="n">
        <f aca="false">SUM(EO112:EO115)</f>
        <v>0</v>
      </c>
    </row>
    <row r="117" customFormat="false" ht="15" hidden="false" customHeight="false" outlineLevel="0" collapsed="false">
      <c r="C117" s="1" t="s">
        <v>504</v>
      </c>
      <c r="D117" s="12" t="s">
        <v>33</v>
      </c>
      <c r="J117" s="49" t="n">
        <f aca="false">-In_CIT*(MAX(0,J111)+J114)-In_RH_On*In_RH_Rate*MAX(0,J111)</f>
        <v>-0</v>
      </c>
      <c r="K117" s="49" t="n">
        <f aca="false">-In_CIT*(MAX(0,K111)+K114)-In_RH_On*In_RH_Rate*MAX(0,K111)</f>
        <v>-0</v>
      </c>
      <c r="L117" s="49" t="n">
        <f aca="false">-In_CIT*(MAX(0,L111)+L114)-In_RH_On*In_RH_Rate*MAX(0,L111)</f>
        <v>-0</v>
      </c>
      <c r="M117" s="49" t="n">
        <f aca="false">-In_CIT*(MAX(0,M111)+M114)-In_RH_On*In_RH_Rate*MAX(0,M111)</f>
        <v>-0</v>
      </c>
      <c r="N117" s="49" t="n">
        <f aca="false">-In_CIT*(MAX(0,N111)+N114)-In_RH_On*In_RH_Rate*MAX(0,N111)</f>
        <v>-0</v>
      </c>
      <c r="O117" s="49" t="n">
        <f aca="false">-In_CIT*(MAX(0,O111)+O114)-In_RH_On*In_RH_Rate*MAX(0,O111)</f>
        <v>-0</v>
      </c>
      <c r="P117" s="49" t="n">
        <f aca="false">-In_CIT*(MAX(0,P111)+P114)-In_RH_On*In_RH_Rate*MAX(0,P111)</f>
        <v>-0</v>
      </c>
      <c r="Q117" s="49" t="n">
        <f aca="false">-In_CIT*(MAX(0,Q111)+Q114)-In_RH_On*In_RH_Rate*MAX(0,Q111)</f>
        <v>-0</v>
      </c>
      <c r="R117" s="49" t="n">
        <f aca="false">-In_CIT*(MAX(0,R111)+R114)-In_RH_On*In_RH_Rate*MAX(0,R111)</f>
        <v>-0</v>
      </c>
      <c r="S117" s="49" t="n">
        <f aca="false">-In_CIT*(MAX(0,S111)+S114)-In_RH_On*In_RH_Rate*MAX(0,S111)</f>
        <v>-0</v>
      </c>
      <c r="T117" s="49" t="n">
        <f aca="false">-In_CIT*(MAX(0,T111)+T114)-In_RH_On*In_RH_Rate*MAX(0,T111)</f>
        <v>-0</v>
      </c>
      <c r="U117" s="49" t="n">
        <f aca="false">-In_CIT*(MAX(0,U111)+U114)-In_RH_On*In_RH_Rate*MAX(0,U111)</f>
        <v>-0</v>
      </c>
      <c r="V117" s="49" t="n">
        <f aca="false">-In_CIT*(MAX(0,V111)+V114)-In_RH_On*In_RH_Rate*MAX(0,V111)</f>
        <v>-0</v>
      </c>
      <c r="W117" s="49" t="n">
        <f aca="false">-In_CIT*(MAX(0,W111)+W114)-In_RH_On*In_RH_Rate*MAX(0,W111)</f>
        <v>-0</v>
      </c>
      <c r="X117" s="49" t="n">
        <f aca="false">-In_CIT*(MAX(0,X111)+X114)-In_RH_On*In_RH_Rate*MAX(0,X111)</f>
        <v>-0</v>
      </c>
      <c r="Y117" s="49" t="n">
        <f aca="false">-In_CIT*(MAX(0,Y111)+Y114)-In_RH_On*In_RH_Rate*MAX(0,Y111)</f>
        <v>-0</v>
      </c>
      <c r="Z117" s="49" t="n">
        <f aca="false">-In_CIT*(MAX(0,Z111)+Z114)-In_RH_On*In_RH_Rate*MAX(0,Z111)</f>
        <v>-26.2442780644279</v>
      </c>
      <c r="AA117" s="49" t="n">
        <f aca="false">-In_CIT*(MAX(0,AA111)+AA114)-In_RH_On*In_RH_Rate*MAX(0,AA111)</f>
        <v>-26.3759569726434</v>
      </c>
      <c r="AB117" s="49" t="n">
        <f aca="false">-In_CIT*(MAX(0,AB111)+AB114)-In_RH_On*In_RH_Rate*MAX(0,AB111)</f>
        <v>-27.7092991505735</v>
      </c>
      <c r="AC117" s="49" t="n">
        <f aca="false">-In_CIT*(MAX(0,AC111)+AC114)-In_RH_On*In_RH_Rate*MAX(0,AC111)</f>
        <v>-29.0492722329979</v>
      </c>
      <c r="AD117" s="49" t="n">
        <f aca="false">-In_CIT*(MAX(0,AD111)+AD114)-In_RH_On*In_RH_Rate*MAX(0,AD111)</f>
        <v>-28.957534670077</v>
      </c>
      <c r="AE117" s="49" t="n">
        <f aca="false">-In_CIT*(MAX(0,AE111)+AE114)-In_RH_On*In_RH_Rate*MAX(0,AE111)</f>
        <v>-29.9022429148392</v>
      </c>
      <c r="AF117" s="49" t="n">
        <f aca="false">-In_CIT*(MAX(0,AF111)+AF114)-In_RH_On*In_RH_Rate*MAX(0,AF111)</f>
        <v>-30.4597403674658</v>
      </c>
      <c r="AG117" s="49" t="n">
        <f aca="false">-In_CIT*(MAX(0,AG111)+AG114)-In_RH_On*In_RH_Rate*MAX(0,AG111)</f>
        <v>-31.8332456827592</v>
      </c>
      <c r="AH117" s="49" t="n">
        <f aca="false">-In_CIT*(MAX(0,AH111)+AH114)-In_RH_On*In_RH_Rate*MAX(0,AH111)</f>
        <v>-31.7651833068601</v>
      </c>
      <c r="AI117" s="49" t="n">
        <f aca="false">-In_CIT*(MAX(0,AI111)+AI114)-In_RH_On*In_RH_Rate*MAX(0,AI111)</f>
        <v>-31.9059999075431</v>
      </c>
      <c r="AJ117" s="49" t="n">
        <f aca="false">-In_CIT*(MAX(0,AJ111)+AJ114)-In_RH_On*In_RH_Rate*MAX(0,AJ111)</f>
        <v>-40.0225791103471</v>
      </c>
      <c r="AK117" s="49" t="n">
        <f aca="false">-In_CIT*(MAX(0,AK111)+AK114)-In_RH_On*In_RH_Rate*MAX(0,AK111)</f>
        <v>-74.4584051435515</v>
      </c>
      <c r="AL117" s="49" t="n">
        <f aca="false">-In_CIT*(MAX(0,AL111)+AL114)-In_RH_On*In_RH_Rate*MAX(0,AL111)</f>
        <v>-74.3724268051436</v>
      </c>
      <c r="AM117" s="49" t="n">
        <f aca="false">-In_CIT*(MAX(0,AM111)+AM114)-In_RH_On*In_RH_Rate*MAX(0,AM111)</f>
        <v>-74.5574991177988</v>
      </c>
      <c r="AN117" s="49" t="n">
        <f aca="false">-In_CIT*(MAX(0,AN111)+AN114)-In_RH_On*In_RH_Rate*MAX(0,AN111)</f>
        <v>-77.4854179374257</v>
      </c>
      <c r="AO117" s="49" t="n">
        <f aca="false">-In_CIT*(MAX(0,AO111)+AO114)-In_RH_On*In_RH_Rate*MAX(0,AO111)</f>
        <v>-80.4287304617494</v>
      </c>
      <c r="AP117" s="49" t="n">
        <f aca="false">-In_CIT*(MAX(0,AP111)+AP114)-In_RH_On*In_RH_Rate*MAX(0,AP111)</f>
        <v>-80.3958388092316</v>
      </c>
      <c r="AQ117" s="49" t="n">
        <f aca="false">-In_CIT*(MAX(0,AQ111)+AQ114)-In_RH_On*In_RH_Rate*MAX(0,AQ111)</f>
        <v>-80.5962422291403</v>
      </c>
      <c r="AR117" s="49" t="n">
        <f aca="false">-In_CIT*(MAX(0,AR111)+AR114)-In_RH_On*In_RH_Rate*MAX(0,AR111)</f>
        <v>-83.598229194201</v>
      </c>
      <c r="AS117" s="49" t="n">
        <f aca="false">-In_CIT*(MAX(0,AS111)+AS114)-In_RH_On*In_RH_Rate*MAX(0,AS111)</f>
        <v>-86.6163941014305</v>
      </c>
      <c r="AT117" s="49" t="n">
        <f aca="false">-In_CIT*(MAX(0,AT111)+AT114)-In_RH_On*In_RH_Rate*MAX(0,AT111)</f>
        <v>-86.6396809833894</v>
      </c>
      <c r="AU117" s="49" t="n">
        <f aca="false">-In_CIT*(MAX(0,AU111)+AU114)-In_RH_On*In_RH_Rate*MAX(0,AU111)</f>
        <v>-88.5768705267662</v>
      </c>
      <c r="AV117" s="49" t="n">
        <f aca="false">-In_CIT*(MAX(0,AV111)+AV114)-In_RH_On*In_RH_Rate*MAX(0,AV111)</f>
        <v>-89.9370411574267</v>
      </c>
      <c r="AW117" s="49" t="n">
        <f aca="false">-In_CIT*(MAX(0,AW111)+AW114)-In_RH_On*In_RH_Rate*MAX(0,AW111)</f>
        <v>-93.0329331623456</v>
      </c>
      <c r="AX117" s="49" t="n">
        <f aca="false">-In_CIT*(MAX(0,AX111)+AX114)-In_RH_On*In_RH_Rate*MAX(0,AX111)</f>
        <v>-93.1156497200521</v>
      </c>
      <c r="AY117" s="49" t="n">
        <f aca="false">-In_CIT*(MAX(0,AY111)+AY114)-In_RH_On*In_RH_Rate*MAX(0,AY111)</f>
        <v>-93.355077964374</v>
      </c>
      <c r="AZ117" s="49" t="n">
        <f aca="false">-In_CIT*(MAX(0,AZ111)+AZ114)-In_RH_On*In_RH_Rate*MAX(0,AZ111)</f>
        <v>-96.5138552829583</v>
      </c>
      <c r="BA117" s="49" t="n">
        <f aca="false">-In_CIT*(MAX(0,BA111)+BA114)-In_RH_On*In_RH_Rate*MAX(0,BA111)</f>
        <v>-99.6905009138139</v>
      </c>
      <c r="BB117" s="49" t="n">
        <f aca="false">-In_CIT*(MAX(0,BB111)+BB114)-In_RH_On*In_RH_Rate*MAX(0,BB111)</f>
        <v>-99.8360656905084</v>
      </c>
      <c r="BC117" s="49" t="n">
        <f aca="false">-In_CIT*(MAX(0,BC111)+BC114)-In_RH_On*In_RH_Rate*MAX(0,BC111)</f>
        <v>-100.099506314929</v>
      </c>
      <c r="BD117" s="49" t="n">
        <f aca="false">-In_CIT*(MAX(0,BD111)+BD114)-In_RH_On*In_RH_Rate*MAX(0,BD111)</f>
        <v>-103.341313345752</v>
      </c>
      <c r="BE117" s="49" t="n">
        <f aca="false">-In_CIT*(MAX(0,BE111)+BE114)-In_RH_On*In_RH_Rate*MAX(0,BE111)</f>
        <v>-106.601898996036</v>
      </c>
      <c r="BF117" s="49" t="n">
        <f aca="false">-In_CIT*(MAX(0,BF111)+BF114)-In_RH_On*In_RH_Rate*MAX(0,BF111)</f>
        <v>-106.813906458895</v>
      </c>
      <c r="BG117" s="49" t="n">
        <f aca="false">-In_CIT*(MAX(0,BG111)+BG114)-In_RH_On*In_RH_Rate*MAX(0,BG111)</f>
        <v>-107.104585786082</v>
      </c>
      <c r="BH117" s="49" t="n">
        <f aca="false">-In_CIT*(MAX(0,BH111)+BH114)-In_RH_On*In_RH_Rate*MAX(0,BH111)</f>
        <v>-110.432730882987</v>
      </c>
      <c r="BI117" s="49" t="n">
        <f aca="false">-In_CIT*(MAX(0,BI111)+BI114)-In_RH_On*In_RH_Rate*MAX(0,BI111)</f>
        <v>-113.780611282447</v>
      </c>
      <c r="BJ117" s="49" t="n">
        <f aca="false">-In_CIT*(MAX(0,BJ111)+BJ114)-In_RH_On*In_RH_Rate*MAX(0,BJ111)</f>
        <v>-114.062840778242</v>
      </c>
      <c r="BK117" s="49" t="n">
        <f aca="false">-In_CIT*(MAX(0,BK111)+BK114)-In_RH_On*In_RH_Rate*MAX(0,BK111)</f>
        <v>-116.142874426328</v>
      </c>
      <c r="BL117" s="49" t="n">
        <f aca="false">-In_CIT*(MAX(0,BL111)+BL114)-In_RH_On*In_RH_Rate*MAX(0,BL111)</f>
        <v>-117.802132361764</v>
      </c>
      <c r="BM117" s="49" t="n">
        <f aca="false">-In_CIT*(MAX(0,BM111)+BM114)-In_RH_On*In_RH_Rate*MAX(0,BM111)</f>
        <v>-121.240839488235</v>
      </c>
      <c r="BN117" s="49" t="n">
        <f aca="false">-In_CIT*(MAX(0,BN111)+BN114)-In_RH_On*In_RH_Rate*MAX(0,BN111)</f>
        <v>-121.597264654769</v>
      </c>
      <c r="BO117" s="49" t="n">
        <f aca="false">-In_CIT*(MAX(0,BO111)+BO114)-In_RH_On*In_RH_Rate*MAX(0,BO111)</f>
        <v>-121.952833072392</v>
      </c>
      <c r="BP117" s="49" t="n">
        <f aca="false">-In_CIT*(MAX(0,BP111)+BP114)-In_RH_On*In_RH_Rate*MAX(0,BP111)</f>
        <v>-125.464288159763</v>
      </c>
      <c r="BQ117" s="49" t="n">
        <f aca="false">-In_CIT*(MAX(0,BQ111)+BQ114)-In_RH_On*In_RH_Rate*MAX(0,BQ111)</f>
        <v>-128.99754061451</v>
      </c>
      <c r="BR117" s="49" t="n">
        <f aca="false">-In_CIT*(MAX(0,BR111)+BR114)-In_RH_On*In_RH_Rate*MAX(0,BR111)</f>
        <v>-129.432339271037</v>
      </c>
      <c r="BS117" s="49" t="n">
        <f aca="false">-In_CIT*(MAX(0,BS111)+BS114)-In_RH_On*In_RH_Rate*MAX(0,BS111)</f>
        <v>-129.825948422925</v>
      </c>
      <c r="BT117" s="49" t="n">
        <f aca="false">-In_CIT*(MAX(0,BT111)+BT114)-In_RH_On*In_RH_Rate*MAX(0,BT111)</f>
        <v>-133.434753451745</v>
      </c>
      <c r="BU117" s="49" t="n">
        <f aca="false">-In_CIT*(MAX(0,BU111)+BU114)-In_RH_On*In_RH_Rate*MAX(0,BU111)</f>
        <v>-137.066466322164</v>
      </c>
      <c r="BV117" s="49" t="n">
        <f aca="false">-In_CIT*(MAX(0,BV111)+BV114)-In_RH_On*In_RH_Rate*MAX(0,BV111)</f>
        <v>-137.584030863181</v>
      </c>
      <c r="BW117" s="49" t="n">
        <f aca="false">-In_CIT*(MAX(0,BW111)+BW114)-In_RH_On*In_RH_Rate*MAX(0,BW111)</f>
        <v>-138.019688754053</v>
      </c>
      <c r="BX117" s="49" t="n">
        <f aca="false">-In_CIT*(MAX(0,BX111)+BX114)-In_RH_On*In_RH_Rate*MAX(0,BX111)</f>
        <v>-141.729909099514</v>
      </c>
      <c r="BY117" s="49" t="n">
        <f aca="false">-In_CIT*(MAX(0,BY111)+BY114)-In_RH_On*In_RH_Rate*MAX(0,BY111)</f>
        <v>-145.464204334283</v>
      </c>
      <c r="BZ117" s="49" t="n">
        <f aca="false">-In_CIT*(MAX(0,BZ111)+BZ114)-In_RH_On*In_RH_Rate*MAX(0,BZ111)</f>
        <v>-146.069152652321</v>
      </c>
      <c r="CA117" s="49" t="n">
        <f aca="false">-In_CIT*(MAX(0,CA111)+CA114)-In_RH_On*In_RH_Rate*MAX(0,CA111)</f>
        <v>-148.342893235609</v>
      </c>
      <c r="CB117" s="49" t="n">
        <f aca="false">-In_CIT*(MAX(0,CB111)+CB114)-In_RH_On*In_RH_Rate*MAX(0,CB111)</f>
        <v>-150.367004647989</v>
      </c>
      <c r="CC117" s="49" t="n">
        <f aca="false">-In_CIT*(MAX(0,CC111)+CC114)-In_RH_On*In_RH_Rate*MAX(0,CC111)</f>
        <v>-154.208221971007</v>
      </c>
      <c r="CD117" s="49" t="n">
        <f aca="false">-In_CIT*(MAX(0,CD111)+CD114)-In_RH_On*In_RH_Rate*MAX(0,CD111)</f>
        <v>-154.905408935367</v>
      </c>
      <c r="CE117" s="49" t="n">
        <f aca="false">-In_CIT*(MAX(0,CE111)+CE114)-In_RH_On*In_RH_Rate*MAX(0,CE111)</f>
        <v>-155.438085525006</v>
      </c>
      <c r="CF117" s="49" t="n">
        <f aca="false">-In_CIT*(MAX(0,CF111)+CF114)-In_RH_On*In_RH_Rate*MAX(0,CF111)</f>
        <v>-159.364203535213</v>
      </c>
      <c r="CG117" s="49" t="n">
        <f aca="false">-In_CIT*(MAX(0,CG111)+CG114)-In_RH_On*In_RH_Rate*MAX(0,CG111)</f>
        <v>-163.316911926047</v>
      </c>
      <c r="CH117" s="49" t="n">
        <f aca="false">-In_CIT*(MAX(0,CH111)+CH114)-In_RH_On*In_RH_Rate*MAX(0,CH111)</f>
        <v>-164.111441445785</v>
      </c>
      <c r="CI117" s="49" t="n">
        <f aca="false">-In_CIT*(MAX(0,CI111)+CI114)-In_RH_On*In_RH_Rate*MAX(0,CI111)</f>
        <v>-162.491563010113</v>
      </c>
      <c r="CJ117" s="49" t="n">
        <f aca="false">-In_CIT*(MAX(0,CJ111)+CJ114)-In_RH_On*In_RH_Rate*MAX(0,CJ111)</f>
        <v>-164.297024821337</v>
      </c>
      <c r="CK117" s="49" t="n">
        <f aca="false">-In_CIT*(MAX(0,CK111)+CK114)-In_RH_On*In_RH_Rate*MAX(0,CK111)</f>
        <v>-166.10248663256</v>
      </c>
      <c r="CL117" s="49" t="n">
        <f aca="false">-In_CIT*(MAX(0,CL111)+CL114)-In_RH_On*In_RH_Rate*MAX(0,CL111)</f>
        <v>-164.707882025239</v>
      </c>
      <c r="CM117" s="49" t="n">
        <f aca="false">-In_CIT*(MAX(0,CM111)+CM114)-In_RH_On*In_RH_Rate*MAX(0,CM111)</f>
        <v>-163.035929013149</v>
      </c>
      <c r="CN117" s="49" t="n">
        <f aca="false">-In_CIT*(MAX(0,CN111)+CN114)-In_RH_On*In_RH_Rate*MAX(0,CN111)</f>
        <v>-164.847439335518</v>
      </c>
      <c r="CO117" s="49" t="n">
        <f aca="false">-In_CIT*(MAX(0,CO111)+CO114)-In_RH_On*In_RH_Rate*MAX(0,CO111)</f>
        <v>-166.658949657886</v>
      </c>
      <c r="CP117" s="49" t="n">
        <f aca="false">-In_CIT*(MAX(0,CP111)+CP114)-In_RH_On*In_RH_Rate*MAX(0,CP111)</f>
        <v>-165.255935217963</v>
      </c>
      <c r="CQ117" s="49" t="n">
        <f aca="false">-In_CIT*(MAX(0,CQ111)+CQ114)-In_RH_On*In_RH_Rate*MAX(0,CQ111)</f>
        <v>-165.348428649366</v>
      </c>
      <c r="CR117" s="49" t="n">
        <f aca="false">-In_CIT*(MAX(0,CR111)+CR114)-In_RH_On*In_RH_Rate*MAX(0,CR111)</f>
        <v>-165.348428649366</v>
      </c>
      <c r="CS117" s="49" t="n">
        <f aca="false">-In_CIT*(MAX(0,CS111)+CS114)-In_RH_On*In_RH_Rate*MAX(0,CS111)</f>
        <v>-167.165444348809</v>
      </c>
      <c r="CT117" s="49" t="n">
        <f aca="false">-In_CIT*(MAX(0,CT111)+CT114)-In_RH_On*In_RH_Rate*MAX(0,CT111)</f>
        <v>-165.754001470199</v>
      </c>
      <c r="CU117" s="49" t="n">
        <f aca="false">-In_CIT*(MAX(0,CU111)+CU114)-In_RH_On*In_RH_Rate*MAX(0,CU111)</f>
        <v>-163.976408355418</v>
      </c>
      <c r="CV117" s="49" t="n">
        <f aca="false">-In_CIT*(MAX(0,CV111)+CV114)-In_RH_On*In_RH_Rate*MAX(0,CV111)</f>
        <v>-165.798368448256</v>
      </c>
      <c r="CW117" s="49" t="n">
        <f aca="false">-In_CIT*(MAX(0,CW111)+CW114)-In_RH_On*In_RH_Rate*MAX(0,CW111)</f>
        <v>-167.620328541094</v>
      </c>
      <c r="CX117" s="49" t="n">
        <f aca="false">-In_CIT*(MAX(0,CX111)+CX114)-In_RH_On*In_RH_Rate*MAX(0,CX111)</f>
        <v>-166.200439331427</v>
      </c>
      <c r="CY117" s="49" t="n">
        <f aca="false">-In_CIT*(MAX(0,CY111)+CY114)-In_RH_On*In_RH_Rate*MAX(0,CY111)</f>
        <v>-164.369266736234</v>
      </c>
      <c r="CZ117" s="49" t="n">
        <f aca="false">-In_CIT*(MAX(0,CZ111)+CZ114)-In_RH_On*In_RH_Rate*MAX(0,CZ111)</f>
        <v>-166.195591922192</v>
      </c>
      <c r="DA117" s="49" t="n">
        <f aca="false">-In_CIT*(MAX(0,DA111)+DA114)-In_RH_On*In_RH_Rate*MAX(0,DA111)</f>
        <v>-168.02191710815</v>
      </c>
      <c r="DB117" s="49" t="n">
        <f aca="false">-In_CIT*(MAX(0,DB111)+DB114)-In_RH_On*In_RH_Rate*MAX(0,DB111)</f>
        <v>-375.486699874707</v>
      </c>
      <c r="DC117" s="49" t="n">
        <f aca="false">-In_CIT*(MAX(0,DC111)+DC114)-In_RH_On*In_RH_Rate*MAX(0,DC111)</f>
        <v>-369.06027686922</v>
      </c>
      <c r="DD117" s="49" t="n">
        <f aca="false">-In_CIT*(MAX(0,DD111)+DD114)-In_RH_On*In_RH_Rate*MAX(0,DD111)</f>
        <v>-373.160946612211</v>
      </c>
      <c r="DE117" s="49" t="n">
        <f aca="false">-In_CIT*(MAX(0,DE111)+DE114)-In_RH_On*In_RH_Rate*MAX(0,DE111)</f>
        <v>-377.261616355202</v>
      </c>
      <c r="DF117" s="49" t="n">
        <f aca="false">-In_CIT*(MAX(0,DF111)+DF114)-In_RH_On*In_RH_Rate*MAX(0,DF111)</f>
        <v>-375.824783779587</v>
      </c>
      <c r="DG117" s="49" t="n">
        <f aca="false">-In_CIT*(MAX(0,DG111)+DG114)-In_RH_On*In_RH_Rate*MAX(0,DG111)</f>
        <v>-373.447561715864</v>
      </c>
      <c r="DH117" s="49" t="n">
        <f aca="false">-In_CIT*(MAX(0,DH111)+DH114)-In_RH_On*In_RH_Rate*MAX(0,DH111)</f>
        <v>-373.447561715864</v>
      </c>
      <c r="DI117" s="49" t="n">
        <f aca="false">-In_CIT*(MAX(0,DI111)+DI114)-In_RH_On*In_RH_Rate*MAX(0,DI111)</f>
        <v>-377.551381075379</v>
      </c>
      <c r="DJ117" s="49" t="n">
        <f aca="false">-In_CIT*(MAX(0,DJ111)+DJ114)-In_RH_On*In_RH_Rate*MAX(0,DJ111)</f>
        <v>-376.106053012439</v>
      </c>
      <c r="DK117" s="49" t="n">
        <f aca="false">-In_CIT*(MAX(0,DK111)+DK114)-In_RH_On*In_RH_Rate*MAX(0,DK111)</f>
        <v>-369.569862589467</v>
      </c>
      <c r="DL117" s="49" t="n">
        <f aca="false">-In_CIT*(MAX(0,DL111)+DL114)-In_RH_On*In_RH_Rate*MAX(0,DL111)</f>
        <v>-373.676194396017</v>
      </c>
      <c r="DM117" s="49" t="n">
        <f aca="false">-In_CIT*(MAX(0,DM111)+DM114)-In_RH_On*In_RH_Rate*MAX(0,DM111)</f>
        <v>-377.782526202566</v>
      </c>
      <c r="DN117" s="49" t="n">
        <f aca="false">-In_CIT*(MAX(0,DN111)+DN114)-In_RH_On*In_RH_Rate*MAX(0,DN111)</f>
        <v>-376.328687856252</v>
      </c>
      <c r="DO117" s="49" t="n">
        <f aca="false">-In_CIT*(MAX(0,DO111)+DO114)-In_RH_On*In_RH_Rate*MAX(0,DO111)</f>
        <v>-369.736810251909</v>
      </c>
      <c r="DP117" s="49" t="n">
        <f aca="false">-In_CIT*(MAX(0,DP111)+DP114)-In_RH_On*In_RH_Rate*MAX(0,DP111)</f>
        <v>-373.844997032485</v>
      </c>
      <c r="DQ117" s="49" t="n">
        <f aca="false">-In_CIT*(MAX(0,DQ111)+DQ114)-In_RH_On*In_RH_Rate*MAX(0,DQ111)</f>
        <v>-377.953183813062</v>
      </c>
      <c r="DR117" s="49" t="n">
        <f aca="false">-In_CIT*(MAX(0,DR111)+DR114)-In_RH_On*In_RH_Rate*MAX(0,DR111)</f>
        <v>-376.490821224724</v>
      </c>
      <c r="DS117" s="49" t="n">
        <f aca="false">-In_CIT*(MAX(0,DS111)+DS114)-In_RH_On*In_RH_Rate*MAX(0,DS111)</f>
        <v>-369.842710510588</v>
      </c>
      <c r="DT117" s="49" t="n">
        <f aca="false">-In_CIT*(MAX(0,DT111)+DT114)-In_RH_On*In_RH_Rate*MAX(0,DT111)</f>
        <v>-373.952073960706</v>
      </c>
      <c r="DU117" s="49" t="n">
        <f aca="false">-In_CIT*(MAX(0,DU111)+DU114)-In_RH_On*In_RH_Rate*MAX(0,DU111)</f>
        <v>-378.061437410824</v>
      </c>
      <c r="DV117" s="49" t="n">
        <f aca="false">-In_CIT*(MAX(0,DV111)+DV114)-In_RH_On*In_RH_Rate*MAX(0,DV111)</f>
        <v>-376.590537485769</v>
      </c>
      <c r="DW117" s="49" t="n">
        <f aca="false">-In_CIT*(MAX(0,DW111)+DW114)-In_RH_On*In_RH_Rate*MAX(0,DW111)</f>
        <v>-373.995480278812</v>
      </c>
      <c r="DX117" s="49" t="n">
        <f aca="false">-In_CIT*(MAX(0,DX111)+DX114)-In_RH_On*In_RH_Rate*MAX(0,DX111)</f>
        <v>-373.995480278812</v>
      </c>
      <c r="DY117" s="49" t="n">
        <f aca="false">-In_CIT*(MAX(0,DY111)+DY114)-In_RH_On*In_RH_Rate*MAX(0,DY111)</f>
        <v>-378.105320721436</v>
      </c>
      <c r="DZ117" s="49" t="n">
        <f aca="false">-In_CIT*(MAX(0,DZ111)+DZ114)-In_RH_On*In_RH_Rate*MAX(0,DZ111)</f>
        <v>-376.625871256129</v>
      </c>
      <c r="EA117" s="49" t="n">
        <f aca="false">-In_CIT*(MAX(0,EA111)+EA114)-In_RH_On*In_RH_Rate*MAX(0,EA111)</f>
        <v>-369.863624794354</v>
      </c>
      <c r="EB117" s="49" t="n">
        <f aca="false">-In_CIT*(MAX(0,EB111)+EB114)-In_RH_On*In_RH_Rate*MAX(0,EB111)</f>
        <v>-373.973220625402</v>
      </c>
      <c r="EC117" s="49" t="n">
        <f aca="false">-In_CIT*(MAX(0,EC111)+EC114)-In_RH_On*In_RH_Rate*MAX(0,EC111)</f>
        <v>-378.082816456451</v>
      </c>
      <c r="ED117" s="49" t="n">
        <f aca="false">-In_CIT*(MAX(0,ED111)+ED114)-In_RH_On*In_RH_Rate*MAX(0,ED111)</f>
        <v>-376.59480616636</v>
      </c>
      <c r="EE117" s="49" t="n">
        <f aca="false">-In_CIT*(MAX(0,EE111)+EE114)-In_RH_On*In_RH_Rate*MAX(0,EE111)</f>
        <v>-369.77464080721</v>
      </c>
      <c r="EF117" s="49" t="n">
        <f aca="false">-In_CIT*(MAX(0,EF111)+EF114)-In_RH_On*In_RH_Rate*MAX(0,EF111)</f>
        <v>-373.88324792729</v>
      </c>
      <c r="EG117" s="49" t="n">
        <f aca="false">-In_CIT*(MAX(0,EG111)+EG114)-In_RH_On*In_RH_Rate*MAX(0,EG111)</f>
        <v>-377.99185504737</v>
      </c>
      <c r="EH117" s="49" t="n">
        <f aca="false">-In_CIT*(MAX(0,EH111)+EH114)-In_RH_On*In_RH_Rate*MAX(0,EH111)</f>
        <v>-376.495273595489</v>
      </c>
      <c r="EI117" s="49" t="n">
        <f aca="false">-In_CIT*(MAX(0,EI111)+EI114)-In_RH_On*In_RH_Rate*MAX(0,EI111)</f>
        <v>-369.616610884434</v>
      </c>
      <c r="EJ117" s="49" t="n">
        <f aca="false">-In_CIT*(MAX(0,EJ111)+EJ114)-In_RH_On*In_RH_Rate*MAX(0,EJ111)</f>
        <v>-373.723462116483</v>
      </c>
      <c r="EK117" s="49" t="n">
        <f aca="false">-In_CIT*(MAX(0,EK111)+EK114)-In_RH_On*In_RH_Rate*MAX(0,EK111)</f>
        <v>-377.830313348532</v>
      </c>
      <c r="EL117" s="49" t="n">
        <f aca="false">-In_CIT*(MAX(0,EL111)+EL114)-In_RH_On*In_RH_Rate*MAX(0,EL111)</f>
        <v>-376.325151374579</v>
      </c>
      <c r="EM117" s="49" t="n">
        <f aca="false">-In_CIT*(MAX(0,EM111)+EM114)-In_RH_On*In_RH_Rate*MAX(0,EM111)</f>
        <v>-373.491708815652</v>
      </c>
      <c r="EN117" s="49" t="n">
        <f aca="false">-In_CIT*(MAX(0,EN111)+EN114)-In_RH_On*In_RH_Rate*MAX(0,EN111)</f>
        <v>-373.491708815652</v>
      </c>
      <c r="EO117" s="49" t="n">
        <f aca="false">-In_CIT*(MAX(0,EO111)+EO114)-In_RH_On*In_RH_Rate*MAX(0,EO111)</f>
        <v>-377.596013308132</v>
      </c>
    </row>
    <row r="118" customFormat="false" ht="15" hidden="false" customHeight="false" outlineLevel="0" collapsed="false">
      <c r="C118" s="1" t="s">
        <v>505</v>
      </c>
      <c r="D118" s="12" t="s">
        <v>33</v>
      </c>
      <c r="I118" s="49" t="n">
        <f aca="false">SUM(J118:EO118)</f>
        <v>8.95283847057726E-013</v>
      </c>
      <c r="J118" s="49" t="n">
        <f aca="false">ABS(J117-J86)</f>
        <v>0</v>
      </c>
      <c r="K118" s="49" t="n">
        <f aca="false">ABS(K117-K86)</f>
        <v>0</v>
      </c>
      <c r="L118" s="49" t="n">
        <f aca="false">ABS(L117-L86)</f>
        <v>0</v>
      </c>
      <c r="M118" s="49" t="n">
        <f aca="false">ABS(M117-M86)</f>
        <v>0</v>
      </c>
      <c r="N118" s="49" t="n">
        <f aca="false">ABS(N117-N86)</f>
        <v>0</v>
      </c>
      <c r="O118" s="49" t="n">
        <f aca="false">ABS(O117-O86)</f>
        <v>0</v>
      </c>
      <c r="P118" s="49" t="n">
        <f aca="false">ABS(P117-P86)</f>
        <v>0</v>
      </c>
      <c r="Q118" s="49" t="n">
        <f aca="false">ABS(Q117-Q86)</f>
        <v>0</v>
      </c>
      <c r="R118" s="49" t="n">
        <f aca="false">ABS(R117-R86)</f>
        <v>0</v>
      </c>
      <c r="S118" s="49" t="n">
        <f aca="false">ABS(S117-S86)</f>
        <v>0</v>
      </c>
      <c r="T118" s="49" t="n">
        <f aca="false">ABS(T117-T86)</f>
        <v>0</v>
      </c>
      <c r="U118" s="49" t="n">
        <f aca="false">ABS(U117-U86)</f>
        <v>0</v>
      </c>
      <c r="V118" s="49" t="n">
        <f aca="false">ABS(V117-V86)</f>
        <v>0</v>
      </c>
      <c r="W118" s="49" t="n">
        <f aca="false">ABS(W117-W86)</f>
        <v>0</v>
      </c>
      <c r="X118" s="49" t="n">
        <f aca="false">ABS(X117-X86)</f>
        <v>0</v>
      </c>
      <c r="Y118" s="49" t="n">
        <f aca="false">ABS(Y117-Y86)</f>
        <v>0</v>
      </c>
      <c r="Z118" s="49" t="n">
        <f aca="false">ABS(Z117-Z86)</f>
        <v>0</v>
      </c>
      <c r="AA118" s="49" t="n">
        <f aca="false">ABS(AA117-AA86)</f>
        <v>0</v>
      </c>
      <c r="AB118" s="49" t="n">
        <f aca="false">ABS(AB117-AB86)</f>
        <v>0</v>
      </c>
      <c r="AC118" s="49" t="n">
        <f aca="false">ABS(AC117-AC86)</f>
        <v>0</v>
      </c>
      <c r="AD118" s="49" t="n">
        <f aca="false">ABS(AD117-AD86)</f>
        <v>0</v>
      </c>
      <c r="AE118" s="49" t="n">
        <f aca="false">ABS(AE117-AE86)</f>
        <v>0</v>
      </c>
      <c r="AF118" s="49" t="n">
        <f aca="false">ABS(AF117-AF86)</f>
        <v>0</v>
      </c>
      <c r="AG118" s="49" t="n">
        <f aca="false">ABS(AG117-AG86)</f>
        <v>0</v>
      </c>
      <c r="AH118" s="49" t="n">
        <f aca="false">ABS(AH117-AH86)</f>
        <v>0</v>
      </c>
      <c r="AI118" s="49" t="n">
        <f aca="false">ABS(AI117-AI86)</f>
        <v>0</v>
      </c>
      <c r="AJ118" s="49" t="n">
        <f aca="false">ABS(AJ117-AJ86)</f>
        <v>0</v>
      </c>
      <c r="AK118" s="49" t="n">
        <f aca="false">ABS(AK117-AK86)</f>
        <v>0</v>
      </c>
      <c r="AL118" s="49" t="n">
        <f aca="false">ABS(AL117-AL86)</f>
        <v>0</v>
      </c>
      <c r="AM118" s="49" t="n">
        <f aca="false">ABS(AM117-AM86)</f>
        <v>0</v>
      </c>
      <c r="AN118" s="49" t="n">
        <f aca="false">ABS(AN117-AN86)</f>
        <v>0</v>
      </c>
      <c r="AO118" s="49" t="n">
        <f aca="false">ABS(AO117-AO86)</f>
        <v>0</v>
      </c>
      <c r="AP118" s="49" t="n">
        <f aca="false">ABS(AP117-AP86)</f>
        <v>0</v>
      </c>
      <c r="AQ118" s="49" t="n">
        <f aca="false">ABS(AQ117-AQ86)</f>
        <v>0</v>
      </c>
      <c r="AR118" s="49" t="n">
        <f aca="false">ABS(AR117-AR86)</f>
        <v>0</v>
      </c>
      <c r="AS118" s="49" t="n">
        <f aca="false">ABS(AS117-AS86)</f>
        <v>0</v>
      </c>
      <c r="AT118" s="49" t="n">
        <f aca="false">ABS(AT117-AT86)</f>
        <v>0</v>
      </c>
      <c r="AU118" s="49" t="n">
        <f aca="false">ABS(AU117-AU86)</f>
        <v>0</v>
      </c>
      <c r="AV118" s="49" t="n">
        <f aca="false">ABS(AV117-AV86)</f>
        <v>0</v>
      </c>
      <c r="AW118" s="49" t="n">
        <f aca="false">ABS(AW117-AW86)</f>
        <v>0</v>
      </c>
      <c r="AX118" s="49" t="n">
        <f aca="false">ABS(AX117-AX86)</f>
        <v>0</v>
      </c>
      <c r="AY118" s="49" t="n">
        <f aca="false">ABS(AY117-AY86)</f>
        <v>0</v>
      </c>
      <c r="AZ118" s="49" t="n">
        <f aca="false">ABS(AZ117-AZ86)</f>
        <v>0</v>
      </c>
      <c r="BA118" s="49" t="n">
        <f aca="false">ABS(BA117-BA86)</f>
        <v>0</v>
      </c>
      <c r="BB118" s="49" t="n">
        <f aca="false">ABS(BB117-BB86)</f>
        <v>0</v>
      </c>
      <c r="BC118" s="49" t="n">
        <f aca="false">ABS(BC117-BC86)</f>
        <v>0</v>
      </c>
      <c r="BD118" s="49" t="n">
        <f aca="false">ABS(BD117-BD86)</f>
        <v>4.54747350886464E-013</v>
      </c>
      <c r="BE118" s="49" t="n">
        <f aca="false">ABS(BE117-BE86)</f>
        <v>0</v>
      </c>
      <c r="BF118" s="49" t="n">
        <f aca="false">ABS(BF117-BF86)</f>
        <v>0</v>
      </c>
      <c r="BG118" s="49" t="n">
        <f aca="false">ABS(BG117-BG86)</f>
        <v>0</v>
      </c>
      <c r="BH118" s="49" t="n">
        <f aca="false">ABS(BH117-BH86)</f>
        <v>0</v>
      </c>
      <c r="BI118" s="49" t="n">
        <f aca="false">ABS(BI117-BI86)</f>
        <v>0</v>
      </c>
      <c r="BJ118" s="49" t="n">
        <f aca="false">ABS(BJ117-BJ86)</f>
        <v>0</v>
      </c>
      <c r="BK118" s="49" t="n">
        <f aca="false">ABS(BK117-BK86)</f>
        <v>0</v>
      </c>
      <c r="BL118" s="49" t="n">
        <f aca="false">ABS(BL117-BL86)</f>
        <v>4.40536496171262E-013</v>
      </c>
      <c r="BM118" s="49" t="n">
        <f aca="false">ABS(BM117-BM86)</f>
        <v>0</v>
      </c>
      <c r="BN118" s="49" t="n">
        <f aca="false">ABS(BN117-BN86)</f>
        <v>0</v>
      </c>
      <c r="BO118" s="49" t="n">
        <f aca="false">ABS(BO117-BO86)</f>
        <v>0</v>
      </c>
      <c r="BP118" s="49" t="n">
        <f aca="false">ABS(BP117-BP86)</f>
        <v>0</v>
      </c>
      <c r="BQ118" s="49" t="n">
        <f aca="false">ABS(BQ117-BQ86)</f>
        <v>0</v>
      </c>
      <c r="BR118" s="49" t="n">
        <f aca="false">ABS(BR117-BR86)</f>
        <v>0</v>
      </c>
      <c r="BS118" s="49" t="n">
        <f aca="false">ABS(BS117-BS86)</f>
        <v>0</v>
      </c>
      <c r="BT118" s="49" t="n">
        <f aca="false">ABS(BT117-BT86)</f>
        <v>0</v>
      </c>
      <c r="BU118" s="49" t="n">
        <f aca="false">ABS(BU117-BU86)</f>
        <v>0</v>
      </c>
      <c r="BV118" s="49" t="n">
        <f aca="false">ABS(BV117-BV86)</f>
        <v>0</v>
      </c>
      <c r="BW118" s="49" t="n">
        <f aca="false">ABS(BW117-BW86)</f>
        <v>0</v>
      </c>
      <c r="BX118" s="49" t="n">
        <f aca="false">ABS(BX117-BX86)</f>
        <v>0</v>
      </c>
      <c r="BY118" s="49" t="n">
        <f aca="false">ABS(BY117-BY86)</f>
        <v>0</v>
      </c>
      <c r="BZ118" s="49" t="n">
        <f aca="false">ABS(BZ117-BZ86)</f>
        <v>0</v>
      </c>
      <c r="CA118" s="49" t="n">
        <f aca="false">ABS(CA117-CA86)</f>
        <v>0</v>
      </c>
      <c r="CB118" s="49" t="n">
        <f aca="false">ABS(CB117-CB86)</f>
        <v>0</v>
      </c>
      <c r="CC118" s="49" t="n">
        <f aca="false">ABS(CC117-CC86)</f>
        <v>0</v>
      </c>
      <c r="CD118" s="49" t="n">
        <f aca="false">ABS(CD117-CD86)</f>
        <v>0</v>
      </c>
      <c r="CE118" s="49" t="n">
        <f aca="false">ABS(CE117-CE86)</f>
        <v>0</v>
      </c>
      <c r="CF118" s="49" t="n">
        <f aca="false">ABS(CF117-CF86)</f>
        <v>0</v>
      </c>
      <c r="CG118" s="49" t="n">
        <f aca="false">ABS(CG117-CG86)</f>
        <v>0</v>
      </c>
      <c r="CH118" s="49" t="n">
        <f aca="false">ABS(CH117-CH86)</f>
        <v>0</v>
      </c>
      <c r="CI118" s="49" t="n">
        <f aca="false">ABS(CI117-CI86)</f>
        <v>0</v>
      </c>
      <c r="CJ118" s="49" t="n">
        <f aca="false">ABS(CJ117-CJ86)</f>
        <v>0</v>
      </c>
      <c r="CK118" s="49" t="n">
        <f aca="false">ABS(CK117-CK86)</f>
        <v>0</v>
      </c>
      <c r="CL118" s="49" t="n">
        <f aca="false">ABS(CL117-CL86)</f>
        <v>0</v>
      </c>
      <c r="CM118" s="49" t="n">
        <f aca="false">ABS(CM117-CM86)</f>
        <v>0</v>
      </c>
      <c r="CN118" s="49" t="n">
        <f aca="false">ABS(CN117-CN86)</f>
        <v>0</v>
      </c>
      <c r="CO118" s="49" t="n">
        <f aca="false">ABS(CO117-CO86)</f>
        <v>0</v>
      </c>
      <c r="CP118" s="49" t="n">
        <f aca="false">ABS(CP117-CP86)</f>
        <v>0</v>
      </c>
      <c r="CQ118" s="49" t="n">
        <f aca="false">ABS(CQ117-CQ86)</f>
        <v>0</v>
      </c>
      <c r="CR118" s="49" t="n">
        <f aca="false">ABS(CR117-CR86)</f>
        <v>0</v>
      </c>
      <c r="CS118" s="49" t="n">
        <f aca="false">ABS(CS117-CS86)</f>
        <v>0</v>
      </c>
      <c r="CT118" s="49" t="n">
        <f aca="false">ABS(CT117-CT86)</f>
        <v>0</v>
      </c>
      <c r="CU118" s="49" t="n">
        <f aca="false">ABS(CU117-CU86)</f>
        <v>0</v>
      </c>
      <c r="CV118" s="49" t="n">
        <f aca="false">ABS(CV117-CV86)</f>
        <v>0</v>
      </c>
      <c r="CW118" s="49" t="n">
        <f aca="false">ABS(CW117-CW86)</f>
        <v>0</v>
      </c>
      <c r="CX118" s="49" t="n">
        <f aca="false">ABS(CX117-CX86)</f>
        <v>0</v>
      </c>
      <c r="CY118" s="49" t="n">
        <f aca="false">ABS(CY117-CY86)</f>
        <v>0</v>
      </c>
      <c r="CZ118" s="49" t="n">
        <f aca="false">ABS(CZ117-CZ86)</f>
        <v>0</v>
      </c>
      <c r="DA118" s="49" t="n">
        <f aca="false">ABS(DA117-DA86)</f>
        <v>0</v>
      </c>
      <c r="DB118" s="49" t="n">
        <f aca="false">ABS(DB117-DB86)</f>
        <v>0</v>
      </c>
      <c r="DC118" s="49" t="n">
        <f aca="false">ABS(DC117-DC86)</f>
        <v>0</v>
      </c>
      <c r="DD118" s="49" t="n">
        <f aca="false">ABS(DD117-DD86)</f>
        <v>0</v>
      </c>
      <c r="DE118" s="49" t="n">
        <f aca="false">ABS(DE117-DE86)</f>
        <v>0</v>
      </c>
      <c r="DF118" s="49" t="n">
        <f aca="false">ABS(DF117-DF86)</f>
        <v>0</v>
      </c>
      <c r="DG118" s="49" t="n">
        <f aca="false">ABS(DG117-DG86)</f>
        <v>0</v>
      </c>
      <c r="DH118" s="49" t="n">
        <f aca="false">ABS(DH117-DH86)</f>
        <v>0</v>
      </c>
      <c r="DI118" s="49" t="n">
        <f aca="false">ABS(DI117-DI86)</f>
        <v>0</v>
      </c>
      <c r="DJ118" s="49" t="n">
        <f aca="false">ABS(DJ117-DJ86)</f>
        <v>0</v>
      </c>
      <c r="DK118" s="49" t="n">
        <f aca="false">ABS(DK117-DK86)</f>
        <v>0</v>
      </c>
      <c r="DL118" s="49" t="n">
        <f aca="false">ABS(DL117-DL86)</f>
        <v>0</v>
      </c>
      <c r="DM118" s="49" t="n">
        <f aca="false">ABS(DM117-DM86)</f>
        <v>0</v>
      </c>
      <c r="DN118" s="49" t="n">
        <f aca="false">ABS(DN117-DN86)</f>
        <v>0</v>
      </c>
      <c r="DO118" s="49" t="n">
        <f aca="false">ABS(DO117-DO86)</f>
        <v>0</v>
      </c>
      <c r="DP118" s="49" t="n">
        <f aca="false">ABS(DP117-DP86)</f>
        <v>0</v>
      </c>
      <c r="DQ118" s="49" t="n">
        <f aca="false">ABS(DQ117-DQ86)</f>
        <v>0</v>
      </c>
      <c r="DR118" s="49" t="n">
        <f aca="false">ABS(DR117-DR86)</f>
        <v>0</v>
      </c>
      <c r="DS118" s="49" t="n">
        <f aca="false">ABS(DS117-DS86)</f>
        <v>0</v>
      </c>
      <c r="DT118" s="49" t="n">
        <f aca="false">ABS(DT117-DT86)</f>
        <v>0</v>
      </c>
      <c r="DU118" s="49" t="n">
        <f aca="false">ABS(DU117-DU86)</f>
        <v>0</v>
      </c>
      <c r="DV118" s="49" t="n">
        <f aca="false">ABS(DV117-DV86)</f>
        <v>0</v>
      </c>
      <c r="DW118" s="49" t="n">
        <f aca="false">ABS(DW117-DW86)</f>
        <v>0</v>
      </c>
      <c r="DX118" s="49" t="n">
        <f aca="false">ABS(DX117-DX86)</f>
        <v>0</v>
      </c>
      <c r="DY118" s="49" t="n">
        <f aca="false">ABS(DY117-DY86)</f>
        <v>0</v>
      </c>
      <c r="DZ118" s="49" t="n">
        <f aca="false">ABS(DZ117-DZ86)</f>
        <v>0</v>
      </c>
      <c r="EA118" s="49" t="n">
        <f aca="false">ABS(EA117-EA86)</f>
        <v>0</v>
      </c>
      <c r="EB118" s="49" t="n">
        <f aca="false">ABS(EB117-EB86)</f>
        <v>0</v>
      </c>
      <c r="EC118" s="49" t="n">
        <f aca="false">ABS(EC117-EC86)</f>
        <v>0</v>
      </c>
      <c r="ED118" s="49" t="n">
        <f aca="false">ABS(ED117-ED86)</f>
        <v>0</v>
      </c>
      <c r="EE118" s="49" t="n">
        <f aca="false">ABS(EE117-EE86)</f>
        <v>0</v>
      </c>
      <c r="EF118" s="49" t="n">
        <f aca="false">ABS(EF117-EF86)</f>
        <v>0</v>
      </c>
      <c r="EG118" s="49" t="n">
        <f aca="false">ABS(EG117-EG86)</f>
        <v>0</v>
      </c>
      <c r="EH118" s="49" t="n">
        <f aca="false">ABS(EH117-EH86)</f>
        <v>0</v>
      </c>
      <c r="EI118" s="49" t="n">
        <f aca="false">ABS(EI117-EI86)</f>
        <v>0</v>
      </c>
      <c r="EJ118" s="49" t="n">
        <f aca="false">ABS(EJ117-EJ86)</f>
        <v>0</v>
      </c>
      <c r="EK118" s="49" t="n">
        <f aca="false">ABS(EK117-EK86)</f>
        <v>0</v>
      </c>
      <c r="EL118" s="49" t="n">
        <f aca="false">ABS(EL117-EL86)</f>
        <v>0</v>
      </c>
      <c r="EM118" s="49" t="n">
        <f aca="false">ABS(EM117-EM86)</f>
        <v>0</v>
      </c>
      <c r="EN118" s="49" t="n">
        <f aca="false">ABS(EN117-EN86)</f>
        <v>0</v>
      </c>
      <c r="EO118" s="49" t="n">
        <f aca="false">ABS(EO117-EO86)</f>
        <v>0</v>
      </c>
    </row>
    <row r="120" customFormat="false" ht="15" hidden="false" customHeight="false" outlineLevel="0" collapsed="false">
      <c r="A120" s="10" t="s">
        <v>13</v>
      </c>
      <c r="B120" s="10"/>
      <c r="C120" s="10" t="s">
        <v>506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customFormat="false" ht="15" hidden="false" customHeight="false" outlineLevel="0" collapsed="false">
      <c r="C121" s="1" t="s">
        <v>96</v>
      </c>
      <c r="D121" s="12" t="s">
        <v>33</v>
      </c>
      <c r="E121" s="49" t="n">
        <f aca="false">-($I48+$I49+$I50)</f>
        <v>5150</v>
      </c>
    </row>
    <row r="122" customFormat="false" ht="15" hidden="false" customHeight="false" outlineLevel="0" collapsed="false">
      <c r="C122" s="1" t="s">
        <v>97</v>
      </c>
      <c r="D122" s="12" t="s">
        <v>33</v>
      </c>
      <c r="E122" s="49" t="n">
        <f aca="false">-($I52+$I55+$E59)</f>
        <v>1114.92155376243</v>
      </c>
    </row>
    <row r="123" customFormat="false" ht="15" hidden="false" customHeight="false" outlineLevel="0" collapsed="false">
      <c r="C123" s="1" t="s">
        <v>98</v>
      </c>
      <c r="D123" s="12" t="s">
        <v>33</v>
      </c>
      <c r="E123" s="49" t="n">
        <f aca="false">-$I68</f>
        <v>91963.75</v>
      </c>
    </row>
    <row r="124" customFormat="false" ht="15" hidden="false" customHeight="false" outlineLevel="0" collapsed="false">
      <c r="C124" s="1" t="s">
        <v>99</v>
      </c>
      <c r="D124" s="12" t="s">
        <v>33</v>
      </c>
      <c r="E124" s="49" t="n">
        <f aca="false">-$I58</f>
        <v>8154.82315068493</v>
      </c>
    </row>
    <row r="125" customFormat="false" ht="15" hidden="false" customHeight="false" outlineLevel="0" collapsed="false">
      <c r="C125" s="1" t="s">
        <v>100</v>
      </c>
      <c r="D125" s="12" t="s">
        <v>33</v>
      </c>
      <c r="E125" s="49" t="n">
        <f aca="false">-$I69</f>
        <v>2500</v>
      </c>
    </row>
    <row r="126" customFormat="false" ht="15" hidden="false" customHeight="false" outlineLevel="0" collapsed="false">
      <c r="C126" s="1" t="s">
        <v>101</v>
      </c>
      <c r="D126" s="12" t="s">
        <v>33</v>
      </c>
      <c r="E126" s="49" t="n">
        <f aca="false">$I101-$I104-$I105</f>
        <v>3525.2448302272</v>
      </c>
    </row>
    <row r="127" customFormat="false" ht="15" hidden="false" customHeight="false" outlineLevel="0" collapsed="false">
      <c r="C127" s="1" t="s">
        <v>102</v>
      </c>
      <c r="D127" s="12" t="s">
        <v>33</v>
      </c>
      <c r="E127" s="49" t="n">
        <f aca="false">-SUMIF($J$4:$EO$4,"&lt;="&amp;In_COD,$J83:$EO83)</f>
        <v>340.170197534084</v>
      </c>
    </row>
    <row r="128" customFormat="false" ht="15" hidden="false" customHeight="false" outlineLevel="0" collapsed="false">
      <c r="C128" s="26" t="s">
        <v>103</v>
      </c>
      <c r="D128" s="12" t="s">
        <v>33</v>
      </c>
      <c r="E128" s="58" t="n">
        <f aca="false">SUM($E121:$E127)</f>
        <v>112748.909732209</v>
      </c>
    </row>
    <row r="129" customFormat="false" ht="15" hidden="false" customHeight="false" outlineLevel="0" collapsed="false">
      <c r="C129" s="1" t="s">
        <v>507</v>
      </c>
      <c r="D129" s="12" t="s">
        <v>33</v>
      </c>
      <c r="E129" s="49" t="n">
        <f aca="false">$E128-$E103</f>
        <v>63248.9097322087</v>
      </c>
      <c r="F129" s="49" t="n">
        <f aca="false">$E129+$E106</f>
        <v>64426.5112714834</v>
      </c>
    </row>
    <row r="130" customFormat="false" ht="15" hidden="false" customHeight="false" outlineLevel="0" collapsed="false">
      <c r="C130" s="1" t="s">
        <v>107</v>
      </c>
      <c r="D130" s="12" t="s">
        <v>27</v>
      </c>
      <c r="E130" s="50" t="n">
        <f aca="false">$E103/$E128</f>
        <v>0.439028635554597</v>
      </c>
    </row>
    <row r="131" customFormat="false" ht="15" hidden="false" customHeight="false" outlineLevel="0" collapsed="false">
      <c r="C131" s="1" t="s">
        <v>508</v>
      </c>
      <c r="D131" s="12" t="s">
        <v>33</v>
      </c>
      <c r="E131" s="49" t="n">
        <f aca="false">$E88*In_DSCR/In_DSCR_Max_Low</f>
        <v>87364.733267101</v>
      </c>
      <c r="F131" s="49" t="n">
        <f aca="false">$E88*In_DSCR/In_DSCR_Max_High</f>
        <v>80084.3388281759</v>
      </c>
    </row>
    <row r="132" customFormat="false" ht="15" hidden="false" customHeight="false" outlineLevel="0" collapsed="false">
      <c r="C132" s="1" t="s">
        <v>509</v>
      </c>
      <c r="D132" s="12" t="s">
        <v>27</v>
      </c>
      <c r="E132" s="50" t="n">
        <f aca="false">$E131/$E128</f>
        <v>0.774861002865589</v>
      </c>
      <c r="F132" s="50" t="n">
        <f aca="false">$F131/$E128</f>
        <v>0.71028925262679</v>
      </c>
    </row>
    <row r="134" customFormat="false" ht="15" hidden="false" customHeight="false" outlineLevel="0" collapsed="false">
      <c r="A134" s="10" t="s">
        <v>13</v>
      </c>
      <c r="B134" s="10"/>
      <c r="C134" s="10" t="s">
        <v>123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</row>
    <row r="135" customFormat="false" ht="15" hidden="false" customHeight="false" outlineLevel="0" collapsed="false">
      <c r="C135" s="1" t="s">
        <v>510</v>
      </c>
      <c r="D135" s="12" t="s">
        <v>33</v>
      </c>
      <c r="I135" s="49" t="n">
        <f aca="false">SUM(J135:EO135)</f>
        <v>-63248.9097322087</v>
      </c>
      <c r="J135" s="49" t="n">
        <f aca="false">(J63+J70+J100+J104+J105+J83)*(J$4&lt;=In_COD)</f>
        <v>-4662.80993807469</v>
      </c>
      <c r="K135" s="49" t="n">
        <f aca="false">(K63+K70+K100+K104+K105+K83)*(K$4&lt;=In_COD)</f>
        <v>-706.535577057768</v>
      </c>
      <c r="L135" s="49" t="n">
        <f aca="false">(L63+L70+L100+L104+L105+L83)*(L$4&lt;=In_COD)</f>
        <v>-104.360496659404</v>
      </c>
      <c r="M135" s="49" t="n">
        <f aca="false">(M63+M70+M100+M104+M105+M83)*(M$4&lt;=In_COD)</f>
        <v>-105.507315304013</v>
      </c>
      <c r="N135" s="49" t="n">
        <f aca="false">(N63+N70+N100+N104+N105+N83)*(N$4&lt;=In_COD)</f>
        <v>-105.507315304013</v>
      </c>
      <c r="O135" s="49" t="n">
        <f aca="false">(O63+O70+O100+O104+O105+O83)*(O$4&lt;=In_COD)</f>
        <v>-104.360496659404</v>
      </c>
      <c r="P135" s="49" t="n">
        <f aca="false">(P63+P70+P100+P104+P105+P83)*(P$4&lt;=In_COD)</f>
        <v>-104.360496659404</v>
      </c>
      <c r="Q135" s="49" t="n">
        <f aca="false">(Q63+Q70+Q100+Q104+Q105+Q83)*(Q$4&lt;=In_COD)</f>
        <v>-105.507315304013</v>
      </c>
      <c r="R135" s="49" t="n">
        <f aca="false">(R63+R70+R100+R104+R105+R83)*(R$4&lt;=In_COD)</f>
        <v>-7295.55434419828</v>
      </c>
      <c r="S135" s="49" t="n">
        <f aca="false">(S63+S70+S100+S104+S105+S83)*(S$4&lt;=In_COD)</f>
        <v>-10674.0884898816</v>
      </c>
      <c r="T135" s="49" t="n">
        <f aca="false">(T63+T70+T100+T104+T105+T83)*(T$4&lt;=In_COD)</f>
        <v>-6328.29564878197</v>
      </c>
      <c r="U135" s="49" t="n">
        <f aca="false">(U63+U70+U100+U104+U105+U83)*(U$4&lt;=In_COD)</f>
        <v>-6385.84843453489</v>
      </c>
      <c r="V135" s="49" t="n">
        <f aca="false">(V63+V70+V100+V104+V105+V83)*(V$4&lt;=In_COD)</f>
        <v>-6373.72776343664</v>
      </c>
      <c r="W135" s="49" t="n">
        <f aca="false">(W63+W70+W100+W104+W105+W83)*(W$4&lt;=In_COD)</f>
        <v>-6224.35321715595</v>
      </c>
      <c r="X135" s="49" t="n">
        <f aca="false">(X63+X70+X100+X104+X105+X83)*(X$4&lt;=In_COD)</f>
        <v>-6281.78440147055</v>
      </c>
      <c r="Y135" s="49" t="n">
        <f aca="false">(Y63+Y70+Y100+Y104+Y105+Y83)*(Y$4&lt;=In_COD)</f>
        <v>-7686.30848172603</v>
      </c>
      <c r="Z135" s="49" t="n">
        <f aca="false">(Z63+Z70+Z100+Z104+Z105+Z83)*(Z$4&lt;=In_COD)</f>
        <v>0</v>
      </c>
      <c r="AA135" s="49" t="n">
        <f aca="false">(AA63+AA70+AA100+AA104+AA105+AA83)*(AA$4&lt;=In_COD)</f>
        <v>0</v>
      </c>
      <c r="AB135" s="49" t="n">
        <f aca="false">(AB63+AB70+AB100+AB104+AB105+AB83)*(AB$4&lt;=In_COD)</f>
        <v>0</v>
      </c>
      <c r="AC135" s="49" t="n">
        <f aca="false">(AC63+AC70+AC100+AC104+AC105+AC83)*(AC$4&lt;=In_COD)</f>
        <v>0</v>
      </c>
      <c r="AD135" s="49" t="n">
        <f aca="false">(AD63+AD70+AD100+AD104+AD105+AD83)*(AD$4&lt;=In_COD)</f>
        <v>0</v>
      </c>
      <c r="AE135" s="49" t="n">
        <f aca="false">(AE63+AE70+AE100+AE104+AE105+AE83)*(AE$4&lt;=In_COD)</f>
        <v>0</v>
      </c>
      <c r="AF135" s="49" t="n">
        <f aca="false">(AF63+AF70+AF100+AF104+AF105+AF83)*(AF$4&lt;=In_COD)</f>
        <v>0</v>
      </c>
      <c r="AG135" s="49" t="n">
        <f aca="false">(AG63+AG70+AG100+AG104+AG105+AG83)*(AG$4&lt;=In_COD)</f>
        <v>0</v>
      </c>
      <c r="AH135" s="49" t="n">
        <f aca="false">(AH63+AH70+AH100+AH104+AH105+AH83)*(AH$4&lt;=In_COD)</f>
        <v>0</v>
      </c>
      <c r="AI135" s="49" t="n">
        <f aca="false">(AI63+AI70+AI100+AI104+AI105+AI83)*(AI$4&lt;=In_COD)</f>
        <v>0</v>
      </c>
      <c r="AJ135" s="49" t="n">
        <f aca="false">(AJ63+AJ70+AJ100+AJ104+AJ105+AJ83)*(AJ$4&lt;=In_COD)</f>
        <v>0</v>
      </c>
      <c r="AK135" s="49" t="n">
        <f aca="false">(AK63+AK70+AK100+AK104+AK105+AK83)*(AK$4&lt;=In_COD)</f>
        <v>0</v>
      </c>
      <c r="AL135" s="49" t="n">
        <f aca="false">(AL63+AL70+AL100+AL104+AL105+AL83)*(AL$4&lt;=In_COD)</f>
        <v>0</v>
      </c>
      <c r="AM135" s="49" t="n">
        <f aca="false">(AM63+AM70+AM100+AM104+AM105+AM83)*(AM$4&lt;=In_COD)</f>
        <v>0</v>
      </c>
      <c r="AN135" s="49" t="n">
        <f aca="false">(AN63+AN70+AN100+AN104+AN105+AN83)*(AN$4&lt;=In_COD)</f>
        <v>0</v>
      </c>
      <c r="AO135" s="49" t="n">
        <f aca="false">(AO63+AO70+AO100+AO104+AO105+AO83)*(AO$4&lt;=In_COD)</f>
        <v>0</v>
      </c>
      <c r="AP135" s="49" t="n">
        <f aca="false">(AP63+AP70+AP100+AP104+AP105+AP83)*(AP$4&lt;=In_COD)</f>
        <v>0</v>
      </c>
      <c r="AQ135" s="49" t="n">
        <f aca="false">(AQ63+AQ70+AQ100+AQ104+AQ105+AQ83)*(AQ$4&lt;=In_COD)</f>
        <v>0</v>
      </c>
      <c r="AR135" s="49" t="n">
        <f aca="false">(AR63+AR70+AR100+AR104+AR105+AR83)*(AR$4&lt;=In_COD)</f>
        <v>0</v>
      </c>
      <c r="AS135" s="49" t="n">
        <f aca="false">(AS63+AS70+AS100+AS104+AS105+AS83)*(AS$4&lt;=In_COD)</f>
        <v>0</v>
      </c>
      <c r="AT135" s="49" t="n">
        <f aca="false">(AT63+AT70+AT100+AT104+AT105+AT83)*(AT$4&lt;=In_COD)</f>
        <v>0</v>
      </c>
      <c r="AU135" s="49" t="n">
        <f aca="false">(AU63+AU70+AU100+AU104+AU105+AU83)*(AU$4&lt;=In_COD)</f>
        <v>0</v>
      </c>
      <c r="AV135" s="49" t="n">
        <f aca="false">(AV63+AV70+AV100+AV104+AV105+AV83)*(AV$4&lt;=In_COD)</f>
        <v>0</v>
      </c>
      <c r="AW135" s="49" t="n">
        <f aca="false">(AW63+AW70+AW100+AW104+AW105+AW83)*(AW$4&lt;=In_COD)</f>
        <v>0</v>
      </c>
      <c r="AX135" s="49" t="n">
        <f aca="false">(AX63+AX70+AX100+AX104+AX105+AX83)*(AX$4&lt;=In_COD)</f>
        <v>0</v>
      </c>
      <c r="AY135" s="49" t="n">
        <f aca="false">(AY63+AY70+AY100+AY104+AY105+AY83)*(AY$4&lt;=In_COD)</f>
        <v>0</v>
      </c>
      <c r="AZ135" s="49" t="n">
        <f aca="false">(AZ63+AZ70+AZ100+AZ104+AZ105+AZ83)*(AZ$4&lt;=In_COD)</f>
        <v>0</v>
      </c>
      <c r="BA135" s="49" t="n">
        <f aca="false">(BA63+BA70+BA100+BA104+BA105+BA83)*(BA$4&lt;=In_COD)</f>
        <v>0</v>
      </c>
      <c r="BB135" s="49" t="n">
        <f aca="false">(BB63+BB70+BB100+BB104+BB105+BB83)*(BB$4&lt;=In_COD)</f>
        <v>0</v>
      </c>
      <c r="BC135" s="49" t="n">
        <f aca="false">(BC63+BC70+BC100+BC104+BC105+BC83)*(BC$4&lt;=In_COD)</f>
        <v>0</v>
      </c>
      <c r="BD135" s="49" t="n">
        <f aca="false">(BD63+BD70+BD100+BD104+BD105+BD83)*(BD$4&lt;=In_COD)</f>
        <v>0</v>
      </c>
      <c r="BE135" s="49" t="n">
        <f aca="false">(BE63+BE70+BE100+BE104+BE105+BE83)*(BE$4&lt;=In_COD)</f>
        <v>0</v>
      </c>
      <c r="BF135" s="49" t="n">
        <f aca="false">(BF63+BF70+BF100+BF104+BF105+BF83)*(BF$4&lt;=In_COD)</f>
        <v>0</v>
      </c>
      <c r="BG135" s="49" t="n">
        <f aca="false">(BG63+BG70+BG100+BG104+BG105+BG83)*(BG$4&lt;=In_COD)</f>
        <v>0</v>
      </c>
      <c r="BH135" s="49" t="n">
        <f aca="false">(BH63+BH70+BH100+BH104+BH105+BH83)*(BH$4&lt;=In_COD)</f>
        <v>0</v>
      </c>
      <c r="BI135" s="49" t="n">
        <f aca="false">(BI63+BI70+BI100+BI104+BI105+BI83)*(BI$4&lt;=In_COD)</f>
        <v>0</v>
      </c>
      <c r="BJ135" s="49" t="n">
        <f aca="false">(BJ63+BJ70+BJ100+BJ104+BJ105+BJ83)*(BJ$4&lt;=In_COD)</f>
        <v>0</v>
      </c>
      <c r="BK135" s="49" t="n">
        <f aca="false">(BK63+BK70+BK100+BK104+BK105+BK83)*(BK$4&lt;=In_COD)</f>
        <v>0</v>
      </c>
      <c r="BL135" s="49" t="n">
        <f aca="false">(BL63+BL70+BL100+BL104+BL105+BL83)*(BL$4&lt;=In_COD)</f>
        <v>0</v>
      </c>
      <c r="BM135" s="49" t="n">
        <f aca="false">(BM63+BM70+BM100+BM104+BM105+BM83)*(BM$4&lt;=In_COD)</f>
        <v>0</v>
      </c>
      <c r="BN135" s="49" t="n">
        <f aca="false">(BN63+BN70+BN100+BN104+BN105+BN83)*(BN$4&lt;=In_COD)</f>
        <v>0</v>
      </c>
      <c r="BO135" s="49" t="n">
        <f aca="false">(BO63+BO70+BO100+BO104+BO105+BO83)*(BO$4&lt;=In_COD)</f>
        <v>0</v>
      </c>
      <c r="BP135" s="49" t="n">
        <f aca="false">(BP63+BP70+BP100+BP104+BP105+BP83)*(BP$4&lt;=In_COD)</f>
        <v>0</v>
      </c>
      <c r="BQ135" s="49" t="n">
        <f aca="false">(BQ63+BQ70+BQ100+BQ104+BQ105+BQ83)*(BQ$4&lt;=In_COD)</f>
        <v>0</v>
      </c>
      <c r="BR135" s="49" t="n">
        <f aca="false">(BR63+BR70+BR100+BR104+BR105+BR83)*(BR$4&lt;=In_COD)</f>
        <v>0</v>
      </c>
      <c r="BS135" s="49" t="n">
        <f aca="false">(BS63+BS70+BS100+BS104+BS105+BS83)*(BS$4&lt;=In_COD)</f>
        <v>0</v>
      </c>
      <c r="BT135" s="49" t="n">
        <f aca="false">(BT63+BT70+BT100+BT104+BT105+BT83)*(BT$4&lt;=In_COD)</f>
        <v>0</v>
      </c>
      <c r="BU135" s="49" t="n">
        <f aca="false">(BU63+BU70+BU100+BU104+BU105+BU83)*(BU$4&lt;=In_COD)</f>
        <v>0</v>
      </c>
      <c r="BV135" s="49" t="n">
        <f aca="false">(BV63+BV70+BV100+BV104+BV105+BV83)*(BV$4&lt;=In_COD)</f>
        <v>0</v>
      </c>
      <c r="BW135" s="49" t="n">
        <f aca="false">(BW63+BW70+BW100+BW104+BW105+BW83)*(BW$4&lt;=In_COD)</f>
        <v>0</v>
      </c>
      <c r="BX135" s="49" t="n">
        <f aca="false">(BX63+BX70+BX100+BX104+BX105+BX83)*(BX$4&lt;=In_COD)</f>
        <v>0</v>
      </c>
      <c r="BY135" s="49" t="n">
        <f aca="false">(BY63+BY70+BY100+BY104+BY105+BY83)*(BY$4&lt;=In_COD)</f>
        <v>0</v>
      </c>
      <c r="BZ135" s="49" t="n">
        <f aca="false">(BZ63+BZ70+BZ100+BZ104+BZ105+BZ83)*(BZ$4&lt;=In_COD)</f>
        <v>0</v>
      </c>
      <c r="CA135" s="49" t="n">
        <f aca="false">(CA63+CA70+CA100+CA104+CA105+CA83)*(CA$4&lt;=In_COD)</f>
        <v>0</v>
      </c>
      <c r="CB135" s="49" t="n">
        <f aca="false">(CB63+CB70+CB100+CB104+CB105+CB83)*(CB$4&lt;=In_COD)</f>
        <v>0</v>
      </c>
      <c r="CC135" s="49" t="n">
        <f aca="false">(CC63+CC70+CC100+CC104+CC105+CC83)*(CC$4&lt;=In_COD)</f>
        <v>0</v>
      </c>
      <c r="CD135" s="49" t="n">
        <f aca="false">(CD63+CD70+CD100+CD104+CD105+CD83)*(CD$4&lt;=In_COD)</f>
        <v>0</v>
      </c>
      <c r="CE135" s="49" t="n">
        <f aca="false">(CE63+CE70+CE100+CE104+CE105+CE83)*(CE$4&lt;=In_COD)</f>
        <v>0</v>
      </c>
      <c r="CF135" s="49" t="n">
        <f aca="false">(CF63+CF70+CF100+CF104+CF105+CF83)*(CF$4&lt;=In_COD)</f>
        <v>0</v>
      </c>
      <c r="CG135" s="49" t="n">
        <f aca="false">(CG63+CG70+CG100+CG104+CG105+CG83)*(CG$4&lt;=In_COD)</f>
        <v>0</v>
      </c>
      <c r="CH135" s="49" t="n">
        <f aca="false">(CH63+CH70+CH100+CH104+CH105+CH83)*(CH$4&lt;=In_COD)</f>
        <v>0</v>
      </c>
      <c r="CI135" s="49" t="n">
        <f aca="false">(CI63+CI70+CI100+CI104+CI105+CI83)*(CI$4&lt;=In_COD)</f>
        <v>0</v>
      </c>
      <c r="CJ135" s="49" t="n">
        <f aca="false">(CJ63+CJ70+CJ100+CJ104+CJ105+CJ83)*(CJ$4&lt;=In_COD)</f>
        <v>0</v>
      </c>
      <c r="CK135" s="49" t="n">
        <f aca="false">(CK63+CK70+CK100+CK104+CK105+CK83)*(CK$4&lt;=In_COD)</f>
        <v>0</v>
      </c>
      <c r="CL135" s="49" t="n">
        <f aca="false">(CL63+CL70+CL100+CL104+CL105+CL83)*(CL$4&lt;=In_COD)</f>
        <v>0</v>
      </c>
      <c r="CM135" s="49" t="n">
        <f aca="false">(CM63+CM70+CM100+CM104+CM105+CM83)*(CM$4&lt;=In_COD)</f>
        <v>0</v>
      </c>
      <c r="CN135" s="49" t="n">
        <f aca="false">(CN63+CN70+CN100+CN104+CN105+CN83)*(CN$4&lt;=In_COD)</f>
        <v>0</v>
      </c>
      <c r="CO135" s="49" t="n">
        <f aca="false">(CO63+CO70+CO100+CO104+CO105+CO83)*(CO$4&lt;=In_COD)</f>
        <v>0</v>
      </c>
      <c r="CP135" s="49" t="n">
        <f aca="false">(CP63+CP70+CP100+CP104+CP105+CP83)*(CP$4&lt;=In_COD)</f>
        <v>0</v>
      </c>
      <c r="CQ135" s="49" t="n">
        <f aca="false">(CQ63+CQ70+CQ100+CQ104+CQ105+CQ83)*(CQ$4&lt;=In_COD)</f>
        <v>0</v>
      </c>
      <c r="CR135" s="49" t="n">
        <f aca="false">(CR63+CR70+CR100+CR104+CR105+CR83)*(CR$4&lt;=In_COD)</f>
        <v>0</v>
      </c>
      <c r="CS135" s="49" t="n">
        <f aca="false">(CS63+CS70+CS100+CS104+CS105+CS83)*(CS$4&lt;=In_COD)</f>
        <v>0</v>
      </c>
      <c r="CT135" s="49" t="n">
        <f aca="false">(CT63+CT70+CT100+CT104+CT105+CT83)*(CT$4&lt;=In_COD)</f>
        <v>0</v>
      </c>
      <c r="CU135" s="49" t="n">
        <f aca="false">(CU63+CU70+CU100+CU104+CU105+CU83)*(CU$4&lt;=In_COD)</f>
        <v>0</v>
      </c>
      <c r="CV135" s="49" t="n">
        <f aca="false">(CV63+CV70+CV100+CV104+CV105+CV83)*(CV$4&lt;=In_COD)</f>
        <v>0</v>
      </c>
      <c r="CW135" s="49" t="n">
        <f aca="false">(CW63+CW70+CW100+CW104+CW105+CW83)*(CW$4&lt;=In_COD)</f>
        <v>0</v>
      </c>
      <c r="CX135" s="49" t="n">
        <f aca="false">(CX63+CX70+CX100+CX104+CX105+CX83)*(CX$4&lt;=In_COD)</f>
        <v>0</v>
      </c>
      <c r="CY135" s="49" t="n">
        <f aca="false">(CY63+CY70+CY100+CY104+CY105+CY83)*(CY$4&lt;=In_COD)</f>
        <v>0</v>
      </c>
      <c r="CZ135" s="49" t="n">
        <f aca="false">(CZ63+CZ70+CZ100+CZ104+CZ105+CZ83)*(CZ$4&lt;=In_COD)</f>
        <v>0</v>
      </c>
      <c r="DA135" s="49" t="n">
        <f aca="false">(DA63+DA70+DA100+DA104+DA105+DA83)*(DA$4&lt;=In_COD)</f>
        <v>0</v>
      </c>
      <c r="DB135" s="49" t="n">
        <f aca="false">(DB63+DB70+DB100+DB104+DB105+DB83)*(DB$4&lt;=In_COD)</f>
        <v>0</v>
      </c>
      <c r="DC135" s="49" t="n">
        <f aca="false">(DC63+DC70+DC100+DC104+DC105+DC83)*(DC$4&lt;=In_COD)</f>
        <v>0</v>
      </c>
      <c r="DD135" s="49" t="n">
        <f aca="false">(DD63+DD70+DD100+DD104+DD105+DD83)*(DD$4&lt;=In_COD)</f>
        <v>0</v>
      </c>
      <c r="DE135" s="49" t="n">
        <f aca="false">(DE63+DE70+DE100+DE104+DE105+DE83)*(DE$4&lt;=In_COD)</f>
        <v>0</v>
      </c>
      <c r="DF135" s="49" t="n">
        <f aca="false">(DF63+DF70+DF100+DF104+DF105+DF83)*(DF$4&lt;=In_COD)</f>
        <v>0</v>
      </c>
      <c r="DG135" s="49" t="n">
        <f aca="false">(DG63+DG70+DG100+DG104+DG105+DG83)*(DG$4&lt;=In_COD)</f>
        <v>0</v>
      </c>
      <c r="DH135" s="49" t="n">
        <f aca="false">(DH63+DH70+DH100+DH104+DH105+DH83)*(DH$4&lt;=In_COD)</f>
        <v>0</v>
      </c>
      <c r="DI135" s="49" t="n">
        <f aca="false">(DI63+DI70+DI100+DI104+DI105+DI83)*(DI$4&lt;=In_COD)</f>
        <v>0</v>
      </c>
      <c r="DJ135" s="49" t="n">
        <f aca="false">(DJ63+DJ70+DJ100+DJ104+DJ105+DJ83)*(DJ$4&lt;=In_COD)</f>
        <v>0</v>
      </c>
      <c r="DK135" s="49" t="n">
        <f aca="false">(DK63+DK70+DK100+DK104+DK105+DK83)*(DK$4&lt;=In_COD)</f>
        <v>0</v>
      </c>
      <c r="DL135" s="49" t="n">
        <f aca="false">(DL63+DL70+DL100+DL104+DL105+DL83)*(DL$4&lt;=In_COD)</f>
        <v>0</v>
      </c>
      <c r="DM135" s="49" t="n">
        <f aca="false">(DM63+DM70+DM100+DM104+DM105+DM83)*(DM$4&lt;=In_COD)</f>
        <v>0</v>
      </c>
      <c r="DN135" s="49" t="n">
        <f aca="false">(DN63+DN70+DN100+DN104+DN105+DN83)*(DN$4&lt;=In_COD)</f>
        <v>0</v>
      </c>
      <c r="DO135" s="49" t="n">
        <f aca="false">(DO63+DO70+DO100+DO104+DO105+DO83)*(DO$4&lt;=In_COD)</f>
        <v>0</v>
      </c>
      <c r="DP135" s="49" t="n">
        <f aca="false">(DP63+DP70+DP100+DP104+DP105+DP83)*(DP$4&lt;=In_COD)</f>
        <v>0</v>
      </c>
      <c r="DQ135" s="49" t="n">
        <f aca="false">(DQ63+DQ70+DQ100+DQ104+DQ105+DQ83)*(DQ$4&lt;=In_COD)</f>
        <v>0</v>
      </c>
      <c r="DR135" s="49" t="n">
        <f aca="false">(DR63+DR70+DR100+DR104+DR105+DR83)*(DR$4&lt;=In_COD)</f>
        <v>0</v>
      </c>
      <c r="DS135" s="49" t="n">
        <f aca="false">(DS63+DS70+DS100+DS104+DS105+DS83)*(DS$4&lt;=In_COD)</f>
        <v>0</v>
      </c>
      <c r="DT135" s="49" t="n">
        <f aca="false">(DT63+DT70+DT100+DT104+DT105+DT83)*(DT$4&lt;=In_COD)</f>
        <v>0</v>
      </c>
      <c r="DU135" s="49" t="n">
        <f aca="false">(DU63+DU70+DU100+DU104+DU105+DU83)*(DU$4&lt;=In_COD)</f>
        <v>0</v>
      </c>
      <c r="DV135" s="49" t="n">
        <f aca="false">(DV63+DV70+DV100+DV104+DV105+DV83)*(DV$4&lt;=In_COD)</f>
        <v>0</v>
      </c>
      <c r="DW135" s="49" t="n">
        <f aca="false">(DW63+DW70+DW100+DW104+DW105+DW83)*(DW$4&lt;=In_COD)</f>
        <v>0</v>
      </c>
      <c r="DX135" s="49" t="n">
        <f aca="false">(DX63+DX70+DX100+DX104+DX105+DX83)*(DX$4&lt;=In_COD)</f>
        <v>0</v>
      </c>
      <c r="DY135" s="49" t="n">
        <f aca="false">(DY63+DY70+DY100+DY104+DY105+DY83)*(DY$4&lt;=In_COD)</f>
        <v>0</v>
      </c>
      <c r="DZ135" s="49" t="n">
        <f aca="false">(DZ63+DZ70+DZ100+DZ104+DZ105+DZ83)*(DZ$4&lt;=In_COD)</f>
        <v>0</v>
      </c>
      <c r="EA135" s="49" t="n">
        <f aca="false">(EA63+EA70+EA100+EA104+EA105+EA83)*(EA$4&lt;=In_COD)</f>
        <v>0</v>
      </c>
      <c r="EB135" s="49" t="n">
        <f aca="false">(EB63+EB70+EB100+EB104+EB105+EB83)*(EB$4&lt;=In_COD)</f>
        <v>0</v>
      </c>
      <c r="EC135" s="49" t="n">
        <f aca="false">(EC63+EC70+EC100+EC104+EC105+EC83)*(EC$4&lt;=In_COD)</f>
        <v>0</v>
      </c>
      <c r="ED135" s="49" t="n">
        <f aca="false">(ED63+ED70+ED100+ED104+ED105+ED83)*(ED$4&lt;=In_COD)</f>
        <v>0</v>
      </c>
      <c r="EE135" s="49" t="n">
        <f aca="false">(EE63+EE70+EE100+EE104+EE105+EE83)*(EE$4&lt;=In_COD)</f>
        <v>0</v>
      </c>
      <c r="EF135" s="49" t="n">
        <f aca="false">(EF63+EF70+EF100+EF104+EF105+EF83)*(EF$4&lt;=In_COD)</f>
        <v>0</v>
      </c>
      <c r="EG135" s="49" t="n">
        <f aca="false">(EG63+EG70+EG100+EG104+EG105+EG83)*(EG$4&lt;=In_COD)</f>
        <v>0</v>
      </c>
      <c r="EH135" s="49" t="n">
        <f aca="false">(EH63+EH70+EH100+EH104+EH105+EH83)*(EH$4&lt;=In_COD)</f>
        <v>0</v>
      </c>
      <c r="EI135" s="49" t="n">
        <f aca="false">(EI63+EI70+EI100+EI104+EI105+EI83)*(EI$4&lt;=In_COD)</f>
        <v>0</v>
      </c>
      <c r="EJ135" s="49" t="n">
        <f aca="false">(EJ63+EJ70+EJ100+EJ104+EJ105+EJ83)*(EJ$4&lt;=In_COD)</f>
        <v>0</v>
      </c>
      <c r="EK135" s="49" t="n">
        <f aca="false">(EK63+EK70+EK100+EK104+EK105+EK83)*(EK$4&lt;=In_COD)</f>
        <v>0</v>
      </c>
      <c r="EL135" s="49" t="n">
        <f aca="false">(EL63+EL70+EL100+EL104+EL105+EL83)*(EL$4&lt;=In_COD)</f>
        <v>0</v>
      </c>
      <c r="EM135" s="49" t="n">
        <f aca="false">(EM63+EM70+EM100+EM104+EM105+EM83)*(EM$4&lt;=In_COD)</f>
        <v>0</v>
      </c>
      <c r="EN135" s="49" t="n">
        <f aca="false">(EN63+EN70+EN100+EN104+EN105+EN83)*(EN$4&lt;=In_COD)</f>
        <v>0</v>
      </c>
      <c r="EO135" s="49" t="n">
        <f aca="false">(EO63+EO70+EO100+EO104+EO105+EO83)*(EO$4&lt;=In_COD)</f>
        <v>0</v>
      </c>
    </row>
    <row r="136" customFormat="false" ht="15" hidden="false" customHeight="false" outlineLevel="0" collapsed="false">
      <c r="C136" s="1" t="s">
        <v>511</v>
      </c>
      <c r="D136" s="12" t="s">
        <v>33</v>
      </c>
      <c r="E136" s="49" t="n">
        <f aca="false">IF($E44=1,In_COD_Price,In_COD_Price_CN)*$F25*(1-$E29)</f>
        <v>134137.5</v>
      </c>
    </row>
    <row r="137" customFormat="false" ht="15" hidden="false" customHeight="false" outlineLevel="0" collapsed="false">
      <c r="C137" s="1" t="s">
        <v>512</v>
      </c>
      <c r="D137" s="12" t="s">
        <v>33</v>
      </c>
      <c r="E137" s="49" t="n">
        <f aca="false">$E136+$I62-$E103-In_Sale_Costs</f>
        <v>84137.5</v>
      </c>
    </row>
    <row r="138" customFormat="false" ht="15" hidden="false" customHeight="false" outlineLevel="0" collapsed="false">
      <c r="C138" s="1" t="s">
        <v>126</v>
      </c>
      <c r="D138" s="12" t="s">
        <v>33</v>
      </c>
      <c r="E138" s="49" t="n">
        <f aca="false">-In_CIT*In_Sale_Gain_Taxed*MAX(0,$E137+$I135)</f>
        <v>-0</v>
      </c>
    </row>
    <row r="139" customFormat="false" ht="15" hidden="false" customHeight="false" outlineLevel="0" collapsed="false">
      <c r="C139" s="26" t="s">
        <v>513</v>
      </c>
      <c r="D139" s="12" t="s">
        <v>33</v>
      </c>
      <c r="I139" s="58" t="n">
        <f aca="false">SUM(J139:EO139)</f>
        <v>20888.5902677913</v>
      </c>
      <c r="J139" s="58" t="n">
        <f aca="false">J135+($E137+$E138)*J14</f>
        <v>-4662.80993807469</v>
      </c>
      <c r="K139" s="58" t="n">
        <f aca="false">K135+($E137+$E138)*K14</f>
        <v>-706.535577057768</v>
      </c>
      <c r="L139" s="58" t="n">
        <f aca="false">L135+($E137+$E138)*L14</f>
        <v>-104.360496659404</v>
      </c>
      <c r="M139" s="58" t="n">
        <f aca="false">M135+($E137+$E138)*M14</f>
        <v>-105.507315304013</v>
      </c>
      <c r="N139" s="58" t="n">
        <f aca="false">N135+($E137+$E138)*N14</f>
        <v>-105.507315304013</v>
      </c>
      <c r="O139" s="58" t="n">
        <f aca="false">O135+($E137+$E138)*O14</f>
        <v>-104.360496659404</v>
      </c>
      <c r="P139" s="58" t="n">
        <f aca="false">P135+($E137+$E138)*P14</f>
        <v>-104.360496659404</v>
      </c>
      <c r="Q139" s="58" t="n">
        <f aca="false">Q135+($E137+$E138)*Q14</f>
        <v>-105.507315304013</v>
      </c>
      <c r="R139" s="58" t="n">
        <f aca="false">R135+($E137+$E138)*R14</f>
        <v>-7295.55434419828</v>
      </c>
      <c r="S139" s="58" t="n">
        <f aca="false">S135+($E137+$E138)*S14</f>
        <v>-10674.0884898816</v>
      </c>
      <c r="T139" s="58" t="n">
        <f aca="false">T135+($E137+$E138)*T14</f>
        <v>-6328.29564878197</v>
      </c>
      <c r="U139" s="58" t="n">
        <f aca="false">U135+($E137+$E138)*U14</f>
        <v>-6385.84843453489</v>
      </c>
      <c r="V139" s="58" t="n">
        <f aca="false">V135+($E137+$E138)*V14</f>
        <v>-6373.72776343664</v>
      </c>
      <c r="W139" s="58" t="n">
        <f aca="false">W135+($E137+$E138)*W14</f>
        <v>-6224.35321715595</v>
      </c>
      <c r="X139" s="58" t="n">
        <f aca="false">X135+($E137+$E138)*X14</f>
        <v>-6281.78440147055</v>
      </c>
      <c r="Y139" s="58" t="n">
        <f aca="false">Y135+($E137+$E138)*Y14</f>
        <v>76451.191518274</v>
      </c>
      <c r="Z139" s="58" t="n">
        <f aca="false">Z135+($E137+$E138)*Z14</f>
        <v>0</v>
      </c>
      <c r="AA139" s="58" t="n">
        <f aca="false">AA135+($E137+$E138)*AA14</f>
        <v>0</v>
      </c>
      <c r="AB139" s="58" t="n">
        <f aca="false">AB135+($E137+$E138)*AB14</f>
        <v>0</v>
      </c>
      <c r="AC139" s="58" t="n">
        <f aca="false">AC135+($E137+$E138)*AC14</f>
        <v>0</v>
      </c>
      <c r="AD139" s="58" t="n">
        <f aca="false">AD135+($E137+$E138)*AD14</f>
        <v>0</v>
      </c>
      <c r="AE139" s="58" t="n">
        <f aca="false">AE135+($E137+$E138)*AE14</f>
        <v>0</v>
      </c>
      <c r="AF139" s="58" t="n">
        <f aca="false">AF135+($E137+$E138)*AF14</f>
        <v>0</v>
      </c>
      <c r="AG139" s="58" t="n">
        <f aca="false">AG135+($E137+$E138)*AG14</f>
        <v>0</v>
      </c>
      <c r="AH139" s="58" t="n">
        <f aca="false">AH135+($E137+$E138)*AH14</f>
        <v>0</v>
      </c>
      <c r="AI139" s="58" t="n">
        <f aca="false">AI135+($E137+$E138)*AI14</f>
        <v>0</v>
      </c>
      <c r="AJ139" s="58" t="n">
        <f aca="false">AJ135+($E137+$E138)*AJ14</f>
        <v>0</v>
      </c>
      <c r="AK139" s="58" t="n">
        <f aca="false">AK135+($E137+$E138)*AK14</f>
        <v>0</v>
      </c>
      <c r="AL139" s="58" t="n">
        <f aca="false">AL135+($E137+$E138)*AL14</f>
        <v>0</v>
      </c>
      <c r="AM139" s="58" t="n">
        <f aca="false">AM135+($E137+$E138)*AM14</f>
        <v>0</v>
      </c>
      <c r="AN139" s="58" t="n">
        <f aca="false">AN135+($E137+$E138)*AN14</f>
        <v>0</v>
      </c>
      <c r="AO139" s="58" t="n">
        <f aca="false">AO135+($E137+$E138)*AO14</f>
        <v>0</v>
      </c>
      <c r="AP139" s="58" t="n">
        <f aca="false">AP135+($E137+$E138)*AP14</f>
        <v>0</v>
      </c>
      <c r="AQ139" s="58" t="n">
        <f aca="false">AQ135+($E137+$E138)*AQ14</f>
        <v>0</v>
      </c>
      <c r="AR139" s="58" t="n">
        <f aca="false">AR135+($E137+$E138)*AR14</f>
        <v>0</v>
      </c>
      <c r="AS139" s="58" t="n">
        <f aca="false">AS135+($E137+$E138)*AS14</f>
        <v>0</v>
      </c>
      <c r="AT139" s="58" t="n">
        <f aca="false">AT135+($E137+$E138)*AT14</f>
        <v>0</v>
      </c>
      <c r="AU139" s="58" t="n">
        <f aca="false">AU135+($E137+$E138)*AU14</f>
        <v>0</v>
      </c>
      <c r="AV139" s="58" t="n">
        <f aca="false">AV135+($E137+$E138)*AV14</f>
        <v>0</v>
      </c>
      <c r="AW139" s="58" t="n">
        <f aca="false">AW135+($E137+$E138)*AW14</f>
        <v>0</v>
      </c>
      <c r="AX139" s="58" t="n">
        <f aca="false">AX135+($E137+$E138)*AX14</f>
        <v>0</v>
      </c>
      <c r="AY139" s="58" t="n">
        <f aca="false">AY135+($E137+$E138)*AY14</f>
        <v>0</v>
      </c>
      <c r="AZ139" s="58" t="n">
        <f aca="false">AZ135+($E137+$E138)*AZ14</f>
        <v>0</v>
      </c>
      <c r="BA139" s="58" t="n">
        <f aca="false">BA135+($E137+$E138)*BA14</f>
        <v>0</v>
      </c>
      <c r="BB139" s="58" t="n">
        <f aca="false">BB135+($E137+$E138)*BB14</f>
        <v>0</v>
      </c>
      <c r="BC139" s="58" t="n">
        <f aca="false">BC135+($E137+$E138)*BC14</f>
        <v>0</v>
      </c>
      <c r="BD139" s="58" t="n">
        <f aca="false">BD135+($E137+$E138)*BD14</f>
        <v>0</v>
      </c>
      <c r="BE139" s="58" t="n">
        <f aca="false">BE135+($E137+$E138)*BE14</f>
        <v>0</v>
      </c>
      <c r="BF139" s="58" t="n">
        <f aca="false">BF135+($E137+$E138)*BF14</f>
        <v>0</v>
      </c>
      <c r="BG139" s="58" t="n">
        <f aca="false">BG135+($E137+$E138)*BG14</f>
        <v>0</v>
      </c>
      <c r="BH139" s="58" t="n">
        <f aca="false">BH135+($E137+$E138)*BH14</f>
        <v>0</v>
      </c>
      <c r="BI139" s="58" t="n">
        <f aca="false">BI135+($E137+$E138)*BI14</f>
        <v>0</v>
      </c>
      <c r="BJ139" s="58" t="n">
        <f aca="false">BJ135+($E137+$E138)*BJ14</f>
        <v>0</v>
      </c>
      <c r="BK139" s="58" t="n">
        <f aca="false">BK135+($E137+$E138)*BK14</f>
        <v>0</v>
      </c>
      <c r="BL139" s="58" t="n">
        <f aca="false">BL135+($E137+$E138)*BL14</f>
        <v>0</v>
      </c>
      <c r="BM139" s="58" t="n">
        <f aca="false">BM135+($E137+$E138)*BM14</f>
        <v>0</v>
      </c>
      <c r="BN139" s="58" t="n">
        <f aca="false">BN135+($E137+$E138)*BN14</f>
        <v>0</v>
      </c>
      <c r="BO139" s="58" t="n">
        <f aca="false">BO135+($E137+$E138)*BO14</f>
        <v>0</v>
      </c>
      <c r="BP139" s="58" t="n">
        <f aca="false">BP135+($E137+$E138)*BP14</f>
        <v>0</v>
      </c>
      <c r="BQ139" s="58" t="n">
        <f aca="false">BQ135+($E137+$E138)*BQ14</f>
        <v>0</v>
      </c>
      <c r="BR139" s="58" t="n">
        <f aca="false">BR135+($E137+$E138)*BR14</f>
        <v>0</v>
      </c>
      <c r="BS139" s="58" t="n">
        <f aca="false">BS135+($E137+$E138)*BS14</f>
        <v>0</v>
      </c>
      <c r="BT139" s="58" t="n">
        <f aca="false">BT135+($E137+$E138)*BT14</f>
        <v>0</v>
      </c>
      <c r="BU139" s="58" t="n">
        <f aca="false">BU135+($E137+$E138)*BU14</f>
        <v>0</v>
      </c>
      <c r="BV139" s="58" t="n">
        <f aca="false">BV135+($E137+$E138)*BV14</f>
        <v>0</v>
      </c>
      <c r="BW139" s="58" t="n">
        <f aca="false">BW135+($E137+$E138)*BW14</f>
        <v>0</v>
      </c>
      <c r="BX139" s="58" t="n">
        <f aca="false">BX135+($E137+$E138)*BX14</f>
        <v>0</v>
      </c>
      <c r="BY139" s="58" t="n">
        <f aca="false">BY135+($E137+$E138)*BY14</f>
        <v>0</v>
      </c>
      <c r="BZ139" s="58" t="n">
        <f aca="false">BZ135+($E137+$E138)*BZ14</f>
        <v>0</v>
      </c>
      <c r="CA139" s="58" t="n">
        <f aca="false">CA135+($E137+$E138)*CA14</f>
        <v>0</v>
      </c>
      <c r="CB139" s="58" t="n">
        <f aca="false">CB135+($E137+$E138)*CB14</f>
        <v>0</v>
      </c>
      <c r="CC139" s="58" t="n">
        <f aca="false">CC135+($E137+$E138)*CC14</f>
        <v>0</v>
      </c>
      <c r="CD139" s="58" t="n">
        <f aca="false">CD135+($E137+$E138)*CD14</f>
        <v>0</v>
      </c>
      <c r="CE139" s="58" t="n">
        <f aca="false">CE135+($E137+$E138)*CE14</f>
        <v>0</v>
      </c>
      <c r="CF139" s="58" t="n">
        <f aca="false">CF135+($E137+$E138)*CF14</f>
        <v>0</v>
      </c>
      <c r="CG139" s="58" t="n">
        <f aca="false">CG135+($E137+$E138)*CG14</f>
        <v>0</v>
      </c>
      <c r="CH139" s="58" t="n">
        <f aca="false">CH135+($E137+$E138)*CH14</f>
        <v>0</v>
      </c>
      <c r="CI139" s="58" t="n">
        <f aca="false">CI135+($E137+$E138)*CI14</f>
        <v>0</v>
      </c>
      <c r="CJ139" s="58" t="n">
        <f aca="false">CJ135+($E137+$E138)*CJ14</f>
        <v>0</v>
      </c>
      <c r="CK139" s="58" t="n">
        <f aca="false">CK135+($E137+$E138)*CK14</f>
        <v>0</v>
      </c>
      <c r="CL139" s="58" t="n">
        <f aca="false">CL135+($E137+$E138)*CL14</f>
        <v>0</v>
      </c>
      <c r="CM139" s="58" t="n">
        <f aca="false">CM135+($E137+$E138)*CM14</f>
        <v>0</v>
      </c>
      <c r="CN139" s="58" t="n">
        <f aca="false">CN135+($E137+$E138)*CN14</f>
        <v>0</v>
      </c>
      <c r="CO139" s="58" t="n">
        <f aca="false">CO135+($E137+$E138)*CO14</f>
        <v>0</v>
      </c>
      <c r="CP139" s="58" t="n">
        <f aca="false">CP135+($E137+$E138)*CP14</f>
        <v>0</v>
      </c>
      <c r="CQ139" s="58" t="n">
        <f aca="false">CQ135+($E137+$E138)*CQ14</f>
        <v>0</v>
      </c>
      <c r="CR139" s="58" t="n">
        <f aca="false">CR135+($E137+$E138)*CR14</f>
        <v>0</v>
      </c>
      <c r="CS139" s="58" t="n">
        <f aca="false">CS135+($E137+$E138)*CS14</f>
        <v>0</v>
      </c>
      <c r="CT139" s="58" t="n">
        <f aca="false">CT135+($E137+$E138)*CT14</f>
        <v>0</v>
      </c>
      <c r="CU139" s="58" t="n">
        <f aca="false">CU135+($E137+$E138)*CU14</f>
        <v>0</v>
      </c>
      <c r="CV139" s="58" t="n">
        <f aca="false">CV135+($E137+$E138)*CV14</f>
        <v>0</v>
      </c>
      <c r="CW139" s="58" t="n">
        <f aca="false">CW135+($E137+$E138)*CW14</f>
        <v>0</v>
      </c>
      <c r="CX139" s="58" t="n">
        <f aca="false">CX135+($E137+$E138)*CX14</f>
        <v>0</v>
      </c>
      <c r="CY139" s="58" t="n">
        <f aca="false">CY135+($E137+$E138)*CY14</f>
        <v>0</v>
      </c>
      <c r="CZ139" s="58" t="n">
        <f aca="false">CZ135+($E137+$E138)*CZ14</f>
        <v>0</v>
      </c>
      <c r="DA139" s="58" t="n">
        <f aca="false">DA135+($E137+$E138)*DA14</f>
        <v>0</v>
      </c>
      <c r="DB139" s="58" t="n">
        <f aca="false">DB135+($E137+$E138)*DB14</f>
        <v>0</v>
      </c>
      <c r="DC139" s="58" t="n">
        <f aca="false">DC135+($E137+$E138)*DC14</f>
        <v>0</v>
      </c>
      <c r="DD139" s="58" t="n">
        <f aca="false">DD135+($E137+$E138)*DD14</f>
        <v>0</v>
      </c>
      <c r="DE139" s="58" t="n">
        <f aca="false">DE135+($E137+$E138)*DE14</f>
        <v>0</v>
      </c>
      <c r="DF139" s="58" t="n">
        <f aca="false">DF135+($E137+$E138)*DF14</f>
        <v>0</v>
      </c>
      <c r="DG139" s="58" t="n">
        <f aca="false">DG135+($E137+$E138)*DG14</f>
        <v>0</v>
      </c>
      <c r="DH139" s="58" t="n">
        <f aca="false">DH135+($E137+$E138)*DH14</f>
        <v>0</v>
      </c>
      <c r="DI139" s="58" t="n">
        <f aca="false">DI135+($E137+$E138)*DI14</f>
        <v>0</v>
      </c>
      <c r="DJ139" s="58" t="n">
        <f aca="false">DJ135+($E137+$E138)*DJ14</f>
        <v>0</v>
      </c>
      <c r="DK139" s="58" t="n">
        <f aca="false">DK135+($E137+$E138)*DK14</f>
        <v>0</v>
      </c>
      <c r="DL139" s="58" t="n">
        <f aca="false">DL135+($E137+$E138)*DL14</f>
        <v>0</v>
      </c>
      <c r="DM139" s="58" t="n">
        <f aca="false">DM135+($E137+$E138)*DM14</f>
        <v>0</v>
      </c>
      <c r="DN139" s="58" t="n">
        <f aca="false">DN135+($E137+$E138)*DN14</f>
        <v>0</v>
      </c>
      <c r="DO139" s="58" t="n">
        <f aca="false">DO135+($E137+$E138)*DO14</f>
        <v>0</v>
      </c>
      <c r="DP139" s="58" t="n">
        <f aca="false">DP135+($E137+$E138)*DP14</f>
        <v>0</v>
      </c>
      <c r="DQ139" s="58" t="n">
        <f aca="false">DQ135+($E137+$E138)*DQ14</f>
        <v>0</v>
      </c>
      <c r="DR139" s="58" t="n">
        <f aca="false">DR135+($E137+$E138)*DR14</f>
        <v>0</v>
      </c>
      <c r="DS139" s="58" t="n">
        <f aca="false">DS135+($E137+$E138)*DS14</f>
        <v>0</v>
      </c>
      <c r="DT139" s="58" t="n">
        <f aca="false">DT135+($E137+$E138)*DT14</f>
        <v>0</v>
      </c>
      <c r="DU139" s="58" t="n">
        <f aca="false">DU135+($E137+$E138)*DU14</f>
        <v>0</v>
      </c>
      <c r="DV139" s="58" t="n">
        <f aca="false">DV135+($E137+$E138)*DV14</f>
        <v>0</v>
      </c>
      <c r="DW139" s="58" t="n">
        <f aca="false">DW135+($E137+$E138)*DW14</f>
        <v>0</v>
      </c>
      <c r="DX139" s="58" t="n">
        <f aca="false">DX135+($E137+$E138)*DX14</f>
        <v>0</v>
      </c>
      <c r="DY139" s="58" t="n">
        <f aca="false">DY135+($E137+$E138)*DY14</f>
        <v>0</v>
      </c>
      <c r="DZ139" s="58" t="n">
        <f aca="false">DZ135+($E137+$E138)*DZ14</f>
        <v>0</v>
      </c>
      <c r="EA139" s="58" t="n">
        <f aca="false">EA135+($E137+$E138)*EA14</f>
        <v>0</v>
      </c>
      <c r="EB139" s="58" t="n">
        <f aca="false">EB135+($E137+$E138)*EB14</f>
        <v>0</v>
      </c>
      <c r="EC139" s="58" t="n">
        <f aca="false">EC135+($E137+$E138)*EC14</f>
        <v>0</v>
      </c>
      <c r="ED139" s="58" t="n">
        <f aca="false">ED135+($E137+$E138)*ED14</f>
        <v>0</v>
      </c>
      <c r="EE139" s="58" t="n">
        <f aca="false">EE135+($E137+$E138)*EE14</f>
        <v>0</v>
      </c>
      <c r="EF139" s="58" t="n">
        <f aca="false">EF135+($E137+$E138)*EF14</f>
        <v>0</v>
      </c>
      <c r="EG139" s="58" t="n">
        <f aca="false">EG135+($E137+$E138)*EG14</f>
        <v>0</v>
      </c>
      <c r="EH139" s="58" t="n">
        <f aca="false">EH135+($E137+$E138)*EH14</f>
        <v>0</v>
      </c>
      <c r="EI139" s="58" t="n">
        <f aca="false">EI135+($E137+$E138)*EI14</f>
        <v>0</v>
      </c>
      <c r="EJ139" s="58" t="n">
        <f aca="false">EJ135+($E137+$E138)*EJ14</f>
        <v>0</v>
      </c>
      <c r="EK139" s="58" t="n">
        <f aca="false">EK135+($E137+$E138)*EK14</f>
        <v>0</v>
      </c>
      <c r="EL139" s="58" t="n">
        <f aca="false">EL135+($E137+$E138)*EL14</f>
        <v>0</v>
      </c>
      <c r="EM139" s="58" t="n">
        <f aca="false">EM135+($E137+$E138)*EM14</f>
        <v>0</v>
      </c>
      <c r="EN139" s="58" t="n">
        <f aca="false">EN135+($E137+$E138)*EN14</f>
        <v>0</v>
      </c>
      <c r="EO139" s="58" t="n">
        <f aca="false">EO135+($E137+$E138)*EO14</f>
        <v>0</v>
      </c>
    </row>
    <row r="140" customFormat="false" ht="15" hidden="false" customHeight="false" outlineLevel="0" collapsed="false">
      <c r="C140" s="26" t="s">
        <v>87</v>
      </c>
      <c r="D140" s="12" t="s">
        <v>27</v>
      </c>
      <c r="E140" s="34" t="n">
        <f aca="false">XIRR($J139:$EO139,$J$4:$EO$4)</f>
        <v>0.248075895436541</v>
      </c>
    </row>
    <row r="141" customFormat="false" ht="15" hidden="false" customHeight="false" outlineLevel="0" collapsed="false">
      <c r="C141" s="26" t="s">
        <v>88</v>
      </c>
      <c r="D141" s="12" t="s">
        <v>13</v>
      </c>
      <c r="E141" s="61" t="n">
        <f aca="false">($E137+$E138)/-$I135</f>
        <v>1.33026008442252</v>
      </c>
    </row>
    <row r="142" customFormat="false" ht="15" hidden="false" customHeight="false" outlineLevel="0" collapsed="false">
      <c r="C142" s="26" t="s">
        <v>89</v>
      </c>
      <c r="D142" s="12" t="s">
        <v>33</v>
      </c>
      <c r="E142" s="58" t="n">
        <f aca="false">XNPV(In_Discount_Rate,$J139:$EO139,$J$4:$EO$4)</f>
        <v>11024.4284137116</v>
      </c>
    </row>
    <row r="143" customFormat="false" ht="15" hidden="false" customHeight="false" outlineLevel="0" collapsed="false">
      <c r="A143" s="62"/>
      <c r="B143" s="62"/>
      <c r="C143" s="62" t="s">
        <v>514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62"/>
      <c r="EK143" s="62"/>
      <c r="EL143" s="62"/>
      <c r="EM143" s="62"/>
      <c r="EN143" s="62"/>
      <c r="EO143" s="62"/>
    </row>
    <row r="144" customFormat="false" ht="15" hidden="false" customHeight="false" outlineLevel="0" collapsed="false">
      <c r="C144" s="1" t="s">
        <v>515</v>
      </c>
      <c r="D144" s="12" t="s">
        <v>33</v>
      </c>
      <c r="I144" s="49" t="n">
        <f aca="false">SUM(J144:EO144)</f>
        <v>137021.972810698</v>
      </c>
      <c r="J144" s="49" t="n">
        <f aca="false">(J83+J59+J62+J117)*(J$4&gt;In_COD)-($E136+$I62)*J14</f>
        <v>-0</v>
      </c>
      <c r="K144" s="49" t="n">
        <f aca="false">(K83+K59+K62+K117)*(K$4&gt;In_COD)-($E136+$I62)*K14</f>
        <v>-0</v>
      </c>
      <c r="L144" s="49" t="n">
        <f aca="false">(L83+L59+L62+L117)*(L$4&gt;In_COD)-($E136+$I62)*L14</f>
        <v>-0</v>
      </c>
      <c r="M144" s="49" t="n">
        <f aca="false">(M83+M59+M62+M117)*(M$4&gt;In_COD)-($E136+$I62)*M14</f>
        <v>-0</v>
      </c>
      <c r="N144" s="49" t="n">
        <f aca="false">(N83+N59+N62+N117)*(N$4&gt;In_COD)-($E136+$I62)*N14</f>
        <v>-0</v>
      </c>
      <c r="O144" s="49" t="n">
        <f aca="false">(O83+O59+O62+O117)*(O$4&gt;In_COD)-($E136+$I62)*O14</f>
        <v>-0</v>
      </c>
      <c r="P144" s="49" t="n">
        <f aca="false">(P83+P59+P62+P117)*(P$4&gt;In_COD)-($E136+$I62)*P14</f>
        <v>-0</v>
      </c>
      <c r="Q144" s="49" t="n">
        <f aca="false">(Q83+Q59+Q62+Q117)*(Q$4&gt;In_COD)-($E136+$I62)*Q14</f>
        <v>-0</v>
      </c>
      <c r="R144" s="49" t="n">
        <f aca="false">(R83+R59+R62+R117)*(R$4&gt;In_COD)-($E136+$I62)*R14</f>
        <v>-0</v>
      </c>
      <c r="S144" s="49" t="n">
        <f aca="false">(S83+S59+S62+S117)*(S$4&gt;In_COD)-($E136+$I62)*S14</f>
        <v>-0</v>
      </c>
      <c r="T144" s="49" t="n">
        <f aca="false">(T83+T59+T62+T117)*(T$4&gt;In_COD)-($E136+$I62)*T14</f>
        <v>-0</v>
      </c>
      <c r="U144" s="49" t="n">
        <f aca="false">(U83+U59+U62+U117)*(U$4&gt;In_COD)-($E136+$I62)*U14</f>
        <v>-0</v>
      </c>
      <c r="V144" s="49" t="n">
        <f aca="false">(V83+V59+V62+V117)*(V$4&gt;In_COD)-($E136+$I62)*V14</f>
        <v>-0</v>
      </c>
      <c r="W144" s="49" t="n">
        <f aca="false">(W83+W59+W62+W117)*(W$4&gt;In_COD)-($E136+$I62)*W14</f>
        <v>-0</v>
      </c>
      <c r="X144" s="49" t="n">
        <f aca="false">(X83+X59+X62+X117)*(X$4&gt;In_COD)-($E136+$I62)*X14</f>
        <v>-0</v>
      </c>
      <c r="Y144" s="49" t="n">
        <f aca="false">(Y83+Y59+Y62+Y117)*(Y$4&gt;In_COD)-($E136+$I62)*Y14</f>
        <v>-134137.5</v>
      </c>
      <c r="Z144" s="49" t="n">
        <f aca="false">(Z83+Z59+Z62+Z117)*(Z$4&gt;In_COD)-($E136+$I62)*Z14</f>
        <v>2335.05033254372</v>
      </c>
      <c r="AA144" s="49" t="n">
        <f aca="false">(AA83+AA59+AA62+AA117)*(AA$4&gt;In_COD)-($E136+$I62)*AA14</f>
        <v>2299.41436071246</v>
      </c>
      <c r="AB144" s="49" t="n">
        <f aca="false">(AB83+AB59+AB62+AB117)*(AB$4&gt;In_COD)-($E136+$I62)*AB14</f>
        <v>2323.92313317548</v>
      </c>
      <c r="AC144" s="49" t="n">
        <f aca="false">(AC83+AC59+AC62+AC117)*(AC$4&gt;In_COD)-($E136+$I62)*AC14</f>
        <v>2348.425274734</v>
      </c>
      <c r="AD144" s="49" t="n">
        <f aca="false">(AD83+AD59+AD62+AD117)*(AD$4&gt;In_COD)-($E136+$I62)*AD14</f>
        <v>2340.04295072676</v>
      </c>
      <c r="AE144" s="49" t="n">
        <f aca="false">(AE83+AE59+AE62+AE117)*(AE$4&gt;In_COD)-($E136+$I62)*AE14</f>
        <v>2329.21563844265</v>
      </c>
      <c r="AF144" s="49" t="n">
        <f aca="false">(AF83+AF59+AF62+AF117)*(AF$4&gt;In_COD)-($E136+$I62)*AF14</f>
        <v>2328.65814099003</v>
      </c>
      <c r="AG144" s="49" t="n">
        <f aca="false">(AG83+AG59+AG62+AG117)*(AG$4&gt;In_COD)-($E136+$I62)*AG14</f>
        <v>2353.20900799734</v>
      </c>
      <c r="AH144" s="49" t="n">
        <f aca="false">(AH83+AH59+AH62+AH117)*(AH$4&gt;In_COD)-($E136+$I62)*AH14</f>
        <v>2344.74927872233</v>
      </c>
      <c r="AI144" s="49" t="n">
        <f aca="false">(AI83+AI59+AI62+AI117)*(AI$4&gt;In_COD)-($E136+$I62)*AI14</f>
        <v>2308.4961023672</v>
      </c>
      <c r="AJ144" s="49" t="n">
        <f aca="false">(AJ83+AJ59+AJ62+AJ117)*(AJ$4&gt;In_COD)-($E136+$I62)*AJ14</f>
        <v>2359.53947980212</v>
      </c>
      <c r="AK144" s="49" t="n">
        <f aca="false">(AK83+AK59+AK62+AK117)*(AK$4&gt;In_COD)-($E136+$I62)*AK14</f>
        <v>2351.47246760312</v>
      </c>
      <c r="AL144" s="49" t="n">
        <f aca="false">(AL83+AL59+AL62+AL117)*(AL$4&gt;In_COD)-($E136+$I62)*AL14</f>
        <v>2342.97674530338</v>
      </c>
      <c r="AM144" s="49" t="n">
        <f aca="false">(AM83+AM59+AM62+AM117)*(AM$4&gt;In_COD)-($E136+$I62)*AM14</f>
        <v>2305.64250283825</v>
      </c>
      <c r="AN144" s="49" t="n">
        <f aca="false">(AN83+AN59+AN62+AN117)*(AN$4&gt;In_COD)-($E136+$I62)*AN14</f>
        <v>2329.16125070702</v>
      </c>
      <c r="AO144" s="49" t="n">
        <f aca="false">(AO83+AO59+AO62+AO117)*(AO$4&gt;In_COD)-($E136+$I62)*AO14</f>
        <v>2352.6646048711</v>
      </c>
      <c r="AP144" s="49" t="n">
        <f aca="false">(AP83+AP59+AP62+AP117)*(AP$4&gt;In_COD)-($E136+$I62)*AP14</f>
        <v>2344.06171079721</v>
      </c>
      <c r="AQ144" s="49" t="n">
        <f aca="false">(AQ83+AQ59+AQ62+AQ117)*(AQ$4&gt;In_COD)-($E136+$I62)*AQ14</f>
        <v>2306.4012483249</v>
      </c>
      <c r="AR144" s="49" t="n">
        <f aca="false">(AR83+AR59+AR62+AR117)*(AR$4&gt;In_COD)-($E136+$I62)*AR14</f>
        <v>2329.92145569932</v>
      </c>
      <c r="AS144" s="49" t="n">
        <f aca="false">(AS83+AS59+AS62+AS117)*(AS$4&gt;In_COD)-($E136+$I62)*AS14</f>
        <v>2353.42548513158</v>
      </c>
      <c r="AT144" s="49" t="n">
        <f aca="false">(AT83+AT59+AT62+AT117)*(AT$4&gt;In_COD)-($E136+$I62)*AT14</f>
        <v>2344.71215424851</v>
      </c>
      <c r="AU144" s="49" t="n">
        <f aca="false">(AU83+AU59+AU62+AU117)*(AU$4&gt;In_COD)-($E136+$I62)*AU14</f>
        <v>2331.59652192748</v>
      </c>
      <c r="AV144" s="49" t="n">
        <f aca="false">(AV83+AV59+AV62+AV117)*(AV$4&gt;In_COD)-($E136+$I62)*AV14</f>
        <v>2330.23635129681</v>
      </c>
      <c r="AW144" s="49" t="n">
        <f aca="false">(AW83+AW59+AW62+AW117)*(AW$4&gt;In_COD)-($E136+$I62)*AW14</f>
        <v>2353.73577129689</v>
      </c>
      <c r="AX144" s="49" t="n">
        <f aca="false">(AX83+AX59+AX62+AX117)*(AX$4&gt;In_COD)-($E136+$I62)*AX14</f>
        <v>2344.9085823033</v>
      </c>
      <c r="AY144" s="49" t="n">
        <f aca="false">(AY83+AY59+AY62+AY117)*(AY$4&gt;In_COD)-($E136+$I62)*AY14</f>
        <v>2306.5788597903</v>
      </c>
      <c r="AZ144" s="49" t="n">
        <f aca="false">(AZ83+AZ59+AZ62+AZ117)*(AZ$4&gt;In_COD)-($E136+$I62)*AZ14</f>
        <v>2330.08601511344</v>
      </c>
      <c r="BA144" s="49" t="n">
        <f aca="false">(BA83+BA59+BA62+BA117)*(BA$4&gt;In_COD)-($E136+$I62)*BA14</f>
        <v>2353.5753021243</v>
      </c>
      <c r="BB144" s="49" t="n">
        <f aca="false">(BB83+BB59+BB62+BB117)*(BB$4&gt;In_COD)-($E136+$I62)*BB14</f>
        <v>2344.63066945793</v>
      </c>
      <c r="BC144" s="49" t="n">
        <f aca="false">(BC83+BC59+BC62+BC117)*(BC$4&gt;In_COD)-($E136+$I62)*BC14</f>
        <v>2305.95751372368</v>
      </c>
      <c r="BD144" s="49" t="n">
        <f aca="false">(BD83+BD59+BD62+BD117)*(BD$4&gt;In_COD)-($E136+$I62)*BD14</f>
        <v>2329.44967358217</v>
      </c>
      <c r="BE144" s="49" t="n">
        <f aca="false">(BE83+BE59+BE62+BE117)*(BE$4&gt;In_COD)-($E136+$I62)*BE14</f>
        <v>2352.92305482121</v>
      </c>
      <c r="BF144" s="49" t="n">
        <f aca="false">(BF83+BF59+BF62+BF117)*(BF$4&gt;In_COD)-($E136+$I62)*BF14</f>
        <v>2343.85722025432</v>
      </c>
      <c r="BG144" s="49" t="n">
        <f aca="false">(BG83+BG59+BG62+BG117)*(BG$4&gt;In_COD)-($E136+$I62)*BG14</f>
        <v>2304.83448533295</v>
      </c>
      <c r="BH144" s="49" t="n">
        <f aca="false">(BH83+BH59+BH62+BH117)*(BH$4&gt;In_COD)-($E136+$I62)*BH14</f>
        <v>2328.30566324847</v>
      </c>
      <c r="BI144" s="49" t="n">
        <f aca="false">(BI83+BI59+BI62+BI117)*(BI$4&gt;In_COD)-($E136+$I62)*BI14</f>
        <v>2351.75710586145</v>
      </c>
      <c r="BJ144" s="49" t="n">
        <f aca="false">(BJ83+BJ59+BJ62+BJ117)*(BJ$4&gt;In_COD)-($E136+$I62)*BJ14</f>
        <v>2342.56612966558</v>
      </c>
      <c r="BK144" s="49" t="n">
        <f aca="false">(BK83+BK59+BK62+BK117)*(BK$4&gt;In_COD)-($E136+$I62)*BK14</f>
        <v>2328.29064814514</v>
      </c>
      <c r="BL144" s="49" t="n">
        <f aca="false">(BL83+BL59+BL62+BL117)*(BL$4&gt;In_COD)-($E136+$I62)*BL14</f>
        <v>2326.63139020971</v>
      </c>
      <c r="BM144" s="49" t="n">
        <f aca="false">(BM83+BM59+BM62+BM117)*(BM$4&gt;In_COD)-($E136+$I62)*BM14</f>
        <v>2350.05458992468</v>
      </c>
      <c r="BN144" s="49" t="n">
        <f aca="false">(BN83+BN59+BN62+BN117)*(BN$4&gt;In_COD)-($E136+$I62)*BN14</f>
        <v>2340.73434158255</v>
      </c>
      <c r="BO144" s="49" t="n">
        <f aca="false">(BO83+BO59+BO62+BO117)*(BO$4&gt;In_COD)-($E136+$I62)*BO14</f>
        <v>2300.99312098471</v>
      </c>
      <c r="BP144" s="49" t="n">
        <f aca="false">(BP83+BP59+BP62+BP117)*(BP$4&gt;In_COD)-($E136+$I62)*BP14</f>
        <v>2324.40328760908</v>
      </c>
      <c r="BQ144" s="49" t="n">
        <f aca="false">(BQ83+BQ59+BQ62+BQ117)*(BQ$4&gt;In_COD)-($E136+$I62)*BQ14</f>
        <v>2347.79165686608</v>
      </c>
      <c r="BR144" s="49" t="n">
        <f aca="false">(BR83+BR59+BR62+BR117)*(BR$4&gt;In_COD)-($E136+$I62)*BR14</f>
        <v>2338.33780530757</v>
      </c>
      <c r="BS144" s="49" t="n">
        <f aca="false">(BS83+BS59+BS62+BS117)*(BS$4&gt;In_COD)-($E136+$I62)*BS14</f>
        <v>2298.22720771513</v>
      </c>
      <c r="BT144" s="49" t="n">
        <f aca="false">(BT83+BT59+BT62+BT117)*(BT$4&gt;In_COD)-($E136+$I62)*BT14</f>
        <v>2321.59677108785</v>
      </c>
      <c r="BU144" s="49" t="n">
        <f aca="false">(BU83+BU59+BU62+BU117)*(BU$4&gt;In_COD)-($E136+$I62)*BU14</f>
        <v>2344.94342661896</v>
      </c>
      <c r="BV144" s="49" t="n">
        <f aca="false">(BV83+BV59+BV62+BV117)*(BV$4&gt;In_COD)-($E136+$I62)*BV14</f>
        <v>2335.35142995684</v>
      </c>
      <c r="BW144" s="49" t="n">
        <f aca="false">(BW83+BW59+BW62+BW117)*(BW$4&gt;In_COD)-($E136+$I62)*BW14</f>
        <v>2294.86436737233</v>
      </c>
      <c r="BX144" s="49" t="n">
        <f aca="false">(BX83+BX59+BX62+BX117)*(BX$4&gt;In_COD)-($E136+$I62)*BX14</f>
        <v>2318.18619209494</v>
      </c>
      <c r="BY144" s="49" t="n">
        <f aca="false">(BY83+BY59+BY62+BY117)*(BY$4&gt;In_COD)-($E136+$I62)*BY14</f>
        <v>2341.48394192824</v>
      </c>
      <c r="BZ144" s="49" t="n">
        <f aca="false">(BZ83+BZ59+BZ62+BZ117)*(BZ$4&gt;In_COD)-($E136+$I62)*BZ14</f>
        <v>2331.74903666808</v>
      </c>
      <c r="CA144" s="49" t="n">
        <f aca="false">(CA83+CA59+CA62+CA117)*(CA$4&gt;In_COD)-($E136+$I62)*CA14</f>
        <v>2316.16890036023</v>
      </c>
      <c r="CB144" s="49" t="n">
        <f aca="false">(CB83+CB59+CB62+CB117)*(CB$4&gt;In_COD)-($E136+$I62)*CB14</f>
        <v>2314.14478894785</v>
      </c>
      <c r="CC144" s="49" t="n">
        <f aca="false">(CC83+CC59+CC62+CC117)*(CC$4&gt;In_COD)-($E136+$I62)*CC14</f>
        <v>2337.38611880721</v>
      </c>
      <c r="CD144" s="49" t="n">
        <f aca="false">(CD83+CD59+CD62+CD117)*(CD$4&gt;In_COD)-($E136+$I62)*CD14</f>
        <v>2327.50330850459</v>
      </c>
      <c r="CE144" s="49" t="n">
        <f aca="false">(CE83+CE59+CE62+CE117)*(CE$4&gt;In_COD)-($E136+$I62)*CE14</f>
        <v>2286.24098608149</v>
      </c>
      <c r="CF144" s="49" t="n">
        <f aca="false">(CF83+CF59+CF62+CF117)*(CF$4&gt;In_COD)-($E136+$I62)*CF14</f>
        <v>2309.44463553358</v>
      </c>
      <c r="CG144" s="49" t="n">
        <f aca="false">(CG83+CG59+CG62+CG117)*(CG$4&gt;In_COD)-($E136+$I62)*CG14</f>
        <v>2332.62169460504</v>
      </c>
      <c r="CH144" s="49" t="n">
        <f aca="false">(CH83+CH59+CH62+CH117)*(CH$4&gt;In_COD)-($E136+$I62)*CH14</f>
        <v>2322.58573794189</v>
      </c>
      <c r="CI144" s="49" t="n">
        <f aca="false">(CI83+CI59+CI62+CI117)*(CI$4&gt;In_COD)-($E136+$I62)*CI14</f>
        <v>2283.1320593481</v>
      </c>
      <c r="CJ144" s="49" t="n">
        <f aca="false">(CJ83+CJ59+CJ62+CJ117)*(CJ$4&gt;In_COD)-($E136+$I62)*CJ14</f>
        <v>2308.50019334086</v>
      </c>
      <c r="CK144" s="49" t="n">
        <f aca="false">(CK83+CK59+CK62+CK117)*(CK$4&gt;In_COD)-($E136+$I62)*CK14</f>
        <v>2333.86832733361</v>
      </c>
      <c r="CL144" s="49" t="n">
        <f aca="false">(CL83+CL59+CL62+CL117)*(CL$4&gt;In_COD)-($E136+$I62)*CL14</f>
        <v>2325.96556789213</v>
      </c>
      <c r="CM144" s="49" t="n">
        <f aca="false">(CM83+CM59+CM62+CM117)*(CM$4&gt;In_COD)-($E136+$I62)*CM14</f>
        <v>2286.21680003197</v>
      </c>
      <c r="CN144" s="49" t="n">
        <f aca="false">(CN83+CN59+CN62+CN117)*(CN$4&gt;In_COD)-($E136+$I62)*CN14</f>
        <v>2311.61920892122</v>
      </c>
      <c r="CO144" s="49" t="n">
        <f aca="false">(CO83+CO59+CO62+CO117)*(CO$4&gt;In_COD)-($E136+$I62)*CO14</f>
        <v>2337.02161781046</v>
      </c>
      <c r="CP144" s="49" t="n">
        <f aca="false">(CP83+CP59+CP62+CP117)*(CP$4&gt;In_COD)-($E136+$I62)*CP14</f>
        <v>2329.07120265089</v>
      </c>
      <c r="CQ144" s="49" t="n">
        <f aca="false">(CQ83+CQ59+CQ62+CQ117)*(CQ$4&gt;In_COD)-($E136+$I62)*CQ14</f>
        <v>2314.45814836636</v>
      </c>
      <c r="CR144" s="49" t="n">
        <f aca="false">(CR83+CR59+CR62+CR117)*(CR$4&gt;In_COD)-($E136+$I62)*CR14</f>
        <v>2314.45814836636</v>
      </c>
      <c r="CS144" s="49" t="n">
        <f aca="false">(CS83+CS59+CS62+CS117)*(CS$4&gt;In_COD)-($E136+$I62)*CS14</f>
        <v>2339.89175439236</v>
      </c>
      <c r="CT144" s="49" t="n">
        <f aca="false">(CT83+CT59+CT62+CT117)*(CT$4&gt;In_COD)-($E136+$I62)*CT14</f>
        <v>2331.89357808024</v>
      </c>
      <c r="CU144" s="49" t="n">
        <f aca="false">(CU83+CU59+CU62+CU117)*(CU$4&gt;In_COD)-($E136+$I62)*CU14</f>
        <v>2291.54618297149</v>
      </c>
      <c r="CV144" s="49" t="n">
        <f aca="false">(CV83+CV59+CV62+CV117)*(CV$4&gt;In_COD)-($E136+$I62)*CV14</f>
        <v>2317.00780722673</v>
      </c>
      <c r="CW144" s="49" t="n">
        <f aca="false">(CW83+CW59+CW62+CW117)*(CW$4&gt;In_COD)-($E136+$I62)*CW14</f>
        <v>2342.46943148197</v>
      </c>
      <c r="CX144" s="49" t="n">
        <f aca="false">(CX83+CX59+CX62+CX117)*(CX$4&gt;In_COD)-($E136+$I62)*CX14</f>
        <v>2334.42339262719</v>
      </c>
      <c r="CY144" s="49" t="n">
        <f aca="false">(CY83+CY59+CY62+CY117)*(CY$4&gt;In_COD)-($E136+$I62)*CY14</f>
        <v>2293.77238046278</v>
      </c>
      <c r="CZ144" s="49" t="n">
        <f aca="false">(CZ83+CZ59+CZ62+CZ117)*(CZ$4&gt;In_COD)-($E136+$I62)*CZ14</f>
        <v>2319.2587402457</v>
      </c>
      <c r="DA144" s="49" t="n">
        <f aca="false">(DA83+DA59+DA62+DA117)*(DA$4&gt;In_COD)-($E136+$I62)*DA14</f>
        <v>2344.74510002862</v>
      </c>
      <c r="DB144" s="49" t="n">
        <f aca="false">(DB83+DB59+DB62+DB117)*(DB$4&gt;In_COD)-($E136+$I62)*DB14</f>
        <v>2127.75796595667</v>
      </c>
      <c r="DC144" s="49" t="n">
        <f aca="false">(DC83+DC59+DC62+DC117)*(DC$4&gt;In_COD)-($E136+$I62)*DC14</f>
        <v>2091.34156892558</v>
      </c>
      <c r="DD144" s="49" t="n">
        <f aca="false">(DD83+DD59+DD62+DD117)*(DD$4&gt;In_COD)-($E136+$I62)*DD14</f>
        <v>2114.5786974692</v>
      </c>
      <c r="DE144" s="49" t="n">
        <f aca="false">(DE83+DE59+DE62+DE117)*(DE$4&gt;In_COD)-($E136+$I62)*DE14</f>
        <v>2137.81582601281</v>
      </c>
      <c r="DF144" s="49" t="n">
        <f aca="false">(DF83+DF59+DF62+DF117)*(DF$4&gt;In_COD)-($E136+$I62)*DF14</f>
        <v>2129.67377475099</v>
      </c>
      <c r="DG144" s="49" t="n">
        <f aca="false">(DG83+DG59+DG62+DG117)*(DG$4&gt;In_COD)-($E136+$I62)*DG14</f>
        <v>2116.20284972323</v>
      </c>
      <c r="DH144" s="49" t="n">
        <f aca="false">(DH83+DH59+DH62+DH117)*(DH$4&gt;In_COD)-($E136+$I62)*DH14</f>
        <v>2116.20284972323</v>
      </c>
      <c r="DI144" s="49" t="n">
        <f aca="false">(DI83+DI59+DI62+DI117)*(DI$4&gt;In_COD)-($E136+$I62)*DI14</f>
        <v>2139.45782609381</v>
      </c>
      <c r="DJ144" s="49" t="n">
        <f aca="false">(DJ83+DJ59+DJ62+DJ117)*(DJ$4&gt;In_COD)-($E136+$I62)*DJ14</f>
        <v>2131.26763373715</v>
      </c>
      <c r="DK144" s="49" t="n">
        <f aca="false">(DK83+DK59+DK62+DK117)*(DK$4&gt;In_COD)-($E136+$I62)*DK14</f>
        <v>2094.22922134031</v>
      </c>
      <c r="DL144" s="49" t="n">
        <f aca="false">(DL83+DL59+DL62+DL117)*(DL$4&gt;In_COD)-($E136+$I62)*DL14</f>
        <v>2117.49843491076</v>
      </c>
      <c r="DM144" s="49" t="n">
        <f aca="false">(DM83+DM59+DM62+DM117)*(DM$4&gt;In_COD)-($E136+$I62)*DM14</f>
        <v>2140.76764848121</v>
      </c>
      <c r="DN144" s="49" t="n">
        <f aca="false">(DN83+DN59+DN62+DN117)*(DN$4&gt;In_COD)-($E136+$I62)*DN14</f>
        <v>2132.52923118543</v>
      </c>
      <c r="DO144" s="49" t="n">
        <f aca="false">(DO83+DO59+DO62+DO117)*(DO$4&gt;In_COD)-($E136+$I62)*DO14</f>
        <v>2095.17525809415</v>
      </c>
      <c r="DP144" s="49" t="n">
        <f aca="false">(DP83+DP59+DP62+DP117)*(DP$4&gt;In_COD)-($E136+$I62)*DP14</f>
        <v>2118.45498318408</v>
      </c>
      <c r="DQ144" s="49" t="n">
        <f aca="false">(DQ83+DQ59+DQ62+DQ117)*(DQ$4&gt;In_COD)-($E136+$I62)*DQ14</f>
        <v>2141.73470827402</v>
      </c>
      <c r="DR144" s="49" t="n">
        <f aca="false">(DR83+DR59+DR62+DR117)*(DR$4&gt;In_COD)-($E136+$I62)*DR14</f>
        <v>2133.4479869401</v>
      </c>
      <c r="DS144" s="49" t="n">
        <f aca="false">(DS83+DS59+DS62+DS117)*(DS$4&gt;In_COD)-($E136+$I62)*DS14</f>
        <v>2095.77535956</v>
      </c>
      <c r="DT144" s="49" t="n">
        <f aca="false">(DT83+DT59+DT62+DT117)*(DT$4&gt;In_COD)-($E136+$I62)*DT14</f>
        <v>2119.061752444</v>
      </c>
      <c r="DU144" s="49" t="n">
        <f aca="false">(DU83+DU59+DU62+DU117)*(DU$4&gt;In_COD)-($E136+$I62)*DU14</f>
        <v>2142.348145328</v>
      </c>
      <c r="DV144" s="49" t="n">
        <f aca="false">(DV83+DV59+DV62+DV117)*(DV$4&gt;In_COD)-($E136+$I62)*DV14</f>
        <v>2134.01304575269</v>
      </c>
      <c r="DW144" s="49" t="n">
        <f aca="false">(DW83+DW59+DW62+DW117)*(DW$4&gt;In_COD)-($E136+$I62)*DW14</f>
        <v>2119.30772157993</v>
      </c>
      <c r="DX144" s="49" t="n">
        <f aca="false">(DX83+DX59+DX62+DX117)*(DX$4&gt;In_COD)-($E136+$I62)*DX14</f>
        <v>2119.30772157993</v>
      </c>
      <c r="DY144" s="49" t="n">
        <f aca="false">(DY83+DY59+DY62+DY117)*(DY$4&gt;In_COD)-($E136+$I62)*DY14</f>
        <v>2142.59681742147</v>
      </c>
      <c r="DZ144" s="49" t="n">
        <f aca="false">(DZ83+DZ59+DZ62+DZ117)*(DZ$4&gt;In_COD)-($E136+$I62)*DZ14</f>
        <v>2134.2132704514</v>
      </c>
      <c r="EA144" s="49" t="n">
        <f aca="false">(EA83+EA59+EA62+EA117)*(EA$4&gt;In_COD)-($E136+$I62)*EA14</f>
        <v>2095.89387383467</v>
      </c>
      <c r="EB144" s="49" t="n">
        <f aca="false">(EB83+EB59+EB62+EB117)*(EB$4&gt;In_COD)-($E136+$I62)*EB14</f>
        <v>2119.18158354395</v>
      </c>
      <c r="EC144" s="49" t="n">
        <f aca="false">(EC83+EC59+EC62+EC117)*(EC$4&gt;In_COD)-($E136+$I62)*EC14</f>
        <v>2142.46929325322</v>
      </c>
      <c r="ED144" s="49" t="n">
        <f aca="false">(ED83+ED59+ED62+ED117)*(ED$4&gt;In_COD)-($E136+$I62)*ED14</f>
        <v>2134.03723494271</v>
      </c>
      <c r="EE144" s="49" t="n">
        <f aca="false">(EE83+EE59+EE62+EE117)*(EE$4&gt;In_COD)-($E136+$I62)*EE14</f>
        <v>2095.38963124086</v>
      </c>
      <c r="EF144" s="49" t="n">
        <f aca="false">(EF83+EF59+EF62+EF117)*(EF$4&gt;In_COD)-($E136+$I62)*EF14</f>
        <v>2118.67173825464</v>
      </c>
      <c r="EG144" s="49" t="n">
        <f aca="false">(EG83+EG59+EG62+EG117)*(EG$4&gt;In_COD)-($E136+$I62)*EG14</f>
        <v>2141.95384526843</v>
      </c>
      <c r="EH144" s="49" t="n">
        <f aca="false">(EH83+EH59+EH62+EH117)*(EH$4&gt;In_COD)-($E136+$I62)*EH14</f>
        <v>2133.4732170411</v>
      </c>
      <c r="EI144" s="49" t="n">
        <f aca="false">(EI83+EI59+EI62+EI117)*(EI$4&gt;In_COD)-($E136+$I62)*EI14</f>
        <v>2094.49412834513</v>
      </c>
      <c r="EJ144" s="49" t="n">
        <f aca="false">(EJ83+EJ59+EJ62+EJ117)*(EJ$4&gt;In_COD)-($E136+$I62)*EJ14</f>
        <v>2117.76628532674</v>
      </c>
      <c r="EK144" s="49" t="n">
        <f aca="false">(EK83+EK59+EK62+EK117)*(EK$4&gt;In_COD)-($E136+$I62)*EK14</f>
        <v>2141.03844230835</v>
      </c>
      <c r="EL144" s="49" t="n">
        <f aca="false">(EL83+EL59+EL62+EL117)*(EL$4&gt;In_COD)-($E136+$I62)*EL14</f>
        <v>2132.50919112262</v>
      </c>
      <c r="EM144" s="49" t="n">
        <f aca="false">(EM83+EM59+EM62+EM117)*(EM$4&gt;In_COD)-($E136+$I62)*EM14</f>
        <v>2116.45301662203</v>
      </c>
      <c r="EN144" s="49" t="n">
        <f aca="false">(EN83+EN59+EN62+EN117)*(EN$4&gt;In_COD)-($E136+$I62)*EN14</f>
        <v>2116.45301662203</v>
      </c>
      <c r="EO144" s="49" t="n">
        <f aca="false">(EO83+EO59+EO62+EO117)*(EO$4&gt;In_COD)-($E136+$I62)*EO14</f>
        <v>2139.71074207941</v>
      </c>
    </row>
    <row r="145" customFormat="false" ht="15" hidden="false" customHeight="false" outlineLevel="0" collapsed="false">
      <c r="C145" s="26" t="s">
        <v>127</v>
      </c>
      <c r="D145" s="12" t="s">
        <v>27</v>
      </c>
      <c r="E145" s="34" t="n">
        <f aca="false">XIRR(INDEX($J144:$EO144,$E15):$EO144,INDEX($J$4:$EO$4,$E15):$EO$4)</f>
        <v>0.0562961227328924</v>
      </c>
    </row>
    <row r="146" customFormat="false" ht="15" hidden="false" customHeight="false" outlineLevel="0" collapsed="false">
      <c r="C146" s="1" t="s">
        <v>516</v>
      </c>
      <c r="D146" s="12" t="s">
        <v>33</v>
      </c>
      <c r="I146" s="49" t="n">
        <f aca="false">SUM(J146:EO146)</f>
        <v>115865.880454212</v>
      </c>
      <c r="J146" s="49" t="n">
        <f aca="false">J144+J98+J106+$E103*J14</f>
        <v>0</v>
      </c>
      <c r="K146" s="49" t="n">
        <f aca="false">K144+K98+K106+$E103*K14</f>
        <v>0</v>
      </c>
      <c r="L146" s="49" t="n">
        <f aca="false">L144+L98+L106+$E103*L14</f>
        <v>0</v>
      </c>
      <c r="M146" s="49" t="n">
        <f aca="false">M144+M98+M106+$E103*M14</f>
        <v>0</v>
      </c>
      <c r="N146" s="49" t="n">
        <f aca="false">N144+N98+N106+$E103*N14</f>
        <v>0</v>
      </c>
      <c r="O146" s="49" t="n">
        <f aca="false">O144+O98+O106+$E103*O14</f>
        <v>0</v>
      </c>
      <c r="P146" s="49" t="n">
        <f aca="false">P144+P98+P106+$E103*P14</f>
        <v>0</v>
      </c>
      <c r="Q146" s="49" t="n">
        <f aca="false">Q144+Q98+Q106+$E103*Q14</f>
        <v>0</v>
      </c>
      <c r="R146" s="49" t="n">
        <f aca="false">R144+R98+R106+$E103*R14</f>
        <v>0</v>
      </c>
      <c r="S146" s="49" t="n">
        <f aca="false">S144+S98+S106+$E103*S14</f>
        <v>0</v>
      </c>
      <c r="T146" s="49" t="n">
        <f aca="false">T144+T98+T106+$E103*T14</f>
        <v>0</v>
      </c>
      <c r="U146" s="49" t="n">
        <f aca="false">U144+U98+U106+$E103*U14</f>
        <v>0</v>
      </c>
      <c r="V146" s="49" t="n">
        <f aca="false">V144+V98+V106+$E103*V14</f>
        <v>0</v>
      </c>
      <c r="W146" s="49" t="n">
        <f aca="false">W144+W98+W106+$E103*W14</f>
        <v>0</v>
      </c>
      <c r="X146" s="49" t="n">
        <f aca="false">X144+X98+X106+$E103*X14</f>
        <v>0</v>
      </c>
      <c r="Y146" s="49" t="n">
        <f aca="false">Y144+Y98+Y106+$E103*Y14</f>
        <v>-85815.1015392748</v>
      </c>
      <c r="Z146" s="49" t="n">
        <f aca="false">Z144+Z98+Z106+$E103*Z14</f>
        <v>1157.44879326896</v>
      </c>
      <c r="AA146" s="49" t="n">
        <f aca="false">AA144+AA98+AA106+$E103*AA14</f>
        <v>1121.8128214377</v>
      </c>
      <c r="AB146" s="49" t="n">
        <f aca="false">AB144+AB98+AB106+$E103*AB14</f>
        <v>1146.32159390072</v>
      </c>
      <c r="AC146" s="49" t="n">
        <f aca="false">AC144+AC98+AC106+$E103*AC14</f>
        <v>1170.82373545924</v>
      </c>
      <c r="AD146" s="49" t="n">
        <f aca="false">AD144+AD98+AD106+$E103*AD14</f>
        <v>1162.441411452</v>
      </c>
      <c r="AE146" s="49" t="n">
        <f aca="false">AE144+AE98+AE106+$E103*AE14</f>
        <v>1151.6140991679</v>
      </c>
      <c r="AF146" s="49" t="n">
        <f aca="false">AF144+AF98+AF106+$E103*AF14</f>
        <v>1151.05660171527</v>
      </c>
      <c r="AG146" s="49" t="n">
        <f aca="false">AG144+AG98+AG106+$E103*AG14</f>
        <v>1175.60746872259</v>
      </c>
      <c r="AH146" s="49" t="n">
        <f aca="false">AH144+AH98+AH106+$E103*AH14</f>
        <v>1167.14773944757</v>
      </c>
      <c r="AI146" s="49" t="n">
        <f aca="false">AI144+AI98+AI106+$E103*AI14</f>
        <v>1130.89456309244</v>
      </c>
      <c r="AJ146" s="49" t="n">
        <f aca="false">AJ144+AJ98+AJ106+$E103*AJ14</f>
        <v>1181.93794052737</v>
      </c>
      <c r="AK146" s="49" t="n">
        <f aca="false">AK144+AK98+AK106+$E103*AK14</f>
        <v>1173.87092832837</v>
      </c>
      <c r="AL146" s="49" t="n">
        <f aca="false">AL144+AL98+AL106+$E103*AL14</f>
        <v>1165.37520602863</v>
      </c>
      <c r="AM146" s="49" t="n">
        <f aca="false">AM144+AM98+AM106+$E103*AM14</f>
        <v>1128.04096356349</v>
      </c>
      <c r="AN146" s="49" t="n">
        <f aca="false">AN144+AN98+AN106+$E103*AN14</f>
        <v>1151.55971143226</v>
      </c>
      <c r="AO146" s="49" t="n">
        <f aca="false">AO144+AO98+AO106+$E103*AO14</f>
        <v>1175.06306559634</v>
      </c>
      <c r="AP146" s="49" t="n">
        <f aca="false">AP144+AP98+AP106+$E103*AP14</f>
        <v>1166.46017152246</v>
      </c>
      <c r="AQ146" s="49" t="n">
        <f aca="false">AQ144+AQ98+AQ106+$E103*AQ14</f>
        <v>1128.79970905014</v>
      </c>
      <c r="AR146" s="49" t="n">
        <f aca="false">AR144+AR98+AR106+$E103*AR14</f>
        <v>1152.31991642457</v>
      </c>
      <c r="AS146" s="49" t="n">
        <f aca="false">AS144+AS98+AS106+$E103*AS14</f>
        <v>1175.82394585683</v>
      </c>
      <c r="AT146" s="49" t="n">
        <f aca="false">AT144+AT98+AT106+$E103*AT14</f>
        <v>1167.11061497375</v>
      </c>
      <c r="AU146" s="49" t="n">
        <f aca="false">AU144+AU98+AU106+$E103*AU14</f>
        <v>1153.99498265272</v>
      </c>
      <c r="AV146" s="49" t="n">
        <f aca="false">AV144+AV98+AV106+$E103*AV14</f>
        <v>1152.63481202206</v>
      </c>
      <c r="AW146" s="49" t="n">
        <f aca="false">AW144+AW98+AW106+$E103*AW14</f>
        <v>1176.13423202213</v>
      </c>
      <c r="AX146" s="49" t="n">
        <f aca="false">AX144+AX98+AX106+$E103*AX14</f>
        <v>1167.30704302855</v>
      </c>
      <c r="AY146" s="49" t="n">
        <f aca="false">AY144+AY98+AY106+$E103*AY14</f>
        <v>1128.97732051555</v>
      </c>
      <c r="AZ146" s="49" t="n">
        <f aca="false">AZ144+AZ98+AZ106+$E103*AZ14</f>
        <v>1152.48447583868</v>
      </c>
      <c r="BA146" s="49" t="n">
        <f aca="false">BA144+BA98+BA106+$E103*BA14</f>
        <v>1175.97376284954</v>
      </c>
      <c r="BB146" s="49" t="n">
        <f aca="false">BB144+BB98+BB106+$E103*BB14</f>
        <v>1167.02913018317</v>
      </c>
      <c r="BC146" s="49" t="n">
        <f aca="false">BC144+BC98+BC106+$E103*BC14</f>
        <v>1128.35597444892</v>
      </c>
      <c r="BD146" s="49" t="n">
        <f aca="false">BD144+BD98+BD106+$E103*BD14</f>
        <v>1151.84813430742</v>
      </c>
      <c r="BE146" s="49" t="n">
        <f aca="false">BE144+BE98+BE106+$E103*BE14</f>
        <v>1175.32151554645</v>
      </c>
      <c r="BF146" s="49" t="n">
        <f aca="false">BF144+BF98+BF106+$E103*BF14</f>
        <v>1166.25568097956</v>
      </c>
      <c r="BG146" s="49" t="n">
        <f aca="false">BG144+BG98+BG106+$E103*BG14</f>
        <v>1127.23294605819</v>
      </c>
      <c r="BH146" s="49" t="n">
        <f aca="false">BH144+BH98+BH106+$E103*BH14</f>
        <v>1150.70412397372</v>
      </c>
      <c r="BI146" s="49" t="n">
        <f aca="false">BI144+BI98+BI106+$E103*BI14</f>
        <v>1174.15556658669</v>
      </c>
      <c r="BJ146" s="49" t="n">
        <f aca="false">BJ144+BJ98+BJ106+$E103*BJ14</f>
        <v>1164.96459039082</v>
      </c>
      <c r="BK146" s="49" t="n">
        <f aca="false">BK144+BK98+BK106+$E103*BK14</f>
        <v>1150.68910887039</v>
      </c>
      <c r="BL146" s="49" t="n">
        <f aca="false">BL144+BL98+BL106+$E103*BL14</f>
        <v>1149.02985093495</v>
      </c>
      <c r="BM146" s="49" t="n">
        <f aca="false">BM144+BM98+BM106+$E103*BM14</f>
        <v>1172.45305064993</v>
      </c>
      <c r="BN146" s="49" t="n">
        <f aca="false">BN144+BN98+BN106+$E103*BN14</f>
        <v>1163.1328023078</v>
      </c>
      <c r="BO146" s="49" t="n">
        <f aca="false">BO144+BO98+BO106+$E103*BO14</f>
        <v>1123.39158170995</v>
      </c>
      <c r="BP146" s="49" t="n">
        <f aca="false">BP144+BP98+BP106+$E103*BP14</f>
        <v>1146.80174833432</v>
      </c>
      <c r="BQ146" s="49" t="n">
        <f aca="false">BQ144+BQ98+BQ106+$E103*BQ14</f>
        <v>1170.19011759132</v>
      </c>
      <c r="BR146" s="49" t="n">
        <f aca="false">BR144+BR98+BR106+$E103*BR14</f>
        <v>1160.73626603281</v>
      </c>
      <c r="BS146" s="49" t="n">
        <f aca="false">BS144+BS98+BS106+$E103*BS14</f>
        <v>1120.62566844038</v>
      </c>
      <c r="BT146" s="49" t="n">
        <f aca="false">BT144+BT98+BT106+$E103*BT14</f>
        <v>1143.99523181309</v>
      </c>
      <c r="BU146" s="49" t="n">
        <f aca="false">BU144+BU98+BU106+$E103*BU14</f>
        <v>1167.34188734421</v>
      </c>
      <c r="BV146" s="49" t="n">
        <f aca="false">BV144+BV98+BV106+$E103*BV14</f>
        <v>1157.74989068209</v>
      </c>
      <c r="BW146" s="49" t="n">
        <f aca="false">BW144+BW98+BW106+$E103*BW14</f>
        <v>1117.26282809757</v>
      </c>
      <c r="BX146" s="49" t="n">
        <f aca="false">BX144+BX98+BX106+$E103*BX14</f>
        <v>1140.58465282018</v>
      </c>
      <c r="BY146" s="49" t="n">
        <f aca="false">BY144+BY98+BY106+$E103*BY14</f>
        <v>1163.88240265348</v>
      </c>
      <c r="BZ146" s="49" t="n">
        <f aca="false">BZ144+BZ98+BZ106+$E103*BZ14</f>
        <v>1154.14749739332</v>
      </c>
      <c r="CA146" s="49" t="n">
        <f aca="false">CA144+CA98+CA106+$E103*CA14</f>
        <v>1138.56736108547</v>
      </c>
      <c r="CB146" s="49" t="n">
        <f aca="false">CB144+CB98+CB106+$E103*CB14</f>
        <v>1136.54324967309</v>
      </c>
      <c r="CC146" s="49" t="n">
        <f aca="false">CC144+CC98+CC106+$E103*CC14</f>
        <v>1159.78457953245</v>
      </c>
      <c r="CD146" s="49" t="n">
        <f aca="false">CD144+CD98+CD106+$E103*CD14</f>
        <v>1149.90176922983</v>
      </c>
      <c r="CE146" s="49" t="n">
        <f aca="false">CE144+CE98+CE106+$E103*CE14</f>
        <v>1108.63944680673</v>
      </c>
      <c r="CF146" s="49" t="n">
        <f aca="false">CF144+CF98+CF106+$E103*CF14</f>
        <v>1131.84309625882</v>
      </c>
      <c r="CG146" s="49" t="n">
        <f aca="false">CG144+CG98+CG106+$E103*CG14</f>
        <v>2332.62169460504</v>
      </c>
      <c r="CH146" s="49" t="n">
        <f aca="false">CH144+CH98+CH106+$E103*CH14</f>
        <v>2322.58573794189</v>
      </c>
      <c r="CI146" s="49" t="n">
        <f aca="false">CI144+CI98+CI106+$E103*CI14</f>
        <v>2283.1320593481</v>
      </c>
      <c r="CJ146" s="49" t="n">
        <f aca="false">CJ144+CJ98+CJ106+$E103*CJ14</f>
        <v>2308.50019334086</v>
      </c>
      <c r="CK146" s="49" t="n">
        <f aca="false">CK144+CK98+CK106+$E103*CK14</f>
        <v>2333.86832733361</v>
      </c>
      <c r="CL146" s="49" t="n">
        <f aca="false">CL144+CL98+CL106+$E103*CL14</f>
        <v>2325.96556789213</v>
      </c>
      <c r="CM146" s="49" t="n">
        <f aca="false">CM144+CM98+CM106+$E103*CM14</f>
        <v>2286.21680003197</v>
      </c>
      <c r="CN146" s="49" t="n">
        <f aca="false">CN144+CN98+CN106+$E103*CN14</f>
        <v>2311.61920892122</v>
      </c>
      <c r="CO146" s="49" t="n">
        <f aca="false">CO144+CO98+CO106+$E103*CO14</f>
        <v>2337.02161781046</v>
      </c>
      <c r="CP146" s="49" t="n">
        <f aca="false">CP144+CP98+CP106+$E103*CP14</f>
        <v>2329.07120265089</v>
      </c>
      <c r="CQ146" s="49" t="n">
        <f aca="false">CQ144+CQ98+CQ106+$E103*CQ14</f>
        <v>2314.45814836636</v>
      </c>
      <c r="CR146" s="49" t="n">
        <f aca="false">CR144+CR98+CR106+$E103*CR14</f>
        <v>2314.45814836636</v>
      </c>
      <c r="CS146" s="49" t="n">
        <f aca="false">CS144+CS98+CS106+$E103*CS14</f>
        <v>2339.89175439236</v>
      </c>
      <c r="CT146" s="49" t="n">
        <f aca="false">CT144+CT98+CT106+$E103*CT14</f>
        <v>2331.89357808024</v>
      </c>
      <c r="CU146" s="49" t="n">
        <f aca="false">CU144+CU98+CU106+$E103*CU14</f>
        <v>2291.54618297149</v>
      </c>
      <c r="CV146" s="49" t="n">
        <f aca="false">CV144+CV98+CV106+$E103*CV14</f>
        <v>2317.00780722673</v>
      </c>
      <c r="CW146" s="49" t="n">
        <f aca="false">CW144+CW98+CW106+$E103*CW14</f>
        <v>2342.46943148197</v>
      </c>
      <c r="CX146" s="49" t="n">
        <f aca="false">CX144+CX98+CX106+$E103*CX14</f>
        <v>2334.42339262719</v>
      </c>
      <c r="CY146" s="49" t="n">
        <f aca="false">CY144+CY98+CY106+$E103*CY14</f>
        <v>2293.77238046278</v>
      </c>
      <c r="CZ146" s="49" t="n">
        <f aca="false">CZ144+CZ98+CZ106+$E103*CZ14</f>
        <v>2319.2587402457</v>
      </c>
      <c r="DA146" s="49" t="n">
        <f aca="false">DA144+DA98+DA106+$E103*DA14</f>
        <v>2344.74510002862</v>
      </c>
      <c r="DB146" s="49" t="n">
        <f aca="false">DB144+DB98+DB106+$E103*DB14</f>
        <v>2127.75796595667</v>
      </c>
      <c r="DC146" s="49" t="n">
        <f aca="false">DC144+DC98+DC106+$E103*DC14</f>
        <v>2091.34156892558</v>
      </c>
      <c r="DD146" s="49" t="n">
        <f aca="false">DD144+DD98+DD106+$E103*DD14</f>
        <v>2114.5786974692</v>
      </c>
      <c r="DE146" s="49" t="n">
        <f aca="false">DE144+DE98+DE106+$E103*DE14</f>
        <v>2137.81582601281</v>
      </c>
      <c r="DF146" s="49" t="n">
        <f aca="false">DF144+DF98+DF106+$E103*DF14</f>
        <v>2129.67377475099</v>
      </c>
      <c r="DG146" s="49" t="n">
        <f aca="false">DG144+DG98+DG106+$E103*DG14</f>
        <v>2116.20284972323</v>
      </c>
      <c r="DH146" s="49" t="n">
        <f aca="false">DH144+DH98+DH106+$E103*DH14</f>
        <v>2116.20284972323</v>
      </c>
      <c r="DI146" s="49" t="n">
        <f aca="false">DI144+DI98+DI106+$E103*DI14</f>
        <v>2139.45782609381</v>
      </c>
      <c r="DJ146" s="49" t="n">
        <f aca="false">DJ144+DJ98+DJ106+$E103*DJ14</f>
        <v>2131.26763373715</v>
      </c>
      <c r="DK146" s="49" t="n">
        <f aca="false">DK144+DK98+DK106+$E103*DK14</f>
        <v>2094.22922134031</v>
      </c>
      <c r="DL146" s="49" t="n">
        <f aca="false">DL144+DL98+DL106+$E103*DL14</f>
        <v>2117.49843491076</v>
      </c>
      <c r="DM146" s="49" t="n">
        <f aca="false">DM144+DM98+DM106+$E103*DM14</f>
        <v>2140.76764848121</v>
      </c>
      <c r="DN146" s="49" t="n">
        <f aca="false">DN144+DN98+DN106+$E103*DN14</f>
        <v>2132.52923118543</v>
      </c>
      <c r="DO146" s="49" t="n">
        <f aca="false">DO144+DO98+DO106+$E103*DO14</f>
        <v>2095.17525809415</v>
      </c>
      <c r="DP146" s="49" t="n">
        <f aca="false">DP144+DP98+DP106+$E103*DP14</f>
        <v>2118.45498318408</v>
      </c>
      <c r="DQ146" s="49" t="n">
        <f aca="false">DQ144+DQ98+DQ106+$E103*DQ14</f>
        <v>2141.73470827402</v>
      </c>
      <c r="DR146" s="49" t="n">
        <f aca="false">DR144+DR98+DR106+$E103*DR14</f>
        <v>2133.4479869401</v>
      </c>
      <c r="DS146" s="49" t="n">
        <f aca="false">DS144+DS98+DS106+$E103*DS14</f>
        <v>2095.77535956</v>
      </c>
      <c r="DT146" s="49" t="n">
        <f aca="false">DT144+DT98+DT106+$E103*DT14</f>
        <v>2119.061752444</v>
      </c>
      <c r="DU146" s="49" t="n">
        <f aca="false">DU144+DU98+DU106+$E103*DU14</f>
        <v>2142.348145328</v>
      </c>
      <c r="DV146" s="49" t="n">
        <f aca="false">DV144+DV98+DV106+$E103*DV14</f>
        <v>2134.01304575269</v>
      </c>
      <c r="DW146" s="49" t="n">
        <f aca="false">DW144+DW98+DW106+$E103*DW14</f>
        <v>2119.30772157993</v>
      </c>
      <c r="DX146" s="49" t="n">
        <f aca="false">DX144+DX98+DX106+$E103*DX14</f>
        <v>2119.30772157993</v>
      </c>
      <c r="DY146" s="49" t="n">
        <f aca="false">DY144+DY98+DY106+$E103*DY14</f>
        <v>2142.59681742147</v>
      </c>
      <c r="DZ146" s="49" t="n">
        <f aca="false">DZ144+DZ98+DZ106+$E103*DZ14</f>
        <v>2134.2132704514</v>
      </c>
      <c r="EA146" s="49" t="n">
        <f aca="false">EA144+EA98+EA106+$E103*EA14</f>
        <v>2095.89387383467</v>
      </c>
      <c r="EB146" s="49" t="n">
        <f aca="false">EB144+EB98+EB106+$E103*EB14</f>
        <v>2119.18158354395</v>
      </c>
      <c r="EC146" s="49" t="n">
        <f aca="false">EC144+EC98+EC106+$E103*EC14</f>
        <v>2142.46929325322</v>
      </c>
      <c r="ED146" s="49" t="n">
        <f aca="false">ED144+ED98+ED106+$E103*ED14</f>
        <v>2134.03723494271</v>
      </c>
      <c r="EE146" s="49" t="n">
        <f aca="false">EE144+EE98+EE106+$E103*EE14</f>
        <v>2095.38963124086</v>
      </c>
      <c r="EF146" s="49" t="n">
        <f aca="false">EF144+EF98+EF106+$E103*EF14</f>
        <v>2118.67173825464</v>
      </c>
      <c r="EG146" s="49" t="n">
        <f aca="false">EG144+EG98+EG106+$E103*EG14</f>
        <v>2141.95384526843</v>
      </c>
      <c r="EH146" s="49" t="n">
        <f aca="false">EH144+EH98+EH106+$E103*EH14</f>
        <v>2133.4732170411</v>
      </c>
      <c r="EI146" s="49" t="n">
        <f aca="false">EI144+EI98+EI106+$E103*EI14</f>
        <v>2094.49412834513</v>
      </c>
      <c r="EJ146" s="49" t="n">
        <f aca="false">EJ144+EJ98+EJ106+$E103*EJ14</f>
        <v>2117.76628532674</v>
      </c>
      <c r="EK146" s="49" t="n">
        <f aca="false">EK144+EK98+EK106+$E103*EK14</f>
        <v>2141.03844230835</v>
      </c>
      <c r="EL146" s="49" t="n">
        <f aca="false">EL144+EL98+EL106+$E103*EL14</f>
        <v>2132.50919112262</v>
      </c>
      <c r="EM146" s="49" t="n">
        <f aca="false">EM144+EM98+EM106+$E103*EM14</f>
        <v>2116.45301662203</v>
      </c>
      <c r="EN146" s="49" t="n">
        <f aca="false">EN144+EN98+EN106+$E103*EN14</f>
        <v>2116.45301662203</v>
      </c>
      <c r="EO146" s="49" t="n">
        <f aca="false">EO144+EO98+EO106+$E103*EO14</f>
        <v>2139.71074207941</v>
      </c>
    </row>
    <row r="147" customFormat="false" ht="15" hidden="false" customHeight="false" outlineLevel="0" collapsed="false">
      <c r="C147" s="26" t="s">
        <v>517</v>
      </c>
      <c r="D147" s="12" t="s">
        <v>27</v>
      </c>
      <c r="E147" s="34" t="n">
        <f aca="false">XIRR(INDEX($J146:$EO146,$E15):$EO146,INDEX($J$4:$EO$4,$E15):$EO$4)</f>
        <v>0.0572094471619621</v>
      </c>
    </row>
    <row r="149" customFormat="false" ht="15" hidden="false" customHeight="false" outlineLevel="0" collapsed="false">
      <c r="A149" s="10" t="s">
        <v>13</v>
      </c>
      <c r="B149" s="10"/>
      <c r="C149" s="10" t="s">
        <v>518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</row>
    <row r="150" customFormat="false" ht="15" hidden="false" customHeight="false" outlineLevel="0" collapsed="false">
      <c r="C150" s="1" t="s">
        <v>519</v>
      </c>
      <c r="D150" s="12" t="s">
        <v>33</v>
      </c>
      <c r="I150" s="49" t="n">
        <f aca="false">SUM(J150:EO150)</f>
        <v>161935.807908716</v>
      </c>
      <c r="J150" s="49" t="n">
        <f aca="false">J63+J70+J83+J62+J117</f>
        <v>-4662.80993807469</v>
      </c>
      <c r="K150" s="49" t="n">
        <f aca="false">K63+K70+K83+K62+K117</f>
        <v>-706.535577057768</v>
      </c>
      <c r="L150" s="49" t="n">
        <f aca="false">L63+L70+L83+L62+L117</f>
        <v>-104.360496659404</v>
      </c>
      <c r="M150" s="49" t="n">
        <f aca="false">M63+M70+M83+M62+M117</f>
        <v>-105.507315304013</v>
      </c>
      <c r="N150" s="49" t="n">
        <f aca="false">N63+N70+N83+N62+N117</f>
        <v>-105.507315304013</v>
      </c>
      <c r="O150" s="49" t="n">
        <f aca="false">O63+O70+O83+O62+O117</f>
        <v>-104.360496659404</v>
      </c>
      <c r="P150" s="49" t="n">
        <f aca="false">P63+P70+P83+P62+P117</f>
        <v>-104.360496659404</v>
      </c>
      <c r="Q150" s="49" t="n">
        <f aca="false">Q63+Q70+Q83+Q62+Q117</f>
        <v>-105.507315304013</v>
      </c>
      <c r="R150" s="49" t="n">
        <f aca="false">R63+R70+R83+R62+R117</f>
        <v>-11665.0361901012</v>
      </c>
      <c r="S150" s="49" t="n">
        <f aca="false">S63+S70+S83+S62+S117</f>
        <v>-19567.2881157404</v>
      </c>
      <c r="T150" s="49" t="n">
        <f aca="false">T63+T70+T83+T62+T117</f>
        <v>-11539.2701313338</v>
      </c>
      <c r="U150" s="49" t="n">
        <f aca="false">U63+U70+U83+U62+U117</f>
        <v>-11666.0752976122</v>
      </c>
      <c r="V150" s="49" t="n">
        <f aca="false">V63+V70+V83+V62+V117</f>
        <v>-11666.0752976122</v>
      </c>
      <c r="W150" s="49" t="n">
        <f aca="false">W63+W70+W83+W62+W117</f>
        <v>-11413.5068962282</v>
      </c>
      <c r="X150" s="49" t="n">
        <f aca="false">X63+X70+X83+X62+X117</f>
        <v>-11540.3236395196</v>
      </c>
      <c r="Y150" s="49" t="n">
        <f aca="false">Y63+Y70+Y83+Y62+Y117</f>
        <v>-14167.140382811</v>
      </c>
      <c r="Z150" s="49" t="n">
        <f aca="false">Z63+Z70+Z83+Z62+Z117</f>
        <v>2335.05033254372</v>
      </c>
      <c r="AA150" s="49" t="n">
        <f aca="false">AA63+AA70+AA83+AA62+AA117</f>
        <v>2299.41436071246</v>
      </c>
      <c r="AB150" s="49" t="n">
        <f aca="false">AB63+AB70+AB83+AB62+AB117</f>
        <v>2323.92313317548</v>
      </c>
      <c r="AC150" s="49" t="n">
        <f aca="false">AC63+AC70+AC83+AC62+AC117</f>
        <v>2348.425274734</v>
      </c>
      <c r="AD150" s="49" t="n">
        <f aca="false">AD63+AD70+AD83+AD62+AD117</f>
        <v>2340.04295072676</v>
      </c>
      <c r="AE150" s="49" t="n">
        <f aca="false">AE63+AE70+AE83+AE62+AE117</f>
        <v>2329.21563844265</v>
      </c>
      <c r="AF150" s="49" t="n">
        <f aca="false">AF63+AF70+AF83+AF62+AF117</f>
        <v>2328.65814099003</v>
      </c>
      <c r="AG150" s="49" t="n">
        <f aca="false">AG63+AG70+AG83+AG62+AG117</f>
        <v>2353.20900799734</v>
      </c>
      <c r="AH150" s="49" t="n">
        <f aca="false">AH63+AH70+AH83+AH62+AH117</f>
        <v>2344.74927872233</v>
      </c>
      <c r="AI150" s="49" t="n">
        <f aca="false">AI63+AI70+AI83+AI62+AI117</f>
        <v>2308.4961023672</v>
      </c>
      <c r="AJ150" s="49" t="n">
        <f aca="false">AJ63+AJ70+AJ83+AJ62+AJ117</f>
        <v>2359.53947980212</v>
      </c>
      <c r="AK150" s="49" t="n">
        <f aca="false">AK63+AK70+AK83+AK62+AK117</f>
        <v>2351.47246760312</v>
      </c>
      <c r="AL150" s="49" t="n">
        <f aca="false">AL63+AL70+AL83+AL62+AL117</f>
        <v>2342.97674530338</v>
      </c>
      <c r="AM150" s="49" t="n">
        <f aca="false">AM63+AM70+AM83+AM62+AM117</f>
        <v>2305.64250283825</v>
      </c>
      <c r="AN150" s="49" t="n">
        <f aca="false">AN63+AN70+AN83+AN62+AN117</f>
        <v>2329.16125070702</v>
      </c>
      <c r="AO150" s="49" t="n">
        <f aca="false">AO63+AO70+AO83+AO62+AO117</f>
        <v>2352.6646048711</v>
      </c>
      <c r="AP150" s="49" t="n">
        <f aca="false">AP63+AP70+AP83+AP62+AP117</f>
        <v>2344.06171079721</v>
      </c>
      <c r="AQ150" s="49" t="n">
        <f aca="false">AQ63+AQ70+AQ83+AQ62+AQ117</f>
        <v>2306.4012483249</v>
      </c>
      <c r="AR150" s="49" t="n">
        <f aca="false">AR63+AR70+AR83+AR62+AR117</f>
        <v>2329.92145569932</v>
      </c>
      <c r="AS150" s="49" t="n">
        <f aca="false">AS63+AS70+AS83+AS62+AS117</f>
        <v>2353.42548513158</v>
      </c>
      <c r="AT150" s="49" t="n">
        <f aca="false">AT63+AT70+AT83+AT62+AT117</f>
        <v>2344.71215424851</v>
      </c>
      <c r="AU150" s="49" t="n">
        <f aca="false">AU63+AU70+AU83+AU62+AU117</f>
        <v>2331.59652192748</v>
      </c>
      <c r="AV150" s="49" t="n">
        <f aca="false">AV63+AV70+AV83+AV62+AV117</f>
        <v>2330.23635129681</v>
      </c>
      <c r="AW150" s="49" t="n">
        <f aca="false">AW63+AW70+AW83+AW62+AW117</f>
        <v>2353.73577129689</v>
      </c>
      <c r="AX150" s="49" t="n">
        <f aca="false">AX63+AX70+AX83+AX62+AX117</f>
        <v>2344.9085823033</v>
      </c>
      <c r="AY150" s="49" t="n">
        <f aca="false">AY63+AY70+AY83+AY62+AY117</f>
        <v>2306.5788597903</v>
      </c>
      <c r="AZ150" s="49" t="n">
        <f aca="false">AZ63+AZ70+AZ83+AZ62+AZ117</f>
        <v>2330.08601511344</v>
      </c>
      <c r="BA150" s="49" t="n">
        <f aca="false">BA63+BA70+BA83+BA62+BA117</f>
        <v>2353.5753021243</v>
      </c>
      <c r="BB150" s="49" t="n">
        <f aca="false">BB63+BB70+BB83+BB62+BB117</f>
        <v>2344.63066945793</v>
      </c>
      <c r="BC150" s="49" t="n">
        <f aca="false">BC63+BC70+BC83+BC62+BC117</f>
        <v>2305.95751372368</v>
      </c>
      <c r="BD150" s="49" t="n">
        <f aca="false">BD63+BD70+BD83+BD62+BD117</f>
        <v>2329.44967358217</v>
      </c>
      <c r="BE150" s="49" t="n">
        <f aca="false">BE63+BE70+BE83+BE62+BE117</f>
        <v>2352.92305482121</v>
      </c>
      <c r="BF150" s="49" t="n">
        <f aca="false">BF63+BF70+BF83+BF62+BF117</f>
        <v>2343.85722025432</v>
      </c>
      <c r="BG150" s="49" t="n">
        <f aca="false">BG63+BG70+BG83+BG62+BG117</f>
        <v>2304.83448533295</v>
      </c>
      <c r="BH150" s="49" t="n">
        <f aca="false">BH63+BH70+BH83+BH62+BH117</f>
        <v>2328.30566324847</v>
      </c>
      <c r="BI150" s="49" t="n">
        <f aca="false">BI63+BI70+BI83+BI62+BI117</f>
        <v>2351.75710586145</v>
      </c>
      <c r="BJ150" s="49" t="n">
        <f aca="false">BJ63+BJ70+BJ83+BJ62+BJ117</f>
        <v>2342.56612966558</v>
      </c>
      <c r="BK150" s="49" t="n">
        <f aca="false">BK63+BK70+BK83+BK62+BK117</f>
        <v>2328.29064814514</v>
      </c>
      <c r="BL150" s="49" t="n">
        <f aca="false">BL63+BL70+BL83+BL62+BL117</f>
        <v>2326.63139020971</v>
      </c>
      <c r="BM150" s="49" t="n">
        <f aca="false">BM63+BM70+BM83+BM62+BM117</f>
        <v>2350.05458992468</v>
      </c>
      <c r="BN150" s="49" t="n">
        <f aca="false">BN63+BN70+BN83+BN62+BN117</f>
        <v>2340.73434158255</v>
      </c>
      <c r="BO150" s="49" t="n">
        <f aca="false">BO63+BO70+BO83+BO62+BO117</f>
        <v>2300.99312098471</v>
      </c>
      <c r="BP150" s="49" t="n">
        <f aca="false">BP63+BP70+BP83+BP62+BP117</f>
        <v>2324.40328760908</v>
      </c>
      <c r="BQ150" s="49" t="n">
        <f aca="false">BQ63+BQ70+BQ83+BQ62+BQ117</f>
        <v>2347.79165686608</v>
      </c>
      <c r="BR150" s="49" t="n">
        <f aca="false">BR63+BR70+BR83+BR62+BR117</f>
        <v>2338.33780530757</v>
      </c>
      <c r="BS150" s="49" t="n">
        <f aca="false">BS63+BS70+BS83+BS62+BS117</f>
        <v>2298.22720771513</v>
      </c>
      <c r="BT150" s="49" t="n">
        <f aca="false">BT63+BT70+BT83+BT62+BT117</f>
        <v>2321.59677108785</v>
      </c>
      <c r="BU150" s="49" t="n">
        <f aca="false">BU63+BU70+BU83+BU62+BU117</f>
        <v>2344.94342661896</v>
      </c>
      <c r="BV150" s="49" t="n">
        <f aca="false">BV63+BV70+BV83+BV62+BV117</f>
        <v>2335.35142995684</v>
      </c>
      <c r="BW150" s="49" t="n">
        <f aca="false">BW63+BW70+BW83+BW62+BW117</f>
        <v>2294.86436737233</v>
      </c>
      <c r="BX150" s="49" t="n">
        <f aca="false">BX63+BX70+BX83+BX62+BX117</f>
        <v>2318.18619209494</v>
      </c>
      <c r="BY150" s="49" t="n">
        <f aca="false">BY63+BY70+BY83+BY62+BY117</f>
        <v>2341.48394192824</v>
      </c>
      <c r="BZ150" s="49" t="n">
        <f aca="false">BZ63+BZ70+BZ83+BZ62+BZ117</f>
        <v>2331.74903666808</v>
      </c>
      <c r="CA150" s="49" t="n">
        <f aca="false">CA63+CA70+CA83+CA62+CA117</f>
        <v>2316.16890036023</v>
      </c>
      <c r="CB150" s="49" t="n">
        <f aca="false">CB63+CB70+CB83+CB62+CB117</f>
        <v>2314.14478894785</v>
      </c>
      <c r="CC150" s="49" t="n">
        <f aca="false">CC63+CC70+CC83+CC62+CC117</f>
        <v>2337.38611880721</v>
      </c>
      <c r="CD150" s="49" t="n">
        <f aca="false">CD63+CD70+CD83+CD62+CD117</f>
        <v>2327.50330850459</v>
      </c>
      <c r="CE150" s="49" t="n">
        <f aca="false">CE63+CE70+CE83+CE62+CE117</f>
        <v>2286.24098608149</v>
      </c>
      <c r="CF150" s="49" t="n">
        <f aca="false">CF63+CF70+CF83+CF62+CF117</f>
        <v>2309.44463553358</v>
      </c>
      <c r="CG150" s="49" t="n">
        <f aca="false">CG63+CG70+CG83+CG62+CG117</f>
        <v>2332.62169460504</v>
      </c>
      <c r="CH150" s="49" t="n">
        <f aca="false">CH63+CH70+CH83+CH62+CH117</f>
        <v>2322.58573794189</v>
      </c>
      <c r="CI150" s="49" t="n">
        <f aca="false">CI63+CI70+CI83+CI62+CI117</f>
        <v>2283.1320593481</v>
      </c>
      <c r="CJ150" s="49" t="n">
        <f aca="false">CJ63+CJ70+CJ83+CJ62+CJ117</f>
        <v>2308.50019334086</v>
      </c>
      <c r="CK150" s="49" t="n">
        <f aca="false">CK63+CK70+CK83+CK62+CK117</f>
        <v>2333.86832733361</v>
      </c>
      <c r="CL150" s="49" t="n">
        <f aca="false">CL63+CL70+CL83+CL62+CL117</f>
        <v>2325.96556789213</v>
      </c>
      <c r="CM150" s="49" t="n">
        <f aca="false">CM63+CM70+CM83+CM62+CM117</f>
        <v>2286.21680003197</v>
      </c>
      <c r="CN150" s="49" t="n">
        <f aca="false">CN63+CN70+CN83+CN62+CN117</f>
        <v>2311.61920892122</v>
      </c>
      <c r="CO150" s="49" t="n">
        <f aca="false">CO63+CO70+CO83+CO62+CO117</f>
        <v>2337.02161781046</v>
      </c>
      <c r="CP150" s="49" t="n">
        <f aca="false">CP63+CP70+CP83+CP62+CP117</f>
        <v>2329.07120265089</v>
      </c>
      <c r="CQ150" s="49" t="n">
        <f aca="false">CQ63+CQ70+CQ83+CQ62+CQ117</f>
        <v>2314.45814836636</v>
      </c>
      <c r="CR150" s="49" t="n">
        <f aca="false">CR63+CR70+CR83+CR62+CR117</f>
        <v>2314.45814836636</v>
      </c>
      <c r="CS150" s="49" t="n">
        <f aca="false">CS63+CS70+CS83+CS62+CS117</f>
        <v>2339.89175439236</v>
      </c>
      <c r="CT150" s="49" t="n">
        <f aca="false">CT63+CT70+CT83+CT62+CT117</f>
        <v>2331.89357808024</v>
      </c>
      <c r="CU150" s="49" t="n">
        <f aca="false">CU63+CU70+CU83+CU62+CU117</f>
        <v>2291.54618297149</v>
      </c>
      <c r="CV150" s="49" t="n">
        <f aca="false">CV63+CV70+CV83+CV62+CV117</f>
        <v>2317.00780722673</v>
      </c>
      <c r="CW150" s="49" t="n">
        <f aca="false">CW63+CW70+CW83+CW62+CW117</f>
        <v>2342.46943148197</v>
      </c>
      <c r="CX150" s="49" t="n">
        <f aca="false">CX63+CX70+CX83+CX62+CX117</f>
        <v>2334.42339262719</v>
      </c>
      <c r="CY150" s="49" t="n">
        <f aca="false">CY63+CY70+CY83+CY62+CY117</f>
        <v>2293.77238046278</v>
      </c>
      <c r="CZ150" s="49" t="n">
        <f aca="false">CZ63+CZ70+CZ83+CZ62+CZ117</f>
        <v>2319.2587402457</v>
      </c>
      <c r="DA150" s="49" t="n">
        <f aca="false">DA63+DA70+DA83+DA62+DA117</f>
        <v>2344.74510002862</v>
      </c>
      <c r="DB150" s="49" t="n">
        <f aca="false">DB63+DB70+DB83+DB62+DB117</f>
        <v>2127.75796595667</v>
      </c>
      <c r="DC150" s="49" t="n">
        <f aca="false">DC63+DC70+DC83+DC62+DC117</f>
        <v>2091.34156892558</v>
      </c>
      <c r="DD150" s="49" t="n">
        <f aca="false">DD63+DD70+DD83+DD62+DD117</f>
        <v>2114.5786974692</v>
      </c>
      <c r="DE150" s="49" t="n">
        <f aca="false">DE63+DE70+DE83+DE62+DE117</f>
        <v>2137.81582601281</v>
      </c>
      <c r="DF150" s="49" t="n">
        <f aca="false">DF63+DF70+DF83+DF62+DF117</f>
        <v>2129.67377475099</v>
      </c>
      <c r="DG150" s="49" t="n">
        <f aca="false">DG63+DG70+DG83+DG62+DG117</f>
        <v>2116.20284972323</v>
      </c>
      <c r="DH150" s="49" t="n">
        <f aca="false">DH63+DH70+DH83+DH62+DH117</f>
        <v>2116.20284972323</v>
      </c>
      <c r="DI150" s="49" t="n">
        <f aca="false">DI63+DI70+DI83+DI62+DI117</f>
        <v>2139.45782609381</v>
      </c>
      <c r="DJ150" s="49" t="n">
        <f aca="false">DJ63+DJ70+DJ83+DJ62+DJ117</f>
        <v>2131.26763373715</v>
      </c>
      <c r="DK150" s="49" t="n">
        <f aca="false">DK63+DK70+DK83+DK62+DK117</f>
        <v>2094.22922134031</v>
      </c>
      <c r="DL150" s="49" t="n">
        <f aca="false">DL63+DL70+DL83+DL62+DL117</f>
        <v>2117.49843491076</v>
      </c>
      <c r="DM150" s="49" t="n">
        <f aca="false">DM63+DM70+DM83+DM62+DM117</f>
        <v>2140.76764848121</v>
      </c>
      <c r="DN150" s="49" t="n">
        <f aca="false">DN63+DN70+DN83+DN62+DN117</f>
        <v>2132.52923118543</v>
      </c>
      <c r="DO150" s="49" t="n">
        <f aca="false">DO63+DO70+DO83+DO62+DO117</f>
        <v>2095.17525809415</v>
      </c>
      <c r="DP150" s="49" t="n">
        <f aca="false">DP63+DP70+DP83+DP62+DP117</f>
        <v>2118.45498318408</v>
      </c>
      <c r="DQ150" s="49" t="n">
        <f aca="false">DQ63+DQ70+DQ83+DQ62+DQ117</f>
        <v>2141.73470827402</v>
      </c>
      <c r="DR150" s="49" t="n">
        <f aca="false">DR63+DR70+DR83+DR62+DR117</f>
        <v>2133.4479869401</v>
      </c>
      <c r="DS150" s="49" t="n">
        <f aca="false">DS63+DS70+DS83+DS62+DS117</f>
        <v>2095.77535956</v>
      </c>
      <c r="DT150" s="49" t="n">
        <f aca="false">DT63+DT70+DT83+DT62+DT117</f>
        <v>2119.061752444</v>
      </c>
      <c r="DU150" s="49" t="n">
        <f aca="false">DU63+DU70+DU83+DU62+DU117</f>
        <v>2142.348145328</v>
      </c>
      <c r="DV150" s="49" t="n">
        <f aca="false">DV63+DV70+DV83+DV62+DV117</f>
        <v>2134.01304575269</v>
      </c>
      <c r="DW150" s="49" t="n">
        <f aca="false">DW63+DW70+DW83+DW62+DW117</f>
        <v>2119.30772157993</v>
      </c>
      <c r="DX150" s="49" t="n">
        <f aca="false">DX63+DX70+DX83+DX62+DX117</f>
        <v>2119.30772157993</v>
      </c>
      <c r="DY150" s="49" t="n">
        <f aca="false">DY63+DY70+DY83+DY62+DY117</f>
        <v>2142.59681742147</v>
      </c>
      <c r="DZ150" s="49" t="n">
        <f aca="false">DZ63+DZ70+DZ83+DZ62+DZ117</f>
        <v>2134.2132704514</v>
      </c>
      <c r="EA150" s="49" t="n">
        <f aca="false">EA63+EA70+EA83+EA62+EA117</f>
        <v>2095.89387383467</v>
      </c>
      <c r="EB150" s="49" t="n">
        <f aca="false">EB63+EB70+EB83+EB62+EB117</f>
        <v>2119.18158354395</v>
      </c>
      <c r="EC150" s="49" t="n">
        <f aca="false">EC63+EC70+EC83+EC62+EC117</f>
        <v>2142.46929325322</v>
      </c>
      <c r="ED150" s="49" t="n">
        <f aca="false">ED63+ED70+ED83+ED62+ED117</f>
        <v>2134.03723494271</v>
      </c>
      <c r="EE150" s="49" t="n">
        <f aca="false">EE63+EE70+EE83+EE62+EE117</f>
        <v>2095.38963124086</v>
      </c>
      <c r="EF150" s="49" t="n">
        <f aca="false">EF63+EF70+EF83+EF62+EF117</f>
        <v>2118.67173825464</v>
      </c>
      <c r="EG150" s="49" t="n">
        <f aca="false">EG63+EG70+EG83+EG62+EG117</f>
        <v>2141.95384526843</v>
      </c>
      <c r="EH150" s="49" t="n">
        <f aca="false">EH63+EH70+EH83+EH62+EH117</f>
        <v>2133.4732170411</v>
      </c>
      <c r="EI150" s="49" t="n">
        <f aca="false">EI63+EI70+EI83+EI62+EI117</f>
        <v>2094.49412834513</v>
      </c>
      <c r="EJ150" s="49" t="n">
        <f aca="false">EJ63+EJ70+EJ83+EJ62+EJ117</f>
        <v>2117.76628532674</v>
      </c>
      <c r="EK150" s="49" t="n">
        <f aca="false">EK63+EK70+EK83+EK62+EK117</f>
        <v>2141.03844230835</v>
      </c>
      <c r="EL150" s="49" t="n">
        <f aca="false">EL63+EL70+EL83+EL62+EL117</f>
        <v>2132.50919112262</v>
      </c>
      <c r="EM150" s="49" t="n">
        <f aca="false">EM63+EM70+EM83+EM62+EM117</f>
        <v>2116.45301662203</v>
      </c>
      <c r="EN150" s="49" t="n">
        <f aca="false">EN63+EN70+EN83+EN62+EN117</f>
        <v>2116.45301662203</v>
      </c>
      <c r="EO150" s="49" t="n">
        <f aca="false">EO63+EO70+EO83+EO62+EO117</f>
        <v>2139.71074207941</v>
      </c>
    </row>
    <row r="151" customFormat="false" ht="15" hidden="false" customHeight="false" outlineLevel="0" collapsed="false">
      <c r="C151" s="26" t="s">
        <v>94</v>
      </c>
      <c r="D151" s="12" t="s">
        <v>27</v>
      </c>
      <c r="E151" s="34" t="n">
        <f aca="false">XIRR($J150:$EO150,$J$4:$EO$4)</f>
        <v>0.0696595033736404</v>
      </c>
    </row>
    <row r="152" customFormat="false" ht="15" hidden="false" customHeight="false" outlineLevel="0" collapsed="false">
      <c r="C152" s="26" t="s">
        <v>520</v>
      </c>
      <c r="D152" s="12" t="s">
        <v>33</v>
      </c>
      <c r="I152" s="58" t="n">
        <f aca="false">SUM(J152:EO152)</f>
        <v>137254.470722004</v>
      </c>
      <c r="J152" s="58" t="n">
        <f aca="false">J63+J70+J100+J104+J105+J83+J98+J106+J62+J117</f>
        <v>-4662.80993807469</v>
      </c>
      <c r="K152" s="58" t="n">
        <f aca="false">K63+K70+K100+K104+K105+K83+K98+K106+K62+K117</f>
        <v>-706.535577057768</v>
      </c>
      <c r="L152" s="58" t="n">
        <f aca="false">L63+L70+L100+L104+L105+L83+L98+L106+L62+L117</f>
        <v>-104.360496659404</v>
      </c>
      <c r="M152" s="58" t="n">
        <f aca="false">M63+M70+M100+M104+M105+M83+M98+M106+M62+M117</f>
        <v>-105.507315304013</v>
      </c>
      <c r="N152" s="58" t="n">
        <f aca="false">N63+N70+N100+N104+N105+N83+N98+N106+N62+N117</f>
        <v>-105.507315304013</v>
      </c>
      <c r="O152" s="58" t="n">
        <f aca="false">O63+O70+O100+O104+O105+O83+O98+O106+O62+O117</f>
        <v>-104.360496659404</v>
      </c>
      <c r="P152" s="58" t="n">
        <f aca="false">P63+P70+P100+P104+P105+P83+P98+P106+P62+P117</f>
        <v>-104.360496659404</v>
      </c>
      <c r="Q152" s="58" t="n">
        <f aca="false">Q63+Q70+Q100+Q104+Q105+Q83+Q98+Q106+Q62+Q117</f>
        <v>-105.507315304013</v>
      </c>
      <c r="R152" s="58" t="n">
        <f aca="false">R63+R70+R100+R104+R105+R83+R98+R106+R62+R117</f>
        <v>-7295.55434419828</v>
      </c>
      <c r="S152" s="58" t="n">
        <f aca="false">S63+S70+S100+S104+S105+S83+S98+S106+S62+S117</f>
        <v>-10674.0884898816</v>
      </c>
      <c r="T152" s="58" t="n">
        <f aca="false">T63+T70+T100+T104+T105+T83+T98+T106+T62+T117</f>
        <v>-6328.29564878197</v>
      </c>
      <c r="U152" s="58" t="n">
        <f aca="false">U63+U70+U100+U104+U105+U83+U98+U106+U62+U117</f>
        <v>-6385.84843453489</v>
      </c>
      <c r="V152" s="58" t="n">
        <f aca="false">V63+V70+V100+V104+V105+V83+V98+V106+V62+V117</f>
        <v>-6373.72776343664</v>
      </c>
      <c r="W152" s="58" t="n">
        <f aca="false">W63+W70+W100+W104+W105+W83+W98+W106+W62+W117</f>
        <v>-6224.35321715595</v>
      </c>
      <c r="X152" s="58" t="n">
        <f aca="false">X63+X70+X100+X104+X105+X83+X98+X106+X62+X117</f>
        <v>-6281.78440147055</v>
      </c>
      <c r="Y152" s="58" t="n">
        <f aca="false">Y63+Y70+Y100+Y104+Y105+Y83+Y98+Y106+Y62+Y117</f>
        <v>-8863.91002100079</v>
      </c>
      <c r="Z152" s="58" t="n">
        <f aca="false">Z63+Z70+Z100+Z104+Z105+Z83+Z98+Z106+Z62+Z117</f>
        <v>1157.44879326896</v>
      </c>
      <c r="AA152" s="58" t="n">
        <f aca="false">AA63+AA70+AA100+AA104+AA105+AA83+AA98+AA106+AA62+AA117</f>
        <v>1121.8128214377</v>
      </c>
      <c r="AB152" s="58" t="n">
        <f aca="false">AB63+AB70+AB100+AB104+AB105+AB83+AB98+AB106+AB62+AB117</f>
        <v>1146.32159390072</v>
      </c>
      <c r="AC152" s="58" t="n">
        <f aca="false">AC63+AC70+AC100+AC104+AC105+AC83+AC98+AC106+AC62+AC117</f>
        <v>1170.82373545924</v>
      </c>
      <c r="AD152" s="58" t="n">
        <f aca="false">AD63+AD70+AD100+AD104+AD105+AD83+AD98+AD106+AD62+AD117</f>
        <v>1162.441411452</v>
      </c>
      <c r="AE152" s="58" t="n">
        <f aca="false">AE63+AE70+AE100+AE104+AE105+AE83+AE98+AE106+AE62+AE117</f>
        <v>1151.6140991679</v>
      </c>
      <c r="AF152" s="58" t="n">
        <f aca="false">AF63+AF70+AF100+AF104+AF105+AF83+AF98+AF106+AF62+AF117</f>
        <v>1151.05660171527</v>
      </c>
      <c r="AG152" s="58" t="n">
        <f aca="false">AG63+AG70+AG100+AG104+AG105+AG83+AG98+AG106+AG62+AG117</f>
        <v>1175.60746872259</v>
      </c>
      <c r="AH152" s="58" t="n">
        <f aca="false">AH63+AH70+AH100+AH104+AH105+AH83+AH98+AH106+AH62+AH117</f>
        <v>1167.14773944757</v>
      </c>
      <c r="AI152" s="58" t="n">
        <f aca="false">AI63+AI70+AI100+AI104+AI105+AI83+AI98+AI106+AI62+AI117</f>
        <v>1130.89456309244</v>
      </c>
      <c r="AJ152" s="58" t="n">
        <f aca="false">AJ63+AJ70+AJ100+AJ104+AJ105+AJ83+AJ98+AJ106+AJ62+AJ117</f>
        <v>1181.93794052737</v>
      </c>
      <c r="AK152" s="58" t="n">
        <f aca="false">AK63+AK70+AK100+AK104+AK105+AK83+AK98+AK106+AK62+AK117</f>
        <v>1173.87092832837</v>
      </c>
      <c r="AL152" s="58" t="n">
        <f aca="false">AL63+AL70+AL100+AL104+AL105+AL83+AL98+AL106+AL62+AL117</f>
        <v>1165.37520602863</v>
      </c>
      <c r="AM152" s="58" t="n">
        <f aca="false">AM63+AM70+AM100+AM104+AM105+AM83+AM98+AM106+AM62+AM117</f>
        <v>1128.04096356349</v>
      </c>
      <c r="AN152" s="58" t="n">
        <f aca="false">AN63+AN70+AN100+AN104+AN105+AN83+AN98+AN106+AN62+AN117</f>
        <v>1151.55971143226</v>
      </c>
      <c r="AO152" s="58" t="n">
        <f aca="false">AO63+AO70+AO100+AO104+AO105+AO83+AO98+AO106+AO62+AO117</f>
        <v>1175.06306559634</v>
      </c>
      <c r="AP152" s="58" t="n">
        <f aca="false">AP63+AP70+AP100+AP104+AP105+AP83+AP98+AP106+AP62+AP117</f>
        <v>1166.46017152246</v>
      </c>
      <c r="AQ152" s="58" t="n">
        <f aca="false">AQ63+AQ70+AQ100+AQ104+AQ105+AQ83+AQ98+AQ106+AQ62+AQ117</f>
        <v>1128.79970905014</v>
      </c>
      <c r="AR152" s="58" t="n">
        <f aca="false">AR63+AR70+AR100+AR104+AR105+AR83+AR98+AR106+AR62+AR117</f>
        <v>1152.31991642457</v>
      </c>
      <c r="AS152" s="58" t="n">
        <f aca="false">AS63+AS70+AS100+AS104+AS105+AS83+AS98+AS106+AS62+AS117</f>
        <v>1175.82394585683</v>
      </c>
      <c r="AT152" s="58" t="n">
        <f aca="false">AT63+AT70+AT100+AT104+AT105+AT83+AT98+AT106+AT62+AT117</f>
        <v>1167.11061497375</v>
      </c>
      <c r="AU152" s="58" t="n">
        <f aca="false">AU63+AU70+AU100+AU104+AU105+AU83+AU98+AU106+AU62+AU117</f>
        <v>1153.99498265272</v>
      </c>
      <c r="AV152" s="58" t="n">
        <f aca="false">AV63+AV70+AV100+AV104+AV105+AV83+AV98+AV106+AV62+AV117</f>
        <v>1152.63481202206</v>
      </c>
      <c r="AW152" s="58" t="n">
        <f aca="false">AW63+AW70+AW100+AW104+AW105+AW83+AW98+AW106+AW62+AW117</f>
        <v>1176.13423202213</v>
      </c>
      <c r="AX152" s="58" t="n">
        <f aca="false">AX63+AX70+AX100+AX104+AX105+AX83+AX98+AX106+AX62+AX117</f>
        <v>1167.30704302855</v>
      </c>
      <c r="AY152" s="58" t="n">
        <f aca="false">AY63+AY70+AY100+AY104+AY105+AY83+AY98+AY106+AY62+AY117</f>
        <v>1128.97732051555</v>
      </c>
      <c r="AZ152" s="58" t="n">
        <f aca="false">AZ63+AZ70+AZ100+AZ104+AZ105+AZ83+AZ98+AZ106+AZ62+AZ117</f>
        <v>1152.48447583868</v>
      </c>
      <c r="BA152" s="58" t="n">
        <f aca="false">BA63+BA70+BA100+BA104+BA105+BA83+BA98+BA106+BA62+BA117</f>
        <v>1175.97376284954</v>
      </c>
      <c r="BB152" s="58" t="n">
        <f aca="false">BB63+BB70+BB100+BB104+BB105+BB83+BB98+BB106+BB62+BB117</f>
        <v>1167.02913018317</v>
      </c>
      <c r="BC152" s="58" t="n">
        <f aca="false">BC63+BC70+BC100+BC104+BC105+BC83+BC98+BC106+BC62+BC117</f>
        <v>1128.35597444892</v>
      </c>
      <c r="BD152" s="58" t="n">
        <f aca="false">BD63+BD70+BD100+BD104+BD105+BD83+BD98+BD106+BD62+BD117</f>
        <v>1151.84813430742</v>
      </c>
      <c r="BE152" s="58" t="n">
        <f aca="false">BE63+BE70+BE100+BE104+BE105+BE83+BE98+BE106+BE62+BE117</f>
        <v>1175.32151554645</v>
      </c>
      <c r="BF152" s="58" t="n">
        <f aca="false">BF63+BF70+BF100+BF104+BF105+BF83+BF98+BF106+BF62+BF117</f>
        <v>1166.25568097956</v>
      </c>
      <c r="BG152" s="58" t="n">
        <f aca="false">BG63+BG70+BG100+BG104+BG105+BG83+BG98+BG106+BG62+BG117</f>
        <v>1127.23294605819</v>
      </c>
      <c r="BH152" s="58" t="n">
        <f aca="false">BH63+BH70+BH100+BH104+BH105+BH83+BH98+BH106+BH62+BH117</f>
        <v>1150.70412397372</v>
      </c>
      <c r="BI152" s="58" t="n">
        <f aca="false">BI63+BI70+BI100+BI104+BI105+BI83+BI98+BI106+BI62+BI117</f>
        <v>1174.15556658669</v>
      </c>
      <c r="BJ152" s="58" t="n">
        <f aca="false">BJ63+BJ70+BJ100+BJ104+BJ105+BJ83+BJ98+BJ106+BJ62+BJ117</f>
        <v>1164.96459039082</v>
      </c>
      <c r="BK152" s="58" t="n">
        <f aca="false">BK63+BK70+BK100+BK104+BK105+BK83+BK98+BK106+BK62+BK117</f>
        <v>1150.68910887039</v>
      </c>
      <c r="BL152" s="58" t="n">
        <f aca="false">BL63+BL70+BL100+BL104+BL105+BL83+BL98+BL106+BL62+BL117</f>
        <v>1149.02985093495</v>
      </c>
      <c r="BM152" s="58" t="n">
        <f aca="false">BM63+BM70+BM100+BM104+BM105+BM83+BM98+BM106+BM62+BM117</f>
        <v>1172.45305064993</v>
      </c>
      <c r="BN152" s="58" t="n">
        <f aca="false">BN63+BN70+BN100+BN104+BN105+BN83+BN98+BN106+BN62+BN117</f>
        <v>1163.1328023078</v>
      </c>
      <c r="BO152" s="58" t="n">
        <f aca="false">BO63+BO70+BO100+BO104+BO105+BO83+BO98+BO106+BO62+BO117</f>
        <v>1123.39158170995</v>
      </c>
      <c r="BP152" s="58" t="n">
        <f aca="false">BP63+BP70+BP100+BP104+BP105+BP83+BP98+BP106+BP62+BP117</f>
        <v>1146.80174833432</v>
      </c>
      <c r="BQ152" s="58" t="n">
        <f aca="false">BQ63+BQ70+BQ100+BQ104+BQ105+BQ83+BQ98+BQ106+BQ62+BQ117</f>
        <v>1170.19011759132</v>
      </c>
      <c r="BR152" s="58" t="n">
        <f aca="false">BR63+BR70+BR100+BR104+BR105+BR83+BR98+BR106+BR62+BR117</f>
        <v>1160.73626603281</v>
      </c>
      <c r="BS152" s="58" t="n">
        <f aca="false">BS63+BS70+BS100+BS104+BS105+BS83+BS98+BS106+BS62+BS117</f>
        <v>1120.62566844038</v>
      </c>
      <c r="BT152" s="58" t="n">
        <f aca="false">BT63+BT70+BT100+BT104+BT105+BT83+BT98+BT106+BT62+BT117</f>
        <v>1143.99523181309</v>
      </c>
      <c r="BU152" s="58" t="n">
        <f aca="false">BU63+BU70+BU100+BU104+BU105+BU83+BU98+BU106+BU62+BU117</f>
        <v>1167.34188734421</v>
      </c>
      <c r="BV152" s="58" t="n">
        <f aca="false">BV63+BV70+BV100+BV104+BV105+BV83+BV98+BV106+BV62+BV117</f>
        <v>1157.74989068209</v>
      </c>
      <c r="BW152" s="58" t="n">
        <f aca="false">BW63+BW70+BW100+BW104+BW105+BW83+BW98+BW106+BW62+BW117</f>
        <v>1117.26282809757</v>
      </c>
      <c r="BX152" s="58" t="n">
        <f aca="false">BX63+BX70+BX100+BX104+BX105+BX83+BX98+BX106+BX62+BX117</f>
        <v>1140.58465282018</v>
      </c>
      <c r="BY152" s="58" t="n">
        <f aca="false">BY63+BY70+BY100+BY104+BY105+BY83+BY98+BY106+BY62+BY117</f>
        <v>1163.88240265348</v>
      </c>
      <c r="BZ152" s="58" t="n">
        <f aca="false">BZ63+BZ70+BZ100+BZ104+BZ105+BZ83+BZ98+BZ106+BZ62+BZ117</f>
        <v>1154.14749739332</v>
      </c>
      <c r="CA152" s="58" t="n">
        <f aca="false">CA63+CA70+CA100+CA104+CA105+CA83+CA98+CA106+CA62+CA117</f>
        <v>1138.56736108547</v>
      </c>
      <c r="CB152" s="58" t="n">
        <f aca="false">CB63+CB70+CB100+CB104+CB105+CB83+CB98+CB106+CB62+CB117</f>
        <v>1136.54324967309</v>
      </c>
      <c r="CC152" s="58" t="n">
        <f aca="false">CC63+CC70+CC100+CC104+CC105+CC83+CC98+CC106+CC62+CC117</f>
        <v>1159.78457953245</v>
      </c>
      <c r="CD152" s="58" t="n">
        <f aca="false">CD63+CD70+CD100+CD104+CD105+CD83+CD98+CD106+CD62+CD117</f>
        <v>1149.90176922983</v>
      </c>
      <c r="CE152" s="58" t="n">
        <f aca="false">CE63+CE70+CE100+CE104+CE105+CE83+CE98+CE106+CE62+CE117</f>
        <v>1108.63944680673</v>
      </c>
      <c r="CF152" s="58" t="n">
        <f aca="false">CF63+CF70+CF100+CF104+CF105+CF83+CF98+CF106+CF62+CF117</f>
        <v>1131.84309625882</v>
      </c>
      <c r="CG152" s="58" t="n">
        <f aca="false">CG63+CG70+CG100+CG104+CG105+CG83+CG98+CG106+CG62+CG117</f>
        <v>2332.62169460504</v>
      </c>
      <c r="CH152" s="58" t="n">
        <f aca="false">CH63+CH70+CH100+CH104+CH105+CH83+CH98+CH106+CH62+CH117</f>
        <v>2322.58573794189</v>
      </c>
      <c r="CI152" s="58" t="n">
        <f aca="false">CI63+CI70+CI100+CI104+CI105+CI83+CI98+CI106+CI62+CI117</f>
        <v>2283.1320593481</v>
      </c>
      <c r="CJ152" s="58" t="n">
        <f aca="false">CJ63+CJ70+CJ100+CJ104+CJ105+CJ83+CJ98+CJ106+CJ62+CJ117</f>
        <v>2308.50019334086</v>
      </c>
      <c r="CK152" s="58" t="n">
        <f aca="false">CK63+CK70+CK100+CK104+CK105+CK83+CK98+CK106+CK62+CK117</f>
        <v>2333.86832733361</v>
      </c>
      <c r="CL152" s="58" t="n">
        <f aca="false">CL63+CL70+CL100+CL104+CL105+CL83+CL98+CL106+CL62+CL117</f>
        <v>2325.96556789213</v>
      </c>
      <c r="CM152" s="58" t="n">
        <f aca="false">CM63+CM70+CM100+CM104+CM105+CM83+CM98+CM106+CM62+CM117</f>
        <v>2286.21680003197</v>
      </c>
      <c r="CN152" s="58" t="n">
        <f aca="false">CN63+CN70+CN100+CN104+CN105+CN83+CN98+CN106+CN62+CN117</f>
        <v>2311.61920892122</v>
      </c>
      <c r="CO152" s="58" t="n">
        <f aca="false">CO63+CO70+CO100+CO104+CO105+CO83+CO98+CO106+CO62+CO117</f>
        <v>2337.02161781046</v>
      </c>
      <c r="CP152" s="58" t="n">
        <f aca="false">CP63+CP70+CP100+CP104+CP105+CP83+CP98+CP106+CP62+CP117</f>
        <v>2329.07120265089</v>
      </c>
      <c r="CQ152" s="58" t="n">
        <f aca="false">CQ63+CQ70+CQ100+CQ104+CQ105+CQ83+CQ98+CQ106+CQ62+CQ117</f>
        <v>2314.45814836636</v>
      </c>
      <c r="CR152" s="58" t="n">
        <f aca="false">CR63+CR70+CR100+CR104+CR105+CR83+CR98+CR106+CR62+CR117</f>
        <v>2314.45814836636</v>
      </c>
      <c r="CS152" s="58" t="n">
        <f aca="false">CS63+CS70+CS100+CS104+CS105+CS83+CS98+CS106+CS62+CS117</f>
        <v>2339.89175439236</v>
      </c>
      <c r="CT152" s="58" t="n">
        <f aca="false">CT63+CT70+CT100+CT104+CT105+CT83+CT98+CT106+CT62+CT117</f>
        <v>2331.89357808024</v>
      </c>
      <c r="CU152" s="58" t="n">
        <f aca="false">CU63+CU70+CU100+CU104+CU105+CU83+CU98+CU106+CU62+CU117</f>
        <v>2291.54618297149</v>
      </c>
      <c r="CV152" s="58" t="n">
        <f aca="false">CV63+CV70+CV100+CV104+CV105+CV83+CV98+CV106+CV62+CV117</f>
        <v>2317.00780722673</v>
      </c>
      <c r="CW152" s="58" t="n">
        <f aca="false">CW63+CW70+CW100+CW104+CW105+CW83+CW98+CW106+CW62+CW117</f>
        <v>2342.46943148197</v>
      </c>
      <c r="CX152" s="58" t="n">
        <f aca="false">CX63+CX70+CX100+CX104+CX105+CX83+CX98+CX106+CX62+CX117</f>
        <v>2334.42339262719</v>
      </c>
      <c r="CY152" s="58" t="n">
        <f aca="false">CY63+CY70+CY100+CY104+CY105+CY83+CY98+CY106+CY62+CY117</f>
        <v>2293.77238046278</v>
      </c>
      <c r="CZ152" s="58" t="n">
        <f aca="false">CZ63+CZ70+CZ100+CZ104+CZ105+CZ83+CZ98+CZ106+CZ62+CZ117</f>
        <v>2319.2587402457</v>
      </c>
      <c r="DA152" s="58" t="n">
        <f aca="false">DA63+DA70+DA100+DA104+DA105+DA83+DA98+DA106+DA62+DA117</f>
        <v>2344.74510002862</v>
      </c>
      <c r="DB152" s="58" t="n">
        <f aca="false">DB63+DB70+DB100+DB104+DB105+DB83+DB98+DB106+DB62+DB117</f>
        <v>2127.75796595667</v>
      </c>
      <c r="DC152" s="58" t="n">
        <f aca="false">DC63+DC70+DC100+DC104+DC105+DC83+DC98+DC106+DC62+DC117</f>
        <v>2091.34156892558</v>
      </c>
      <c r="DD152" s="58" t="n">
        <f aca="false">DD63+DD70+DD100+DD104+DD105+DD83+DD98+DD106+DD62+DD117</f>
        <v>2114.5786974692</v>
      </c>
      <c r="DE152" s="58" t="n">
        <f aca="false">DE63+DE70+DE100+DE104+DE105+DE83+DE98+DE106+DE62+DE117</f>
        <v>2137.81582601281</v>
      </c>
      <c r="DF152" s="58" t="n">
        <f aca="false">DF63+DF70+DF100+DF104+DF105+DF83+DF98+DF106+DF62+DF117</f>
        <v>2129.67377475099</v>
      </c>
      <c r="DG152" s="58" t="n">
        <f aca="false">DG63+DG70+DG100+DG104+DG105+DG83+DG98+DG106+DG62+DG117</f>
        <v>2116.20284972323</v>
      </c>
      <c r="DH152" s="58" t="n">
        <f aca="false">DH63+DH70+DH100+DH104+DH105+DH83+DH98+DH106+DH62+DH117</f>
        <v>2116.20284972323</v>
      </c>
      <c r="DI152" s="58" t="n">
        <f aca="false">DI63+DI70+DI100+DI104+DI105+DI83+DI98+DI106+DI62+DI117</f>
        <v>2139.45782609381</v>
      </c>
      <c r="DJ152" s="58" t="n">
        <f aca="false">DJ63+DJ70+DJ100+DJ104+DJ105+DJ83+DJ98+DJ106+DJ62+DJ117</f>
        <v>2131.26763373715</v>
      </c>
      <c r="DK152" s="58" t="n">
        <f aca="false">DK63+DK70+DK100+DK104+DK105+DK83+DK98+DK106+DK62+DK117</f>
        <v>2094.22922134031</v>
      </c>
      <c r="DL152" s="58" t="n">
        <f aca="false">DL63+DL70+DL100+DL104+DL105+DL83+DL98+DL106+DL62+DL117</f>
        <v>2117.49843491076</v>
      </c>
      <c r="DM152" s="58" t="n">
        <f aca="false">DM63+DM70+DM100+DM104+DM105+DM83+DM98+DM106+DM62+DM117</f>
        <v>2140.76764848121</v>
      </c>
      <c r="DN152" s="58" t="n">
        <f aca="false">DN63+DN70+DN100+DN104+DN105+DN83+DN98+DN106+DN62+DN117</f>
        <v>2132.52923118543</v>
      </c>
      <c r="DO152" s="58" t="n">
        <f aca="false">DO63+DO70+DO100+DO104+DO105+DO83+DO98+DO106+DO62+DO117</f>
        <v>2095.17525809415</v>
      </c>
      <c r="DP152" s="58" t="n">
        <f aca="false">DP63+DP70+DP100+DP104+DP105+DP83+DP98+DP106+DP62+DP117</f>
        <v>2118.45498318408</v>
      </c>
      <c r="DQ152" s="58" t="n">
        <f aca="false">DQ63+DQ70+DQ100+DQ104+DQ105+DQ83+DQ98+DQ106+DQ62+DQ117</f>
        <v>2141.73470827402</v>
      </c>
      <c r="DR152" s="58" t="n">
        <f aca="false">DR63+DR70+DR100+DR104+DR105+DR83+DR98+DR106+DR62+DR117</f>
        <v>2133.4479869401</v>
      </c>
      <c r="DS152" s="58" t="n">
        <f aca="false">DS63+DS70+DS100+DS104+DS105+DS83+DS98+DS106+DS62+DS117</f>
        <v>2095.77535956</v>
      </c>
      <c r="DT152" s="58" t="n">
        <f aca="false">DT63+DT70+DT100+DT104+DT105+DT83+DT98+DT106+DT62+DT117</f>
        <v>2119.061752444</v>
      </c>
      <c r="DU152" s="58" t="n">
        <f aca="false">DU63+DU70+DU100+DU104+DU105+DU83+DU98+DU106+DU62+DU117</f>
        <v>2142.348145328</v>
      </c>
      <c r="DV152" s="58" t="n">
        <f aca="false">DV63+DV70+DV100+DV104+DV105+DV83+DV98+DV106+DV62+DV117</f>
        <v>2134.01304575269</v>
      </c>
      <c r="DW152" s="58" t="n">
        <f aca="false">DW63+DW70+DW100+DW104+DW105+DW83+DW98+DW106+DW62+DW117</f>
        <v>2119.30772157993</v>
      </c>
      <c r="DX152" s="58" t="n">
        <f aca="false">DX63+DX70+DX100+DX104+DX105+DX83+DX98+DX106+DX62+DX117</f>
        <v>2119.30772157993</v>
      </c>
      <c r="DY152" s="58" t="n">
        <f aca="false">DY63+DY70+DY100+DY104+DY105+DY83+DY98+DY106+DY62+DY117</f>
        <v>2142.59681742147</v>
      </c>
      <c r="DZ152" s="58" t="n">
        <f aca="false">DZ63+DZ70+DZ100+DZ104+DZ105+DZ83+DZ98+DZ106+DZ62+DZ117</f>
        <v>2134.2132704514</v>
      </c>
      <c r="EA152" s="58" t="n">
        <f aca="false">EA63+EA70+EA100+EA104+EA105+EA83+EA98+EA106+EA62+EA117</f>
        <v>2095.89387383467</v>
      </c>
      <c r="EB152" s="58" t="n">
        <f aca="false">EB63+EB70+EB100+EB104+EB105+EB83+EB98+EB106+EB62+EB117</f>
        <v>2119.18158354395</v>
      </c>
      <c r="EC152" s="58" t="n">
        <f aca="false">EC63+EC70+EC100+EC104+EC105+EC83+EC98+EC106+EC62+EC117</f>
        <v>2142.46929325322</v>
      </c>
      <c r="ED152" s="58" t="n">
        <f aca="false">ED63+ED70+ED100+ED104+ED105+ED83+ED98+ED106+ED62+ED117</f>
        <v>2134.03723494271</v>
      </c>
      <c r="EE152" s="58" t="n">
        <f aca="false">EE63+EE70+EE100+EE104+EE105+EE83+EE98+EE106+EE62+EE117</f>
        <v>2095.38963124086</v>
      </c>
      <c r="EF152" s="58" t="n">
        <f aca="false">EF63+EF70+EF100+EF104+EF105+EF83+EF98+EF106+EF62+EF117</f>
        <v>2118.67173825464</v>
      </c>
      <c r="EG152" s="58" t="n">
        <f aca="false">EG63+EG70+EG100+EG104+EG105+EG83+EG98+EG106+EG62+EG117</f>
        <v>2141.95384526843</v>
      </c>
      <c r="EH152" s="58" t="n">
        <f aca="false">EH63+EH70+EH100+EH104+EH105+EH83+EH98+EH106+EH62+EH117</f>
        <v>2133.4732170411</v>
      </c>
      <c r="EI152" s="58" t="n">
        <f aca="false">EI63+EI70+EI100+EI104+EI105+EI83+EI98+EI106+EI62+EI117</f>
        <v>2094.49412834513</v>
      </c>
      <c r="EJ152" s="58" t="n">
        <f aca="false">EJ63+EJ70+EJ100+EJ104+EJ105+EJ83+EJ98+EJ106+EJ62+EJ117</f>
        <v>2117.76628532674</v>
      </c>
      <c r="EK152" s="58" t="n">
        <f aca="false">EK63+EK70+EK100+EK104+EK105+EK83+EK98+EK106+EK62+EK117</f>
        <v>2141.03844230835</v>
      </c>
      <c r="EL152" s="58" t="n">
        <f aca="false">EL63+EL70+EL100+EL104+EL105+EL83+EL98+EL106+EL62+EL117</f>
        <v>2132.50919112262</v>
      </c>
      <c r="EM152" s="58" t="n">
        <f aca="false">EM63+EM70+EM100+EM104+EM105+EM83+EM98+EM106+EM62+EM117</f>
        <v>2116.45301662203</v>
      </c>
      <c r="EN152" s="58" t="n">
        <f aca="false">EN63+EN70+EN100+EN104+EN105+EN83+EN98+EN106+EN62+EN117</f>
        <v>2116.45301662203</v>
      </c>
      <c r="EO152" s="58" t="n">
        <f aca="false">EO63+EO70+EO100+EO104+EO105+EO83+EO98+EO106+EO62+EO117</f>
        <v>2139.71074207941</v>
      </c>
    </row>
    <row r="153" customFormat="false" ht="15" hidden="false" customHeight="false" outlineLevel="0" collapsed="false">
      <c r="C153" s="26" t="s">
        <v>91</v>
      </c>
      <c r="D153" s="12" t="s">
        <v>27</v>
      </c>
      <c r="E153" s="34" t="n">
        <f aca="false">XIRR($J152:$EO152,$J$4:$EO$4)</f>
        <v>0.0740585134078263</v>
      </c>
    </row>
    <row r="154" customFormat="false" ht="15" hidden="false" customHeight="false" outlineLevel="0" collapsed="false">
      <c r="C154" s="26" t="s">
        <v>92</v>
      </c>
      <c r="D154" s="12" t="s">
        <v>13</v>
      </c>
      <c r="E154" s="61" t="n">
        <f aca="false">SUMIF($J152:$EO152,"&gt;0")/-SUMIF($J152:$EO152,"&lt;0")</f>
        <v>3.130403587176</v>
      </c>
    </row>
    <row r="155" customFormat="false" ht="15" hidden="false" customHeight="false" outlineLevel="0" collapsed="false">
      <c r="C155" s="26" t="s">
        <v>93</v>
      </c>
      <c r="D155" s="12" t="s">
        <v>33</v>
      </c>
      <c r="E155" s="58" t="n">
        <f aca="false">XNPV(In_Discount_Rate,$J152:$EO152,$J$4:$EO$4)</f>
        <v>-3726.09993839986</v>
      </c>
    </row>
    <row r="157" customFormat="false" ht="15" hidden="false" customHeight="false" outlineLevel="0" collapsed="false">
      <c r="C157" s="4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O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45" min="10" style="1" width="11"/>
    <col collapsed="false" customWidth="false" hidden="true" outlineLevel="1" max="16384" min="146" style="1" width="13"/>
  </cols>
  <sheetData>
    <row r="1" customFormat="false" ht="15" hidden="false" customHeight="false" outlineLevel="0" collapsed="false">
      <c r="A1" s="48" t="n">
        <v>2</v>
      </c>
      <c r="C1" s="14" t="s">
        <v>406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Bana – Calculations – Chinese turbine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</row>
    <row r="3" customFormat="false" ht="15" hidden="false" customHeight="false" outlineLevel="0" collapsed="false">
      <c r="C3" s="1" t="s">
        <v>407</v>
      </c>
      <c r="D3" s="12" t="s">
        <v>38</v>
      </c>
      <c r="J3" s="47" t="n">
        <f aca="false">I$4+1</f>
        <v>46296</v>
      </c>
      <c r="K3" s="47" t="n">
        <f aca="false">J$4+1</f>
        <v>46388</v>
      </c>
      <c r="L3" s="47" t="n">
        <f aca="false">K$4+1</f>
        <v>46478</v>
      </c>
      <c r="M3" s="47" t="n">
        <f aca="false">L$4+1</f>
        <v>46569</v>
      </c>
      <c r="N3" s="47" t="n">
        <f aca="false">M$4+1</f>
        <v>46661</v>
      </c>
      <c r="O3" s="47" t="n">
        <f aca="false">N$4+1</f>
        <v>46753</v>
      </c>
      <c r="P3" s="47" t="n">
        <f aca="false">O$4+1</f>
        <v>46844</v>
      </c>
      <c r="Q3" s="47" t="n">
        <f aca="false">P$4+1</f>
        <v>46935</v>
      </c>
      <c r="R3" s="47" t="n">
        <f aca="false">Q$4+1</f>
        <v>47027</v>
      </c>
      <c r="S3" s="47" t="n">
        <f aca="false">R$4+1</f>
        <v>47119</v>
      </c>
      <c r="T3" s="47" t="n">
        <f aca="false">S$4+1</f>
        <v>47209</v>
      </c>
      <c r="U3" s="47" t="n">
        <f aca="false">T$4+1</f>
        <v>47300</v>
      </c>
      <c r="V3" s="47" t="n">
        <f aca="false">U$4+1</f>
        <v>47392</v>
      </c>
      <c r="W3" s="47" t="n">
        <f aca="false">V$4+1</f>
        <v>47484</v>
      </c>
      <c r="X3" s="47" t="n">
        <f aca="false">W$4+1</f>
        <v>47574</v>
      </c>
      <c r="Y3" s="47" t="n">
        <f aca="false">X$4+1</f>
        <v>47665</v>
      </c>
      <c r="Z3" s="47" t="n">
        <f aca="false">Y$4+1</f>
        <v>47757</v>
      </c>
      <c r="AA3" s="47" t="n">
        <f aca="false">Z$4+1</f>
        <v>47849</v>
      </c>
      <c r="AB3" s="47" t="n">
        <f aca="false">AA$4+1</f>
        <v>47939</v>
      </c>
      <c r="AC3" s="47" t="n">
        <f aca="false">AB$4+1</f>
        <v>48030</v>
      </c>
      <c r="AD3" s="47" t="n">
        <f aca="false">AC$4+1</f>
        <v>48122</v>
      </c>
      <c r="AE3" s="47" t="n">
        <f aca="false">AD$4+1</f>
        <v>48214</v>
      </c>
      <c r="AF3" s="47" t="n">
        <f aca="false">AE$4+1</f>
        <v>48305</v>
      </c>
      <c r="AG3" s="47" t="n">
        <f aca="false">AF$4+1</f>
        <v>48396</v>
      </c>
      <c r="AH3" s="47" t="n">
        <f aca="false">AG$4+1</f>
        <v>48488</v>
      </c>
      <c r="AI3" s="47" t="n">
        <f aca="false">AH$4+1</f>
        <v>48580</v>
      </c>
      <c r="AJ3" s="47" t="n">
        <f aca="false">AI$4+1</f>
        <v>48670</v>
      </c>
      <c r="AK3" s="47" t="n">
        <f aca="false">AJ$4+1</f>
        <v>48761</v>
      </c>
      <c r="AL3" s="47" t="n">
        <f aca="false">AK$4+1</f>
        <v>48853</v>
      </c>
      <c r="AM3" s="47" t="n">
        <f aca="false">AL$4+1</f>
        <v>48945</v>
      </c>
      <c r="AN3" s="47" t="n">
        <f aca="false">AM$4+1</f>
        <v>49035</v>
      </c>
      <c r="AO3" s="47" t="n">
        <f aca="false">AN$4+1</f>
        <v>49126</v>
      </c>
      <c r="AP3" s="47" t="n">
        <f aca="false">AO$4+1</f>
        <v>49218</v>
      </c>
      <c r="AQ3" s="47" t="n">
        <f aca="false">AP$4+1</f>
        <v>49310</v>
      </c>
      <c r="AR3" s="47" t="n">
        <f aca="false">AQ$4+1</f>
        <v>49400</v>
      </c>
      <c r="AS3" s="47" t="n">
        <f aca="false">AR$4+1</f>
        <v>49491</v>
      </c>
      <c r="AT3" s="47" t="n">
        <f aca="false">AS$4+1</f>
        <v>49583</v>
      </c>
      <c r="AU3" s="47" t="n">
        <f aca="false">AT$4+1</f>
        <v>49675</v>
      </c>
      <c r="AV3" s="47" t="n">
        <f aca="false">AU$4+1</f>
        <v>49766</v>
      </c>
      <c r="AW3" s="47" t="n">
        <f aca="false">AV$4+1</f>
        <v>49857</v>
      </c>
      <c r="AX3" s="47" t="n">
        <f aca="false">AW$4+1</f>
        <v>49949</v>
      </c>
      <c r="AY3" s="47" t="n">
        <f aca="false">AX$4+1</f>
        <v>50041</v>
      </c>
      <c r="AZ3" s="47" t="n">
        <f aca="false">AY$4+1</f>
        <v>50131</v>
      </c>
      <c r="BA3" s="47" t="n">
        <f aca="false">AZ$4+1</f>
        <v>50222</v>
      </c>
      <c r="BB3" s="47" t="n">
        <f aca="false">BA$4+1</f>
        <v>50314</v>
      </c>
      <c r="BC3" s="47" t="n">
        <f aca="false">BB$4+1</f>
        <v>50406</v>
      </c>
      <c r="BD3" s="47" t="n">
        <f aca="false">BC$4+1</f>
        <v>50496</v>
      </c>
      <c r="BE3" s="47" t="n">
        <f aca="false">BD$4+1</f>
        <v>50587</v>
      </c>
      <c r="BF3" s="47" t="n">
        <f aca="false">BE$4+1</f>
        <v>50679</v>
      </c>
      <c r="BG3" s="47" t="n">
        <f aca="false">BF$4+1</f>
        <v>50771</v>
      </c>
      <c r="BH3" s="47" t="n">
        <f aca="false">BG$4+1</f>
        <v>50861</v>
      </c>
      <c r="BI3" s="47" t="n">
        <f aca="false">BH$4+1</f>
        <v>50952</v>
      </c>
      <c r="BJ3" s="47" t="n">
        <f aca="false">BI$4+1</f>
        <v>51044</v>
      </c>
      <c r="BK3" s="47" t="n">
        <f aca="false">BJ$4+1</f>
        <v>51136</v>
      </c>
      <c r="BL3" s="47" t="n">
        <f aca="false">BK$4+1</f>
        <v>51227</v>
      </c>
      <c r="BM3" s="47" t="n">
        <f aca="false">BL$4+1</f>
        <v>51318</v>
      </c>
      <c r="BN3" s="47" t="n">
        <f aca="false">BM$4+1</f>
        <v>51410</v>
      </c>
      <c r="BO3" s="47" t="n">
        <f aca="false">BN$4+1</f>
        <v>51502</v>
      </c>
      <c r="BP3" s="47" t="n">
        <f aca="false">BO$4+1</f>
        <v>51592</v>
      </c>
      <c r="BQ3" s="47" t="n">
        <f aca="false">BP$4+1</f>
        <v>51683</v>
      </c>
      <c r="BR3" s="47" t="n">
        <f aca="false">BQ$4+1</f>
        <v>51775</v>
      </c>
      <c r="BS3" s="47" t="n">
        <f aca="false">BR$4+1</f>
        <v>51867</v>
      </c>
      <c r="BT3" s="47" t="n">
        <f aca="false">BS$4+1</f>
        <v>51957</v>
      </c>
      <c r="BU3" s="47" t="n">
        <f aca="false">BT$4+1</f>
        <v>52048</v>
      </c>
      <c r="BV3" s="47" t="n">
        <f aca="false">BU$4+1</f>
        <v>52140</v>
      </c>
      <c r="BW3" s="47" t="n">
        <f aca="false">BV$4+1</f>
        <v>52232</v>
      </c>
      <c r="BX3" s="47" t="n">
        <f aca="false">BW$4+1</f>
        <v>52322</v>
      </c>
      <c r="BY3" s="47" t="n">
        <f aca="false">BX$4+1</f>
        <v>52413</v>
      </c>
      <c r="BZ3" s="47" t="n">
        <f aca="false">BY$4+1</f>
        <v>52505</v>
      </c>
      <c r="CA3" s="47" t="n">
        <f aca="false">BZ$4+1</f>
        <v>52597</v>
      </c>
      <c r="CB3" s="47" t="n">
        <f aca="false">CA$4+1</f>
        <v>52688</v>
      </c>
      <c r="CC3" s="47" t="n">
        <f aca="false">CB$4+1</f>
        <v>52779</v>
      </c>
      <c r="CD3" s="47" t="n">
        <f aca="false">CC$4+1</f>
        <v>52871</v>
      </c>
      <c r="CE3" s="47" t="n">
        <f aca="false">CD$4+1</f>
        <v>52963</v>
      </c>
      <c r="CF3" s="47" t="n">
        <f aca="false">CE$4+1</f>
        <v>53053</v>
      </c>
      <c r="CG3" s="47" t="n">
        <f aca="false">CF$4+1</f>
        <v>53144</v>
      </c>
      <c r="CH3" s="47" t="n">
        <f aca="false">CG$4+1</f>
        <v>53236</v>
      </c>
      <c r="CI3" s="47" t="n">
        <f aca="false">CH$4+1</f>
        <v>53328</v>
      </c>
      <c r="CJ3" s="47" t="n">
        <f aca="false">CI$4+1</f>
        <v>53418</v>
      </c>
      <c r="CK3" s="47" t="n">
        <f aca="false">CJ$4+1</f>
        <v>53509</v>
      </c>
      <c r="CL3" s="47" t="n">
        <f aca="false">CK$4+1</f>
        <v>53601</v>
      </c>
      <c r="CM3" s="47" t="n">
        <f aca="false">CL$4+1</f>
        <v>53693</v>
      </c>
      <c r="CN3" s="47" t="n">
        <f aca="false">CM$4+1</f>
        <v>53783</v>
      </c>
      <c r="CO3" s="47" t="n">
        <f aca="false">CN$4+1</f>
        <v>53874</v>
      </c>
      <c r="CP3" s="47" t="n">
        <f aca="false">CO$4+1</f>
        <v>53966</v>
      </c>
      <c r="CQ3" s="47" t="n">
        <f aca="false">CP$4+1</f>
        <v>54058</v>
      </c>
      <c r="CR3" s="47" t="n">
        <f aca="false">CQ$4+1</f>
        <v>54149</v>
      </c>
      <c r="CS3" s="47" t="n">
        <f aca="false">CR$4+1</f>
        <v>54240</v>
      </c>
      <c r="CT3" s="47" t="n">
        <f aca="false">CS$4+1</f>
        <v>54332</v>
      </c>
      <c r="CU3" s="47" t="n">
        <f aca="false">CT$4+1</f>
        <v>54424</v>
      </c>
      <c r="CV3" s="47" t="n">
        <f aca="false">CU$4+1</f>
        <v>54514</v>
      </c>
      <c r="CW3" s="47" t="n">
        <f aca="false">CV$4+1</f>
        <v>54605</v>
      </c>
      <c r="CX3" s="47" t="n">
        <f aca="false">CW$4+1</f>
        <v>54697</v>
      </c>
      <c r="CY3" s="47" t="n">
        <f aca="false">CX$4+1</f>
        <v>54789</v>
      </c>
      <c r="CZ3" s="47" t="n">
        <f aca="false">CY$4+1</f>
        <v>54879</v>
      </c>
      <c r="DA3" s="47" t="n">
        <f aca="false">CZ$4+1</f>
        <v>54970</v>
      </c>
      <c r="DB3" s="47" t="n">
        <f aca="false">DA$4+1</f>
        <v>55062</v>
      </c>
      <c r="DC3" s="47" t="n">
        <f aca="false">DB$4+1</f>
        <v>55154</v>
      </c>
      <c r="DD3" s="47" t="n">
        <f aca="false">DC$4+1</f>
        <v>55244</v>
      </c>
      <c r="DE3" s="47" t="n">
        <f aca="false">DD$4+1</f>
        <v>55335</v>
      </c>
      <c r="DF3" s="47" t="n">
        <f aca="false">DE$4+1</f>
        <v>55427</v>
      </c>
      <c r="DG3" s="47" t="n">
        <f aca="false">DF$4+1</f>
        <v>55519</v>
      </c>
      <c r="DH3" s="47" t="n">
        <f aca="false">DG$4+1</f>
        <v>55610</v>
      </c>
      <c r="DI3" s="47" t="n">
        <f aca="false">DH$4+1</f>
        <v>55701</v>
      </c>
      <c r="DJ3" s="47" t="n">
        <f aca="false">DI$4+1</f>
        <v>55793</v>
      </c>
      <c r="DK3" s="47" t="n">
        <f aca="false">DJ$4+1</f>
        <v>55885</v>
      </c>
      <c r="DL3" s="47" t="n">
        <f aca="false">DK$4+1</f>
        <v>55975</v>
      </c>
      <c r="DM3" s="47" t="n">
        <f aca="false">DL$4+1</f>
        <v>56066</v>
      </c>
      <c r="DN3" s="47" t="n">
        <f aca="false">DM$4+1</f>
        <v>56158</v>
      </c>
      <c r="DO3" s="47" t="n">
        <f aca="false">DN$4+1</f>
        <v>56250</v>
      </c>
      <c r="DP3" s="47" t="n">
        <f aca="false">DO$4+1</f>
        <v>56340</v>
      </c>
      <c r="DQ3" s="47" t="n">
        <f aca="false">DP$4+1</f>
        <v>56431</v>
      </c>
      <c r="DR3" s="47" t="n">
        <f aca="false">DQ$4+1</f>
        <v>56523</v>
      </c>
      <c r="DS3" s="47" t="n">
        <f aca="false">DR$4+1</f>
        <v>56615</v>
      </c>
      <c r="DT3" s="47" t="n">
        <f aca="false">DS$4+1</f>
        <v>56705</v>
      </c>
      <c r="DU3" s="47" t="n">
        <f aca="false">DT$4+1</f>
        <v>56796</v>
      </c>
      <c r="DV3" s="47" t="n">
        <f aca="false">DU$4+1</f>
        <v>56888</v>
      </c>
      <c r="DW3" s="47" t="n">
        <f aca="false">DV$4+1</f>
        <v>56980</v>
      </c>
      <c r="DX3" s="47" t="n">
        <f aca="false">DW$4+1</f>
        <v>57071</v>
      </c>
      <c r="DY3" s="47" t="n">
        <f aca="false">DX$4+1</f>
        <v>57162</v>
      </c>
      <c r="DZ3" s="47" t="n">
        <f aca="false">DY$4+1</f>
        <v>57254</v>
      </c>
      <c r="EA3" s="47" t="n">
        <f aca="false">DZ$4+1</f>
        <v>57346</v>
      </c>
      <c r="EB3" s="47" t="n">
        <f aca="false">EA$4+1</f>
        <v>57436</v>
      </c>
      <c r="EC3" s="47" t="n">
        <f aca="false">EB$4+1</f>
        <v>57527</v>
      </c>
      <c r="ED3" s="47" t="n">
        <f aca="false">EC$4+1</f>
        <v>57619</v>
      </c>
      <c r="EE3" s="47" t="n">
        <f aca="false">ED$4+1</f>
        <v>57711</v>
      </c>
      <c r="EF3" s="47" t="n">
        <f aca="false">EE$4+1</f>
        <v>57801</v>
      </c>
      <c r="EG3" s="47" t="n">
        <f aca="false">EF$4+1</f>
        <v>57892</v>
      </c>
      <c r="EH3" s="47" t="n">
        <f aca="false">EG$4+1</f>
        <v>57984</v>
      </c>
      <c r="EI3" s="47" t="n">
        <f aca="false">EH$4+1</f>
        <v>58076</v>
      </c>
      <c r="EJ3" s="47" t="n">
        <f aca="false">EI$4+1</f>
        <v>58166</v>
      </c>
      <c r="EK3" s="47" t="n">
        <f aca="false">EJ$4+1</f>
        <v>58257</v>
      </c>
      <c r="EL3" s="47" t="n">
        <f aca="false">EK$4+1</f>
        <v>58349</v>
      </c>
      <c r="EM3" s="47" t="n">
        <f aca="false">EL$4+1</f>
        <v>58441</v>
      </c>
      <c r="EN3" s="47" t="n">
        <f aca="false">EM$4+1</f>
        <v>58532</v>
      </c>
      <c r="EO3" s="47" t="n">
        <f aca="false">EN$4+1</f>
        <v>58623</v>
      </c>
    </row>
    <row r="4" customFormat="false" ht="15" hidden="false" customHeight="false" outlineLevel="0" collapsed="false">
      <c r="C4" s="1" t="s">
        <v>408</v>
      </c>
      <c r="D4" s="12" t="s">
        <v>38</v>
      </c>
      <c r="I4" s="47" t="n">
        <f aca="false">In_Model_Start-1</f>
        <v>46295</v>
      </c>
      <c r="J4" s="55" t="n">
        <f aca="false">EOMONTH(J$3,Months_Per_Period-1)</f>
        <v>46387</v>
      </c>
      <c r="K4" s="55" t="n">
        <f aca="false">EOMONTH(K$3,Months_Per_Period-1)</f>
        <v>46477</v>
      </c>
      <c r="L4" s="55" t="n">
        <f aca="false">EOMONTH(L$3,Months_Per_Period-1)</f>
        <v>46568</v>
      </c>
      <c r="M4" s="55" t="n">
        <f aca="false">EOMONTH(M$3,Months_Per_Period-1)</f>
        <v>46660</v>
      </c>
      <c r="N4" s="55" t="n">
        <f aca="false">EOMONTH(N$3,Months_Per_Period-1)</f>
        <v>46752</v>
      </c>
      <c r="O4" s="55" t="n">
        <f aca="false">EOMONTH(O$3,Months_Per_Period-1)</f>
        <v>46843</v>
      </c>
      <c r="P4" s="55" t="n">
        <f aca="false">EOMONTH(P$3,Months_Per_Period-1)</f>
        <v>46934</v>
      </c>
      <c r="Q4" s="55" t="n">
        <f aca="false">EOMONTH(Q$3,Months_Per_Period-1)</f>
        <v>47026</v>
      </c>
      <c r="R4" s="55" t="n">
        <f aca="false">EOMONTH(R$3,Months_Per_Period-1)</f>
        <v>47118</v>
      </c>
      <c r="S4" s="55" t="n">
        <f aca="false">EOMONTH(S$3,Months_Per_Period-1)</f>
        <v>47208</v>
      </c>
      <c r="T4" s="55" t="n">
        <f aca="false">EOMONTH(T$3,Months_Per_Period-1)</f>
        <v>47299</v>
      </c>
      <c r="U4" s="55" t="n">
        <f aca="false">EOMONTH(U$3,Months_Per_Period-1)</f>
        <v>47391</v>
      </c>
      <c r="V4" s="55" t="n">
        <f aca="false">EOMONTH(V$3,Months_Per_Period-1)</f>
        <v>47483</v>
      </c>
      <c r="W4" s="55" t="n">
        <f aca="false">EOMONTH(W$3,Months_Per_Period-1)</f>
        <v>47573</v>
      </c>
      <c r="X4" s="55" t="n">
        <f aca="false">EOMONTH(X$3,Months_Per_Period-1)</f>
        <v>47664</v>
      </c>
      <c r="Y4" s="55" t="n">
        <f aca="false">EOMONTH(Y$3,Months_Per_Period-1)</f>
        <v>47756</v>
      </c>
      <c r="Z4" s="55" t="n">
        <f aca="false">EOMONTH(Z$3,Months_Per_Period-1)</f>
        <v>47848</v>
      </c>
      <c r="AA4" s="55" t="n">
        <f aca="false">EOMONTH(AA$3,Months_Per_Period-1)</f>
        <v>47938</v>
      </c>
      <c r="AB4" s="55" t="n">
        <f aca="false">EOMONTH(AB$3,Months_Per_Period-1)</f>
        <v>48029</v>
      </c>
      <c r="AC4" s="55" t="n">
        <f aca="false">EOMONTH(AC$3,Months_Per_Period-1)</f>
        <v>48121</v>
      </c>
      <c r="AD4" s="55" t="n">
        <f aca="false">EOMONTH(AD$3,Months_Per_Period-1)</f>
        <v>48213</v>
      </c>
      <c r="AE4" s="55" t="n">
        <f aca="false">EOMONTH(AE$3,Months_Per_Period-1)</f>
        <v>48304</v>
      </c>
      <c r="AF4" s="55" t="n">
        <f aca="false">EOMONTH(AF$3,Months_Per_Period-1)</f>
        <v>48395</v>
      </c>
      <c r="AG4" s="55" t="n">
        <f aca="false">EOMONTH(AG$3,Months_Per_Period-1)</f>
        <v>48487</v>
      </c>
      <c r="AH4" s="55" t="n">
        <f aca="false">EOMONTH(AH$3,Months_Per_Period-1)</f>
        <v>48579</v>
      </c>
      <c r="AI4" s="55" t="n">
        <f aca="false">EOMONTH(AI$3,Months_Per_Period-1)</f>
        <v>48669</v>
      </c>
      <c r="AJ4" s="55" t="n">
        <f aca="false">EOMONTH(AJ$3,Months_Per_Period-1)</f>
        <v>48760</v>
      </c>
      <c r="AK4" s="55" t="n">
        <f aca="false">EOMONTH(AK$3,Months_Per_Period-1)</f>
        <v>48852</v>
      </c>
      <c r="AL4" s="55" t="n">
        <f aca="false">EOMONTH(AL$3,Months_Per_Period-1)</f>
        <v>48944</v>
      </c>
      <c r="AM4" s="55" t="n">
        <f aca="false">EOMONTH(AM$3,Months_Per_Period-1)</f>
        <v>49034</v>
      </c>
      <c r="AN4" s="55" t="n">
        <f aca="false">EOMONTH(AN$3,Months_Per_Period-1)</f>
        <v>49125</v>
      </c>
      <c r="AO4" s="55" t="n">
        <f aca="false">EOMONTH(AO$3,Months_Per_Period-1)</f>
        <v>49217</v>
      </c>
      <c r="AP4" s="55" t="n">
        <f aca="false">EOMONTH(AP$3,Months_Per_Period-1)</f>
        <v>49309</v>
      </c>
      <c r="AQ4" s="55" t="n">
        <f aca="false">EOMONTH(AQ$3,Months_Per_Period-1)</f>
        <v>49399</v>
      </c>
      <c r="AR4" s="55" t="n">
        <f aca="false">EOMONTH(AR$3,Months_Per_Period-1)</f>
        <v>49490</v>
      </c>
      <c r="AS4" s="55" t="n">
        <f aca="false">EOMONTH(AS$3,Months_Per_Period-1)</f>
        <v>49582</v>
      </c>
      <c r="AT4" s="55" t="n">
        <f aca="false">EOMONTH(AT$3,Months_Per_Period-1)</f>
        <v>49674</v>
      </c>
      <c r="AU4" s="55" t="n">
        <f aca="false">EOMONTH(AU$3,Months_Per_Period-1)</f>
        <v>49765</v>
      </c>
      <c r="AV4" s="55" t="n">
        <f aca="false">EOMONTH(AV$3,Months_Per_Period-1)</f>
        <v>49856</v>
      </c>
      <c r="AW4" s="55" t="n">
        <f aca="false">EOMONTH(AW$3,Months_Per_Period-1)</f>
        <v>49948</v>
      </c>
      <c r="AX4" s="55" t="n">
        <f aca="false">EOMONTH(AX$3,Months_Per_Period-1)</f>
        <v>50040</v>
      </c>
      <c r="AY4" s="55" t="n">
        <f aca="false">EOMONTH(AY$3,Months_Per_Period-1)</f>
        <v>50130</v>
      </c>
      <c r="AZ4" s="55" t="n">
        <f aca="false">EOMONTH(AZ$3,Months_Per_Period-1)</f>
        <v>50221</v>
      </c>
      <c r="BA4" s="55" t="n">
        <f aca="false">EOMONTH(BA$3,Months_Per_Period-1)</f>
        <v>50313</v>
      </c>
      <c r="BB4" s="55" t="n">
        <f aca="false">EOMONTH(BB$3,Months_Per_Period-1)</f>
        <v>50405</v>
      </c>
      <c r="BC4" s="55" t="n">
        <f aca="false">EOMONTH(BC$3,Months_Per_Period-1)</f>
        <v>50495</v>
      </c>
      <c r="BD4" s="55" t="n">
        <f aca="false">EOMONTH(BD$3,Months_Per_Period-1)</f>
        <v>50586</v>
      </c>
      <c r="BE4" s="55" t="n">
        <f aca="false">EOMONTH(BE$3,Months_Per_Period-1)</f>
        <v>50678</v>
      </c>
      <c r="BF4" s="55" t="n">
        <f aca="false">EOMONTH(BF$3,Months_Per_Period-1)</f>
        <v>50770</v>
      </c>
      <c r="BG4" s="55" t="n">
        <f aca="false">EOMONTH(BG$3,Months_Per_Period-1)</f>
        <v>50860</v>
      </c>
      <c r="BH4" s="55" t="n">
        <f aca="false">EOMONTH(BH$3,Months_Per_Period-1)</f>
        <v>50951</v>
      </c>
      <c r="BI4" s="55" t="n">
        <f aca="false">EOMONTH(BI$3,Months_Per_Period-1)</f>
        <v>51043</v>
      </c>
      <c r="BJ4" s="55" t="n">
        <f aca="false">EOMONTH(BJ$3,Months_Per_Period-1)</f>
        <v>51135</v>
      </c>
      <c r="BK4" s="55" t="n">
        <f aca="false">EOMONTH(BK$3,Months_Per_Period-1)</f>
        <v>51226</v>
      </c>
      <c r="BL4" s="55" t="n">
        <f aca="false">EOMONTH(BL$3,Months_Per_Period-1)</f>
        <v>51317</v>
      </c>
      <c r="BM4" s="55" t="n">
        <f aca="false">EOMONTH(BM$3,Months_Per_Period-1)</f>
        <v>51409</v>
      </c>
      <c r="BN4" s="55" t="n">
        <f aca="false">EOMONTH(BN$3,Months_Per_Period-1)</f>
        <v>51501</v>
      </c>
      <c r="BO4" s="55" t="n">
        <f aca="false">EOMONTH(BO$3,Months_Per_Period-1)</f>
        <v>51591</v>
      </c>
      <c r="BP4" s="55" t="n">
        <f aca="false">EOMONTH(BP$3,Months_Per_Period-1)</f>
        <v>51682</v>
      </c>
      <c r="BQ4" s="55" t="n">
        <f aca="false">EOMONTH(BQ$3,Months_Per_Period-1)</f>
        <v>51774</v>
      </c>
      <c r="BR4" s="55" t="n">
        <f aca="false">EOMONTH(BR$3,Months_Per_Period-1)</f>
        <v>51866</v>
      </c>
      <c r="BS4" s="55" t="n">
        <f aca="false">EOMONTH(BS$3,Months_Per_Period-1)</f>
        <v>51956</v>
      </c>
      <c r="BT4" s="55" t="n">
        <f aca="false">EOMONTH(BT$3,Months_Per_Period-1)</f>
        <v>52047</v>
      </c>
      <c r="BU4" s="55" t="n">
        <f aca="false">EOMONTH(BU$3,Months_Per_Period-1)</f>
        <v>52139</v>
      </c>
      <c r="BV4" s="55" t="n">
        <f aca="false">EOMONTH(BV$3,Months_Per_Period-1)</f>
        <v>52231</v>
      </c>
      <c r="BW4" s="55" t="n">
        <f aca="false">EOMONTH(BW$3,Months_Per_Period-1)</f>
        <v>52321</v>
      </c>
      <c r="BX4" s="55" t="n">
        <f aca="false">EOMONTH(BX$3,Months_Per_Period-1)</f>
        <v>52412</v>
      </c>
      <c r="BY4" s="55" t="n">
        <f aca="false">EOMONTH(BY$3,Months_Per_Period-1)</f>
        <v>52504</v>
      </c>
      <c r="BZ4" s="55" t="n">
        <f aca="false">EOMONTH(BZ$3,Months_Per_Period-1)</f>
        <v>52596</v>
      </c>
      <c r="CA4" s="55" t="n">
        <f aca="false">EOMONTH(CA$3,Months_Per_Period-1)</f>
        <v>52687</v>
      </c>
      <c r="CB4" s="55" t="n">
        <f aca="false">EOMONTH(CB$3,Months_Per_Period-1)</f>
        <v>52778</v>
      </c>
      <c r="CC4" s="55" t="n">
        <f aca="false">EOMONTH(CC$3,Months_Per_Period-1)</f>
        <v>52870</v>
      </c>
      <c r="CD4" s="55" t="n">
        <f aca="false">EOMONTH(CD$3,Months_Per_Period-1)</f>
        <v>52962</v>
      </c>
      <c r="CE4" s="55" t="n">
        <f aca="false">EOMONTH(CE$3,Months_Per_Period-1)</f>
        <v>53052</v>
      </c>
      <c r="CF4" s="55" t="n">
        <f aca="false">EOMONTH(CF$3,Months_Per_Period-1)</f>
        <v>53143</v>
      </c>
      <c r="CG4" s="55" t="n">
        <f aca="false">EOMONTH(CG$3,Months_Per_Period-1)</f>
        <v>53235</v>
      </c>
      <c r="CH4" s="55" t="n">
        <f aca="false">EOMONTH(CH$3,Months_Per_Period-1)</f>
        <v>53327</v>
      </c>
      <c r="CI4" s="55" t="n">
        <f aca="false">EOMONTH(CI$3,Months_Per_Period-1)</f>
        <v>53417</v>
      </c>
      <c r="CJ4" s="55" t="n">
        <f aca="false">EOMONTH(CJ$3,Months_Per_Period-1)</f>
        <v>53508</v>
      </c>
      <c r="CK4" s="55" t="n">
        <f aca="false">EOMONTH(CK$3,Months_Per_Period-1)</f>
        <v>53600</v>
      </c>
      <c r="CL4" s="55" t="n">
        <f aca="false">EOMONTH(CL$3,Months_Per_Period-1)</f>
        <v>53692</v>
      </c>
      <c r="CM4" s="55" t="n">
        <f aca="false">EOMONTH(CM$3,Months_Per_Period-1)</f>
        <v>53782</v>
      </c>
      <c r="CN4" s="55" t="n">
        <f aca="false">EOMONTH(CN$3,Months_Per_Period-1)</f>
        <v>53873</v>
      </c>
      <c r="CO4" s="55" t="n">
        <f aca="false">EOMONTH(CO$3,Months_Per_Period-1)</f>
        <v>53965</v>
      </c>
      <c r="CP4" s="55" t="n">
        <f aca="false">EOMONTH(CP$3,Months_Per_Period-1)</f>
        <v>54057</v>
      </c>
      <c r="CQ4" s="55" t="n">
        <f aca="false">EOMONTH(CQ$3,Months_Per_Period-1)</f>
        <v>54148</v>
      </c>
      <c r="CR4" s="55" t="n">
        <f aca="false">EOMONTH(CR$3,Months_Per_Period-1)</f>
        <v>54239</v>
      </c>
      <c r="CS4" s="55" t="n">
        <f aca="false">EOMONTH(CS$3,Months_Per_Period-1)</f>
        <v>54331</v>
      </c>
      <c r="CT4" s="55" t="n">
        <f aca="false">EOMONTH(CT$3,Months_Per_Period-1)</f>
        <v>54423</v>
      </c>
      <c r="CU4" s="55" t="n">
        <f aca="false">EOMONTH(CU$3,Months_Per_Period-1)</f>
        <v>54513</v>
      </c>
      <c r="CV4" s="55" t="n">
        <f aca="false">EOMONTH(CV$3,Months_Per_Period-1)</f>
        <v>54604</v>
      </c>
      <c r="CW4" s="55" t="n">
        <f aca="false">EOMONTH(CW$3,Months_Per_Period-1)</f>
        <v>54696</v>
      </c>
      <c r="CX4" s="55" t="n">
        <f aca="false">EOMONTH(CX$3,Months_Per_Period-1)</f>
        <v>54788</v>
      </c>
      <c r="CY4" s="55" t="n">
        <f aca="false">EOMONTH(CY$3,Months_Per_Period-1)</f>
        <v>54878</v>
      </c>
      <c r="CZ4" s="55" t="n">
        <f aca="false">EOMONTH(CZ$3,Months_Per_Period-1)</f>
        <v>54969</v>
      </c>
      <c r="DA4" s="55" t="n">
        <f aca="false">EOMONTH(DA$3,Months_Per_Period-1)</f>
        <v>55061</v>
      </c>
      <c r="DB4" s="55" t="n">
        <f aca="false">EOMONTH(DB$3,Months_Per_Period-1)</f>
        <v>55153</v>
      </c>
      <c r="DC4" s="55" t="n">
        <f aca="false">EOMONTH(DC$3,Months_Per_Period-1)</f>
        <v>55243</v>
      </c>
      <c r="DD4" s="55" t="n">
        <f aca="false">EOMONTH(DD$3,Months_Per_Period-1)</f>
        <v>55334</v>
      </c>
      <c r="DE4" s="55" t="n">
        <f aca="false">EOMONTH(DE$3,Months_Per_Period-1)</f>
        <v>55426</v>
      </c>
      <c r="DF4" s="55" t="n">
        <f aca="false">EOMONTH(DF$3,Months_Per_Period-1)</f>
        <v>55518</v>
      </c>
      <c r="DG4" s="55" t="n">
        <f aca="false">EOMONTH(DG$3,Months_Per_Period-1)</f>
        <v>55609</v>
      </c>
      <c r="DH4" s="55" t="n">
        <f aca="false">EOMONTH(DH$3,Months_Per_Period-1)</f>
        <v>55700</v>
      </c>
      <c r="DI4" s="55" t="n">
        <f aca="false">EOMONTH(DI$3,Months_Per_Period-1)</f>
        <v>55792</v>
      </c>
      <c r="DJ4" s="55" t="n">
        <f aca="false">EOMONTH(DJ$3,Months_Per_Period-1)</f>
        <v>55884</v>
      </c>
      <c r="DK4" s="55" t="n">
        <f aca="false">EOMONTH(DK$3,Months_Per_Period-1)</f>
        <v>55974</v>
      </c>
      <c r="DL4" s="55" t="n">
        <f aca="false">EOMONTH(DL$3,Months_Per_Period-1)</f>
        <v>56065</v>
      </c>
      <c r="DM4" s="55" t="n">
        <f aca="false">EOMONTH(DM$3,Months_Per_Period-1)</f>
        <v>56157</v>
      </c>
      <c r="DN4" s="55" t="n">
        <f aca="false">EOMONTH(DN$3,Months_Per_Period-1)</f>
        <v>56249</v>
      </c>
      <c r="DO4" s="55" t="n">
        <f aca="false">EOMONTH(DO$3,Months_Per_Period-1)</f>
        <v>56339</v>
      </c>
      <c r="DP4" s="55" t="n">
        <f aca="false">EOMONTH(DP$3,Months_Per_Period-1)</f>
        <v>56430</v>
      </c>
      <c r="DQ4" s="55" t="n">
        <f aca="false">EOMONTH(DQ$3,Months_Per_Period-1)</f>
        <v>56522</v>
      </c>
      <c r="DR4" s="55" t="n">
        <f aca="false">EOMONTH(DR$3,Months_Per_Period-1)</f>
        <v>56614</v>
      </c>
      <c r="DS4" s="55" t="n">
        <f aca="false">EOMONTH(DS$3,Months_Per_Period-1)</f>
        <v>56704</v>
      </c>
      <c r="DT4" s="55" t="n">
        <f aca="false">EOMONTH(DT$3,Months_Per_Period-1)</f>
        <v>56795</v>
      </c>
      <c r="DU4" s="55" t="n">
        <f aca="false">EOMONTH(DU$3,Months_Per_Period-1)</f>
        <v>56887</v>
      </c>
      <c r="DV4" s="55" t="n">
        <f aca="false">EOMONTH(DV$3,Months_Per_Period-1)</f>
        <v>56979</v>
      </c>
      <c r="DW4" s="55" t="n">
        <f aca="false">EOMONTH(DW$3,Months_Per_Period-1)</f>
        <v>57070</v>
      </c>
      <c r="DX4" s="55" t="n">
        <f aca="false">EOMONTH(DX$3,Months_Per_Period-1)</f>
        <v>57161</v>
      </c>
      <c r="DY4" s="55" t="n">
        <f aca="false">EOMONTH(DY$3,Months_Per_Period-1)</f>
        <v>57253</v>
      </c>
      <c r="DZ4" s="55" t="n">
        <f aca="false">EOMONTH(DZ$3,Months_Per_Period-1)</f>
        <v>57345</v>
      </c>
      <c r="EA4" s="55" t="n">
        <f aca="false">EOMONTH(EA$3,Months_Per_Period-1)</f>
        <v>57435</v>
      </c>
      <c r="EB4" s="55" t="n">
        <f aca="false">EOMONTH(EB$3,Months_Per_Period-1)</f>
        <v>57526</v>
      </c>
      <c r="EC4" s="55" t="n">
        <f aca="false">EOMONTH(EC$3,Months_Per_Period-1)</f>
        <v>57618</v>
      </c>
      <c r="ED4" s="55" t="n">
        <f aca="false">EOMONTH(ED$3,Months_Per_Period-1)</f>
        <v>57710</v>
      </c>
      <c r="EE4" s="55" t="n">
        <f aca="false">EOMONTH(EE$3,Months_Per_Period-1)</f>
        <v>57800</v>
      </c>
      <c r="EF4" s="55" t="n">
        <f aca="false">EOMONTH(EF$3,Months_Per_Period-1)</f>
        <v>57891</v>
      </c>
      <c r="EG4" s="55" t="n">
        <f aca="false">EOMONTH(EG$3,Months_Per_Period-1)</f>
        <v>57983</v>
      </c>
      <c r="EH4" s="55" t="n">
        <f aca="false">EOMONTH(EH$3,Months_Per_Period-1)</f>
        <v>58075</v>
      </c>
      <c r="EI4" s="55" t="n">
        <f aca="false">EOMONTH(EI$3,Months_Per_Period-1)</f>
        <v>58165</v>
      </c>
      <c r="EJ4" s="55" t="n">
        <f aca="false">EOMONTH(EJ$3,Months_Per_Period-1)</f>
        <v>58256</v>
      </c>
      <c r="EK4" s="55" t="n">
        <f aca="false">EOMONTH(EK$3,Months_Per_Period-1)</f>
        <v>58348</v>
      </c>
      <c r="EL4" s="55" t="n">
        <f aca="false">EOMONTH(EL$3,Months_Per_Period-1)</f>
        <v>58440</v>
      </c>
      <c r="EM4" s="55" t="n">
        <f aca="false">EOMONTH(EM$3,Months_Per_Period-1)</f>
        <v>58531</v>
      </c>
      <c r="EN4" s="55" t="n">
        <f aca="false">EOMONTH(EN$3,Months_Per_Period-1)</f>
        <v>58622</v>
      </c>
      <c r="EO4" s="55" t="n">
        <f aca="false">EOMONTH(EO$3,Months_Per_Period-1)</f>
        <v>58714</v>
      </c>
    </row>
    <row r="5" customFormat="false" ht="15" hidden="false" customHeight="false" outlineLevel="0" collapsed="false">
      <c r="C5" s="1" t="s">
        <v>409</v>
      </c>
      <c r="D5" s="12" t="s">
        <v>209</v>
      </c>
      <c r="J5" s="45" t="n">
        <f aca="false">J$4-J$3+1</f>
        <v>92</v>
      </c>
      <c r="K5" s="45" t="n">
        <f aca="false">K$4-K$3+1</f>
        <v>90</v>
      </c>
      <c r="L5" s="45" t="n">
        <f aca="false">L$4-L$3+1</f>
        <v>91</v>
      </c>
      <c r="M5" s="45" t="n">
        <f aca="false">M$4-M$3+1</f>
        <v>92</v>
      </c>
      <c r="N5" s="45" t="n">
        <f aca="false">N$4-N$3+1</f>
        <v>92</v>
      </c>
      <c r="O5" s="45" t="n">
        <f aca="false">O$4-O$3+1</f>
        <v>91</v>
      </c>
      <c r="P5" s="45" t="n">
        <f aca="false">P$4-P$3+1</f>
        <v>91</v>
      </c>
      <c r="Q5" s="45" t="n">
        <f aca="false">Q$4-Q$3+1</f>
        <v>92</v>
      </c>
      <c r="R5" s="45" t="n">
        <f aca="false">R$4-R$3+1</f>
        <v>92</v>
      </c>
      <c r="S5" s="45" t="n">
        <f aca="false">S$4-S$3+1</f>
        <v>90</v>
      </c>
      <c r="T5" s="45" t="n">
        <f aca="false">T$4-T$3+1</f>
        <v>91</v>
      </c>
      <c r="U5" s="45" t="n">
        <f aca="false">U$4-U$3+1</f>
        <v>92</v>
      </c>
      <c r="V5" s="45" t="n">
        <f aca="false">V$4-V$3+1</f>
        <v>92</v>
      </c>
      <c r="W5" s="45" t="n">
        <f aca="false">W$4-W$3+1</f>
        <v>90</v>
      </c>
      <c r="X5" s="45" t="n">
        <f aca="false">X$4-X$3+1</f>
        <v>91</v>
      </c>
      <c r="Y5" s="45" t="n">
        <f aca="false">Y$4-Y$3+1</f>
        <v>92</v>
      </c>
      <c r="Z5" s="45" t="n">
        <f aca="false">Z$4-Z$3+1</f>
        <v>92</v>
      </c>
      <c r="AA5" s="45" t="n">
        <f aca="false">AA$4-AA$3+1</f>
        <v>90</v>
      </c>
      <c r="AB5" s="45" t="n">
        <f aca="false">AB$4-AB$3+1</f>
        <v>91</v>
      </c>
      <c r="AC5" s="45" t="n">
        <f aca="false">AC$4-AC$3+1</f>
        <v>92</v>
      </c>
      <c r="AD5" s="45" t="n">
        <f aca="false">AD$4-AD$3+1</f>
        <v>92</v>
      </c>
      <c r="AE5" s="45" t="n">
        <f aca="false">AE$4-AE$3+1</f>
        <v>91</v>
      </c>
      <c r="AF5" s="45" t="n">
        <f aca="false">AF$4-AF$3+1</f>
        <v>91</v>
      </c>
      <c r="AG5" s="45" t="n">
        <f aca="false">AG$4-AG$3+1</f>
        <v>92</v>
      </c>
      <c r="AH5" s="45" t="n">
        <f aca="false">AH$4-AH$3+1</f>
        <v>92</v>
      </c>
      <c r="AI5" s="45" t="n">
        <f aca="false">AI$4-AI$3+1</f>
        <v>90</v>
      </c>
      <c r="AJ5" s="45" t="n">
        <f aca="false">AJ$4-AJ$3+1</f>
        <v>91</v>
      </c>
      <c r="AK5" s="45" t="n">
        <f aca="false">AK$4-AK$3+1</f>
        <v>92</v>
      </c>
      <c r="AL5" s="45" t="n">
        <f aca="false">AL$4-AL$3+1</f>
        <v>92</v>
      </c>
      <c r="AM5" s="45" t="n">
        <f aca="false">AM$4-AM$3+1</f>
        <v>90</v>
      </c>
      <c r="AN5" s="45" t="n">
        <f aca="false">AN$4-AN$3+1</f>
        <v>91</v>
      </c>
      <c r="AO5" s="45" t="n">
        <f aca="false">AO$4-AO$3+1</f>
        <v>92</v>
      </c>
      <c r="AP5" s="45" t="n">
        <f aca="false">AP$4-AP$3+1</f>
        <v>92</v>
      </c>
      <c r="AQ5" s="45" t="n">
        <f aca="false">AQ$4-AQ$3+1</f>
        <v>90</v>
      </c>
      <c r="AR5" s="45" t="n">
        <f aca="false">AR$4-AR$3+1</f>
        <v>91</v>
      </c>
      <c r="AS5" s="45" t="n">
        <f aca="false">AS$4-AS$3+1</f>
        <v>92</v>
      </c>
      <c r="AT5" s="45" t="n">
        <f aca="false">AT$4-AT$3+1</f>
        <v>92</v>
      </c>
      <c r="AU5" s="45" t="n">
        <f aca="false">AU$4-AU$3+1</f>
        <v>91</v>
      </c>
      <c r="AV5" s="45" t="n">
        <f aca="false">AV$4-AV$3+1</f>
        <v>91</v>
      </c>
      <c r="AW5" s="45" t="n">
        <f aca="false">AW$4-AW$3+1</f>
        <v>92</v>
      </c>
      <c r="AX5" s="45" t="n">
        <f aca="false">AX$4-AX$3+1</f>
        <v>92</v>
      </c>
      <c r="AY5" s="45" t="n">
        <f aca="false">AY$4-AY$3+1</f>
        <v>90</v>
      </c>
      <c r="AZ5" s="45" t="n">
        <f aca="false">AZ$4-AZ$3+1</f>
        <v>91</v>
      </c>
      <c r="BA5" s="45" t="n">
        <f aca="false">BA$4-BA$3+1</f>
        <v>92</v>
      </c>
      <c r="BB5" s="45" t="n">
        <f aca="false">BB$4-BB$3+1</f>
        <v>92</v>
      </c>
      <c r="BC5" s="45" t="n">
        <f aca="false">BC$4-BC$3+1</f>
        <v>90</v>
      </c>
      <c r="BD5" s="45" t="n">
        <f aca="false">BD$4-BD$3+1</f>
        <v>91</v>
      </c>
      <c r="BE5" s="45" t="n">
        <f aca="false">BE$4-BE$3+1</f>
        <v>92</v>
      </c>
      <c r="BF5" s="45" t="n">
        <f aca="false">BF$4-BF$3+1</f>
        <v>92</v>
      </c>
      <c r="BG5" s="45" t="n">
        <f aca="false">BG$4-BG$3+1</f>
        <v>90</v>
      </c>
      <c r="BH5" s="45" t="n">
        <f aca="false">BH$4-BH$3+1</f>
        <v>91</v>
      </c>
      <c r="BI5" s="45" t="n">
        <f aca="false">BI$4-BI$3+1</f>
        <v>92</v>
      </c>
      <c r="BJ5" s="45" t="n">
        <f aca="false">BJ$4-BJ$3+1</f>
        <v>92</v>
      </c>
      <c r="BK5" s="45" t="n">
        <f aca="false">BK$4-BK$3+1</f>
        <v>91</v>
      </c>
      <c r="BL5" s="45" t="n">
        <f aca="false">BL$4-BL$3+1</f>
        <v>91</v>
      </c>
      <c r="BM5" s="45" t="n">
        <f aca="false">BM$4-BM$3+1</f>
        <v>92</v>
      </c>
      <c r="BN5" s="45" t="n">
        <f aca="false">BN$4-BN$3+1</f>
        <v>92</v>
      </c>
      <c r="BO5" s="45" t="n">
        <f aca="false">BO$4-BO$3+1</f>
        <v>90</v>
      </c>
      <c r="BP5" s="45" t="n">
        <f aca="false">BP$4-BP$3+1</f>
        <v>91</v>
      </c>
      <c r="BQ5" s="45" t="n">
        <f aca="false">BQ$4-BQ$3+1</f>
        <v>92</v>
      </c>
      <c r="BR5" s="45" t="n">
        <f aca="false">BR$4-BR$3+1</f>
        <v>92</v>
      </c>
      <c r="BS5" s="45" t="n">
        <f aca="false">BS$4-BS$3+1</f>
        <v>90</v>
      </c>
      <c r="BT5" s="45" t="n">
        <f aca="false">BT$4-BT$3+1</f>
        <v>91</v>
      </c>
      <c r="BU5" s="45" t="n">
        <f aca="false">BU$4-BU$3+1</f>
        <v>92</v>
      </c>
      <c r="BV5" s="45" t="n">
        <f aca="false">BV$4-BV$3+1</f>
        <v>92</v>
      </c>
      <c r="BW5" s="45" t="n">
        <f aca="false">BW$4-BW$3+1</f>
        <v>90</v>
      </c>
      <c r="BX5" s="45" t="n">
        <f aca="false">BX$4-BX$3+1</f>
        <v>91</v>
      </c>
      <c r="BY5" s="45" t="n">
        <f aca="false">BY$4-BY$3+1</f>
        <v>92</v>
      </c>
      <c r="BZ5" s="45" t="n">
        <f aca="false">BZ$4-BZ$3+1</f>
        <v>92</v>
      </c>
      <c r="CA5" s="45" t="n">
        <f aca="false">CA$4-CA$3+1</f>
        <v>91</v>
      </c>
      <c r="CB5" s="45" t="n">
        <f aca="false">CB$4-CB$3+1</f>
        <v>91</v>
      </c>
      <c r="CC5" s="45" t="n">
        <f aca="false">CC$4-CC$3+1</f>
        <v>92</v>
      </c>
      <c r="CD5" s="45" t="n">
        <f aca="false">CD$4-CD$3+1</f>
        <v>92</v>
      </c>
      <c r="CE5" s="45" t="n">
        <f aca="false">CE$4-CE$3+1</f>
        <v>90</v>
      </c>
      <c r="CF5" s="45" t="n">
        <f aca="false">CF$4-CF$3+1</f>
        <v>91</v>
      </c>
      <c r="CG5" s="45" t="n">
        <f aca="false">CG$4-CG$3+1</f>
        <v>92</v>
      </c>
      <c r="CH5" s="45" t="n">
        <f aca="false">CH$4-CH$3+1</f>
        <v>92</v>
      </c>
      <c r="CI5" s="45" t="n">
        <f aca="false">CI$4-CI$3+1</f>
        <v>90</v>
      </c>
      <c r="CJ5" s="45" t="n">
        <f aca="false">CJ$4-CJ$3+1</f>
        <v>91</v>
      </c>
      <c r="CK5" s="45" t="n">
        <f aca="false">CK$4-CK$3+1</f>
        <v>92</v>
      </c>
      <c r="CL5" s="45" t="n">
        <f aca="false">CL$4-CL$3+1</f>
        <v>92</v>
      </c>
      <c r="CM5" s="45" t="n">
        <f aca="false">CM$4-CM$3+1</f>
        <v>90</v>
      </c>
      <c r="CN5" s="45" t="n">
        <f aca="false">CN$4-CN$3+1</f>
        <v>91</v>
      </c>
      <c r="CO5" s="45" t="n">
        <f aca="false">CO$4-CO$3+1</f>
        <v>92</v>
      </c>
      <c r="CP5" s="45" t="n">
        <f aca="false">CP$4-CP$3+1</f>
        <v>92</v>
      </c>
      <c r="CQ5" s="45" t="n">
        <f aca="false">CQ$4-CQ$3+1</f>
        <v>91</v>
      </c>
      <c r="CR5" s="45" t="n">
        <f aca="false">CR$4-CR$3+1</f>
        <v>91</v>
      </c>
      <c r="CS5" s="45" t="n">
        <f aca="false">CS$4-CS$3+1</f>
        <v>92</v>
      </c>
      <c r="CT5" s="45" t="n">
        <f aca="false">CT$4-CT$3+1</f>
        <v>92</v>
      </c>
      <c r="CU5" s="45" t="n">
        <f aca="false">CU$4-CU$3+1</f>
        <v>90</v>
      </c>
      <c r="CV5" s="45" t="n">
        <f aca="false">CV$4-CV$3+1</f>
        <v>91</v>
      </c>
      <c r="CW5" s="45" t="n">
        <f aca="false">CW$4-CW$3+1</f>
        <v>92</v>
      </c>
      <c r="CX5" s="45" t="n">
        <f aca="false">CX$4-CX$3+1</f>
        <v>92</v>
      </c>
      <c r="CY5" s="45" t="n">
        <f aca="false">CY$4-CY$3+1</f>
        <v>90</v>
      </c>
      <c r="CZ5" s="45" t="n">
        <f aca="false">CZ$4-CZ$3+1</f>
        <v>91</v>
      </c>
      <c r="DA5" s="45" t="n">
        <f aca="false">DA$4-DA$3+1</f>
        <v>92</v>
      </c>
      <c r="DB5" s="45" t="n">
        <f aca="false">DB$4-DB$3+1</f>
        <v>92</v>
      </c>
      <c r="DC5" s="45" t="n">
        <f aca="false">DC$4-DC$3+1</f>
        <v>90</v>
      </c>
      <c r="DD5" s="45" t="n">
        <f aca="false">DD$4-DD$3+1</f>
        <v>91</v>
      </c>
      <c r="DE5" s="45" t="n">
        <f aca="false">DE$4-DE$3+1</f>
        <v>92</v>
      </c>
      <c r="DF5" s="45" t="n">
        <f aca="false">DF$4-DF$3+1</f>
        <v>92</v>
      </c>
      <c r="DG5" s="45" t="n">
        <f aca="false">DG$4-DG$3+1</f>
        <v>91</v>
      </c>
      <c r="DH5" s="45" t="n">
        <f aca="false">DH$4-DH$3+1</f>
        <v>91</v>
      </c>
      <c r="DI5" s="45" t="n">
        <f aca="false">DI$4-DI$3+1</f>
        <v>92</v>
      </c>
      <c r="DJ5" s="45" t="n">
        <f aca="false">DJ$4-DJ$3+1</f>
        <v>92</v>
      </c>
      <c r="DK5" s="45" t="n">
        <f aca="false">DK$4-DK$3+1</f>
        <v>90</v>
      </c>
      <c r="DL5" s="45" t="n">
        <f aca="false">DL$4-DL$3+1</f>
        <v>91</v>
      </c>
      <c r="DM5" s="45" t="n">
        <f aca="false">DM$4-DM$3+1</f>
        <v>92</v>
      </c>
      <c r="DN5" s="45" t="n">
        <f aca="false">DN$4-DN$3+1</f>
        <v>92</v>
      </c>
      <c r="DO5" s="45" t="n">
        <f aca="false">DO$4-DO$3+1</f>
        <v>90</v>
      </c>
      <c r="DP5" s="45" t="n">
        <f aca="false">DP$4-DP$3+1</f>
        <v>91</v>
      </c>
      <c r="DQ5" s="45" t="n">
        <f aca="false">DQ$4-DQ$3+1</f>
        <v>92</v>
      </c>
      <c r="DR5" s="45" t="n">
        <f aca="false">DR$4-DR$3+1</f>
        <v>92</v>
      </c>
      <c r="DS5" s="45" t="n">
        <f aca="false">DS$4-DS$3+1</f>
        <v>90</v>
      </c>
      <c r="DT5" s="45" t="n">
        <f aca="false">DT$4-DT$3+1</f>
        <v>91</v>
      </c>
      <c r="DU5" s="45" t="n">
        <f aca="false">DU$4-DU$3+1</f>
        <v>92</v>
      </c>
      <c r="DV5" s="45" t="n">
        <f aca="false">DV$4-DV$3+1</f>
        <v>92</v>
      </c>
      <c r="DW5" s="45" t="n">
        <f aca="false">DW$4-DW$3+1</f>
        <v>91</v>
      </c>
      <c r="DX5" s="45" t="n">
        <f aca="false">DX$4-DX$3+1</f>
        <v>91</v>
      </c>
      <c r="DY5" s="45" t="n">
        <f aca="false">DY$4-DY$3+1</f>
        <v>92</v>
      </c>
      <c r="DZ5" s="45" t="n">
        <f aca="false">DZ$4-DZ$3+1</f>
        <v>92</v>
      </c>
      <c r="EA5" s="45" t="n">
        <f aca="false">EA$4-EA$3+1</f>
        <v>90</v>
      </c>
      <c r="EB5" s="45" t="n">
        <f aca="false">EB$4-EB$3+1</f>
        <v>91</v>
      </c>
      <c r="EC5" s="45" t="n">
        <f aca="false">EC$4-EC$3+1</f>
        <v>92</v>
      </c>
      <c r="ED5" s="45" t="n">
        <f aca="false">ED$4-ED$3+1</f>
        <v>92</v>
      </c>
      <c r="EE5" s="45" t="n">
        <f aca="false">EE$4-EE$3+1</f>
        <v>90</v>
      </c>
      <c r="EF5" s="45" t="n">
        <f aca="false">EF$4-EF$3+1</f>
        <v>91</v>
      </c>
      <c r="EG5" s="45" t="n">
        <f aca="false">EG$4-EG$3+1</f>
        <v>92</v>
      </c>
      <c r="EH5" s="45" t="n">
        <f aca="false">EH$4-EH$3+1</f>
        <v>92</v>
      </c>
      <c r="EI5" s="45" t="n">
        <f aca="false">EI$4-EI$3+1</f>
        <v>90</v>
      </c>
      <c r="EJ5" s="45" t="n">
        <f aca="false">EJ$4-EJ$3+1</f>
        <v>91</v>
      </c>
      <c r="EK5" s="45" t="n">
        <f aca="false">EK$4-EK$3+1</f>
        <v>92</v>
      </c>
      <c r="EL5" s="45" t="n">
        <f aca="false">EL$4-EL$3+1</f>
        <v>92</v>
      </c>
      <c r="EM5" s="45" t="n">
        <f aca="false">EM$4-EM$3+1</f>
        <v>91</v>
      </c>
      <c r="EN5" s="45" t="n">
        <f aca="false">EN$4-EN$3+1</f>
        <v>91</v>
      </c>
      <c r="EO5" s="45" t="n">
        <f aca="false">EO$4-EO$3+1</f>
        <v>92</v>
      </c>
    </row>
    <row r="6" customFormat="false" ht="15" hidden="false" customHeight="false" outlineLevel="0" collapsed="false">
      <c r="C6" s="1" t="s">
        <v>410</v>
      </c>
      <c r="D6" s="12" t="s">
        <v>411</v>
      </c>
      <c r="J6" s="56" t="n">
        <f aca="false">J$5/Days_In_Year</f>
        <v>0.252054794520548</v>
      </c>
      <c r="K6" s="56" t="n">
        <f aca="false">K$5/Days_In_Year</f>
        <v>0.246575342465753</v>
      </c>
      <c r="L6" s="56" t="n">
        <f aca="false">L$5/Days_In_Year</f>
        <v>0.249315068493151</v>
      </c>
      <c r="M6" s="56" t="n">
        <f aca="false">M$5/Days_In_Year</f>
        <v>0.252054794520548</v>
      </c>
      <c r="N6" s="56" t="n">
        <f aca="false">N$5/Days_In_Year</f>
        <v>0.252054794520548</v>
      </c>
      <c r="O6" s="56" t="n">
        <f aca="false">O$5/Days_In_Year</f>
        <v>0.249315068493151</v>
      </c>
      <c r="P6" s="56" t="n">
        <f aca="false">P$5/Days_In_Year</f>
        <v>0.249315068493151</v>
      </c>
      <c r="Q6" s="56" t="n">
        <f aca="false">Q$5/Days_In_Year</f>
        <v>0.252054794520548</v>
      </c>
      <c r="R6" s="56" t="n">
        <f aca="false">R$5/Days_In_Year</f>
        <v>0.252054794520548</v>
      </c>
      <c r="S6" s="56" t="n">
        <f aca="false">S$5/Days_In_Year</f>
        <v>0.246575342465753</v>
      </c>
      <c r="T6" s="56" t="n">
        <f aca="false">T$5/Days_In_Year</f>
        <v>0.249315068493151</v>
      </c>
      <c r="U6" s="56" t="n">
        <f aca="false">U$5/Days_In_Year</f>
        <v>0.252054794520548</v>
      </c>
      <c r="V6" s="56" t="n">
        <f aca="false">V$5/Days_In_Year</f>
        <v>0.252054794520548</v>
      </c>
      <c r="W6" s="56" t="n">
        <f aca="false">W$5/Days_In_Year</f>
        <v>0.246575342465753</v>
      </c>
      <c r="X6" s="56" t="n">
        <f aca="false">X$5/Days_In_Year</f>
        <v>0.249315068493151</v>
      </c>
      <c r="Y6" s="56" t="n">
        <f aca="false">Y$5/Days_In_Year</f>
        <v>0.252054794520548</v>
      </c>
      <c r="Z6" s="56" t="n">
        <f aca="false">Z$5/Days_In_Year</f>
        <v>0.252054794520548</v>
      </c>
      <c r="AA6" s="56" t="n">
        <f aca="false">AA$5/Days_In_Year</f>
        <v>0.246575342465753</v>
      </c>
      <c r="AB6" s="56" t="n">
        <f aca="false">AB$5/Days_In_Year</f>
        <v>0.249315068493151</v>
      </c>
      <c r="AC6" s="56" t="n">
        <f aca="false">AC$5/Days_In_Year</f>
        <v>0.252054794520548</v>
      </c>
      <c r="AD6" s="56" t="n">
        <f aca="false">AD$5/Days_In_Year</f>
        <v>0.252054794520548</v>
      </c>
      <c r="AE6" s="56" t="n">
        <f aca="false">AE$5/Days_In_Year</f>
        <v>0.249315068493151</v>
      </c>
      <c r="AF6" s="56" t="n">
        <f aca="false">AF$5/Days_In_Year</f>
        <v>0.249315068493151</v>
      </c>
      <c r="AG6" s="56" t="n">
        <f aca="false">AG$5/Days_In_Year</f>
        <v>0.252054794520548</v>
      </c>
      <c r="AH6" s="56" t="n">
        <f aca="false">AH$5/Days_In_Year</f>
        <v>0.252054794520548</v>
      </c>
      <c r="AI6" s="56" t="n">
        <f aca="false">AI$5/Days_In_Year</f>
        <v>0.246575342465753</v>
      </c>
      <c r="AJ6" s="56" t="n">
        <f aca="false">AJ$5/Days_In_Year</f>
        <v>0.249315068493151</v>
      </c>
      <c r="AK6" s="56" t="n">
        <f aca="false">AK$5/Days_In_Year</f>
        <v>0.252054794520548</v>
      </c>
      <c r="AL6" s="56" t="n">
        <f aca="false">AL$5/Days_In_Year</f>
        <v>0.252054794520548</v>
      </c>
      <c r="AM6" s="56" t="n">
        <f aca="false">AM$5/Days_In_Year</f>
        <v>0.246575342465753</v>
      </c>
      <c r="AN6" s="56" t="n">
        <f aca="false">AN$5/Days_In_Year</f>
        <v>0.249315068493151</v>
      </c>
      <c r="AO6" s="56" t="n">
        <f aca="false">AO$5/Days_In_Year</f>
        <v>0.252054794520548</v>
      </c>
      <c r="AP6" s="56" t="n">
        <f aca="false">AP$5/Days_In_Year</f>
        <v>0.252054794520548</v>
      </c>
      <c r="AQ6" s="56" t="n">
        <f aca="false">AQ$5/Days_In_Year</f>
        <v>0.246575342465753</v>
      </c>
      <c r="AR6" s="56" t="n">
        <f aca="false">AR$5/Days_In_Year</f>
        <v>0.249315068493151</v>
      </c>
      <c r="AS6" s="56" t="n">
        <f aca="false">AS$5/Days_In_Year</f>
        <v>0.252054794520548</v>
      </c>
      <c r="AT6" s="56" t="n">
        <f aca="false">AT$5/Days_In_Year</f>
        <v>0.252054794520548</v>
      </c>
      <c r="AU6" s="56" t="n">
        <f aca="false">AU$5/Days_In_Year</f>
        <v>0.249315068493151</v>
      </c>
      <c r="AV6" s="56" t="n">
        <f aca="false">AV$5/Days_In_Year</f>
        <v>0.249315068493151</v>
      </c>
      <c r="AW6" s="56" t="n">
        <f aca="false">AW$5/Days_In_Year</f>
        <v>0.252054794520548</v>
      </c>
      <c r="AX6" s="56" t="n">
        <f aca="false">AX$5/Days_In_Year</f>
        <v>0.252054794520548</v>
      </c>
      <c r="AY6" s="56" t="n">
        <f aca="false">AY$5/Days_In_Year</f>
        <v>0.246575342465753</v>
      </c>
      <c r="AZ6" s="56" t="n">
        <f aca="false">AZ$5/Days_In_Year</f>
        <v>0.249315068493151</v>
      </c>
      <c r="BA6" s="56" t="n">
        <f aca="false">BA$5/Days_In_Year</f>
        <v>0.252054794520548</v>
      </c>
      <c r="BB6" s="56" t="n">
        <f aca="false">BB$5/Days_In_Year</f>
        <v>0.252054794520548</v>
      </c>
      <c r="BC6" s="56" t="n">
        <f aca="false">BC$5/Days_In_Year</f>
        <v>0.246575342465753</v>
      </c>
      <c r="BD6" s="56" t="n">
        <f aca="false">BD$5/Days_In_Year</f>
        <v>0.249315068493151</v>
      </c>
      <c r="BE6" s="56" t="n">
        <f aca="false">BE$5/Days_In_Year</f>
        <v>0.252054794520548</v>
      </c>
      <c r="BF6" s="56" t="n">
        <f aca="false">BF$5/Days_In_Year</f>
        <v>0.252054794520548</v>
      </c>
      <c r="BG6" s="56" t="n">
        <f aca="false">BG$5/Days_In_Year</f>
        <v>0.246575342465753</v>
      </c>
      <c r="BH6" s="56" t="n">
        <f aca="false">BH$5/Days_In_Year</f>
        <v>0.249315068493151</v>
      </c>
      <c r="BI6" s="56" t="n">
        <f aca="false">BI$5/Days_In_Year</f>
        <v>0.252054794520548</v>
      </c>
      <c r="BJ6" s="56" t="n">
        <f aca="false">BJ$5/Days_In_Year</f>
        <v>0.252054794520548</v>
      </c>
      <c r="BK6" s="56" t="n">
        <f aca="false">BK$5/Days_In_Year</f>
        <v>0.249315068493151</v>
      </c>
      <c r="BL6" s="56" t="n">
        <f aca="false">BL$5/Days_In_Year</f>
        <v>0.249315068493151</v>
      </c>
      <c r="BM6" s="56" t="n">
        <f aca="false">BM$5/Days_In_Year</f>
        <v>0.252054794520548</v>
      </c>
      <c r="BN6" s="56" t="n">
        <f aca="false">BN$5/Days_In_Year</f>
        <v>0.252054794520548</v>
      </c>
      <c r="BO6" s="56" t="n">
        <f aca="false">BO$5/Days_In_Year</f>
        <v>0.246575342465753</v>
      </c>
      <c r="BP6" s="56" t="n">
        <f aca="false">BP$5/Days_In_Year</f>
        <v>0.249315068493151</v>
      </c>
      <c r="BQ6" s="56" t="n">
        <f aca="false">BQ$5/Days_In_Year</f>
        <v>0.252054794520548</v>
      </c>
      <c r="BR6" s="56" t="n">
        <f aca="false">BR$5/Days_In_Year</f>
        <v>0.252054794520548</v>
      </c>
      <c r="BS6" s="56" t="n">
        <f aca="false">BS$5/Days_In_Year</f>
        <v>0.246575342465753</v>
      </c>
      <c r="BT6" s="56" t="n">
        <f aca="false">BT$5/Days_In_Year</f>
        <v>0.249315068493151</v>
      </c>
      <c r="BU6" s="56" t="n">
        <f aca="false">BU$5/Days_In_Year</f>
        <v>0.252054794520548</v>
      </c>
      <c r="BV6" s="56" t="n">
        <f aca="false">BV$5/Days_In_Year</f>
        <v>0.252054794520548</v>
      </c>
      <c r="BW6" s="56" t="n">
        <f aca="false">BW$5/Days_In_Year</f>
        <v>0.246575342465753</v>
      </c>
      <c r="BX6" s="56" t="n">
        <f aca="false">BX$5/Days_In_Year</f>
        <v>0.249315068493151</v>
      </c>
      <c r="BY6" s="56" t="n">
        <f aca="false">BY$5/Days_In_Year</f>
        <v>0.252054794520548</v>
      </c>
      <c r="BZ6" s="56" t="n">
        <f aca="false">BZ$5/Days_In_Year</f>
        <v>0.252054794520548</v>
      </c>
      <c r="CA6" s="56" t="n">
        <f aca="false">CA$5/Days_In_Year</f>
        <v>0.249315068493151</v>
      </c>
      <c r="CB6" s="56" t="n">
        <f aca="false">CB$5/Days_In_Year</f>
        <v>0.249315068493151</v>
      </c>
      <c r="CC6" s="56" t="n">
        <f aca="false">CC$5/Days_In_Year</f>
        <v>0.252054794520548</v>
      </c>
      <c r="CD6" s="56" t="n">
        <f aca="false">CD$5/Days_In_Year</f>
        <v>0.252054794520548</v>
      </c>
      <c r="CE6" s="56" t="n">
        <f aca="false">CE$5/Days_In_Year</f>
        <v>0.246575342465753</v>
      </c>
      <c r="CF6" s="56" t="n">
        <f aca="false">CF$5/Days_In_Year</f>
        <v>0.249315068493151</v>
      </c>
      <c r="CG6" s="56" t="n">
        <f aca="false">CG$5/Days_In_Year</f>
        <v>0.252054794520548</v>
      </c>
      <c r="CH6" s="56" t="n">
        <f aca="false">CH$5/Days_In_Year</f>
        <v>0.252054794520548</v>
      </c>
      <c r="CI6" s="56" t="n">
        <f aca="false">CI$5/Days_In_Year</f>
        <v>0.246575342465753</v>
      </c>
      <c r="CJ6" s="56" t="n">
        <f aca="false">CJ$5/Days_In_Year</f>
        <v>0.249315068493151</v>
      </c>
      <c r="CK6" s="56" t="n">
        <f aca="false">CK$5/Days_In_Year</f>
        <v>0.252054794520548</v>
      </c>
      <c r="CL6" s="56" t="n">
        <f aca="false">CL$5/Days_In_Year</f>
        <v>0.252054794520548</v>
      </c>
      <c r="CM6" s="56" t="n">
        <f aca="false">CM$5/Days_In_Year</f>
        <v>0.246575342465753</v>
      </c>
      <c r="CN6" s="56" t="n">
        <f aca="false">CN$5/Days_In_Year</f>
        <v>0.249315068493151</v>
      </c>
      <c r="CO6" s="56" t="n">
        <f aca="false">CO$5/Days_In_Year</f>
        <v>0.252054794520548</v>
      </c>
      <c r="CP6" s="56" t="n">
        <f aca="false">CP$5/Days_In_Year</f>
        <v>0.252054794520548</v>
      </c>
      <c r="CQ6" s="56" t="n">
        <f aca="false">CQ$5/Days_In_Year</f>
        <v>0.249315068493151</v>
      </c>
      <c r="CR6" s="56" t="n">
        <f aca="false">CR$5/Days_In_Year</f>
        <v>0.249315068493151</v>
      </c>
      <c r="CS6" s="56" t="n">
        <f aca="false">CS$5/Days_In_Year</f>
        <v>0.252054794520548</v>
      </c>
      <c r="CT6" s="56" t="n">
        <f aca="false">CT$5/Days_In_Year</f>
        <v>0.252054794520548</v>
      </c>
      <c r="CU6" s="56" t="n">
        <f aca="false">CU$5/Days_In_Year</f>
        <v>0.246575342465753</v>
      </c>
      <c r="CV6" s="56" t="n">
        <f aca="false">CV$5/Days_In_Year</f>
        <v>0.249315068493151</v>
      </c>
      <c r="CW6" s="56" t="n">
        <f aca="false">CW$5/Days_In_Year</f>
        <v>0.252054794520548</v>
      </c>
      <c r="CX6" s="56" t="n">
        <f aca="false">CX$5/Days_In_Year</f>
        <v>0.252054794520548</v>
      </c>
      <c r="CY6" s="56" t="n">
        <f aca="false">CY$5/Days_In_Year</f>
        <v>0.246575342465753</v>
      </c>
      <c r="CZ6" s="56" t="n">
        <f aca="false">CZ$5/Days_In_Year</f>
        <v>0.249315068493151</v>
      </c>
      <c r="DA6" s="56" t="n">
        <f aca="false">DA$5/Days_In_Year</f>
        <v>0.252054794520548</v>
      </c>
      <c r="DB6" s="56" t="n">
        <f aca="false">DB$5/Days_In_Year</f>
        <v>0.252054794520548</v>
      </c>
      <c r="DC6" s="56" t="n">
        <f aca="false">DC$5/Days_In_Year</f>
        <v>0.246575342465753</v>
      </c>
      <c r="DD6" s="56" t="n">
        <f aca="false">DD$5/Days_In_Year</f>
        <v>0.249315068493151</v>
      </c>
      <c r="DE6" s="56" t="n">
        <f aca="false">DE$5/Days_In_Year</f>
        <v>0.252054794520548</v>
      </c>
      <c r="DF6" s="56" t="n">
        <f aca="false">DF$5/Days_In_Year</f>
        <v>0.252054794520548</v>
      </c>
      <c r="DG6" s="56" t="n">
        <f aca="false">DG$5/Days_In_Year</f>
        <v>0.249315068493151</v>
      </c>
      <c r="DH6" s="56" t="n">
        <f aca="false">DH$5/Days_In_Year</f>
        <v>0.249315068493151</v>
      </c>
      <c r="DI6" s="56" t="n">
        <f aca="false">DI$5/Days_In_Year</f>
        <v>0.252054794520548</v>
      </c>
      <c r="DJ6" s="56" t="n">
        <f aca="false">DJ$5/Days_In_Year</f>
        <v>0.252054794520548</v>
      </c>
      <c r="DK6" s="56" t="n">
        <f aca="false">DK$5/Days_In_Year</f>
        <v>0.246575342465753</v>
      </c>
      <c r="DL6" s="56" t="n">
        <f aca="false">DL$5/Days_In_Year</f>
        <v>0.249315068493151</v>
      </c>
      <c r="DM6" s="56" t="n">
        <f aca="false">DM$5/Days_In_Year</f>
        <v>0.252054794520548</v>
      </c>
      <c r="DN6" s="56" t="n">
        <f aca="false">DN$5/Days_In_Year</f>
        <v>0.252054794520548</v>
      </c>
      <c r="DO6" s="56" t="n">
        <f aca="false">DO$5/Days_In_Year</f>
        <v>0.246575342465753</v>
      </c>
      <c r="DP6" s="56" t="n">
        <f aca="false">DP$5/Days_In_Year</f>
        <v>0.249315068493151</v>
      </c>
      <c r="DQ6" s="56" t="n">
        <f aca="false">DQ$5/Days_In_Year</f>
        <v>0.252054794520548</v>
      </c>
      <c r="DR6" s="56" t="n">
        <f aca="false">DR$5/Days_In_Year</f>
        <v>0.252054794520548</v>
      </c>
      <c r="DS6" s="56" t="n">
        <f aca="false">DS$5/Days_In_Year</f>
        <v>0.246575342465753</v>
      </c>
      <c r="DT6" s="56" t="n">
        <f aca="false">DT$5/Days_In_Year</f>
        <v>0.249315068493151</v>
      </c>
      <c r="DU6" s="56" t="n">
        <f aca="false">DU$5/Days_In_Year</f>
        <v>0.252054794520548</v>
      </c>
      <c r="DV6" s="56" t="n">
        <f aca="false">DV$5/Days_In_Year</f>
        <v>0.252054794520548</v>
      </c>
      <c r="DW6" s="56" t="n">
        <f aca="false">DW$5/Days_In_Year</f>
        <v>0.249315068493151</v>
      </c>
      <c r="DX6" s="56" t="n">
        <f aca="false">DX$5/Days_In_Year</f>
        <v>0.249315068493151</v>
      </c>
      <c r="DY6" s="56" t="n">
        <f aca="false">DY$5/Days_In_Year</f>
        <v>0.252054794520548</v>
      </c>
      <c r="DZ6" s="56" t="n">
        <f aca="false">DZ$5/Days_In_Year</f>
        <v>0.252054794520548</v>
      </c>
      <c r="EA6" s="56" t="n">
        <f aca="false">EA$5/Days_In_Year</f>
        <v>0.246575342465753</v>
      </c>
      <c r="EB6" s="56" t="n">
        <f aca="false">EB$5/Days_In_Year</f>
        <v>0.249315068493151</v>
      </c>
      <c r="EC6" s="56" t="n">
        <f aca="false">EC$5/Days_In_Year</f>
        <v>0.252054794520548</v>
      </c>
      <c r="ED6" s="56" t="n">
        <f aca="false">ED$5/Days_In_Year</f>
        <v>0.252054794520548</v>
      </c>
      <c r="EE6" s="56" t="n">
        <f aca="false">EE$5/Days_In_Year</f>
        <v>0.246575342465753</v>
      </c>
      <c r="EF6" s="56" t="n">
        <f aca="false">EF$5/Days_In_Year</f>
        <v>0.249315068493151</v>
      </c>
      <c r="EG6" s="56" t="n">
        <f aca="false">EG$5/Days_In_Year</f>
        <v>0.252054794520548</v>
      </c>
      <c r="EH6" s="56" t="n">
        <f aca="false">EH$5/Days_In_Year</f>
        <v>0.252054794520548</v>
      </c>
      <c r="EI6" s="56" t="n">
        <f aca="false">EI$5/Days_In_Year</f>
        <v>0.246575342465753</v>
      </c>
      <c r="EJ6" s="56" t="n">
        <f aca="false">EJ$5/Days_In_Year</f>
        <v>0.249315068493151</v>
      </c>
      <c r="EK6" s="56" t="n">
        <f aca="false">EK$5/Days_In_Year</f>
        <v>0.252054794520548</v>
      </c>
      <c r="EL6" s="56" t="n">
        <f aca="false">EL$5/Days_In_Year</f>
        <v>0.252054794520548</v>
      </c>
      <c r="EM6" s="56" t="n">
        <f aca="false">EM$5/Days_In_Year</f>
        <v>0.249315068493151</v>
      </c>
      <c r="EN6" s="56" t="n">
        <f aca="false">EN$5/Days_In_Year</f>
        <v>0.249315068493151</v>
      </c>
      <c r="EO6" s="56" t="n">
        <f aca="false">EO$5/Days_In_Year</f>
        <v>0.252054794520548</v>
      </c>
    </row>
    <row r="7" customFormat="false" ht="15" hidden="false" customHeight="false" outlineLevel="0" collapsed="false">
      <c r="C7" s="1" t="s">
        <v>412</v>
      </c>
      <c r="D7" s="12" t="s">
        <v>413</v>
      </c>
      <c r="J7" s="45" t="n">
        <f aca="false">YEAR(J$4)</f>
        <v>2026</v>
      </c>
      <c r="K7" s="45" t="n">
        <f aca="false">YEAR(K$4)</f>
        <v>2027</v>
      </c>
      <c r="L7" s="45" t="n">
        <f aca="false">YEAR(L$4)</f>
        <v>2027</v>
      </c>
      <c r="M7" s="45" t="n">
        <f aca="false">YEAR(M$4)</f>
        <v>2027</v>
      </c>
      <c r="N7" s="45" t="n">
        <f aca="false">YEAR(N$4)</f>
        <v>2027</v>
      </c>
      <c r="O7" s="45" t="n">
        <f aca="false">YEAR(O$4)</f>
        <v>2028</v>
      </c>
      <c r="P7" s="45" t="n">
        <f aca="false">YEAR(P$4)</f>
        <v>2028</v>
      </c>
      <c r="Q7" s="45" t="n">
        <f aca="false">YEAR(Q$4)</f>
        <v>2028</v>
      </c>
      <c r="R7" s="45" t="n">
        <f aca="false">YEAR(R$4)</f>
        <v>2028</v>
      </c>
      <c r="S7" s="45" t="n">
        <f aca="false">YEAR(S$4)</f>
        <v>2029</v>
      </c>
      <c r="T7" s="45" t="n">
        <f aca="false">YEAR(T$4)</f>
        <v>2029</v>
      </c>
      <c r="U7" s="45" t="n">
        <f aca="false">YEAR(U$4)</f>
        <v>2029</v>
      </c>
      <c r="V7" s="45" t="n">
        <f aca="false">YEAR(V$4)</f>
        <v>2029</v>
      </c>
      <c r="W7" s="45" t="n">
        <f aca="false">YEAR(W$4)</f>
        <v>2030</v>
      </c>
      <c r="X7" s="45" t="n">
        <f aca="false">YEAR(X$4)</f>
        <v>2030</v>
      </c>
      <c r="Y7" s="45" t="n">
        <f aca="false">YEAR(Y$4)</f>
        <v>2030</v>
      </c>
      <c r="Z7" s="45" t="n">
        <f aca="false">YEAR(Z$4)</f>
        <v>2030</v>
      </c>
      <c r="AA7" s="45" t="n">
        <f aca="false">YEAR(AA$4)</f>
        <v>2031</v>
      </c>
      <c r="AB7" s="45" t="n">
        <f aca="false">YEAR(AB$4)</f>
        <v>2031</v>
      </c>
      <c r="AC7" s="45" t="n">
        <f aca="false">YEAR(AC$4)</f>
        <v>2031</v>
      </c>
      <c r="AD7" s="45" t="n">
        <f aca="false">YEAR(AD$4)</f>
        <v>2031</v>
      </c>
      <c r="AE7" s="45" t="n">
        <f aca="false">YEAR(AE$4)</f>
        <v>2032</v>
      </c>
      <c r="AF7" s="45" t="n">
        <f aca="false">YEAR(AF$4)</f>
        <v>2032</v>
      </c>
      <c r="AG7" s="45" t="n">
        <f aca="false">YEAR(AG$4)</f>
        <v>2032</v>
      </c>
      <c r="AH7" s="45" t="n">
        <f aca="false">YEAR(AH$4)</f>
        <v>2032</v>
      </c>
      <c r="AI7" s="45" t="n">
        <f aca="false">YEAR(AI$4)</f>
        <v>2033</v>
      </c>
      <c r="AJ7" s="45" t="n">
        <f aca="false">YEAR(AJ$4)</f>
        <v>2033</v>
      </c>
      <c r="AK7" s="45" t="n">
        <f aca="false">YEAR(AK$4)</f>
        <v>2033</v>
      </c>
      <c r="AL7" s="45" t="n">
        <f aca="false">YEAR(AL$4)</f>
        <v>2033</v>
      </c>
      <c r="AM7" s="45" t="n">
        <f aca="false">YEAR(AM$4)</f>
        <v>2034</v>
      </c>
      <c r="AN7" s="45" t="n">
        <f aca="false">YEAR(AN$4)</f>
        <v>2034</v>
      </c>
      <c r="AO7" s="45" t="n">
        <f aca="false">YEAR(AO$4)</f>
        <v>2034</v>
      </c>
      <c r="AP7" s="45" t="n">
        <f aca="false">YEAR(AP$4)</f>
        <v>2034</v>
      </c>
      <c r="AQ7" s="45" t="n">
        <f aca="false">YEAR(AQ$4)</f>
        <v>2035</v>
      </c>
      <c r="AR7" s="45" t="n">
        <f aca="false">YEAR(AR$4)</f>
        <v>2035</v>
      </c>
      <c r="AS7" s="45" t="n">
        <f aca="false">YEAR(AS$4)</f>
        <v>2035</v>
      </c>
      <c r="AT7" s="45" t="n">
        <f aca="false">YEAR(AT$4)</f>
        <v>2035</v>
      </c>
      <c r="AU7" s="45" t="n">
        <f aca="false">YEAR(AU$4)</f>
        <v>2036</v>
      </c>
      <c r="AV7" s="45" t="n">
        <f aca="false">YEAR(AV$4)</f>
        <v>2036</v>
      </c>
      <c r="AW7" s="45" t="n">
        <f aca="false">YEAR(AW$4)</f>
        <v>2036</v>
      </c>
      <c r="AX7" s="45" t="n">
        <f aca="false">YEAR(AX$4)</f>
        <v>2036</v>
      </c>
      <c r="AY7" s="45" t="n">
        <f aca="false">YEAR(AY$4)</f>
        <v>2037</v>
      </c>
      <c r="AZ7" s="45" t="n">
        <f aca="false">YEAR(AZ$4)</f>
        <v>2037</v>
      </c>
      <c r="BA7" s="45" t="n">
        <f aca="false">YEAR(BA$4)</f>
        <v>2037</v>
      </c>
      <c r="BB7" s="45" t="n">
        <f aca="false">YEAR(BB$4)</f>
        <v>2037</v>
      </c>
      <c r="BC7" s="45" t="n">
        <f aca="false">YEAR(BC$4)</f>
        <v>2038</v>
      </c>
      <c r="BD7" s="45" t="n">
        <f aca="false">YEAR(BD$4)</f>
        <v>2038</v>
      </c>
      <c r="BE7" s="45" t="n">
        <f aca="false">YEAR(BE$4)</f>
        <v>2038</v>
      </c>
      <c r="BF7" s="45" t="n">
        <f aca="false">YEAR(BF$4)</f>
        <v>2038</v>
      </c>
      <c r="BG7" s="45" t="n">
        <f aca="false">YEAR(BG$4)</f>
        <v>2039</v>
      </c>
      <c r="BH7" s="45" t="n">
        <f aca="false">YEAR(BH$4)</f>
        <v>2039</v>
      </c>
      <c r="BI7" s="45" t="n">
        <f aca="false">YEAR(BI$4)</f>
        <v>2039</v>
      </c>
      <c r="BJ7" s="45" t="n">
        <f aca="false">YEAR(BJ$4)</f>
        <v>2039</v>
      </c>
      <c r="BK7" s="45" t="n">
        <f aca="false">YEAR(BK$4)</f>
        <v>2040</v>
      </c>
      <c r="BL7" s="45" t="n">
        <f aca="false">YEAR(BL$4)</f>
        <v>2040</v>
      </c>
      <c r="BM7" s="45" t="n">
        <f aca="false">YEAR(BM$4)</f>
        <v>2040</v>
      </c>
      <c r="BN7" s="45" t="n">
        <f aca="false">YEAR(BN$4)</f>
        <v>2040</v>
      </c>
      <c r="BO7" s="45" t="n">
        <f aca="false">YEAR(BO$4)</f>
        <v>2041</v>
      </c>
      <c r="BP7" s="45" t="n">
        <f aca="false">YEAR(BP$4)</f>
        <v>2041</v>
      </c>
      <c r="BQ7" s="45" t="n">
        <f aca="false">YEAR(BQ$4)</f>
        <v>2041</v>
      </c>
      <c r="BR7" s="45" t="n">
        <f aca="false">YEAR(BR$4)</f>
        <v>2041</v>
      </c>
      <c r="BS7" s="45" t="n">
        <f aca="false">YEAR(BS$4)</f>
        <v>2042</v>
      </c>
      <c r="BT7" s="45" t="n">
        <f aca="false">YEAR(BT$4)</f>
        <v>2042</v>
      </c>
      <c r="BU7" s="45" t="n">
        <f aca="false">YEAR(BU$4)</f>
        <v>2042</v>
      </c>
      <c r="BV7" s="45" t="n">
        <f aca="false">YEAR(BV$4)</f>
        <v>2042</v>
      </c>
      <c r="BW7" s="45" t="n">
        <f aca="false">YEAR(BW$4)</f>
        <v>2043</v>
      </c>
      <c r="BX7" s="45" t="n">
        <f aca="false">YEAR(BX$4)</f>
        <v>2043</v>
      </c>
      <c r="BY7" s="45" t="n">
        <f aca="false">YEAR(BY$4)</f>
        <v>2043</v>
      </c>
      <c r="BZ7" s="45" t="n">
        <f aca="false">YEAR(BZ$4)</f>
        <v>2043</v>
      </c>
      <c r="CA7" s="45" t="n">
        <f aca="false">YEAR(CA$4)</f>
        <v>2044</v>
      </c>
      <c r="CB7" s="45" t="n">
        <f aca="false">YEAR(CB$4)</f>
        <v>2044</v>
      </c>
      <c r="CC7" s="45" t="n">
        <f aca="false">YEAR(CC$4)</f>
        <v>2044</v>
      </c>
      <c r="CD7" s="45" t="n">
        <f aca="false">YEAR(CD$4)</f>
        <v>2044</v>
      </c>
      <c r="CE7" s="45" t="n">
        <f aca="false">YEAR(CE$4)</f>
        <v>2045</v>
      </c>
      <c r="CF7" s="45" t="n">
        <f aca="false">YEAR(CF$4)</f>
        <v>2045</v>
      </c>
      <c r="CG7" s="45" t="n">
        <f aca="false">YEAR(CG$4)</f>
        <v>2045</v>
      </c>
      <c r="CH7" s="45" t="n">
        <f aca="false">YEAR(CH$4)</f>
        <v>2045</v>
      </c>
      <c r="CI7" s="45" t="n">
        <f aca="false">YEAR(CI$4)</f>
        <v>2046</v>
      </c>
      <c r="CJ7" s="45" t="n">
        <f aca="false">YEAR(CJ$4)</f>
        <v>2046</v>
      </c>
      <c r="CK7" s="45" t="n">
        <f aca="false">YEAR(CK$4)</f>
        <v>2046</v>
      </c>
      <c r="CL7" s="45" t="n">
        <f aca="false">YEAR(CL$4)</f>
        <v>2046</v>
      </c>
      <c r="CM7" s="45" t="n">
        <f aca="false">YEAR(CM$4)</f>
        <v>2047</v>
      </c>
      <c r="CN7" s="45" t="n">
        <f aca="false">YEAR(CN$4)</f>
        <v>2047</v>
      </c>
      <c r="CO7" s="45" t="n">
        <f aca="false">YEAR(CO$4)</f>
        <v>2047</v>
      </c>
      <c r="CP7" s="45" t="n">
        <f aca="false">YEAR(CP$4)</f>
        <v>2047</v>
      </c>
      <c r="CQ7" s="45" t="n">
        <f aca="false">YEAR(CQ$4)</f>
        <v>2048</v>
      </c>
      <c r="CR7" s="45" t="n">
        <f aca="false">YEAR(CR$4)</f>
        <v>2048</v>
      </c>
      <c r="CS7" s="45" t="n">
        <f aca="false">YEAR(CS$4)</f>
        <v>2048</v>
      </c>
      <c r="CT7" s="45" t="n">
        <f aca="false">YEAR(CT$4)</f>
        <v>2048</v>
      </c>
      <c r="CU7" s="45" t="n">
        <f aca="false">YEAR(CU$4)</f>
        <v>2049</v>
      </c>
      <c r="CV7" s="45" t="n">
        <f aca="false">YEAR(CV$4)</f>
        <v>2049</v>
      </c>
      <c r="CW7" s="45" t="n">
        <f aca="false">YEAR(CW$4)</f>
        <v>2049</v>
      </c>
      <c r="CX7" s="45" t="n">
        <f aca="false">YEAR(CX$4)</f>
        <v>2049</v>
      </c>
      <c r="CY7" s="45" t="n">
        <f aca="false">YEAR(CY$4)</f>
        <v>2050</v>
      </c>
      <c r="CZ7" s="45" t="n">
        <f aca="false">YEAR(CZ$4)</f>
        <v>2050</v>
      </c>
      <c r="DA7" s="45" t="n">
        <f aca="false">YEAR(DA$4)</f>
        <v>2050</v>
      </c>
      <c r="DB7" s="45" t="n">
        <f aca="false">YEAR(DB$4)</f>
        <v>2050</v>
      </c>
      <c r="DC7" s="45" t="n">
        <f aca="false">YEAR(DC$4)</f>
        <v>2051</v>
      </c>
      <c r="DD7" s="45" t="n">
        <f aca="false">YEAR(DD$4)</f>
        <v>2051</v>
      </c>
      <c r="DE7" s="45" t="n">
        <f aca="false">YEAR(DE$4)</f>
        <v>2051</v>
      </c>
      <c r="DF7" s="45" t="n">
        <f aca="false">YEAR(DF$4)</f>
        <v>2051</v>
      </c>
      <c r="DG7" s="45" t="n">
        <f aca="false">YEAR(DG$4)</f>
        <v>2052</v>
      </c>
      <c r="DH7" s="45" t="n">
        <f aca="false">YEAR(DH$4)</f>
        <v>2052</v>
      </c>
      <c r="DI7" s="45" t="n">
        <f aca="false">YEAR(DI$4)</f>
        <v>2052</v>
      </c>
      <c r="DJ7" s="45" t="n">
        <f aca="false">YEAR(DJ$4)</f>
        <v>2052</v>
      </c>
      <c r="DK7" s="45" t="n">
        <f aca="false">YEAR(DK$4)</f>
        <v>2053</v>
      </c>
      <c r="DL7" s="45" t="n">
        <f aca="false">YEAR(DL$4)</f>
        <v>2053</v>
      </c>
      <c r="DM7" s="45" t="n">
        <f aca="false">YEAR(DM$4)</f>
        <v>2053</v>
      </c>
      <c r="DN7" s="45" t="n">
        <f aca="false">YEAR(DN$4)</f>
        <v>2053</v>
      </c>
      <c r="DO7" s="45" t="n">
        <f aca="false">YEAR(DO$4)</f>
        <v>2054</v>
      </c>
      <c r="DP7" s="45" t="n">
        <f aca="false">YEAR(DP$4)</f>
        <v>2054</v>
      </c>
      <c r="DQ7" s="45" t="n">
        <f aca="false">YEAR(DQ$4)</f>
        <v>2054</v>
      </c>
      <c r="DR7" s="45" t="n">
        <f aca="false">YEAR(DR$4)</f>
        <v>2054</v>
      </c>
      <c r="DS7" s="45" t="n">
        <f aca="false">YEAR(DS$4)</f>
        <v>2055</v>
      </c>
      <c r="DT7" s="45" t="n">
        <f aca="false">YEAR(DT$4)</f>
        <v>2055</v>
      </c>
      <c r="DU7" s="45" t="n">
        <f aca="false">YEAR(DU$4)</f>
        <v>2055</v>
      </c>
      <c r="DV7" s="45" t="n">
        <f aca="false">YEAR(DV$4)</f>
        <v>2055</v>
      </c>
      <c r="DW7" s="45" t="n">
        <f aca="false">YEAR(DW$4)</f>
        <v>2056</v>
      </c>
      <c r="DX7" s="45" t="n">
        <f aca="false">YEAR(DX$4)</f>
        <v>2056</v>
      </c>
      <c r="DY7" s="45" t="n">
        <f aca="false">YEAR(DY$4)</f>
        <v>2056</v>
      </c>
      <c r="DZ7" s="45" t="n">
        <f aca="false">YEAR(DZ$4)</f>
        <v>2056</v>
      </c>
      <c r="EA7" s="45" t="n">
        <f aca="false">YEAR(EA$4)</f>
        <v>2057</v>
      </c>
      <c r="EB7" s="45" t="n">
        <f aca="false">YEAR(EB$4)</f>
        <v>2057</v>
      </c>
      <c r="EC7" s="45" t="n">
        <f aca="false">YEAR(EC$4)</f>
        <v>2057</v>
      </c>
      <c r="ED7" s="45" t="n">
        <f aca="false">YEAR(ED$4)</f>
        <v>2057</v>
      </c>
      <c r="EE7" s="45" t="n">
        <f aca="false">YEAR(EE$4)</f>
        <v>2058</v>
      </c>
      <c r="EF7" s="45" t="n">
        <f aca="false">YEAR(EF$4)</f>
        <v>2058</v>
      </c>
      <c r="EG7" s="45" t="n">
        <f aca="false">YEAR(EG$4)</f>
        <v>2058</v>
      </c>
      <c r="EH7" s="45" t="n">
        <f aca="false">YEAR(EH$4)</f>
        <v>2058</v>
      </c>
      <c r="EI7" s="45" t="n">
        <f aca="false">YEAR(EI$4)</f>
        <v>2059</v>
      </c>
      <c r="EJ7" s="45" t="n">
        <f aca="false">YEAR(EJ$4)</f>
        <v>2059</v>
      </c>
      <c r="EK7" s="45" t="n">
        <f aca="false">YEAR(EK$4)</f>
        <v>2059</v>
      </c>
      <c r="EL7" s="45" t="n">
        <f aca="false">YEAR(EL$4)</f>
        <v>2059</v>
      </c>
      <c r="EM7" s="45" t="n">
        <f aca="false">YEAR(EM$4)</f>
        <v>2060</v>
      </c>
      <c r="EN7" s="45" t="n">
        <f aca="false">YEAR(EN$4)</f>
        <v>2060</v>
      </c>
      <c r="EO7" s="45" t="n">
        <f aca="false">YEAR(EO$4)</f>
        <v>2060</v>
      </c>
    </row>
    <row r="8" customFormat="false" ht="15" hidden="false" customHeight="false" outlineLevel="0" collapsed="false">
      <c r="C8" s="1" t="s">
        <v>414</v>
      </c>
      <c r="D8" s="12" t="s">
        <v>150</v>
      </c>
      <c r="J8" s="45" t="n">
        <f aca="false">I$8+1</f>
        <v>1</v>
      </c>
      <c r="K8" s="45" t="n">
        <f aca="false">J$8+1</f>
        <v>2</v>
      </c>
      <c r="L8" s="45" t="n">
        <f aca="false">K$8+1</f>
        <v>3</v>
      </c>
      <c r="M8" s="45" t="n">
        <f aca="false">L$8+1</f>
        <v>4</v>
      </c>
      <c r="N8" s="45" t="n">
        <f aca="false">M$8+1</f>
        <v>5</v>
      </c>
      <c r="O8" s="45" t="n">
        <f aca="false">N$8+1</f>
        <v>6</v>
      </c>
      <c r="P8" s="45" t="n">
        <f aca="false">O$8+1</f>
        <v>7</v>
      </c>
      <c r="Q8" s="45" t="n">
        <f aca="false">P$8+1</f>
        <v>8</v>
      </c>
      <c r="R8" s="45" t="n">
        <f aca="false">Q$8+1</f>
        <v>9</v>
      </c>
      <c r="S8" s="45" t="n">
        <f aca="false">R$8+1</f>
        <v>10</v>
      </c>
      <c r="T8" s="45" t="n">
        <f aca="false">S$8+1</f>
        <v>11</v>
      </c>
      <c r="U8" s="45" t="n">
        <f aca="false">T$8+1</f>
        <v>12</v>
      </c>
      <c r="V8" s="45" t="n">
        <f aca="false">U$8+1</f>
        <v>13</v>
      </c>
      <c r="W8" s="45" t="n">
        <f aca="false">V$8+1</f>
        <v>14</v>
      </c>
      <c r="X8" s="45" t="n">
        <f aca="false">W$8+1</f>
        <v>15</v>
      </c>
      <c r="Y8" s="45" t="n">
        <f aca="false">X$8+1</f>
        <v>16</v>
      </c>
      <c r="Z8" s="45" t="n">
        <f aca="false">Y$8+1</f>
        <v>17</v>
      </c>
      <c r="AA8" s="45" t="n">
        <f aca="false">Z$8+1</f>
        <v>18</v>
      </c>
      <c r="AB8" s="45" t="n">
        <f aca="false">AA$8+1</f>
        <v>19</v>
      </c>
      <c r="AC8" s="45" t="n">
        <f aca="false">AB$8+1</f>
        <v>20</v>
      </c>
      <c r="AD8" s="45" t="n">
        <f aca="false">AC$8+1</f>
        <v>21</v>
      </c>
      <c r="AE8" s="45" t="n">
        <f aca="false">AD$8+1</f>
        <v>22</v>
      </c>
      <c r="AF8" s="45" t="n">
        <f aca="false">AE$8+1</f>
        <v>23</v>
      </c>
      <c r="AG8" s="45" t="n">
        <f aca="false">AF$8+1</f>
        <v>24</v>
      </c>
      <c r="AH8" s="45" t="n">
        <f aca="false">AG$8+1</f>
        <v>25</v>
      </c>
      <c r="AI8" s="45" t="n">
        <f aca="false">AH$8+1</f>
        <v>26</v>
      </c>
      <c r="AJ8" s="45" t="n">
        <f aca="false">AI$8+1</f>
        <v>27</v>
      </c>
      <c r="AK8" s="45" t="n">
        <f aca="false">AJ$8+1</f>
        <v>28</v>
      </c>
      <c r="AL8" s="45" t="n">
        <f aca="false">AK$8+1</f>
        <v>29</v>
      </c>
      <c r="AM8" s="45" t="n">
        <f aca="false">AL$8+1</f>
        <v>30</v>
      </c>
      <c r="AN8" s="45" t="n">
        <f aca="false">AM$8+1</f>
        <v>31</v>
      </c>
      <c r="AO8" s="45" t="n">
        <f aca="false">AN$8+1</f>
        <v>32</v>
      </c>
      <c r="AP8" s="45" t="n">
        <f aca="false">AO$8+1</f>
        <v>33</v>
      </c>
      <c r="AQ8" s="45" t="n">
        <f aca="false">AP$8+1</f>
        <v>34</v>
      </c>
      <c r="AR8" s="45" t="n">
        <f aca="false">AQ$8+1</f>
        <v>35</v>
      </c>
      <c r="AS8" s="45" t="n">
        <f aca="false">AR$8+1</f>
        <v>36</v>
      </c>
      <c r="AT8" s="45" t="n">
        <f aca="false">AS$8+1</f>
        <v>37</v>
      </c>
      <c r="AU8" s="45" t="n">
        <f aca="false">AT$8+1</f>
        <v>38</v>
      </c>
      <c r="AV8" s="45" t="n">
        <f aca="false">AU$8+1</f>
        <v>39</v>
      </c>
      <c r="AW8" s="45" t="n">
        <f aca="false">AV$8+1</f>
        <v>40</v>
      </c>
      <c r="AX8" s="45" t="n">
        <f aca="false">AW$8+1</f>
        <v>41</v>
      </c>
      <c r="AY8" s="45" t="n">
        <f aca="false">AX$8+1</f>
        <v>42</v>
      </c>
      <c r="AZ8" s="45" t="n">
        <f aca="false">AY$8+1</f>
        <v>43</v>
      </c>
      <c r="BA8" s="45" t="n">
        <f aca="false">AZ$8+1</f>
        <v>44</v>
      </c>
      <c r="BB8" s="45" t="n">
        <f aca="false">BA$8+1</f>
        <v>45</v>
      </c>
      <c r="BC8" s="45" t="n">
        <f aca="false">BB$8+1</f>
        <v>46</v>
      </c>
      <c r="BD8" s="45" t="n">
        <f aca="false">BC$8+1</f>
        <v>47</v>
      </c>
      <c r="BE8" s="45" t="n">
        <f aca="false">BD$8+1</f>
        <v>48</v>
      </c>
      <c r="BF8" s="45" t="n">
        <f aca="false">BE$8+1</f>
        <v>49</v>
      </c>
      <c r="BG8" s="45" t="n">
        <f aca="false">BF$8+1</f>
        <v>50</v>
      </c>
      <c r="BH8" s="45" t="n">
        <f aca="false">BG$8+1</f>
        <v>51</v>
      </c>
      <c r="BI8" s="45" t="n">
        <f aca="false">BH$8+1</f>
        <v>52</v>
      </c>
      <c r="BJ8" s="45" t="n">
        <f aca="false">BI$8+1</f>
        <v>53</v>
      </c>
      <c r="BK8" s="45" t="n">
        <f aca="false">BJ$8+1</f>
        <v>54</v>
      </c>
      <c r="BL8" s="45" t="n">
        <f aca="false">BK$8+1</f>
        <v>55</v>
      </c>
      <c r="BM8" s="45" t="n">
        <f aca="false">BL$8+1</f>
        <v>56</v>
      </c>
      <c r="BN8" s="45" t="n">
        <f aca="false">BM$8+1</f>
        <v>57</v>
      </c>
      <c r="BO8" s="45" t="n">
        <f aca="false">BN$8+1</f>
        <v>58</v>
      </c>
      <c r="BP8" s="45" t="n">
        <f aca="false">BO$8+1</f>
        <v>59</v>
      </c>
      <c r="BQ8" s="45" t="n">
        <f aca="false">BP$8+1</f>
        <v>60</v>
      </c>
      <c r="BR8" s="45" t="n">
        <f aca="false">BQ$8+1</f>
        <v>61</v>
      </c>
      <c r="BS8" s="45" t="n">
        <f aca="false">BR$8+1</f>
        <v>62</v>
      </c>
      <c r="BT8" s="45" t="n">
        <f aca="false">BS$8+1</f>
        <v>63</v>
      </c>
      <c r="BU8" s="45" t="n">
        <f aca="false">BT$8+1</f>
        <v>64</v>
      </c>
      <c r="BV8" s="45" t="n">
        <f aca="false">BU$8+1</f>
        <v>65</v>
      </c>
      <c r="BW8" s="45" t="n">
        <f aca="false">BV$8+1</f>
        <v>66</v>
      </c>
      <c r="BX8" s="45" t="n">
        <f aca="false">BW$8+1</f>
        <v>67</v>
      </c>
      <c r="BY8" s="45" t="n">
        <f aca="false">BX$8+1</f>
        <v>68</v>
      </c>
      <c r="BZ8" s="45" t="n">
        <f aca="false">BY$8+1</f>
        <v>69</v>
      </c>
      <c r="CA8" s="45" t="n">
        <f aca="false">BZ$8+1</f>
        <v>70</v>
      </c>
      <c r="CB8" s="45" t="n">
        <f aca="false">CA$8+1</f>
        <v>71</v>
      </c>
      <c r="CC8" s="45" t="n">
        <f aca="false">CB$8+1</f>
        <v>72</v>
      </c>
      <c r="CD8" s="45" t="n">
        <f aca="false">CC$8+1</f>
        <v>73</v>
      </c>
      <c r="CE8" s="45" t="n">
        <f aca="false">CD$8+1</f>
        <v>74</v>
      </c>
      <c r="CF8" s="45" t="n">
        <f aca="false">CE$8+1</f>
        <v>75</v>
      </c>
      <c r="CG8" s="45" t="n">
        <f aca="false">CF$8+1</f>
        <v>76</v>
      </c>
      <c r="CH8" s="45" t="n">
        <f aca="false">CG$8+1</f>
        <v>77</v>
      </c>
      <c r="CI8" s="45" t="n">
        <f aca="false">CH$8+1</f>
        <v>78</v>
      </c>
      <c r="CJ8" s="45" t="n">
        <f aca="false">CI$8+1</f>
        <v>79</v>
      </c>
      <c r="CK8" s="45" t="n">
        <f aca="false">CJ$8+1</f>
        <v>80</v>
      </c>
      <c r="CL8" s="45" t="n">
        <f aca="false">CK$8+1</f>
        <v>81</v>
      </c>
      <c r="CM8" s="45" t="n">
        <f aca="false">CL$8+1</f>
        <v>82</v>
      </c>
      <c r="CN8" s="45" t="n">
        <f aca="false">CM$8+1</f>
        <v>83</v>
      </c>
      <c r="CO8" s="45" t="n">
        <f aca="false">CN$8+1</f>
        <v>84</v>
      </c>
      <c r="CP8" s="45" t="n">
        <f aca="false">CO$8+1</f>
        <v>85</v>
      </c>
      <c r="CQ8" s="45" t="n">
        <f aca="false">CP$8+1</f>
        <v>86</v>
      </c>
      <c r="CR8" s="45" t="n">
        <f aca="false">CQ$8+1</f>
        <v>87</v>
      </c>
      <c r="CS8" s="45" t="n">
        <f aca="false">CR$8+1</f>
        <v>88</v>
      </c>
      <c r="CT8" s="45" t="n">
        <f aca="false">CS$8+1</f>
        <v>89</v>
      </c>
      <c r="CU8" s="45" t="n">
        <f aca="false">CT$8+1</f>
        <v>90</v>
      </c>
      <c r="CV8" s="45" t="n">
        <f aca="false">CU$8+1</f>
        <v>91</v>
      </c>
      <c r="CW8" s="45" t="n">
        <f aca="false">CV$8+1</f>
        <v>92</v>
      </c>
      <c r="CX8" s="45" t="n">
        <f aca="false">CW$8+1</f>
        <v>93</v>
      </c>
      <c r="CY8" s="45" t="n">
        <f aca="false">CX$8+1</f>
        <v>94</v>
      </c>
      <c r="CZ8" s="45" t="n">
        <f aca="false">CY$8+1</f>
        <v>95</v>
      </c>
      <c r="DA8" s="45" t="n">
        <f aca="false">CZ$8+1</f>
        <v>96</v>
      </c>
      <c r="DB8" s="45" t="n">
        <f aca="false">DA$8+1</f>
        <v>97</v>
      </c>
      <c r="DC8" s="45" t="n">
        <f aca="false">DB$8+1</f>
        <v>98</v>
      </c>
      <c r="DD8" s="45" t="n">
        <f aca="false">DC$8+1</f>
        <v>99</v>
      </c>
      <c r="DE8" s="45" t="n">
        <f aca="false">DD$8+1</f>
        <v>100</v>
      </c>
      <c r="DF8" s="45" t="n">
        <f aca="false">DE$8+1</f>
        <v>101</v>
      </c>
      <c r="DG8" s="45" t="n">
        <f aca="false">DF$8+1</f>
        <v>102</v>
      </c>
      <c r="DH8" s="45" t="n">
        <f aca="false">DG$8+1</f>
        <v>103</v>
      </c>
      <c r="DI8" s="45" t="n">
        <f aca="false">DH$8+1</f>
        <v>104</v>
      </c>
      <c r="DJ8" s="45" t="n">
        <f aca="false">DI$8+1</f>
        <v>105</v>
      </c>
      <c r="DK8" s="45" t="n">
        <f aca="false">DJ$8+1</f>
        <v>106</v>
      </c>
      <c r="DL8" s="45" t="n">
        <f aca="false">DK$8+1</f>
        <v>107</v>
      </c>
      <c r="DM8" s="45" t="n">
        <f aca="false">DL$8+1</f>
        <v>108</v>
      </c>
      <c r="DN8" s="45" t="n">
        <f aca="false">DM$8+1</f>
        <v>109</v>
      </c>
      <c r="DO8" s="45" t="n">
        <f aca="false">DN$8+1</f>
        <v>110</v>
      </c>
      <c r="DP8" s="45" t="n">
        <f aca="false">DO$8+1</f>
        <v>111</v>
      </c>
      <c r="DQ8" s="45" t="n">
        <f aca="false">DP$8+1</f>
        <v>112</v>
      </c>
      <c r="DR8" s="45" t="n">
        <f aca="false">DQ$8+1</f>
        <v>113</v>
      </c>
      <c r="DS8" s="45" t="n">
        <f aca="false">DR$8+1</f>
        <v>114</v>
      </c>
      <c r="DT8" s="45" t="n">
        <f aca="false">DS$8+1</f>
        <v>115</v>
      </c>
      <c r="DU8" s="45" t="n">
        <f aca="false">DT$8+1</f>
        <v>116</v>
      </c>
      <c r="DV8" s="45" t="n">
        <f aca="false">DU$8+1</f>
        <v>117</v>
      </c>
      <c r="DW8" s="45" t="n">
        <f aca="false">DV$8+1</f>
        <v>118</v>
      </c>
      <c r="DX8" s="45" t="n">
        <f aca="false">DW$8+1</f>
        <v>119</v>
      </c>
      <c r="DY8" s="45" t="n">
        <f aca="false">DX$8+1</f>
        <v>120</v>
      </c>
      <c r="DZ8" s="45" t="n">
        <f aca="false">DY$8+1</f>
        <v>121</v>
      </c>
      <c r="EA8" s="45" t="n">
        <f aca="false">DZ$8+1</f>
        <v>122</v>
      </c>
      <c r="EB8" s="45" t="n">
        <f aca="false">EA$8+1</f>
        <v>123</v>
      </c>
      <c r="EC8" s="45" t="n">
        <f aca="false">EB$8+1</f>
        <v>124</v>
      </c>
      <c r="ED8" s="45" t="n">
        <f aca="false">EC$8+1</f>
        <v>125</v>
      </c>
      <c r="EE8" s="45" t="n">
        <f aca="false">ED$8+1</f>
        <v>126</v>
      </c>
      <c r="EF8" s="45" t="n">
        <f aca="false">EE$8+1</f>
        <v>127</v>
      </c>
      <c r="EG8" s="45" t="n">
        <f aca="false">EF$8+1</f>
        <v>128</v>
      </c>
      <c r="EH8" s="45" t="n">
        <f aca="false">EG$8+1</f>
        <v>129</v>
      </c>
      <c r="EI8" s="45" t="n">
        <f aca="false">EH$8+1</f>
        <v>130</v>
      </c>
      <c r="EJ8" s="45" t="n">
        <f aca="false">EI$8+1</f>
        <v>131</v>
      </c>
      <c r="EK8" s="45" t="n">
        <f aca="false">EJ$8+1</f>
        <v>132</v>
      </c>
      <c r="EL8" s="45" t="n">
        <f aca="false">EK$8+1</f>
        <v>133</v>
      </c>
      <c r="EM8" s="45" t="n">
        <f aca="false">EL$8+1</f>
        <v>134</v>
      </c>
      <c r="EN8" s="45" t="n">
        <f aca="false">EM$8+1</f>
        <v>135</v>
      </c>
      <c r="EO8" s="45" t="n">
        <f aca="false">EN$8+1</f>
        <v>136</v>
      </c>
    </row>
    <row r="11" customFormat="false" ht="15" hidden="false" customHeight="false" outlineLevel="0" collapsed="false">
      <c r="A11" s="10" t="s">
        <v>13</v>
      </c>
      <c r="B11" s="10"/>
      <c r="C11" s="10" t="s">
        <v>415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customFormat="false" ht="15" hidden="false" customHeight="false" outlineLevel="0" collapsed="false">
      <c r="C12" s="1" t="s">
        <v>416</v>
      </c>
      <c r="D12" s="12" t="s">
        <v>411</v>
      </c>
      <c r="E12" s="47" t="n">
        <f aca="false">In_NTP+1</f>
        <v>47027</v>
      </c>
      <c r="F12" s="21" t="n">
        <f aca="false">In_COD</f>
        <v>47756</v>
      </c>
      <c r="I12" s="56" t="n">
        <f aca="false">SUM(J12:EO12)</f>
        <v>1</v>
      </c>
      <c r="J12" s="56" t="n">
        <f aca="false">MAX(0,MIN($F12,J$4)-MAX($E12,J$3)+1)/($F12-$E12+1)</f>
        <v>0</v>
      </c>
      <c r="K12" s="56" t="n">
        <f aca="false">MAX(0,MIN($F12,K$4)-MAX($E12,K$3)+1)/($F12-$E12+1)</f>
        <v>0</v>
      </c>
      <c r="L12" s="56" t="n">
        <f aca="false">MAX(0,MIN($F12,L$4)-MAX($E12,L$3)+1)/($F12-$E12+1)</f>
        <v>0</v>
      </c>
      <c r="M12" s="56" t="n">
        <f aca="false">MAX(0,MIN($F12,M$4)-MAX($E12,M$3)+1)/($F12-$E12+1)</f>
        <v>0</v>
      </c>
      <c r="N12" s="56" t="n">
        <f aca="false">MAX(0,MIN($F12,N$4)-MAX($E12,N$3)+1)/($F12-$E12+1)</f>
        <v>0</v>
      </c>
      <c r="O12" s="56" t="n">
        <f aca="false">MAX(0,MIN($F12,O$4)-MAX($E12,O$3)+1)/($F12-$E12+1)</f>
        <v>0</v>
      </c>
      <c r="P12" s="56" t="n">
        <f aca="false">MAX(0,MIN($F12,P$4)-MAX($E12,P$3)+1)/($F12-$E12+1)</f>
        <v>0</v>
      </c>
      <c r="Q12" s="56" t="n">
        <f aca="false">MAX(0,MIN($F12,Q$4)-MAX($E12,Q$3)+1)/($F12-$E12+1)</f>
        <v>0</v>
      </c>
      <c r="R12" s="56" t="n">
        <f aca="false">MAX(0,MIN($F12,R$4)-MAX($E12,R$3)+1)/($F12-$E12+1)</f>
        <v>0.126027397260274</v>
      </c>
      <c r="S12" s="56" t="n">
        <f aca="false">MAX(0,MIN($F12,S$4)-MAX($E12,S$3)+1)/($F12-$E12+1)</f>
        <v>0.123287671232877</v>
      </c>
      <c r="T12" s="56" t="n">
        <f aca="false">MAX(0,MIN($F12,T$4)-MAX($E12,T$3)+1)/($F12-$E12+1)</f>
        <v>0.124657534246575</v>
      </c>
      <c r="U12" s="56" t="n">
        <f aca="false">MAX(0,MIN($F12,U$4)-MAX($E12,U$3)+1)/($F12-$E12+1)</f>
        <v>0.126027397260274</v>
      </c>
      <c r="V12" s="56" t="n">
        <f aca="false">MAX(0,MIN($F12,V$4)-MAX($E12,V$3)+1)/($F12-$E12+1)</f>
        <v>0.126027397260274</v>
      </c>
      <c r="W12" s="56" t="n">
        <f aca="false">MAX(0,MIN($F12,W$4)-MAX($E12,W$3)+1)/($F12-$E12+1)</f>
        <v>0.123287671232877</v>
      </c>
      <c r="X12" s="56" t="n">
        <f aca="false">MAX(0,MIN($F12,X$4)-MAX($E12,X$3)+1)/($F12-$E12+1)</f>
        <v>0.124657534246575</v>
      </c>
      <c r="Y12" s="56" t="n">
        <f aca="false">MAX(0,MIN($F12,Y$4)-MAX($E12,Y$3)+1)/($F12-$E12+1)</f>
        <v>0.126027397260274</v>
      </c>
      <c r="Z12" s="56" t="n">
        <f aca="false">MAX(0,MIN($F12,Z$4)-MAX($E12,Z$3)+1)/($F12-$E12+1)</f>
        <v>0</v>
      </c>
      <c r="AA12" s="56" t="n">
        <f aca="false">MAX(0,MIN($F12,AA$4)-MAX($E12,AA$3)+1)/($F12-$E12+1)</f>
        <v>0</v>
      </c>
      <c r="AB12" s="56" t="n">
        <f aca="false">MAX(0,MIN($F12,AB$4)-MAX($E12,AB$3)+1)/($F12-$E12+1)</f>
        <v>0</v>
      </c>
      <c r="AC12" s="56" t="n">
        <f aca="false">MAX(0,MIN($F12,AC$4)-MAX($E12,AC$3)+1)/($F12-$E12+1)</f>
        <v>0</v>
      </c>
      <c r="AD12" s="56" t="n">
        <f aca="false">MAX(0,MIN($F12,AD$4)-MAX($E12,AD$3)+1)/($F12-$E12+1)</f>
        <v>0</v>
      </c>
      <c r="AE12" s="56" t="n">
        <f aca="false">MAX(0,MIN($F12,AE$4)-MAX($E12,AE$3)+1)/($F12-$E12+1)</f>
        <v>0</v>
      </c>
      <c r="AF12" s="56" t="n">
        <f aca="false">MAX(0,MIN($F12,AF$4)-MAX($E12,AF$3)+1)/($F12-$E12+1)</f>
        <v>0</v>
      </c>
      <c r="AG12" s="56" t="n">
        <f aca="false">MAX(0,MIN($F12,AG$4)-MAX($E12,AG$3)+1)/($F12-$E12+1)</f>
        <v>0</v>
      </c>
      <c r="AH12" s="56" t="n">
        <f aca="false">MAX(0,MIN($F12,AH$4)-MAX($E12,AH$3)+1)/($F12-$E12+1)</f>
        <v>0</v>
      </c>
      <c r="AI12" s="56" t="n">
        <f aca="false">MAX(0,MIN($F12,AI$4)-MAX($E12,AI$3)+1)/($F12-$E12+1)</f>
        <v>0</v>
      </c>
      <c r="AJ12" s="56" t="n">
        <f aca="false">MAX(0,MIN($F12,AJ$4)-MAX($E12,AJ$3)+1)/($F12-$E12+1)</f>
        <v>0</v>
      </c>
      <c r="AK12" s="56" t="n">
        <f aca="false">MAX(0,MIN($F12,AK$4)-MAX($E12,AK$3)+1)/($F12-$E12+1)</f>
        <v>0</v>
      </c>
      <c r="AL12" s="56" t="n">
        <f aca="false">MAX(0,MIN($F12,AL$4)-MAX($E12,AL$3)+1)/($F12-$E12+1)</f>
        <v>0</v>
      </c>
      <c r="AM12" s="56" t="n">
        <f aca="false">MAX(0,MIN($F12,AM$4)-MAX($E12,AM$3)+1)/($F12-$E12+1)</f>
        <v>0</v>
      </c>
      <c r="AN12" s="56" t="n">
        <f aca="false">MAX(0,MIN($F12,AN$4)-MAX($E12,AN$3)+1)/($F12-$E12+1)</f>
        <v>0</v>
      </c>
      <c r="AO12" s="56" t="n">
        <f aca="false">MAX(0,MIN($F12,AO$4)-MAX($E12,AO$3)+1)/($F12-$E12+1)</f>
        <v>0</v>
      </c>
      <c r="AP12" s="56" t="n">
        <f aca="false">MAX(0,MIN($F12,AP$4)-MAX($E12,AP$3)+1)/($F12-$E12+1)</f>
        <v>0</v>
      </c>
      <c r="AQ12" s="56" t="n">
        <f aca="false">MAX(0,MIN($F12,AQ$4)-MAX($E12,AQ$3)+1)/($F12-$E12+1)</f>
        <v>0</v>
      </c>
      <c r="AR12" s="56" t="n">
        <f aca="false">MAX(0,MIN($F12,AR$4)-MAX($E12,AR$3)+1)/($F12-$E12+1)</f>
        <v>0</v>
      </c>
      <c r="AS12" s="56" t="n">
        <f aca="false">MAX(0,MIN($F12,AS$4)-MAX($E12,AS$3)+1)/($F12-$E12+1)</f>
        <v>0</v>
      </c>
      <c r="AT12" s="56" t="n">
        <f aca="false">MAX(0,MIN($F12,AT$4)-MAX($E12,AT$3)+1)/($F12-$E12+1)</f>
        <v>0</v>
      </c>
      <c r="AU12" s="56" t="n">
        <f aca="false">MAX(0,MIN($F12,AU$4)-MAX($E12,AU$3)+1)/($F12-$E12+1)</f>
        <v>0</v>
      </c>
      <c r="AV12" s="56" t="n">
        <f aca="false">MAX(0,MIN($F12,AV$4)-MAX($E12,AV$3)+1)/($F12-$E12+1)</f>
        <v>0</v>
      </c>
      <c r="AW12" s="56" t="n">
        <f aca="false">MAX(0,MIN($F12,AW$4)-MAX($E12,AW$3)+1)/($F12-$E12+1)</f>
        <v>0</v>
      </c>
      <c r="AX12" s="56" t="n">
        <f aca="false">MAX(0,MIN($F12,AX$4)-MAX($E12,AX$3)+1)/($F12-$E12+1)</f>
        <v>0</v>
      </c>
      <c r="AY12" s="56" t="n">
        <f aca="false">MAX(0,MIN($F12,AY$4)-MAX($E12,AY$3)+1)/($F12-$E12+1)</f>
        <v>0</v>
      </c>
      <c r="AZ12" s="56" t="n">
        <f aca="false">MAX(0,MIN($F12,AZ$4)-MAX($E12,AZ$3)+1)/($F12-$E12+1)</f>
        <v>0</v>
      </c>
      <c r="BA12" s="56" t="n">
        <f aca="false">MAX(0,MIN($F12,BA$4)-MAX($E12,BA$3)+1)/($F12-$E12+1)</f>
        <v>0</v>
      </c>
      <c r="BB12" s="56" t="n">
        <f aca="false">MAX(0,MIN($F12,BB$4)-MAX($E12,BB$3)+1)/($F12-$E12+1)</f>
        <v>0</v>
      </c>
      <c r="BC12" s="56" t="n">
        <f aca="false">MAX(0,MIN($F12,BC$4)-MAX($E12,BC$3)+1)/($F12-$E12+1)</f>
        <v>0</v>
      </c>
      <c r="BD12" s="56" t="n">
        <f aca="false">MAX(0,MIN($F12,BD$4)-MAX($E12,BD$3)+1)/($F12-$E12+1)</f>
        <v>0</v>
      </c>
      <c r="BE12" s="56" t="n">
        <f aca="false">MAX(0,MIN($F12,BE$4)-MAX($E12,BE$3)+1)/($F12-$E12+1)</f>
        <v>0</v>
      </c>
      <c r="BF12" s="56" t="n">
        <f aca="false">MAX(0,MIN($F12,BF$4)-MAX($E12,BF$3)+1)/($F12-$E12+1)</f>
        <v>0</v>
      </c>
      <c r="BG12" s="56" t="n">
        <f aca="false">MAX(0,MIN($F12,BG$4)-MAX($E12,BG$3)+1)/($F12-$E12+1)</f>
        <v>0</v>
      </c>
      <c r="BH12" s="56" t="n">
        <f aca="false">MAX(0,MIN($F12,BH$4)-MAX($E12,BH$3)+1)/($F12-$E12+1)</f>
        <v>0</v>
      </c>
      <c r="BI12" s="56" t="n">
        <f aca="false">MAX(0,MIN($F12,BI$4)-MAX($E12,BI$3)+1)/($F12-$E12+1)</f>
        <v>0</v>
      </c>
      <c r="BJ12" s="56" t="n">
        <f aca="false">MAX(0,MIN($F12,BJ$4)-MAX($E12,BJ$3)+1)/($F12-$E12+1)</f>
        <v>0</v>
      </c>
      <c r="BK12" s="56" t="n">
        <f aca="false">MAX(0,MIN($F12,BK$4)-MAX($E12,BK$3)+1)/($F12-$E12+1)</f>
        <v>0</v>
      </c>
      <c r="BL12" s="56" t="n">
        <f aca="false">MAX(0,MIN($F12,BL$4)-MAX($E12,BL$3)+1)/($F12-$E12+1)</f>
        <v>0</v>
      </c>
      <c r="BM12" s="56" t="n">
        <f aca="false">MAX(0,MIN($F12,BM$4)-MAX($E12,BM$3)+1)/($F12-$E12+1)</f>
        <v>0</v>
      </c>
      <c r="BN12" s="56" t="n">
        <f aca="false">MAX(0,MIN($F12,BN$4)-MAX($E12,BN$3)+1)/($F12-$E12+1)</f>
        <v>0</v>
      </c>
      <c r="BO12" s="56" t="n">
        <f aca="false">MAX(0,MIN($F12,BO$4)-MAX($E12,BO$3)+1)/($F12-$E12+1)</f>
        <v>0</v>
      </c>
      <c r="BP12" s="56" t="n">
        <f aca="false">MAX(0,MIN($F12,BP$4)-MAX($E12,BP$3)+1)/($F12-$E12+1)</f>
        <v>0</v>
      </c>
      <c r="BQ12" s="56" t="n">
        <f aca="false">MAX(0,MIN($F12,BQ$4)-MAX($E12,BQ$3)+1)/($F12-$E12+1)</f>
        <v>0</v>
      </c>
      <c r="BR12" s="56" t="n">
        <f aca="false">MAX(0,MIN($F12,BR$4)-MAX($E12,BR$3)+1)/($F12-$E12+1)</f>
        <v>0</v>
      </c>
      <c r="BS12" s="56" t="n">
        <f aca="false">MAX(0,MIN($F12,BS$4)-MAX($E12,BS$3)+1)/($F12-$E12+1)</f>
        <v>0</v>
      </c>
      <c r="BT12" s="56" t="n">
        <f aca="false">MAX(0,MIN($F12,BT$4)-MAX($E12,BT$3)+1)/($F12-$E12+1)</f>
        <v>0</v>
      </c>
      <c r="BU12" s="56" t="n">
        <f aca="false">MAX(0,MIN($F12,BU$4)-MAX($E12,BU$3)+1)/($F12-$E12+1)</f>
        <v>0</v>
      </c>
      <c r="BV12" s="56" t="n">
        <f aca="false">MAX(0,MIN($F12,BV$4)-MAX($E12,BV$3)+1)/($F12-$E12+1)</f>
        <v>0</v>
      </c>
      <c r="BW12" s="56" t="n">
        <f aca="false">MAX(0,MIN($F12,BW$4)-MAX($E12,BW$3)+1)/($F12-$E12+1)</f>
        <v>0</v>
      </c>
      <c r="BX12" s="56" t="n">
        <f aca="false">MAX(0,MIN($F12,BX$4)-MAX($E12,BX$3)+1)/($F12-$E12+1)</f>
        <v>0</v>
      </c>
      <c r="BY12" s="56" t="n">
        <f aca="false">MAX(0,MIN($F12,BY$4)-MAX($E12,BY$3)+1)/($F12-$E12+1)</f>
        <v>0</v>
      </c>
      <c r="BZ12" s="56" t="n">
        <f aca="false">MAX(0,MIN($F12,BZ$4)-MAX($E12,BZ$3)+1)/($F12-$E12+1)</f>
        <v>0</v>
      </c>
      <c r="CA12" s="56" t="n">
        <f aca="false">MAX(0,MIN($F12,CA$4)-MAX($E12,CA$3)+1)/($F12-$E12+1)</f>
        <v>0</v>
      </c>
      <c r="CB12" s="56" t="n">
        <f aca="false">MAX(0,MIN($F12,CB$4)-MAX($E12,CB$3)+1)/($F12-$E12+1)</f>
        <v>0</v>
      </c>
      <c r="CC12" s="56" t="n">
        <f aca="false">MAX(0,MIN($F12,CC$4)-MAX($E12,CC$3)+1)/($F12-$E12+1)</f>
        <v>0</v>
      </c>
      <c r="CD12" s="56" t="n">
        <f aca="false">MAX(0,MIN($F12,CD$4)-MAX($E12,CD$3)+1)/($F12-$E12+1)</f>
        <v>0</v>
      </c>
      <c r="CE12" s="56" t="n">
        <f aca="false">MAX(0,MIN($F12,CE$4)-MAX($E12,CE$3)+1)/($F12-$E12+1)</f>
        <v>0</v>
      </c>
      <c r="CF12" s="56" t="n">
        <f aca="false">MAX(0,MIN($F12,CF$4)-MAX($E12,CF$3)+1)/($F12-$E12+1)</f>
        <v>0</v>
      </c>
      <c r="CG12" s="56" t="n">
        <f aca="false">MAX(0,MIN($F12,CG$4)-MAX($E12,CG$3)+1)/($F12-$E12+1)</f>
        <v>0</v>
      </c>
      <c r="CH12" s="56" t="n">
        <f aca="false">MAX(0,MIN($F12,CH$4)-MAX($E12,CH$3)+1)/($F12-$E12+1)</f>
        <v>0</v>
      </c>
      <c r="CI12" s="56" t="n">
        <f aca="false">MAX(0,MIN($F12,CI$4)-MAX($E12,CI$3)+1)/($F12-$E12+1)</f>
        <v>0</v>
      </c>
      <c r="CJ12" s="56" t="n">
        <f aca="false">MAX(0,MIN($F12,CJ$4)-MAX($E12,CJ$3)+1)/($F12-$E12+1)</f>
        <v>0</v>
      </c>
      <c r="CK12" s="56" t="n">
        <f aca="false">MAX(0,MIN($F12,CK$4)-MAX($E12,CK$3)+1)/($F12-$E12+1)</f>
        <v>0</v>
      </c>
      <c r="CL12" s="56" t="n">
        <f aca="false">MAX(0,MIN($F12,CL$4)-MAX($E12,CL$3)+1)/($F12-$E12+1)</f>
        <v>0</v>
      </c>
      <c r="CM12" s="56" t="n">
        <f aca="false">MAX(0,MIN($F12,CM$4)-MAX($E12,CM$3)+1)/($F12-$E12+1)</f>
        <v>0</v>
      </c>
      <c r="CN12" s="56" t="n">
        <f aca="false">MAX(0,MIN($F12,CN$4)-MAX($E12,CN$3)+1)/($F12-$E12+1)</f>
        <v>0</v>
      </c>
      <c r="CO12" s="56" t="n">
        <f aca="false">MAX(0,MIN($F12,CO$4)-MAX($E12,CO$3)+1)/($F12-$E12+1)</f>
        <v>0</v>
      </c>
      <c r="CP12" s="56" t="n">
        <f aca="false">MAX(0,MIN($F12,CP$4)-MAX($E12,CP$3)+1)/($F12-$E12+1)</f>
        <v>0</v>
      </c>
      <c r="CQ12" s="56" t="n">
        <f aca="false">MAX(0,MIN($F12,CQ$4)-MAX($E12,CQ$3)+1)/($F12-$E12+1)</f>
        <v>0</v>
      </c>
      <c r="CR12" s="56" t="n">
        <f aca="false">MAX(0,MIN($F12,CR$4)-MAX($E12,CR$3)+1)/($F12-$E12+1)</f>
        <v>0</v>
      </c>
      <c r="CS12" s="56" t="n">
        <f aca="false">MAX(0,MIN($F12,CS$4)-MAX($E12,CS$3)+1)/($F12-$E12+1)</f>
        <v>0</v>
      </c>
      <c r="CT12" s="56" t="n">
        <f aca="false">MAX(0,MIN($F12,CT$4)-MAX($E12,CT$3)+1)/($F12-$E12+1)</f>
        <v>0</v>
      </c>
      <c r="CU12" s="56" t="n">
        <f aca="false">MAX(0,MIN($F12,CU$4)-MAX($E12,CU$3)+1)/($F12-$E12+1)</f>
        <v>0</v>
      </c>
      <c r="CV12" s="56" t="n">
        <f aca="false">MAX(0,MIN($F12,CV$4)-MAX($E12,CV$3)+1)/($F12-$E12+1)</f>
        <v>0</v>
      </c>
      <c r="CW12" s="56" t="n">
        <f aca="false">MAX(0,MIN($F12,CW$4)-MAX($E12,CW$3)+1)/($F12-$E12+1)</f>
        <v>0</v>
      </c>
      <c r="CX12" s="56" t="n">
        <f aca="false">MAX(0,MIN($F12,CX$4)-MAX($E12,CX$3)+1)/($F12-$E12+1)</f>
        <v>0</v>
      </c>
      <c r="CY12" s="56" t="n">
        <f aca="false">MAX(0,MIN($F12,CY$4)-MAX($E12,CY$3)+1)/($F12-$E12+1)</f>
        <v>0</v>
      </c>
      <c r="CZ12" s="56" t="n">
        <f aca="false">MAX(0,MIN($F12,CZ$4)-MAX($E12,CZ$3)+1)/($F12-$E12+1)</f>
        <v>0</v>
      </c>
      <c r="DA12" s="56" t="n">
        <f aca="false">MAX(0,MIN($F12,DA$4)-MAX($E12,DA$3)+1)/($F12-$E12+1)</f>
        <v>0</v>
      </c>
      <c r="DB12" s="56" t="n">
        <f aca="false">MAX(0,MIN($F12,DB$4)-MAX($E12,DB$3)+1)/($F12-$E12+1)</f>
        <v>0</v>
      </c>
      <c r="DC12" s="56" t="n">
        <f aca="false">MAX(0,MIN($F12,DC$4)-MAX($E12,DC$3)+1)/($F12-$E12+1)</f>
        <v>0</v>
      </c>
      <c r="DD12" s="56" t="n">
        <f aca="false">MAX(0,MIN($F12,DD$4)-MAX($E12,DD$3)+1)/($F12-$E12+1)</f>
        <v>0</v>
      </c>
      <c r="DE12" s="56" t="n">
        <f aca="false">MAX(0,MIN($F12,DE$4)-MAX($E12,DE$3)+1)/($F12-$E12+1)</f>
        <v>0</v>
      </c>
      <c r="DF12" s="56" t="n">
        <f aca="false">MAX(0,MIN($F12,DF$4)-MAX($E12,DF$3)+1)/($F12-$E12+1)</f>
        <v>0</v>
      </c>
      <c r="DG12" s="56" t="n">
        <f aca="false">MAX(0,MIN($F12,DG$4)-MAX($E12,DG$3)+1)/($F12-$E12+1)</f>
        <v>0</v>
      </c>
      <c r="DH12" s="56" t="n">
        <f aca="false">MAX(0,MIN($F12,DH$4)-MAX($E12,DH$3)+1)/($F12-$E12+1)</f>
        <v>0</v>
      </c>
      <c r="DI12" s="56" t="n">
        <f aca="false">MAX(0,MIN($F12,DI$4)-MAX($E12,DI$3)+1)/($F12-$E12+1)</f>
        <v>0</v>
      </c>
      <c r="DJ12" s="56" t="n">
        <f aca="false">MAX(0,MIN($F12,DJ$4)-MAX($E12,DJ$3)+1)/($F12-$E12+1)</f>
        <v>0</v>
      </c>
      <c r="DK12" s="56" t="n">
        <f aca="false">MAX(0,MIN($F12,DK$4)-MAX($E12,DK$3)+1)/($F12-$E12+1)</f>
        <v>0</v>
      </c>
      <c r="DL12" s="56" t="n">
        <f aca="false">MAX(0,MIN($F12,DL$4)-MAX($E12,DL$3)+1)/($F12-$E12+1)</f>
        <v>0</v>
      </c>
      <c r="DM12" s="56" t="n">
        <f aca="false">MAX(0,MIN($F12,DM$4)-MAX($E12,DM$3)+1)/($F12-$E12+1)</f>
        <v>0</v>
      </c>
      <c r="DN12" s="56" t="n">
        <f aca="false">MAX(0,MIN($F12,DN$4)-MAX($E12,DN$3)+1)/($F12-$E12+1)</f>
        <v>0</v>
      </c>
      <c r="DO12" s="56" t="n">
        <f aca="false">MAX(0,MIN($F12,DO$4)-MAX($E12,DO$3)+1)/($F12-$E12+1)</f>
        <v>0</v>
      </c>
      <c r="DP12" s="56" t="n">
        <f aca="false">MAX(0,MIN($F12,DP$4)-MAX($E12,DP$3)+1)/($F12-$E12+1)</f>
        <v>0</v>
      </c>
      <c r="DQ12" s="56" t="n">
        <f aca="false">MAX(0,MIN($F12,DQ$4)-MAX($E12,DQ$3)+1)/($F12-$E12+1)</f>
        <v>0</v>
      </c>
      <c r="DR12" s="56" t="n">
        <f aca="false">MAX(0,MIN($F12,DR$4)-MAX($E12,DR$3)+1)/($F12-$E12+1)</f>
        <v>0</v>
      </c>
      <c r="DS12" s="56" t="n">
        <f aca="false">MAX(0,MIN($F12,DS$4)-MAX($E12,DS$3)+1)/($F12-$E12+1)</f>
        <v>0</v>
      </c>
      <c r="DT12" s="56" t="n">
        <f aca="false">MAX(0,MIN($F12,DT$4)-MAX($E12,DT$3)+1)/($F12-$E12+1)</f>
        <v>0</v>
      </c>
      <c r="DU12" s="56" t="n">
        <f aca="false">MAX(0,MIN($F12,DU$4)-MAX($E12,DU$3)+1)/($F12-$E12+1)</f>
        <v>0</v>
      </c>
      <c r="DV12" s="56" t="n">
        <f aca="false">MAX(0,MIN($F12,DV$4)-MAX($E12,DV$3)+1)/($F12-$E12+1)</f>
        <v>0</v>
      </c>
      <c r="DW12" s="56" t="n">
        <f aca="false">MAX(0,MIN($F12,DW$4)-MAX($E12,DW$3)+1)/($F12-$E12+1)</f>
        <v>0</v>
      </c>
      <c r="DX12" s="56" t="n">
        <f aca="false">MAX(0,MIN($F12,DX$4)-MAX($E12,DX$3)+1)/($F12-$E12+1)</f>
        <v>0</v>
      </c>
      <c r="DY12" s="56" t="n">
        <f aca="false">MAX(0,MIN($F12,DY$4)-MAX($E12,DY$3)+1)/($F12-$E12+1)</f>
        <v>0</v>
      </c>
      <c r="DZ12" s="56" t="n">
        <f aca="false">MAX(0,MIN($F12,DZ$4)-MAX($E12,DZ$3)+1)/($F12-$E12+1)</f>
        <v>0</v>
      </c>
      <c r="EA12" s="56" t="n">
        <f aca="false">MAX(0,MIN($F12,EA$4)-MAX($E12,EA$3)+1)/($F12-$E12+1)</f>
        <v>0</v>
      </c>
      <c r="EB12" s="56" t="n">
        <f aca="false">MAX(0,MIN($F12,EB$4)-MAX($E12,EB$3)+1)/($F12-$E12+1)</f>
        <v>0</v>
      </c>
      <c r="EC12" s="56" t="n">
        <f aca="false">MAX(0,MIN($F12,EC$4)-MAX($E12,EC$3)+1)/($F12-$E12+1)</f>
        <v>0</v>
      </c>
      <c r="ED12" s="56" t="n">
        <f aca="false">MAX(0,MIN($F12,ED$4)-MAX($E12,ED$3)+1)/($F12-$E12+1)</f>
        <v>0</v>
      </c>
      <c r="EE12" s="56" t="n">
        <f aca="false">MAX(0,MIN($F12,EE$4)-MAX($E12,EE$3)+1)/($F12-$E12+1)</f>
        <v>0</v>
      </c>
      <c r="EF12" s="56" t="n">
        <f aca="false">MAX(0,MIN($F12,EF$4)-MAX($E12,EF$3)+1)/($F12-$E12+1)</f>
        <v>0</v>
      </c>
      <c r="EG12" s="56" t="n">
        <f aca="false">MAX(0,MIN($F12,EG$4)-MAX($E12,EG$3)+1)/($F12-$E12+1)</f>
        <v>0</v>
      </c>
      <c r="EH12" s="56" t="n">
        <f aca="false">MAX(0,MIN($F12,EH$4)-MAX($E12,EH$3)+1)/($F12-$E12+1)</f>
        <v>0</v>
      </c>
      <c r="EI12" s="56" t="n">
        <f aca="false">MAX(0,MIN($F12,EI$4)-MAX($E12,EI$3)+1)/($F12-$E12+1)</f>
        <v>0</v>
      </c>
      <c r="EJ12" s="56" t="n">
        <f aca="false">MAX(0,MIN($F12,EJ$4)-MAX($E12,EJ$3)+1)/($F12-$E12+1)</f>
        <v>0</v>
      </c>
      <c r="EK12" s="56" t="n">
        <f aca="false">MAX(0,MIN($F12,EK$4)-MAX($E12,EK$3)+1)/($F12-$E12+1)</f>
        <v>0</v>
      </c>
      <c r="EL12" s="56" t="n">
        <f aca="false">MAX(0,MIN($F12,EL$4)-MAX($E12,EL$3)+1)/($F12-$E12+1)</f>
        <v>0</v>
      </c>
      <c r="EM12" s="56" t="n">
        <f aca="false">MAX(0,MIN($F12,EM$4)-MAX($E12,EM$3)+1)/($F12-$E12+1)</f>
        <v>0</v>
      </c>
      <c r="EN12" s="56" t="n">
        <f aca="false">MAX(0,MIN($F12,EN$4)-MAX($E12,EN$3)+1)/($F12-$E12+1)</f>
        <v>0</v>
      </c>
      <c r="EO12" s="56" t="n">
        <f aca="false">MAX(0,MIN($F12,EO$4)-MAX($E12,EO$3)+1)/($F12-$E12+1)</f>
        <v>0</v>
      </c>
    </row>
    <row r="13" customFormat="false" ht="15" hidden="false" customHeight="false" outlineLevel="0" collapsed="false">
      <c r="C13" s="1" t="s">
        <v>417</v>
      </c>
      <c r="D13" s="12" t="s">
        <v>411</v>
      </c>
      <c r="E13" s="47" t="n">
        <f aca="false">In_Closing+1</f>
        <v>46388</v>
      </c>
      <c r="F13" s="21" t="n">
        <f aca="false">In_NTP</f>
        <v>47026</v>
      </c>
      <c r="I13" s="56" t="n">
        <f aca="false">SUM(J13:EO13)</f>
        <v>1</v>
      </c>
      <c r="J13" s="56" t="n">
        <f aca="false">MAX(0,MIN($F13,J$4)-MAX($E13,J$3)+1)/($F13-$E13+1)</f>
        <v>0</v>
      </c>
      <c r="K13" s="56" t="n">
        <f aca="false">MAX(0,MIN($F13,K$4)-MAX($E13,K$3)+1)/($F13-$E13+1)</f>
        <v>0.140845070422535</v>
      </c>
      <c r="L13" s="56" t="n">
        <f aca="false">MAX(0,MIN($F13,L$4)-MAX($E13,L$3)+1)/($F13-$E13+1)</f>
        <v>0.142410015649452</v>
      </c>
      <c r="M13" s="56" t="n">
        <f aca="false">MAX(0,MIN($F13,M$4)-MAX($E13,M$3)+1)/($F13-$E13+1)</f>
        <v>0.143974960876369</v>
      </c>
      <c r="N13" s="56" t="n">
        <f aca="false">MAX(0,MIN($F13,N$4)-MAX($E13,N$3)+1)/($F13-$E13+1)</f>
        <v>0.143974960876369</v>
      </c>
      <c r="O13" s="56" t="n">
        <f aca="false">MAX(0,MIN($F13,O$4)-MAX($E13,O$3)+1)/($F13-$E13+1)</f>
        <v>0.142410015649452</v>
      </c>
      <c r="P13" s="56" t="n">
        <f aca="false">MAX(0,MIN($F13,P$4)-MAX($E13,P$3)+1)/($F13-$E13+1)</f>
        <v>0.142410015649452</v>
      </c>
      <c r="Q13" s="56" t="n">
        <f aca="false">MAX(0,MIN($F13,Q$4)-MAX($E13,Q$3)+1)/($F13-$E13+1)</f>
        <v>0.143974960876369</v>
      </c>
      <c r="R13" s="56" t="n">
        <f aca="false">MAX(0,MIN($F13,R$4)-MAX($E13,R$3)+1)/($F13-$E13+1)</f>
        <v>0</v>
      </c>
      <c r="S13" s="56" t="n">
        <f aca="false">MAX(0,MIN($F13,S$4)-MAX($E13,S$3)+1)/($F13-$E13+1)</f>
        <v>0</v>
      </c>
      <c r="T13" s="56" t="n">
        <f aca="false">MAX(0,MIN($F13,T$4)-MAX($E13,T$3)+1)/($F13-$E13+1)</f>
        <v>0</v>
      </c>
      <c r="U13" s="56" t="n">
        <f aca="false">MAX(0,MIN($F13,U$4)-MAX($E13,U$3)+1)/($F13-$E13+1)</f>
        <v>0</v>
      </c>
      <c r="V13" s="56" t="n">
        <f aca="false">MAX(0,MIN($F13,V$4)-MAX($E13,V$3)+1)/($F13-$E13+1)</f>
        <v>0</v>
      </c>
      <c r="W13" s="56" t="n">
        <f aca="false">MAX(0,MIN($F13,W$4)-MAX($E13,W$3)+1)/($F13-$E13+1)</f>
        <v>0</v>
      </c>
      <c r="X13" s="56" t="n">
        <f aca="false">MAX(0,MIN($F13,X$4)-MAX($E13,X$3)+1)/($F13-$E13+1)</f>
        <v>0</v>
      </c>
      <c r="Y13" s="56" t="n">
        <f aca="false">MAX(0,MIN($F13,Y$4)-MAX($E13,Y$3)+1)/($F13-$E13+1)</f>
        <v>0</v>
      </c>
      <c r="Z13" s="56" t="n">
        <f aca="false">MAX(0,MIN($F13,Z$4)-MAX($E13,Z$3)+1)/($F13-$E13+1)</f>
        <v>0</v>
      </c>
      <c r="AA13" s="56" t="n">
        <f aca="false">MAX(0,MIN($F13,AA$4)-MAX($E13,AA$3)+1)/($F13-$E13+1)</f>
        <v>0</v>
      </c>
      <c r="AB13" s="56" t="n">
        <f aca="false">MAX(0,MIN($F13,AB$4)-MAX($E13,AB$3)+1)/($F13-$E13+1)</f>
        <v>0</v>
      </c>
      <c r="AC13" s="56" t="n">
        <f aca="false">MAX(0,MIN($F13,AC$4)-MAX($E13,AC$3)+1)/($F13-$E13+1)</f>
        <v>0</v>
      </c>
      <c r="AD13" s="56" t="n">
        <f aca="false">MAX(0,MIN($F13,AD$4)-MAX($E13,AD$3)+1)/($F13-$E13+1)</f>
        <v>0</v>
      </c>
      <c r="AE13" s="56" t="n">
        <f aca="false">MAX(0,MIN($F13,AE$4)-MAX($E13,AE$3)+1)/($F13-$E13+1)</f>
        <v>0</v>
      </c>
      <c r="AF13" s="56" t="n">
        <f aca="false">MAX(0,MIN($F13,AF$4)-MAX($E13,AF$3)+1)/($F13-$E13+1)</f>
        <v>0</v>
      </c>
      <c r="AG13" s="56" t="n">
        <f aca="false">MAX(0,MIN($F13,AG$4)-MAX($E13,AG$3)+1)/($F13-$E13+1)</f>
        <v>0</v>
      </c>
      <c r="AH13" s="56" t="n">
        <f aca="false">MAX(0,MIN($F13,AH$4)-MAX($E13,AH$3)+1)/($F13-$E13+1)</f>
        <v>0</v>
      </c>
      <c r="AI13" s="56" t="n">
        <f aca="false">MAX(0,MIN($F13,AI$4)-MAX($E13,AI$3)+1)/($F13-$E13+1)</f>
        <v>0</v>
      </c>
      <c r="AJ13" s="56" t="n">
        <f aca="false">MAX(0,MIN($F13,AJ$4)-MAX($E13,AJ$3)+1)/($F13-$E13+1)</f>
        <v>0</v>
      </c>
      <c r="AK13" s="56" t="n">
        <f aca="false">MAX(0,MIN($F13,AK$4)-MAX($E13,AK$3)+1)/($F13-$E13+1)</f>
        <v>0</v>
      </c>
      <c r="AL13" s="56" t="n">
        <f aca="false">MAX(0,MIN($F13,AL$4)-MAX($E13,AL$3)+1)/($F13-$E13+1)</f>
        <v>0</v>
      </c>
      <c r="AM13" s="56" t="n">
        <f aca="false">MAX(0,MIN($F13,AM$4)-MAX($E13,AM$3)+1)/($F13-$E13+1)</f>
        <v>0</v>
      </c>
      <c r="AN13" s="56" t="n">
        <f aca="false">MAX(0,MIN($F13,AN$4)-MAX($E13,AN$3)+1)/($F13-$E13+1)</f>
        <v>0</v>
      </c>
      <c r="AO13" s="56" t="n">
        <f aca="false">MAX(0,MIN($F13,AO$4)-MAX($E13,AO$3)+1)/($F13-$E13+1)</f>
        <v>0</v>
      </c>
      <c r="AP13" s="56" t="n">
        <f aca="false">MAX(0,MIN($F13,AP$4)-MAX($E13,AP$3)+1)/($F13-$E13+1)</f>
        <v>0</v>
      </c>
      <c r="AQ13" s="56" t="n">
        <f aca="false">MAX(0,MIN($F13,AQ$4)-MAX($E13,AQ$3)+1)/($F13-$E13+1)</f>
        <v>0</v>
      </c>
      <c r="AR13" s="56" t="n">
        <f aca="false">MAX(0,MIN($F13,AR$4)-MAX($E13,AR$3)+1)/($F13-$E13+1)</f>
        <v>0</v>
      </c>
      <c r="AS13" s="56" t="n">
        <f aca="false">MAX(0,MIN($F13,AS$4)-MAX($E13,AS$3)+1)/($F13-$E13+1)</f>
        <v>0</v>
      </c>
      <c r="AT13" s="56" t="n">
        <f aca="false">MAX(0,MIN($F13,AT$4)-MAX($E13,AT$3)+1)/($F13-$E13+1)</f>
        <v>0</v>
      </c>
      <c r="AU13" s="56" t="n">
        <f aca="false">MAX(0,MIN($F13,AU$4)-MAX($E13,AU$3)+1)/($F13-$E13+1)</f>
        <v>0</v>
      </c>
      <c r="AV13" s="56" t="n">
        <f aca="false">MAX(0,MIN($F13,AV$4)-MAX($E13,AV$3)+1)/($F13-$E13+1)</f>
        <v>0</v>
      </c>
      <c r="AW13" s="56" t="n">
        <f aca="false">MAX(0,MIN($F13,AW$4)-MAX($E13,AW$3)+1)/($F13-$E13+1)</f>
        <v>0</v>
      </c>
      <c r="AX13" s="56" t="n">
        <f aca="false">MAX(0,MIN($F13,AX$4)-MAX($E13,AX$3)+1)/($F13-$E13+1)</f>
        <v>0</v>
      </c>
      <c r="AY13" s="56" t="n">
        <f aca="false">MAX(0,MIN($F13,AY$4)-MAX($E13,AY$3)+1)/($F13-$E13+1)</f>
        <v>0</v>
      </c>
      <c r="AZ13" s="56" t="n">
        <f aca="false">MAX(0,MIN($F13,AZ$4)-MAX($E13,AZ$3)+1)/($F13-$E13+1)</f>
        <v>0</v>
      </c>
      <c r="BA13" s="56" t="n">
        <f aca="false">MAX(0,MIN($F13,BA$4)-MAX($E13,BA$3)+1)/($F13-$E13+1)</f>
        <v>0</v>
      </c>
      <c r="BB13" s="56" t="n">
        <f aca="false">MAX(0,MIN($F13,BB$4)-MAX($E13,BB$3)+1)/($F13-$E13+1)</f>
        <v>0</v>
      </c>
      <c r="BC13" s="56" t="n">
        <f aca="false">MAX(0,MIN($F13,BC$4)-MAX($E13,BC$3)+1)/($F13-$E13+1)</f>
        <v>0</v>
      </c>
      <c r="BD13" s="56" t="n">
        <f aca="false">MAX(0,MIN($F13,BD$4)-MAX($E13,BD$3)+1)/($F13-$E13+1)</f>
        <v>0</v>
      </c>
      <c r="BE13" s="56" t="n">
        <f aca="false">MAX(0,MIN($F13,BE$4)-MAX($E13,BE$3)+1)/($F13-$E13+1)</f>
        <v>0</v>
      </c>
      <c r="BF13" s="56" t="n">
        <f aca="false">MAX(0,MIN($F13,BF$4)-MAX($E13,BF$3)+1)/($F13-$E13+1)</f>
        <v>0</v>
      </c>
      <c r="BG13" s="56" t="n">
        <f aca="false">MAX(0,MIN($F13,BG$4)-MAX($E13,BG$3)+1)/($F13-$E13+1)</f>
        <v>0</v>
      </c>
      <c r="BH13" s="56" t="n">
        <f aca="false">MAX(0,MIN($F13,BH$4)-MAX($E13,BH$3)+1)/($F13-$E13+1)</f>
        <v>0</v>
      </c>
      <c r="BI13" s="56" t="n">
        <f aca="false">MAX(0,MIN($F13,BI$4)-MAX($E13,BI$3)+1)/($F13-$E13+1)</f>
        <v>0</v>
      </c>
      <c r="BJ13" s="56" t="n">
        <f aca="false">MAX(0,MIN($F13,BJ$4)-MAX($E13,BJ$3)+1)/($F13-$E13+1)</f>
        <v>0</v>
      </c>
      <c r="BK13" s="56" t="n">
        <f aca="false">MAX(0,MIN($F13,BK$4)-MAX($E13,BK$3)+1)/($F13-$E13+1)</f>
        <v>0</v>
      </c>
      <c r="BL13" s="56" t="n">
        <f aca="false">MAX(0,MIN($F13,BL$4)-MAX($E13,BL$3)+1)/($F13-$E13+1)</f>
        <v>0</v>
      </c>
      <c r="BM13" s="56" t="n">
        <f aca="false">MAX(0,MIN($F13,BM$4)-MAX($E13,BM$3)+1)/($F13-$E13+1)</f>
        <v>0</v>
      </c>
      <c r="BN13" s="56" t="n">
        <f aca="false">MAX(0,MIN($F13,BN$4)-MAX($E13,BN$3)+1)/($F13-$E13+1)</f>
        <v>0</v>
      </c>
      <c r="BO13" s="56" t="n">
        <f aca="false">MAX(0,MIN($F13,BO$4)-MAX($E13,BO$3)+1)/($F13-$E13+1)</f>
        <v>0</v>
      </c>
      <c r="BP13" s="56" t="n">
        <f aca="false">MAX(0,MIN($F13,BP$4)-MAX($E13,BP$3)+1)/($F13-$E13+1)</f>
        <v>0</v>
      </c>
      <c r="BQ13" s="56" t="n">
        <f aca="false">MAX(0,MIN($F13,BQ$4)-MAX($E13,BQ$3)+1)/($F13-$E13+1)</f>
        <v>0</v>
      </c>
      <c r="BR13" s="56" t="n">
        <f aca="false">MAX(0,MIN($F13,BR$4)-MAX($E13,BR$3)+1)/($F13-$E13+1)</f>
        <v>0</v>
      </c>
      <c r="BS13" s="56" t="n">
        <f aca="false">MAX(0,MIN($F13,BS$4)-MAX($E13,BS$3)+1)/($F13-$E13+1)</f>
        <v>0</v>
      </c>
      <c r="BT13" s="56" t="n">
        <f aca="false">MAX(0,MIN($F13,BT$4)-MAX($E13,BT$3)+1)/($F13-$E13+1)</f>
        <v>0</v>
      </c>
      <c r="BU13" s="56" t="n">
        <f aca="false">MAX(0,MIN($F13,BU$4)-MAX($E13,BU$3)+1)/($F13-$E13+1)</f>
        <v>0</v>
      </c>
      <c r="BV13" s="56" t="n">
        <f aca="false">MAX(0,MIN($F13,BV$4)-MAX($E13,BV$3)+1)/($F13-$E13+1)</f>
        <v>0</v>
      </c>
      <c r="BW13" s="56" t="n">
        <f aca="false">MAX(0,MIN($F13,BW$4)-MAX($E13,BW$3)+1)/($F13-$E13+1)</f>
        <v>0</v>
      </c>
      <c r="BX13" s="56" t="n">
        <f aca="false">MAX(0,MIN($F13,BX$4)-MAX($E13,BX$3)+1)/($F13-$E13+1)</f>
        <v>0</v>
      </c>
      <c r="BY13" s="56" t="n">
        <f aca="false">MAX(0,MIN($F13,BY$4)-MAX($E13,BY$3)+1)/($F13-$E13+1)</f>
        <v>0</v>
      </c>
      <c r="BZ13" s="56" t="n">
        <f aca="false">MAX(0,MIN($F13,BZ$4)-MAX($E13,BZ$3)+1)/($F13-$E13+1)</f>
        <v>0</v>
      </c>
      <c r="CA13" s="56" t="n">
        <f aca="false">MAX(0,MIN($F13,CA$4)-MAX($E13,CA$3)+1)/($F13-$E13+1)</f>
        <v>0</v>
      </c>
      <c r="CB13" s="56" t="n">
        <f aca="false">MAX(0,MIN($F13,CB$4)-MAX($E13,CB$3)+1)/($F13-$E13+1)</f>
        <v>0</v>
      </c>
      <c r="CC13" s="56" t="n">
        <f aca="false">MAX(0,MIN($F13,CC$4)-MAX($E13,CC$3)+1)/($F13-$E13+1)</f>
        <v>0</v>
      </c>
      <c r="CD13" s="56" t="n">
        <f aca="false">MAX(0,MIN($F13,CD$4)-MAX($E13,CD$3)+1)/($F13-$E13+1)</f>
        <v>0</v>
      </c>
      <c r="CE13" s="56" t="n">
        <f aca="false">MAX(0,MIN($F13,CE$4)-MAX($E13,CE$3)+1)/($F13-$E13+1)</f>
        <v>0</v>
      </c>
      <c r="CF13" s="56" t="n">
        <f aca="false">MAX(0,MIN($F13,CF$4)-MAX($E13,CF$3)+1)/($F13-$E13+1)</f>
        <v>0</v>
      </c>
      <c r="CG13" s="56" t="n">
        <f aca="false">MAX(0,MIN($F13,CG$4)-MAX($E13,CG$3)+1)/($F13-$E13+1)</f>
        <v>0</v>
      </c>
      <c r="CH13" s="56" t="n">
        <f aca="false">MAX(0,MIN($F13,CH$4)-MAX($E13,CH$3)+1)/($F13-$E13+1)</f>
        <v>0</v>
      </c>
      <c r="CI13" s="56" t="n">
        <f aca="false">MAX(0,MIN($F13,CI$4)-MAX($E13,CI$3)+1)/($F13-$E13+1)</f>
        <v>0</v>
      </c>
      <c r="CJ13" s="56" t="n">
        <f aca="false">MAX(0,MIN($F13,CJ$4)-MAX($E13,CJ$3)+1)/($F13-$E13+1)</f>
        <v>0</v>
      </c>
      <c r="CK13" s="56" t="n">
        <f aca="false">MAX(0,MIN($F13,CK$4)-MAX($E13,CK$3)+1)/($F13-$E13+1)</f>
        <v>0</v>
      </c>
      <c r="CL13" s="56" t="n">
        <f aca="false">MAX(0,MIN($F13,CL$4)-MAX($E13,CL$3)+1)/($F13-$E13+1)</f>
        <v>0</v>
      </c>
      <c r="CM13" s="56" t="n">
        <f aca="false">MAX(0,MIN($F13,CM$4)-MAX($E13,CM$3)+1)/($F13-$E13+1)</f>
        <v>0</v>
      </c>
      <c r="CN13" s="56" t="n">
        <f aca="false">MAX(0,MIN($F13,CN$4)-MAX($E13,CN$3)+1)/($F13-$E13+1)</f>
        <v>0</v>
      </c>
      <c r="CO13" s="56" t="n">
        <f aca="false">MAX(0,MIN($F13,CO$4)-MAX($E13,CO$3)+1)/($F13-$E13+1)</f>
        <v>0</v>
      </c>
      <c r="CP13" s="56" t="n">
        <f aca="false">MAX(0,MIN($F13,CP$4)-MAX($E13,CP$3)+1)/($F13-$E13+1)</f>
        <v>0</v>
      </c>
      <c r="CQ13" s="56" t="n">
        <f aca="false">MAX(0,MIN($F13,CQ$4)-MAX($E13,CQ$3)+1)/($F13-$E13+1)</f>
        <v>0</v>
      </c>
      <c r="CR13" s="56" t="n">
        <f aca="false">MAX(0,MIN($F13,CR$4)-MAX($E13,CR$3)+1)/($F13-$E13+1)</f>
        <v>0</v>
      </c>
      <c r="CS13" s="56" t="n">
        <f aca="false">MAX(0,MIN($F13,CS$4)-MAX($E13,CS$3)+1)/($F13-$E13+1)</f>
        <v>0</v>
      </c>
      <c r="CT13" s="56" t="n">
        <f aca="false">MAX(0,MIN($F13,CT$4)-MAX($E13,CT$3)+1)/($F13-$E13+1)</f>
        <v>0</v>
      </c>
      <c r="CU13" s="56" t="n">
        <f aca="false">MAX(0,MIN($F13,CU$4)-MAX($E13,CU$3)+1)/($F13-$E13+1)</f>
        <v>0</v>
      </c>
      <c r="CV13" s="56" t="n">
        <f aca="false">MAX(0,MIN($F13,CV$4)-MAX($E13,CV$3)+1)/($F13-$E13+1)</f>
        <v>0</v>
      </c>
      <c r="CW13" s="56" t="n">
        <f aca="false">MAX(0,MIN($F13,CW$4)-MAX($E13,CW$3)+1)/($F13-$E13+1)</f>
        <v>0</v>
      </c>
      <c r="CX13" s="56" t="n">
        <f aca="false">MAX(0,MIN($F13,CX$4)-MAX($E13,CX$3)+1)/($F13-$E13+1)</f>
        <v>0</v>
      </c>
      <c r="CY13" s="56" t="n">
        <f aca="false">MAX(0,MIN($F13,CY$4)-MAX($E13,CY$3)+1)/($F13-$E13+1)</f>
        <v>0</v>
      </c>
      <c r="CZ13" s="56" t="n">
        <f aca="false">MAX(0,MIN($F13,CZ$4)-MAX($E13,CZ$3)+1)/($F13-$E13+1)</f>
        <v>0</v>
      </c>
      <c r="DA13" s="56" t="n">
        <f aca="false">MAX(0,MIN($F13,DA$4)-MAX($E13,DA$3)+1)/($F13-$E13+1)</f>
        <v>0</v>
      </c>
      <c r="DB13" s="56" t="n">
        <f aca="false">MAX(0,MIN($F13,DB$4)-MAX($E13,DB$3)+1)/($F13-$E13+1)</f>
        <v>0</v>
      </c>
      <c r="DC13" s="56" t="n">
        <f aca="false">MAX(0,MIN($F13,DC$4)-MAX($E13,DC$3)+1)/($F13-$E13+1)</f>
        <v>0</v>
      </c>
      <c r="DD13" s="56" t="n">
        <f aca="false">MAX(0,MIN($F13,DD$4)-MAX($E13,DD$3)+1)/($F13-$E13+1)</f>
        <v>0</v>
      </c>
      <c r="DE13" s="56" t="n">
        <f aca="false">MAX(0,MIN($F13,DE$4)-MAX($E13,DE$3)+1)/($F13-$E13+1)</f>
        <v>0</v>
      </c>
      <c r="DF13" s="56" t="n">
        <f aca="false">MAX(0,MIN($F13,DF$4)-MAX($E13,DF$3)+1)/($F13-$E13+1)</f>
        <v>0</v>
      </c>
      <c r="DG13" s="56" t="n">
        <f aca="false">MAX(0,MIN($F13,DG$4)-MAX($E13,DG$3)+1)/($F13-$E13+1)</f>
        <v>0</v>
      </c>
      <c r="DH13" s="56" t="n">
        <f aca="false">MAX(0,MIN($F13,DH$4)-MAX($E13,DH$3)+1)/($F13-$E13+1)</f>
        <v>0</v>
      </c>
      <c r="DI13" s="56" t="n">
        <f aca="false">MAX(0,MIN($F13,DI$4)-MAX($E13,DI$3)+1)/($F13-$E13+1)</f>
        <v>0</v>
      </c>
      <c r="DJ13" s="56" t="n">
        <f aca="false">MAX(0,MIN($F13,DJ$4)-MAX($E13,DJ$3)+1)/($F13-$E13+1)</f>
        <v>0</v>
      </c>
      <c r="DK13" s="56" t="n">
        <f aca="false">MAX(0,MIN($F13,DK$4)-MAX($E13,DK$3)+1)/($F13-$E13+1)</f>
        <v>0</v>
      </c>
      <c r="DL13" s="56" t="n">
        <f aca="false">MAX(0,MIN($F13,DL$4)-MAX($E13,DL$3)+1)/($F13-$E13+1)</f>
        <v>0</v>
      </c>
      <c r="DM13" s="56" t="n">
        <f aca="false">MAX(0,MIN($F13,DM$4)-MAX($E13,DM$3)+1)/($F13-$E13+1)</f>
        <v>0</v>
      </c>
      <c r="DN13" s="56" t="n">
        <f aca="false">MAX(0,MIN($F13,DN$4)-MAX($E13,DN$3)+1)/($F13-$E13+1)</f>
        <v>0</v>
      </c>
      <c r="DO13" s="56" t="n">
        <f aca="false">MAX(0,MIN($F13,DO$4)-MAX($E13,DO$3)+1)/($F13-$E13+1)</f>
        <v>0</v>
      </c>
      <c r="DP13" s="56" t="n">
        <f aca="false">MAX(0,MIN($F13,DP$4)-MAX($E13,DP$3)+1)/($F13-$E13+1)</f>
        <v>0</v>
      </c>
      <c r="DQ13" s="56" t="n">
        <f aca="false">MAX(0,MIN($F13,DQ$4)-MAX($E13,DQ$3)+1)/($F13-$E13+1)</f>
        <v>0</v>
      </c>
      <c r="DR13" s="56" t="n">
        <f aca="false">MAX(0,MIN($F13,DR$4)-MAX($E13,DR$3)+1)/($F13-$E13+1)</f>
        <v>0</v>
      </c>
      <c r="DS13" s="56" t="n">
        <f aca="false">MAX(0,MIN($F13,DS$4)-MAX($E13,DS$3)+1)/($F13-$E13+1)</f>
        <v>0</v>
      </c>
      <c r="DT13" s="56" t="n">
        <f aca="false">MAX(0,MIN($F13,DT$4)-MAX($E13,DT$3)+1)/($F13-$E13+1)</f>
        <v>0</v>
      </c>
      <c r="DU13" s="56" t="n">
        <f aca="false">MAX(0,MIN($F13,DU$4)-MAX($E13,DU$3)+1)/($F13-$E13+1)</f>
        <v>0</v>
      </c>
      <c r="DV13" s="56" t="n">
        <f aca="false">MAX(0,MIN($F13,DV$4)-MAX($E13,DV$3)+1)/($F13-$E13+1)</f>
        <v>0</v>
      </c>
      <c r="DW13" s="56" t="n">
        <f aca="false">MAX(0,MIN($F13,DW$4)-MAX($E13,DW$3)+1)/($F13-$E13+1)</f>
        <v>0</v>
      </c>
      <c r="DX13" s="56" t="n">
        <f aca="false">MAX(0,MIN($F13,DX$4)-MAX($E13,DX$3)+1)/($F13-$E13+1)</f>
        <v>0</v>
      </c>
      <c r="DY13" s="56" t="n">
        <f aca="false">MAX(0,MIN($F13,DY$4)-MAX($E13,DY$3)+1)/($F13-$E13+1)</f>
        <v>0</v>
      </c>
      <c r="DZ13" s="56" t="n">
        <f aca="false">MAX(0,MIN($F13,DZ$4)-MAX($E13,DZ$3)+1)/($F13-$E13+1)</f>
        <v>0</v>
      </c>
      <c r="EA13" s="56" t="n">
        <f aca="false">MAX(0,MIN($F13,EA$4)-MAX($E13,EA$3)+1)/($F13-$E13+1)</f>
        <v>0</v>
      </c>
      <c r="EB13" s="56" t="n">
        <f aca="false">MAX(0,MIN($F13,EB$4)-MAX($E13,EB$3)+1)/($F13-$E13+1)</f>
        <v>0</v>
      </c>
      <c r="EC13" s="56" t="n">
        <f aca="false">MAX(0,MIN($F13,EC$4)-MAX($E13,EC$3)+1)/($F13-$E13+1)</f>
        <v>0</v>
      </c>
      <c r="ED13" s="56" t="n">
        <f aca="false">MAX(0,MIN($F13,ED$4)-MAX($E13,ED$3)+1)/($F13-$E13+1)</f>
        <v>0</v>
      </c>
      <c r="EE13" s="56" t="n">
        <f aca="false">MAX(0,MIN($F13,EE$4)-MAX($E13,EE$3)+1)/($F13-$E13+1)</f>
        <v>0</v>
      </c>
      <c r="EF13" s="56" t="n">
        <f aca="false">MAX(0,MIN($F13,EF$4)-MAX($E13,EF$3)+1)/($F13-$E13+1)</f>
        <v>0</v>
      </c>
      <c r="EG13" s="56" t="n">
        <f aca="false">MAX(0,MIN($F13,EG$4)-MAX($E13,EG$3)+1)/($F13-$E13+1)</f>
        <v>0</v>
      </c>
      <c r="EH13" s="56" t="n">
        <f aca="false">MAX(0,MIN($F13,EH$4)-MAX($E13,EH$3)+1)/($F13-$E13+1)</f>
        <v>0</v>
      </c>
      <c r="EI13" s="56" t="n">
        <f aca="false">MAX(0,MIN($F13,EI$4)-MAX($E13,EI$3)+1)/($F13-$E13+1)</f>
        <v>0</v>
      </c>
      <c r="EJ13" s="56" t="n">
        <f aca="false">MAX(0,MIN($F13,EJ$4)-MAX($E13,EJ$3)+1)/($F13-$E13+1)</f>
        <v>0</v>
      </c>
      <c r="EK13" s="56" t="n">
        <f aca="false">MAX(0,MIN($F13,EK$4)-MAX($E13,EK$3)+1)/($F13-$E13+1)</f>
        <v>0</v>
      </c>
      <c r="EL13" s="56" t="n">
        <f aca="false">MAX(0,MIN($F13,EL$4)-MAX($E13,EL$3)+1)/($F13-$E13+1)</f>
        <v>0</v>
      </c>
      <c r="EM13" s="56" t="n">
        <f aca="false">MAX(0,MIN($F13,EM$4)-MAX($E13,EM$3)+1)/($F13-$E13+1)</f>
        <v>0</v>
      </c>
      <c r="EN13" s="56" t="n">
        <f aca="false">MAX(0,MIN($F13,EN$4)-MAX($E13,EN$3)+1)/($F13-$E13+1)</f>
        <v>0</v>
      </c>
      <c r="EO13" s="56" t="n">
        <f aca="false">MAX(0,MIN($F13,EO$4)-MAX($E13,EO$3)+1)/($F13-$E13+1)</f>
        <v>0</v>
      </c>
    </row>
    <row r="14" customFormat="false" ht="15" hidden="false" customHeight="false" outlineLevel="0" collapsed="false">
      <c r="C14" s="1" t="s">
        <v>37</v>
      </c>
      <c r="D14" s="12" t="s">
        <v>43</v>
      </c>
      <c r="E14" s="21" t="n">
        <f aca="false">In_COD</f>
        <v>47756</v>
      </c>
      <c r="I14" s="51" t="n">
        <f aca="false">SUM(J14:EO14)</f>
        <v>1</v>
      </c>
      <c r="J14" s="51" t="n">
        <f aca="false">N(AND(J$3&lt;=$E14,J$4&gt;=$E14))</f>
        <v>0</v>
      </c>
      <c r="K14" s="51" t="n">
        <f aca="false">N(AND(K$3&lt;=$E14,K$4&gt;=$E14))</f>
        <v>0</v>
      </c>
      <c r="L14" s="51" t="n">
        <f aca="false">N(AND(L$3&lt;=$E14,L$4&gt;=$E14))</f>
        <v>0</v>
      </c>
      <c r="M14" s="51" t="n">
        <f aca="false">N(AND(M$3&lt;=$E14,M$4&gt;=$E14))</f>
        <v>0</v>
      </c>
      <c r="N14" s="51" t="n">
        <f aca="false">N(AND(N$3&lt;=$E14,N$4&gt;=$E14))</f>
        <v>0</v>
      </c>
      <c r="O14" s="51" t="n">
        <f aca="false">N(AND(O$3&lt;=$E14,O$4&gt;=$E14))</f>
        <v>0</v>
      </c>
      <c r="P14" s="51" t="n">
        <f aca="false">N(AND(P$3&lt;=$E14,P$4&gt;=$E14))</f>
        <v>0</v>
      </c>
      <c r="Q14" s="51" t="n">
        <f aca="false">N(AND(Q$3&lt;=$E14,Q$4&gt;=$E14))</f>
        <v>0</v>
      </c>
      <c r="R14" s="51" t="n">
        <f aca="false">N(AND(R$3&lt;=$E14,R$4&gt;=$E14))</f>
        <v>0</v>
      </c>
      <c r="S14" s="51" t="n">
        <f aca="false">N(AND(S$3&lt;=$E14,S$4&gt;=$E14))</f>
        <v>0</v>
      </c>
      <c r="T14" s="51" t="n">
        <f aca="false">N(AND(T$3&lt;=$E14,T$4&gt;=$E14))</f>
        <v>0</v>
      </c>
      <c r="U14" s="51" t="n">
        <f aca="false">N(AND(U$3&lt;=$E14,U$4&gt;=$E14))</f>
        <v>0</v>
      </c>
      <c r="V14" s="51" t="n">
        <f aca="false">N(AND(V$3&lt;=$E14,V$4&gt;=$E14))</f>
        <v>0</v>
      </c>
      <c r="W14" s="51" t="n">
        <f aca="false">N(AND(W$3&lt;=$E14,W$4&gt;=$E14))</f>
        <v>0</v>
      </c>
      <c r="X14" s="51" t="n">
        <f aca="false">N(AND(X$3&lt;=$E14,X$4&gt;=$E14))</f>
        <v>0</v>
      </c>
      <c r="Y14" s="51" t="n">
        <f aca="false">N(AND(Y$3&lt;=$E14,Y$4&gt;=$E14))</f>
        <v>1</v>
      </c>
      <c r="Z14" s="51" t="n">
        <f aca="false">N(AND(Z$3&lt;=$E14,Z$4&gt;=$E14))</f>
        <v>0</v>
      </c>
      <c r="AA14" s="51" t="n">
        <f aca="false">N(AND(AA$3&lt;=$E14,AA$4&gt;=$E14))</f>
        <v>0</v>
      </c>
      <c r="AB14" s="51" t="n">
        <f aca="false">N(AND(AB$3&lt;=$E14,AB$4&gt;=$E14))</f>
        <v>0</v>
      </c>
      <c r="AC14" s="51" t="n">
        <f aca="false">N(AND(AC$3&lt;=$E14,AC$4&gt;=$E14))</f>
        <v>0</v>
      </c>
      <c r="AD14" s="51" t="n">
        <f aca="false">N(AND(AD$3&lt;=$E14,AD$4&gt;=$E14))</f>
        <v>0</v>
      </c>
      <c r="AE14" s="51" t="n">
        <f aca="false">N(AND(AE$3&lt;=$E14,AE$4&gt;=$E14))</f>
        <v>0</v>
      </c>
      <c r="AF14" s="51" t="n">
        <f aca="false">N(AND(AF$3&lt;=$E14,AF$4&gt;=$E14))</f>
        <v>0</v>
      </c>
      <c r="AG14" s="51" t="n">
        <f aca="false">N(AND(AG$3&lt;=$E14,AG$4&gt;=$E14))</f>
        <v>0</v>
      </c>
      <c r="AH14" s="51" t="n">
        <f aca="false">N(AND(AH$3&lt;=$E14,AH$4&gt;=$E14))</f>
        <v>0</v>
      </c>
      <c r="AI14" s="51" t="n">
        <f aca="false">N(AND(AI$3&lt;=$E14,AI$4&gt;=$E14))</f>
        <v>0</v>
      </c>
      <c r="AJ14" s="51" t="n">
        <f aca="false">N(AND(AJ$3&lt;=$E14,AJ$4&gt;=$E14))</f>
        <v>0</v>
      </c>
      <c r="AK14" s="51" t="n">
        <f aca="false">N(AND(AK$3&lt;=$E14,AK$4&gt;=$E14))</f>
        <v>0</v>
      </c>
      <c r="AL14" s="51" t="n">
        <f aca="false">N(AND(AL$3&lt;=$E14,AL$4&gt;=$E14))</f>
        <v>0</v>
      </c>
      <c r="AM14" s="51" t="n">
        <f aca="false">N(AND(AM$3&lt;=$E14,AM$4&gt;=$E14))</f>
        <v>0</v>
      </c>
      <c r="AN14" s="51" t="n">
        <f aca="false">N(AND(AN$3&lt;=$E14,AN$4&gt;=$E14))</f>
        <v>0</v>
      </c>
      <c r="AO14" s="51" t="n">
        <f aca="false">N(AND(AO$3&lt;=$E14,AO$4&gt;=$E14))</f>
        <v>0</v>
      </c>
      <c r="AP14" s="51" t="n">
        <f aca="false">N(AND(AP$3&lt;=$E14,AP$4&gt;=$E14))</f>
        <v>0</v>
      </c>
      <c r="AQ14" s="51" t="n">
        <f aca="false">N(AND(AQ$3&lt;=$E14,AQ$4&gt;=$E14))</f>
        <v>0</v>
      </c>
      <c r="AR14" s="51" t="n">
        <f aca="false">N(AND(AR$3&lt;=$E14,AR$4&gt;=$E14))</f>
        <v>0</v>
      </c>
      <c r="AS14" s="51" t="n">
        <f aca="false">N(AND(AS$3&lt;=$E14,AS$4&gt;=$E14))</f>
        <v>0</v>
      </c>
      <c r="AT14" s="51" t="n">
        <f aca="false">N(AND(AT$3&lt;=$E14,AT$4&gt;=$E14))</f>
        <v>0</v>
      </c>
      <c r="AU14" s="51" t="n">
        <f aca="false">N(AND(AU$3&lt;=$E14,AU$4&gt;=$E14))</f>
        <v>0</v>
      </c>
      <c r="AV14" s="51" t="n">
        <f aca="false">N(AND(AV$3&lt;=$E14,AV$4&gt;=$E14))</f>
        <v>0</v>
      </c>
      <c r="AW14" s="51" t="n">
        <f aca="false">N(AND(AW$3&lt;=$E14,AW$4&gt;=$E14))</f>
        <v>0</v>
      </c>
      <c r="AX14" s="51" t="n">
        <f aca="false">N(AND(AX$3&lt;=$E14,AX$4&gt;=$E14))</f>
        <v>0</v>
      </c>
      <c r="AY14" s="51" t="n">
        <f aca="false">N(AND(AY$3&lt;=$E14,AY$4&gt;=$E14))</f>
        <v>0</v>
      </c>
      <c r="AZ14" s="51" t="n">
        <f aca="false">N(AND(AZ$3&lt;=$E14,AZ$4&gt;=$E14))</f>
        <v>0</v>
      </c>
      <c r="BA14" s="51" t="n">
        <f aca="false">N(AND(BA$3&lt;=$E14,BA$4&gt;=$E14))</f>
        <v>0</v>
      </c>
      <c r="BB14" s="51" t="n">
        <f aca="false">N(AND(BB$3&lt;=$E14,BB$4&gt;=$E14))</f>
        <v>0</v>
      </c>
      <c r="BC14" s="51" t="n">
        <f aca="false">N(AND(BC$3&lt;=$E14,BC$4&gt;=$E14))</f>
        <v>0</v>
      </c>
      <c r="BD14" s="51" t="n">
        <f aca="false">N(AND(BD$3&lt;=$E14,BD$4&gt;=$E14))</f>
        <v>0</v>
      </c>
      <c r="BE14" s="51" t="n">
        <f aca="false">N(AND(BE$3&lt;=$E14,BE$4&gt;=$E14))</f>
        <v>0</v>
      </c>
      <c r="BF14" s="51" t="n">
        <f aca="false">N(AND(BF$3&lt;=$E14,BF$4&gt;=$E14))</f>
        <v>0</v>
      </c>
      <c r="BG14" s="51" t="n">
        <f aca="false">N(AND(BG$3&lt;=$E14,BG$4&gt;=$E14))</f>
        <v>0</v>
      </c>
      <c r="BH14" s="51" t="n">
        <f aca="false">N(AND(BH$3&lt;=$E14,BH$4&gt;=$E14))</f>
        <v>0</v>
      </c>
      <c r="BI14" s="51" t="n">
        <f aca="false">N(AND(BI$3&lt;=$E14,BI$4&gt;=$E14))</f>
        <v>0</v>
      </c>
      <c r="BJ14" s="51" t="n">
        <f aca="false">N(AND(BJ$3&lt;=$E14,BJ$4&gt;=$E14))</f>
        <v>0</v>
      </c>
      <c r="BK14" s="51" t="n">
        <f aca="false">N(AND(BK$3&lt;=$E14,BK$4&gt;=$E14))</f>
        <v>0</v>
      </c>
      <c r="BL14" s="51" t="n">
        <f aca="false">N(AND(BL$3&lt;=$E14,BL$4&gt;=$E14))</f>
        <v>0</v>
      </c>
      <c r="BM14" s="51" t="n">
        <f aca="false">N(AND(BM$3&lt;=$E14,BM$4&gt;=$E14))</f>
        <v>0</v>
      </c>
      <c r="BN14" s="51" t="n">
        <f aca="false">N(AND(BN$3&lt;=$E14,BN$4&gt;=$E14))</f>
        <v>0</v>
      </c>
      <c r="BO14" s="51" t="n">
        <f aca="false">N(AND(BO$3&lt;=$E14,BO$4&gt;=$E14))</f>
        <v>0</v>
      </c>
      <c r="BP14" s="51" t="n">
        <f aca="false">N(AND(BP$3&lt;=$E14,BP$4&gt;=$E14))</f>
        <v>0</v>
      </c>
      <c r="BQ14" s="51" t="n">
        <f aca="false">N(AND(BQ$3&lt;=$E14,BQ$4&gt;=$E14))</f>
        <v>0</v>
      </c>
      <c r="BR14" s="51" t="n">
        <f aca="false">N(AND(BR$3&lt;=$E14,BR$4&gt;=$E14))</f>
        <v>0</v>
      </c>
      <c r="BS14" s="51" t="n">
        <f aca="false">N(AND(BS$3&lt;=$E14,BS$4&gt;=$E14))</f>
        <v>0</v>
      </c>
      <c r="BT14" s="51" t="n">
        <f aca="false">N(AND(BT$3&lt;=$E14,BT$4&gt;=$E14))</f>
        <v>0</v>
      </c>
      <c r="BU14" s="51" t="n">
        <f aca="false">N(AND(BU$3&lt;=$E14,BU$4&gt;=$E14))</f>
        <v>0</v>
      </c>
      <c r="BV14" s="51" t="n">
        <f aca="false">N(AND(BV$3&lt;=$E14,BV$4&gt;=$E14))</f>
        <v>0</v>
      </c>
      <c r="BW14" s="51" t="n">
        <f aca="false">N(AND(BW$3&lt;=$E14,BW$4&gt;=$E14))</f>
        <v>0</v>
      </c>
      <c r="BX14" s="51" t="n">
        <f aca="false">N(AND(BX$3&lt;=$E14,BX$4&gt;=$E14))</f>
        <v>0</v>
      </c>
      <c r="BY14" s="51" t="n">
        <f aca="false">N(AND(BY$3&lt;=$E14,BY$4&gt;=$E14))</f>
        <v>0</v>
      </c>
      <c r="BZ14" s="51" t="n">
        <f aca="false">N(AND(BZ$3&lt;=$E14,BZ$4&gt;=$E14))</f>
        <v>0</v>
      </c>
      <c r="CA14" s="51" t="n">
        <f aca="false">N(AND(CA$3&lt;=$E14,CA$4&gt;=$E14))</f>
        <v>0</v>
      </c>
      <c r="CB14" s="51" t="n">
        <f aca="false">N(AND(CB$3&lt;=$E14,CB$4&gt;=$E14))</f>
        <v>0</v>
      </c>
      <c r="CC14" s="51" t="n">
        <f aca="false">N(AND(CC$3&lt;=$E14,CC$4&gt;=$E14))</f>
        <v>0</v>
      </c>
      <c r="CD14" s="51" t="n">
        <f aca="false">N(AND(CD$3&lt;=$E14,CD$4&gt;=$E14))</f>
        <v>0</v>
      </c>
      <c r="CE14" s="51" t="n">
        <f aca="false">N(AND(CE$3&lt;=$E14,CE$4&gt;=$E14))</f>
        <v>0</v>
      </c>
      <c r="CF14" s="51" t="n">
        <f aca="false">N(AND(CF$3&lt;=$E14,CF$4&gt;=$E14))</f>
        <v>0</v>
      </c>
      <c r="CG14" s="51" t="n">
        <f aca="false">N(AND(CG$3&lt;=$E14,CG$4&gt;=$E14))</f>
        <v>0</v>
      </c>
      <c r="CH14" s="51" t="n">
        <f aca="false">N(AND(CH$3&lt;=$E14,CH$4&gt;=$E14))</f>
        <v>0</v>
      </c>
      <c r="CI14" s="51" t="n">
        <f aca="false">N(AND(CI$3&lt;=$E14,CI$4&gt;=$E14))</f>
        <v>0</v>
      </c>
      <c r="CJ14" s="51" t="n">
        <f aca="false">N(AND(CJ$3&lt;=$E14,CJ$4&gt;=$E14))</f>
        <v>0</v>
      </c>
      <c r="CK14" s="51" t="n">
        <f aca="false">N(AND(CK$3&lt;=$E14,CK$4&gt;=$E14))</f>
        <v>0</v>
      </c>
      <c r="CL14" s="51" t="n">
        <f aca="false">N(AND(CL$3&lt;=$E14,CL$4&gt;=$E14))</f>
        <v>0</v>
      </c>
      <c r="CM14" s="51" t="n">
        <f aca="false">N(AND(CM$3&lt;=$E14,CM$4&gt;=$E14))</f>
        <v>0</v>
      </c>
      <c r="CN14" s="51" t="n">
        <f aca="false">N(AND(CN$3&lt;=$E14,CN$4&gt;=$E14))</f>
        <v>0</v>
      </c>
      <c r="CO14" s="51" t="n">
        <f aca="false">N(AND(CO$3&lt;=$E14,CO$4&gt;=$E14))</f>
        <v>0</v>
      </c>
      <c r="CP14" s="51" t="n">
        <f aca="false">N(AND(CP$3&lt;=$E14,CP$4&gt;=$E14))</f>
        <v>0</v>
      </c>
      <c r="CQ14" s="51" t="n">
        <f aca="false">N(AND(CQ$3&lt;=$E14,CQ$4&gt;=$E14))</f>
        <v>0</v>
      </c>
      <c r="CR14" s="51" t="n">
        <f aca="false">N(AND(CR$3&lt;=$E14,CR$4&gt;=$E14))</f>
        <v>0</v>
      </c>
      <c r="CS14" s="51" t="n">
        <f aca="false">N(AND(CS$3&lt;=$E14,CS$4&gt;=$E14))</f>
        <v>0</v>
      </c>
      <c r="CT14" s="51" t="n">
        <f aca="false">N(AND(CT$3&lt;=$E14,CT$4&gt;=$E14))</f>
        <v>0</v>
      </c>
      <c r="CU14" s="51" t="n">
        <f aca="false">N(AND(CU$3&lt;=$E14,CU$4&gt;=$E14))</f>
        <v>0</v>
      </c>
      <c r="CV14" s="51" t="n">
        <f aca="false">N(AND(CV$3&lt;=$E14,CV$4&gt;=$E14))</f>
        <v>0</v>
      </c>
      <c r="CW14" s="51" t="n">
        <f aca="false">N(AND(CW$3&lt;=$E14,CW$4&gt;=$E14))</f>
        <v>0</v>
      </c>
      <c r="CX14" s="51" t="n">
        <f aca="false">N(AND(CX$3&lt;=$E14,CX$4&gt;=$E14))</f>
        <v>0</v>
      </c>
      <c r="CY14" s="51" t="n">
        <f aca="false">N(AND(CY$3&lt;=$E14,CY$4&gt;=$E14))</f>
        <v>0</v>
      </c>
      <c r="CZ14" s="51" t="n">
        <f aca="false">N(AND(CZ$3&lt;=$E14,CZ$4&gt;=$E14))</f>
        <v>0</v>
      </c>
      <c r="DA14" s="51" t="n">
        <f aca="false">N(AND(DA$3&lt;=$E14,DA$4&gt;=$E14))</f>
        <v>0</v>
      </c>
      <c r="DB14" s="51" t="n">
        <f aca="false">N(AND(DB$3&lt;=$E14,DB$4&gt;=$E14))</f>
        <v>0</v>
      </c>
      <c r="DC14" s="51" t="n">
        <f aca="false">N(AND(DC$3&lt;=$E14,DC$4&gt;=$E14))</f>
        <v>0</v>
      </c>
      <c r="DD14" s="51" t="n">
        <f aca="false">N(AND(DD$3&lt;=$E14,DD$4&gt;=$E14))</f>
        <v>0</v>
      </c>
      <c r="DE14" s="51" t="n">
        <f aca="false">N(AND(DE$3&lt;=$E14,DE$4&gt;=$E14))</f>
        <v>0</v>
      </c>
      <c r="DF14" s="51" t="n">
        <f aca="false">N(AND(DF$3&lt;=$E14,DF$4&gt;=$E14))</f>
        <v>0</v>
      </c>
      <c r="DG14" s="51" t="n">
        <f aca="false">N(AND(DG$3&lt;=$E14,DG$4&gt;=$E14))</f>
        <v>0</v>
      </c>
      <c r="DH14" s="51" t="n">
        <f aca="false">N(AND(DH$3&lt;=$E14,DH$4&gt;=$E14))</f>
        <v>0</v>
      </c>
      <c r="DI14" s="51" t="n">
        <f aca="false">N(AND(DI$3&lt;=$E14,DI$4&gt;=$E14))</f>
        <v>0</v>
      </c>
      <c r="DJ14" s="51" t="n">
        <f aca="false">N(AND(DJ$3&lt;=$E14,DJ$4&gt;=$E14))</f>
        <v>0</v>
      </c>
      <c r="DK14" s="51" t="n">
        <f aca="false">N(AND(DK$3&lt;=$E14,DK$4&gt;=$E14))</f>
        <v>0</v>
      </c>
      <c r="DL14" s="51" t="n">
        <f aca="false">N(AND(DL$3&lt;=$E14,DL$4&gt;=$E14))</f>
        <v>0</v>
      </c>
      <c r="DM14" s="51" t="n">
        <f aca="false">N(AND(DM$3&lt;=$E14,DM$4&gt;=$E14))</f>
        <v>0</v>
      </c>
      <c r="DN14" s="51" t="n">
        <f aca="false">N(AND(DN$3&lt;=$E14,DN$4&gt;=$E14))</f>
        <v>0</v>
      </c>
      <c r="DO14" s="51" t="n">
        <f aca="false">N(AND(DO$3&lt;=$E14,DO$4&gt;=$E14))</f>
        <v>0</v>
      </c>
      <c r="DP14" s="51" t="n">
        <f aca="false">N(AND(DP$3&lt;=$E14,DP$4&gt;=$E14))</f>
        <v>0</v>
      </c>
      <c r="DQ14" s="51" t="n">
        <f aca="false">N(AND(DQ$3&lt;=$E14,DQ$4&gt;=$E14))</f>
        <v>0</v>
      </c>
      <c r="DR14" s="51" t="n">
        <f aca="false">N(AND(DR$3&lt;=$E14,DR$4&gt;=$E14))</f>
        <v>0</v>
      </c>
      <c r="DS14" s="51" t="n">
        <f aca="false">N(AND(DS$3&lt;=$E14,DS$4&gt;=$E14))</f>
        <v>0</v>
      </c>
      <c r="DT14" s="51" t="n">
        <f aca="false">N(AND(DT$3&lt;=$E14,DT$4&gt;=$E14))</f>
        <v>0</v>
      </c>
      <c r="DU14" s="51" t="n">
        <f aca="false">N(AND(DU$3&lt;=$E14,DU$4&gt;=$E14))</f>
        <v>0</v>
      </c>
      <c r="DV14" s="51" t="n">
        <f aca="false">N(AND(DV$3&lt;=$E14,DV$4&gt;=$E14))</f>
        <v>0</v>
      </c>
      <c r="DW14" s="51" t="n">
        <f aca="false">N(AND(DW$3&lt;=$E14,DW$4&gt;=$E14))</f>
        <v>0</v>
      </c>
      <c r="DX14" s="51" t="n">
        <f aca="false">N(AND(DX$3&lt;=$E14,DX$4&gt;=$E14))</f>
        <v>0</v>
      </c>
      <c r="DY14" s="51" t="n">
        <f aca="false">N(AND(DY$3&lt;=$E14,DY$4&gt;=$E14))</f>
        <v>0</v>
      </c>
      <c r="DZ14" s="51" t="n">
        <f aca="false">N(AND(DZ$3&lt;=$E14,DZ$4&gt;=$E14))</f>
        <v>0</v>
      </c>
      <c r="EA14" s="51" t="n">
        <f aca="false">N(AND(EA$3&lt;=$E14,EA$4&gt;=$E14))</f>
        <v>0</v>
      </c>
      <c r="EB14" s="51" t="n">
        <f aca="false">N(AND(EB$3&lt;=$E14,EB$4&gt;=$E14))</f>
        <v>0</v>
      </c>
      <c r="EC14" s="51" t="n">
        <f aca="false">N(AND(EC$3&lt;=$E14,EC$4&gt;=$E14))</f>
        <v>0</v>
      </c>
      <c r="ED14" s="51" t="n">
        <f aca="false">N(AND(ED$3&lt;=$E14,ED$4&gt;=$E14))</f>
        <v>0</v>
      </c>
      <c r="EE14" s="51" t="n">
        <f aca="false">N(AND(EE$3&lt;=$E14,EE$4&gt;=$E14))</f>
        <v>0</v>
      </c>
      <c r="EF14" s="51" t="n">
        <f aca="false">N(AND(EF$3&lt;=$E14,EF$4&gt;=$E14))</f>
        <v>0</v>
      </c>
      <c r="EG14" s="51" t="n">
        <f aca="false">N(AND(EG$3&lt;=$E14,EG$4&gt;=$E14))</f>
        <v>0</v>
      </c>
      <c r="EH14" s="51" t="n">
        <f aca="false">N(AND(EH$3&lt;=$E14,EH$4&gt;=$E14))</f>
        <v>0</v>
      </c>
      <c r="EI14" s="51" t="n">
        <f aca="false">N(AND(EI$3&lt;=$E14,EI$4&gt;=$E14))</f>
        <v>0</v>
      </c>
      <c r="EJ14" s="51" t="n">
        <f aca="false">N(AND(EJ$3&lt;=$E14,EJ$4&gt;=$E14))</f>
        <v>0</v>
      </c>
      <c r="EK14" s="51" t="n">
        <f aca="false">N(AND(EK$3&lt;=$E14,EK$4&gt;=$E14))</f>
        <v>0</v>
      </c>
      <c r="EL14" s="51" t="n">
        <f aca="false">N(AND(EL$3&lt;=$E14,EL$4&gt;=$E14))</f>
        <v>0</v>
      </c>
      <c r="EM14" s="51" t="n">
        <f aca="false">N(AND(EM$3&lt;=$E14,EM$4&gt;=$E14))</f>
        <v>0</v>
      </c>
      <c r="EN14" s="51" t="n">
        <f aca="false">N(AND(EN$3&lt;=$E14,EN$4&gt;=$E14))</f>
        <v>0</v>
      </c>
      <c r="EO14" s="51" t="n">
        <f aca="false">N(AND(EO$3&lt;=$E14,EO$4&gt;=$E14))</f>
        <v>0</v>
      </c>
    </row>
    <row r="15" customFormat="false" ht="15" hidden="false" customHeight="false" outlineLevel="0" collapsed="false">
      <c r="C15" s="1" t="s">
        <v>418</v>
      </c>
      <c r="D15" s="12" t="s">
        <v>150</v>
      </c>
      <c r="E15" s="45" t="n">
        <f aca="false">MATCH(In_COD,$J$4:$EO$4,0)</f>
        <v>16</v>
      </c>
    </row>
    <row r="16" customFormat="false" ht="15" hidden="false" customHeight="false" outlineLevel="0" collapsed="false">
      <c r="C16" s="1" t="s">
        <v>330</v>
      </c>
      <c r="D16" s="12" t="s">
        <v>43</v>
      </c>
      <c r="E16" s="47" t="n">
        <f aca="false">In_COD+1</f>
        <v>47757</v>
      </c>
      <c r="F16" s="47" t="n">
        <f aca="false">EDATE(In_COD,In_Life*Months_In_Year)</f>
        <v>58714</v>
      </c>
      <c r="J16" s="56" t="n">
        <f aca="false">MAX(0,(MIN($F16,J$4)-MAX($E16,J$3)+1)/J$5)</f>
        <v>0</v>
      </c>
      <c r="K16" s="56" t="n">
        <f aca="false">MAX(0,(MIN($F16,K$4)-MAX($E16,K$3)+1)/K$5)</f>
        <v>0</v>
      </c>
      <c r="L16" s="56" t="n">
        <f aca="false">MAX(0,(MIN($F16,L$4)-MAX($E16,L$3)+1)/L$5)</f>
        <v>0</v>
      </c>
      <c r="M16" s="56" t="n">
        <f aca="false">MAX(0,(MIN($F16,M$4)-MAX($E16,M$3)+1)/M$5)</f>
        <v>0</v>
      </c>
      <c r="N16" s="56" t="n">
        <f aca="false">MAX(0,(MIN($F16,N$4)-MAX($E16,N$3)+1)/N$5)</f>
        <v>0</v>
      </c>
      <c r="O16" s="56" t="n">
        <f aca="false">MAX(0,(MIN($F16,O$4)-MAX($E16,O$3)+1)/O$5)</f>
        <v>0</v>
      </c>
      <c r="P16" s="56" t="n">
        <f aca="false">MAX(0,(MIN($F16,P$4)-MAX($E16,P$3)+1)/P$5)</f>
        <v>0</v>
      </c>
      <c r="Q16" s="56" t="n">
        <f aca="false">MAX(0,(MIN($F16,Q$4)-MAX($E16,Q$3)+1)/Q$5)</f>
        <v>0</v>
      </c>
      <c r="R16" s="56" t="n">
        <f aca="false">MAX(0,(MIN($F16,R$4)-MAX($E16,R$3)+1)/R$5)</f>
        <v>0</v>
      </c>
      <c r="S16" s="56" t="n">
        <f aca="false">MAX(0,(MIN($F16,S$4)-MAX($E16,S$3)+1)/S$5)</f>
        <v>0</v>
      </c>
      <c r="T16" s="56" t="n">
        <f aca="false">MAX(0,(MIN($F16,T$4)-MAX($E16,T$3)+1)/T$5)</f>
        <v>0</v>
      </c>
      <c r="U16" s="56" t="n">
        <f aca="false">MAX(0,(MIN($F16,U$4)-MAX($E16,U$3)+1)/U$5)</f>
        <v>0</v>
      </c>
      <c r="V16" s="56" t="n">
        <f aca="false">MAX(0,(MIN($F16,V$4)-MAX($E16,V$3)+1)/V$5)</f>
        <v>0</v>
      </c>
      <c r="W16" s="56" t="n">
        <f aca="false">MAX(0,(MIN($F16,W$4)-MAX($E16,W$3)+1)/W$5)</f>
        <v>0</v>
      </c>
      <c r="X16" s="56" t="n">
        <f aca="false">MAX(0,(MIN($F16,X$4)-MAX($E16,X$3)+1)/X$5)</f>
        <v>0</v>
      </c>
      <c r="Y16" s="56" t="n">
        <f aca="false">MAX(0,(MIN($F16,Y$4)-MAX($E16,Y$3)+1)/Y$5)</f>
        <v>0</v>
      </c>
      <c r="Z16" s="56" t="n">
        <f aca="false">MAX(0,(MIN($F16,Z$4)-MAX($E16,Z$3)+1)/Z$5)</f>
        <v>1</v>
      </c>
      <c r="AA16" s="56" t="n">
        <f aca="false">MAX(0,(MIN($F16,AA$4)-MAX($E16,AA$3)+1)/AA$5)</f>
        <v>1</v>
      </c>
      <c r="AB16" s="56" t="n">
        <f aca="false">MAX(0,(MIN($F16,AB$4)-MAX($E16,AB$3)+1)/AB$5)</f>
        <v>1</v>
      </c>
      <c r="AC16" s="56" t="n">
        <f aca="false">MAX(0,(MIN($F16,AC$4)-MAX($E16,AC$3)+1)/AC$5)</f>
        <v>1</v>
      </c>
      <c r="AD16" s="56" t="n">
        <f aca="false">MAX(0,(MIN($F16,AD$4)-MAX($E16,AD$3)+1)/AD$5)</f>
        <v>1</v>
      </c>
      <c r="AE16" s="56" t="n">
        <f aca="false">MAX(0,(MIN($F16,AE$4)-MAX($E16,AE$3)+1)/AE$5)</f>
        <v>1</v>
      </c>
      <c r="AF16" s="56" t="n">
        <f aca="false">MAX(0,(MIN($F16,AF$4)-MAX($E16,AF$3)+1)/AF$5)</f>
        <v>1</v>
      </c>
      <c r="AG16" s="56" t="n">
        <f aca="false">MAX(0,(MIN($F16,AG$4)-MAX($E16,AG$3)+1)/AG$5)</f>
        <v>1</v>
      </c>
      <c r="AH16" s="56" t="n">
        <f aca="false">MAX(0,(MIN($F16,AH$4)-MAX($E16,AH$3)+1)/AH$5)</f>
        <v>1</v>
      </c>
      <c r="AI16" s="56" t="n">
        <f aca="false">MAX(0,(MIN($F16,AI$4)-MAX($E16,AI$3)+1)/AI$5)</f>
        <v>1</v>
      </c>
      <c r="AJ16" s="56" t="n">
        <f aca="false">MAX(0,(MIN($F16,AJ$4)-MAX($E16,AJ$3)+1)/AJ$5)</f>
        <v>1</v>
      </c>
      <c r="AK16" s="56" t="n">
        <f aca="false">MAX(0,(MIN($F16,AK$4)-MAX($E16,AK$3)+1)/AK$5)</f>
        <v>1</v>
      </c>
      <c r="AL16" s="56" t="n">
        <f aca="false">MAX(0,(MIN($F16,AL$4)-MAX($E16,AL$3)+1)/AL$5)</f>
        <v>1</v>
      </c>
      <c r="AM16" s="56" t="n">
        <f aca="false">MAX(0,(MIN($F16,AM$4)-MAX($E16,AM$3)+1)/AM$5)</f>
        <v>1</v>
      </c>
      <c r="AN16" s="56" t="n">
        <f aca="false">MAX(0,(MIN($F16,AN$4)-MAX($E16,AN$3)+1)/AN$5)</f>
        <v>1</v>
      </c>
      <c r="AO16" s="56" t="n">
        <f aca="false">MAX(0,(MIN($F16,AO$4)-MAX($E16,AO$3)+1)/AO$5)</f>
        <v>1</v>
      </c>
      <c r="AP16" s="56" t="n">
        <f aca="false">MAX(0,(MIN($F16,AP$4)-MAX($E16,AP$3)+1)/AP$5)</f>
        <v>1</v>
      </c>
      <c r="AQ16" s="56" t="n">
        <f aca="false">MAX(0,(MIN($F16,AQ$4)-MAX($E16,AQ$3)+1)/AQ$5)</f>
        <v>1</v>
      </c>
      <c r="AR16" s="56" t="n">
        <f aca="false">MAX(0,(MIN($F16,AR$4)-MAX($E16,AR$3)+1)/AR$5)</f>
        <v>1</v>
      </c>
      <c r="AS16" s="56" t="n">
        <f aca="false">MAX(0,(MIN($F16,AS$4)-MAX($E16,AS$3)+1)/AS$5)</f>
        <v>1</v>
      </c>
      <c r="AT16" s="56" t="n">
        <f aca="false">MAX(0,(MIN($F16,AT$4)-MAX($E16,AT$3)+1)/AT$5)</f>
        <v>1</v>
      </c>
      <c r="AU16" s="56" t="n">
        <f aca="false">MAX(0,(MIN($F16,AU$4)-MAX($E16,AU$3)+1)/AU$5)</f>
        <v>1</v>
      </c>
      <c r="AV16" s="56" t="n">
        <f aca="false">MAX(0,(MIN($F16,AV$4)-MAX($E16,AV$3)+1)/AV$5)</f>
        <v>1</v>
      </c>
      <c r="AW16" s="56" t="n">
        <f aca="false">MAX(0,(MIN($F16,AW$4)-MAX($E16,AW$3)+1)/AW$5)</f>
        <v>1</v>
      </c>
      <c r="AX16" s="56" t="n">
        <f aca="false">MAX(0,(MIN($F16,AX$4)-MAX($E16,AX$3)+1)/AX$5)</f>
        <v>1</v>
      </c>
      <c r="AY16" s="56" t="n">
        <f aca="false">MAX(0,(MIN($F16,AY$4)-MAX($E16,AY$3)+1)/AY$5)</f>
        <v>1</v>
      </c>
      <c r="AZ16" s="56" t="n">
        <f aca="false">MAX(0,(MIN($F16,AZ$4)-MAX($E16,AZ$3)+1)/AZ$5)</f>
        <v>1</v>
      </c>
      <c r="BA16" s="56" t="n">
        <f aca="false">MAX(0,(MIN($F16,BA$4)-MAX($E16,BA$3)+1)/BA$5)</f>
        <v>1</v>
      </c>
      <c r="BB16" s="56" t="n">
        <f aca="false">MAX(0,(MIN($F16,BB$4)-MAX($E16,BB$3)+1)/BB$5)</f>
        <v>1</v>
      </c>
      <c r="BC16" s="56" t="n">
        <f aca="false">MAX(0,(MIN($F16,BC$4)-MAX($E16,BC$3)+1)/BC$5)</f>
        <v>1</v>
      </c>
      <c r="BD16" s="56" t="n">
        <f aca="false">MAX(0,(MIN($F16,BD$4)-MAX($E16,BD$3)+1)/BD$5)</f>
        <v>1</v>
      </c>
      <c r="BE16" s="56" t="n">
        <f aca="false">MAX(0,(MIN($F16,BE$4)-MAX($E16,BE$3)+1)/BE$5)</f>
        <v>1</v>
      </c>
      <c r="BF16" s="56" t="n">
        <f aca="false">MAX(0,(MIN($F16,BF$4)-MAX($E16,BF$3)+1)/BF$5)</f>
        <v>1</v>
      </c>
      <c r="BG16" s="56" t="n">
        <f aca="false">MAX(0,(MIN($F16,BG$4)-MAX($E16,BG$3)+1)/BG$5)</f>
        <v>1</v>
      </c>
      <c r="BH16" s="56" t="n">
        <f aca="false">MAX(0,(MIN($F16,BH$4)-MAX($E16,BH$3)+1)/BH$5)</f>
        <v>1</v>
      </c>
      <c r="BI16" s="56" t="n">
        <f aca="false">MAX(0,(MIN($F16,BI$4)-MAX($E16,BI$3)+1)/BI$5)</f>
        <v>1</v>
      </c>
      <c r="BJ16" s="56" t="n">
        <f aca="false">MAX(0,(MIN($F16,BJ$4)-MAX($E16,BJ$3)+1)/BJ$5)</f>
        <v>1</v>
      </c>
      <c r="BK16" s="56" t="n">
        <f aca="false">MAX(0,(MIN($F16,BK$4)-MAX($E16,BK$3)+1)/BK$5)</f>
        <v>1</v>
      </c>
      <c r="BL16" s="56" t="n">
        <f aca="false">MAX(0,(MIN($F16,BL$4)-MAX($E16,BL$3)+1)/BL$5)</f>
        <v>1</v>
      </c>
      <c r="BM16" s="56" t="n">
        <f aca="false">MAX(0,(MIN($F16,BM$4)-MAX($E16,BM$3)+1)/BM$5)</f>
        <v>1</v>
      </c>
      <c r="BN16" s="56" t="n">
        <f aca="false">MAX(0,(MIN($F16,BN$4)-MAX($E16,BN$3)+1)/BN$5)</f>
        <v>1</v>
      </c>
      <c r="BO16" s="56" t="n">
        <f aca="false">MAX(0,(MIN($F16,BO$4)-MAX($E16,BO$3)+1)/BO$5)</f>
        <v>1</v>
      </c>
      <c r="BP16" s="56" t="n">
        <f aca="false">MAX(0,(MIN($F16,BP$4)-MAX($E16,BP$3)+1)/BP$5)</f>
        <v>1</v>
      </c>
      <c r="BQ16" s="56" t="n">
        <f aca="false">MAX(0,(MIN($F16,BQ$4)-MAX($E16,BQ$3)+1)/BQ$5)</f>
        <v>1</v>
      </c>
      <c r="BR16" s="56" t="n">
        <f aca="false">MAX(0,(MIN($F16,BR$4)-MAX($E16,BR$3)+1)/BR$5)</f>
        <v>1</v>
      </c>
      <c r="BS16" s="56" t="n">
        <f aca="false">MAX(0,(MIN($F16,BS$4)-MAX($E16,BS$3)+1)/BS$5)</f>
        <v>1</v>
      </c>
      <c r="BT16" s="56" t="n">
        <f aca="false">MAX(0,(MIN($F16,BT$4)-MAX($E16,BT$3)+1)/BT$5)</f>
        <v>1</v>
      </c>
      <c r="BU16" s="56" t="n">
        <f aca="false">MAX(0,(MIN($F16,BU$4)-MAX($E16,BU$3)+1)/BU$5)</f>
        <v>1</v>
      </c>
      <c r="BV16" s="56" t="n">
        <f aca="false">MAX(0,(MIN($F16,BV$4)-MAX($E16,BV$3)+1)/BV$5)</f>
        <v>1</v>
      </c>
      <c r="BW16" s="56" t="n">
        <f aca="false">MAX(0,(MIN($F16,BW$4)-MAX($E16,BW$3)+1)/BW$5)</f>
        <v>1</v>
      </c>
      <c r="BX16" s="56" t="n">
        <f aca="false">MAX(0,(MIN($F16,BX$4)-MAX($E16,BX$3)+1)/BX$5)</f>
        <v>1</v>
      </c>
      <c r="BY16" s="56" t="n">
        <f aca="false">MAX(0,(MIN($F16,BY$4)-MAX($E16,BY$3)+1)/BY$5)</f>
        <v>1</v>
      </c>
      <c r="BZ16" s="56" t="n">
        <f aca="false">MAX(0,(MIN($F16,BZ$4)-MAX($E16,BZ$3)+1)/BZ$5)</f>
        <v>1</v>
      </c>
      <c r="CA16" s="56" t="n">
        <f aca="false">MAX(0,(MIN($F16,CA$4)-MAX($E16,CA$3)+1)/CA$5)</f>
        <v>1</v>
      </c>
      <c r="CB16" s="56" t="n">
        <f aca="false">MAX(0,(MIN($F16,CB$4)-MAX($E16,CB$3)+1)/CB$5)</f>
        <v>1</v>
      </c>
      <c r="CC16" s="56" t="n">
        <f aca="false">MAX(0,(MIN($F16,CC$4)-MAX($E16,CC$3)+1)/CC$5)</f>
        <v>1</v>
      </c>
      <c r="CD16" s="56" t="n">
        <f aca="false">MAX(0,(MIN($F16,CD$4)-MAX($E16,CD$3)+1)/CD$5)</f>
        <v>1</v>
      </c>
      <c r="CE16" s="56" t="n">
        <f aca="false">MAX(0,(MIN($F16,CE$4)-MAX($E16,CE$3)+1)/CE$5)</f>
        <v>1</v>
      </c>
      <c r="CF16" s="56" t="n">
        <f aca="false">MAX(0,(MIN($F16,CF$4)-MAX($E16,CF$3)+1)/CF$5)</f>
        <v>1</v>
      </c>
      <c r="CG16" s="56" t="n">
        <f aca="false">MAX(0,(MIN($F16,CG$4)-MAX($E16,CG$3)+1)/CG$5)</f>
        <v>1</v>
      </c>
      <c r="CH16" s="56" t="n">
        <f aca="false">MAX(0,(MIN($F16,CH$4)-MAX($E16,CH$3)+1)/CH$5)</f>
        <v>1</v>
      </c>
      <c r="CI16" s="56" t="n">
        <f aca="false">MAX(0,(MIN($F16,CI$4)-MAX($E16,CI$3)+1)/CI$5)</f>
        <v>1</v>
      </c>
      <c r="CJ16" s="56" t="n">
        <f aca="false">MAX(0,(MIN($F16,CJ$4)-MAX($E16,CJ$3)+1)/CJ$5)</f>
        <v>1</v>
      </c>
      <c r="CK16" s="56" t="n">
        <f aca="false">MAX(0,(MIN($F16,CK$4)-MAX($E16,CK$3)+1)/CK$5)</f>
        <v>1</v>
      </c>
      <c r="CL16" s="56" t="n">
        <f aca="false">MAX(0,(MIN($F16,CL$4)-MAX($E16,CL$3)+1)/CL$5)</f>
        <v>1</v>
      </c>
      <c r="CM16" s="56" t="n">
        <f aca="false">MAX(0,(MIN($F16,CM$4)-MAX($E16,CM$3)+1)/CM$5)</f>
        <v>1</v>
      </c>
      <c r="CN16" s="56" t="n">
        <f aca="false">MAX(0,(MIN($F16,CN$4)-MAX($E16,CN$3)+1)/CN$5)</f>
        <v>1</v>
      </c>
      <c r="CO16" s="56" t="n">
        <f aca="false">MAX(0,(MIN($F16,CO$4)-MAX($E16,CO$3)+1)/CO$5)</f>
        <v>1</v>
      </c>
      <c r="CP16" s="56" t="n">
        <f aca="false">MAX(0,(MIN($F16,CP$4)-MAX($E16,CP$3)+1)/CP$5)</f>
        <v>1</v>
      </c>
      <c r="CQ16" s="56" t="n">
        <f aca="false">MAX(0,(MIN($F16,CQ$4)-MAX($E16,CQ$3)+1)/CQ$5)</f>
        <v>1</v>
      </c>
      <c r="CR16" s="56" t="n">
        <f aca="false">MAX(0,(MIN($F16,CR$4)-MAX($E16,CR$3)+1)/CR$5)</f>
        <v>1</v>
      </c>
      <c r="CS16" s="56" t="n">
        <f aca="false">MAX(0,(MIN($F16,CS$4)-MAX($E16,CS$3)+1)/CS$5)</f>
        <v>1</v>
      </c>
      <c r="CT16" s="56" t="n">
        <f aca="false">MAX(0,(MIN($F16,CT$4)-MAX($E16,CT$3)+1)/CT$5)</f>
        <v>1</v>
      </c>
      <c r="CU16" s="56" t="n">
        <f aca="false">MAX(0,(MIN($F16,CU$4)-MAX($E16,CU$3)+1)/CU$5)</f>
        <v>1</v>
      </c>
      <c r="CV16" s="56" t="n">
        <f aca="false">MAX(0,(MIN($F16,CV$4)-MAX($E16,CV$3)+1)/CV$5)</f>
        <v>1</v>
      </c>
      <c r="CW16" s="56" t="n">
        <f aca="false">MAX(0,(MIN($F16,CW$4)-MAX($E16,CW$3)+1)/CW$5)</f>
        <v>1</v>
      </c>
      <c r="CX16" s="56" t="n">
        <f aca="false">MAX(0,(MIN($F16,CX$4)-MAX($E16,CX$3)+1)/CX$5)</f>
        <v>1</v>
      </c>
      <c r="CY16" s="56" t="n">
        <f aca="false">MAX(0,(MIN($F16,CY$4)-MAX($E16,CY$3)+1)/CY$5)</f>
        <v>1</v>
      </c>
      <c r="CZ16" s="56" t="n">
        <f aca="false">MAX(0,(MIN($F16,CZ$4)-MAX($E16,CZ$3)+1)/CZ$5)</f>
        <v>1</v>
      </c>
      <c r="DA16" s="56" t="n">
        <f aca="false">MAX(0,(MIN($F16,DA$4)-MAX($E16,DA$3)+1)/DA$5)</f>
        <v>1</v>
      </c>
      <c r="DB16" s="56" t="n">
        <f aca="false">MAX(0,(MIN($F16,DB$4)-MAX($E16,DB$3)+1)/DB$5)</f>
        <v>1</v>
      </c>
      <c r="DC16" s="56" t="n">
        <f aca="false">MAX(0,(MIN($F16,DC$4)-MAX($E16,DC$3)+1)/DC$5)</f>
        <v>1</v>
      </c>
      <c r="DD16" s="56" t="n">
        <f aca="false">MAX(0,(MIN($F16,DD$4)-MAX($E16,DD$3)+1)/DD$5)</f>
        <v>1</v>
      </c>
      <c r="DE16" s="56" t="n">
        <f aca="false">MAX(0,(MIN($F16,DE$4)-MAX($E16,DE$3)+1)/DE$5)</f>
        <v>1</v>
      </c>
      <c r="DF16" s="56" t="n">
        <f aca="false">MAX(0,(MIN($F16,DF$4)-MAX($E16,DF$3)+1)/DF$5)</f>
        <v>1</v>
      </c>
      <c r="DG16" s="56" t="n">
        <f aca="false">MAX(0,(MIN($F16,DG$4)-MAX($E16,DG$3)+1)/DG$5)</f>
        <v>1</v>
      </c>
      <c r="DH16" s="56" t="n">
        <f aca="false">MAX(0,(MIN($F16,DH$4)-MAX($E16,DH$3)+1)/DH$5)</f>
        <v>1</v>
      </c>
      <c r="DI16" s="56" t="n">
        <f aca="false">MAX(0,(MIN($F16,DI$4)-MAX($E16,DI$3)+1)/DI$5)</f>
        <v>1</v>
      </c>
      <c r="DJ16" s="56" t="n">
        <f aca="false">MAX(0,(MIN($F16,DJ$4)-MAX($E16,DJ$3)+1)/DJ$5)</f>
        <v>1</v>
      </c>
      <c r="DK16" s="56" t="n">
        <f aca="false">MAX(0,(MIN($F16,DK$4)-MAX($E16,DK$3)+1)/DK$5)</f>
        <v>1</v>
      </c>
      <c r="DL16" s="56" t="n">
        <f aca="false">MAX(0,(MIN($F16,DL$4)-MAX($E16,DL$3)+1)/DL$5)</f>
        <v>1</v>
      </c>
      <c r="DM16" s="56" t="n">
        <f aca="false">MAX(0,(MIN($F16,DM$4)-MAX($E16,DM$3)+1)/DM$5)</f>
        <v>1</v>
      </c>
      <c r="DN16" s="56" t="n">
        <f aca="false">MAX(0,(MIN($F16,DN$4)-MAX($E16,DN$3)+1)/DN$5)</f>
        <v>1</v>
      </c>
      <c r="DO16" s="56" t="n">
        <f aca="false">MAX(0,(MIN($F16,DO$4)-MAX($E16,DO$3)+1)/DO$5)</f>
        <v>1</v>
      </c>
      <c r="DP16" s="56" t="n">
        <f aca="false">MAX(0,(MIN($F16,DP$4)-MAX($E16,DP$3)+1)/DP$5)</f>
        <v>1</v>
      </c>
      <c r="DQ16" s="56" t="n">
        <f aca="false">MAX(0,(MIN($F16,DQ$4)-MAX($E16,DQ$3)+1)/DQ$5)</f>
        <v>1</v>
      </c>
      <c r="DR16" s="56" t="n">
        <f aca="false">MAX(0,(MIN($F16,DR$4)-MAX($E16,DR$3)+1)/DR$5)</f>
        <v>1</v>
      </c>
      <c r="DS16" s="56" t="n">
        <f aca="false">MAX(0,(MIN($F16,DS$4)-MAX($E16,DS$3)+1)/DS$5)</f>
        <v>1</v>
      </c>
      <c r="DT16" s="56" t="n">
        <f aca="false">MAX(0,(MIN($F16,DT$4)-MAX($E16,DT$3)+1)/DT$5)</f>
        <v>1</v>
      </c>
      <c r="DU16" s="56" t="n">
        <f aca="false">MAX(0,(MIN($F16,DU$4)-MAX($E16,DU$3)+1)/DU$5)</f>
        <v>1</v>
      </c>
      <c r="DV16" s="56" t="n">
        <f aca="false">MAX(0,(MIN($F16,DV$4)-MAX($E16,DV$3)+1)/DV$5)</f>
        <v>1</v>
      </c>
      <c r="DW16" s="56" t="n">
        <f aca="false">MAX(0,(MIN($F16,DW$4)-MAX($E16,DW$3)+1)/DW$5)</f>
        <v>1</v>
      </c>
      <c r="DX16" s="56" t="n">
        <f aca="false">MAX(0,(MIN($F16,DX$4)-MAX($E16,DX$3)+1)/DX$5)</f>
        <v>1</v>
      </c>
      <c r="DY16" s="56" t="n">
        <f aca="false">MAX(0,(MIN($F16,DY$4)-MAX($E16,DY$3)+1)/DY$5)</f>
        <v>1</v>
      </c>
      <c r="DZ16" s="56" t="n">
        <f aca="false">MAX(0,(MIN($F16,DZ$4)-MAX($E16,DZ$3)+1)/DZ$5)</f>
        <v>1</v>
      </c>
      <c r="EA16" s="56" t="n">
        <f aca="false">MAX(0,(MIN($F16,EA$4)-MAX($E16,EA$3)+1)/EA$5)</f>
        <v>1</v>
      </c>
      <c r="EB16" s="56" t="n">
        <f aca="false">MAX(0,(MIN($F16,EB$4)-MAX($E16,EB$3)+1)/EB$5)</f>
        <v>1</v>
      </c>
      <c r="EC16" s="56" t="n">
        <f aca="false">MAX(0,(MIN($F16,EC$4)-MAX($E16,EC$3)+1)/EC$5)</f>
        <v>1</v>
      </c>
      <c r="ED16" s="56" t="n">
        <f aca="false">MAX(0,(MIN($F16,ED$4)-MAX($E16,ED$3)+1)/ED$5)</f>
        <v>1</v>
      </c>
      <c r="EE16" s="56" t="n">
        <f aca="false">MAX(0,(MIN($F16,EE$4)-MAX($E16,EE$3)+1)/EE$5)</f>
        <v>1</v>
      </c>
      <c r="EF16" s="56" t="n">
        <f aca="false">MAX(0,(MIN($F16,EF$4)-MAX($E16,EF$3)+1)/EF$5)</f>
        <v>1</v>
      </c>
      <c r="EG16" s="56" t="n">
        <f aca="false">MAX(0,(MIN($F16,EG$4)-MAX($E16,EG$3)+1)/EG$5)</f>
        <v>1</v>
      </c>
      <c r="EH16" s="56" t="n">
        <f aca="false">MAX(0,(MIN($F16,EH$4)-MAX($E16,EH$3)+1)/EH$5)</f>
        <v>1</v>
      </c>
      <c r="EI16" s="56" t="n">
        <f aca="false">MAX(0,(MIN($F16,EI$4)-MAX($E16,EI$3)+1)/EI$5)</f>
        <v>1</v>
      </c>
      <c r="EJ16" s="56" t="n">
        <f aca="false">MAX(0,(MIN($F16,EJ$4)-MAX($E16,EJ$3)+1)/EJ$5)</f>
        <v>1</v>
      </c>
      <c r="EK16" s="56" t="n">
        <f aca="false">MAX(0,(MIN($F16,EK$4)-MAX($E16,EK$3)+1)/EK$5)</f>
        <v>1</v>
      </c>
      <c r="EL16" s="56" t="n">
        <f aca="false">MAX(0,(MIN($F16,EL$4)-MAX($E16,EL$3)+1)/EL$5)</f>
        <v>1</v>
      </c>
      <c r="EM16" s="56" t="n">
        <f aca="false">MAX(0,(MIN($F16,EM$4)-MAX($E16,EM$3)+1)/EM$5)</f>
        <v>1</v>
      </c>
      <c r="EN16" s="56" t="n">
        <f aca="false">MAX(0,(MIN($F16,EN$4)-MAX($E16,EN$3)+1)/EN$5)</f>
        <v>1</v>
      </c>
      <c r="EO16" s="56" t="n">
        <f aca="false">MAX(0,(MIN($F16,EO$4)-MAX($E16,EO$3)+1)/EO$5)</f>
        <v>1</v>
      </c>
    </row>
    <row r="17" customFormat="false" ht="15" hidden="false" customHeight="false" outlineLevel="0" collapsed="false">
      <c r="C17" s="1" t="s">
        <v>419</v>
      </c>
      <c r="D17" s="12" t="s">
        <v>43</v>
      </c>
      <c r="E17" s="47" t="n">
        <f aca="false">In_NTP+1</f>
        <v>47027</v>
      </c>
      <c r="F17" s="47" t="n">
        <f aca="false">EDATE(In_COD,In_Life*Months_In_Year)</f>
        <v>58714</v>
      </c>
      <c r="J17" s="56" t="n">
        <f aca="false">MAX(0,(MIN($F17,J$4)-MAX($E17,J$3)+1)/J$5)</f>
        <v>0</v>
      </c>
      <c r="K17" s="56" t="n">
        <f aca="false">MAX(0,(MIN($F17,K$4)-MAX($E17,K$3)+1)/K$5)</f>
        <v>0</v>
      </c>
      <c r="L17" s="56" t="n">
        <f aca="false">MAX(0,(MIN($F17,L$4)-MAX($E17,L$3)+1)/L$5)</f>
        <v>0</v>
      </c>
      <c r="M17" s="56" t="n">
        <f aca="false">MAX(0,(MIN($F17,M$4)-MAX($E17,M$3)+1)/M$5)</f>
        <v>0</v>
      </c>
      <c r="N17" s="56" t="n">
        <f aca="false">MAX(0,(MIN($F17,N$4)-MAX($E17,N$3)+1)/N$5)</f>
        <v>0</v>
      </c>
      <c r="O17" s="56" t="n">
        <f aca="false">MAX(0,(MIN($F17,O$4)-MAX($E17,O$3)+1)/O$5)</f>
        <v>0</v>
      </c>
      <c r="P17" s="56" t="n">
        <f aca="false">MAX(0,(MIN($F17,P$4)-MAX($E17,P$3)+1)/P$5)</f>
        <v>0</v>
      </c>
      <c r="Q17" s="56" t="n">
        <f aca="false">MAX(0,(MIN($F17,Q$4)-MAX($E17,Q$3)+1)/Q$5)</f>
        <v>0</v>
      </c>
      <c r="R17" s="56" t="n">
        <f aca="false">MAX(0,(MIN($F17,R$4)-MAX($E17,R$3)+1)/R$5)</f>
        <v>1</v>
      </c>
      <c r="S17" s="56" t="n">
        <f aca="false">MAX(0,(MIN($F17,S$4)-MAX($E17,S$3)+1)/S$5)</f>
        <v>1</v>
      </c>
      <c r="T17" s="56" t="n">
        <f aca="false">MAX(0,(MIN($F17,T$4)-MAX($E17,T$3)+1)/T$5)</f>
        <v>1</v>
      </c>
      <c r="U17" s="56" t="n">
        <f aca="false">MAX(0,(MIN($F17,U$4)-MAX($E17,U$3)+1)/U$5)</f>
        <v>1</v>
      </c>
      <c r="V17" s="56" t="n">
        <f aca="false">MAX(0,(MIN($F17,V$4)-MAX($E17,V$3)+1)/V$5)</f>
        <v>1</v>
      </c>
      <c r="W17" s="56" t="n">
        <f aca="false">MAX(0,(MIN($F17,W$4)-MAX($E17,W$3)+1)/W$5)</f>
        <v>1</v>
      </c>
      <c r="X17" s="56" t="n">
        <f aca="false">MAX(0,(MIN($F17,X$4)-MAX($E17,X$3)+1)/X$5)</f>
        <v>1</v>
      </c>
      <c r="Y17" s="56" t="n">
        <f aca="false">MAX(0,(MIN($F17,Y$4)-MAX($E17,Y$3)+1)/Y$5)</f>
        <v>1</v>
      </c>
      <c r="Z17" s="56" t="n">
        <f aca="false">MAX(0,(MIN($F17,Z$4)-MAX($E17,Z$3)+1)/Z$5)</f>
        <v>1</v>
      </c>
      <c r="AA17" s="56" t="n">
        <f aca="false">MAX(0,(MIN($F17,AA$4)-MAX($E17,AA$3)+1)/AA$5)</f>
        <v>1</v>
      </c>
      <c r="AB17" s="56" t="n">
        <f aca="false">MAX(0,(MIN($F17,AB$4)-MAX($E17,AB$3)+1)/AB$5)</f>
        <v>1</v>
      </c>
      <c r="AC17" s="56" t="n">
        <f aca="false">MAX(0,(MIN($F17,AC$4)-MAX($E17,AC$3)+1)/AC$5)</f>
        <v>1</v>
      </c>
      <c r="AD17" s="56" t="n">
        <f aca="false">MAX(0,(MIN($F17,AD$4)-MAX($E17,AD$3)+1)/AD$5)</f>
        <v>1</v>
      </c>
      <c r="AE17" s="56" t="n">
        <f aca="false">MAX(0,(MIN($F17,AE$4)-MAX($E17,AE$3)+1)/AE$5)</f>
        <v>1</v>
      </c>
      <c r="AF17" s="56" t="n">
        <f aca="false">MAX(0,(MIN($F17,AF$4)-MAX($E17,AF$3)+1)/AF$5)</f>
        <v>1</v>
      </c>
      <c r="AG17" s="56" t="n">
        <f aca="false">MAX(0,(MIN($F17,AG$4)-MAX($E17,AG$3)+1)/AG$5)</f>
        <v>1</v>
      </c>
      <c r="AH17" s="56" t="n">
        <f aca="false">MAX(0,(MIN($F17,AH$4)-MAX($E17,AH$3)+1)/AH$5)</f>
        <v>1</v>
      </c>
      <c r="AI17" s="56" t="n">
        <f aca="false">MAX(0,(MIN($F17,AI$4)-MAX($E17,AI$3)+1)/AI$5)</f>
        <v>1</v>
      </c>
      <c r="AJ17" s="56" t="n">
        <f aca="false">MAX(0,(MIN($F17,AJ$4)-MAX($E17,AJ$3)+1)/AJ$5)</f>
        <v>1</v>
      </c>
      <c r="AK17" s="56" t="n">
        <f aca="false">MAX(0,(MIN($F17,AK$4)-MAX($E17,AK$3)+1)/AK$5)</f>
        <v>1</v>
      </c>
      <c r="AL17" s="56" t="n">
        <f aca="false">MAX(0,(MIN($F17,AL$4)-MAX($E17,AL$3)+1)/AL$5)</f>
        <v>1</v>
      </c>
      <c r="AM17" s="56" t="n">
        <f aca="false">MAX(0,(MIN($F17,AM$4)-MAX($E17,AM$3)+1)/AM$5)</f>
        <v>1</v>
      </c>
      <c r="AN17" s="56" t="n">
        <f aca="false">MAX(0,(MIN($F17,AN$4)-MAX($E17,AN$3)+1)/AN$5)</f>
        <v>1</v>
      </c>
      <c r="AO17" s="56" t="n">
        <f aca="false">MAX(0,(MIN($F17,AO$4)-MAX($E17,AO$3)+1)/AO$5)</f>
        <v>1</v>
      </c>
      <c r="AP17" s="56" t="n">
        <f aca="false">MAX(0,(MIN($F17,AP$4)-MAX($E17,AP$3)+1)/AP$5)</f>
        <v>1</v>
      </c>
      <c r="AQ17" s="56" t="n">
        <f aca="false">MAX(0,(MIN($F17,AQ$4)-MAX($E17,AQ$3)+1)/AQ$5)</f>
        <v>1</v>
      </c>
      <c r="AR17" s="56" t="n">
        <f aca="false">MAX(0,(MIN($F17,AR$4)-MAX($E17,AR$3)+1)/AR$5)</f>
        <v>1</v>
      </c>
      <c r="AS17" s="56" t="n">
        <f aca="false">MAX(0,(MIN($F17,AS$4)-MAX($E17,AS$3)+1)/AS$5)</f>
        <v>1</v>
      </c>
      <c r="AT17" s="56" t="n">
        <f aca="false">MAX(0,(MIN($F17,AT$4)-MAX($E17,AT$3)+1)/AT$5)</f>
        <v>1</v>
      </c>
      <c r="AU17" s="56" t="n">
        <f aca="false">MAX(0,(MIN($F17,AU$4)-MAX($E17,AU$3)+1)/AU$5)</f>
        <v>1</v>
      </c>
      <c r="AV17" s="56" t="n">
        <f aca="false">MAX(0,(MIN($F17,AV$4)-MAX($E17,AV$3)+1)/AV$5)</f>
        <v>1</v>
      </c>
      <c r="AW17" s="56" t="n">
        <f aca="false">MAX(0,(MIN($F17,AW$4)-MAX($E17,AW$3)+1)/AW$5)</f>
        <v>1</v>
      </c>
      <c r="AX17" s="56" t="n">
        <f aca="false">MAX(0,(MIN($F17,AX$4)-MAX($E17,AX$3)+1)/AX$5)</f>
        <v>1</v>
      </c>
      <c r="AY17" s="56" t="n">
        <f aca="false">MAX(0,(MIN($F17,AY$4)-MAX($E17,AY$3)+1)/AY$5)</f>
        <v>1</v>
      </c>
      <c r="AZ17" s="56" t="n">
        <f aca="false">MAX(0,(MIN($F17,AZ$4)-MAX($E17,AZ$3)+1)/AZ$5)</f>
        <v>1</v>
      </c>
      <c r="BA17" s="56" t="n">
        <f aca="false">MAX(0,(MIN($F17,BA$4)-MAX($E17,BA$3)+1)/BA$5)</f>
        <v>1</v>
      </c>
      <c r="BB17" s="56" t="n">
        <f aca="false">MAX(0,(MIN($F17,BB$4)-MAX($E17,BB$3)+1)/BB$5)</f>
        <v>1</v>
      </c>
      <c r="BC17" s="56" t="n">
        <f aca="false">MAX(0,(MIN($F17,BC$4)-MAX($E17,BC$3)+1)/BC$5)</f>
        <v>1</v>
      </c>
      <c r="BD17" s="56" t="n">
        <f aca="false">MAX(0,(MIN($F17,BD$4)-MAX($E17,BD$3)+1)/BD$5)</f>
        <v>1</v>
      </c>
      <c r="BE17" s="56" t="n">
        <f aca="false">MAX(0,(MIN($F17,BE$4)-MAX($E17,BE$3)+1)/BE$5)</f>
        <v>1</v>
      </c>
      <c r="BF17" s="56" t="n">
        <f aca="false">MAX(0,(MIN($F17,BF$4)-MAX($E17,BF$3)+1)/BF$5)</f>
        <v>1</v>
      </c>
      <c r="BG17" s="56" t="n">
        <f aca="false">MAX(0,(MIN($F17,BG$4)-MAX($E17,BG$3)+1)/BG$5)</f>
        <v>1</v>
      </c>
      <c r="BH17" s="56" t="n">
        <f aca="false">MAX(0,(MIN($F17,BH$4)-MAX($E17,BH$3)+1)/BH$5)</f>
        <v>1</v>
      </c>
      <c r="BI17" s="56" t="n">
        <f aca="false">MAX(0,(MIN($F17,BI$4)-MAX($E17,BI$3)+1)/BI$5)</f>
        <v>1</v>
      </c>
      <c r="BJ17" s="56" t="n">
        <f aca="false">MAX(0,(MIN($F17,BJ$4)-MAX($E17,BJ$3)+1)/BJ$5)</f>
        <v>1</v>
      </c>
      <c r="BK17" s="56" t="n">
        <f aca="false">MAX(0,(MIN($F17,BK$4)-MAX($E17,BK$3)+1)/BK$5)</f>
        <v>1</v>
      </c>
      <c r="BL17" s="56" t="n">
        <f aca="false">MAX(0,(MIN($F17,BL$4)-MAX($E17,BL$3)+1)/BL$5)</f>
        <v>1</v>
      </c>
      <c r="BM17" s="56" t="n">
        <f aca="false">MAX(0,(MIN($F17,BM$4)-MAX($E17,BM$3)+1)/BM$5)</f>
        <v>1</v>
      </c>
      <c r="BN17" s="56" t="n">
        <f aca="false">MAX(0,(MIN($F17,BN$4)-MAX($E17,BN$3)+1)/BN$5)</f>
        <v>1</v>
      </c>
      <c r="BO17" s="56" t="n">
        <f aca="false">MAX(0,(MIN($F17,BO$4)-MAX($E17,BO$3)+1)/BO$5)</f>
        <v>1</v>
      </c>
      <c r="BP17" s="56" t="n">
        <f aca="false">MAX(0,(MIN($F17,BP$4)-MAX($E17,BP$3)+1)/BP$5)</f>
        <v>1</v>
      </c>
      <c r="BQ17" s="56" t="n">
        <f aca="false">MAX(0,(MIN($F17,BQ$4)-MAX($E17,BQ$3)+1)/BQ$5)</f>
        <v>1</v>
      </c>
      <c r="BR17" s="56" t="n">
        <f aca="false">MAX(0,(MIN($F17,BR$4)-MAX($E17,BR$3)+1)/BR$5)</f>
        <v>1</v>
      </c>
      <c r="BS17" s="56" t="n">
        <f aca="false">MAX(0,(MIN($F17,BS$4)-MAX($E17,BS$3)+1)/BS$5)</f>
        <v>1</v>
      </c>
      <c r="BT17" s="56" t="n">
        <f aca="false">MAX(0,(MIN($F17,BT$4)-MAX($E17,BT$3)+1)/BT$5)</f>
        <v>1</v>
      </c>
      <c r="BU17" s="56" t="n">
        <f aca="false">MAX(0,(MIN($F17,BU$4)-MAX($E17,BU$3)+1)/BU$5)</f>
        <v>1</v>
      </c>
      <c r="BV17" s="56" t="n">
        <f aca="false">MAX(0,(MIN($F17,BV$4)-MAX($E17,BV$3)+1)/BV$5)</f>
        <v>1</v>
      </c>
      <c r="BW17" s="56" t="n">
        <f aca="false">MAX(0,(MIN($F17,BW$4)-MAX($E17,BW$3)+1)/BW$5)</f>
        <v>1</v>
      </c>
      <c r="BX17" s="56" t="n">
        <f aca="false">MAX(0,(MIN($F17,BX$4)-MAX($E17,BX$3)+1)/BX$5)</f>
        <v>1</v>
      </c>
      <c r="BY17" s="56" t="n">
        <f aca="false">MAX(0,(MIN($F17,BY$4)-MAX($E17,BY$3)+1)/BY$5)</f>
        <v>1</v>
      </c>
      <c r="BZ17" s="56" t="n">
        <f aca="false">MAX(0,(MIN($F17,BZ$4)-MAX($E17,BZ$3)+1)/BZ$5)</f>
        <v>1</v>
      </c>
      <c r="CA17" s="56" t="n">
        <f aca="false">MAX(0,(MIN($F17,CA$4)-MAX($E17,CA$3)+1)/CA$5)</f>
        <v>1</v>
      </c>
      <c r="CB17" s="56" t="n">
        <f aca="false">MAX(0,(MIN($F17,CB$4)-MAX($E17,CB$3)+1)/CB$5)</f>
        <v>1</v>
      </c>
      <c r="CC17" s="56" t="n">
        <f aca="false">MAX(0,(MIN($F17,CC$4)-MAX($E17,CC$3)+1)/CC$5)</f>
        <v>1</v>
      </c>
      <c r="CD17" s="56" t="n">
        <f aca="false">MAX(0,(MIN($F17,CD$4)-MAX($E17,CD$3)+1)/CD$5)</f>
        <v>1</v>
      </c>
      <c r="CE17" s="56" t="n">
        <f aca="false">MAX(0,(MIN($F17,CE$4)-MAX($E17,CE$3)+1)/CE$5)</f>
        <v>1</v>
      </c>
      <c r="CF17" s="56" t="n">
        <f aca="false">MAX(0,(MIN($F17,CF$4)-MAX($E17,CF$3)+1)/CF$5)</f>
        <v>1</v>
      </c>
      <c r="CG17" s="56" t="n">
        <f aca="false">MAX(0,(MIN($F17,CG$4)-MAX($E17,CG$3)+1)/CG$5)</f>
        <v>1</v>
      </c>
      <c r="CH17" s="56" t="n">
        <f aca="false">MAX(0,(MIN($F17,CH$4)-MAX($E17,CH$3)+1)/CH$5)</f>
        <v>1</v>
      </c>
      <c r="CI17" s="56" t="n">
        <f aca="false">MAX(0,(MIN($F17,CI$4)-MAX($E17,CI$3)+1)/CI$5)</f>
        <v>1</v>
      </c>
      <c r="CJ17" s="56" t="n">
        <f aca="false">MAX(0,(MIN($F17,CJ$4)-MAX($E17,CJ$3)+1)/CJ$5)</f>
        <v>1</v>
      </c>
      <c r="CK17" s="56" t="n">
        <f aca="false">MAX(0,(MIN($F17,CK$4)-MAX($E17,CK$3)+1)/CK$5)</f>
        <v>1</v>
      </c>
      <c r="CL17" s="56" t="n">
        <f aca="false">MAX(0,(MIN($F17,CL$4)-MAX($E17,CL$3)+1)/CL$5)</f>
        <v>1</v>
      </c>
      <c r="CM17" s="56" t="n">
        <f aca="false">MAX(0,(MIN($F17,CM$4)-MAX($E17,CM$3)+1)/CM$5)</f>
        <v>1</v>
      </c>
      <c r="CN17" s="56" t="n">
        <f aca="false">MAX(0,(MIN($F17,CN$4)-MAX($E17,CN$3)+1)/CN$5)</f>
        <v>1</v>
      </c>
      <c r="CO17" s="56" t="n">
        <f aca="false">MAX(0,(MIN($F17,CO$4)-MAX($E17,CO$3)+1)/CO$5)</f>
        <v>1</v>
      </c>
      <c r="CP17" s="56" t="n">
        <f aca="false">MAX(0,(MIN($F17,CP$4)-MAX($E17,CP$3)+1)/CP$5)</f>
        <v>1</v>
      </c>
      <c r="CQ17" s="56" t="n">
        <f aca="false">MAX(0,(MIN($F17,CQ$4)-MAX($E17,CQ$3)+1)/CQ$5)</f>
        <v>1</v>
      </c>
      <c r="CR17" s="56" t="n">
        <f aca="false">MAX(0,(MIN($F17,CR$4)-MAX($E17,CR$3)+1)/CR$5)</f>
        <v>1</v>
      </c>
      <c r="CS17" s="56" t="n">
        <f aca="false">MAX(0,(MIN($F17,CS$4)-MAX($E17,CS$3)+1)/CS$5)</f>
        <v>1</v>
      </c>
      <c r="CT17" s="56" t="n">
        <f aca="false">MAX(0,(MIN($F17,CT$4)-MAX($E17,CT$3)+1)/CT$5)</f>
        <v>1</v>
      </c>
      <c r="CU17" s="56" t="n">
        <f aca="false">MAX(0,(MIN($F17,CU$4)-MAX($E17,CU$3)+1)/CU$5)</f>
        <v>1</v>
      </c>
      <c r="CV17" s="56" t="n">
        <f aca="false">MAX(0,(MIN($F17,CV$4)-MAX($E17,CV$3)+1)/CV$5)</f>
        <v>1</v>
      </c>
      <c r="CW17" s="56" t="n">
        <f aca="false">MAX(0,(MIN($F17,CW$4)-MAX($E17,CW$3)+1)/CW$5)</f>
        <v>1</v>
      </c>
      <c r="CX17" s="56" t="n">
        <f aca="false">MAX(0,(MIN($F17,CX$4)-MAX($E17,CX$3)+1)/CX$5)</f>
        <v>1</v>
      </c>
      <c r="CY17" s="56" t="n">
        <f aca="false">MAX(0,(MIN($F17,CY$4)-MAX($E17,CY$3)+1)/CY$5)</f>
        <v>1</v>
      </c>
      <c r="CZ17" s="56" t="n">
        <f aca="false">MAX(0,(MIN($F17,CZ$4)-MAX($E17,CZ$3)+1)/CZ$5)</f>
        <v>1</v>
      </c>
      <c r="DA17" s="56" t="n">
        <f aca="false">MAX(0,(MIN($F17,DA$4)-MAX($E17,DA$3)+1)/DA$5)</f>
        <v>1</v>
      </c>
      <c r="DB17" s="56" t="n">
        <f aca="false">MAX(0,(MIN($F17,DB$4)-MAX($E17,DB$3)+1)/DB$5)</f>
        <v>1</v>
      </c>
      <c r="DC17" s="56" t="n">
        <f aca="false">MAX(0,(MIN($F17,DC$4)-MAX($E17,DC$3)+1)/DC$5)</f>
        <v>1</v>
      </c>
      <c r="DD17" s="56" t="n">
        <f aca="false">MAX(0,(MIN($F17,DD$4)-MAX($E17,DD$3)+1)/DD$5)</f>
        <v>1</v>
      </c>
      <c r="DE17" s="56" t="n">
        <f aca="false">MAX(0,(MIN($F17,DE$4)-MAX($E17,DE$3)+1)/DE$5)</f>
        <v>1</v>
      </c>
      <c r="DF17" s="56" t="n">
        <f aca="false">MAX(0,(MIN($F17,DF$4)-MAX($E17,DF$3)+1)/DF$5)</f>
        <v>1</v>
      </c>
      <c r="DG17" s="56" t="n">
        <f aca="false">MAX(0,(MIN($F17,DG$4)-MAX($E17,DG$3)+1)/DG$5)</f>
        <v>1</v>
      </c>
      <c r="DH17" s="56" t="n">
        <f aca="false">MAX(0,(MIN($F17,DH$4)-MAX($E17,DH$3)+1)/DH$5)</f>
        <v>1</v>
      </c>
      <c r="DI17" s="56" t="n">
        <f aca="false">MAX(0,(MIN($F17,DI$4)-MAX($E17,DI$3)+1)/DI$5)</f>
        <v>1</v>
      </c>
      <c r="DJ17" s="56" t="n">
        <f aca="false">MAX(0,(MIN($F17,DJ$4)-MAX($E17,DJ$3)+1)/DJ$5)</f>
        <v>1</v>
      </c>
      <c r="DK17" s="56" t="n">
        <f aca="false">MAX(0,(MIN($F17,DK$4)-MAX($E17,DK$3)+1)/DK$5)</f>
        <v>1</v>
      </c>
      <c r="DL17" s="56" t="n">
        <f aca="false">MAX(0,(MIN($F17,DL$4)-MAX($E17,DL$3)+1)/DL$5)</f>
        <v>1</v>
      </c>
      <c r="DM17" s="56" t="n">
        <f aca="false">MAX(0,(MIN($F17,DM$4)-MAX($E17,DM$3)+1)/DM$5)</f>
        <v>1</v>
      </c>
      <c r="DN17" s="56" t="n">
        <f aca="false">MAX(0,(MIN($F17,DN$4)-MAX($E17,DN$3)+1)/DN$5)</f>
        <v>1</v>
      </c>
      <c r="DO17" s="56" t="n">
        <f aca="false">MAX(0,(MIN($F17,DO$4)-MAX($E17,DO$3)+1)/DO$5)</f>
        <v>1</v>
      </c>
      <c r="DP17" s="56" t="n">
        <f aca="false">MAX(0,(MIN($F17,DP$4)-MAX($E17,DP$3)+1)/DP$5)</f>
        <v>1</v>
      </c>
      <c r="DQ17" s="56" t="n">
        <f aca="false">MAX(0,(MIN($F17,DQ$4)-MAX($E17,DQ$3)+1)/DQ$5)</f>
        <v>1</v>
      </c>
      <c r="DR17" s="56" t="n">
        <f aca="false">MAX(0,(MIN($F17,DR$4)-MAX($E17,DR$3)+1)/DR$5)</f>
        <v>1</v>
      </c>
      <c r="DS17" s="56" t="n">
        <f aca="false">MAX(0,(MIN($F17,DS$4)-MAX($E17,DS$3)+1)/DS$5)</f>
        <v>1</v>
      </c>
      <c r="DT17" s="56" t="n">
        <f aca="false">MAX(0,(MIN($F17,DT$4)-MAX($E17,DT$3)+1)/DT$5)</f>
        <v>1</v>
      </c>
      <c r="DU17" s="56" t="n">
        <f aca="false">MAX(0,(MIN($F17,DU$4)-MAX($E17,DU$3)+1)/DU$5)</f>
        <v>1</v>
      </c>
      <c r="DV17" s="56" t="n">
        <f aca="false">MAX(0,(MIN($F17,DV$4)-MAX($E17,DV$3)+1)/DV$5)</f>
        <v>1</v>
      </c>
      <c r="DW17" s="56" t="n">
        <f aca="false">MAX(0,(MIN($F17,DW$4)-MAX($E17,DW$3)+1)/DW$5)</f>
        <v>1</v>
      </c>
      <c r="DX17" s="56" t="n">
        <f aca="false">MAX(0,(MIN($F17,DX$4)-MAX($E17,DX$3)+1)/DX$5)</f>
        <v>1</v>
      </c>
      <c r="DY17" s="56" t="n">
        <f aca="false">MAX(0,(MIN($F17,DY$4)-MAX($E17,DY$3)+1)/DY$5)</f>
        <v>1</v>
      </c>
      <c r="DZ17" s="56" t="n">
        <f aca="false">MAX(0,(MIN($F17,DZ$4)-MAX($E17,DZ$3)+1)/DZ$5)</f>
        <v>1</v>
      </c>
      <c r="EA17" s="56" t="n">
        <f aca="false">MAX(0,(MIN($F17,EA$4)-MAX($E17,EA$3)+1)/EA$5)</f>
        <v>1</v>
      </c>
      <c r="EB17" s="56" t="n">
        <f aca="false">MAX(0,(MIN($F17,EB$4)-MAX($E17,EB$3)+1)/EB$5)</f>
        <v>1</v>
      </c>
      <c r="EC17" s="56" t="n">
        <f aca="false">MAX(0,(MIN($F17,EC$4)-MAX($E17,EC$3)+1)/EC$5)</f>
        <v>1</v>
      </c>
      <c r="ED17" s="56" t="n">
        <f aca="false">MAX(0,(MIN($F17,ED$4)-MAX($E17,ED$3)+1)/ED$5)</f>
        <v>1</v>
      </c>
      <c r="EE17" s="56" t="n">
        <f aca="false">MAX(0,(MIN($F17,EE$4)-MAX($E17,EE$3)+1)/EE$5)</f>
        <v>1</v>
      </c>
      <c r="EF17" s="56" t="n">
        <f aca="false">MAX(0,(MIN($F17,EF$4)-MAX($E17,EF$3)+1)/EF$5)</f>
        <v>1</v>
      </c>
      <c r="EG17" s="56" t="n">
        <f aca="false">MAX(0,(MIN($F17,EG$4)-MAX($E17,EG$3)+1)/EG$5)</f>
        <v>1</v>
      </c>
      <c r="EH17" s="56" t="n">
        <f aca="false">MAX(0,(MIN($F17,EH$4)-MAX($E17,EH$3)+1)/EH$5)</f>
        <v>1</v>
      </c>
      <c r="EI17" s="56" t="n">
        <f aca="false">MAX(0,(MIN($F17,EI$4)-MAX($E17,EI$3)+1)/EI$5)</f>
        <v>1</v>
      </c>
      <c r="EJ17" s="56" t="n">
        <f aca="false">MAX(0,(MIN($F17,EJ$4)-MAX($E17,EJ$3)+1)/EJ$5)</f>
        <v>1</v>
      </c>
      <c r="EK17" s="56" t="n">
        <f aca="false">MAX(0,(MIN($F17,EK$4)-MAX($E17,EK$3)+1)/EK$5)</f>
        <v>1</v>
      </c>
      <c r="EL17" s="56" t="n">
        <f aca="false">MAX(0,(MIN($F17,EL$4)-MAX($E17,EL$3)+1)/EL$5)</f>
        <v>1</v>
      </c>
      <c r="EM17" s="56" t="n">
        <f aca="false">MAX(0,(MIN($F17,EM$4)-MAX($E17,EM$3)+1)/EM$5)</f>
        <v>1</v>
      </c>
      <c r="EN17" s="56" t="n">
        <f aca="false">MAX(0,(MIN($F17,EN$4)-MAX($E17,EN$3)+1)/EN$5)</f>
        <v>1</v>
      </c>
      <c r="EO17" s="56" t="n">
        <f aca="false">MAX(0,(MIN($F17,EO$4)-MAX($E17,EO$3)+1)/EO$5)</f>
        <v>1</v>
      </c>
    </row>
    <row r="18" customFormat="false" ht="15" hidden="false" customHeight="false" outlineLevel="0" collapsed="false">
      <c r="C18" s="1" t="s">
        <v>420</v>
      </c>
      <c r="D18" s="12" t="s">
        <v>43</v>
      </c>
      <c r="E18" s="47" t="n">
        <f aca="false">In_COD+1</f>
        <v>47757</v>
      </c>
      <c r="F18" s="47" t="n">
        <f aca="false">EDATE(In_COD,In_Debt_Tenor*Months_In_Year)</f>
        <v>53235</v>
      </c>
      <c r="J18" s="56" t="n">
        <f aca="false">MAX(0,(MIN($F18,J$4)-MAX($E18,J$3)+1)/J$5)</f>
        <v>0</v>
      </c>
      <c r="K18" s="56" t="n">
        <f aca="false">MAX(0,(MIN($F18,K$4)-MAX($E18,K$3)+1)/K$5)</f>
        <v>0</v>
      </c>
      <c r="L18" s="56" t="n">
        <f aca="false">MAX(0,(MIN($F18,L$4)-MAX($E18,L$3)+1)/L$5)</f>
        <v>0</v>
      </c>
      <c r="M18" s="56" t="n">
        <f aca="false">MAX(0,(MIN($F18,M$4)-MAX($E18,M$3)+1)/M$5)</f>
        <v>0</v>
      </c>
      <c r="N18" s="56" t="n">
        <f aca="false">MAX(0,(MIN($F18,N$4)-MAX($E18,N$3)+1)/N$5)</f>
        <v>0</v>
      </c>
      <c r="O18" s="56" t="n">
        <f aca="false">MAX(0,(MIN($F18,O$4)-MAX($E18,O$3)+1)/O$5)</f>
        <v>0</v>
      </c>
      <c r="P18" s="56" t="n">
        <f aca="false">MAX(0,(MIN($F18,P$4)-MAX($E18,P$3)+1)/P$5)</f>
        <v>0</v>
      </c>
      <c r="Q18" s="56" t="n">
        <f aca="false">MAX(0,(MIN($F18,Q$4)-MAX($E18,Q$3)+1)/Q$5)</f>
        <v>0</v>
      </c>
      <c r="R18" s="56" t="n">
        <f aca="false">MAX(0,(MIN($F18,R$4)-MAX($E18,R$3)+1)/R$5)</f>
        <v>0</v>
      </c>
      <c r="S18" s="56" t="n">
        <f aca="false">MAX(0,(MIN($F18,S$4)-MAX($E18,S$3)+1)/S$5)</f>
        <v>0</v>
      </c>
      <c r="T18" s="56" t="n">
        <f aca="false">MAX(0,(MIN($F18,T$4)-MAX($E18,T$3)+1)/T$5)</f>
        <v>0</v>
      </c>
      <c r="U18" s="56" t="n">
        <f aca="false">MAX(0,(MIN($F18,U$4)-MAX($E18,U$3)+1)/U$5)</f>
        <v>0</v>
      </c>
      <c r="V18" s="56" t="n">
        <f aca="false">MAX(0,(MIN($F18,V$4)-MAX($E18,V$3)+1)/V$5)</f>
        <v>0</v>
      </c>
      <c r="W18" s="56" t="n">
        <f aca="false">MAX(0,(MIN($F18,W$4)-MAX($E18,W$3)+1)/W$5)</f>
        <v>0</v>
      </c>
      <c r="X18" s="56" t="n">
        <f aca="false">MAX(0,(MIN($F18,X$4)-MAX($E18,X$3)+1)/X$5)</f>
        <v>0</v>
      </c>
      <c r="Y18" s="56" t="n">
        <f aca="false">MAX(0,(MIN($F18,Y$4)-MAX($E18,Y$3)+1)/Y$5)</f>
        <v>0</v>
      </c>
      <c r="Z18" s="56" t="n">
        <f aca="false">MAX(0,(MIN($F18,Z$4)-MAX($E18,Z$3)+1)/Z$5)</f>
        <v>1</v>
      </c>
      <c r="AA18" s="56" t="n">
        <f aca="false">MAX(0,(MIN($F18,AA$4)-MAX($E18,AA$3)+1)/AA$5)</f>
        <v>1</v>
      </c>
      <c r="AB18" s="56" t="n">
        <f aca="false">MAX(0,(MIN($F18,AB$4)-MAX($E18,AB$3)+1)/AB$5)</f>
        <v>1</v>
      </c>
      <c r="AC18" s="56" t="n">
        <f aca="false">MAX(0,(MIN($F18,AC$4)-MAX($E18,AC$3)+1)/AC$5)</f>
        <v>1</v>
      </c>
      <c r="AD18" s="56" t="n">
        <f aca="false">MAX(0,(MIN($F18,AD$4)-MAX($E18,AD$3)+1)/AD$5)</f>
        <v>1</v>
      </c>
      <c r="AE18" s="56" t="n">
        <f aca="false">MAX(0,(MIN($F18,AE$4)-MAX($E18,AE$3)+1)/AE$5)</f>
        <v>1</v>
      </c>
      <c r="AF18" s="56" t="n">
        <f aca="false">MAX(0,(MIN($F18,AF$4)-MAX($E18,AF$3)+1)/AF$5)</f>
        <v>1</v>
      </c>
      <c r="AG18" s="56" t="n">
        <f aca="false">MAX(0,(MIN($F18,AG$4)-MAX($E18,AG$3)+1)/AG$5)</f>
        <v>1</v>
      </c>
      <c r="AH18" s="56" t="n">
        <f aca="false">MAX(0,(MIN($F18,AH$4)-MAX($E18,AH$3)+1)/AH$5)</f>
        <v>1</v>
      </c>
      <c r="AI18" s="56" t="n">
        <f aca="false">MAX(0,(MIN($F18,AI$4)-MAX($E18,AI$3)+1)/AI$5)</f>
        <v>1</v>
      </c>
      <c r="AJ18" s="56" t="n">
        <f aca="false">MAX(0,(MIN($F18,AJ$4)-MAX($E18,AJ$3)+1)/AJ$5)</f>
        <v>1</v>
      </c>
      <c r="AK18" s="56" t="n">
        <f aca="false">MAX(0,(MIN($F18,AK$4)-MAX($E18,AK$3)+1)/AK$5)</f>
        <v>1</v>
      </c>
      <c r="AL18" s="56" t="n">
        <f aca="false">MAX(0,(MIN($F18,AL$4)-MAX($E18,AL$3)+1)/AL$5)</f>
        <v>1</v>
      </c>
      <c r="AM18" s="56" t="n">
        <f aca="false">MAX(0,(MIN($F18,AM$4)-MAX($E18,AM$3)+1)/AM$5)</f>
        <v>1</v>
      </c>
      <c r="AN18" s="56" t="n">
        <f aca="false">MAX(0,(MIN($F18,AN$4)-MAX($E18,AN$3)+1)/AN$5)</f>
        <v>1</v>
      </c>
      <c r="AO18" s="56" t="n">
        <f aca="false">MAX(0,(MIN($F18,AO$4)-MAX($E18,AO$3)+1)/AO$5)</f>
        <v>1</v>
      </c>
      <c r="AP18" s="56" t="n">
        <f aca="false">MAX(0,(MIN($F18,AP$4)-MAX($E18,AP$3)+1)/AP$5)</f>
        <v>1</v>
      </c>
      <c r="AQ18" s="56" t="n">
        <f aca="false">MAX(0,(MIN($F18,AQ$4)-MAX($E18,AQ$3)+1)/AQ$5)</f>
        <v>1</v>
      </c>
      <c r="AR18" s="56" t="n">
        <f aca="false">MAX(0,(MIN($F18,AR$4)-MAX($E18,AR$3)+1)/AR$5)</f>
        <v>1</v>
      </c>
      <c r="AS18" s="56" t="n">
        <f aca="false">MAX(0,(MIN($F18,AS$4)-MAX($E18,AS$3)+1)/AS$5)</f>
        <v>1</v>
      </c>
      <c r="AT18" s="56" t="n">
        <f aca="false">MAX(0,(MIN($F18,AT$4)-MAX($E18,AT$3)+1)/AT$5)</f>
        <v>1</v>
      </c>
      <c r="AU18" s="56" t="n">
        <f aca="false">MAX(0,(MIN($F18,AU$4)-MAX($E18,AU$3)+1)/AU$5)</f>
        <v>1</v>
      </c>
      <c r="AV18" s="56" t="n">
        <f aca="false">MAX(0,(MIN($F18,AV$4)-MAX($E18,AV$3)+1)/AV$5)</f>
        <v>1</v>
      </c>
      <c r="AW18" s="56" t="n">
        <f aca="false">MAX(0,(MIN($F18,AW$4)-MAX($E18,AW$3)+1)/AW$5)</f>
        <v>1</v>
      </c>
      <c r="AX18" s="56" t="n">
        <f aca="false">MAX(0,(MIN($F18,AX$4)-MAX($E18,AX$3)+1)/AX$5)</f>
        <v>1</v>
      </c>
      <c r="AY18" s="56" t="n">
        <f aca="false">MAX(0,(MIN($F18,AY$4)-MAX($E18,AY$3)+1)/AY$5)</f>
        <v>1</v>
      </c>
      <c r="AZ18" s="56" t="n">
        <f aca="false">MAX(0,(MIN($F18,AZ$4)-MAX($E18,AZ$3)+1)/AZ$5)</f>
        <v>1</v>
      </c>
      <c r="BA18" s="56" t="n">
        <f aca="false">MAX(0,(MIN($F18,BA$4)-MAX($E18,BA$3)+1)/BA$5)</f>
        <v>1</v>
      </c>
      <c r="BB18" s="56" t="n">
        <f aca="false">MAX(0,(MIN($F18,BB$4)-MAX($E18,BB$3)+1)/BB$5)</f>
        <v>1</v>
      </c>
      <c r="BC18" s="56" t="n">
        <f aca="false">MAX(0,(MIN($F18,BC$4)-MAX($E18,BC$3)+1)/BC$5)</f>
        <v>1</v>
      </c>
      <c r="BD18" s="56" t="n">
        <f aca="false">MAX(0,(MIN($F18,BD$4)-MAX($E18,BD$3)+1)/BD$5)</f>
        <v>1</v>
      </c>
      <c r="BE18" s="56" t="n">
        <f aca="false">MAX(0,(MIN($F18,BE$4)-MAX($E18,BE$3)+1)/BE$5)</f>
        <v>1</v>
      </c>
      <c r="BF18" s="56" t="n">
        <f aca="false">MAX(0,(MIN($F18,BF$4)-MAX($E18,BF$3)+1)/BF$5)</f>
        <v>1</v>
      </c>
      <c r="BG18" s="56" t="n">
        <f aca="false">MAX(0,(MIN($F18,BG$4)-MAX($E18,BG$3)+1)/BG$5)</f>
        <v>1</v>
      </c>
      <c r="BH18" s="56" t="n">
        <f aca="false">MAX(0,(MIN($F18,BH$4)-MAX($E18,BH$3)+1)/BH$5)</f>
        <v>1</v>
      </c>
      <c r="BI18" s="56" t="n">
        <f aca="false">MAX(0,(MIN($F18,BI$4)-MAX($E18,BI$3)+1)/BI$5)</f>
        <v>1</v>
      </c>
      <c r="BJ18" s="56" t="n">
        <f aca="false">MAX(0,(MIN($F18,BJ$4)-MAX($E18,BJ$3)+1)/BJ$5)</f>
        <v>1</v>
      </c>
      <c r="BK18" s="56" t="n">
        <f aca="false">MAX(0,(MIN($F18,BK$4)-MAX($E18,BK$3)+1)/BK$5)</f>
        <v>1</v>
      </c>
      <c r="BL18" s="56" t="n">
        <f aca="false">MAX(0,(MIN($F18,BL$4)-MAX($E18,BL$3)+1)/BL$5)</f>
        <v>1</v>
      </c>
      <c r="BM18" s="56" t="n">
        <f aca="false">MAX(0,(MIN($F18,BM$4)-MAX($E18,BM$3)+1)/BM$5)</f>
        <v>1</v>
      </c>
      <c r="BN18" s="56" t="n">
        <f aca="false">MAX(0,(MIN($F18,BN$4)-MAX($E18,BN$3)+1)/BN$5)</f>
        <v>1</v>
      </c>
      <c r="BO18" s="56" t="n">
        <f aca="false">MAX(0,(MIN($F18,BO$4)-MAX($E18,BO$3)+1)/BO$5)</f>
        <v>1</v>
      </c>
      <c r="BP18" s="56" t="n">
        <f aca="false">MAX(0,(MIN($F18,BP$4)-MAX($E18,BP$3)+1)/BP$5)</f>
        <v>1</v>
      </c>
      <c r="BQ18" s="56" t="n">
        <f aca="false">MAX(0,(MIN($F18,BQ$4)-MAX($E18,BQ$3)+1)/BQ$5)</f>
        <v>1</v>
      </c>
      <c r="BR18" s="56" t="n">
        <f aca="false">MAX(0,(MIN($F18,BR$4)-MAX($E18,BR$3)+1)/BR$5)</f>
        <v>1</v>
      </c>
      <c r="BS18" s="56" t="n">
        <f aca="false">MAX(0,(MIN($F18,BS$4)-MAX($E18,BS$3)+1)/BS$5)</f>
        <v>1</v>
      </c>
      <c r="BT18" s="56" t="n">
        <f aca="false">MAX(0,(MIN($F18,BT$4)-MAX($E18,BT$3)+1)/BT$5)</f>
        <v>1</v>
      </c>
      <c r="BU18" s="56" t="n">
        <f aca="false">MAX(0,(MIN($F18,BU$4)-MAX($E18,BU$3)+1)/BU$5)</f>
        <v>1</v>
      </c>
      <c r="BV18" s="56" t="n">
        <f aca="false">MAX(0,(MIN($F18,BV$4)-MAX($E18,BV$3)+1)/BV$5)</f>
        <v>1</v>
      </c>
      <c r="BW18" s="56" t="n">
        <f aca="false">MAX(0,(MIN($F18,BW$4)-MAX($E18,BW$3)+1)/BW$5)</f>
        <v>1</v>
      </c>
      <c r="BX18" s="56" t="n">
        <f aca="false">MAX(0,(MIN($F18,BX$4)-MAX($E18,BX$3)+1)/BX$5)</f>
        <v>1</v>
      </c>
      <c r="BY18" s="56" t="n">
        <f aca="false">MAX(0,(MIN($F18,BY$4)-MAX($E18,BY$3)+1)/BY$5)</f>
        <v>1</v>
      </c>
      <c r="BZ18" s="56" t="n">
        <f aca="false">MAX(0,(MIN($F18,BZ$4)-MAX($E18,BZ$3)+1)/BZ$5)</f>
        <v>1</v>
      </c>
      <c r="CA18" s="56" t="n">
        <f aca="false">MAX(0,(MIN($F18,CA$4)-MAX($E18,CA$3)+1)/CA$5)</f>
        <v>1</v>
      </c>
      <c r="CB18" s="56" t="n">
        <f aca="false">MAX(0,(MIN($F18,CB$4)-MAX($E18,CB$3)+1)/CB$5)</f>
        <v>1</v>
      </c>
      <c r="CC18" s="56" t="n">
        <f aca="false">MAX(0,(MIN($F18,CC$4)-MAX($E18,CC$3)+1)/CC$5)</f>
        <v>1</v>
      </c>
      <c r="CD18" s="56" t="n">
        <f aca="false">MAX(0,(MIN($F18,CD$4)-MAX($E18,CD$3)+1)/CD$5)</f>
        <v>1</v>
      </c>
      <c r="CE18" s="56" t="n">
        <f aca="false">MAX(0,(MIN($F18,CE$4)-MAX($E18,CE$3)+1)/CE$5)</f>
        <v>1</v>
      </c>
      <c r="CF18" s="56" t="n">
        <f aca="false">MAX(0,(MIN($F18,CF$4)-MAX($E18,CF$3)+1)/CF$5)</f>
        <v>1</v>
      </c>
      <c r="CG18" s="56" t="n">
        <f aca="false">MAX(0,(MIN($F18,CG$4)-MAX($E18,CG$3)+1)/CG$5)</f>
        <v>1</v>
      </c>
      <c r="CH18" s="56" t="n">
        <f aca="false">MAX(0,(MIN($F18,CH$4)-MAX($E18,CH$3)+1)/CH$5)</f>
        <v>0</v>
      </c>
      <c r="CI18" s="56" t="n">
        <f aca="false">MAX(0,(MIN($F18,CI$4)-MAX($E18,CI$3)+1)/CI$5)</f>
        <v>0</v>
      </c>
      <c r="CJ18" s="56" t="n">
        <f aca="false">MAX(0,(MIN($F18,CJ$4)-MAX($E18,CJ$3)+1)/CJ$5)</f>
        <v>0</v>
      </c>
      <c r="CK18" s="56" t="n">
        <f aca="false">MAX(0,(MIN($F18,CK$4)-MAX($E18,CK$3)+1)/CK$5)</f>
        <v>0</v>
      </c>
      <c r="CL18" s="56" t="n">
        <f aca="false">MAX(0,(MIN($F18,CL$4)-MAX($E18,CL$3)+1)/CL$5)</f>
        <v>0</v>
      </c>
      <c r="CM18" s="56" t="n">
        <f aca="false">MAX(0,(MIN($F18,CM$4)-MAX($E18,CM$3)+1)/CM$5)</f>
        <v>0</v>
      </c>
      <c r="CN18" s="56" t="n">
        <f aca="false">MAX(0,(MIN($F18,CN$4)-MAX($E18,CN$3)+1)/CN$5)</f>
        <v>0</v>
      </c>
      <c r="CO18" s="56" t="n">
        <f aca="false">MAX(0,(MIN($F18,CO$4)-MAX($E18,CO$3)+1)/CO$5)</f>
        <v>0</v>
      </c>
      <c r="CP18" s="56" t="n">
        <f aca="false">MAX(0,(MIN($F18,CP$4)-MAX($E18,CP$3)+1)/CP$5)</f>
        <v>0</v>
      </c>
      <c r="CQ18" s="56" t="n">
        <f aca="false">MAX(0,(MIN($F18,CQ$4)-MAX($E18,CQ$3)+1)/CQ$5)</f>
        <v>0</v>
      </c>
      <c r="CR18" s="56" t="n">
        <f aca="false">MAX(0,(MIN($F18,CR$4)-MAX($E18,CR$3)+1)/CR$5)</f>
        <v>0</v>
      </c>
      <c r="CS18" s="56" t="n">
        <f aca="false">MAX(0,(MIN($F18,CS$4)-MAX($E18,CS$3)+1)/CS$5)</f>
        <v>0</v>
      </c>
      <c r="CT18" s="56" t="n">
        <f aca="false">MAX(0,(MIN($F18,CT$4)-MAX($E18,CT$3)+1)/CT$5)</f>
        <v>0</v>
      </c>
      <c r="CU18" s="56" t="n">
        <f aca="false">MAX(0,(MIN($F18,CU$4)-MAX($E18,CU$3)+1)/CU$5)</f>
        <v>0</v>
      </c>
      <c r="CV18" s="56" t="n">
        <f aca="false">MAX(0,(MIN($F18,CV$4)-MAX($E18,CV$3)+1)/CV$5)</f>
        <v>0</v>
      </c>
      <c r="CW18" s="56" t="n">
        <f aca="false">MAX(0,(MIN($F18,CW$4)-MAX($E18,CW$3)+1)/CW$5)</f>
        <v>0</v>
      </c>
      <c r="CX18" s="56" t="n">
        <f aca="false">MAX(0,(MIN($F18,CX$4)-MAX($E18,CX$3)+1)/CX$5)</f>
        <v>0</v>
      </c>
      <c r="CY18" s="56" t="n">
        <f aca="false">MAX(0,(MIN($F18,CY$4)-MAX($E18,CY$3)+1)/CY$5)</f>
        <v>0</v>
      </c>
      <c r="CZ18" s="56" t="n">
        <f aca="false">MAX(0,(MIN($F18,CZ$4)-MAX($E18,CZ$3)+1)/CZ$5)</f>
        <v>0</v>
      </c>
      <c r="DA18" s="56" t="n">
        <f aca="false">MAX(0,(MIN($F18,DA$4)-MAX($E18,DA$3)+1)/DA$5)</f>
        <v>0</v>
      </c>
      <c r="DB18" s="56" t="n">
        <f aca="false">MAX(0,(MIN($F18,DB$4)-MAX($E18,DB$3)+1)/DB$5)</f>
        <v>0</v>
      </c>
      <c r="DC18" s="56" t="n">
        <f aca="false">MAX(0,(MIN($F18,DC$4)-MAX($E18,DC$3)+1)/DC$5)</f>
        <v>0</v>
      </c>
      <c r="DD18" s="56" t="n">
        <f aca="false">MAX(0,(MIN($F18,DD$4)-MAX($E18,DD$3)+1)/DD$5)</f>
        <v>0</v>
      </c>
      <c r="DE18" s="56" t="n">
        <f aca="false">MAX(0,(MIN($F18,DE$4)-MAX($E18,DE$3)+1)/DE$5)</f>
        <v>0</v>
      </c>
      <c r="DF18" s="56" t="n">
        <f aca="false">MAX(0,(MIN($F18,DF$4)-MAX($E18,DF$3)+1)/DF$5)</f>
        <v>0</v>
      </c>
      <c r="DG18" s="56" t="n">
        <f aca="false">MAX(0,(MIN($F18,DG$4)-MAX($E18,DG$3)+1)/DG$5)</f>
        <v>0</v>
      </c>
      <c r="DH18" s="56" t="n">
        <f aca="false">MAX(0,(MIN($F18,DH$4)-MAX($E18,DH$3)+1)/DH$5)</f>
        <v>0</v>
      </c>
      <c r="DI18" s="56" t="n">
        <f aca="false">MAX(0,(MIN($F18,DI$4)-MAX($E18,DI$3)+1)/DI$5)</f>
        <v>0</v>
      </c>
      <c r="DJ18" s="56" t="n">
        <f aca="false">MAX(0,(MIN($F18,DJ$4)-MAX($E18,DJ$3)+1)/DJ$5)</f>
        <v>0</v>
      </c>
      <c r="DK18" s="56" t="n">
        <f aca="false">MAX(0,(MIN($F18,DK$4)-MAX($E18,DK$3)+1)/DK$5)</f>
        <v>0</v>
      </c>
      <c r="DL18" s="56" t="n">
        <f aca="false">MAX(0,(MIN($F18,DL$4)-MAX($E18,DL$3)+1)/DL$5)</f>
        <v>0</v>
      </c>
      <c r="DM18" s="56" t="n">
        <f aca="false">MAX(0,(MIN($F18,DM$4)-MAX($E18,DM$3)+1)/DM$5)</f>
        <v>0</v>
      </c>
      <c r="DN18" s="56" t="n">
        <f aca="false">MAX(0,(MIN($F18,DN$4)-MAX($E18,DN$3)+1)/DN$5)</f>
        <v>0</v>
      </c>
      <c r="DO18" s="56" t="n">
        <f aca="false">MAX(0,(MIN($F18,DO$4)-MAX($E18,DO$3)+1)/DO$5)</f>
        <v>0</v>
      </c>
      <c r="DP18" s="56" t="n">
        <f aca="false">MAX(0,(MIN($F18,DP$4)-MAX($E18,DP$3)+1)/DP$5)</f>
        <v>0</v>
      </c>
      <c r="DQ18" s="56" t="n">
        <f aca="false">MAX(0,(MIN($F18,DQ$4)-MAX($E18,DQ$3)+1)/DQ$5)</f>
        <v>0</v>
      </c>
      <c r="DR18" s="56" t="n">
        <f aca="false">MAX(0,(MIN($F18,DR$4)-MAX($E18,DR$3)+1)/DR$5)</f>
        <v>0</v>
      </c>
      <c r="DS18" s="56" t="n">
        <f aca="false">MAX(0,(MIN($F18,DS$4)-MAX($E18,DS$3)+1)/DS$5)</f>
        <v>0</v>
      </c>
      <c r="DT18" s="56" t="n">
        <f aca="false">MAX(0,(MIN($F18,DT$4)-MAX($E18,DT$3)+1)/DT$5)</f>
        <v>0</v>
      </c>
      <c r="DU18" s="56" t="n">
        <f aca="false">MAX(0,(MIN($F18,DU$4)-MAX($E18,DU$3)+1)/DU$5)</f>
        <v>0</v>
      </c>
      <c r="DV18" s="56" t="n">
        <f aca="false">MAX(0,(MIN($F18,DV$4)-MAX($E18,DV$3)+1)/DV$5)</f>
        <v>0</v>
      </c>
      <c r="DW18" s="56" t="n">
        <f aca="false">MAX(0,(MIN($F18,DW$4)-MAX($E18,DW$3)+1)/DW$5)</f>
        <v>0</v>
      </c>
      <c r="DX18" s="56" t="n">
        <f aca="false">MAX(0,(MIN($F18,DX$4)-MAX($E18,DX$3)+1)/DX$5)</f>
        <v>0</v>
      </c>
      <c r="DY18" s="56" t="n">
        <f aca="false">MAX(0,(MIN($F18,DY$4)-MAX($E18,DY$3)+1)/DY$5)</f>
        <v>0</v>
      </c>
      <c r="DZ18" s="56" t="n">
        <f aca="false">MAX(0,(MIN($F18,DZ$4)-MAX($E18,DZ$3)+1)/DZ$5)</f>
        <v>0</v>
      </c>
      <c r="EA18" s="56" t="n">
        <f aca="false">MAX(0,(MIN($F18,EA$4)-MAX($E18,EA$3)+1)/EA$5)</f>
        <v>0</v>
      </c>
      <c r="EB18" s="56" t="n">
        <f aca="false">MAX(0,(MIN($F18,EB$4)-MAX($E18,EB$3)+1)/EB$5)</f>
        <v>0</v>
      </c>
      <c r="EC18" s="56" t="n">
        <f aca="false">MAX(0,(MIN($F18,EC$4)-MAX($E18,EC$3)+1)/EC$5)</f>
        <v>0</v>
      </c>
      <c r="ED18" s="56" t="n">
        <f aca="false">MAX(0,(MIN($F18,ED$4)-MAX($E18,ED$3)+1)/ED$5)</f>
        <v>0</v>
      </c>
      <c r="EE18" s="56" t="n">
        <f aca="false">MAX(0,(MIN($F18,EE$4)-MAX($E18,EE$3)+1)/EE$5)</f>
        <v>0</v>
      </c>
      <c r="EF18" s="56" t="n">
        <f aca="false">MAX(0,(MIN($F18,EF$4)-MAX($E18,EF$3)+1)/EF$5)</f>
        <v>0</v>
      </c>
      <c r="EG18" s="56" t="n">
        <f aca="false">MAX(0,(MIN($F18,EG$4)-MAX($E18,EG$3)+1)/EG$5)</f>
        <v>0</v>
      </c>
      <c r="EH18" s="56" t="n">
        <f aca="false">MAX(0,(MIN($F18,EH$4)-MAX($E18,EH$3)+1)/EH$5)</f>
        <v>0</v>
      </c>
      <c r="EI18" s="56" t="n">
        <f aca="false">MAX(0,(MIN($F18,EI$4)-MAX($E18,EI$3)+1)/EI$5)</f>
        <v>0</v>
      </c>
      <c r="EJ18" s="56" t="n">
        <f aca="false">MAX(0,(MIN($F18,EJ$4)-MAX($E18,EJ$3)+1)/EJ$5)</f>
        <v>0</v>
      </c>
      <c r="EK18" s="56" t="n">
        <f aca="false">MAX(0,(MIN($F18,EK$4)-MAX($E18,EK$3)+1)/EK$5)</f>
        <v>0</v>
      </c>
      <c r="EL18" s="56" t="n">
        <f aca="false">MAX(0,(MIN($F18,EL$4)-MAX($E18,EL$3)+1)/EL$5)</f>
        <v>0</v>
      </c>
      <c r="EM18" s="56" t="n">
        <f aca="false">MAX(0,(MIN($F18,EM$4)-MAX($E18,EM$3)+1)/EM$5)</f>
        <v>0</v>
      </c>
      <c r="EN18" s="56" t="n">
        <f aca="false">MAX(0,(MIN($F18,EN$4)-MAX($E18,EN$3)+1)/EN$5)</f>
        <v>0</v>
      </c>
      <c r="EO18" s="56" t="n">
        <f aca="false">MAX(0,(MIN($F18,EO$4)-MAX($E18,EO$3)+1)/EO$5)</f>
        <v>0</v>
      </c>
    </row>
    <row r="19" customFormat="false" ht="15" hidden="false" customHeight="false" outlineLevel="0" collapsed="false">
      <c r="C19" s="1" t="s">
        <v>421</v>
      </c>
      <c r="D19" s="12" t="s">
        <v>43</v>
      </c>
      <c r="E19" s="47" t="n">
        <f aca="false">EDATE(In_COD,In_Debt_Tenor*Months_In_Year)</f>
        <v>53235</v>
      </c>
      <c r="I19" s="51" t="n">
        <f aca="false">SUM(J19:EO19)</f>
        <v>1</v>
      </c>
      <c r="J19" s="51" t="n">
        <f aca="false">N(AND(J$3&lt;=$E19,J$4&gt;=$E19))</f>
        <v>0</v>
      </c>
      <c r="K19" s="51" t="n">
        <f aca="false">N(AND(K$3&lt;=$E19,K$4&gt;=$E19))</f>
        <v>0</v>
      </c>
      <c r="L19" s="51" t="n">
        <f aca="false">N(AND(L$3&lt;=$E19,L$4&gt;=$E19))</f>
        <v>0</v>
      </c>
      <c r="M19" s="51" t="n">
        <f aca="false">N(AND(M$3&lt;=$E19,M$4&gt;=$E19))</f>
        <v>0</v>
      </c>
      <c r="N19" s="51" t="n">
        <f aca="false">N(AND(N$3&lt;=$E19,N$4&gt;=$E19))</f>
        <v>0</v>
      </c>
      <c r="O19" s="51" t="n">
        <f aca="false">N(AND(O$3&lt;=$E19,O$4&gt;=$E19))</f>
        <v>0</v>
      </c>
      <c r="P19" s="51" t="n">
        <f aca="false">N(AND(P$3&lt;=$E19,P$4&gt;=$E19))</f>
        <v>0</v>
      </c>
      <c r="Q19" s="51" t="n">
        <f aca="false">N(AND(Q$3&lt;=$E19,Q$4&gt;=$E19))</f>
        <v>0</v>
      </c>
      <c r="R19" s="51" t="n">
        <f aca="false">N(AND(R$3&lt;=$E19,R$4&gt;=$E19))</f>
        <v>0</v>
      </c>
      <c r="S19" s="51" t="n">
        <f aca="false">N(AND(S$3&lt;=$E19,S$4&gt;=$E19))</f>
        <v>0</v>
      </c>
      <c r="T19" s="51" t="n">
        <f aca="false">N(AND(T$3&lt;=$E19,T$4&gt;=$E19))</f>
        <v>0</v>
      </c>
      <c r="U19" s="51" t="n">
        <f aca="false">N(AND(U$3&lt;=$E19,U$4&gt;=$E19))</f>
        <v>0</v>
      </c>
      <c r="V19" s="51" t="n">
        <f aca="false">N(AND(V$3&lt;=$E19,V$4&gt;=$E19))</f>
        <v>0</v>
      </c>
      <c r="W19" s="51" t="n">
        <f aca="false">N(AND(W$3&lt;=$E19,W$4&gt;=$E19))</f>
        <v>0</v>
      </c>
      <c r="X19" s="51" t="n">
        <f aca="false">N(AND(X$3&lt;=$E19,X$4&gt;=$E19))</f>
        <v>0</v>
      </c>
      <c r="Y19" s="51" t="n">
        <f aca="false">N(AND(Y$3&lt;=$E19,Y$4&gt;=$E19))</f>
        <v>0</v>
      </c>
      <c r="Z19" s="51" t="n">
        <f aca="false">N(AND(Z$3&lt;=$E19,Z$4&gt;=$E19))</f>
        <v>0</v>
      </c>
      <c r="AA19" s="51" t="n">
        <f aca="false">N(AND(AA$3&lt;=$E19,AA$4&gt;=$E19))</f>
        <v>0</v>
      </c>
      <c r="AB19" s="51" t="n">
        <f aca="false">N(AND(AB$3&lt;=$E19,AB$4&gt;=$E19))</f>
        <v>0</v>
      </c>
      <c r="AC19" s="51" t="n">
        <f aca="false">N(AND(AC$3&lt;=$E19,AC$4&gt;=$E19))</f>
        <v>0</v>
      </c>
      <c r="AD19" s="51" t="n">
        <f aca="false">N(AND(AD$3&lt;=$E19,AD$4&gt;=$E19))</f>
        <v>0</v>
      </c>
      <c r="AE19" s="51" t="n">
        <f aca="false">N(AND(AE$3&lt;=$E19,AE$4&gt;=$E19))</f>
        <v>0</v>
      </c>
      <c r="AF19" s="51" t="n">
        <f aca="false">N(AND(AF$3&lt;=$E19,AF$4&gt;=$E19))</f>
        <v>0</v>
      </c>
      <c r="AG19" s="51" t="n">
        <f aca="false">N(AND(AG$3&lt;=$E19,AG$4&gt;=$E19))</f>
        <v>0</v>
      </c>
      <c r="AH19" s="51" t="n">
        <f aca="false">N(AND(AH$3&lt;=$E19,AH$4&gt;=$E19))</f>
        <v>0</v>
      </c>
      <c r="AI19" s="51" t="n">
        <f aca="false">N(AND(AI$3&lt;=$E19,AI$4&gt;=$E19))</f>
        <v>0</v>
      </c>
      <c r="AJ19" s="51" t="n">
        <f aca="false">N(AND(AJ$3&lt;=$E19,AJ$4&gt;=$E19))</f>
        <v>0</v>
      </c>
      <c r="AK19" s="51" t="n">
        <f aca="false">N(AND(AK$3&lt;=$E19,AK$4&gt;=$E19))</f>
        <v>0</v>
      </c>
      <c r="AL19" s="51" t="n">
        <f aca="false">N(AND(AL$3&lt;=$E19,AL$4&gt;=$E19))</f>
        <v>0</v>
      </c>
      <c r="AM19" s="51" t="n">
        <f aca="false">N(AND(AM$3&lt;=$E19,AM$4&gt;=$E19))</f>
        <v>0</v>
      </c>
      <c r="AN19" s="51" t="n">
        <f aca="false">N(AND(AN$3&lt;=$E19,AN$4&gt;=$E19))</f>
        <v>0</v>
      </c>
      <c r="AO19" s="51" t="n">
        <f aca="false">N(AND(AO$3&lt;=$E19,AO$4&gt;=$E19))</f>
        <v>0</v>
      </c>
      <c r="AP19" s="51" t="n">
        <f aca="false">N(AND(AP$3&lt;=$E19,AP$4&gt;=$E19))</f>
        <v>0</v>
      </c>
      <c r="AQ19" s="51" t="n">
        <f aca="false">N(AND(AQ$3&lt;=$E19,AQ$4&gt;=$E19))</f>
        <v>0</v>
      </c>
      <c r="AR19" s="51" t="n">
        <f aca="false">N(AND(AR$3&lt;=$E19,AR$4&gt;=$E19))</f>
        <v>0</v>
      </c>
      <c r="AS19" s="51" t="n">
        <f aca="false">N(AND(AS$3&lt;=$E19,AS$4&gt;=$E19))</f>
        <v>0</v>
      </c>
      <c r="AT19" s="51" t="n">
        <f aca="false">N(AND(AT$3&lt;=$E19,AT$4&gt;=$E19))</f>
        <v>0</v>
      </c>
      <c r="AU19" s="51" t="n">
        <f aca="false">N(AND(AU$3&lt;=$E19,AU$4&gt;=$E19))</f>
        <v>0</v>
      </c>
      <c r="AV19" s="51" t="n">
        <f aca="false">N(AND(AV$3&lt;=$E19,AV$4&gt;=$E19))</f>
        <v>0</v>
      </c>
      <c r="AW19" s="51" t="n">
        <f aca="false">N(AND(AW$3&lt;=$E19,AW$4&gt;=$E19))</f>
        <v>0</v>
      </c>
      <c r="AX19" s="51" t="n">
        <f aca="false">N(AND(AX$3&lt;=$E19,AX$4&gt;=$E19))</f>
        <v>0</v>
      </c>
      <c r="AY19" s="51" t="n">
        <f aca="false">N(AND(AY$3&lt;=$E19,AY$4&gt;=$E19))</f>
        <v>0</v>
      </c>
      <c r="AZ19" s="51" t="n">
        <f aca="false">N(AND(AZ$3&lt;=$E19,AZ$4&gt;=$E19))</f>
        <v>0</v>
      </c>
      <c r="BA19" s="51" t="n">
        <f aca="false">N(AND(BA$3&lt;=$E19,BA$4&gt;=$E19))</f>
        <v>0</v>
      </c>
      <c r="BB19" s="51" t="n">
        <f aca="false">N(AND(BB$3&lt;=$E19,BB$4&gt;=$E19))</f>
        <v>0</v>
      </c>
      <c r="BC19" s="51" t="n">
        <f aca="false">N(AND(BC$3&lt;=$E19,BC$4&gt;=$E19))</f>
        <v>0</v>
      </c>
      <c r="BD19" s="51" t="n">
        <f aca="false">N(AND(BD$3&lt;=$E19,BD$4&gt;=$E19))</f>
        <v>0</v>
      </c>
      <c r="BE19" s="51" t="n">
        <f aca="false">N(AND(BE$3&lt;=$E19,BE$4&gt;=$E19))</f>
        <v>0</v>
      </c>
      <c r="BF19" s="51" t="n">
        <f aca="false">N(AND(BF$3&lt;=$E19,BF$4&gt;=$E19))</f>
        <v>0</v>
      </c>
      <c r="BG19" s="51" t="n">
        <f aca="false">N(AND(BG$3&lt;=$E19,BG$4&gt;=$E19))</f>
        <v>0</v>
      </c>
      <c r="BH19" s="51" t="n">
        <f aca="false">N(AND(BH$3&lt;=$E19,BH$4&gt;=$E19))</f>
        <v>0</v>
      </c>
      <c r="BI19" s="51" t="n">
        <f aca="false">N(AND(BI$3&lt;=$E19,BI$4&gt;=$E19))</f>
        <v>0</v>
      </c>
      <c r="BJ19" s="51" t="n">
        <f aca="false">N(AND(BJ$3&lt;=$E19,BJ$4&gt;=$E19))</f>
        <v>0</v>
      </c>
      <c r="BK19" s="51" t="n">
        <f aca="false">N(AND(BK$3&lt;=$E19,BK$4&gt;=$E19))</f>
        <v>0</v>
      </c>
      <c r="BL19" s="51" t="n">
        <f aca="false">N(AND(BL$3&lt;=$E19,BL$4&gt;=$E19))</f>
        <v>0</v>
      </c>
      <c r="BM19" s="51" t="n">
        <f aca="false">N(AND(BM$3&lt;=$E19,BM$4&gt;=$E19))</f>
        <v>0</v>
      </c>
      <c r="BN19" s="51" t="n">
        <f aca="false">N(AND(BN$3&lt;=$E19,BN$4&gt;=$E19))</f>
        <v>0</v>
      </c>
      <c r="BO19" s="51" t="n">
        <f aca="false">N(AND(BO$3&lt;=$E19,BO$4&gt;=$E19))</f>
        <v>0</v>
      </c>
      <c r="BP19" s="51" t="n">
        <f aca="false">N(AND(BP$3&lt;=$E19,BP$4&gt;=$E19))</f>
        <v>0</v>
      </c>
      <c r="BQ19" s="51" t="n">
        <f aca="false">N(AND(BQ$3&lt;=$E19,BQ$4&gt;=$E19))</f>
        <v>0</v>
      </c>
      <c r="BR19" s="51" t="n">
        <f aca="false">N(AND(BR$3&lt;=$E19,BR$4&gt;=$E19))</f>
        <v>0</v>
      </c>
      <c r="BS19" s="51" t="n">
        <f aca="false">N(AND(BS$3&lt;=$E19,BS$4&gt;=$E19))</f>
        <v>0</v>
      </c>
      <c r="BT19" s="51" t="n">
        <f aca="false">N(AND(BT$3&lt;=$E19,BT$4&gt;=$E19))</f>
        <v>0</v>
      </c>
      <c r="BU19" s="51" t="n">
        <f aca="false">N(AND(BU$3&lt;=$E19,BU$4&gt;=$E19))</f>
        <v>0</v>
      </c>
      <c r="BV19" s="51" t="n">
        <f aca="false">N(AND(BV$3&lt;=$E19,BV$4&gt;=$E19))</f>
        <v>0</v>
      </c>
      <c r="BW19" s="51" t="n">
        <f aca="false">N(AND(BW$3&lt;=$E19,BW$4&gt;=$E19))</f>
        <v>0</v>
      </c>
      <c r="BX19" s="51" t="n">
        <f aca="false">N(AND(BX$3&lt;=$E19,BX$4&gt;=$E19))</f>
        <v>0</v>
      </c>
      <c r="BY19" s="51" t="n">
        <f aca="false">N(AND(BY$3&lt;=$E19,BY$4&gt;=$E19))</f>
        <v>0</v>
      </c>
      <c r="BZ19" s="51" t="n">
        <f aca="false">N(AND(BZ$3&lt;=$E19,BZ$4&gt;=$E19))</f>
        <v>0</v>
      </c>
      <c r="CA19" s="51" t="n">
        <f aca="false">N(AND(CA$3&lt;=$E19,CA$4&gt;=$E19))</f>
        <v>0</v>
      </c>
      <c r="CB19" s="51" t="n">
        <f aca="false">N(AND(CB$3&lt;=$E19,CB$4&gt;=$E19))</f>
        <v>0</v>
      </c>
      <c r="CC19" s="51" t="n">
        <f aca="false">N(AND(CC$3&lt;=$E19,CC$4&gt;=$E19))</f>
        <v>0</v>
      </c>
      <c r="CD19" s="51" t="n">
        <f aca="false">N(AND(CD$3&lt;=$E19,CD$4&gt;=$E19))</f>
        <v>0</v>
      </c>
      <c r="CE19" s="51" t="n">
        <f aca="false">N(AND(CE$3&lt;=$E19,CE$4&gt;=$E19))</f>
        <v>0</v>
      </c>
      <c r="CF19" s="51" t="n">
        <f aca="false">N(AND(CF$3&lt;=$E19,CF$4&gt;=$E19))</f>
        <v>0</v>
      </c>
      <c r="CG19" s="51" t="n">
        <f aca="false">N(AND(CG$3&lt;=$E19,CG$4&gt;=$E19))</f>
        <v>1</v>
      </c>
      <c r="CH19" s="51" t="n">
        <f aca="false">N(AND(CH$3&lt;=$E19,CH$4&gt;=$E19))</f>
        <v>0</v>
      </c>
      <c r="CI19" s="51" t="n">
        <f aca="false">N(AND(CI$3&lt;=$E19,CI$4&gt;=$E19))</f>
        <v>0</v>
      </c>
      <c r="CJ19" s="51" t="n">
        <f aca="false">N(AND(CJ$3&lt;=$E19,CJ$4&gt;=$E19))</f>
        <v>0</v>
      </c>
      <c r="CK19" s="51" t="n">
        <f aca="false">N(AND(CK$3&lt;=$E19,CK$4&gt;=$E19))</f>
        <v>0</v>
      </c>
      <c r="CL19" s="51" t="n">
        <f aca="false">N(AND(CL$3&lt;=$E19,CL$4&gt;=$E19))</f>
        <v>0</v>
      </c>
      <c r="CM19" s="51" t="n">
        <f aca="false">N(AND(CM$3&lt;=$E19,CM$4&gt;=$E19))</f>
        <v>0</v>
      </c>
      <c r="CN19" s="51" t="n">
        <f aca="false">N(AND(CN$3&lt;=$E19,CN$4&gt;=$E19))</f>
        <v>0</v>
      </c>
      <c r="CO19" s="51" t="n">
        <f aca="false">N(AND(CO$3&lt;=$E19,CO$4&gt;=$E19))</f>
        <v>0</v>
      </c>
      <c r="CP19" s="51" t="n">
        <f aca="false">N(AND(CP$3&lt;=$E19,CP$4&gt;=$E19))</f>
        <v>0</v>
      </c>
      <c r="CQ19" s="51" t="n">
        <f aca="false">N(AND(CQ$3&lt;=$E19,CQ$4&gt;=$E19))</f>
        <v>0</v>
      </c>
      <c r="CR19" s="51" t="n">
        <f aca="false">N(AND(CR$3&lt;=$E19,CR$4&gt;=$E19))</f>
        <v>0</v>
      </c>
      <c r="CS19" s="51" t="n">
        <f aca="false">N(AND(CS$3&lt;=$E19,CS$4&gt;=$E19))</f>
        <v>0</v>
      </c>
      <c r="CT19" s="51" t="n">
        <f aca="false">N(AND(CT$3&lt;=$E19,CT$4&gt;=$E19))</f>
        <v>0</v>
      </c>
      <c r="CU19" s="51" t="n">
        <f aca="false">N(AND(CU$3&lt;=$E19,CU$4&gt;=$E19))</f>
        <v>0</v>
      </c>
      <c r="CV19" s="51" t="n">
        <f aca="false">N(AND(CV$3&lt;=$E19,CV$4&gt;=$E19))</f>
        <v>0</v>
      </c>
      <c r="CW19" s="51" t="n">
        <f aca="false">N(AND(CW$3&lt;=$E19,CW$4&gt;=$E19))</f>
        <v>0</v>
      </c>
      <c r="CX19" s="51" t="n">
        <f aca="false">N(AND(CX$3&lt;=$E19,CX$4&gt;=$E19))</f>
        <v>0</v>
      </c>
      <c r="CY19" s="51" t="n">
        <f aca="false">N(AND(CY$3&lt;=$E19,CY$4&gt;=$E19))</f>
        <v>0</v>
      </c>
      <c r="CZ19" s="51" t="n">
        <f aca="false">N(AND(CZ$3&lt;=$E19,CZ$4&gt;=$E19))</f>
        <v>0</v>
      </c>
      <c r="DA19" s="51" t="n">
        <f aca="false">N(AND(DA$3&lt;=$E19,DA$4&gt;=$E19))</f>
        <v>0</v>
      </c>
      <c r="DB19" s="51" t="n">
        <f aca="false">N(AND(DB$3&lt;=$E19,DB$4&gt;=$E19))</f>
        <v>0</v>
      </c>
      <c r="DC19" s="51" t="n">
        <f aca="false">N(AND(DC$3&lt;=$E19,DC$4&gt;=$E19))</f>
        <v>0</v>
      </c>
      <c r="DD19" s="51" t="n">
        <f aca="false">N(AND(DD$3&lt;=$E19,DD$4&gt;=$E19))</f>
        <v>0</v>
      </c>
      <c r="DE19" s="51" t="n">
        <f aca="false">N(AND(DE$3&lt;=$E19,DE$4&gt;=$E19))</f>
        <v>0</v>
      </c>
      <c r="DF19" s="51" t="n">
        <f aca="false">N(AND(DF$3&lt;=$E19,DF$4&gt;=$E19))</f>
        <v>0</v>
      </c>
      <c r="DG19" s="51" t="n">
        <f aca="false">N(AND(DG$3&lt;=$E19,DG$4&gt;=$E19))</f>
        <v>0</v>
      </c>
      <c r="DH19" s="51" t="n">
        <f aca="false">N(AND(DH$3&lt;=$E19,DH$4&gt;=$E19))</f>
        <v>0</v>
      </c>
      <c r="DI19" s="51" t="n">
        <f aca="false">N(AND(DI$3&lt;=$E19,DI$4&gt;=$E19))</f>
        <v>0</v>
      </c>
      <c r="DJ19" s="51" t="n">
        <f aca="false">N(AND(DJ$3&lt;=$E19,DJ$4&gt;=$E19))</f>
        <v>0</v>
      </c>
      <c r="DK19" s="51" t="n">
        <f aca="false">N(AND(DK$3&lt;=$E19,DK$4&gt;=$E19))</f>
        <v>0</v>
      </c>
      <c r="DL19" s="51" t="n">
        <f aca="false">N(AND(DL$3&lt;=$E19,DL$4&gt;=$E19))</f>
        <v>0</v>
      </c>
      <c r="DM19" s="51" t="n">
        <f aca="false">N(AND(DM$3&lt;=$E19,DM$4&gt;=$E19))</f>
        <v>0</v>
      </c>
      <c r="DN19" s="51" t="n">
        <f aca="false">N(AND(DN$3&lt;=$E19,DN$4&gt;=$E19))</f>
        <v>0</v>
      </c>
      <c r="DO19" s="51" t="n">
        <f aca="false">N(AND(DO$3&lt;=$E19,DO$4&gt;=$E19))</f>
        <v>0</v>
      </c>
      <c r="DP19" s="51" t="n">
        <f aca="false">N(AND(DP$3&lt;=$E19,DP$4&gt;=$E19))</f>
        <v>0</v>
      </c>
      <c r="DQ19" s="51" t="n">
        <f aca="false">N(AND(DQ$3&lt;=$E19,DQ$4&gt;=$E19))</f>
        <v>0</v>
      </c>
      <c r="DR19" s="51" t="n">
        <f aca="false">N(AND(DR$3&lt;=$E19,DR$4&gt;=$E19))</f>
        <v>0</v>
      </c>
      <c r="DS19" s="51" t="n">
        <f aca="false">N(AND(DS$3&lt;=$E19,DS$4&gt;=$E19))</f>
        <v>0</v>
      </c>
      <c r="DT19" s="51" t="n">
        <f aca="false">N(AND(DT$3&lt;=$E19,DT$4&gt;=$E19))</f>
        <v>0</v>
      </c>
      <c r="DU19" s="51" t="n">
        <f aca="false">N(AND(DU$3&lt;=$E19,DU$4&gt;=$E19))</f>
        <v>0</v>
      </c>
      <c r="DV19" s="51" t="n">
        <f aca="false">N(AND(DV$3&lt;=$E19,DV$4&gt;=$E19))</f>
        <v>0</v>
      </c>
      <c r="DW19" s="51" t="n">
        <f aca="false">N(AND(DW$3&lt;=$E19,DW$4&gt;=$E19))</f>
        <v>0</v>
      </c>
      <c r="DX19" s="51" t="n">
        <f aca="false">N(AND(DX$3&lt;=$E19,DX$4&gt;=$E19))</f>
        <v>0</v>
      </c>
      <c r="DY19" s="51" t="n">
        <f aca="false">N(AND(DY$3&lt;=$E19,DY$4&gt;=$E19))</f>
        <v>0</v>
      </c>
      <c r="DZ19" s="51" t="n">
        <f aca="false">N(AND(DZ$3&lt;=$E19,DZ$4&gt;=$E19))</f>
        <v>0</v>
      </c>
      <c r="EA19" s="51" t="n">
        <f aca="false">N(AND(EA$3&lt;=$E19,EA$4&gt;=$E19))</f>
        <v>0</v>
      </c>
      <c r="EB19" s="51" t="n">
        <f aca="false">N(AND(EB$3&lt;=$E19,EB$4&gt;=$E19))</f>
        <v>0</v>
      </c>
      <c r="EC19" s="51" t="n">
        <f aca="false">N(AND(EC$3&lt;=$E19,EC$4&gt;=$E19))</f>
        <v>0</v>
      </c>
      <c r="ED19" s="51" t="n">
        <f aca="false">N(AND(ED$3&lt;=$E19,ED$4&gt;=$E19))</f>
        <v>0</v>
      </c>
      <c r="EE19" s="51" t="n">
        <f aca="false">N(AND(EE$3&lt;=$E19,EE$4&gt;=$E19))</f>
        <v>0</v>
      </c>
      <c r="EF19" s="51" t="n">
        <f aca="false">N(AND(EF$3&lt;=$E19,EF$4&gt;=$E19))</f>
        <v>0</v>
      </c>
      <c r="EG19" s="51" t="n">
        <f aca="false">N(AND(EG$3&lt;=$E19,EG$4&gt;=$E19))</f>
        <v>0</v>
      </c>
      <c r="EH19" s="51" t="n">
        <f aca="false">N(AND(EH$3&lt;=$E19,EH$4&gt;=$E19))</f>
        <v>0</v>
      </c>
      <c r="EI19" s="51" t="n">
        <f aca="false">N(AND(EI$3&lt;=$E19,EI$4&gt;=$E19))</f>
        <v>0</v>
      </c>
      <c r="EJ19" s="51" t="n">
        <f aca="false">N(AND(EJ$3&lt;=$E19,EJ$4&gt;=$E19))</f>
        <v>0</v>
      </c>
      <c r="EK19" s="51" t="n">
        <f aca="false">N(AND(EK$3&lt;=$E19,EK$4&gt;=$E19))</f>
        <v>0</v>
      </c>
      <c r="EL19" s="51" t="n">
        <f aca="false">N(AND(EL$3&lt;=$E19,EL$4&gt;=$E19))</f>
        <v>0</v>
      </c>
      <c r="EM19" s="51" t="n">
        <f aca="false">N(AND(EM$3&lt;=$E19,EM$4&gt;=$E19))</f>
        <v>0</v>
      </c>
      <c r="EN19" s="51" t="n">
        <f aca="false">N(AND(EN$3&lt;=$E19,EN$4&gt;=$E19))</f>
        <v>0</v>
      </c>
      <c r="EO19" s="51" t="n">
        <f aca="false">N(AND(EO$3&lt;=$E19,EO$4&gt;=$E19))</f>
        <v>0</v>
      </c>
    </row>
    <row r="20" customFormat="false" ht="15" hidden="false" customHeight="false" outlineLevel="0" collapsed="false">
      <c r="C20" s="1" t="s">
        <v>422</v>
      </c>
      <c r="D20" s="12" t="s">
        <v>411</v>
      </c>
      <c r="E20" s="47" t="n">
        <f aca="false">In_COD+1</f>
        <v>47757</v>
      </c>
      <c r="F20" s="47" t="n">
        <f aca="false">EDATE(In_COD,In_Dep_Years*Months_In_Year)</f>
        <v>55061</v>
      </c>
      <c r="I20" s="56" t="n">
        <f aca="false">SUM(J20:EO20)</f>
        <v>1</v>
      </c>
      <c r="J20" s="56" t="n">
        <f aca="false">MAX(0,MIN($F20,J$4)-MAX($E20,J$3)+1)/($F20-$E20+1)</f>
        <v>0</v>
      </c>
      <c r="K20" s="56" t="n">
        <f aca="false">MAX(0,MIN($F20,K$4)-MAX($E20,K$3)+1)/($F20-$E20+1)</f>
        <v>0</v>
      </c>
      <c r="L20" s="56" t="n">
        <f aca="false">MAX(0,MIN($F20,L$4)-MAX($E20,L$3)+1)/($F20-$E20+1)</f>
        <v>0</v>
      </c>
      <c r="M20" s="56" t="n">
        <f aca="false">MAX(0,MIN($F20,M$4)-MAX($E20,M$3)+1)/($F20-$E20+1)</f>
        <v>0</v>
      </c>
      <c r="N20" s="56" t="n">
        <f aca="false">MAX(0,MIN($F20,N$4)-MAX($E20,N$3)+1)/($F20-$E20+1)</f>
        <v>0</v>
      </c>
      <c r="O20" s="56" t="n">
        <f aca="false">MAX(0,MIN($F20,O$4)-MAX($E20,O$3)+1)/($F20-$E20+1)</f>
        <v>0</v>
      </c>
      <c r="P20" s="56" t="n">
        <f aca="false">MAX(0,MIN($F20,P$4)-MAX($E20,P$3)+1)/($F20-$E20+1)</f>
        <v>0</v>
      </c>
      <c r="Q20" s="56" t="n">
        <f aca="false">MAX(0,MIN($F20,Q$4)-MAX($E20,Q$3)+1)/($F20-$E20+1)</f>
        <v>0</v>
      </c>
      <c r="R20" s="56" t="n">
        <f aca="false">MAX(0,MIN($F20,R$4)-MAX($E20,R$3)+1)/($F20-$E20+1)</f>
        <v>0</v>
      </c>
      <c r="S20" s="56" t="n">
        <f aca="false">MAX(0,MIN($F20,S$4)-MAX($E20,S$3)+1)/($F20-$E20+1)</f>
        <v>0</v>
      </c>
      <c r="T20" s="56" t="n">
        <f aca="false">MAX(0,MIN($F20,T$4)-MAX($E20,T$3)+1)/($F20-$E20+1)</f>
        <v>0</v>
      </c>
      <c r="U20" s="56" t="n">
        <f aca="false">MAX(0,MIN($F20,U$4)-MAX($E20,U$3)+1)/($F20-$E20+1)</f>
        <v>0</v>
      </c>
      <c r="V20" s="56" t="n">
        <f aca="false">MAX(0,MIN($F20,V$4)-MAX($E20,V$3)+1)/($F20-$E20+1)</f>
        <v>0</v>
      </c>
      <c r="W20" s="56" t="n">
        <f aca="false">MAX(0,MIN($F20,W$4)-MAX($E20,W$3)+1)/($F20-$E20+1)</f>
        <v>0</v>
      </c>
      <c r="X20" s="56" t="n">
        <f aca="false">MAX(0,MIN($F20,X$4)-MAX($E20,X$3)+1)/($F20-$E20+1)</f>
        <v>0</v>
      </c>
      <c r="Y20" s="56" t="n">
        <f aca="false">MAX(0,MIN($F20,Y$4)-MAX($E20,Y$3)+1)/($F20-$E20+1)</f>
        <v>0</v>
      </c>
      <c r="Z20" s="56" t="n">
        <f aca="false">MAX(0,MIN($F20,Z$4)-MAX($E20,Z$3)+1)/($F20-$E20+1)</f>
        <v>0.0125941136208077</v>
      </c>
      <c r="AA20" s="56" t="n">
        <f aca="false">MAX(0,MIN($F20,AA$4)-MAX($E20,AA$3)+1)/($F20-$E20+1)</f>
        <v>0.0123203285420945</v>
      </c>
      <c r="AB20" s="56" t="n">
        <f aca="false">MAX(0,MIN($F20,AB$4)-MAX($E20,AB$3)+1)/($F20-$E20+1)</f>
        <v>0.0124572210814511</v>
      </c>
      <c r="AC20" s="56" t="n">
        <f aca="false">MAX(0,MIN($F20,AC$4)-MAX($E20,AC$3)+1)/($F20-$E20+1)</f>
        <v>0.0125941136208077</v>
      </c>
      <c r="AD20" s="56" t="n">
        <f aca="false">MAX(0,MIN($F20,AD$4)-MAX($E20,AD$3)+1)/($F20-$E20+1)</f>
        <v>0.0125941136208077</v>
      </c>
      <c r="AE20" s="56" t="n">
        <f aca="false">MAX(0,MIN($F20,AE$4)-MAX($E20,AE$3)+1)/($F20-$E20+1)</f>
        <v>0.0124572210814511</v>
      </c>
      <c r="AF20" s="56" t="n">
        <f aca="false">MAX(0,MIN($F20,AF$4)-MAX($E20,AF$3)+1)/($F20-$E20+1)</f>
        <v>0.0124572210814511</v>
      </c>
      <c r="AG20" s="56" t="n">
        <f aca="false">MAX(0,MIN($F20,AG$4)-MAX($E20,AG$3)+1)/($F20-$E20+1)</f>
        <v>0.0125941136208077</v>
      </c>
      <c r="AH20" s="56" t="n">
        <f aca="false">MAX(0,MIN($F20,AH$4)-MAX($E20,AH$3)+1)/($F20-$E20+1)</f>
        <v>0.0125941136208077</v>
      </c>
      <c r="AI20" s="56" t="n">
        <f aca="false">MAX(0,MIN($F20,AI$4)-MAX($E20,AI$3)+1)/($F20-$E20+1)</f>
        <v>0.0123203285420945</v>
      </c>
      <c r="AJ20" s="56" t="n">
        <f aca="false">MAX(0,MIN($F20,AJ$4)-MAX($E20,AJ$3)+1)/($F20-$E20+1)</f>
        <v>0.0124572210814511</v>
      </c>
      <c r="AK20" s="56" t="n">
        <f aca="false">MAX(0,MIN($F20,AK$4)-MAX($E20,AK$3)+1)/($F20-$E20+1)</f>
        <v>0.0125941136208077</v>
      </c>
      <c r="AL20" s="56" t="n">
        <f aca="false">MAX(0,MIN($F20,AL$4)-MAX($E20,AL$3)+1)/($F20-$E20+1)</f>
        <v>0.0125941136208077</v>
      </c>
      <c r="AM20" s="56" t="n">
        <f aca="false">MAX(0,MIN($F20,AM$4)-MAX($E20,AM$3)+1)/($F20-$E20+1)</f>
        <v>0.0123203285420945</v>
      </c>
      <c r="AN20" s="56" t="n">
        <f aca="false">MAX(0,MIN($F20,AN$4)-MAX($E20,AN$3)+1)/($F20-$E20+1)</f>
        <v>0.0124572210814511</v>
      </c>
      <c r="AO20" s="56" t="n">
        <f aca="false">MAX(0,MIN($F20,AO$4)-MAX($E20,AO$3)+1)/($F20-$E20+1)</f>
        <v>0.0125941136208077</v>
      </c>
      <c r="AP20" s="56" t="n">
        <f aca="false">MAX(0,MIN($F20,AP$4)-MAX($E20,AP$3)+1)/($F20-$E20+1)</f>
        <v>0.0125941136208077</v>
      </c>
      <c r="AQ20" s="56" t="n">
        <f aca="false">MAX(0,MIN($F20,AQ$4)-MAX($E20,AQ$3)+1)/($F20-$E20+1)</f>
        <v>0.0123203285420945</v>
      </c>
      <c r="AR20" s="56" t="n">
        <f aca="false">MAX(0,MIN($F20,AR$4)-MAX($E20,AR$3)+1)/($F20-$E20+1)</f>
        <v>0.0124572210814511</v>
      </c>
      <c r="AS20" s="56" t="n">
        <f aca="false">MAX(0,MIN($F20,AS$4)-MAX($E20,AS$3)+1)/($F20-$E20+1)</f>
        <v>0.0125941136208077</v>
      </c>
      <c r="AT20" s="56" t="n">
        <f aca="false">MAX(0,MIN($F20,AT$4)-MAX($E20,AT$3)+1)/($F20-$E20+1)</f>
        <v>0.0125941136208077</v>
      </c>
      <c r="AU20" s="56" t="n">
        <f aca="false">MAX(0,MIN($F20,AU$4)-MAX($E20,AU$3)+1)/($F20-$E20+1)</f>
        <v>0.0124572210814511</v>
      </c>
      <c r="AV20" s="56" t="n">
        <f aca="false">MAX(0,MIN($F20,AV$4)-MAX($E20,AV$3)+1)/($F20-$E20+1)</f>
        <v>0.0124572210814511</v>
      </c>
      <c r="AW20" s="56" t="n">
        <f aca="false">MAX(0,MIN($F20,AW$4)-MAX($E20,AW$3)+1)/($F20-$E20+1)</f>
        <v>0.0125941136208077</v>
      </c>
      <c r="AX20" s="56" t="n">
        <f aca="false">MAX(0,MIN($F20,AX$4)-MAX($E20,AX$3)+1)/($F20-$E20+1)</f>
        <v>0.0125941136208077</v>
      </c>
      <c r="AY20" s="56" t="n">
        <f aca="false">MAX(0,MIN($F20,AY$4)-MAX($E20,AY$3)+1)/($F20-$E20+1)</f>
        <v>0.0123203285420945</v>
      </c>
      <c r="AZ20" s="56" t="n">
        <f aca="false">MAX(0,MIN($F20,AZ$4)-MAX($E20,AZ$3)+1)/($F20-$E20+1)</f>
        <v>0.0124572210814511</v>
      </c>
      <c r="BA20" s="56" t="n">
        <f aca="false">MAX(0,MIN($F20,BA$4)-MAX($E20,BA$3)+1)/($F20-$E20+1)</f>
        <v>0.0125941136208077</v>
      </c>
      <c r="BB20" s="56" t="n">
        <f aca="false">MAX(0,MIN($F20,BB$4)-MAX($E20,BB$3)+1)/($F20-$E20+1)</f>
        <v>0.0125941136208077</v>
      </c>
      <c r="BC20" s="56" t="n">
        <f aca="false">MAX(0,MIN($F20,BC$4)-MAX($E20,BC$3)+1)/($F20-$E20+1)</f>
        <v>0.0123203285420945</v>
      </c>
      <c r="BD20" s="56" t="n">
        <f aca="false">MAX(0,MIN($F20,BD$4)-MAX($E20,BD$3)+1)/($F20-$E20+1)</f>
        <v>0.0124572210814511</v>
      </c>
      <c r="BE20" s="56" t="n">
        <f aca="false">MAX(0,MIN($F20,BE$4)-MAX($E20,BE$3)+1)/($F20-$E20+1)</f>
        <v>0.0125941136208077</v>
      </c>
      <c r="BF20" s="56" t="n">
        <f aca="false">MAX(0,MIN($F20,BF$4)-MAX($E20,BF$3)+1)/($F20-$E20+1)</f>
        <v>0.0125941136208077</v>
      </c>
      <c r="BG20" s="56" t="n">
        <f aca="false">MAX(0,MIN($F20,BG$4)-MAX($E20,BG$3)+1)/($F20-$E20+1)</f>
        <v>0.0123203285420945</v>
      </c>
      <c r="BH20" s="56" t="n">
        <f aca="false">MAX(0,MIN($F20,BH$4)-MAX($E20,BH$3)+1)/($F20-$E20+1)</f>
        <v>0.0124572210814511</v>
      </c>
      <c r="BI20" s="56" t="n">
        <f aca="false">MAX(0,MIN($F20,BI$4)-MAX($E20,BI$3)+1)/($F20-$E20+1)</f>
        <v>0.0125941136208077</v>
      </c>
      <c r="BJ20" s="56" t="n">
        <f aca="false">MAX(0,MIN($F20,BJ$4)-MAX($E20,BJ$3)+1)/($F20-$E20+1)</f>
        <v>0.0125941136208077</v>
      </c>
      <c r="BK20" s="56" t="n">
        <f aca="false">MAX(0,MIN($F20,BK$4)-MAX($E20,BK$3)+1)/($F20-$E20+1)</f>
        <v>0.0124572210814511</v>
      </c>
      <c r="BL20" s="56" t="n">
        <f aca="false">MAX(0,MIN($F20,BL$4)-MAX($E20,BL$3)+1)/($F20-$E20+1)</f>
        <v>0.0124572210814511</v>
      </c>
      <c r="BM20" s="56" t="n">
        <f aca="false">MAX(0,MIN($F20,BM$4)-MAX($E20,BM$3)+1)/($F20-$E20+1)</f>
        <v>0.0125941136208077</v>
      </c>
      <c r="BN20" s="56" t="n">
        <f aca="false">MAX(0,MIN($F20,BN$4)-MAX($E20,BN$3)+1)/($F20-$E20+1)</f>
        <v>0.0125941136208077</v>
      </c>
      <c r="BO20" s="56" t="n">
        <f aca="false">MAX(0,MIN($F20,BO$4)-MAX($E20,BO$3)+1)/($F20-$E20+1)</f>
        <v>0.0123203285420945</v>
      </c>
      <c r="BP20" s="56" t="n">
        <f aca="false">MAX(0,MIN($F20,BP$4)-MAX($E20,BP$3)+1)/($F20-$E20+1)</f>
        <v>0.0124572210814511</v>
      </c>
      <c r="BQ20" s="56" t="n">
        <f aca="false">MAX(0,MIN($F20,BQ$4)-MAX($E20,BQ$3)+1)/($F20-$E20+1)</f>
        <v>0.0125941136208077</v>
      </c>
      <c r="BR20" s="56" t="n">
        <f aca="false">MAX(0,MIN($F20,BR$4)-MAX($E20,BR$3)+1)/($F20-$E20+1)</f>
        <v>0.0125941136208077</v>
      </c>
      <c r="BS20" s="56" t="n">
        <f aca="false">MAX(0,MIN($F20,BS$4)-MAX($E20,BS$3)+1)/($F20-$E20+1)</f>
        <v>0.0123203285420945</v>
      </c>
      <c r="BT20" s="56" t="n">
        <f aca="false">MAX(0,MIN($F20,BT$4)-MAX($E20,BT$3)+1)/($F20-$E20+1)</f>
        <v>0.0124572210814511</v>
      </c>
      <c r="BU20" s="56" t="n">
        <f aca="false">MAX(0,MIN($F20,BU$4)-MAX($E20,BU$3)+1)/($F20-$E20+1)</f>
        <v>0.0125941136208077</v>
      </c>
      <c r="BV20" s="56" t="n">
        <f aca="false">MAX(0,MIN($F20,BV$4)-MAX($E20,BV$3)+1)/($F20-$E20+1)</f>
        <v>0.0125941136208077</v>
      </c>
      <c r="BW20" s="56" t="n">
        <f aca="false">MAX(0,MIN($F20,BW$4)-MAX($E20,BW$3)+1)/($F20-$E20+1)</f>
        <v>0.0123203285420945</v>
      </c>
      <c r="BX20" s="56" t="n">
        <f aca="false">MAX(0,MIN($F20,BX$4)-MAX($E20,BX$3)+1)/($F20-$E20+1)</f>
        <v>0.0124572210814511</v>
      </c>
      <c r="BY20" s="56" t="n">
        <f aca="false">MAX(0,MIN($F20,BY$4)-MAX($E20,BY$3)+1)/($F20-$E20+1)</f>
        <v>0.0125941136208077</v>
      </c>
      <c r="BZ20" s="56" t="n">
        <f aca="false">MAX(0,MIN($F20,BZ$4)-MAX($E20,BZ$3)+1)/($F20-$E20+1)</f>
        <v>0.0125941136208077</v>
      </c>
      <c r="CA20" s="56" t="n">
        <f aca="false">MAX(0,MIN($F20,CA$4)-MAX($E20,CA$3)+1)/($F20-$E20+1)</f>
        <v>0.0124572210814511</v>
      </c>
      <c r="CB20" s="56" t="n">
        <f aca="false">MAX(0,MIN($F20,CB$4)-MAX($E20,CB$3)+1)/($F20-$E20+1)</f>
        <v>0.0124572210814511</v>
      </c>
      <c r="CC20" s="56" t="n">
        <f aca="false">MAX(0,MIN($F20,CC$4)-MAX($E20,CC$3)+1)/($F20-$E20+1)</f>
        <v>0.0125941136208077</v>
      </c>
      <c r="CD20" s="56" t="n">
        <f aca="false">MAX(0,MIN($F20,CD$4)-MAX($E20,CD$3)+1)/($F20-$E20+1)</f>
        <v>0.0125941136208077</v>
      </c>
      <c r="CE20" s="56" t="n">
        <f aca="false">MAX(0,MIN($F20,CE$4)-MAX($E20,CE$3)+1)/($F20-$E20+1)</f>
        <v>0.0123203285420945</v>
      </c>
      <c r="CF20" s="56" t="n">
        <f aca="false">MAX(0,MIN($F20,CF$4)-MAX($E20,CF$3)+1)/($F20-$E20+1)</f>
        <v>0.0124572210814511</v>
      </c>
      <c r="CG20" s="56" t="n">
        <f aca="false">MAX(0,MIN($F20,CG$4)-MAX($E20,CG$3)+1)/($F20-$E20+1)</f>
        <v>0.0125941136208077</v>
      </c>
      <c r="CH20" s="56" t="n">
        <f aca="false">MAX(0,MIN($F20,CH$4)-MAX($E20,CH$3)+1)/($F20-$E20+1)</f>
        <v>0.0125941136208077</v>
      </c>
      <c r="CI20" s="56" t="n">
        <f aca="false">MAX(0,MIN($F20,CI$4)-MAX($E20,CI$3)+1)/($F20-$E20+1)</f>
        <v>0.0123203285420945</v>
      </c>
      <c r="CJ20" s="56" t="n">
        <f aca="false">MAX(0,MIN($F20,CJ$4)-MAX($E20,CJ$3)+1)/($F20-$E20+1)</f>
        <v>0.0124572210814511</v>
      </c>
      <c r="CK20" s="56" t="n">
        <f aca="false">MAX(0,MIN($F20,CK$4)-MAX($E20,CK$3)+1)/($F20-$E20+1)</f>
        <v>0.0125941136208077</v>
      </c>
      <c r="CL20" s="56" t="n">
        <f aca="false">MAX(0,MIN($F20,CL$4)-MAX($E20,CL$3)+1)/($F20-$E20+1)</f>
        <v>0.0125941136208077</v>
      </c>
      <c r="CM20" s="56" t="n">
        <f aca="false">MAX(0,MIN($F20,CM$4)-MAX($E20,CM$3)+1)/($F20-$E20+1)</f>
        <v>0.0123203285420945</v>
      </c>
      <c r="CN20" s="56" t="n">
        <f aca="false">MAX(0,MIN($F20,CN$4)-MAX($E20,CN$3)+1)/($F20-$E20+1)</f>
        <v>0.0124572210814511</v>
      </c>
      <c r="CO20" s="56" t="n">
        <f aca="false">MAX(0,MIN($F20,CO$4)-MAX($E20,CO$3)+1)/($F20-$E20+1)</f>
        <v>0.0125941136208077</v>
      </c>
      <c r="CP20" s="56" t="n">
        <f aca="false">MAX(0,MIN($F20,CP$4)-MAX($E20,CP$3)+1)/($F20-$E20+1)</f>
        <v>0.0125941136208077</v>
      </c>
      <c r="CQ20" s="56" t="n">
        <f aca="false">MAX(0,MIN($F20,CQ$4)-MAX($E20,CQ$3)+1)/($F20-$E20+1)</f>
        <v>0.0124572210814511</v>
      </c>
      <c r="CR20" s="56" t="n">
        <f aca="false">MAX(0,MIN($F20,CR$4)-MAX($E20,CR$3)+1)/($F20-$E20+1)</f>
        <v>0.0124572210814511</v>
      </c>
      <c r="CS20" s="56" t="n">
        <f aca="false">MAX(0,MIN($F20,CS$4)-MAX($E20,CS$3)+1)/($F20-$E20+1)</f>
        <v>0.0125941136208077</v>
      </c>
      <c r="CT20" s="56" t="n">
        <f aca="false">MAX(0,MIN($F20,CT$4)-MAX($E20,CT$3)+1)/($F20-$E20+1)</f>
        <v>0.0125941136208077</v>
      </c>
      <c r="CU20" s="56" t="n">
        <f aca="false">MAX(0,MIN($F20,CU$4)-MAX($E20,CU$3)+1)/($F20-$E20+1)</f>
        <v>0.0123203285420945</v>
      </c>
      <c r="CV20" s="56" t="n">
        <f aca="false">MAX(0,MIN($F20,CV$4)-MAX($E20,CV$3)+1)/($F20-$E20+1)</f>
        <v>0.0124572210814511</v>
      </c>
      <c r="CW20" s="56" t="n">
        <f aca="false">MAX(0,MIN($F20,CW$4)-MAX($E20,CW$3)+1)/($F20-$E20+1)</f>
        <v>0.0125941136208077</v>
      </c>
      <c r="CX20" s="56" t="n">
        <f aca="false">MAX(0,MIN($F20,CX$4)-MAX($E20,CX$3)+1)/($F20-$E20+1)</f>
        <v>0.0125941136208077</v>
      </c>
      <c r="CY20" s="56" t="n">
        <f aca="false">MAX(0,MIN($F20,CY$4)-MAX($E20,CY$3)+1)/($F20-$E20+1)</f>
        <v>0.0123203285420945</v>
      </c>
      <c r="CZ20" s="56" t="n">
        <f aca="false">MAX(0,MIN($F20,CZ$4)-MAX($E20,CZ$3)+1)/($F20-$E20+1)</f>
        <v>0.0124572210814511</v>
      </c>
      <c r="DA20" s="56" t="n">
        <f aca="false">MAX(0,MIN($F20,DA$4)-MAX($E20,DA$3)+1)/($F20-$E20+1)</f>
        <v>0.0125941136208077</v>
      </c>
      <c r="DB20" s="56" t="n">
        <f aca="false">MAX(0,MIN($F20,DB$4)-MAX($E20,DB$3)+1)/($F20-$E20+1)</f>
        <v>0</v>
      </c>
      <c r="DC20" s="56" t="n">
        <f aca="false">MAX(0,MIN($F20,DC$4)-MAX($E20,DC$3)+1)/($F20-$E20+1)</f>
        <v>0</v>
      </c>
      <c r="DD20" s="56" t="n">
        <f aca="false">MAX(0,MIN($F20,DD$4)-MAX($E20,DD$3)+1)/($F20-$E20+1)</f>
        <v>0</v>
      </c>
      <c r="DE20" s="56" t="n">
        <f aca="false">MAX(0,MIN($F20,DE$4)-MAX($E20,DE$3)+1)/($F20-$E20+1)</f>
        <v>0</v>
      </c>
      <c r="DF20" s="56" t="n">
        <f aca="false">MAX(0,MIN($F20,DF$4)-MAX($E20,DF$3)+1)/($F20-$E20+1)</f>
        <v>0</v>
      </c>
      <c r="DG20" s="56" t="n">
        <f aca="false">MAX(0,MIN($F20,DG$4)-MAX($E20,DG$3)+1)/($F20-$E20+1)</f>
        <v>0</v>
      </c>
      <c r="DH20" s="56" t="n">
        <f aca="false">MAX(0,MIN($F20,DH$4)-MAX($E20,DH$3)+1)/($F20-$E20+1)</f>
        <v>0</v>
      </c>
      <c r="DI20" s="56" t="n">
        <f aca="false">MAX(0,MIN($F20,DI$4)-MAX($E20,DI$3)+1)/($F20-$E20+1)</f>
        <v>0</v>
      </c>
      <c r="DJ20" s="56" t="n">
        <f aca="false">MAX(0,MIN($F20,DJ$4)-MAX($E20,DJ$3)+1)/($F20-$E20+1)</f>
        <v>0</v>
      </c>
      <c r="DK20" s="56" t="n">
        <f aca="false">MAX(0,MIN($F20,DK$4)-MAX($E20,DK$3)+1)/($F20-$E20+1)</f>
        <v>0</v>
      </c>
      <c r="DL20" s="56" t="n">
        <f aca="false">MAX(0,MIN($F20,DL$4)-MAX($E20,DL$3)+1)/($F20-$E20+1)</f>
        <v>0</v>
      </c>
      <c r="DM20" s="56" t="n">
        <f aca="false">MAX(0,MIN($F20,DM$4)-MAX($E20,DM$3)+1)/($F20-$E20+1)</f>
        <v>0</v>
      </c>
      <c r="DN20" s="56" t="n">
        <f aca="false">MAX(0,MIN($F20,DN$4)-MAX($E20,DN$3)+1)/($F20-$E20+1)</f>
        <v>0</v>
      </c>
      <c r="DO20" s="56" t="n">
        <f aca="false">MAX(0,MIN($F20,DO$4)-MAX($E20,DO$3)+1)/($F20-$E20+1)</f>
        <v>0</v>
      </c>
      <c r="DP20" s="56" t="n">
        <f aca="false">MAX(0,MIN($F20,DP$4)-MAX($E20,DP$3)+1)/($F20-$E20+1)</f>
        <v>0</v>
      </c>
      <c r="DQ20" s="56" t="n">
        <f aca="false">MAX(0,MIN($F20,DQ$4)-MAX($E20,DQ$3)+1)/($F20-$E20+1)</f>
        <v>0</v>
      </c>
      <c r="DR20" s="56" t="n">
        <f aca="false">MAX(0,MIN($F20,DR$4)-MAX($E20,DR$3)+1)/($F20-$E20+1)</f>
        <v>0</v>
      </c>
      <c r="DS20" s="56" t="n">
        <f aca="false">MAX(0,MIN($F20,DS$4)-MAX($E20,DS$3)+1)/($F20-$E20+1)</f>
        <v>0</v>
      </c>
      <c r="DT20" s="56" t="n">
        <f aca="false">MAX(0,MIN($F20,DT$4)-MAX($E20,DT$3)+1)/($F20-$E20+1)</f>
        <v>0</v>
      </c>
      <c r="DU20" s="56" t="n">
        <f aca="false">MAX(0,MIN($F20,DU$4)-MAX($E20,DU$3)+1)/($F20-$E20+1)</f>
        <v>0</v>
      </c>
      <c r="DV20" s="56" t="n">
        <f aca="false">MAX(0,MIN($F20,DV$4)-MAX($E20,DV$3)+1)/($F20-$E20+1)</f>
        <v>0</v>
      </c>
      <c r="DW20" s="56" t="n">
        <f aca="false">MAX(0,MIN($F20,DW$4)-MAX($E20,DW$3)+1)/($F20-$E20+1)</f>
        <v>0</v>
      </c>
      <c r="DX20" s="56" t="n">
        <f aca="false">MAX(0,MIN($F20,DX$4)-MAX($E20,DX$3)+1)/($F20-$E20+1)</f>
        <v>0</v>
      </c>
      <c r="DY20" s="56" t="n">
        <f aca="false">MAX(0,MIN($F20,DY$4)-MAX($E20,DY$3)+1)/($F20-$E20+1)</f>
        <v>0</v>
      </c>
      <c r="DZ20" s="56" t="n">
        <f aca="false">MAX(0,MIN($F20,DZ$4)-MAX($E20,DZ$3)+1)/($F20-$E20+1)</f>
        <v>0</v>
      </c>
      <c r="EA20" s="56" t="n">
        <f aca="false">MAX(0,MIN($F20,EA$4)-MAX($E20,EA$3)+1)/($F20-$E20+1)</f>
        <v>0</v>
      </c>
      <c r="EB20" s="56" t="n">
        <f aca="false">MAX(0,MIN($F20,EB$4)-MAX($E20,EB$3)+1)/($F20-$E20+1)</f>
        <v>0</v>
      </c>
      <c r="EC20" s="56" t="n">
        <f aca="false">MAX(0,MIN($F20,EC$4)-MAX($E20,EC$3)+1)/($F20-$E20+1)</f>
        <v>0</v>
      </c>
      <c r="ED20" s="56" t="n">
        <f aca="false">MAX(0,MIN($F20,ED$4)-MAX($E20,ED$3)+1)/($F20-$E20+1)</f>
        <v>0</v>
      </c>
      <c r="EE20" s="56" t="n">
        <f aca="false">MAX(0,MIN($F20,EE$4)-MAX($E20,EE$3)+1)/($F20-$E20+1)</f>
        <v>0</v>
      </c>
      <c r="EF20" s="56" t="n">
        <f aca="false">MAX(0,MIN($F20,EF$4)-MAX($E20,EF$3)+1)/($F20-$E20+1)</f>
        <v>0</v>
      </c>
      <c r="EG20" s="56" t="n">
        <f aca="false">MAX(0,MIN($F20,EG$4)-MAX($E20,EG$3)+1)/($F20-$E20+1)</f>
        <v>0</v>
      </c>
      <c r="EH20" s="56" t="n">
        <f aca="false">MAX(0,MIN($F20,EH$4)-MAX($E20,EH$3)+1)/($F20-$E20+1)</f>
        <v>0</v>
      </c>
      <c r="EI20" s="56" t="n">
        <f aca="false">MAX(0,MIN($F20,EI$4)-MAX($E20,EI$3)+1)/($F20-$E20+1)</f>
        <v>0</v>
      </c>
      <c r="EJ20" s="56" t="n">
        <f aca="false">MAX(0,MIN($F20,EJ$4)-MAX($E20,EJ$3)+1)/($F20-$E20+1)</f>
        <v>0</v>
      </c>
      <c r="EK20" s="56" t="n">
        <f aca="false">MAX(0,MIN($F20,EK$4)-MAX($E20,EK$3)+1)/($F20-$E20+1)</f>
        <v>0</v>
      </c>
      <c r="EL20" s="56" t="n">
        <f aca="false">MAX(0,MIN($F20,EL$4)-MAX($E20,EL$3)+1)/($F20-$E20+1)</f>
        <v>0</v>
      </c>
      <c r="EM20" s="56" t="n">
        <f aca="false">MAX(0,MIN($F20,EM$4)-MAX($E20,EM$3)+1)/($F20-$E20+1)</f>
        <v>0</v>
      </c>
      <c r="EN20" s="56" t="n">
        <f aca="false">MAX(0,MIN($F20,EN$4)-MAX($E20,EN$3)+1)/($F20-$E20+1)</f>
        <v>0</v>
      </c>
      <c r="EO20" s="56" t="n">
        <f aca="false">MAX(0,MIN($F20,EO$4)-MAX($E20,EO$3)+1)/($F20-$E20+1)</f>
        <v>0</v>
      </c>
    </row>
    <row r="21" customFormat="false" ht="15" hidden="false" customHeight="false" outlineLevel="0" collapsed="false">
      <c r="C21" s="1" t="s">
        <v>423</v>
      </c>
      <c r="D21" s="12" t="s">
        <v>150</v>
      </c>
      <c r="J21" s="45" t="n">
        <f aca="false">ROUNDUP(YEARFRAC(In_COD,J$4),0)*(J$4&gt;In_COD)</f>
        <v>0</v>
      </c>
      <c r="K21" s="45" t="n">
        <f aca="false">ROUNDUP(YEARFRAC(In_COD,K$4),0)*(K$4&gt;In_COD)</f>
        <v>0</v>
      </c>
      <c r="L21" s="45" t="n">
        <f aca="false">ROUNDUP(YEARFRAC(In_COD,L$4),0)*(L$4&gt;In_COD)</f>
        <v>0</v>
      </c>
      <c r="M21" s="45" t="n">
        <f aca="false">ROUNDUP(YEARFRAC(In_COD,M$4),0)*(M$4&gt;In_COD)</f>
        <v>0</v>
      </c>
      <c r="N21" s="45" t="n">
        <f aca="false">ROUNDUP(YEARFRAC(In_COD,N$4),0)*(N$4&gt;In_COD)</f>
        <v>0</v>
      </c>
      <c r="O21" s="45" t="n">
        <f aca="false">ROUNDUP(YEARFRAC(In_COD,O$4),0)*(O$4&gt;In_COD)</f>
        <v>0</v>
      </c>
      <c r="P21" s="45" t="n">
        <f aca="false">ROUNDUP(YEARFRAC(In_COD,P$4),0)*(P$4&gt;In_COD)</f>
        <v>0</v>
      </c>
      <c r="Q21" s="45" t="n">
        <f aca="false">ROUNDUP(YEARFRAC(In_COD,Q$4),0)*(Q$4&gt;In_COD)</f>
        <v>0</v>
      </c>
      <c r="R21" s="45" t="n">
        <f aca="false">ROUNDUP(YEARFRAC(In_COD,R$4),0)*(R$4&gt;In_COD)</f>
        <v>0</v>
      </c>
      <c r="S21" s="45" t="n">
        <f aca="false">ROUNDUP(YEARFRAC(In_COD,S$4),0)*(S$4&gt;In_COD)</f>
        <v>0</v>
      </c>
      <c r="T21" s="45" t="n">
        <f aca="false">ROUNDUP(YEARFRAC(In_COD,T$4),0)*(T$4&gt;In_COD)</f>
        <v>0</v>
      </c>
      <c r="U21" s="45" t="n">
        <f aca="false">ROUNDUP(YEARFRAC(In_COD,U$4),0)*(U$4&gt;In_COD)</f>
        <v>0</v>
      </c>
      <c r="V21" s="45" t="n">
        <f aca="false">ROUNDUP(YEARFRAC(In_COD,V$4),0)*(V$4&gt;In_COD)</f>
        <v>0</v>
      </c>
      <c r="W21" s="45" t="n">
        <f aca="false">ROUNDUP(YEARFRAC(In_COD,W$4),0)*(W$4&gt;In_COD)</f>
        <v>0</v>
      </c>
      <c r="X21" s="45" t="n">
        <f aca="false">ROUNDUP(YEARFRAC(In_COD,X$4),0)*(X$4&gt;In_COD)</f>
        <v>0</v>
      </c>
      <c r="Y21" s="45" t="n">
        <f aca="false">ROUNDUP(YEARFRAC(In_COD,Y$4),0)*(Y$4&gt;In_COD)</f>
        <v>0</v>
      </c>
      <c r="Z21" s="45" t="n">
        <f aca="false">ROUNDUP(YEARFRAC(In_COD,Z$4),0)*(Z$4&gt;In_COD)</f>
        <v>1</v>
      </c>
      <c r="AA21" s="45" t="n">
        <f aca="false">ROUNDUP(YEARFRAC(In_COD,AA$4),0)*(AA$4&gt;In_COD)</f>
        <v>1</v>
      </c>
      <c r="AB21" s="45" t="n">
        <f aca="false">ROUNDUP(YEARFRAC(In_COD,AB$4),0)*(AB$4&gt;In_COD)</f>
        <v>1</v>
      </c>
      <c r="AC21" s="45" t="n">
        <f aca="false">ROUNDUP(YEARFRAC(In_COD,AC$4),0)*(AC$4&gt;In_COD)</f>
        <v>1</v>
      </c>
      <c r="AD21" s="45" t="n">
        <f aca="false">ROUNDUP(YEARFRAC(In_COD,AD$4),0)*(AD$4&gt;In_COD)</f>
        <v>2</v>
      </c>
      <c r="AE21" s="45" t="n">
        <f aca="false">ROUNDUP(YEARFRAC(In_COD,AE$4),0)*(AE$4&gt;In_COD)</f>
        <v>2</v>
      </c>
      <c r="AF21" s="45" t="n">
        <f aca="false">ROUNDUP(YEARFRAC(In_COD,AF$4),0)*(AF$4&gt;In_COD)</f>
        <v>2</v>
      </c>
      <c r="AG21" s="45" t="n">
        <f aca="false">ROUNDUP(YEARFRAC(In_COD,AG$4),0)*(AG$4&gt;In_COD)</f>
        <v>2</v>
      </c>
      <c r="AH21" s="45" t="n">
        <f aca="false">ROUNDUP(YEARFRAC(In_COD,AH$4),0)*(AH$4&gt;In_COD)</f>
        <v>3</v>
      </c>
      <c r="AI21" s="45" t="n">
        <f aca="false">ROUNDUP(YEARFRAC(In_COD,AI$4),0)*(AI$4&gt;In_COD)</f>
        <v>3</v>
      </c>
      <c r="AJ21" s="45" t="n">
        <f aca="false">ROUNDUP(YEARFRAC(In_COD,AJ$4),0)*(AJ$4&gt;In_COD)</f>
        <v>3</v>
      </c>
      <c r="AK21" s="45" t="n">
        <f aca="false">ROUNDUP(YEARFRAC(In_COD,AK$4),0)*(AK$4&gt;In_COD)</f>
        <v>3</v>
      </c>
      <c r="AL21" s="45" t="n">
        <f aca="false">ROUNDUP(YEARFRAC(In_COD,AL$4),0)*(AL$4&gt;In_COD)</f>
        <v>4</v>
      </c>
      <c r="AM21" s="45" t="n">
        <f aca="false">ROUNDUP(YEARFRAC(In_COD,AM$4),0)*(AM$4&gt;In_COD)</f>
        <v>4</v>
      </c>
      <c r="AN21" s="45" t="n">
        <f aca="false">ROUNDUP(YEARFRAC(In_COD,AN$4),0)*(AN$4&gt;In_COD)</f>
        <v>4</v>
      </c>
      <c r="AO21" s="45" t="n">
        <f aca="false">ROUNDUP(YEARFRAC(In_COD,AO$4),0)*(AO$4&gt;In_COD)</f>
        <v>4</v>
      </c>
      <c r="AP21" s="45" t="n">
        <f aca="false">ROUNDUP(YEARFRAC(In_COD,AP$4),0)*(AP$4&gt;In_COD)</f>
        <v>5</v>
      </c>
      <c r="AQ21" s="45" t="n">
        <f aca="false">ROUNDUP(YEARFRAC(In_COD,AQ$4),0)*(AQ$4&gt;In_COD)</f>
        <v>5</v>
      </c>
      <c r="AR21" s="45" t="n">
        <f aca="false">ROUNDUP(YEARFRAC(In_COD,AR$4),0)*(AR$4&gt;In_COD)</f>
        <v>5</v>
      </c>
      <c r="AS21" s="45" t="n">
        <f aca="false">ROUNDUP(YEARFRAC(In_COD,AS$4),0)*(AS$4&gt;In_COD)</f>
        <v>5</v>
      </c>
      <c r="AT21" s="45" t="n">
        <f aca="false">ROUNDUP(YEARFRAC(In_COD,AT$4),0)*(AT$4&gt;In_COD)</f>
        <v>6</v>
      </c>
      <c r="AU21" s="45" t="n">
        <f aca="false">ROUNDUP(YEARFRAC(In_COD,AU$4),0)*(AU$4&gt;In_COD)</f>
        <v>6</v>
      </c>
      <c r="AV21" s="45" t="n">
        <f aca="false">ROUNDUP(YEARFRAC(In_COD,AV$4),0)*(AV$4&gt;In_COD)</f>
        <v>6</v>
      </c>
      <c r="AW21" s="45" t="n">
        <f aca="false">ROUNDUP(YEARFRAC(In_COD,AW$4),0)*(AW$4&gt;In_COD)</f>
        <v>6</v>
      </c>
      <c r="AX21" s="45" t="n">
        <f aca="false">ROUNDUP(YEARFRAC(In_COD,AX$4),0)*(AX$4&gt;In_COD)</f>
        <v>7</v>
      </c>
      <c r="AY21" s="45" t="n">
        <f aca="false">ROUNDUP(YEARFRAC(In_COD,AY$4),0)*(AY$4&gt;In_COD)</f>
        <v>7</v>
      </c>
      <c r="AZ21" s="45" t="n">
        <f aca="false">ROUNDUP(YEARFRAC(In_COD,AZ$4),0)*(AZ$4&gt;In_COD)</f>
        <v>7</v>
      </c>
      <c r="BA21" s="45" t="n">
        <f aca="false">ROUNDUP(YEARFRAC(In_COD,BA$4),0)*(BA$4&gt;In_COD)</f>
        <v>7</v>
      </c>
      <c r="BB21" s="45" t="n">
        <f aca="false">ROUNDUP(YEARFRAC(In_COD,BB$4),0)*(BB$4&gt;In_COD)</f>
        <v>8</v>
      </c>
      <c r="BC21" s="45" t="n">
        <f aca="false">ROUNDUP(YEARFRAC(In_COD,BC$4),0)*(BC$4&gt;In_COD)</f>
        <v>8</v>
      </c>
      <c r="BD21" s="45" t="n">
        <f aca="false">ROUNDUP(YEARFRAC(In_COD,BD$4),0)*(BD$4&gt;In_COD)</f>
        <v>8</v>
      </c>
      <c r="BE21" s="45" t="n">
        <f aca="false">ROUNDUP(YEARFRAC(In_COD,BE$4),0)*(BE$4&gt;In_COD)</f>
        <v>8</v>
      </c>
      <c r="BF21" s="45" t="n">
        <f aca="false">ROUNDUP(YEARFRAC(In_COD,BF$4),0)*(BF$4&gt;In_COD)</f>
        <v>9</v>
      </c>
      <c r="BG21" s="45" t="n">
        <f aca="false">ROUNDUP(YEARFRAC(In_COD,BG$4),0)*(BG$4&gt;In_COD)</f>
        <v>9</v>
      </c>
      <c r="BH21" s="45" t="n">
        <f aca="false">ROUNDUP(YEARFRAC(In_COD,BH$4),0)*(BH$4&gt;In_COD)</f>
        <v>9</v>
      </c>
      <c r="BI21" s="45" t="n">
        <f aca="false">ROUNDUP(YEARFRAC(In_COD,BI$4),0)*(BI$4&gt;In_COD)</f>
        <v>9</v>
      </c>
      <c r="BJ21" s="45" t="n">
        <f aca="false">ROUNDUP(YEARFRAC(In_COD,BJ$4),0)*(BJ$4&gt;In_COD)</f>
        <v>10</v>
      </c>
      <c r="BK21" s="45" t="n">
        <f aca="false">ROUNDUP(YEARFRAC(In_COD,BK$4),0)*(BK$4&gt;In_COD)</f>
        <v>10</v>
      </c>
      <c r="BL21" s="45" t="n">
        <f aca="false">ROUNDUP(YEARFRAC(In_COD,BL$4),0)*(BL$4&gt;In_COD)</f>
        <v>10</v>
      </c>
      <c r="BM21" s="45" t="n">
        <f aca="false">ROUNDUP(YEARFRAC(In_COD,BM$4),0)*(BM$4&gt;In_COD)</f>
        <v>10</v>
      </c>
      <c r="BN21" s="45" t="n">
        <f aca="false">ROUNDUP(YEARFRAC(In_COD,BN$4),0)*(BN$4&gt;In_COD)</f>
        <v>11</v>
      </c>
      <c r="BO21" s="45" t="n">
        <f aca="false">ROUNDUP(YEARFRAC(In_COD,BO$4),0)*(BO$4&gt;In_COD)</f>
        <v>11</v>
      </c>
      <c r="BP21" s="45" t="n">
        <f aca="false">ROUNDUP(YEARFRAC(In_COD,BP$4),0)*(BP$4&gt;In_COD)</f>
        <v>11</v>
      </c>
      <c r="BQ21" s="45" t="n">
        <f aca="false">ROUNDUP(YEARFRAC(In_COD,BQ$4),0)*(BQ$4&gt;In_COD)</f>
        <v>11</v>
      </c>
      <c r="BR21" s="45" t="n">
        <f aca="false">ROUNDUP(YEARFRAC(In_COD,BR$4),0)*(BR$4&gt;In_COD)</f>
        <v>12</v>
      </c>
      <c r="BS21" s="45" t="n">
        <f aca="false">ROUNDUP(YEARFRAC(In_COD,BS$4),0)*(BS$4&gt;In_COD)</f>
        <v>12</v>
      </c>
      <c r="BT21" s="45" t="n">
        <f aca="false">ROUNDUP(YEARFRAC(In_COD,BT$4),0)*(BT$4&gt;In_COD)</f>
        <v>12</v>
      </c>
      <c r="BU21" s="45" t="n">
        <f aca="false">ROUNDUP(YEARFRAC(In_COD,BU$4),0)*(BU$4&gt;In_COD)</f>
        <v>12</v>
      </c>
      <c r="BV21" s="45" t="n">
        <f aca="false">ROUNDUP(YEARFRAC(In_COD,BV$4),0)*(BV$4&gt;In_COD)</f>
        <v>13</v>
      </c>
      <c r="BW21" s="45" t="n">
        <f aca="false">ROUNDUP(YEARFRAC(In_COD,BW$4),0)*(BW$4&gt;In_COD)</f>
        <v>13</v>
      </c>
      <c r="BX21" s="45" t="n">
        <f aca="false">ROUNDUP(YEARFRAC(In_COD,BX$4),0)*(BX$4&gt;In_COD)</f>
        <v>13</v>
      </c>
      <c r="BY21" s="45" t="n">
        <f aca="false">ROUNDUP(YEARFRAC(In_COD,BY$4),0)*(BY$4&gt;In_COD)</f>
        <v>13</v>
      </c>
      <c r="BZ21" s="45" t="n">
        <f aca="false">ROUNDUP(YEARFRAC(In_COD,BZ$4),0)*(BZ$4&gt;In_COD)</f>
        <v>14</v>
      </c>
      <c r="CA21" s="45" t="n">
        <f aca="false">ROUNDUP(YEARFRAC(In_COD,CA$4),0)*(CA$4&gt;In_COD)</f>
        <v>14</v>
      </c>
      <c r="CB21" s="45" t="n">
        <f aca="false">ROUNDUP(YEARFRAC(In_COD,CB$4),0)*(CB$4&gt;In_COD)</f>
        <v>14</v>
      </c>
      <c r="CC21" s="45" t="n">
        <f aca="false">ROUNDUP(YEARFRAC(In_COD,CC$4),0)*(CC$4&gt;In_COD)</f>
        <v>14</v>
      </c>
      <c r="CD21" s="45" t="n">
        <f aca="false">ROUNDUP(YEARFRAC(In_COD,CD$4),0)*(CD$4&gt;In_COD)</f>
        <v>15</v>
      </c>
      <c r="CE21" s="45" t="n">
        <f aca="false">ROUNDUP(YEARFRAC(In_COD,CE$4),0)*(CE$4&gt;In_COD)</f>
        <v>15</v>
      </c>
      <c r="CF21" s="45" t="n">
        <f aca="false">ROUNDUP(YEARFRAC(In_COD,CF$4),0)*(CF$4&gt;In_COD)</f>
        <v>15</v>
      </c>
      <c r="CG21" s="45" t="n">
        <f aca="false">ROUNDUP(YEARFRAC(In_COD,CG$4),0)*(CG$4&gt;In_COD)</f>
        <v>15</v>
      </c>
      <c r="CH21" s="45" t="n">
        <f aca="false">ROUNDUP(YEARFRAC(In_COD,CH$4),0)*(CH$4&gt;In_COD)</f>
        <v>16</v>
      </c>
      <c r="CI21" s="45" t="n">
        <f aca="false">ROUNDUP(YEARFRAC(In_COD,CI$4),0)*(CI$4&gt;In_COD)</f>
        <v>16</v>
      </c>
      <c r="CJ21" s="45" t="n">
        <f aca="false">ROUNDUP(YEARFRAC(In_COD,CJ$4),0)*(CJ$4&gt;In_COD)</f>
        <v>16</v>
      </c>
      <c r="CK21" s="45" t="n">
        <f aca="false">ROUNDUP(YEARFRAC(In_COD,CK$4),0)*(CK$4&gt;In_COD)</f>
        <v>16</v>
      </c>
      <c r="CL21" s="45" t="n">
        <f aca="false">ROUNDUP(YEARFRAC(In_COD,CL$4),0)*(CL$4&gt;In_COD)</f>
        <v>17</v>
      </c>
      <c r="CM21" s="45" t="n">
        <f aca="false">ROUNDUP(YEARFRAC(In_COD,CM$4),0)*(CM$4&gt;In_COD)</f>
        <v>17</v>
      </c>
      <c r="CN21" s="45" t="n">
        <f aca="false">ROUNDUP(YEARFRAC(In_COD,CN$4),0)*(CN$4&gt;In_COD)</f>
        <v>17</v>
      </c>
      <c r="CO21" s="45" t="n">
        <f aca="false">ROUNDUP(YEARFRAC(In_COD,CO$4),0)*(CO$4&gt;In_COD)</f>
        <v>17</v>
      </c>
      <c r="CP21" s="45" t="n">
        <f aca="false">ROUNDUP(YEARFRAC(In_COD,CP$4),0)*(CP$4&gt;In_COD)</f>
        <v>18</v>
      </c>
      <c r="CQ21" s="45" t="n">
        <f aca="false">ROUNDUP(YEARFRAC(In_COD,CQ$4),0)*(CQ$4&gt;In_COD)</f>
        <v>18</v>
      </c>
      <c r="CR21" s="45" t="n">
        <f aca="false">ROUNDUP(YEARFRAC(In_COD,CR$4),0)*(CR$4&gt;In_COD)</f>
        <v>18</v>
      </c>
      <c r="CS21" s="45" t="n">
        <f aca="false">ROUNDUP(YEARFRAC(In_COD,CS$4),0)*(CS$4&gt;In_COD)</f>
        <v>18</v>
      </c>
      <c r="CT21" s="45" t="n">
        <f aca="false">ROUNDUP(YEARFRAC(In_COD,CT$4),0)*(CT$4&gt;In_COD)</f>
        <v>19</v>
      </c>
      <c r="CU21" s="45" t="n">
        <f aca="false">ROUNDUP(YEARFRAC(In_COD,CU$4),0)*(CU$4&gt;In_COD)</f>
        <v>19</v>
      </c>
      <c r="CV21" s="45" t="n">
        <f aca="false">ROUNDUP(YEARFRAC(In_COD,CV$4),0)*(CV$4&gt;In_COD)</f>
        <v>19</v>
      </c>
      <c r="CW21" s="45" t="n">
        <f aca="false">ROUNDUP(YEARFRAC(In_COD,CW$4),0)*(CW$4&gt;In_COD)</f>
        <v>19</v>
      </c>
      <c r="CX21" s="45" t="n">
        <f aca="false">ROUNDUP(YEARFRAC(In_COD,CX$4),0)*(CX$4&gt;In_COD)</f>
        <v>20</v>
      </c>
      <c r="CY21" s="45" t="n">
        <f aca="false">ROUNDUP(YEARFRAC(In_COD,CY$4),0)*(CY$4&gt;In_COD)</f>
        <v>20</v>
      </c>
      <c r="CZ21" s="45" t="n">
        <f aca="false">ROUNDUP(YEARFRAC(In_COD,CZ$4),0)*(CZ$4&gt;In_COD)</f>
        <v>20</v>
      </c>
      <c r="DA21" s="45" t="n">
        <f aca="false">ROUNDUP(YEARFRAC(In_COD,DA$4),0)*(DA$4&gt;In_COD)</f>
        <v>20</v>
      </c>
      <c r="DB21" s="45" t="n">
        <f aca="false">ROUNDUP(YEARFRAC(In_COD,DB$4),0)*(DB$4&gt;In_COD)</f>
        <v>21</v>
      </c>
      <c r="DC21" s="45" t="n">
        <f aca="false">ROUNDUP(YEARFRAC(In_COD,DC$4),0)*(DC$4&gt;In_COD)</f>
        <v>21</v>
      </c>
      <c r="DD21" s="45" t="n">
        <f aca="false">ROUNDUP(YEARFRAC(In_COD,DD$4),0)*(DD$4&gt;In_COD)</f>
        <v>21</v>
      </c>
      <c r="DE21" s="45" t="n">
        <f aca="false">ROUNDUP(YEARFRAC(In_COD,DE$4),0)*(DE$4&gt;In_COD)</f>
        <v>21</v>
      </c>
      <c r="DF21" s="45" t="n">
        <f aca="false">ROUNDUP(YEARFRAC(In_COD,DF$4),0)*(DF$4&gt;In_COD)</f>
        <v>22</v>
      </c>
      <c r="DG21" s="45" t="n">
        <f aca="false">ROUNDUP(YEARFRAC(In_COD,DG$4),0)*(DG$4&gt;In_COD)</f>
        <v>22</v>
      </c>
      <c r="DH21" s="45" t="n">
        <f aca="false">ROUNDUP(YEARFRAC(In_COD,DH$4),0)*(DH$4&gt;In_COD)</f>
        <v>22</v>
      </c>
      <c r="DI21" s="45" t="n">
        <f aca="false">ROUNDUP(YEARFRAC(In_COD,DI$4),0)*(DI$4&gt;In_COD)</f>
        <v>22</v>
      </c>
      <c r="DJ21" s="45" t="n">
        <f aca="false">ROUNDUP(YEARFRAC(In_COD,DJ$4),0)*(DJ$4&gt;In_COD)</f>
        <v>23</v>
      </c>
      <c r="DK21" s="45" t="n">
        <f aca="false">ROUNDUP(YEARFRAC(In_COD,DK$4),0)*(DK$4&gt;In_COD)</f>
        <v>23</v>
      </c>
      <c r="DL21" s="45" t="n">
        <f aca="false">ROUNDUP(YEARFRAC(In_COD,DL$4),0)*(DL$4&gt;In_COD)</f>
        <v>23</v>
      </c>
      <c r="DM21" s="45" t="n">
        <f aca="false">ROUNDUP(YEARFRAC(In_COD,DM$4),0)*(DM$4&gt;In_COD)</f>
        <v>23</v>
      </c>
      <c r="DN21" s="45" t="n">
        <f aca="false">ROUNDUP(YEARFRAC(In_COD,DN$4),0)*(DN$4&gt;In_COD)</f>
        <v>24</v>
      </c>
      <c r="DO21" s="45" t="n">
        <f aca="false">ROUNDUP(YEARFRAC(In_COD,DO$4),0)*(DO$4&gt;In_COD)</f>
        <v>24</v>
      </c>
      <c r="DP21" s="45" t="n">
        <f aca="false">ROUNDUP(YEARFRAC(In_COD,DP$4),0)*(DP$4&gt;In_COD)</f>
        <v>24</v>
      </c>
      <c r="DQ21" s="45" t="n">
        <f aca="false">ROUNDUP(YEARFRAC(In_COD,DQ$4),0)*(DQ$4&gt;In_COD)</f>
        <v>24</v>
      </c>
      <c r="DR21" s="45" t="n">
        <f aca="false">ROUNDUP(YEARFRAC(In_COD,DR$4),0)*(DR$4&gt;In_COD)</f>
        <v>25</v>
      </c>
      <c r="DS21" s="45" t="n">
        <f aca="false">ROUNDUP(YEARFRAC(In_COD,DS$4),0)*(DS$4&gt;In_COD)</f>
        <v>25</v>
      </c>
      <c r="DT21" s="45" t="n">
        <f aca="false">ROUNDUP(YEARFRAC(In_COD,DT$4),0)*(DT$4&gt;In_COD)</f>
        <v>25</v>
      </c>
      <c r="DU21" s="45" t="n">
        <f aca="false">ROUNDUP(YEARFRAC(In_COD,DU$4),0)*(DU$4&gt;In_COD)</f>
        <v>25</v>
      </c>
      <c r="DV21" s="45" t="n">
        <f aca="false">ROUNDUP(YEARFRAC(In_COD,DV$4),0)*(DV$4&gt;In_COD)</f>
        <v>26</v>
      </c>
      <c r="DW21" s="45" t="n">
        <f aca="false">ROUNDUP(YEARFRAC(In_COD,DW$4),0)*(DW$4&gt;In_COD)</f>
        <v>26</v>
      </c>
      <c r="DX21" s="45" t="n">
        <f aca="false">ROUNDUP(YEARFRAC(In_COD,DX$4),0)*(DX$4&gt;In_COD)</f>
        <v>26</v>
      </c>
      <c r="DY21" s="45" t="n">
        <f aca="false">ROUNDUP(YEARFRAC(In_COD,DY$4),0)*(DY$4&gt;In_COD)</f>
        <v>26</v>
      </c>
      <c r="DZ21" s="45" t="n">
        <f aca="false">ROUNDUP(YEARFRAC(In_COD,DZ$4),0)*(DZ$4&gt;In_COD)</f>
        <v>27</v>
      </c>
      <c r="EA21" s="45" t="n">
        <f aca="false">ROUNDUP(YEARFRAC(In_COD,EA$4),0)*(EA$4&gt;In_COD)</f>
        <v>27</v>
      </c>
      <c r="EB21" s="45" t="n">
        <f aca="false">ROUNDUP(YEARFRAC(In_COD,EB$4),0)*(EB$4&gt;In_COD)</f>
        <v>27</v>
      </c>
      <c r="EC21" s="45" t="n">
        <f aca="false">ROUNDUP(YEARFRAC(In_COD,EC$4),0)*(EC$4&gt;In_COD)</f>
        <v>27</v>
      </c>
      <c r="ED21" s="45" t="n">
        <f aca="false">ROUNDUP(YEARFRAC(In_COD,ED$4),0)*(ED$4&gt;In_COD)</f>
        <v>28</v>
      </c>
      <c r="EE21" s="45" t="n">
        <f aca="false">ROUNDUP(YEARFRAC(In_COD,EE$4),0)*(EE$4&gt;In_COD)</f>
        <v>28</v>
      </c>
      <c r="EF21" s="45" t="n">
        <f aca="false">ROUNDUP(YEARFRAC(In_COD,EF$4),0)*(EF$4&gt;In_COD)</f>
        <v>28</v>
      </c>
      <c r="EG21" s="45" t="n">
        <f aca="false">ROUNDUP(YEARFRAC(In_COD,EG$4),0)*(EG$4&gt;In_COD)</f>
        <v>28</v>
      </c>
      <c r="EH21" s="45" t="n">
        <f aca="false">ROUNDUP(YEARFRAC(In_COD,EH$4),0)*(EH$4&gt;In_COD)</f>
        <v>29</v>
      </c>
      <c r="EI21" s="45" t="n">
        <f aca="false">ROUNDUP(YEARFRAC(In_COD,EI$4),0)*(EI$4&gt;In_COD)</f>
        <v>29</v>
      </c>
      <c r="EJ21" s="45" t="n">
        <f aca="false">ROUNDUP(YEARFRAC(In_COD,EJ$4),0)*(EJ$4&gt;In_COD)</f>
        <v>29</v>
      </c>
      <c r="EK21" s="45" t="n">
        <f aca="false">ROUNDUP(YEARFRAC(In_COD,EK$4),0)*(EK$4&gt;In_COD)</f>
        <v>29</v>
      </c>
      <c r="EL21" s="45" t="n">
        <f aca="false">ROUNDUP(YEARFRAC(In_COD,EL$4),0)*(EL$4&gt;In_COD)</f>
        <v>30</v>
      </c>
      <c r="EM21" s="45" t="n">
        <f aca="false">ROUNDUP(YEARFRAC(In_COD,EM$4),0)*(EM$4&gt;In_COD)</f>
        <v>30</v>
      </c>
      <c r="EN21" s="45" t="n">
        <f aca="false">ROUNDUP(YEARFRAC(In_COD,EN$4),0)*(EN$4&gt;In_COD)</f>
        <v>30</v>
      </c>
      <c r="EO21" s="45" t="n">
        <f aca="false">ROUNDUP(YEARFRAC(In_COD,EO$4),0)*(EO$4&gt;In_COD)</f>
        <v>30</v>
      </c>
    </row>
    <row r="22" customFormat="false" ht="15" hidden="false" customHeight="false" outlineLevel="0" collapsed="false">
      <c r="C22" s="1" t="s">
        <v>424</v>
      </c>
      <c r="D22" s="12" t="s">
        <v>411</v>
      </c>
      <c r="E22" s="56" t="n">
        <f aca="false">SUMIF($J$4:$EO$4,In_COD,$J22:$EO22)</f>
        <v>1.21988954770292</v>
      </c>
      <c r="F22" s="57" t="n">
        <f aca="false">In_Debt_Rate*Months_Per_Period/Months_In_Year</f>
        <v>0.0125</v>
      </c>
      <c r="J22" s="56" t="n">
        <f aca="false">(1+$F22)^J$8</f>
        <v>1.0125</v>
      </c>
      <c r="K22" s="56" t="n">
        <f aca="false">(1+$F22)^K$8</f>
        <v>1.02515625</v>
      </c>
      <c r="L22" s="56" t="n">
        <f aca="false">(1+$F22)^L$8</f>
        <v>1.037970703125</v>
      </c>
      <c r="M22" s="56" t="n">
        <f aca="false">(1+$F22)^M$8</f>
        <v>1.05094533691406</v>
      </c>
      <c r="N22" s="56" t="n">
        <f aca="false">(1+$F22)^N$8</f>
        <v>1.06408215362549</v>
      </c>
      <c r="O22" s="56" t="n">
        <f aca="false">(1+$F22)^O$8</f>
        <v>1.07738318054581</v>
      </c>
      <c r="P22" s="56" t="n">
        <f aca="false">(1+$F22)^P$8</f>
        <v>1.09085047030263</v>
      </c>
      <c r="Q22" s="56" t="n">
        <f aca="false">(1+$F22)^Q$8</f>
        <v>1.10448610118141</v>
      </c>
      <c r="R22" s="56" t="n">
        <f aca="false">(1+$F22)^R$8</f>
        <v>1.11829217744618</v>
      </c>
      <c r="S22" s="56" t="n">
        <f aca="false">(1+$F22)^S$8</f>
        <v>1.13227082966426</v>
      </c>
      <c r="T22" s="56" t="n">
        <f aca="false">(1+$F22)^T$8</f>
        <v>1.14642421503506</v>
      </c>
      <c r="U22" s="56" t="n">
        <f aca="false">(1+$F22)^U$8</f>
        <v>1.160754517723</v>
      </c>
      <c r="V22" s="56" t="n">
        <f aca="false">(1+$F22)^V$8</f>
        <v>1.17526394919454</v>
      </c>
      <c r="W22" s="56" t="n">
        <f aca="false">(1+$F22)^W$8</f>
        <v>1.18995474855947</v>
      </c>
      <c r="X22" s="56" t="n">
        <f aca="false">(1+$F22)^X$8</f>
        <v>1.20482918291646</v>
      </c>
      <c r="Y22" s="56" t="n">
        <f aca="false">(1+$F22)^Y$8</f>
        <v>1.21988954770292</v>
      </c>
      <c r="Z22" s="56" t="n">
        <f aca="false">(1+$F22)^Z$8</f>
        <v>1.2351381670492</v>
      </c>
      <c r="AA22" s="56" t="n">
        <f aca="false">(1+$F22)^AA$8</f>
        <v>1.25057739413732</v>
      </c>
      <c r="AB22" s="56" t="n">
        <f aca="false">(1+$F22)^AB$8</f>
        <v>1.26620961156403</v>
      </c>
      <c r="AC22" s="56" t="n">
        <f aca="false">(1+$F22)^AC$8</f>
        <v>1.28203723170858</v>
      </c>
      <c r="AD22" s="56" t="n">
        <f aca="false">(1+$F22)^AD$8</f>
        <v>1.29806269710494</v>
      </c>
      <c r="AE22" s="56" t="n">
        <f aca="false">(1+$F22)^AE$8</f>
        <v>1.31428848081875</v>
      </c>
      <c r="AF22" s="56" t="n">
        <f aca="false">(1+$F22)^AF$8</f>
        <v>1.33071708682899</v>
      </c>
      <c r="AG22" s="56" t="n">
        <f aca="false">(1+$F22)^AG$8</f>
        <v>1.34735105041435</v>
      </c>
      <c r="AH22" s="56" t="n">
        <f aca="false">(1+$F22)^AH$8</f>
        <v>1.36419293854453</v>
      </c>
      <c r="AI22" s="56" t="n">
        <f aca="false">(1+$F22)^AI$8</f>
        <v>1.38124535027634</v>
      </c>
      <c r="AJ22" s="56" t="n">
        <f aca="false">(1+$F22)^AJ$8</f>
        <v>1.39851091715479</v>
      </c>
      <c r="AK22" s="56" t="n">
        <f aca="false">(1+$F22)^AK$8</f>
        <v>1.41599230361922</v>
      </c>
      <c r="AL22" s="56" t="n">
        <f aca="false">(1+$F22)^AL$8</f>
        <v>1.43369220741447</v>
      </c>
      <c r="AM22" s="56" t="n">
        <f aca="false">(1+$F22)^AM$8</f>
        <v>1.45161336000715</v>
      </c>
      <c r="AN22" s="56" t="n">
        <f aca="false">(1+$F22)^AN$8</f>
        <v>1.46975852700724</v>
      </c>
      <c r="AO22" s="56" t="n">
        <f aca="false">(1+$F22)^AO$8</f>
        <v>1.48813050859483</v>
      </c>
      <c r="AP22" s="56" t="n">
        <f aca="false">(1+$F22)^AP$8</f>
        <v>1.50673213995226</v>
      </c>
      <c r="AQ22" s="56" t="n">
        <f aca="false">(1+$F22)^AQ$8</f>
        <v>1.52556629170166</v>
      </c>
      <c r="AR22" s="56" t="n">
        <f aca="false">(1+$F22)^AR$8</f>
        <v>1.54463587034793</v>
      </c>
      <c r="AS22" s="56" t="n">
        <f aca="false">(1+$F22)^AS$8</f>
        <v>1.56394381872728</v>
      </c>
      <c r="AT22" s="56" t="n">
        <f aca="false">(1+$F22)^AT$8</f>
        <v>1.58349311646137</v>
      </c>
      <c r="AU22" s="56" t="n">
        <f aca="false">(1+$F22)^AU$8</f>
        <v>1.60328678041714</v>
      </c>
      <c r="AV22" s="56" t="n">
        <f aca="false">(1+$F22)^AV$8</f>
        <v>1.62332786517236</v>
      </c>
      <c r="AW22" s="56" t="n">
        <f aca="false">(1+$F22)^AW$8</f>
        <v>1.64361946348701</v>
      </c>
      <c r="AX22" s="56" t="n">
        <f aca="false">(1+$F22)^AX$8</f>
        <v>1.6641647067806</v>
      </c>
      <c r="AY22" s="56" t="n">
        <f aca="false">(1+$F22)^AY$8</f>
        <v>1.68496676561536</v>
      </c>
      <c r="AZ22" s="56" t="n">
        <f aca="false">(1+$F22)^AZ$8</f>
        <v>1.70602885018555</v>
      </c>
      <c r="BA22" s="56" t="n">
        <f aca="false">(1+$F22)^BA$8</f>
        <v>1.72735421081287</v>
      </c>
      <c r="BB22" s="56" t="n">
        <f aca="false">(1+$F22)^BB$8</f>
        <v>1.74894613844803</v>
      </c>
      <c r="BC22" s="56" t="n">
        <f aca="false">(1+$F22)^BC$8</f>
        <v>1.77080796517863</v>
      </c>
      <c r="BD22" s="56" t="n">
        <f aca="false">(1+$F22)^BD$8</f>
        <v>1.79294306474336</v>
      </c>
      <c r="BE22" s="56" t="n">
        <f aca="false">(1+$F22)^BE$8</f>
        <v>1.81535485305265</v>
      </c>
      <c r="BF22" s="56" t="n">
        <f aca="false">(1+$F22)^BF$8</f>
        <v>1.83804678871581</v>
      </c>
      <c r="BG22" s="56" t="n">
        <f aca="false">(1+$F22)^BG$8</f>
        <v>1.86102237357476</v>
      </c>
      <c r="BH22" s="56" t="n">
        <f aca="false">(1+$F22)^BH$8</f>
        <v>1.88428515324444</v>
      </c>
      <c r="BI22" s="56" t="n">
        <f aca="false">(1+$F22)^BI$8</f>
        <v>1.90783871766</v>
      </c>
      <c r="BJ22" s="56" t="n">
        <f aca="false">(1+$F22)^BJ$8</f>
        <v>1.93168670163075</v>
      </c>
      <c r="BK22" s="56" t="n">
        <f aca="false">(1+$F22)^BK$8</f>
        <v>1.95583278540113</v>
      </c>
      <c r="BL22" s="56" t="n">
        <f aca="false">(1+$F22)^BL$8</f>
        <v>1.98028069521865</v>
      </c>
      <c r="BM22" s="56" t="n">
        <f aca="false">(1+$F22)^BM$8</f>
        <v>2.00503420390888</v>
      </c>
      <c r="BN22" s="56" t="n">
        <f aca="false">(1+$F22)^BN$8</f>
        <v>2.03009713145774</v>
      </c>
      <c r="BO22" s="56" t="n">
        <f aca="false">(1+$F22)^BO$8</f>
        <v>2.05547334560096</v>
      </c>
      <c r="BP22" s="56" t="n">
        <f aca="false">(1+$F22)^BP$8</f>
        <v>2.08116676242097</v>
      </c>
      <c r="BQ22" s="56" t="n">
        <f aca="false">(1+$F22)^BQ$8</f>
        <v>2.10718134695124</v>
      </c>
      <c r="BR22" s="56" t="n">
        <f aca="false">(1+$F22)^BR$8</f>
        <v>2.13352111378813</v>
      </c>
      <c r="BS22" s="56" t="n">
        <f aca="false">(1+$F22)^BS$8</f>
        <v>2.16019012771048</v>
      </c>
      <c r="BT22" s="56" t="n">
        <f aca="false">(1+$F22)^BT$8</f>
        <v>2.18719250430686</v>
      </c>
      <c r="BU22" s="56" t="n">
        <f aca="false">(1+$F22)^BU$8</f>
        <v>2.21453241061069</v>
      </c>
      <c r="BV22" s="56" t="n">
        <f aca="false">(1+$F22)^BV$8</f>
        <v>2.24221406574333</v>
      </c>
      <c r="BW22" s="56" t="n">
        <f aca="false">(1+$F22)^BW$8</f>
        <v>2.27024174156512</v>
      </c>
      <c r="BX22" s="56" t="n">
        <f aca="false">(1+$F22)^BX$8</f>
        <v>2.29861976333468</v>
      </c>
      <c r="BY22" s="56" t="n">
        <f aca="false">(1+$F22)^BY$8</f>
        <v>2.32735251037637</v>
      </c>
      <c r="BZ22" s="56" t="n">
        <f aca="false">(1+$F22)^BZ$8</f>
        <v>2.35644441675607</v>
      </c>
      <c r="CA22" s="56" t="n">
        <f aca="false">(1+$F22)^CA$8</f>
        <v>2.38589997196552</v>
      </c>
      <c r="CB22" s="56" t="n">
        <f aca="false">(1+$F22)^CB$8</f>
        <v>2.41572372161509</v>
      </c>
      <c r="CC22" s="56" t="n">
        <f aca="false">(1+$F22)^CC$8</f>
        <v>2.44592026813528</v>
      </c>
      <c r="CD22" s="56" t="n">
        <f aca="false">(1+$F22)^CD$8</f>
        <v>2.47649427148697</v>
      </c>
      <c r="CE22" s="56" t="n">
        <f aca="false">(1+$F22)^CE$8</f>
        <v>2.50745044988056</v>
      </c>
      <c r="CF22" s="56" t="n">
        <f aca="false">(1+$F22)^CF$8</f>
        <v>2.53879358050406</v>
      </c>
      <c r="CG22" s="56" t="n">
        <f aca="false">(1+$F22)^CG$8</f>
        <v>2.57052850026036</v>
      </c>
      <c r="CH22" s="56" t="n">
        <f aca="false">(1+$F22)^CH$8</f>
        <v>2.60266010651362</v>
      </c>
      <c r="CI22" s="56" t="n">
        <f aca="false">(1+$F22)^CI$8</f>
        <v>2.63519335784504</v>
      </c>
      <c r="CJ22" s="56" t="n">
        <f aca="false">(1+$F22)^CJ$8</f>
        <v>2.6681332748181</v>
      </c>
      <c r="CK22" s="56" t="n">
        <f aca="false">(1+$F22)^CK$8</f>
        <v>2.70148494075333</v>
      </c>
      <c r="CL22" s="56" t="n">
        <f aca="false">(1+$F22)^CL$8</f>
        <v>2.73525350251274</v>
      </c>
      <c r="CM22" s="56" t="n">
        <f aca="false">(1+$F22)^CM$8</f>
        <v>2.76944417129415</v>
      </c>
      <c r="CN22" s="56" t="n">
        <f aca="false">(1+$F22)^CN$8</f>
        <v>2.80406222343533</v>
      </c>
      <c r="CO22" s="56" t="n">
        <f aca="false">(1+$F22)^CO$8</f>
        <v>2.83911300122827</v>
      </c>
      <c r="CP22" s="56" t="n">
        <f aca="false">(1+$F22)^CP$8</f>
        <v>2.87460191374363</v>
      </c>
      <c r="CQ22" s="56" t="n">
        <f aca="false">(1+$F22)^CQ$8</f>
        <v>2.91053443766542</v>
      </c>
      <c r="CR22" s="56" t="n">
        <f aca="false">(1+$F22)^CR$8</f>
        <v>2.94691611813624</v>
      </c>
      <c r="CS22" s="56" t="n">
        <f aca="false">(1+$F22)^CS$8</f>
        <v>2.98375256961294</v>
      </c>
      <c r="CT22" s="56" t="n">
        <f aca="false">(1+$F22)^CT$8</f>
        <v>3.0210494767331</v>
      </c>
      <c r="CU22" s="56" t="n">
        <f aca="false">(1+$F22)^CU$8</f>
        <v>3.05881259519227</v>
      </c>
      <c r="CV22" s="56" t="n">
        <f aca="false">(1+$F22)^CV$8</f>
        <v>3.09704775263217</v>
      </c>
      <c r="CW22" s="56" t="n">
        <f aca="false">(1+$F22)^CW$8</f>
        <v>3.13576084954007</v>
      </c>
      <c r="CX22" s="56" t="n">
        <f aca="false">(1+$F22)^CX$8</f>
        <v>3.17495786015932</v>
      </c>
      <c r="CY22" s="56" t="n">
        <f aca="false">(1+$F22)^CY$8</f>
        <v>3.21464483341131</v>
      </c>
      <c r="CZ22" s="56" t="n">
        <f aca="false">(1+$F22)^CZ$8</f>
        <v>3.25482789382895</v>
      </c>
      <c r="DA22" s="56" t="n">
        <f aca="false">(1+$F22)^DA$8</f>
        <v>3.29551324250182</v>
      </c>
      <c r="DB22" s="56" t="n">
        <f aca="false">(1+$F22)^DB$8</f>
        <v>3.33670715803309</v>
      </c>
      <c r="DC22" s="56" t="n">
        <f aca="false">(1+$F22)^DC$8</f>
        <v>3.3784159975085</v>
      </c>
      <c r="DD22" s="56" t="n">
        <f aca="false">(1+$F22)^DD$8</f>
        <v>3.42064619747736</v>
      </c>
      <c r="DE22" s="56" t="n">
        <f aca="false">(1+$F22)^DE$8</f>
        <v>3.46340427494583</v>
      </c>
      <c r="DF22" s="56" t="n">
        <f aca="false">(1+$F22)^DF$8</f>
        <v>3.50669682838265</v>
      </c>
      <c r="DG22" s="56" t="n">
        <f aca="false">(1+$F22)^DG$8</f>
        <v>3.55053053873743</v>
      </c>
      <c r="DH22" s="56" t="n">
        <f aca="false">(1+$F22)^DH$8</f>
        <v>3.59491217047165</v>
      </c>
      <c r="DI22" s="56" t="n">
        <f aca="false">(1+$F22)^DI$8</f>
        <v>3.63984857260254</v>
      </c>
      <c r="DJ22" s="56" t="n">
        <f aca="false">(1+$F22)^DJ$8</f>
        <v>3.68534667976008</v>
      </c>
      <c r="DK22" s="56" t="n">
        <f aca="false">(1+$F22)^DK$8</f>
        <v>3.73141351325708</v>
      </c>
      <c r="DL22" s="56" t="n">
        <f aca="false">(1+$F22)^DL$8</f>
        <v>3.77805618217279</v>
      </c>
      <c r="DM22" s="56" t="n">
        <f aca="false">(1+$F22)^DM$8</f>
        <v>3.82528188444995</v>
      </c>
      <c r="DN22" s="56" t="n">
        <f aca="false">(1+$F22)^DN$8</f>
        <v>3.87309790800557</v>
      </c>
      <c r="DO22" s="56" t="n">
        <f aca="false">(1+$F22)^DO$8</f>
        <v>3.92151163185564</v>
      </c>
      <c r="DP22" s="56" t="n">
        <f aca="false">(1+$F22)^DP$8</f>
        <v>3.97053052725384</v>
      </c>
      <c r="DQ22" s="56" t="n">
        <f aca="false">(1+$F22)^DQ$8</f>
        <v>4.02016215884451</v>
      </c>
      <c r="DR22" s="56" t="n">
        <f aca="false">(1+$F22)^DR$8</f>
        <v>4.07041418583007</v>
      </c>
      <c r="DS22" s="56" t="n">
        <f aca="false">(1+$F22)^DS$8</f>
        <v>4.12129436315294</v>
      </c>
      <c r="DT22" s="56" t="n">
        <f aca="false">(1+$F22)^DT$8</f>
        <v>4.17281054269235</v>
      </c>
      <c r="DU22" s="56" t="n">
        <f aca="false">(1+$F22)^DU$8</f>
        <v>4.22497067447601</v>
      </c>
      <c r="DV22" s="56" t="n">
        <f aca="false">(1+$F22)^DV$8</f>
        <v>4.27778280790696</v>
      </c>
      <c r="DW22" s="56" t="n">
        <f aca="false">(1+$F22)^DW$8</f>
        <v>4.3312550930058</v>
      </c>
      <c r="DX22" s="56" t="n">
        <f aca="false">(1+$F22)^DX$8</f>
        <v>4.38539578166837</v>
      </c>
      <c r="DY22" s="56" t="n">
        <f aca="false">(1+$F22)^DY$8</f>
        <v>4.44021322893922</v>
      </c>
      <c r="DZ22" s="56" t="n">
        <f aca="false">(1+$F22)^DZ$8</f>
        <v>4.49571589430096</v>
      </c>
      <c r="EA22" s="56" t="n">
        <f aca="false">(1+$F22)^EA$8</f>
        <v>4.55191234297972</v>
      </c>
      <c r="EB22" s="56" t="n">
        <f aca="false">(1+$F22)^EB$8</f>
        <v>4.60881124726697</v>
      </c>
      <c r="EC22" s="56" t="n">
        <f aca="false">(1+$F22)^EC$8</f>
        <v>4.66642138785781</v>
      </c>
      <c r="ED22" s="56" t="n">
        <f aca="false">(1+$F22)^ED$8</f>
        <v>4.72475165520603</v>
      </c>
      <c r="EE22" s="56" t="n">
        <f aca="false">(1+$F22)^EE$8</f>
        <v>4.78381105089611</v>
      </c>
      <c r="EF22" s="56" t="n">
        <f aca="false">(1+$F22)^EF$8</f>
        <v>4.84360868903231</v>
      </c>
      <c r="EG22" s="56" t="n">
        <f aca="false">(1+$F22)^EG$8</f>
        <v>4.90415379764521</v>
      </c>
      <c r="EH22" s="56" t="n">
        <f aca="false">(1+$F22)^EH$8</f>
        <v>4.96545572011577</v>
      </c>
      <c r="EI22" s="56" t="n">
        <f aca="false">(1+$F22)^EI$8</f>
        <v>5.02752391661722</v>
      </c>
      <c r="EJ22" s="56" t="n">
        <f aca="false">(1+$F22)^EJ$8</f>
        <v>5.09036796557494</v>
      </c>
      <c r="EK22" s="56" t="n">
        <f aca="false">(1+$F22)^EK$8</f>
        <v>5.15399756514462</v>
      </c>
      <c r="EL22" s="56" t="n">
        <f aca="false">(1+$F22)^EL$8</f>
        <v>5.21842253470893</v>
      </c>
      <c r="EM22" s="56" t="n">
        <f aca="false">(1+$F22)^EM$8</f>
        <v>5.28365281639279</v>
      </c>
      <c r="EN22" s="56" t="n">
        <f aca="false">(1+$F22)^EN$8</f>
        <v>5.3496984765977</v>
      </c>
      <c r="EO22" s="56" t="n">
        <f aca="false">(1+$F22)^EO$8</f>
        <v>5.41656970755517</v>
      </c>
    </row>
    <row r="24" customFormat="false" ht="15" hidden="false" customHeight="false" outlineLevel="0" collapsed="false">
      <c r="A24" s="10" t="s">
        <v>13</v>
      </c>
      <c r="B24" s="10"/>
      <c r="C24" s="10" t="s">
        <v>425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customFormat="false" ht="15" hidden="false" customHeight="false" outlineLevel="0" collapsed="false">
      <c r="C25" s="1" t="s">
        <v>426</v>
      </c>
      <c r="D25" s="12" t="s">
        <v>62</v>
      </c>
      <c r="E25" s="37" t="n">
        <f aca="false">In_MVA*(1+INDEX(Dash_Overbuild,1,$A$1))</f>
        <v>60</v>
      </c>
      <c r="F25" s="37" t="n">
        <f aca="false">In_MVA*(1+In_Overbuild_Built)</f>
        <v>55</v>
      </c>
    </row>
    <row r="26" customFormat="false" ht="15" hidden="false" customHeight="false" outlineLevel="0" collapsed="false">
      <c r="C26" s="1" t="s">
        <v>427</v>
      </c>
      <c r="D26" s="12" t="s">
        <v>27</v>
      </c>
      <c r="E26" s="50" t="n">
        <f aca="false">IF(In_BESS_Set&gt;0,In_BESS_Set,INDEX(Dash_BESS,1,$A$1))</f>
        <v>0.2</v>
      </c>
    </row>
    <row r="27" customFormat="false" ht="15" hidden="false" customHeight="false" outlineLevel="0" collapsed="false">
      <c r="C27" s="1" t="s">
        <v>428</v>
      </c>
      <c r="D27" s="12" t="s">
        <v>62</v>
      </c>
      <c r="E27" s="37" t="n">
        <f aca="false">$E26*In_MVA</f>
        <v>10</v>
      </c>
      <c r="F27" s="37" t="n">
        <f aca="false">$E27*In_BESS_Built</f>
        <v>10</v>
      </c>
    </row>
    <row r="28" customFormat="false" ht="15" hidden="false" customHeight="false" outlineLevel="0" collapsed="false">
      <c r="C28" s="1" t="s">
        <v>429</v>
      </c>
      <c r="D28" s="12" t="s">
        <v>70</v>
      </c>
      <c r="E28" s="37" t="n">
        <f aca="false">$E27*INDEX(Dash_BESS_Hours,1,$A$1)</f>
        <v>40</v>
      </c>
    </row>
    <row r="29" customFormat="false" ht="15" hidden="false" customHeight="false" outlineLevel="0" collapsed="false">
      <c r="C29" s="1" t="s">
        <v>430</v>
      </c>
      <c r="D29" s="12" t="s">
        <v>27</v>
      </c>
      <c r="E29" s="57" t="n">
        <f aca="false">($F25-In_MVA)/$F25*In_Bottleneck_Loss</f>
        <v>0.00454545454545455</v>
      </c>
    </row>
    <row r="30" customFormat="false" ht="15" hidden="false" customHeight="false" outlineLevel="0" collapsed="false">
      <c r="C30" s="1" t="s">
        <v>431</v>
      </c>
      <c r="D30" s="12" t="s">
        <v>27</v>
      </c>
      <c r="E30" s="50" t="n">
        <f aca="false">MAX(0,1-$F25/$E25)</f>
        <v>0.0833333333333333</v>
      </c>
      <c r="F30" s="50" t="n">
        <f aca="false">(1-In_BESS_Built)*($E27&gt;0)</f>
        <v>0</v>
      </c>
    </row>
    <row r="31" customFormat="false" ht="15" hidden="false" customHeight="false" outlineLevel="0" collapsed="false">
      <c r="C31" s="1" t="s">
        <v>432</v>
      </c>
      <c r="D31" s="12" t="s">
        <v>77</v>
      </c>
      <c r="E31" s="37" t="n">
        <f aca="false">($E30&gt;In_Tolerance_Cap)*$E30*In_MVA*(In_Sanction_Regime=1)</f>
        <v>0</v>
      </c>
    </row>
    <row r="33" customFormat="false" ht="15" hidden="false" customHeight="false" outlineLevel="0" collapsed="false">
      <c r="A33" s="10" t="s">
        <v>13</v>
      </c>
      <c r="B33" s="10"/>
      <c r="C33" s="10" t="s">
        <v>433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customFormat="false" ht="15" hidden="false" customHeight="false" outlineLevel="0" collapsed="false">
      <c r="C34" s="1" t="s">
        <v>434</v>
      </c>
      <c r="D34" s="12" t="s">
        <v>19</v>
      </c>
      <c r="E34" s="33" t="n">
        <f aca="false">INDEX(Dash_Municipal,1,$A$1)</f>
        <v>50</v>
      </c>
      <c r="F34" s="33" t="n">
        <f aca="false">INDEX(Osz1_Pts,1+SUMPRODUCT((Osz1_LB&lt;$E34)+(Osz1_LB=$E34)*Osz1_Incl))*Osz1_W</f>
        <v>20</v>
      </c>
    </row>
    <row r="35" customFormat="false" ht="15" hidden="false" customHeight="false" outlineLevel="0" collapsed="false">
      <c r="C35" s="1" t="s">
        <v>435</v>
      </c>
      <c r="D35" s="12" t="s">
        <v>24</v>
      </c>
      <c r="E35" s="33" t="n">
        <f aca="false">INDEX(Dash_Community,1,$A$1)</f>
        <v>3</v>
      </c>
      <c r="F35" s="33" t="n">
        <f aca="false">INDEX(Osz2_Pts,1+SUMPRODUCT((Osz2_LB&lt;$E35)+(Osz2_LB=$E35)*Osz2_Incl))*Osz2_W</f>
        <v>15</v>
      </c>
    </row>
    <row r="36" customFormat="false" ht="15" hidden="false" customHeight="false" outlineLevel="0" collapsed="false">
      <c r="C36" s="1" t="s">
        <v>436</v>
      </c>
      <c r="D36" s="12" t="s">
        <v>27</v>
      </c>
      <c r="E36" s="50" t="n">
        <f aca="false">INDEX(Dash_Overbuild,1,$A$1)</f>
        <v>0.2</v>
      </c>
      <c r="F36" s="33" t="n">
        <f aca="false">INDEX(Osz3_Pts,1+SUMPRODUCT((Osz3_LB&lt;$E36)+(Osz3_LB=$E36)*Osz3_Incl))*Osz3_W</f>
        <v>5</v>
      </c>
    </row>
    <row r="37" customFormat="false" ht="15" hidden="false" customHeight="false" outlineLevel="0" collapsed="false">
      <c r="C37" s="1" t="s">
        <v>437</v>
      </c>
      <c r="D37" s="12" t="s">
        <v>27</v>
      </c>
      <c r="E37" s="50" t="n">
        <f aca="false">$E26</f>
        <v>0.2</v>
      </c>
      <c r="F37" s="33" t="n">
        <f aca="false">INDEX(Osz4_Pts,1+SUMPRODUCT((Osz4_LB&lt;$E37)+(Osz4_LB=$E37)*Osz4_Incl))*Osz4_W*($E37&gt;=Osz4_Min)</f>
        <v>7.5</v>
      </c>
    </row>
    <row r="38" customFormat="false" ht="15" hidden="false" customHeight="false" outlineLevel="0" collapsed="false">
      <c r="C38" s="1" t="s">
        <v>438</v>
      </c>
      <c r="D38" s="12" t="s">
        <v>43</v>
      </c>
      <c r="E38" s="51" t="n">
        <f aca="false">INDEX(Dash_Partial,1,$A$1)</f>
        <v>0</v>
      </c>
      <c r="F38" s="33" t="n">
        <f aca="false">$E38*Osz5_Pts*Osz5_W</f>
        <v>0</v>
      </c>
    </row>
    <row r="39" customFormat="false" ht="15" hidden="false" customHeight="false" outlineLevel="0" collapsed="false">
      <c r="C39" s="1" t="s">
        <v>439</v>
      </c>
      <c r="D39" s="12" t="s">
        <v>13</v>
      </c>
      <c r="E39" s="54" t="n">
        <f aca="false">INDEX(Dash_PB_Mult,1,$A$1)</f>
        <v>1</v>
      </c>
      <c r="F39" s="33" t="n">
        <f aca="false">INDEX(Osz6_Pts,1+SUMPRODUCT((Osz6_LB&lt;$E39)+(Osz6_LB=$E39)*Osz6_Incl))*Osz6_W</f>
        <v>0</v>
      </c>
    </row>
    <row r="40" customFormat="false" ht="15" hidden="false" customHeight="false" outlineLevel="0" collapsed="false">
      <c r="C40" s="1" t="s">
        <v>440</v>
      </c>
      <c r="D40" s="12" t="s">
        <v>43</v>
      </c>
      <c r="E40" s="51" t="n">
        <f aca="false">INDEX(Dash_Shared,1,$A$1)</f>
        <v>0</v>
      </c>
      <c r="F40" s="33" t="n">
        <f aca="false">$E40*Osz8_Pts*Osz8_W</f>
        <v>0</v>
      </c>
    </row>
    <row r="41" customFormat="false" ht="15" hidden="false" customHeight="false" outlineLevel="0" collapsed="false">
      <c r="C41" s="1" t="s">
        <v>441</v>
      </c>
      <c r="D41" s="12" t="s">
        <v>43</v>
      </c>
      <c r="E41" s="51" t="n">
        <f aca="false">INDEX(Dash_EU_Turbine,1,$A$1)</f>
        <v>0</v>
      </c>
      <c r="F41" s="33" t="n">
        <f aca="false">$E41*Osz9a_Pts*Osz9_W</f>
        <v>0</v>
      </c>
    </row>
    <row r="42" customFormat="false" ht="15" hidden="false" customHeight="false" outlineLevel="0" collapsed="false">
      <c r="C42" s="1" t="s">
        <v>442</v>
      </c>
      <c r="D42" s="12" t="s">
        <v>43</v>
      </c>
      <c r="E42" s="51" t="n">
        <f aca="false">INDEX(Dash_EU_Transformer,1,$A$1)</f>
        <v>0</v>
      </c>
      <c r="F42" s="33" t="n">
        <f aca="false">$E42*Osz9b_Pts*Osz9_W</f>
        <v>0</v>
      </c>
    </row>
    <row r="43" customFormat="false" ht="15" hidden="false" customHeight="false" outlineLevel="0" collapsed="false">
      <c r="C43" s="26" t="s">
        <v>52</v>
      </c>
      <c r="D43" s="12" t="s">
        <v>53</v>
      </c>
      <c r="E43" s="27" t="n">
        <f aca="false">ROUND(SUM($F34:$F42),Points_Decimals)</f>
        <v>47.5</v>
      </c>
    </row>
    <row r="44" customFormat="false" ht="15" hidden="false" customHeight="false" outlineLevel="0" collapsed="false">
      <c r="C44" s="1" t="s">
        <v>443</v>
      </c>
      <c r="D44" s="12" t="s">
        <v>43</v>
      </c>
      <c r="E44" s="51" t="n">
        <f aca="false">$E41*In_Deliver</f>
        <v>0</v>
      </c>
    </row>
    <row r="45" customFormat="false" ht="15" hidden="false" customHeight="false" outlineLevel="0" collapsed="false">
      <c r="C45" s="1" t="s">
        <v>444</v>
      </c>
      <c r="D45" s="12" t="s">
        <v>150</v>
      </c>
      <c r="E45" s="45" t="n">
        <f aca="false">($E34&lt;&gt;0)*($E34&lt;Osz1_Min)+($E34&gt;Osz1_Max)+($E35&lt;&gt;0)*($E35&lt;Osz2_Min)+($E35&gt;Osz2_Max)</f>
        <v>0</v>
      </c>
      <c r="F45" s="45" t="n">
        <f aca="false">N($E39&lt;1)+N($E27&gt;$E25)+N($E28&lt;$E27*In_Min_Hours)</f>
        <v>0</v>
      </c>
    </row>
    <row r="47" customFormat="false" ht="15" hidden="false" customHeight="false" outlineLevel="0" collapsed="false">
      <c r="A47" s="10" t="s">
        <v>13</v>
      </c>
      <c r="B47" s="10"/>
      <c r="C47" s="10" t="s">
        <v>445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customFormat="false" ht="15" hidden="false" customHeight="false" outlineLevel="0" collapsed="false">
      <c r="C48" s="1" t="s">
        <v>32</v>
      </c>
      <c r="D48" s="12" t="s">
        <v>33</v>
      </c>
      <c r="E48" s="19" t="n">
        <f aca="false">In_Purchase_Price</f>
        <v>4500</v>
      </c>
      <c r="F48" s="21" t="n">
        <f aca="false">In_Closing</f>
        <v>46387</v>
      </c>
      <c r="I48" s="49" t="n">
        <f aca="false">SUM(J48:EO48)</f>
        <v>-4500</v>
      </c>
      <c r="J48" s="49" t="n">
        <f aca="false">-$E48*N(AND(J$3&lt;=$F48,J$4&gt;=$F48))</f>
        <v>-4500</v>
      </c>
      <c r="K48" s="49" t="n">
        <f aca="false">-$E48*N(AND(K$3&lt;=$F48,K$4&gt;=$F48))</f>
        <v>-0</v>
      </c>
      <c r="L48" s="49" t="n">
        <f aca="false">-$E48*N(AND(L$3&lt;=$F48,L$4&gt;=$F48))</f>
        <v>-0</v>
      </c>
      <c r="M48" s="49" t="n">
        <f aca="false">-$E48*N(AND(M$3&lt;=$F48,M$4&gt;=$F48))</f>
        <v>-0</v>
      </c>
      <c r="N48" s="49" t="n">
        <f aca="false">-$E48*N(AND(N$3&lt;=$F48,N$4&gt;=$F48))</f>
        <v>-0</v>
      </c>
      <c r="O48" s="49" t="n">
        <f aca="false">-$E48*N(AND(O$3&lt;=$F48,O$4&gt;=$F48))</f>
        <v>-0</v>
      </c>
      <c r="P48" s="49" t="n">
        <f aca="false">-$E48*N(AND(P$3&lt;=$F48,P$4&gt;=$F48))</f>
        <v>-0</v>
      </c>
      <c r="Q48" s="49" t="n">
        <f aca="false">-$E48*N(AND(Q$3&lt;=$F48,Q$4&gt;=$F48))</f>
        <v>-0</v>
      </c>
      <c r="R48" s="49" t="n">
        <f aca="false">-$E48*N(AND(R$3&lt;=$F48,R$4&gt;=$F48))</f>
        <v>-0</v>
      </c>
      <c r="S48" s="49" t="n">
        <f aca="false">-$E48*N(AND(S$3&lt;=$F48,S$4&gt;=$F48))</f>
        <v>-0</v>
      </c>
      <c r="T48" s="49" t="n">
        <f aca="false">-$E48*N(AND(T$3&lt;=$F48,T$4&gt;=$F48))</f>
        <v>-0</v>
      </c>
      <c r="U48" s="49" t="n">
        <f aca="false">-$E48*N(AND(U$3&lt;=$F48,U$4&gt;=$F48))</f>
        <v>-0</v>
      </c>
      <c r="V48" s="49" t="n">
        <f aca="false">-$E48*N(AND(V$3&lt;=$F48,V$4&gt;=$F48))</f>
        <v>-0</v>
      </c>
      <c r="W48" s="49" t="n">
        <f aca="false">-$E48*N(AND(W$3&lt;=$F48,W$4&gt;=$F48))</f>
        <v>-0</v>
      </c>
      <c r="X48" s="49" t="n">
        <f aca="false">-$E48*N(AND(X$3&lt;=$F48,X$4&gt;=$F48))</f>
        <v>-0</v>
      </c>
      <c r="Y48" s="49" t="n">
        <f aca="false">-$E48*N(AND(Y$3&lt;=$F48,Y$4&gt;=$F48))</f>
        <v>-0</v>
      </c>
      <c r="Z48" s="49" t="n">
        <f aca="false">-$E48*N(AND(Z$3&lt;=$F48,Z$4&gt;=$F48))</f>
        <v>-0</v>
      </c>
      <c r="AA48" s="49" t="n">
        <f aca="false">-$E48*N(AND(AA$3&lt;=$F48,AA$4&gt;=$F48))</f>
        <v>-0</v>
      </c>
      <c r="AB48" s="49" t="n">
        <f aca="false">-$E48*N(AND(AB$3&lt;=$F48,AB$4&gt;=$F48))</f>
        <v>-0</v>
      </c>
      <c r="AC48" s="49" t="n">
        <f aca="false">-$E48*N(AND(AC$3&lt;=$F48,AC$4&gt;=$F48))</f>
        <v>-0</v>
      </c>
      <c r="AD48" s="49" t="n">
        <f aca="false">-$E48*N(AND(AD$3&lt;=$F48,AD$4&gt;=$F48))</f>
        <v>-0</v>
      </c>
      <c r="AE48" s="49" t="n">
        <f aca="false">-$E48*N(AND(AE$3&lt;=$F48,AE$4&gt;=$F48))</f>
        <v>-0</v>
      </c>
      <c r="AF48" s="49" t="n">
        <f aca="false">-$E48*N(AND(AF$3&lt;=$F48,AF$4&gt;=$F48))</f>
        <v>-0</v>
      </c>
      <c r="AG48" s="49" t="n">
        <f aca="false">-$E48*N(AND(AG$3&lt;=$F48,AG$4&gt;=$F48))</f>
        <v>-0</v>
      </c>
      <c r="AH48" s="49" t="n">
        <f aca="false">-$E48*N(AND(AH$3&lt;=$F48,AH$4&gt;=$F48))</f>
        <v>-0</v>
      </c>
      <c r="AI48" s="49" t="n">
        <f aca="false">-$E48*N(AND(AI$3&lt;=$F48,AI$4&gt;=$F48))</f>
        <v>-0</v>
      </c>
      <c r="AJ48" s="49" t="n">
        <f aca="false">-$E48*N(AND(AJ$3&lt;=$F48,AJ$4&gt;=$F48))</f>
        <v>-0</v>
      </c>
      <c r="AK48" s="49" t="n">
        <f aca="false">-$E48*N(AND(AK$3&lt;=$F48,AK$4&gt;=$F48))</f>
        <v>-0</v>
      </c>
      <c r="AL48" s="49" t="n">
        <f aca="false">-$E48*N(AND(AL$3&lt;=$F48,AL$4&gt;=$F48))</f>
        <v>-0</v>
      </c>
      <c r="AM48" s="49" t="n">
        <f aca="false">-$E48*N(AND(AM$3&lt;=$F48,AM$4&gt;=$F48))</f>
        <v>-0</v>
      </c>
      <c r="AN48" s="49" t="n">
        <f aca="false">-$E48*N(AND(AN$3&lt;=$F48,AN$4&gt;=$F48))</f>
        <v>-0</v>
      </c>
      <c r="AO48" s="49" t="n">
        <f aca="false">-$E48*N(AND(AO$3&lt;=$F48,AO$4&gt;=$F48))</f>
        <v>-0</v>
      </c>
      <c r="AP48" s="49" t="n">
        <f aca="false">-$E48*N(AND(AP$3&lt;=$F48,AP$4&gt;=$F48))</f>
        <v>-0</v>
      </c>
      <c r="AQ48" s="49" t="n">
        <f aca="false">-$E48*N(AND(AQ$3&lt;=$F48,AQ$4&gt;=$F48))</f>
        <v>-0</v>
      </c>
      <c r="AR48" s="49" t="n">
        <f aca="false">-$E48*N(AND(AR$3&lt;=$F48,AR$4&gt;=$F48))</f>
        <v>-0</v>
      </c>
      <c r="AS48" s="49" t="n">
        <f aca="false">-$E48*N(AND(AS$3&lt;=$F48,AS$4&gt;=$F48))</f>
        <v>-0</v>
      </c>
      <c r="AT48" s="49" t="n">
        <f aca="false">-$E48*N(AND(AT$3&lt;=$F48,AT$4&gt;=$F48))</f>
        <v>-0</v>
      </c>
      <c r="AU48" s="49" t="n">
        <f aca="false">-$E48*N(AND(AU$3&lt;=$F48,AU$4&gt;=$F48))</f>
        <v>-0</v>
      </c>
      <c r="AV48" s="49" t="n">
        <f aca="false">-$E48*N(AND(AV$3&lt;=$F48,AV$4&gt;=$F48))</f>
        <v>-0</v>
      </c>
      <c r="AW48" s="49" t="n">
        <f aca="false">-$E48*N(AND(AW$3&lt;=$F48,AW$4&gt;=$F48))</f>
        <v>-0</v>
      </c>
      <c r="AX48" s="49" t="n">
        <f aca="false">-$E48*N(AND(AX$3&lt;=$F48,AX$4&gt;=$F48))</f>
        <v>-0</v>
      </c>
      <c r="AY48" s="49" t="n">
        <f aca="false">-$E48*N(AND(AY$3&lt;=$F48,AY$4&gt;=$F48))</f>
        <v>-0</v>
      </c>
      <c r="AZ48" s="49" t="n">
        <f aca="false">-$E48*N(AND(AZ$3&lt;=$F48,AZ$4&gt;=$F48))</f>
        <v>-0</v>
      </c>
      <c r="BA48" s="49" t="n">
        <f aca="false">-$E48*N(AND(BA$3&lt;=$F48,BA$4&gt;=$F48))</f>
        <v>-0</v>
      </c>
      <c r="BB48" s="49" t="n">
        <f aca="false">-$E48*N(AND(BB$3&lt;=$F48,BB$4&gt;=$F48))</f>
        <v>-0</v>
      </c>
      <c r="BC48" s="49" t="n">
        <f aca="false">-$E48*N(AND(BC$3&lt;=$F48,BC$4&gt;=$F48))</f>
        <v>-0</v>
      </c>
      <c r="BD48" s="49" t="n">
        <f aca="false">-$E48*N(AND(BD$3&lt;=$F48,BD$4&gt;=$F48))</f>
        <v>-0</v>
      </c>
      <c r="BE48" s="49" t="n">
        <f aca="false">-$E48*N(AND(BE$3&lt;=$F48,BE$4&gt;=$F48))</f>
        <v>-0</v>
      </c>
      <c r="BF48" s="49" t="n">
        <f aca="false">-$E48*N(AND(BF$3&lt;=$F48,BF$4&gt;=$F48))</f>
        <v>-0</v>
      </c>
      <c r="BG48" s="49" t="n">
        <f aca="false">-$E48*N(AND(BG$3&lt;=$F48,BG$4&gt;=$F48))</f>
        <v>-0</v>
      </c>
      <c r="BH48" s="49" t="n">
        <f aca="false">-$E48*N(AND(BH$3&lt;=$F48,BH$4&gt;=$F48))</f>
        <v>-0</v>
      </c>
      <c r="BI48" s="49" t="n">
        <f aca="false">-$E48*N(AND(BI$3&lt;=$F48,BI$4&gt;=$F48))</f>
        <v>-0</v>
      </c>
      <c r="BJ48" s="49" t="n">
        <f aca="false">-$E48*N(AND(BJ$3&lt;=$F48,BJ$4&gt;=$F48))</f>
        <v>-0</v>
      </c>
      <c r="BK48" s="49" t="n">
        <f aca="false">-$E48*N(AND(BK$3&lt;=$F48,BK$4&gt;=$F48))</f>
        <v>-0</v>
      </c>
      <c r="BL48" s="49" t="n">
        <f aca="false">-$E48*N(AND(BL$3&lt;=$F48,BL$4&gt;=$F48))</f>
        <v>-0</v>
      </c>
      <c r="BM48" s="49" t="n">
        <f aca="false">-$E48*N(AND(BM$3&lt;=$F48,BM$4&gt;=$F48))</f>
        <v>-0</v>
      </c>
      <c r="BN48" s="49" t="n">
        <f aca="false">-$E48*N(AND(BN$3&lt;=$F48,BN$4&gt;=$F48))</f>
        <v>-0</v>
      </c>
      <c r="BO48" s="49" t="n">
        <f aca="false">-$E48*N(AND(BO$3&lt;=$F48,BO$4&gt;=$F48))</f>
        <v>-0</v>
      </c>
      <c r="BP48" s="49" t="n">
        <f aca="false">-$E48*N(AND(BP$3&lt;=$F48,BP$4&gt;=$F48))</f>
        <v>-0</v>
      </c>
      <c r="BQ48" s="49" t="n">
        <f aca="false">-$E48*N(AND(BQ$3&lt;=$F48,BQ$4&gt;=$F48))</f>
        <v>-0</v>
      </c>
      <c r="BR48" s="49" t="n">
        <f aca="false">-$E48*N(AND(BR$3&lt;=$F48,BR$4&gt;=$F48))</f>
        <v>-0</v>
      </c>
      <c r="BS48" s="49" t="n">
        <f aca="false">-$E48*N(AND(BS$3&lt;=$F48,BS$4&gt;=$F48))</f>
        <v>-0</v>
      </c>
      <c r="BT48" s="49" t="n">
        <f aca="false">-$E48*N(AND(BT$3&lt;=$F48,BT$4&gt;=$F48))</f>
        <v>-0</v>
      </c>
      <c r="BU48" s="49" t="n">
        <f aca="false">-$E48*N(AND(BU$3&lt;=$F48,BU$4&gt;=$F48))</f>
        <v>-0</v>
      </c>
      <c r="BV48" s="49" t="n">
        <f aca="false">-$E48*N(AND(BV$3&lt;=$F48,BV$4&gt;=$F48))</f>
        <v>-0</v>
      </c>
      <c r="BW48" s="49" t="n">
        <f aca="false">-$E48*N(AND(BW$3&lt;=$F48,BW$4&gt;=$F48))</f>
        <v>-0</v>
      </c>
      <c r="BX48" s="49" t="n">
        <f aca="false">-$E48*N(AND(BX$3&lt;=$F48,BX$4&gt;=$F48))</f>
        <v>-0</v>
      </c>
      <c r="BY48" s="49" t="n">
        <f aca="false">-$E48*N(AND(BY$3&lt;=$F48,BY$4&gt;=$F48))</f>
        <v>-0</v>
      </c>
      <c r="BZ48" s="49" t="n">
        <f aca="false">-$E48*N(AND(BZ$3&lt;=$F48,BZ$4&gt;=$F48))</f>
        <v>-0</v>
      </c>
      <c r="CA48" s="49" t="n">
        <f aca="false">-$E48*N(AND(CA$3&lt;=$F48,CA$4&gt;=$F48))</f>
        <v>-0</v>
      </c>
      <c r="CB48" s="49" t="n">
        <f aca="false">-$E48*N(AND(CB$3&lt;=$F48,CB$4&gt;=$F48))</f>
        <v>-0</v>
      </c>
      <c r="CC48" s="49" t="n">
        <f aca="false">-$E48*N(AND(CC$3&lt;=$F48,CC$4&gt;=$F48))</f>
        <v>-0</v>
      </c>
      <c r="CD48" s="49" t="n">
        <f aca="false">-$E48*N(AND(CD$3&lt;=$F48,CD$4&gt;=$F48))</f>
        <v>-0</v>
      </c>
      <c r="CE48" s="49" t="n">
        <f aca="false">-$E48*N(AND(CE$3&lt;=$F48,CE$4&gt;=$F48))</f>
        <v>-0</v>
      </c>
      <c r="CF48" s="49" t="n">
        <f aca="false">-$E48*N(AND(CF$3&lt;=$F48,CF$4&gt;=$F48))</f>
        <v>-0</v>
      </c>
      <c r="CG48" s="49" t="n">
        <f aca="false">-$E48*N(AND(CG$3&lt;=$F48,CG$4&gt;=$F48))</f>
        <v>-0</v>
      </c>
      <c r="CH48" s="49" t="n">
        <f aca="false">-$E48*N(AND(CH$3&lt;=$F48,CH$4&gt;=$F48))</f>
        <v>-0</v>
      </c>
      <c r="CI48" s="49" t="n">
        <f aca="false">-$E48*N(AND(CI$3&lt;=$F48,CI$4&gt;=$F48))</f>
        <v>-0</v>
      </c>
      <c r="CJ48" s="49" t="n">
        <f aca="false">-$E48*N(AND(CJ$3&lt;=$F48,CJ$4&gt;=$F48))</f>
        <v>-0</v>
      </c>
      <c r="CK48" s="49" t="n">
        <f aca="false">-$E48*N(AND(CK$3&lt;=$F48,CK$4&gt;=$F48))</f>
        <v>-0</v>
      </c>
      <c r="CL48" s="49" t="n">
        <f aca="false">-$E48*N(AND(CL$3&lt;=$F48,CL$4&gt;=$F48))</f>
        <v>-0</v>
      </c>
      <c r="CM48" s="49" t="n">
        <f aca="false">-$E48*N(AND(CM$3&lt;=$F48,CM$4&gt;=$F48))</f>
        <v>-0</v>
      </c>
      <c r="CN48" s="49" t="n">
        <f aca="false">-$E48*N(AND(CN$3&lt;=$F48,CN$4&gt;=$F48))</f>
        <v>-0</v>
      </c>
      <c r="CO48" s="49" t="n">
        <f aca="false">-$E48*N(AND(CO$3&lt;=$F48,CO$4&gt;=$F48))</f>
        <v>-0</v>
      </c>
      <c r="CP48" s="49" t="n">
        <f aca="false">-$E48*N(AND(CP$3&lt;=$F48,CP$4&gt;=$F48))</f>
        <v>-0</v>
      </c>
      <c r="CQ48" s="49" t="n">
        <f aca="false">-$E48*N(AND(CQ$3&lt;=$F48,CQ$4&gt;=$F48))</f>
        <v>-0</v>
      </c>
      <c r="CR48" s="49" t="n">
        <f aca="false">-$E48*N(AND(CR$3&lt;=$F48,CR$4&gt;=$F48))</f>
        <v>-0</v>
      </c>
      <c r="CS48" s="49" t="n">
        <f aca="false">-$E48*N(AND(CS$3&lt;=$F48,CS$4&gt;=$F48))</f>
        <v>-0</v>
      </c>
      <c r="CT48" s="49" t="n">
        <f aca="false">-$E48*N(AND(CT$3&lt;=$F48,CT$4&gt;=$F48))</f>
        <v>-0</v>
      </c>
      <c r="CU48" s="49" t="n">
        <f aca="false">-$E48*N(AND(CU$3&lt;=$F48,CU$4&gt;=$F48))</f>
        <v>-0</v>
      </c>
      <c r="CV48" s="49" t="n">
        <f aca="false">-$E48*N(AND(CV$3&lt;=$F48,CV$4&gt;=$F48))</f>
        <v>-0</v>
      </c>
      <c r="CW48" s="49" t="n">
        <f aca="false">-$E48*N(AND(CW$3&lt;=$F48,CW$4&gt;=$F48))</f>
        <v>-0</v>
      </c>
      <c r="CX48" s="49" t="n">
        <f aca="false">-$E48*N(AND(CX$3&lt;=$F48,CX$4&gt;=$F48))</f>
        <v>-0</v>
      </c>
      <c r="CY48" s="49" t="n">
        <f aca="false">-$E48*N(AND(CY$3&lt;=$F48,CY$4&gt;=$F48))</f>
        <v>-0</v>
      </c>
      <c r="CZ48" s="49" t="n">
        <f aca="false">-$E48*N(AND(CZ$3&lt;=$F48,CZ$4&gt;=$F48))</f>
        <v>-0</v>
      </c>
      <c r="DA48" s="49" t="n">
        <f aca="false">-$E48*N(AND(DA$3&lt;=$F48,DA$4&gt;=$F48))</f>
        <v>-0</v>
      </c>
      <c r="DB48" s="49" t="n">
        <f aca="false">-$E48*N(AND(DB$3&lt;=$F48,DB$4&gt;=$F48))</f>
        <v>-0</v>
      </c>
      <c r="DC48" s="49" t="n">
        <f aca="false">-$E48*N(AND(DC$3&lt;=$F48,DC$4&gt;=$F48))</f>
        <v>-0</v>
      </c>
      <c r="DD48" s="49" t="n">
        <f aca="false">-$E48*N(AND(DD$3&lt;=$F48,DD$4&gt;=$F48))</f>
        <v>-0</v>
      </c>
      <c r="DE48" s="49" t="n">
        <f aca="false">-$E48*N(AND(DE$3&lt;=$F48,DE$4&gt;=$F48))</f>
        <v>-0</v>
      </c>
      <c r="DF48" s="49" t="n">
        <f aca="false">-$E48*N(AND(DF$3&lt;=$F48,DF$4&gt;=$F48))</f>
        <v>-0</v>
      </c>
      <c r="DG48" s="49" t="n">
        <f aca="false">-$E48*N(AND(DG$3&lt;=$F48,DG$4&gt;=$F48))</f>
        <v>-0</v>
      </c>
      <c r="DH48" s="49" t="n">
        <f aca="false">-$E48*N(AND(DH$3&lt;=$F48,DH$4&gt;=$F48))</f>
        <v>-0</v>
      </c>
      <c r="DI48" s="49" t="n">
        <f aca="false">-$E48*N(AND(DI$3&lt;=$F48,DI$4&gt;=$F48))</f>
        <v>-0</v>
      </c>
      <c r="DJ48" s="49" t="n">
        <f aca="false">-$E48*N(AND(DJ$3&lt;=$F48,DJ$4&gt;=$F48))</f>
        <v>-0</v>
      </c>
      <c r="DK48" s="49" t="n">
        <f aca="false">-$E48*N(AND(DK$3&lt;=$F48,DK$4&gt;=$F48))</f>
        <v>-0</v>
      </c>
      <c r="DL48" s="49" t="n">
        <f aca="false">-$E48*N(AND(DL$3&lt;=$F48,DL$4&gt;=$F48))</f>
        <v>-0</v>
      </c>
      <c r="DM48" s="49" t="n">
        <f aca="false">-$E48*N(AND(DM$3&lt;=$F48,DM$4&gt;=$F48))</f>
        <v>-0</v>
      </c>
      <c r="DN48" s="49" t="n">
        <f aca="false">-$E48*N(AND(DN$3&lt;=$F48,DN$4&gt;=$F48))</f>
        <v>-0</v>
      </c>
      <c r="DO48" s="49" t="n">
        <f aca="false">-$E48*N(AND(DO$3&lt;=$F48,DO$4&gt;=$F48))</f>
        <v>-0</v>
      </c>
      <c r="DP48" s="49" t="n">
        <f aca="false">-$E48*N(AND(DP$3&lt;=$F48,DP$4&gt;=$F48))</f>
        <v>-0</v>
      </c>
      <c r="DQ48" s="49" t="n">
        <f aca="false">-$E48*N(AND(DQ$3&lt;=$F48,DQ$4&gt;=$F48))</f>
        <v>-0</v>
      </c>
      <c r="DR48" s="49" t="n">
        <f aca="false">-$E48*N(AND(DR$3&lt;=$F48,DR$4&gt;=$F48))</f>
        <v>-0</v>
      </c>
      <c r="DS48" s="49" t="n">
        <f aca="false">-$E48*N(AND(DS$3&lt;=$F48,DS$4&gt;=$F48))</f>
        <v>-0</v>
      </c>
      <c r="DT48" s="49" t="n">
        <f aca="false">-$E48*N(AND(DT$3&lt;=$F48,DT$4&gt;=$F48))</f>
        <v>-0</v>
      </c>
      <c r="DU48" s="49" t="n">
        <f aca="false">-$E48*N(AND(DU$3&lt;=$F48,DU$4&gt;=$F48))</f>
        <v>-0</v>
      </c>
      <c r="DV48" s="49" t="n">
        <f aca="false">-$E48*N(AND(DV$3&lt;=$F48,DV$4&gt;=$F48))</f>
        <v>-0</v>
      </c>
      <c r="DW48" s="49" t="n">
        <f aca="false">-$E48*N(AND(DW$3&lt;=$F48,DW$4&gt;=$F48))</f>
        <v>-0</v>
      </c>
      <c r="DX48" s="49" t="n">
        <f aca="false">-$E48*N(AND(DX$3&lt;=$F48,DX$4&gt;=$F48))</f>
        <v>-0</v>
      </c>
      <c r="DY48" s="49" t="n">
        <f aca="false">-$E48*N(AND(DY$3&lt;=$F48,DY$4&gt;=$F48))</f>
        <v>-0</v>
      </c>
      <c r="DZ48" s="49" t="n">
        <f aca="false">-$E48*N(AND(DZ$3&lt;=$F48,DZ$4&gt;=$F48))</f>
        <v>-0</v>
      </c>
      <c r="EA48" s="49" t="n">
        <f aca="false">-$E48*N(AND(EA$3&lt;=$F48,EA$4&gt;=$F48))</f>
        <v>-0</v>
      </c>
      <c r="EB48" s="49" t="n">
        <f aca="false">-$E48*N(AND(EB$3&lt;=$F48,EB$4&gt;=$F48))</f>
        <v>-0</v>
      </c>
      <c r="EC48" s="49" t="n">
        <f aca="false">-$E48*N(AND(EC$3&lt;=$F48,EC$4&gt;=$F48))</f>
        <v>-0</v>
      </c>
      <c r="ED48" s="49" t="n">
        <f aca="false">-$E48*N(AND(ED$3&lt;=$F48,ED$4&gt;=$F48))</f>
        <v>-0</v>
      </c>
      <c r="EE48" s="49" t="n">
        <f aca="false">-$E48*N(AND(EE$3&lt;=$F48,EE$4&gt;=$F48))</f>
        <v>-0</v>
      </c>
      <c r="EF48" s="49" t="n">
        <f aca="false">-$E48*N(AND(EF$3&lt;=$F48,EF$4&gt;=$F48))</f>
        <v>-0</v>
      </c>
      <c r="EG48" s="49" t="n">
        <f aca="false">-$E48*N(AND(EG$3&lt;=$F48,EG$4&gt;=$F48))</f>
        <v>-0</v>
      </c>
      <c r="EH48" s="49" t="n">
        <f aca="false">-$E48*N(AND(EH$3&lt;=$F48,EH$4&gt;=$F48))</f>
        <v>-0</v>
      </c>
      <c r="EI48" s="49" t="n">
        <f aca="false">-$E48*N(AND(EI$3&lt;=$F48,EI$4&gt;=$F48))</f>
        <v>-0</v>
      </c>
      <c r="EJ48" s="49" t="n">
        <f aca="false">-$E48*N(AND(EJ$3&lt;=$F48,EJ$4&gt;=$F48))</f>
        <v>-0</v>
      </c>
      <c r="EK48" s="49" t="n">
        <f aca="false">-$E48*N(AND(EK$3&lt;=$F48,EK$4&gt;=$F48))</f>
        <v>-0</v>
      </c>
      <c r="EL48" s="49" t="n">
        <f aca="false">-$E48*N(AND(EL$3&lt;=$F48,EL$4&gt;=$F48))</f>
        <v>-0</v>
      </c>
      <c r="EM48" s="49" t="n">
        <f aca="false">-$E48*N(AND(EM$3&lt;=$F48,EM$4&gt;=$F48))</f>
        <v>-0</v>
      </c>
      <c r="EN48" s="49" t="n">
        <f aca="false">-$E48*N(AND(EN$3&lt;=$F48,EN$4&gt;=$F48))</f>
        <v>-0</v>
      </c>
      <c r="EO48" s="49" t="n">
        <f aca="false">-$E48*N(AND(EO$3&lt;=$F48,EO$4&gt;=$F48))</f>
        <v>-0</v>
      </c>
    </row>
    <row r="49" customFormat="false" ht="15" hidden="false" customHeight="false" outlineLevel="0" collapsed="false">
      <c r="C49" s="1" t="s">
        <v>247</v>
      </c>
      <c r="D49" s="12" t="s">
        <v>33</v>
      </c>
      <c r="E49" s="19" t="n">
        <f aca="false">In_DD</f>
        <v>150</v>
      </c>
      <c r="F49" s="21" t="n">
        <f aca="false">In_Bid_Date</f>
        <v>46325</v>
      </c>
      <c r="I49" s="49" t="n">
        <f aca="false">SUM(J49:EO49)</f>
        <v>-150</v>
      </c>
      <c r="J49" s="49" t="n">
        <f aca="false">-$E49*N(AND(J$3&lt;=$F49,J$4&gt;=$F49))</f>
        <v>-150</v>
      </c>
      <c r="K49" s="49" t="n">
        <f aca="false">-$E49*N(AND(K$3&lt;=$F49,K$4&gt;=$F49))</f>
        <v>-0</v>
      </c>
      <c r="L49" s="49" t="n">
        <f aca="false">-$E49*N(AND(L$3&lt;=$F49,L$4&gt;=$F49))</f>
        <v>-0</v>
      </c>
      <c r="M49" s="49" t="n">
        <f aca="false">-$E49*N(AND(M$3&lt;=$F49,M$4&gt;=$F49))</f>
        <v>-0</v>
      </c>
      <c r="N49" s="49" t="n">
        <f aca="false">-$E49*N(AND(N$3&lt;=$F49,N$4&gt;=$F49))</f>
        <v>-0</v>
      </c>
      <c r="O49" s="49" t="n">
        <f aca="false">-$E49*N(AND(O$3&lt;=$F49,O$4&gt;=$F49))</f>
        <v>-0</v>
      </c>
      <c r="P49" s="49" t="n">
        <f aca="false">-$E49*N(AND(P$3&lt;=$F49,P$4&gt;=$F49))</f>
        <v>-0</v>
      </c>
      <c r="Q49" s="49" t="n">
        <f aca="false">-$E49*N(AND(Q$3&lt;=$F49,Q$4&gt;=$F49))</f>
        <v>-0</v>
      </c>
      <c r="R49" s="49" t="n">
        <f aca="false">-$E49*N(AND(R$3&lt;=$F49,R$4&gt;=$F49))</f>
        <v>-0</v>
      </c>
      <c r="S49" s="49" t="n">
        <f aca="false">-$E49*N(AND(S$3&lt;=$F49,S$4&gt;=$F49))</f>
        <v>-0</v>
      </c>
      <c r="T49" s="49" t="n">
        <f aca="false">-$E49*N(AND(T$3&lt;=$F49,T$4&gt;=$F49))</f>
        <v>-0</v>
      </c>
      <c r="U49" s="49" t="n">
        <f aca="false">-$E49*N(AND(U$3&lt;=$F49,U$4&gt;=$F49))</f>
        <v>-0</v>
      </c>
      <c r="V49" s="49" t="n">
        <f aca="false">-$E49*N(AND(V$3&lt;=$F49,V$4&gt;=$F49))</f>
        <v>-0</v>
      </c>
      <c r="W49" s="49" t="n">
        <f aca="false">-$E49*N(AND(W$3&lt;=$F49,W$4&gt;=$F49))</f>
        <v>-0</v>
      </c>
      <c r="X49" s="49" t="n">
        <f aca="false">-$E49*N(AND(X$3&lt;=$F49,X$4&gt;=$F49))</f>
        <v>-0</v>
      </c>
      <c r="Y49" s="49" t="n">
        <f aca="false">-$E49*N(AND(Y$3&lt;=$F49,Y$4&gt;=$F49))</f>
        <v>-0</v>
      </c>
      <c r="Z49" s="49" t="n">
        <f aca="false">-$E49*N(AND(Z$3&lt;=$F49,Z$4&gt;=$F49))</f>
        <v>-0</v>
      </c>
      <c r="AA49" s="49" t="n">
        <f aca="false">-$E49*N(AND(AA$3&lt;=$F49,AA$4&gt;=$F49))</f>
        <v>-0</v>
      </c>
      <c r="AB49" s="49" t="n">
        <f aca="false">-$E49*N(AND(AB$3&lt;=$F49,AB$4&gt;=$F49))</f>
        <v>-0</v>
      </c>
      <c r="AC49" s="49" t="n">
        <f aca="false">-$E49*N(AND(AC$3&lt;=$F49,AC$4&gt;=$F49))</f>
        <v>-0</v>
      </c>
      <c r="AD49" s="49" t="n">
        <f aca="false">-$E49*N(AND(AD$3&lt;=$F49,AD$4&gt;=$F49))</f>
        <v>-0</v>
      </c>
      <c r="AE49" s="49" t="n">
        <f aca="false">-$E49*N(AND(AE$3&lt;=$F49,AE$4&gt;=$F49))</f>
        <v>-0</v>
      </c>
      <c r="AF49" s="49" t="n">
        <f aca="false">-$E49*N(AND(AF$3&lt;=$F49,AF$4&gt;=$F49))</f>
        <v>-0</v>
      </c>
      <c r="AG49" s="49" t="n">
        <f aca="false">-$E49*N(AND(AG$3&lt;=$F49,AG$4&gt;=$F49))</f>
        <v>-0</v>
      </c>
      <c r="AH49" s="49" t="n">
        <f aca="false">-$E49*N(AND(AH$3&lt;=$F49,AH$4&gt;=$F49))</f>
        <v>-0</v>
      </c>
      <c r="AI49" s="49" t="n">
        <f aca="false">-$E49*N(AND(AI$3&lt;=$F49,AI$4&gt;=$F49))</f>
        <v>-0</v>
      </c>
      <c r="AJ49" s="49" t="n">
        <f aca="false">-$E49*N(AND(AJ$3&lt;=$F49,AJ$4&gt;=$F49))</f>
        <v>-0</v>
      </c>
      <c r="AK49" s="49" t="n">
        <f aca="false">-$E49*N(AND(AK$3&lt;=$F49,AK$4&gt;=$F49))</f>
        <v>-0</v>
      </c>
      <c r="AL49" s="49" t="n">
        <f aca="false">-$E49*N(AND(AL$3&lt;=$F49,AL$4&gt;=$F49))</f>
        <v>-0</v>
      </c>
      <c r="AM49" s="49" t="n">
        <f aca="false">-$E49*N(AND(AM$3&lt;=$F49,AM$4&gt;=$F49))</f>
        <v>-0</v>
      </c>
      <c r="AN49" s="49" t="n">
        <f aca="false">-$E49*N(AND(AN$3&lt;=$F49,AN$4&gt;=$F49))</f>
        <v>-0</v>
      </c>
      <c r="AO49" s="49" t="n">
        <f aca="false">-$E49*N(AND(AO$3&lt;=$F49,AO$4&gt;=$F49))</f>
        <v>-0</v>
      </c>
      <c r="AP49" s="49" t="n">
        <f aca="false">-$E49*N(AND(AP$3&lt;=$F49,AP$4&gt;=$F49))</f>
        <v>-0</v>
      </c>
      <c r="AQ49" s="49" t="n">
        <f aca="false">-$E49*N(AND(AQ$3&lt;=$F49,AQ$4&gt;=$F49))</f>
        <v>-0</v>
      </c>
      <c r="AR49" s="49" t="n">
        <f aca="false">-$E49*N(AND(AR$3&lt;=$F49,AR$4&gt;=$F49))</f>
        <v>-0</v>
      </c>
      <c r="AS49" s="49" t="n">
        <f aca="false">-$E49*N(AND(AS$3&lt;=$F49,AS$4&gt;=$F49))</f>
        <v>-0</v>
      </c>
      <c r="AT49" s="49" t="n">
        <f aca="false">-$E49*N(AND(AT$3&lt;=$F49,AT$4&gt;=$F49))</f>
        <v>-0</v>
      </c>
      <c r="AU49" s="49" t="n">
        <f aca="false">-$E49*N(AND(AU$3&lt;=$F49,AU$4&gt;=$F49))</f>
        <v>-0</v>
      </c>
      <c r="AV49" s="49" t="n">
        <f aca="false">-$E49*N(AND(AV$3&lt;=$F49,AV$4&gt;=$F49))</f>
        <v>-0</v>
      </c>
      <c r="AW49" s="49" t="n">
        <f aca="false">-$E49*N(AND(AW$3&lt;=$F49,AW$4&gt;=$F49))</f>
        <v>-0</v>
      </c>
      <c r="AX49" s="49" t="n">
        <f aca="false">-$E49*N(AND(AX$3&lt;=$F49,AX$4&gt;=$F49))</f>
        <v>-0</v>
      </c>
      <c r="AY49" s="49" t="n">
        <f aca="false">-$E49*N(AND(AY$3&lt;=$F49,AY$4&gt;=$F49))</f>
        <v>-0</v>
      </c>
      <c r="AZ49" s="49" t="n">
        <f aca="false">-$E49*N(AND(AZ$3&lt;=$F49,AZ$4&gt;=$F49))</f>
        <v>-0</v>
      </c>
      <c r="BA49" s="49" t="n">
        <f aca="false">-$E49*N(AND(BA$3&lt;=$F49,BA$4&gt;=$F49))</f>
        <v>-0</v>
      </c>
      <c r="BB49" s="49" t="n">
        <f aca="false">-$E49*N(AND(BB$3&lt;=$F49,BB$4&gt;=$F49))</f>
        <v>-0</v>
      </c>
      <c r="BC49" s="49" t="n">
        <f aca="false">-$E49*N(AND(BC$3&lt;=$F49,BC$4&gt;=$F49))</f>
        <v>-0</v>
      </c>
      <c r="BD49" s="49" t="n">
        <f aca="false">-$E49*N(AND(BD$3&lt;=$F49,BD$4&gt;=$F49))</f>
        <v>-0</v>
      </c>
      <c r="BE49" s="49" t="n">
        <f aca="false">-$E49*N(AND(BE$3&lt;=$F49,BE$4&gt;=$F49))</f>
        <v>-0</v>
      </c>
      <c r="BF49" s="49" t="n">
        <f aca="false">-$E49*N(AND(BF$3&lt;=$F49,BF$4&gt;=$F49))</f>
        <v>-0</v>
      </c>
      <c r="BG49" s="49" t="n">
        <f aca="false">-$E49*N(AND(BG$3&lt;=$F49,BG$4&gt;=$F49))</f>
        <v>-0</v>
      </c>
      <c r="BH49" s="49" t="n">
        <f aca="false">-$E49*N(AND(BH$3&lt;=$F49,BH$4&gt;=$F49))</f>
        <v>-0</v>
      </c>
      <c r="BI49" s="49" t="n">
        <f aca="false">-$E49*N(AND(BI$3&lt;=$F49,BI$4&gt;=$F49))</f>
        <v>-0</v>
      </c>
      <c r="BJ49" s="49" t="n">
        <f aca="false">-$E49*N(AND(BJ$3&lt;=$F49,BJ$4&gt;=$F49))</f>
        <v>-0</v>
      </c>
      <c r="BK49" s="49" t="n">
        <f aca="false">-$E49*N(AND(BK$3&lt;=$F49,BK$4&gt;=$F49))</f>
        <v>-0</v>
      </c>
      <c r="BL49" s="49" t="n">
        <f aca="false">-$E49*N(AND(BL$3&lt;=$F49,BL$4&gt;=$F49))</f>
        <v>-0</v>
      </c>
      <c r="BM49" s="49" t="n">
        <f aca="false">-$E49*N(AND(BM$3&lt;=$F49,BM$4&gt;=$F49))</f>
        <v>-0</v>
      </c>
      <c r="BN49" s="49" t="n">
        <f aca="false">-$E49*N(AND(BN$3&lt;=$F49,BN$4&gt;=$F49))</f>
        <v>-0</v>
      </c>
      <c r="BO49" s="49" t="n">
        <f aca="false">-$E49*N(AND(BO$3&lt;=$F49,BO$4&gt;=$F49))</f>
        <v>-0</v>
      </c>
      <c r="BP49" s="49" t="n">
        <f aca="false">-$E49*N(AND(BP$3&lt;=$F49,BP$4&gt;=$F49))</f>
        <v>-0</v>
      </c>
      <c r="BQ49" s="49" t="n">
        <f aca="false">-$E49*N(AND(BQ$3&lt;=$F49,BQ$4&gt;=$F49))</f>
        <v>-0</v>
      </c>
      <c r="BR49" s="49" t="n">
        <f aca="false">-$E49*N(AND(BR$3&lt;=$F49,BR$4&gt;=$F49))</f>
        <v>-0</v>
      </c>
      <c r="BS49" s="49" t="n">
        <f aca="false">-$E49*N(AND(BS$3&lt;=$F49,BS$4&gt;=$F49))</f>
        <v>-0</v>
      </c>
      <c r="BT49" s="49" t="n">
        <f aca="false">-$E49*N(AND(BT$3&lt;=$F49,BT$4&gt;=$F49))</f>
        <v>-0</v>
      </c>
      <c r="BU49" s="49" t="n">
        <f aca="false">-$E49*N(AND(BU$3&lt;=$F49,BU$4&gt;=$F49))</f>
        <v>-0</v>
      </c>
      <c r="BV49" s="49" t="n">
        <f aca="false">-$E49*N(AND(BV$3&lt;=$F49,BV$4&gt;=$F49))</f>
        <v>-0</v>
      </c>
      <c r="BW49" s="49" t="n">
        <f aca="false">-$E49*N(AND(BW$3&lt;=$F49,BW$4&gt;=$F49))</f>
        <v>-0</v>
      </c>
      <c r="BX49" s="49" t="n">
        <f aca="false">-$E49*N(AND(BX$3&lt;=$F49,BX$4&gt;=$F49))</f>
        <v>-0</v>
      </c>
      <c r="BY49" s="49" t="n">
        <f aca="false">-$E49*N(AND(BY$3&lt;=$F49,BY$4&gt;=$F49))</f>
        <v>-0</v>
      </c>
      <c r="BZ49" s="49" t="n">
        <f aca="false">-$E49*N(AND(BZ$3&lt;=$F49,BZ$4&gt;=$F49))</f>
        <v>-0</v>
      </c>
      <c r="CA49" s="49" t="n">
        <f aca="false">-$E49*N(AND(CA$3&lt;=$F49,CA$4&gt;=$F49))</f>
        <v>-0</v>
      </c>
      <c r="CB49" s="49" t="n">
        <f aca="false">-$E49*N(AND(CB$3&lt;=$F49,CB$4&gt;=$F49))</f>
        <v>-0</v>
      </c>
      <c r="CC49" s="49" t="n">
        <f aca="false">-$E49*N(AND(CC$3&lt;=$F49,CC$4&gt;=$F49))</f>
        <v>-0</v>
      </c>
      <c r="CD49" s="49" t="n">
        <f aca="false">-$E49*N(AND(CD$3&lt;=$F49,CD$4&gt;=$F49))</f>
        <v>-0</v>
      </c>
      <c r="CE49" s="49" t="n">
        <f aca="false">-$E49*N(AND(CE$3&lt;=$F49,CE$4&gt;=$F49))</f>
        <v>-0</v>
      </c>
      <c r="CF49" s="49" t="n">
        <f aca="false">-$E49*N(AND(CF$3&lt;=$F49,CF$4&gt;=$F49))</f>
        <v>-0</v>
      </c>
      <c r="CG49" s="49" t="n">
        <f aca="false">-$E49*N(AND(CG$3&lt;=$F49,CG$4&gt;=$F49))</f>
        <v>-0</v>
      </c>
      <c r="CH49" s="49" t="n">
        <f aca="false">-$E49*N(AND(CH$3&lt;=$F49,CH$4&gt;=$F49))</f>
        <v>-0</v>
      </c>
      <c r="CI49" s="49" t="n">
        <f aca="false">-$E49*N(AND(CI$3&lt;=$F49,CI$4&gt;=$F49))</f>
        <v>-0</v>
      </c>
      <c r="CJ49" s="49" t="n">
        <f aca="false">-$E49*N(AND(CJ$3&lt;=$F49,CJ$4&gt;=$F49))</f>
        <v>-0</v>
      </c>
      <c r="CK49" s="49" t="n">
        <f aca="false">-$E49*N(AND(CK$3&lt;=$F49,CK$4&gt;=$F49))</f>
        <v>-0</v>
      </c>
      <c r="CL49" s="49" t="n">
        <f aca="false">-$E49*N(AND(CL$3&lt;=$F49,CL$4&gt;=$F49))</f>
        <v>-0</v>
      </c>
      <c r="CM49" s="49" t="n">
        <f aca="false">-$E49*N(AND(CM$3&lt;=$F49,CM$4&gt;=$F49))</f>
        <v>-0</v>
      </c>
      <c r="CN49" s="49" t="n">
        <f aca="false">-$E49*N(AND(CN$3&lt;=$F49,CN$4&gt;=$F49))</f>
        <v>-0</v>
      </c>
      <c r="CO49" s="49" t="n">
        <f aca="false">-$E49*N(AND(CO$3&lt;=$F49,CO$4&gt;=$F49))</f>
        <v>-0</v>
      </c>
      <c r="CP49" s="49" t="n">
        <f aca="false">-$E49*N(AND(CP$3&lt;=$F49,CP$4&gt;=$F49))</f>
        <v>-0</v>
      </c>
      <c r="CQ49" s="49" t="n">
        <f aca="false">-$E49*N(AND(CQ$3&lt;=$F49,CQ$4&gt;=$F49))</f>
        <v>-0</v>
      </c>
      <c r="CR49" s="49" t="n">
        <f aca="false">-$E49*N(AND(CR$3&lt;=$F49,CR$4&gt;=$F49))</f>
        <v>-0</v>
      </c>
      <c r="CS49" s="49" t="n">
        <f aca="false">-$E49*N(AND(CS$3&lt;=$F49,CS$4&gt;=$F49))</f>
        <v>-0</v>
      </c>
      <c r="CT49" s="49" t="n">
        <f aca="false">-$E49*N(AND(CT$3&lt;=$F49,CT$4&gt;=$F49))</f>
        <v>-0</v>
      </c>
      <c r="CU49" s="49" t="n">
        <f aca="false">-$E49*N(AND(CU$3&lt;=$F49,CU$4&gt;=$F49))</f>
        <v>-0</v>
      </c>
      <c r="CV49" s="49" t="n">
        <f aca="false">-$E49*N(AND(CV$3&lt;=$F49,CV$4&gt;=$F49))</f>
        <v>-0</v>
      </c>
      <c r="CW49" s="49" t="n">
        <f aca="false">-$E49*N(AND(CW$3&lt;=$F49,CW$4&gt;=$F49))</f>
        <v>-0</v>
      </c>
      <c r="CX49" s="49" t="n">
        <f aca="false">-$E49*N(AND(CX$3&lt;=$F49,CX$4&gt;=$F49))</f>
        <v>-0</v>
      </c>
      <c r="CY49" s="49" t="n">
        <f aca="false">-$E49*N(AND(CY$3&lt;=$F49,CY$4&gt;=$F49))</f>
        <v>-0</v>
      </c>
      <c r="CZ49" s="49" t="n">
        <f aca="false">-$E49*N(AND(CZ$3&lt;=$F49,CZ$4&gt;=$F49))</f>
        <v>-0</v>
      </c>
      <c r="DA49" s="49" t="n">
        <f aca="false">-$E49*N(AND(DA$3&lt;=$F49,DA$4&gt;=$F49))</f>
        <v>-0</v>
      </c>
      <c r="DB49" s="49" t="n">
        <f aca="false">-$E49*N(AND(DB$3&lt;=$F49,DB$4&gt;=$F49))</f>
        <v>-0</v>
      </c>
      <c r="DC49" s="49" t="n">
        <f aca="false">-$E49*N(AND(DC$3&lt;=$F49,DC$4&gt;=$F49))</f>
        <v>-0</v>
      </c>
      <c r="DD49" s="49" t="n">
        <f aca="false">-$E49*N(AND(DD$3&lt;=$F49,DD$4&gt;=$F49))</f>
        <v>-0</v>
      </c>
      <c r="DE49" s="49" t="n">
        <f aca="false">-$E49*N(AND(DE$3&lt;=$F49,DE$4&gt;=$F49))</f>
        <v>-0</v>
      </c>
      <c r="DF49" s="49" t="n">
        <f aca="false">-$E49*N(AND(DF$3&lt;=$F49,DF$4&gt;=$F49))</f>
        <v>-0</v>
      </c>
      <c r="DG49" s="49" t="n">
        <f aca="false">-$E49*N(AND(DG$3&lt;=$F49,DG$4&gt;=$F49))</f>
        <v>-0</v>
      </c>
      <c r="DH49" s="49" t="n">
        <f aca="false">-$E49*N(AND(DH$3&lt;=$F49,DH$4&gt;=$F49))</f>
        <v>-0</v>
      </c>
      <c r="DI49" s="49" t="n">
        <f aca="false">-$E49*N(AND(DI$3&lt;=$F49,DI$4&gt;=$F49))</f>
        <v>-0</v>
      </c>
      <c r="DJ49" s="49" t="n">
        <f aca="false">-$E49*N(AND(DJ$3&lt;=$F49,DJ$4&gt;=$F49))</f>
        <v>-0</v>
      </c>
      <c r="DK49" s="49" t="n">
        <f aca="false">-$E49*N(AND(DK$3&lt;=$F49,DK$4&gt;=$F49))</f>
        <v>-0</v>
      </c>
      <c r="DL49" s="49" t="n">
        <f aca="false">-$E49*N(AND(DL$3&lt;=$F49,DL$4&gt;=$F49))</f>
        <v>-0</v>
      </c>
      <c r="DM49" s="49" t="n">
        <f aca="false">-$E49*N(AND(DM$3&lt;=$F49,DM$4&gt;=$F49))</f>
        <v>-0</v>
      </c>
      <c r="DN49" s="49" t="n">
        <f aca="false">-$E49*N(AND(DN$3&lt;=$F49,DN$4&gt;=$F49))</f>
        <v>-0</v>
      </c>
      <c r="DO49" s="49" t="n">
        <f aca="false">-$E49*N(AND(DO$3&lt;=$F49,DO$4&gt;=$F49))</f>
        <v>-0</v>
      </c>
      <c r="DP49" s="49" t="n">
        <f aca="false">-$E49*N(AND(DP$3&lt;=$F49,DP$4&gt;=$F49))</f>
        <v>-0</v>
      </c>
      <c r="DQ49" s="49" t="n">
        <f aca="false">-$E49*N(AND(DQ$3&lt;=$F49,DQ$4&gt;=$F49))</f>
        <v>-0</v>
      </c>
      <c r="DR49" s="49" t="n">
        <f aca="false">-$E49*N(AND(DR$3&lt;=$F49,DR$4&gt;=$F49))</f>
        <v>-0</v>
      </c>
      <c r="DS49" s="49" t="n">
        <f aca="false">-$E49*N(AND(DS$3&lt;=$F49,DS$4&gt;=$F49))</f>
        <v>-0</v>
      </c>
      <c r="DT49" s="49" t="n">
        <f aca="false">-$E49*N(AND(DT$3&lt;=$F49,DT$4&gt;=$F49))</f>
        <v>-0</v>
      </c>
      <c r="DU49" s="49" t="n">
        <f aca="false">-$E49*N(AND(DU$3&lt;=$F49,DU$4&gt;=$F49))</f>
        <v>-0</v>
      </c>
      <c r="DV49" s="49" t="n">
        <f aca="false">-$E49*N(AND(DV$3&lt;=$F49,DV$4&gt;=$F49))</f>
        <v>-0</v>
      </c>
      <c r="DW49" s="49" t="n">
        <f aca="false">-$E49*N(AND(DW$3&lt;=$F49,DW$4&gt;=$F49))</f>
        <v>-0</v>
      </c>
      <c r="DX49" s="49" t="n">
        <f aca="false">-$E49*N(AND(DX$3&lt;=$F49,DX$4&gt;=$F49))</f>
        <v>-0</v>
      </c>
      <c r="DY49" s="49" t="n">
        <f aca="false">-$E49*N(AND(DY$3&lt;=$F49,DY$4&gt;=$F49))</f>
        <v>-0</v>
      </c>
      <c r="DZ49" s="49" t="n">
        <f aca="false">-$E49*N(AND(DZ$3&lt;=$F49,DZ$4&gt;=$F49))</f>
        <v>-0</v>
      </c>
      <c r="EA49" s="49" t="n">
        <f aca="false">-$E49*N(AND(EA$3&lt;=$F49,EA$4&gt;=$F49))</f>
        <v>-0</v>
      </c>
      <c r="EB49" s="49" t="n">
        <f aca="false">-$E49*N(AND(EB$3&lt;=$F49,EB$4&gt;=$F49))</f>
        <v>-0</v>
      </c>
      <c r="EC49" s="49" t="n">
        <f aca="false">-$E49*N(AND(EC$3&lt;=$F49,EC$4&gt;=$F49))</f>
        <v>-0</v>
      </c>
      <c r="ED49" s="49" t="n">
        <f aca="false">-$E49*N(AND(ED$3&lt;=$F49,ED$4&gt;=$F49))</f>
        <v>-0</v>
      </c>
      <c r="EE49" s="49" t="n">
        <f aca="false">-$E49*N(AND(EE$3&lt;=$F49,EE$4&gt;=$F49))</f>
        <v>-0</v>
      </c>
      <c r="EF49" s="49" t="n">
        <f aca="false">-$E49*N(AND(EF$3&lt;=$F49,EF$4&gt;=$F49))</f>
        <v>-0</v>
      </c>
      <c r="EG49" s="49" t="n">
        <f aca="false">-$E49*N(AND(EG$3&lt;=$F49,EG$4&gt;=$F49))</f>
        <v>-0</v>
      </c>
      <c r="EH49" s="49" t="n">
        <f aca="false">-$E49*N(AND(EH$3&lt;=$F49,EH$4&gt;=$F49))</f>
        <v>-0</v>
      </c>
      <c r="EI49" s="49" t="n">
        <f aca="false">-$E49*N(AND(EI$3&lt;=$F49,EI$4&gt;=$F49))</f>
        <v>-0</v>
      </c>
      <c r="EJ49" s="49" t="n">
        <f aca="false">-$E49*N(AND(EJ$3&lt;=$F49,EJ$4&gt;=$F49))</f>
        <v>-0</v>
      </c>
      <c r="EK49" s="49" t="n">
        <f aca="false">-$E49*N(AND(EK$3&lt;=$F49,EK$4&gt;=$F49))</f>
        <v>-0</v>
      </c>
      <c r="EL49" s="49" t="n">
        <f aca="false">-$E49*N(AND(EL$3&lt;=$F49,EL$4&gt;=$F49))</f>
        <v>-0</v>
      </c>
      <c r="EM49" s="49" t="n">
        <f aca="false">-$E49*N(AND(EM$3&lt;=$F49,EM$4&gt;=$F49))</f>
        <v>-0</v>
      </c>
      <c r="EN49" s="49" t="n">
        <f aca="false">-$E49*N(AND(EN$3&lt;=$F49,EN$4&gt;=$F49))</f>
        <v>-0</v>
      </c>
      <c r="EO49" s="49" t="n">
        <f aca="false">-$E49*N(AND(EO$3&lt;=$F49,EO$4&gt;=$F49))</f>
        <v>-0</v>
      </c>
    </row>
    <row r="50" customFormat="false" ht="15" hidden="false" customHeight="false" outlineLevel="0" collapsed="false">
      <c r="C50" s="1" t="s">
        <v>446</v>
      </c>
      <c r="D50" s="12" t="s">
        <v>33</v>
      </c>
      <c r="I50" s="49" t="n">
        <f aca="false">SUM(J50:EO50)</f>
        <v>-500</v>
      </c>
      <c r="J50" s="49" t="n">
        <f aca="false">-In_Devex*J13</f>
        <v>-0</v>
      </c>
      <c r="K50" s="49" t="n">
        <f aca="false">-In_Devex*K13</f>
        <v>-70.4225352112676</v>
      </c>
      <c r="L50" s="49" t="n">
        <f aca="false">-In_Devex*L13</f>
        <v>-71.2050078247261</v>
      </c>
      <c r="M50" s="49" t="n">
        <f aca="false">-In_Devex*M13</f>
        <v>-71.9874804381847</v>
      </c>
      <c r="N50" s="49" t="n">
        <f aca="false">-In_Devex*N13</f>
        <v>-71.9874804381847</v>
      </c>
      <c r="O50" s="49" t="n">
        <f aca="false">-In_Devex*O13</f>
        <v>-71.2050078247261</v>
      </c>
      <c r="P50" s="49" t="n">
        <f aca="false">-In_Devex*P13</f>
        <v>-71.2050078247261</v>
      </c>
      <c r="Q50" s="49" t="n">
        <f aca="false">-In_Devex*Q13</f>
        <v>-71.9874804381847</v>
      </c>
      <c r="R50" s="49" t="n">
        <f aca="false">-In_Devex*R13</f>
        <v>-0</v>
      </c>
      <c r="S50" s="49" t="n">
        <f aca="false">-In_Devex*S13</f>
        <v>-0</v>
      </c>
      <c r="T50" s="49" t="n">
        <f aca="false">-In_Devex*T13</f>
        <v>-0</v>
      </c>
      <c r="U50" s="49" t="n">
        <f aca="false">-In_Devex*U13</f>
        <v>-0</v>
      </c>
      <c r="V50" s="49" t="n">
        <f aca="false">-In_Devex*V13</f>
        <v>-0</v>
      </c>
      <c r="W50" s="49" t="n">
        <f aca="false">-In_Devex*W13</f>
        <v>-0</v>
      </c>
      <c r="X50" s="49" t="n">
        <f aca="false">-In_Devex*X13</f>
        <v>-0</v>
      </c>
      <c r="Y50" s="49" t="n">
        <f aca="false">-In_Devex*Y13</f>
        <v>-0</v>
      </c>
      <c r="Z50" s="49" t="n">
        <f aca="false">-In_Devex*Z13</f>
        <v>-0</v>
      </c>
      <c r="AA50" s="49" t="n">
        <f aca="false">-In_Devex*AA13</f>
        <v>-0</v>
      </c>
      <c r="AB50" s="49" t="n">
        <f aca="false">-In_Devex*AB13</f>
        <v>-0</v>
      </c>
      <c r="AC50" s="49" t="n">
        <f aca="false">-In_Devex*AC13</f>
        <v>-0</v>
      </c>
      <c r="AD50" s="49" t="n">
        <f aca="false">-In_Devex*AD13</f>
        <v>-0</v>
      </c>
      <c r="AE50" s="49" t="n">
        <f aca="false">-In_Devex*AE13</f>
        <v>-0</v>
      </c>
      <c r="AF50" s="49" t="n">
        <f aca="false">-In_Devex*AF13</f>
        <v>-0</v>
      </c>
      <c r="AG50" s="49" t="n">
        <f aca="false">-In_Devex*AG13</f>
        <v>-0</v>
      </c>
      <c r="AH50" s="49" t="n">
        <f aca="false">-In_Devex*AH13</f>
        <v>-0</v>
      </c>
      <c r="AI50" s="49" t="n">
        <f aca="false">-In_Devex*AI13</f>
        <v>-0</v>
      </c>
      <c r="AJ50" s="49" t="n">
        <f aca="false">-In_Devex*AJ13</f>
        <v>-0</v>
      </c>
      <c r="AK50" s="49" t="n">
        <f aca="false">-In_Devex*AK13</f>
        <v>-0</v>
      </c>
      <c r="AL50" s="49" t="n">
        <f aca="false">-In_Devex*AL13</f>
        <v>-0</v>
      </c>
      <c r="AM50" s="49" t="n">
        <f aca="false">-In_Devex*AM13</f>
        <v>-0</v>
      </c>
      <c r="AN50" s="49" t="n">
        <f aca="false">-In_Devex*AN13</f>
        <v>-0</v>
      </c>
      <c r="AO50" s="49" t="n">
        <f aca="false">-In_Devex*AO13</f>
        <v>-0</v>
      </c>
      <c r="AP50" s="49" t="n">
        <f aca="false">-In_Devex*AP13</f>
        <v>-0</v>
      </c>
      <c r="AQ50" s="49" t="n">
        <f aca="false">-In_Devex*AQ13</f>
        <v>-0</v>
      </c>
      <c r="AR50" s="49" t="n">
        <f aca="false">-In_Devex*AR13</f>
        <v>-0</v>
      </c>
      <c r="AS50" s="49" t="n">
        <f aca="false">-In_Devex*AS13</f>
        <v>-0</v>
      </c>
      <c r="AT50" s="49" t="n">
        <f aca="false">-In_Devex*AT13</f>
        <v>-0</v>
      </c>
      <c r="AU50" s="49" t="n">
        <f aca="false">-In_Devex*AU13</f>
        <v>-0</v>
      </c>
      <c r="AV50" s="49" t="n">
        <f aca="false">-In_Devex*AV13</f>
        <v>-0</v>
      </c>
      <c r="AW50" s="49" t="n">
        <f aca="false">-In_Devex*AW13</f>
        <v>-0</v>
      </c>
      <c r="AX50" s="49" t="n">
        <f aca="false">-In_Devex*AX13</f>
        <v>-0</v>
      </c>
      <c r="AY50" s="49" t="n">
        <f aca="false">-In_Devex*AY13</f>
        <v>-0</v>
      </c>
      <c r="AZ50" s="49" t="n">
        <f aca="false">-In_Devex*AZ13</f>
        <v>-0</v>
      </c>
      <c r="BA50" s="49" t="n">
        <f aca="false">-In_Devex*BA13</f>
        <v>-0</v>
      </c>
      <c r="BB50" s="49" t="n">
        <f aca="false">-In_Devex*BB13</f>
        <v>-0</v>
      </c>
      <c r="BC50" s="49" t="n">
        <f aca="false">-In_Devex*BC13</f>
        <v>-0</v>
      </c>
      <c r="BD50" s="49" t="n">
        <f aca="false">-In_Devex*BD13</f>
        <v>-0</v>
      </c>
      <c r="BE50" s="49" t="n">
        <f aca="false">-In_Devex*BE13</f>
        <v>-0</v>
      </c>
      <c r="BF50" s="49" t="n">
        <f aca="false">-In_Devex*BF13</f>
        <v>-0</v>
      </c>
      <c r="BG50" s="49" t="n">
        <f aca="false">-In_Devex*BG13</f>
        <v>-0</v>
      </c>
      <c r="BH50" s="49" t="n">
        <f aca="false">-In_Devex*BH13</f>
        <v>-0</v>
      </c>
      <c r="BI50" s="49" t="n">
        <f aca="false">-In_Devex*BI13</f>
        <v>-0</v>
      </c>
      <c r="BJ50" s="49" t="n">
        <f aca="false">-In_Devex*BJ13</f>
        <v>-0</v>
      </c>
      <c r="BK50" s="49" t="n">
        <f aca="false">-In_Devex*BK13</f>
        <v>-0</v>
      </c>
      <c r="BL50" s="49" t="n">
        <f aca="false">-In_Devex*BL13</f>
        <v>-0</v>
      </c>
      <c r="BM50" s="49" t="n">
        <f aca="false">-In_Devex*BM13</f>
        <v>-0</v>
      </c>
      <c r="BN50" s="49" t="n">
        <f aca="false">-In_Devex*BN13</f>
        <v>-0</v>
      </c>
      <c r="BO50" s="49" t="n">
        <f aca="false">-In_Devex*BO13</f>
        <v>-0</v>
      </c>
      <c r="BP50" s="49" t="n">
        <f aca="false">-In_Devex*BP13</f>
        <v>-0</v>
      </c>
      <c r="BQ50" s="49" t="n">
        <f aca="false">-In_Devex*BQ13</f>
        <v>-0</v>
      </c>
      <c r="BR50" s="49" t="n">
        <f aca="false">-In_Devex*BR13</f>
        <v>-0</v>
      </c>
      <c r="BS50" s="49" t="n">
        <f aca="false">-In_Devex*BS13</f>
        <v>-0</v>
      </c>
      <c r="BT50" s="49" t="n">
        <f aca="false">-In_Devex*BT13</f>
        <v>-0</v>
      </c>
      <c r="BU50" s="49" t="n">
        <f aca="false">-In_Devex*BU13</f>
        <v>-0</v>
      </c>
      <c r="BV50" s="49" t="n">
        <f aca="false">-In_Devex*BV13</f>
        <v>-0</v>
      </c>
      <c r="BW50" s="49" t="n">
        <f aca="false">-In_Devex*BW13</f>
        <v>-0</v>
      </c>
      <c r="BX50" s="49" t="n">
        <f aca="false">-In_Devex*BX13</f>
        <v>-0</v>
      </c>
      <c r="BY50" s="49" t="n">
        <f aca="false">-In_Devex*BY13</f>
        <v>-0</v>
      </c>
      <c r="BZ50" s="49" t="n">
        <f aca="false">-In_Devex*BZ13</f>
        <v>-0</v>
      </c>
      <c r="CA50" s="49" t="n">
        <f aca="false">-In_Devex*CA13</f>
        <v>-0</v>
      </c>
      <c r="CB50" s="49" t="n">
        <f aca="false">-In_Devex*CB13</f>
        <v>-0</v>
      </c>
      <c r="CC50" s="49" t="n">
        <f aca="false">-In_Devex*CC13</f>
        <v>-0</v>
      </c>
      <c r="CD50" s="49" t="n">
        <f aca="false">-In_Devex*CD13</f>
        <v>-0</v>
      </c>
      <c r="CE50" s="49" t="n">
        <f aca="false">-In_Devex*CE13</f>
        <v>-0</v>
      </c>
      <c r="CF50" s="49" t="n">
        <f aca="false">-In_Devex*CF13</f>
        <v>-0</v>
      </c>
      <c r="CG50" s="49" t="n">
        <f aca="false">-In_Devex*CG13</f>
        <v>-0</v>
      </c>
      <c r="CH50" s="49" t="n">
        <f aca="false">-In_Devex*CH13</f>
        <v>-0</v>
      </c>
      <c r="CI50" s="49" t="n">
        <f aca="false">-In_Devex*CI13</f>
        <v>-0</v>
      </c>
      <c r="CJ50" s="49" t="n">
        <f aca="false">-In_Devex*CJ13</f>
        <v>-0</v>
      </c>
      <c r="CK50" s="49" t="n">
        <f aca="false">-In_Devex*CK13</f>
        <v>-0</v>
      </c>
      <c r="CL50" s="49" t="n">
        <f aca="false">-In_Devex*CL13</f>
        <v>-0</v>
      </c>
      <c r="CM50" s="49" t="n">
        <f aca="false">-In_Devex*CM13</f>
        <v>-0</v>
      </c>
      <c r="CN50" s="49" t="n">
        <f aca="false">-In_Devex*CN13</f>
        <v>-0</v>
      </c>
      <c r="CO50" s="49" t="n">
        <f aca="false">-In_Devex*CO13</f>
        <v>-0</v>
      </c>
      <c r="CP50" s="49" t="n">
        <f aca="false">-In_Devex*CP13</f>
        <v>-0</v>
      </c>
      <c r="CQ50" s="49" t="n">
        <f aca="false">-In_Devex*CQ13</f>
        <v>-0</v>
      </c>
      <c r="CR50" s="49" t="n">
        <f aca="false">-In_Devex*CR13</f>
        <v>-0</v>
      </c>
      <c r="CS50" s="49" t="n">
        <f aca="false">-In_Devex*CS13</f>
        <v>-0</v>
      </c>
      <c r="CT50" s="49" t="n">
        <f aca="false">-In_Devex*CT13</f>
        <v>-0</v>
      </c>
      <c r="CU50" s="49" t="n">
        <f aca="false">-In_Devex*CU13</f>
        <v>-0</v>
      </c>
      <c r="CV50" s="49" t="n">
        <f aca="false">-In_Devex*CV13</f>
        <v>-0</v>
      </c>
      <c r="CW50" s="49" t="n">
        <f aca="false">-In_Devex*CW13</f>
        <v>-0</v>
      </c>
      <c r="CX50" s="49" t="n">
        <f aca="false">-In_Devex*CX13</f>
        <v>-0</v>
      </c>
      <c r="CY50" s="49" t="n">
        <f aca="false">-In_Devex*CY13</f>
        <v>-0</v>
      </c>
      <c r="CZ50" s="49" t="n">
        <f aca="false">-In_Devex*CZ13</f>
        <v>-0</v>
      </c>
      <c r="DA50" s="49" t="n">
        <f aca="false">-In_Devex*DA13</f>
        <v>-0</v>
      </c>
      <c r="DB50" s="49" t="n">
        <f aca="false">-In_Devex*DB13</f>
        <v>-0</v>
      </c>
      <c r="DC50" s="49" t="n">
        <f aca="false">-In_Devex*DC13</f>
        <v>-0</v>
      </c>
      <c r="DD50" s="49" t="n">
        <f aca="false">-In_Devex*DD13</f>
        <v>-0</v>
      </c>
      <c r="DE50" s="49" t="n">
        <f aca="false">-In_Devex*DE13</f>
        <v>-0</v>
      </c>
      <c r="DF50" s="49" t="n">
        <f aca="false">-In_Devex*DF13</f>
        <v>-0</v>
      </c>
      <c r="DG50" s="49" t="n">
        <f aca="false">-In_Devex*DG13</f>
        <v>-0</v>
      </c>
      <c r="DH50" s="49" t="n">
        <f aca="false">-In_Devex*DH13</f>
        <v>-0</v>
      </c>
      <c r="DI50" s="49" t="n">
        <f aca="false">-In_Devex*DI13</f>
        <v>-0</v>
      </c>
      <c r="DJ50" s="49" t="n">
        <f aca="false">-In_Devex*DJ13</f>
        <v>-0</v>
      </c>
      <c r="DK50" s="49" t="n">
        <f aca="false">-In_Devex*DK13</f>
        <v>-0</v>
      </c>
      <c r="DL50" s="49" t="n">
        <f aca="false">-In_Devex*DL13</f>
        <v>-0</v>
      </c>
      <c r="DM50" s="49" t="n">
        <f aca="false">-In_Devex*DM13</f>
        <v>-0</v>
      </c>
      <c r="DN50" s="49" t="n">
        <f aca="false">-In_Devex*DN13</f>
        <v>-0</v>
      </c>
      <c r="DO50" s="49" t="n">
        <f aca="false">-In_Devex*DO13</f>
        <v>-0</v>
      </c>
      <c r="DP50" s="49" t="n">
        <f aca="false">-In_Devex*DP13</f>
        <v>-0</v>
      </c>
      <c r="DQ50" s="49" t="n">
        <f aca="false">-In_Devex*DQ13</f>
        <v>-0</v>
      </c>
      <c r="DR50" s="49" t="n">
        <f aca="false">-In_Devex*DR13</f>
        <v>-0</v>
      </c>
      <c r="DS50" s="49" t="n">
        <f aca="false">-In_Devex*DS13</f>
        <v>-0</v>
      </c>
      <c r="DT50" s="49" t="n">
        <f aca="false">-In_Devex*DT13</f>
        <v>-0</v>
      </c>
      <c r="DU50" s="49" t="n">
        <f aca="false">-In_Devex*DU13</f>
        <v>-0</v>
      </c>
      <c r="DV50" s="49" t="n">
        <f aca="false">-In_Devex*DV13</f>
        <v>-0</v>
      </c>
      <c r="DW50" s="49" t="n">
        <f aca="false">-In_Devex*DW13</f>
        <v>-0</v>
      </c>
      <c r="DX50" s="49" t="n">
        <f aca="false">-In_Devex*DX13</f>
        <v>-0</v>
      </c>
      <c r="DY50" s="49" t="n">
        <f aca="false">-In_Devex*DY13</f>
        <v>-0</v>
      </c>
      <c r="DZ50" s="49" t="n">
        <f aca="false">-In_Devex*DZ13</f>
        <v>-0</v>
      </c>
      <c r="EA50" s="49" t="n">
        <f aca="false">-In_Devex*EA13</f>
        <v>-0</v>
      </c>
      <c r="EB50" s="49" t="n">
        <f aca="false">-In_Devex*EB13</f>
        <v>-0</v>
      </c>
      <c r="EC50" s="49" t="n">
        <f aca="false">-In_Devex*EC13</f>
        <v>-0</v>
      </c>
      <c r="ED50" s="49" t="n">
        <f aca="false">-In_Devex*ED13</f>
        <v>-0</v>
      </c>
      <c r="EE50" s="49" t="n">
        <f aca="false">-In_Devex*EE13</f>
        <v>-0</v>
      </c>
      <c r="EF50" s="49" t="n">
        <f aca="false">-In_Devex*EF13</f>
        <v>-0</v>
      </c>
      <c r="EG50" s="49" t="n">
        <f aca="false">-In_Devex*EG13</f>
        <v>-0</v>
      </c>
      <c r="EH50" s="49" t="n">
        <f aca="false">-In_Devex*EH13</f>
        <v>-0</v>
      </c>
      <c r="EI50" s="49" t="n">
        <f aca="false">-In_Devex*EI13</f>
        <v>-0</v>
      </c>
      <c r="EJ50" s="49" t="n">
        <f aca="false">-In_Devex*EJ13</f>
        <v>-0</v>
      </c>
      <c r="EK50" s="49" t="n">
        <f aca="false">-In_Devex*EK13</f>
        <v>-0</v>
      </c>
      <c r="EL50" s="49" t="n">
        <f aca="false">-In_Devex*EL13</f>
        <v>-0</v>
      </c>
      <c r="EM50" s="49" t="n">
        <f aca="false">-In_Devex*EM13</f>
        <v>-0</v>
      </c>
      <c r="EN50" s="49" t="n">
        <f aca="false">-In_Devex*EN13</f>
        <v>-0</v>
      </c>
      <c r="EO50" s="49" t="n">
        <f aca="false">-In_Devex*EO13</f>
        <v>-0</v>
      </c>
    </row>
    <row r="51" customFormat="false" ht="15" hidden="false" customHeight="false" outlineLevel="0" collapsed="false">
      <c r="C51" s="1" t="s">
        <v>447</v>
      </c>
      <c r="D51" s="12" t="s">
        <v>300</v>
      </c>
      <c r="E51" s="49" t="n">
        <f aca="false">$E25*In_Bench_Wind+$E28*In_Bench_BESS</f>
        <v>32360</v>
      </c>
    </row>
    <row r="52" customFormat="false" ht="15" hidden="false" customHeight="false" outlineLevel="0" collapsed="false">
      <c r="C52" s="1" t="s">
        <v>448</v>
      </c>
      <c r="D52" s="12" t="s">
        <v>33</v>
      </c>
      <c r="E52" s="49" t="n">
        <f aca="false">In_Part_Fee*Thousand/In_FX</f>
        <v>8.21917808219178</v>
      </c>
      <c r="F52" s="21" t="n">
        <f aca="false">In_Bid_Date</f>
        <v>46325</v>
      </c>
      <c r="I52" s="49" t="n">
        <f aca="false">SUM(J52:EO52)</f>
        <v>-8.21917808219178</v>
      </c>
      <c r="J52" s="49" t="n">
        <f aca="false">-$E52*N(AND(J$3&lt;=$F52,J$4&gt;=$F52))</f>
        <v>-8.21917808219178</v>
      </c>
      <c r="K52" s="49" t="n">
        <f aca="false">-$E52*N(AND(K$3&lt;=$F52,K$4&gt;=$F52))</f>
        <v>-0</v>
      </c>
      <c r="L52" s="49" t="n">
        <f aca="false">-$E52*N(AND(L$3&lt;=$F52,L$4&gt;=$F52))</f>
        <v>-0</v>
      </c>
      <c r="M52" s="49" t="n">
        <f aca="false">-$E52*N(AND(M$3&lt;=$F52,M$4&gt;=$F52))</f>
        <v>-0</v>
      </c>
      <c r="N52" s="49" t="n">
        <f aca="false">-$E52*N(AND(N$3&lt;=$F52,N$4&gt;=$F52))</f>
        <v>-0</v>
      </c>
      <c r="O52" s="49" t="n">
        <f aca="false">-$E52*N(AND(O$3&lt;=$F52,O$4&gt;=$F52))</f>
        <v>-0</v>
      </c>
      <c r="P52" s="49" t="n">
        <f aca="false">-$E52*N(AND(P$3&lt;=$F52,P$4&gt;=$F52))</f>
        <v>-0</v>
      </c>
      <c r="Q52" s="49" t="n">
        <f aca="false">-$E52*N(AND(Q$3&lt;=$F52,Q$4&gt;=$F52))</f>
        <v>-0</v>
      </c>
      <c r="R52" s="49" t="n">
        <f aca="false">-$E52*N(AND(R$3&lt;=$F52,R$4&gt;=$F52))</f>
        <v>-0</v>
      </c>
      <c r="S52" s="49" t="n">
        <f aca="false">-$E52*N(AND(S$3&lt;=$F52,S$4&gt;=$F52))</f>
        <v>-0</v>
      </c>
      <c r="T52" s="49" t="n">
        <f aca="false">-$E52*N(AND(T$3&lt;=$F52,T$4&gt;=$F52))</f>
        <v>-0</v>
      </c>
      <c r="U52" s="49" t="n">
        <f aca="false">-$E52*N(AND(U$3&lt;=$F52,U$4&gt;=$F52))</f>
        <v>-0</v>
      </c>
      <c r="V52" s="49" t="n">
        <f aca="false">-$E52*N(AND(V$3&lt;=$F52,V$4&gt;=$F52))</f>
        <v>-0</v>
      </c>
      <c r="W52" s="49" t="n">
        <f aca="false">-$E52*N(AND(W$3&lt;=$F52,W$4&gt;=$F52))</f>
        <v>-0</v>
      </c>
      <c r="X52" s="49" t="n">
        <f aca="false">-$E52*N(AND(X$3&lt;=$F52,X$4&gt;=$F52))</f>
        <v>-0</v>
      </c>
      <c r="Y52" s="49" t="n">
        <f aca="false">-$E52*N(AND(Y$3&lt;=$F52,Y$4&gt;=$F52))</f>
        <v>-0</v>
      </c>
      <c r="Z52" s="49" t="n">
        <f aca="false">-$E52*N(AND(Z$3&lt;=$F52,Z$4&gt;=$F52))</f>
        <v>-0</v>
      </c>
      <c r="AA52" s="49" t="n">
        <f aca="false">-$E52*N(AND(AA$3&lt;=$F52,AA$4&gt;=$F52))</f>
        <v>-0</v>
      </c>
      <c r="AB52" s="49" t="n">
        <f aca="false">-$E52*N(AND(AB$3&lt;=$F52,AB$4&gt;=$F52))</f>
        <v>-0</v>
      </c>
      <c r="AC52" s="49" t="n">
        <f aca="false">-$E52*N(AND(AC$3&lt;=$F52,AC$4&gt;=$F52))</f>
        <v>-0</v>
      </c>
      <c r="AD52" s="49" t="n">
        <f aca="false">-$E52*N(AND(AD$3&lt;=$F52,AD$4&gt;=$F52))</f>
        <v>-0</v>
      </c>
      <c r="AE52" s="49" t="n">
        <f aca="false">-$E52*N(AND(AE$3&lt;=$F52,AE$4&gt;=$F52))</f>
        <v>-0</v>
      </c>
      <c r="AF52" s="49" t="n">
        <f aca="false">-$E52*N(AND(AF$3&lt;=$F52,AF$4&gt;=$F52))</f>
        <v>-0</v>
      </c>
      <c r="AG52" s="49" t="n">
        <f aca="false">-$E52*N(AND(AG$3&lt;=$F52,AG$4&gt;=$F52))</f>
        <v>-0</v>
      </c>
      <c r="AH52" s="49" t="n">
        <f aca="false">-$E52*N(AND(AH$3&lt;=$F52,AH$4&gt;=$F52))</f>
        <v>-0</v>
      </c>
      <c r="AI52" s="49" t="n">
        <f aca="false">-$E52*N(AND(AI$3&lt;=$F52,AI$4&gt;=$F52))</f>
        <v>-0</v>
      </c>
      <c r="AJ52" s="49" t="n">
        <f aca="false">-$E52*N(AND(AJ$3&lt;=$F52,AJ$4&gt;=$F52))</f>
        <v>-0</v>
      </c>
      <c r="AK52" s="49" t="n">
        <f aca="false">-$E52*N(AND(AK$3&lt;=$F52,AK$4&gt;=$F52))</f>
        <v>-0</v>
      </c>
      <c r="AL52" s="49" t="n">
        <f aca="false">-$E52*N(AND(AL$3&lt;=$F52,AL$4&gt;=$F52))</f>
        <v>-0</v>
      </c>
      <c r="AM52" s="49" t="n">
        <f aca="false">-$E52*N(AND(AM$3&lt;=$F52,AM$4&gt;=$F52))</f>
        <v>-0</v>
      </c>
      <c r="AN52" s="49" t="n">
        <f aca="false">-$E52*N(AND(AN$3&lt;=$F52,AN$4&gt;=$F52))</f>
        <v>-0</v>
      </c>
      <c r="AO52" s="49" t="n">
        <f aca="false">-$E52*N(AND(AO$3&lt;=$F52,AO$4&gt;=$F52))</f>
        <v>-0</v>
      </c>
      <c r="AP52" s="49" t="n">
        <f aca="false">-$E52*N(AND(AP$3&lt;=$F52,AP$4&gt;=$F52))</f>
        <v>-0</v>
      </c>
      <c r="AQ52" s="49" t="n">
        <f aca="false">-$E52*N(AND(AQ$3&lt;=$F52,AQ$4&gt;=$F52))</f>
        <v>-0</v>
      </c>
      <c r="AR52" s="49" t="n">
        <f aca="false">-$E52*N(AND(AR$3&lt;=$F52,AR$4&gt;=$F52))</f>
        <v>-0</v>
      </c>
      <c r="AS52" s="49" t="n">
        <f aca="false">-$E52*N(AND(AS$3&lt;=$F52,AS$4&gt;=$F52))</f>
        <v>-0</v>
      </c>
      <c r="AT52" s="49" t="n">
        <f aca="false">-$E52*N(AND(AT$3&lt;=$F52,AT$4&gt;=$F52))</f>
        <v>-0</v>
      </c>
      <c r="AU52" s="49" t="n">
        <f aca="false">-$E52*N(AND(AU$3&lt;=$F52,AU$4&gt;=$F52))</f>
        <v>-0</v>
      </c>
      <c r="AV52" s="49" t="n">
        <f aca="false">-$E52*N(AND(AV$3&lt;=$F52,AV$4&gt;=$F52))</f>
        <v>-0</v>
      </c>
      <c r="AW52" s="49" t="n">
        <f aca="false">-$E52*N(AND(AW$3&lt;=$F52,AW$4&gt;=$F52))</f>
        <v>-0</v>
      </c>
      <c r="AX52" s="49" t="n">
        <f aca="false">-$E52*N(AND(AX$3&lt;=$F52,AX$4&gt;=$F52))</f>
        <v>-0</v>
      </c>
      <c r="AY52" s="49" t="n">
        <f aca="false">-$E52*N(AND(AY$3&lt;=$F52,AY$4&gt;=$F52))</f>
        <v>-0</v>
      </c>
      <c r="AZ52" s="49" t="n">
        <f aca="false">-$E52*N(AND(AZ$3&lt;=$F52,AZ$4&gt;=$F52))</f>
        <v>-0</v>
      </c>
      <c r="BA52" s="49" t="n">
        <f aca="false">-$E52*N(AND(BA$3&lt;=$F52,BA$4&gt;=$F52))</f>
        <v>-0</v>
      </c>
      <c r="BB52" s="49" t="n">
        <f aca="false">-$E52*N(AND(BB$3&lt;=$F52,BB$4&gt;=$F52))</f>
        <v>-0</v>
      </c>
      <c r="BC52" s="49" t="n">
        <f aca="false">-$E52*N(AND(BC$3&lt;=$F52,BC$4&gt;=$F52))</f>
        <v>-0</v>
      </c>
      <c r="BD52" s="49" t="n">
        <f aca="false">-$E52*N(AND(BD$3&lt;=$F52,BD$4&gt;=$F52))</f>
        <v>-0</v>
      </c>
      <c r="BE52" s="49" t="n">
        <f aca="false">-$E52*N(AND(BE$3&lt;=$F52,BE$4&gt;=$F52))</f>
        <v>-0</v>
      </c>
      <c r="BF52" s="49" t="n">
        <f aca="false">-$E52*N(AND(BF$3&lt;=$F52,BF$4&gt;=$F52))</f>
        <v>-0</v>
      </c>
      <c r="BG52" s="49" t="n">
        <f aca="false">-$E52*N(AND(BG$3&lt;=$F52,BG$4&gt;=$F52))</f>
        <v>-0</v>
      </c>
      <c r="BH52" s="49" t="n">
        <f aca="false">-$E52*N(AND(BH$3&lt;=$F52,BH$4&gt;=$F52))</f>
        <v>-0</v>
      </c>
      <c r="BI52" s="49" t="n">
        <f aca="false">-$E52*N(AND(BI$3&lt;=$F52,BI$4&gt;=$F52))</f>
        <v>-0</v>
      </c>
      <c r="BJ52" s="49" t="n">
        <f aca="false">-$E52*N(AND(BJ$3&lt;=$F52,BJ$4&gt;=$F52))</f>
        <v>-0</v>
      </c>
      <c r="BK52" s="49" t="n">
        <f aca="false">-$E52*N(AND(BK$3&lt;=$F52,BK$4&gt;=$F52))</f>
        <v>-0</v>
      </c>
      <c r="BL52" s="49" t="n">
        <f aca="false">-$E52*N(AND(BL$3&lt;=$F52,BL$4&gt;=$F52))</f>
        <v>-0</v>
      </c>
      <c r="BM52" s="49" t="n">
        <f aca="false">-$E52*N(AND(BM$3&lt;=$F52,BM$4&gt;=$F52))</f>
        <v>-0</v>
      </c>
      <c r="BN52" s="49" t="n">
        <f aca="false">-$E52*N(AND(BN$3&lt;=$F52,BN$4&gt;=$F52))</f>
        <v>-0</v>
      </c>
      <c r="BO52" s="49" t="n">
        <f aca="false">-$E52*N(AND(BO$3&lt;=$F52,BO$4&gt;=$F52))</f>
        <v>-0</v>
      </c>
      <c r="BP52" s="49" t="n">
        <f aca="false">-$E52*N(AND(BP$3&lt;=$F52,BP$4&gt;=$F52))</f>
        <v>-0</v>
      </c>
      <c r="BQ52" s="49" t="n">
        <f aca="false">-$E52*N(AND(BQ$3&lt;=$F52,BQ$4&gt;=$F52))</f>
        <v>-0</v>
      </c>
      <c r="BR52" s="49" t="n">
        <f aca="false">-$E52*N(AND(BR$3&lt;=$F52,BR$4&gt;=$F52))</f>
        <v>-0</v>
      </c>
      <c r="BS52" s="49" t="n">
        <f aca="false">-$E52*N(AND(BS$3&lt;=$F52,BS$4&gt;=$F52))</f>
        <v>-0</v>
      </c>
      <c r="BT52" s="49" t="n">
        <f aca="false">-$E52*N(AND(BT$3&lt;=$F52,BT$4&gt;=$F52))</f>
        <v>-0</v>
      </c>
      <c r="BU52" s="49" t="n">
        <f aca="false">-$E52*N(AND(BU$3&lt;=$F52,BU$4&gt;=$F52))</f>
        <v>-0</v>
      </c>
      <c r="BV52" s="49" t="n">
        <f aca="false">-$E52*N(AND(BV$3&lt;=$F52,BV$4&gt;=$F52))</f>
        <v>-0</v>
      </c>
      <c r="BW52" s="49" t="n">
        <f aca="false">-$E52*N(AND(BW$3&lt;=$F52,BW$4&gt;=$F52))</f>
        <v>-0</v>
      </c>
      <c r="BX52" s="49" t="n">
        <f aca="false">-$E52*N(AND(BX$3&lt;=$F52,BX$4&gt;=$F52))</f>
        <v>-0</v>
      </c>
      <c r="BY52" s="49" t="n">
        <f aca="false">-$E52*N(AND(BY$3&lt;=$F52,BY$4&gt;=$F52))</f>
        <v>-0</v>
      </c>
      <c r="BZ52" s="49" t="n">
        <f aca="false">-$E52*N(AND(BZ$3&lt;=$F52,BZ$4&gt;=$F52))</f>
        <v>-0</v>
      </c>
      <c r="CA52" s="49" t="n">
        <f aca="false">-$E52*N(AND(CA$3&lt;=$F52,CA$4&gt;=$F52))</f>
        <v>-0</v>
      </c>
      <c r="CB52" s="49" t="n">
        <f aca="false">-$E52*N(AND(CB$3&lt;=$F52,CB$4&gt;=$F52))</f>
        <v>-0</v>
      </c>
      <c r="CC52" s="49" t="n">
        <f aca="false">-$E52*N(AND(CC$3&lt;=$F52,CC$4&gt;=$F52))</f>
        <v>-0</v>
      </c>
      <c r="CD52" s="49" t="n">
        <f aca="false">-$E52*N(AND(CD$3&lt;=$F52,CD$4&gt;=$F52))</f>
        <v>-0</v>
      </c>
      <c r="CE52" s="49" t="n">
        <f aca="false">-$E52*N(AND(CE$3&lt;=$F52,CE$4&gt;=$F52))</f>
        <v>-0</v>
      </c>
      <c r="CF52" s="49" t="n">
        <f aca="false">-$E52*N(AND(CF$3&lt;=$F52,CF$4&gt;=$F52))</f>
        <v>-0</v>
      </c>
      <c r="CG52" s="49" t="n">
        <f aca="false">-$E52*N(AND(CG$3&lt;=$F52,CG$4&gt;=$F52))</f>
        <v>-0</v>
      </c>
      <c r="CH52" s="49" t="n">
        <f aca="false">-$E52*N(AND(CH$3&lt;=$F52,CH$4&gt;=$F52))</f>
        <v>-0</v>
      </c>
      <c r="CI52" s="49" t="n">
        <f aca="false">-$E52*N(AND(CI$3&lt;=$F52,CI$4&gt;=$F52))</f>
        <v>-0</v>
      </c>
      <c r="CJ52" s="49" t="n">
        <f aca="false">-$E52*N(AND(CJ$3&lt;=$F52,CJ$4&gt;=$F52))</f>
        <v>-0</v>
      </c>
      <c r="CK52" s="49" t="n">
        <f aca="false">-$E52*N(AND(CK$3&lt;=$F52,CK$4&gt;=$F52))</f>
        <v>-0</v>
      </c>
      <c r="CL52" s="49" t="n">
        <f aca="false">-$E52*N(AND(CL$3&lt;=$F52,CL$4&gt;=$F52))</f>
        <v>-0</v>
      </c>
      <c r="CM52" s="49" t="n">
        <f aca="false">-$E52*N(AND(CM$3&lt;=$F52,CM$4&gt;=$F52))</f>
        <v>-0</v>
      </c>
      <c r="CN52" s="49" t="n">
        <f aca="false">-$E52*N(AND(CN$3&lt;=$F52,CN$4&gt;=$F52))</f>
        <v>-0</v>
      </c>
      <c r="CO52" s="49" t="n">
        <f aca="false">-$E52*N(AND(CO$3&lt;=$F52,CO$4&gt;=$F52))</f>
        <v>-0</v>
      </c>
      <c r="CP52" s="49" t="n">
        <f aca="false">-$E52*N(AND(CP$3&lt;=$F52,CP$4&gt;=$F52))</f>
        <v>-0</v>
      </c>
      <c r="CQ52" s="49" t="n">
        <f aca="false">-$E52*N(AND(CQ$3&lt;=$F52,CQ$4&gt;=$F52))</f>
        <v>-0</v>
      </c>
      <c r="CR52" s="49" t="n">
        <f aca="false">-$E52*N(AND(CR$3&lt;=$F52,CR$4&gt;=$F52))</f>
        <v>-0</v>
      </c>
      <c r="CS52" s="49" t="n">
        <f aca="false">-$E52*N(AND(CS$3&lt;=$F52,CS$4&gt;=$F52))</f>
        <v>-0</v>
      </c>
      <c r="CT52" s="49" t="n">
        <f aca="false">-$E52*N(AND(CT$3&lt;=$F52,CT$4&gt;=$F52))</f>
        <v>-0</v>
      </c>
      <c r="CU52" s="49" t="n">
        <f aca="false">-$E52*N(AND(CU$3&lt;=$F52,CU$4&gt;=$F52))</f>
        <v>-0</v>
      </c>
      <c r="CV52" s="49" t="n">
        <f aca="false">-$E52*N(AND(CV$3&lt;=$F52,CV$4&gt;=$F52))</f>
        <v>-0</v>
      </c>
      <c r="CW52" s="49" t="n">
        <f aca="false">-$E52*N(AND(CW$3&lt;=$F52,CW$4&gt;=$F52))</f>
        <v>-0</v>
      </c>
      <c r="CX52" s="49" t="n">
        <f aca="false">-$E52*N(AND(CX$3&lt;=$F52,CX$4&gt;=$F52))</f>
        <v>-0</v>
      </c>
      <c r="CY52" s="49" t="n">
        <f aca="false">-$E52*N(AND(CY$3&lt;=$F52,CY$4&gt;=$F52))</f>
        <v>-0</v>
      </c>
      <c r="CZ52" s="49" t="n">
        <f aca="false">-$E52*N(AND(CZ$3&lt;=$F52,CZ$4&gt;=$F52))</f>
        <v>-0</v>
      </c>
      <c r="DA52" s="49" t="n">
        <f aca="false">-$E52*N(AND(DA$3&lt;=$F52,DA$4&gt;=$F52))</f>
        <v>-0</v>
      </c>
      <c r="DB52" s="49" t="n">
        <f aca="false">-$E52*N(AND(DB$3&lt;=$F52,DB$4&gt;=$F52))</f>
        <v>-0</v>
      </c>
      <c r="DC52" s="49" t="n">
        <f aca="false">-$E52*N(AND(DC$3&lt;=$F52,DC$4&gt;=$F52))</f>
        <v>-0</v>
      </c>
      <c r="DD52" s="49" t="n">
        <f aca="false">-$E52*N(AND(DD$3&lt;=$F52,DD$4&gt;=$F52))</f>
        <v>-0</v>
      </c>
      <c r="DE52" s="49" t="n">
        <f aca="false">-$E52*N(AND(DE$3&lt;=$F52,DE$4&gt;=$F52))</f>
        <v>-0</v>
      </c>
      <c r="DF52" s="49" t="n">
        <f aca="false">-$E52*N(AND(DF$3&lt;=$F52,DF$4&gt;=$F52))</f>
        <v>-0</v>
      </c>
      <c r="DG52" s="49" t="n">
        <f aca="false">-$E52*N(AND(DG$3&lt;=$F52,DG$4&gt;=$F52))</f>
        <v>-0</v>
      </c>
      <c r="DH52" s="49" t="n">
        <f aca="false">-$E52*N(AND(DH$3&lt;=$F52,DH$4&gt;=$F52))</f>
        <v>-0</v>
      </c>
      <c r="DI52" s="49" t="n">
        <f aca="false">-$E52*N(AND(DI$3&lt;=$F52,DI$4&gt;=$F52))</f>
        <v>-0</v>
      </c>
      <c r="DJ52" s="49" t="n">
        <f aca="false">-$E52*N(AND(DJ$3&lt;=$F52,DJ$4&gt;=$F52))</f>
        <v>-0</v>
      </c>
      <c r="DK52" s="49" t="n">
        <f aca="false">-$E52*N(AND(DK$3&lt;=$F52,DK$4&gt;=$F52))</f>
        <v>-0</v>
      </c>
      <c r="DL52" s="49" t="n">
        <f aca="false">-$E52*N(AND(DL$3&lt;=$F52,DL$4&gt;=$F52))</f>
        <v>-0</v>
      </c>
      <c r="DM52" s="49" t="n">
        <f aca="false">-$E52*N(AND(DM$3&lt;=$F52,DM$4&gt;=$F52))</f>
        <v>-0</v>
      </c>
      <c r="DN52" s="49" t="n">
        <f aca="false">-$E52*N(AND(DN$3&lt;=$F52,DN$4&gt;=$F52))</f>
        <v>-0</v>
      </c>
      <c r="DO52" s="49" t="n">
        <f aca="false">-$E52*N(AND(DO$3&lt;=$F52,DO$4&gt;=$F52))</f>
        <v>-0</v>
      </c>
      <c r="DP52" s="49" t="n">
        <f aca="false">-$E52*N(AND(DP$3&lt;=$F52,DP$4&gt;=$F52))</f>
        <v>-0</v>
      </c>
      <c r="DQ52" s="49" t="n">
        <f aca="false">-$E52*N(AND(DQ$3&lt;=$F52,DQ$4&gt;=$F52))</f>
        <v>-0</v>
      </c>
      <c r="DR52" s="49" t="n">
        <f aca="false">-$E52*N(AND(DR$3&lt;=$F52,DR$4&gt;=$F52))</f>
        <v>-0</v>
      </c>
      <c r="DS52" s="49" t="n">
        <f aca="false">-$E52*N(AND(DS$3&lt;=$F52,DS$4&gt;=$F52))</f>
        <v>-0</v>
      </c>
      <c r="DT52" s="49" t="n">
        <f aca="false">-$E52*N(AND(DT$3&lt;=$F52,DT$4&gt;=$F52))</f>
        <v>-0</v>
      </c>
      <c r="DU52" s="49" t="n">
        <f aca="false">-$E52*N(AND(DU$3&lt;=$F52,DU$4&gt;=$F52))</f>
        <v>-0</v>
      </c>
      <c r="DV52" s="49" t="n">
        <f aca="false">-$E52*N(AND(DV$3&lt;=$F52,DV$4&gt;=$F52))</f>
        <v>-0</v>
      </c>
      <c r="DW52" s="49" t="n">
        <f aca="false">-$E52*N(AND(DW$3&lt;=$F52,DW$4&gt;=$F52))</f>
        <v>-0</v>
      </c>
      <c r="DX52" s="49" t="n">
        <f aca="false">-$E52*N(AND(DX$3&lt;=$F52,DX$4&gt;=$F52))</f>
        <v>-0</v>
      </c>
      <c r="DY52" s="49" t="n">
        <f aca="false">-$E52*N(AND(DY$3&lt;=$F52,DY$4&gt;=$F52))</f>
        <v>-0</v>
      </c>
      <c r="DZ52" s="49" t="n">
        <f aca="false">-$E52*N(AND(DZ$3&lt;=$F52,DZ$4&gt;=$F52))</f>
        <v>-0</v>
      </c>
      <c r="EA52" s="49" t="n">
        <f aca="false">-$E52*N(AND(EA$3&lt;=$F52,EA$4&gt;=$F52))</f>
        <v>-0</v>
      </c>
      <c r="EB52" s="49" t="n">
        <f aca="false">-$E52*N(AND(EB$3&lt;=$F52,EB$4&gt;=$F52))</f>
        <v>-0</v>
      </c>
      <c r="EC52" s="49" t="n">
        <f aca="false">-$E52*N(AND(EC$3&lt;=$F52,EC$4&gt;=$F52))</f>
        <v>-0</v>
      </c>
      <c r="ED52" s="49" t="n">
        <f aca="false">-$E52*N(AND(ED$3&lt;=$F52,ED$4&gt;=$F52))</f>
        <v>-0</v>
      </c>
      <c r="EE52" s="49" t="n">
        <f aca="false">-$E52*N(AND(EE$3&lt;=$F52,EE$4&gt;=$F52))</f>
        <v>-0</v>
      </c>
      <c r="EF52" s="49" t="n">
        <f aca="false">-$E52*N(AND(EF$3&lt;=$F52,EF$4&gt;=$F52))</f>
        <v>-0</v>
      </c>
      <c r="EG52" s="49" t="n">
        <f aca="false">-$E52*N(AND(EG$3&lt;=$F52,EG$4&gt;=$F52))</f>
        <v>-0</v>
      </c>
      <c r="EH52" s="49" t="n">
        <f aca="false">-$E52*N(AND(EH$3&lt;=$F52,EH$4&gt;=$F52))</f>
        <v>-0</v>
      </c>
      <c r="EI52" s="49" t="n">
        <f aca="false">-$E52*N(AND(EI$3&lt;=$F52,EI$4&gt;=$F52))</f>
        <v>-0</v>
      </c>
      <c r="EJ52" s="49" t="n">
        <f aca="false">-$E52*N(AND(EJ$3&lt;=$F52,EJ$4&gt;=$F52))</f>
        <v>-0</v>
      </c>
      <c r="EK52" s="49" t="n">
        <f aca="false">-$E52*N(AND(EK$3&lt;=$F52,EK$4&gt;=$F52))</f>
        <v>-0</v>
      </c>
      <c r="EL52" s="49" t="n">
        <f aca="false">-$E52*N(AND(EL$3&lt;=$F52,EL$4&gt;=$F52))</f>
        <v>-0</v>
      </c>
      <c r="EM52" s="49" t="n">
        <f aca="false">-$E52*N(AND(EM$3&lt;=$F52,EM$4&gt;=$F52))</f>
        <v>-0</v>
      </c>
      <c r="EN52" s="49" t="n">
        <f aca="false">-$E52*N(AND(EN$3&lt;=$F52,EN$4&gt;=$F52))</f>
        <v>-0</v>
      </c>
      <c r="EO52" s="49" t="n">
        <f aca="false">-$E52*N(AND(EO$3&lt;=$F52,EO$4&gt;=$F52))</f>
        <v>-0</v>
      </c>
    </row>
    <row r="53" customFormat="false" ht="15" hidden="false" customHeight="false" outlineLevel="0" collapsed="false">
      <c r="C53" s="1" t="s">
        <v>449</v>
      </c>
      <c r="D53" s="12" t="s">
        <v>33</v>
      </c>
      <c r="E53" s="49" t="n">
        <f aca="false">In_Bid_Rate*$E51*Thousand/In_FX</f>
        <v>443.287671232877</v>
      </c>
      <c r="F53" s="21" t="n">
        <f aca="false">In_Bid_Date</f>
        <v>46325</v>
      </c>
      <c r="J53" s="49" t="n">
        <f aca="false">$E53*MAX(0,(MIN(In_Decision_Date+In_PB_Days-1,J$4)-MAX($F53,J$3)+1)/J$5)</f>
        <v>303.55568790947</v>
      </c>
      <c r="K53" s="49" t="n">
        <f aca="false">$E53*MAX(0,(MIN(In_Decision_Date+In_PB_Days-1,K$4)-MAX($F53,K$3)+1)/K$5)</f>
        <v>221.643835616438</v>
      </c>
      <c r="L53" s="49" t="n">
        <f aca="false">$E53*MAX(0,(MIN(In_Decision_Date+In_PB_Days-1,L$4)-MAX($F53,L$3)+1)/L$5)</f>
        <v>0</v>
      </c>
      <c r="M53" s="49" t="n">
        <f aca="false">$E53*MAX(0,(MIN(In_Decision_Date+In_PB_Days-1,M$4)-MAX($F53,M$3)+1)/M$5)</f>
        <v>0</v>
      </c>
      <c r="N53" s="49" t="n">
        <f aca="false">$E53*MAX(0,(MIN(In_Decision_Date+In_PB_Days-1,N$4)-MAX($F53,N$3)+1)/N$5)</f>
        <v>0</v>
      </c>
      <c r="O53" s="49" t="n">
        <f aca="false">$E53*MAX(0,(MIN(In_Decision_Date+In_PB_Days-1,O$4)-MAX($F53,O$3)+1)/O$5)</f>
        <v>0</v>
      </c>
      <c r="P53" s="49" t="n">
        <f aca="false">$E53*MAX(0,(MIN(In_Decision_Date+In_PB_Days-1,P$4)-MAX($F53,P$3)+1)/P$5)</f>
        <v>0</v>
      </c>
      <c r="Q53" s="49" t="n">
        <f aca="false">$E53*MAX(0,(MIN(In_Decision_Date+In_PB_Days-1,Q$4)-MAX($F53,Q$3)+1)/Q$5)</f>
        <v>0</v>
      </c>
      <c r="R53" s="49" t="n">
        <f aca="false">$E53*MAX(0,(MIN(In_Decision_Date+In_PB_Days-1,R$4)-MAX($F53,R$3)+1)/R$5)</f>
        <v>0</v>
      </c>
      <c r="S53" s="49" t="n">
        <f aca="false">$E53*MAX(0,(MIN(In_Decision_Date+In_PB_Days-1,S$4)-MAX($F53,S$3)+1)/S$5)</f>
        <v>0</v>
      </c>
      <c r="T53" s="49" t="n">
        <f aca="false">$E53*MAX(0,(MIN(In_Decision_Date+In_PB_Days-1,T$4)-MAX($F53,T$3)+1)/T$5)</f>
        <v>0</v>
      </c>
      <c r="U53" s="49" t="n">
        <f aca="false">$E53*MAX(0,(MIN(In_Decision_Date+In_PB_Days-1,U$4)-MAX($F53,U$3)+1)/U$5)</f>
        <v>0</v>
      </c>
      <c r="V53" s="49" t="n">
        <f aca="false">$E53*MAX(0,(MIN(In_Decision_Date+In_PB_Days-1,V$4)-MAX($F53,V$3)+1)/V$5)</f>
        <v>0</v>
      </c>
      <c r="W53" s="49" t="n">
        <f aca="false">$E53*MAX(0,(MIN(In_Decision_Date+In_PB_Days-1,W$4)-MAX($F53,W$3)+1)/W$5)</f>
        <v>0</v>
      </c>
      <c r="X53" s="49" t="n">
        <f aca="false">$E53*MAX(0,(MIN(In_Decision_Date+In_PB_Days-1,X$4)-MAX($F53,X$3)+1)/X$5)</f>
        <v>0</v>
      </c>
      <c r="Y53" s="49" t="n">
        <f aca="false">$E53*MAX(0,(MIN(In_Decision_Date+In_PB_Days-1,Y$4)-MAX($F53,Y$3)+1)/Y$5)</f>
        <v>0</v>
      </c>
      <c r="Z53" s="49" t="n">
        <f aca="false">$E53*MAX(0,(MIN(In_Decision_Date+In_PB_Days-1,Z$4)-MAX($F53,Z$3)+1)/Z$5)</f>
        <v>0</v>
      </c>
      <c r="AA53" s="49" t="n">
        <f aca="false">$E53*MAX(0,(MIN(In_Decision_Date+In_PB_Days-1,AA$4)-MAX($F53,AA$3)+1)/AA$5)</f>
        <v>0</v>
      </c>
      <c r="AB53" s="49" t="n">
        <f aca="false">$E53*MAX(0,(MIN(In_Decision_Date+In_PB_Days-1,AB$4)-MAX($F53,AB$3)+1)/AB$5)</f>
        <v>0</v>
      </c>
      <c r="AC53" s="49" t="n">
        <f aca="false">$E53*MAX(0,(MIN(In_Decision_Date+In_PB_Days-1,AC$4)-MAX($F53,AC$3)+1)/AC$5)</f>
        <v>0</v>
      </c>
      <c r="AD53" s="49" t="n">
        <f aca="false">$E53*MAX(0,(MIN(In_Decision_Date+In_PB_Days-1,AD$4)-MAX($F53,AD$3)+1)/AD$5)</f>
        <v>0</v>
      </c>
      <c r="AE53" s="49" t="n">
        <f aca="false">$E53*MAX(0,(MIN(In_Decision_Date+In_PB_Days-1,AE$4)-MAX($F53,AE$3)+1)/AE$5)</f>
        <v>0</v>
      </c>
      <c r="AF53" s="49" t="n">
        <f aca="false">$E53*MAX(0,(MIN(In_Decision_Date+In_PB_Days-1,AF$4)-MAX($F53,AF$3)+1)/AF$5)</f>
        <v>0</v>
      </c>
      <c r="AG53" s="49" t="n">
        <f aca="false">$E53*MAX(0,(MIN(In_Decision_Date+In_PB_Days-1,AG$4)-MAX($F53,AG$3)+1)/AG$5)</f>
        <v>0</v>
      </c>
      <c r="AH53" s="49" t="n">
        <f aca="false">$E53*MAX(0,(MIN(In_Decision_Date+In_PB_Days-1,AH$4)-MAX($F53,AH$3)+1)/AH$5)</f>
        <v>0</v>
      </c>
      <c r="AI53" s="49" t="n">
        <f aca="false">$E53*MAX(0,(MIN(In_Decision_Date+In_PB_Days-1,AI$4)-MAX($F53,AI$3)+1)/AI$5)</f>
        <v>0</v>
      </c>
      <c r="AJ53" s="49" t="n">
        <f aca="false">$E53*MAX(0,(MIN(In_Decision_Date+In_PB_Days-1,AJ$4)-MAX($F53,AJ$3)+1)/AJ$5)</f>
        <v>0</v>
      </c>
      <c r="AK53" s="49" t="n">
        <f aca="false">$E53*MAX(0,(MIN(In_Decision_Date+In_PB_Days-1,AK$4)-MAX($F53,AK$3)+1)/AK$5)</f>
        <v>0</v>
      </c>
      <c r="AL53" s="49" t="n">
        <f aca="false">$E53*MAX(0,(MIN(In_Decision_Date+In_PB_Days-1,AL$4)-MAX($F53,AL$3)+1)/AL$5)</f>
        <v>0</v>
      </c>
      <c r="AM53" s="49" t="n">
        <f aca="false">$E53*MAX(0,(MIN(In_Decision_Date+In_PB_Days-1,AM$4)-MAX($F53,AM$3)+1)/AM$5)</f>
        <v>0</v>
      </c>
      <c r="AN53" s="49" t="n">
        <f aca="false">$E53*MAX(0,(MIN(In_Decision_Date+In_PB_Days-1,AN$4)-MAX($F53,AN$3)+1)/AN$5)</f>
        <v>0</v>
      </c>
      <c r="AO53" s="49" t="n">
        <f aca="false">$E53*MAX(0,(MIN(In_Decision_Date+In_PB_Days-1,AO$4)-MAX($F53,AO$3)+1)/AO$5)</f>
        <v>0</v>
      </c>
      <c r="AP53" s="49" t="n">
        <f aca="false">$E53*MAX(0,(MIN(In_Decision_Date+In_PB_Days-1,AP$4)-MAX($F53,AP$3)+1)/AP$5)</f>
        <v>0</v>
      </c>
      <c r="AQ53" s="49" t="n">
        <f aca="false">$E53*MAX(0,(MIN(In_Decision_Date+In_PB_Days-1,AQ$4)-MAX($F53,AQ$3)+1)/AQ$5)</f>
        <v>0</v>
      </c>
      <c r="AR53" s="49" t="n">
        <f aca="false">$E53*MAX(0,(MIN(In_Decision_Date+In_PB_Days-1,AR$4)-MAX($F53,AR$3)+1)/AR$5)</f>
        <v>0</v>
      </c>
      <c r="AS53" s="49" t="n">
        <f aca="false">$E53*MAX(0,(MIN(In_Decision_Date+In_PB_Days-1,AS$4)-MAX($F53,AS$3)+1)/AS$5)</f>
        <v>0</v>
      </c>
      <c r="AT53" s="49" t="n">
        <f aca="false">$E53*MAX(0,(MIN(In_Decision_Date+In_PB_Days-1,AT$4)-MAX($F53,AT$3)+1)/AT$5)</f>
        <v>0</v>
      </c>
      <c r="AU53" s="49" t="n">
        <f aca="false">$E53*MAX(0,(MIN(In_Decision_Date+In_PB_Days-1,AU$4)-MAX($F53,AU$3)+1)/AU$5)</f>
        <v>0</v>
      </c>
      <c r="AV53" s="49" t="n">
        <f aca="false">$E53*MAX(0,(MIN(In_Decision_Date+In_PB_Days-1,AV$4)-MAX($F53,AV$3)+1)/AV$5)</f>
        <v>0</v>
      </c>
      <c r="AW53" s="49" t="n">
        <f aca="false">$E53*MAX(0,(MIN(In_Decision_Date+In_PB_Days-1,AW$4)-MAX($F53,AW$3)+1)/AW$5)</f>
        <v>0</v>
      </c>
      <c r="AX53" s="49" t="n">
        <f aca="false">$E53*MAX(0,(MIN(In_Decision_Date+In_PB_Days-1,AX$4)-MAX($F53,AX$3)+1)/AX$5)</f>
        <v>0</v>
      </c>
      <c r="AY53" s="49" t="n">
        <f aca="false">$E53*MAX(0,(MIN(In_Decision_Date+In_PB_Days-1,AY$4)-MAX($F53,AY$3)+1)/AY$5)</f>
        <v>0</v>
      </c>
      <c r="AZ53" s="49" t="n">
        <f aca="false">$E53*MAX(0,(MIN(In_Decision_Date+In_PB_Days-1,AZ$4)-MAX($F53,AZ$3)+1)/AZ$5)</f>
        <v>0</v>
      </c>
      <c r="BA53" s="49" t="n">
        <f aca="false">$E53*MAX(0,(MIN(In_Decision_Date+In_PB_Days-1,BA$4)-MAX($F53,BA$3)+1)/BA$5)</f>
        <v>0</v>
      </c>
      <c r="BB53" s="49" t="n">
        <f aca="false">$E53*MAX(0,(MIN(In_Decision_Date+In_PB_Days-1,BB$4)-MAX($F53,BB$3)+1)/BB$5)</f>
        <v>0</v>
      </c>
      <c r="BC53" s="49" t="n">
        <f aca="false">$E53*MAX(0,(MIN(In_Decision_Date+In_PB_Days-1,BC$4)-MAX($F53,BC$3)+1)/BC$5)</f>
        <v>0</v>
      </c>
      <c r="BD53" s="49" t="n">
        <f aca="false">$E53*MAX(0,(MIN(In_Decision_Date+In_PB_Days-1,BD$4)-MAX($F53,BD$3)+1)/BD$5)</f>
        <v>0</v>
      </c>
      <c r="BE53" s="49" t="n">
        <f aca="false">$E53*MAX(0,(MIN(In_Decision_Date+In_PB_Days-1,BE$4)-MAX($F53,BE$3)+1)/BE$5)</f>
        <v>0</v>
      </c>
      <c r="BF53" s="49" t="n">
        <f aca="false">$E53*MAX(0,(MIN(In_Decision_Date+In_PB_Days-1,BF$4)-MAX($F53,BF$3)+1)/BF$5)</f>
        <v>0</v>
      </c>
      <c r="BG53" s="49" t="n">
        <f aca="false">$E53*MAX(0,(MIN(In_Decision_Date+In_PB_Days-1,BG$4)-MAX($F53,BG$3)+1)/BG$5)</f>
        <v>0</v>
      </c>
      <c r="BH53" s="49" t="n">
        <f aca="false">$E53*MAX(0,(MIN(In_Decision_Date+In_PB_Days-1,BH$4)-MAX($F53,BH$3)+1)/BH$5)</f>
        <v>0</v>
      </c>
      <c r="BI53" s="49" t="n">
        <f aca="false">$E53*MAX(0,(MIN(In_Decision_Date+In_PB_Days-1,BI$4)-MAX($F53,BI$3)+1)/BI$5)</f>
        <v>0</v>
      </c>
      <c r="BJ53" s="49" t="n">
        <f aca="false">$E53*MAX(0,(MIN(In_Decision_Date+In_PB_Days-1,BJ$4)-MAX($F53,BJ$3)+1)/BJ$5)</f>
        <v>0</v>
      </c>
      <c r="BK53" s="49" t="n">
        <f aca="false">$E53*MAX(0,(MIN(In_Decision_Date+In_PB_Days-1,BK$4)-MAX($F53,BK$3)+1)/BK$5)</f>
        <v>0</v>
      </c>
      <c r="BL53" s="49" t="n">
        <f aca="false">$E53*MAX(0,(MIN(In_Decision_Date+In_PB_Days-1,BL$4)-MAX($F53,BL$3)+1)/BL$5)</f>
        <v>0</v>
      </c>
      <c r="BM53" s="49" t="n">
        <f aca="false">$E53*MAX(0,(MIN(In_Decision_Date+In_PB_Days-1,BM$4)-MAX($F53,BM$3)+1)/BM$5)</f>
        <v>0</v>
      </c>
      <c r="BN53" s="49" t="n">
        <f aca="false">$E53*MAX(0,(MIN(In_Decision_Date+In_PB_Days-1,BN$4)-MAX($F53,BN$3)+1)/BN$5)</f>
        <v>0</v>
      </c>
      <c r="BO53" s="49" t="n">
        <f aca="false">$E53*MAX(0,(MIN(In_Decision_Date+In_PB_Days-1,BO$4)-MAX($F53,BO$3)+1)/BO$5)</f>
        <v>0</v>
      </c>
      <c r="BP53" s="49" t="n">
        <f aca="false">$E53*MAX(0,(MIN(In_Decision_Date+In_PB_Days-1,BP$4)-MAX($F53,BP$3)+1)/BP$5)</f>
        <v>0</v>
      </c>
      <c r="BQ53" s="49" t="n">
        <f aca="false">$E53*MAX(0,(MIN(In_Decision_Date+In_PB_Days-1,BQ$4)-MAX($F53,BQ$3)+1)/BQ$5)</f>
        <v>0</v>
      </c>
      <c r="BR53" s="49" t="n">
        <f aca="false">$E53*MAX(0,(MIN(In_Decision_Date+In_PB_Days-1,BR$4)-MAX($F53,BR$3)+1)/BR$5)</f>
        <v>0</v>
      </c>
      <c r="BS53" s="49" t="n">
        <f aca="false">$E53*MAX(0,(MIN(In_Decision_Date+In_PB_Days-1,BS$4)-MAX($F53,BS$3)+1)/BS$5)</f>
        <v>0</v>
      </c>
      <c r="BT53" s="49" t="n">
        <f aca="false">$E53*MAX(0,(MIN(In_Decision_Date+In_PB_Days-1,BT$4)-MAX($F53,BT$3)+1)/BT$5)</f>
        <v>0</v>
      </c>
      <c r="BU53" s="49" t="n">
        <f aca="false">$E53*MAX(0,(MIN(In_Decision_Date+In_PB_Days-1,BU$4)-MAX($F53,BU$3)+1)/BU$5)</f>
        <v>0</v>
      </c>
      <c r="BV53" s="49" t="n">
        <f aca="false">$E53*MAX(0,(MIN(In_Decision_Date+In_PB_Days-1,BV$4)-MAX($F53,BV$3)+1)/BV$5)</f>
        <v>0</v>
      </c>
      <c r="BW53" s="49" t="n">
        <f aca="false">$E53*MAX(0,(MIN(In_Decision_Date+In_PB_Days-1,BW$4)-MAX($F53,BW$3)+1)/BW$5)</f>
        <v>0</v>
      </c>
      <c r="BX53" s="49" t="n">
        <f aca="false">$E53*MAX(0,(MIN(In_Decision_Date+In_PB_Days-1,BX$4)-MAX($F53,BX$3)+1)/BX$5)</f>
        <v>0</v>
      </c>
      <c r="BY53" s="49" t="n">
        <f aca="false">$E53*MAX(0,(MIN(In_Decision_Date+In_PB_Days-1,BY$4)-MAX($F53,BY$3)+1)/BY$5)</f>
        <v>0</v>
      </c>
      <c r="BZ53" s="49" t="n">
        <f aca="false">$E53*MAX(0,(MIN(In_Decision_Date+In_PB_Days-1,BZ$4)-MAX($F53,BZ$3)+1)/BZ$5)</f>
        <v>0</v>
      </c>
      <c r="CA53" s="49" t="n">
        <f aca="false">$E53*MAX(0,(MIN(In_Decision_Date+In_PB_Days-1,CA$4)-MAX($F53,CA$3)+1)/CA$5)</f>
        <v>0</v>
      </c>
      <c r="CB53" s="49" t="n">
        <f aca="false">$E53*MAX(0,(MIN(In_Decision_Date+In_PB_Days-1,CB$4)-MAX($F53,CB$3)+1)/CB$5)</f>
        <v>0</v>
      </c>
      <c r="CC53" s="49" t="n">
        <f aca="false">$E53*MAX(0,(MIN(In_Decision_Date+In_PB_Days-1,CC$4)-MAX($F53,CC$3)+1)/CC$5)</f>
        <v>0</v>
      </c>
      <c r="CD53" s="49" t="n">
        <f aca="false">$E53*MAX(0,(MIN(In_Decision_Date+In_PB_Days-1,CD$4)-MAX($F53,CD$3)+1)/CD$5)</f>
        <v>0</v>
      </c>
      <c r="CE53" s="49" t="n">
        <f aca="false">$E53*MAX(0,(MIN(In_Decision_Date+In_PB_Days-1,CE$4)-MAX($F53,CE$3)+1)/CE$5)</f>
        <v>0</v>
      </c>
      <c r="CF53" s="49" t="n">
        <f aca="false">$E53*MAX(0,(MIN(In_Decision_Date+In_PB_Days-1,CF$4)-MAX($F53,CF$3)+1)/CF$5)</f>
        <v>0</v>
      </c>
      <c r="CG53" s="49" t="n">
        <f aca="false">$E53*MAX(0,(MIN(In_Decision_Date+In_PB_Days-1,CG$4)-MAX($F53,CG$3)+1)/CG$5)</f>
        <v>0</v>
      </c>
      <c r="CH53" s="49" t="n">
        <f aca="false">$E53*MAX(0,(MIN(In_Decision_Date+In_PB_Days-1,CH$4)-MAX($F53,CH$3)+1)/CH$5)</f>
        <v>0</v>
      </c>
      <c r="CI53" s="49" t="n">
        <f aca="false">$E53*MAX(0,(MIN(In_Decision_Date+In_PB_Days-1,CI$4)-MAX($F53,CI$3)+1)/CI$5)</f>
        <v>0</v>
      </c>
      <c r="CJ53" s="49" t="n">
        <f aca="false">$E53*MAX(0,(MIN(In_Decision_Date+In_PB_Days-1,CJ$4)-MAX($F53,CJ$3)+1)/CJ$5)</f>
        <v>0</v>
      </c>
      <c r="CK53" s="49" t="n">
        <f aca="false">$E53*MAX(0,(MIN(In_Decision_Date+In_PB_Days-1,CK$4)-MAX($F53,CK$3)+1)/CK$5)</f>
        <v>0</v>
      </c>
      <c r="CL53" s="49" t="n">
        <f aca="false">$E53*MAX(0,(MIN(In_Decision_Date+In_PB_Days-1,CL$4)-MAX($F53,CL$3)+1)/CL$5)</f>
        <v>0</v>
      </c>
      <c r="CM53" s="49" t="n">
        <f aca="false">$E53*MAX(0,(MIN(In_Decision_Date+In_PB_Days-1,CM$4)-MAX($F53,CM$3)+1)/CM$5)</f>
        <v>0</v>
      </c>
      <c r="CN53" s="49" t="n">
        <f aca="false">$E53*MAX(0,(MIN(In_Decision_Date+In_PB_Days-1,CN$4)-MAX($F53,CN$3)+1)/CN$5)</f>
        <v>0</v>
      </c>
      <c r="CO53" s="49" t="n">
        <f aca="false">$E53*MAX(0,(MIN(In_Decision_Date+In_PB_Days-1,CO$4)-MAX($F53,CO$3)+1)/CO$5)</f>
        <v>0</v>
      </c>
      <c r="CP53" s="49" t="n">
        <f aca="false">$E53*MAX(0,(MIN(In_Decision_Date+In_PB_Days-1,CP$4)-MAX($F53,CP$3)+1)/CP$5)</f>
        <v>0</v>
      </c>
      <c r="CQ53" s="49" t="n">
        <f aca="false">$E53*MAX(0,(MIN(In_Decision_Date+In_PB_Days-1,CQ$4)-MAX($F53,CQ$3)+1)/CQ$5)</f>
        <v>0</v>
      </c>
      <c r="CR53" s="49" t="n">
        <f aca="false">$E53*MAX(0,(MIN(In_Decision_Date+In_PB_Days-1,CR$4)-MAX($F53,CR$3)+1)/CR$5)</f>
        <v>0</v>
      </c>
      <c r="CS53" s="49" t="n">
        <f aca="false">$E53*MAX(0,(MIN(In_Decision_Date+In_PB_Days-1,CS$4)-MAX($F53,CS$3)+1)/CS$5)</f>
        <v>0</v>
      </c>
      <c r="CT53" s="49" t="n">
        <f aca="false">$E53*MAX(0,(MIN(In_Decision_Date+In_PB_Days-1,CT$4)-MAX($F53,CT$3)+1)/CT$5)</f>
        <v>0</v>
      </c>
      <c r="CU53" s="49" t="n">
        <f aca="false">$E53*MAX(0,(MIN(In_Decision_Date+In_PB_Days-1,CU$4)-MAX($F53,CU$3)+1)/CU$5)</f>
        <v>0</v>
      </c>
      <c r="CV53" s="49" t="n">
        <f aca="false">$E53*MAX(0,(MIN(In_Decision_Date+In_PB_Days-1,CV$4)-MAX($F53,CV$3)+1)/CV$5)</f>
        <v>0</v>
      </c>
      <c r="CW53" s="49" t="n">
        <f aca="false">$E53*MAX(0,(MIN(In_Decision_Date+In_PB_Days-1,CW$4)-MAX($F53,CW$3)+1)/CW$5)</f>
        <v>0</v>
      </c>
      <c r="CX53" s="49" t="n">
        <f aca="false">$E53*MAX(0,(MIN(In_Decision_Date+In_PB_Days-1,CX$4)-MAX($F53,CX$3)+1)/CX$5)</f>
        <v>0</v>
      </c>
      <c r="CY53" s="49" t="n">
        <f aca="false">$E53*MAX(0,(MIN(In_Decision_Date+In_PB_Days-1,CY$4)-MAX($F53,CY$3)+1)/CY$5)</f>
        <v>0</v>
      </c>
      <c r="CZ53" s="49" t="n">
        <f aca="false">$E53*MAX(0,(MIN(In_Decision_Date+In_PB_Days-1,CZ$4)-MAX($F53,CZ$3)+1)/CZ$5)</f>
        <v>0</v>
      </c>
      <c r="DA53" s="49" t="n">
        <f aca="false">$E53*MAX(0,(MIN(In_Decision_Date+In_PB_Days-1,DA$4)-MAX($F53,DA$3)+1)/DA$5)</f>
        <v>0</v>
      </c>
      <c r="DB53" s="49" t="n">
        <f aca="false">$E53*MAX(0,(MIN(In_Decision_Date+In_PB_Days-1,DB$4)-MAX($F53,DB$3)+1)/DB$5)</f>
        <v>0</v>
      </c>
      <c r="DC53" s="49" t="n">
        <f aca="false">$E53*MAX(0,(MIN(In_Decision_Date+In_PB_Days-1,DC$4)-MAX($F53,DC$3)+1)/DC$5)</f>
        <v>0</v>
      </c>
      <c r="DD53" s="49" t="n">
        <f aca="false">$E53*MAX(0,(MIN(In_Decision_Date+In_PB_Days-1,DD$4)-MAX($F53,DD$3)+1)/DD$5)</f>
        <v>0</v>
      </c>
      <c r="DE53" s="49" t="n">
        <f aca="false">$E53*MAX(0,(MIN(In_Decision_Date+In_PB_Days-1,DE$4)-MAX($F53,DE$3)+1)/DE$5)</f>
        <v>0</v>
      </c>
      <c r="DF53" s="49" t="n">
        <f aca="false">$E53*MAX(0,(MIN(In_Decision_Date+In_PB_Days-1,DF$4)-MAX($F53,DF$3)+1)/DF$5)</f>
        <v>0</v>
      </c>
      <c r="DG53" s="49" t="n">
        <f aca="false">$E53*MAX(0,(MIN(In_Decision_Date+In_PB_Days-1,DG$4)-MAX($F53,DG$3)+1)/DG$5)</f>
        <v>0</v>
      </c>
      <c r="DH53" s="49" t="n">
        <f aca="false">$E53*MAX(0,(MIN(In_Decision_Date+In_PB_Days-1,DH$4)-MAX($F53,DH$3)+1)/DH$5)</f>
        <v>0</v>
      </c>
      <c r="DI53" s="49" t="n">
        <f aca="false">$E53*MAX(0,(MIN(In_Decision_Date+In_PB_Days-1,DI$4)-MAX($F53,DI$3)+1)/DI$5)</f>
        <v>0</v>
      </c>
      <c r="DJ53" s="49" t="n">
        <f aca="false">$E53*MAX(0,(MIN(In_Decision_Date+In_PB_Days-1,DJ$4)-MAX($F53,DJ$3)+1)/DJ$5)</f>
        <v>0</v>
      </c>
      <c r="DK53" s="49" t="n">
        <f aca="false">$E53*MAX(0,(MIN(In_Decision_Date+In_PB_Days-1,DK$4)-MAX($F53,DK$3)+1)/DK$5)</f>
        <v>0</v>
      </c>
      <c r="DL53" s="49" t="n">
        <f aca="false">$E53*MAX(0,(MIN(In_Decision_Date+In_PB_Days-1,DL$4)-MAX($F53,DL$3)+1)/DL$5)</f>
        <v>0</v>
      </c>
      <c r="DM53" s="49" t="n">
        <f aca="false">$E53*MAX(0,(MIN(In_Decision_Date+In_PB_Days-1,DM$4)-MAX($F53,DM$3)+1)/DM$5)</f>
        <v>0</v>
      </c>
      <c r="DN53" s="49" t="n">
        <f aca="false">$E53*MAX(0,(MIN(In_Decision_Date+In_PB_Days-1,DN$4)-MAX($F53,DN$3)+1)/DN$5)</f>
        <v>0</v>
      </c>
      <c r="DO53" s="49" t="n">
        <f aca="false">$E53*MAX(0,(MIN(In_Decision_Date+In_PB_Days-1,DO$4)-MAX($F53,DO$3)+1)/DO$5)</f>
        <v>0</v>
      </c>
      <c r="DP53" s="49" t="n">
        <f aca="false">$E53*MAX(0,(MIN(In_Decision_Date+In_PB_Days-1,DP$4)-MAX($F53,DP$3)+1)/DP$5)</f>
        <v>0</v>
      </c>
      <c r="DQ53" s="49" t="n">
        <f aca="false">$E53*MAX(0,(MIN(In_Decision_Date+In_PB_Days-1,DQ$4)-MAX($F53,DQ$3)+1)/DQ$5)</f>
        <v>0</v>
      </c>
      <c r="DR53" s="49" t="n">
        <f aca="false">$E53*MAX(0,(MIN(In_Decision_Date+In_PB_Days-1,DR$4)-MAX($F53,DR$3)+1)/DR$5)</f>
        <v>0</v>
      </c>
      <c r="DS53" s="49" t="n">
        <f aca="false">$E53*MAX(0,(MIN(In_Decision_Date+In_PB_Days-1,DS$4)-MAX($F53,DS$3)+1)/DS$5)</f>
        <v>0</v>
      </c>
      <c r="DT53" s="49" t="n">
        <f aca="false">$E53*MAX(0,(MIN(In_Decision_Date+In_PB_Days-1,DT$4)-MAX($F53,DT$3)+1)/DT$5)</f>
        <v>0</v>
      </c>
      <c r="DU53" s="49" t="n">
        <f aca="false">$E53*MAX(0,(MIN(In_Decision_Date+In_PB_Days-1,DU$4)-MAX($F53,DU$3)+1)/DU$5)</f>
        <v>0</v>
      </c>
      <c r="DV53" s="49" t="n">
        <f aca="false">$E53*MAX(0,(MIN(In_Decision_Date+In_PB_Days-1,DV$4)-MAX($F53,DV$3)+1)/DV$5)</f>
        <v>0</v>
      </c>
      <c r="DW53" s="49" t="n">
        <f aca="false">$E53*MAX(0,(MIN(In_Decision_Date+In_PB_Days-1,DW$4)-MAX($F53,DW$3)+1)/DW$5)</f>
        <v>0</v>
      </c>
      <c r="DX53" s="49" t="n">
        <f aca="false">$E53*MAX(0,(MIN(In_Decision_Date+In_PB_Days-1,DX$4)-MAX($F53,DX$3)+1)/DX$5)</f>
        <v>0</v>
      </c>
      <c r="DY53" s="49" t="n">
        <f aca="false">$E53*MAX(0,(MIN(In_Decision_Date+In_PB_Days-1,DY$4)-MAX($F53,DY$3)+1)/DY$5)</f>
        <v>0</v>
      </c>
      <c r="DZ53" s="49" t="n">
        <f aca="false">$E53*MAX(0,(MIN(In_Decision_Date+In_PB_Days-1,DZ$4)-MAX($F53,DZ$3)+1)/DZ$5)</f>
        <v>0</v>
      </c>
      <c r="EA53" s="49" t="n">
        <f aca="false">$E53*MAX(0,(MIN(In_Decision_Date+In_PB_Days-1,EA$4)-MAX($F53,EA$3)+1)/EA$5)</f>
        <v>0</v>
      </c>
      <c r="EB53" s="49" t="n">
        <f aca="false">$E53*MAX(0,(MIN(In_Decision_Date+In_PB_Days-1,EB$4)-MAX($F53,EB$3)+1)/EB$5)</f>
        <v>0</v>
      </c>
      <c r="EC53" s="49" t="n">
        <f aca="false">$E53*MAX(0,(MIN(In_Decision_Date+In_PB_Days-1,EC$4)-MAX($F53,EC$3)+1)/EC$5)</f>
        <v>0</v>
      </c>
      <c r="ED53" s="49" t="n">
        <f aca="false">$E53*MAX(0,(MIN(In_Decision_Date+In_PB_Days-1,ED$4)-MAX($F53,ED$3)+1)/ED$5)</f>
        <v>0</v>
      </c>
      <c r="EE53" s="49" t="n">
        <f aca="false">$E53*MAX(0,(MIN(In_Decision_Date+In_PB_Days-1,EE$4)-MAX($F53,EE$3)+1)/EE$5)</f>
        <v>0</v>
      </c>
      <c r="EF53" s="49" t="n">
        <f aca="false">$E53*MAX(0,(MIN(In_Decision_Date+In_PB_Days-1,EF$4)-MAX($F53,EF$3)+1)/EF$5)</f>
        <v>0</v>
      </c>
      <c r="EG53" s="49" t="n">
        <f aca="false">$E53*MAX(0,(MIN(In_Decision_Date+In_PB_Days-1,EG$4)-MAX($F53,EG$3)+1)/EG$5)</f>
        <v>0</v>
      </c>
      <c r="EH53" s="49" t="n">
        <f aca="false">$E53*MAX(0,(MIN(In_Decision_Date+In_PB_Days-1,EH$4)-MAX($F53,EH$3)+1)/EH$5)</f>
        <v>0</v>
      </c>
      <c r="EI53" s="49" t="n">
        <f aca="false">$E53*MAX(0,(MIN(In_Decision_Date+In_PB_Days-1,EI$4)-MAX($F53,EI$3)+1)/EI$5)</f>
        <v>0</v>
      </c>
      <c r="EJ53" s="49" t="n">
        <f aca="false">$E53*MAX(0,(MIN(In_Decision_Date+In_PB_Days-1,EJ$4)-MAX($F53,EJ$3)+1)/EJ$5)</f>
        <v>0</v>
      </c>
      <c r="EK53" s="49" t="n">
        <f aca="false">$E53*MAX(0,(MIN(In_Decision_Date+In_PB_Days-1,EK$4)-MAX($F53,EK$3)+1)/EK$5)</f>
        <v>0</v>
      </c>
      <c r="EL53" s="49" t="n">
        <f aca="false">$E53*MAX(0,(MIN(In_Decision_Date+In_PB_Days-1,EL$4)-MAX($F53,EL$3)+1)/EL$5)</f>
        <v>0</v>
      </c>
      <c r="EM53" s="49" t="n">
        <f aca="false">$E53*MAX(0,(MIN(In_Decision_Date+In_PB_Days-1,EM$4)-MAX($F53,EM$3)+1)/EM$5)</f>
        <v>0</v>
      </c>
      <c r="EN53" s="49" t="n">
        <f aca="false">$E53*MAX(0,(MIN(In_Decision_Date+In_PB_Days-1,EN$4)-MAX($F53,EN$3)+1)/EN$5)</f>
        <v>0</v>
      </c>
      <c r="EO53" s="49" t="n">
        <f aca="false">$E53*MAX(0,(MIN(In_Decision_Date+In_PB_Days-1,EO$4)-MAX($F53,EO$3)+1)/EO$5)</f>
        <v>0</v>
      </c>
    </row>
    <row r="54" customFormat="false" ht="15" hidden="false" customHeight="false" outlineLevel="0" collapsed="false">
      <c r="C54" s="1" t="s">
        <v>450</v>
      </c>
      <c r="D54" s="12" t="s">
        <v>33</v>
      </c>
      <c r="E54" s="49" t="n">
        <f aca="false">In_PB_Rate*$E39*$E51*Thousand/In_FX</f>
        <v>2216.43835616438</v>
      </c>
      <c r="F54" s="47" t="n">
        <f aca="false">In_Decision_Date+In_PB_Days</f>
        <v>46433</v>
      </c>
      <c r="J54" s="49" t="n">
        <f aca="false">$E54*MAX(0,(MIN(In_PB_Release,J$4)-MAX($F54,J$3)+1)/J$5)</f>
        <v>0</v>
      </c>
      <c r="K54" s="49" t="n">
        <f aca="false">$E54*MAX(0,(MIN(In_PB_Release,K$4)-MAX($F54,K$3)+1)/K$5)</f>
        <v>1108.21917808219</v>
      </c>
      <c r="L54" s="49" t="n">
        <f aca="false">$E54*MAX(0,(MIN(In_PB_Release,L$4)-MAX($F54,L$3)+1)/L$5)</f>
        <v>2216.43835616438</v>
      </c>
      <c r="M54" s="49" t="n">
        <f aca="false">$E54*MAX(0,(MIN(In_PB_Release,M$4)-MAX($F54,M$3)+1)/M$5)</f>
        <v>2216.43835616438</v>
      </c>
      <c r="N54" s="49" t="n">
        <f aca="false">$E54*MAX(0,(MIN(In_PB_Release,N$4)-MAX($F54,N$3)+1)/N$5)</f>
        <v>2216.43835616438</v>
      </c>
      <c r="O54" s="49" t="n">
        <f aca="false">$E54*MAX(0,(MIN(In_PB_Release,O$4)-MAX($F54,O$3)+1)/O$5)</f>
        <v>2216.43835616438</v>
      </c>
      <c r="P54" s="49" t="n">
        <f aca="false">$E54*MAX(0,(MIN(In_PB_Release,P$4)-MAX($F54,P$3)+1)/P$5)</f>
        <v>2216.43835616438</v>
      </c>
      <c r="Q54" s="49" t="n">
        <f aca="false">$E54*MAX(0,(MIN(In_PB_Release,Q$4)-MAX($F54,Q$3)+1)/Q$5)</f>
        <v>2216.43835616438</v>
      </c>
      <c r="R54" s="49" t="n">
        <f aca="false">$E54*MAX(0,(MIN(In_PB_Release,R$4)-MAX($F54,R$3)+1)/R$5)</f>
        <v>2216.43835616438</v>
      </c>
      <c r="S54" s="49" t="n">
        <f aca="false">$E54*MAX(0,(MIN(In_PB_Release,S$4)-MAX($F54,S$3)+1)/S$5)</f>
        <v>2216.43835616438</v>
      </c>
      <c r="T54" s="49" t="n">
        <f aca="false">$E54*MAX(0,(MIN(In_PB_Release,T$4)-MAX($F54,T$3)+1)/T$5)</f>
        <v>2216.43835616438</v>
      </c>
      <c r="U54" s="49" t="n">
        <f aca="false">$E54*MAX(0,(MIN(In_PB_Release,U$4)-MAX($F54,U$3)+1)/U$5)</f>
        <v>2216.43835616438</v>
      </c>
      <c r="V54" s="49" t="n">
        <f aca="false">$E54*MAX(0,(MIN(In_PB_Release,V$4)-MAX($F54,V$3)+1)/V$5)</f>
        <v>2216.43835616438</v>
      </c>
      <c r="W54" s="49" t="n">
        <f aca="false">$E54*MAX(0,(MIN(In_PB_Release,W$4)-MAX($F54,W$3)+1)/W$5)</f>
        <v>2216.43835616438</v>
      </c>
      <c r="X54" s="49" t="n">
        <f aca="false">$E54*MAX(0,(MIN(In_PB_Release,X$4)-MAX($F54,X$3)+1)/X$5)</f>
        <v>2216.43835616438</v>
      </c>
      <c r="Y54" s="49" t="n">
        <f aca="false">$E54*MAX(0,(MIN(In_PB_Release,Y$4)-MAX($F54,Y$3)+1)/Y$5)</f>
        <v>2216.43835616438</v>
      </c>
      <c r="Z54" s="49" t="n">
        <f aca="false">$E54*MAX(0,(MIN(In_PB_Release,Z$4)-MAX($F54,Z$3)+1)/Z$5)</f>
        <v>2216.43835616438</v>
      </c>
      <c r="AA54" s="49" t="n">
        <f aca="false">$E54*MAX(0,(MIN(In_PB_Release,AA$4)-MAX($F54,AA$3)+1)/AA$5)</f>
        <v>2216.43835616438</v>
      </c>
      <c r="AB54" s="49" t="n">
        <f aca="false">$E54*MAX(0,(MIN(In_PB_Release,AB$4)-MAX($F54,AB$3)+1)/AB$5)</f>
        <v>2216.43835616438</v>
      </c>
      <c r="AC54" s="49" t="n">
        <f aca="false">$E54*MAX(0,(MIN(In_PB_Release,AC$4)-MAX($F54,AC$3)+1)/AC$5)</f>
        <v>2216.43835616438</v>
      </c>
      <c r="AD54" s="49" t="n">
        <f aca="false">$E54*MAX(0,(MIN(In_PB_Release,AD$4)-MAX($F54,AD$3)+1)/AD$5)</f>
        <v>2216.43835616438</v>
      </c>
      <c r="AE54" s="49" t="n">
        <f aca="false">$E54*MAX(0,(MIN(In_PB_Release,AE$4)-MAX($F54,AE$3)+1)/AE$5)</f>
        <v>2216.43835616438</v>
      </c>
      <c r="AF54" s="49" t="n">
        <f aca="false">$E54*MAX(0,(MIN(In_PB_Release,AF$4)-MAX($F54,AF$3)+1)/AF$5)</f>
        <v>2216.43835616438</v>
      </c>
      <c r="AG54" s="49" t="n">
        <f aca="false">$E54*MAX(0,(MIN(In_PB_Release,AG$4)-MAX($F54,AG$3)+1)/AG$5)</f>
        <v>2216.43835616438</v>
      </c>
      <c r="AH54" s="49" t="n">
        <f aca="false">$E54*MAX(0,(MIN(In_PB_Release,AH$4)-MAX($F54,AH$3)+1)/AH$5)</f>
        <v>2216.43835616438</v>
      </c>
      <c r="AI54" s="49" t="n">
        <f aca="false">$E54*MAX(0,(MIN(In_PB_Release,AI$4)-MAX($F54,AI$3)+1)/AI$5)</f>
        <v>2216.43835616438</v>
      </c>
      <c r="AJ54" s="49" t="n">
        <f aca="false">$E54*MAX(0,(MIN(In_PB_Release,AJ$4)-MAX($F54,AJ$3)+1)/AJ$5)</f>
        <v>0</v>
      </c>
      <c r="AK54" s="49" t="n">
        <f aca="false">$E54*MAX(0,(MIN(In_PB_Release,AK$4)-MAX($F54,AK$3)+1)/AK$5)</f>
        <v>0</v>
      </c>
      <c r="AL54" s="49" t="n">
        <f aca="false">$E54*MAX(0,(MIN(In_PB_Release,AL$4)-MAX($F54,AL$3)+1)/AL$5)</f>
        <v>0</v>
      </c>
      <c r="AM54" s="49" t="n">
        <f aca="false">$E54*MAX(0,(MIN(In_PB_Release,AM$4)-MAX($F54,AM$3)+1)/AM$5)</f>
        <v>0</v>
      </c>
      <c r="AN54" s="49" t="n">
        <f aca="false">$E54*MAX(0,(MIN(In_PB_Release,AN$4)-MAX($F54,AN$3)+1)/AN$5)</f>
        <v>0</v>
      </c>
      <c r="AO54" s="49" t="n">
        <f aca="false">$E54*MAX(0,(MIN(In_PB_Release,AO$4)-MAX($F54,AO$3)+1)/AO$5)</f>
        <v>0</v>
      </c>
      <c r="AP54" s="49" t="n">
        <f aca="false">$E54*MAX(0,(MIN(In_PB_Release,AP$4)-MAX($F54,AP$3)+1)/AP$5)</f>
        <v>0</v>
      </c>
      <c r="AQ54" s="49" t="n">
        <f aca="false">$E54*MAX(0,(MIN(In_PB_Release,AQ$4)-MAX($F54,AQ$3)+1)/AQ$5)</f>
        <v>0</v>
      </c>
      <c r="AR54" s="49" t="n">
        <f aca="false">$E54*MAX(0,(MIN(In_PB_Release,AR$4)-MAX($F54,AR$3)+1)/AR$5)</f>
        <v>0</v>
      </c>
      <c r="AS54" s="49" t="n">
        <f aca="false">$E54*MAX(0,(MIN(In_PB_Release,AS$4)-MAX($F54,AS$3)+1)/AS$5)</f>
        <v>0</v>
      </c>
      <c r="AT54" s="49" t="n">
        <f aca="false">$E54*MAX(0,(MIN(In_PB_Release,AT$4)-MAX($F54,AT$3)+1)/AT$5)</f>
        <v>0</v>
      </c>
      <c r="AU54" s="49" t="n">
        <f aca="false">$E54*MAX(0,(MIN(In_PB_Release,AU$4)-MAX($F54,AU$3)+1)/AU$5)</f>
        <v>0</v>
      </c>
      <c r="AV54" s="49" t="n">
        <f aca="false">$E54*MAX(0,(MIN(In_PB_Release,AV$4)-MAX($F54,AV$3)+1)/AV$5)</f>
        <v>0</v>
      </c>
      <c r="AW54" s="49" t="n">
        <f aca="false">$E54*MAX(0,(MIN(In_PB_Release,AW$4)-MAX($F54,AW$3)+1)/AW$5)</f>
        <v>0</v>
      </c>
      <c r="AX54" s="49" t="n">
        <f aca="false">$E54*MAX(0,(MIN(In_PB_Release,AX$4)-MAX($F54,AX$3)+1)/AX$5)</f>
        <v>0</v>
      </c>
      <c r="AY54" s="49" t="n">
        <f aca="false">$E54*MAX(0,(MIN(In_PB_Release,AY$4)-MAX($F54,AY$3)+1)/AY$5)</f>
        <v>0</v>
      </c>
      <c r="AZ54" s="49" t="n">
        <f aca="false">$E54*MAX(0,(MIN(In_PB_Release,AZ$4)-MAX($F54,AZ$3)+1)/AZ$5)</f>
        <v>0</v>
      </c>
      <c r="BA54" s="49" t="n">
        <f aca="false">$E54*MAX(0,(MIN(In_PB_Release,BA$4)-MAX($F54,BA$3)+1)/BA$5)</f>
        <v>0</v>
      </c>
      <c r="BB54" s="49" t="n">
        <f aca="false">$E54*MAX(0,(MIN(In_PB_Release,BB$4)-MAX($F54,BB$3)+1)/BB$5)</f>
        <v>0</v>
      </c>
      <c r="BC54" s="49" t="n">
        <f aca="false">$E54*MAX(0,(MIN(In_PB_Release,BC$4)-MAX($F54,BC$3)+1)/BC$5)</f>
        <v>0</v>
      </c>
      <c r="BD54" s="49" t="n">
        <f aca="false">$E54*MAX(0,(MIN(In_PB_Release,BD$4)-MAX($F54,BD$3)+1)/BD$5)</f>
        <v>0</v>
      </c>
      <c r="BE54" s="49" t="n">
        <f aca="false">$E54*MAX(0,(MIN(In_PB_Release,BE$4)-MAX($F54,BE$3)+1)/BE$5)</f>
        <v>0</v>
      </c>
      <c r="BF54" s="49" t="n">
        <f aca="false">$E54*MAX(0,(MIN(In_PB_Release,BF$4)-MAX($F54,BF$3)+1)/BF$5)</f>
        <v>0</v>
      </c>
      <c r="BG54" s="49" t="n">
        <f aca="false">$E54*MAX(0,(MIN(In_PB_Release,BG$4)-MAX($F54,BG$3)+1)/BG$5)</f>
        <v>0</v>
      </c>
      <c r="BH54" s="49" t="n">
        <f aca="false">$E54*MAX(0,(MIN(In_PB_Release,BH$4)-MAX($F54,BH$3)+1)/BH$5)</f>
        <v>0</v>
      </c>
      <c r="BI54" s="49" t="n">
        <f aca="false">$E54*MAX(0,(MIN(In_PB_Release,BI$4)-MAX($F54,BI$3)+1)/BI$5)</f>
        <v>0</v>
      </c>
      <c r="BJ54" s="49" t="n">
        <f aca="false">$E54*MAX(0,(MIN(In_PB_Release,BJ$4)-MAX($F54,BJ$3)+1)/BJ$5)</f>
        <v>0</v>
      </c>
      <c r="BK54" s="49" t="n">
        <f aca="false">$E54*MAX(0,(MIN(In_PB_Release,BK$4)-MAX($F54,BK$3)+1)/BK$5)</f>
        <v>0</v>
      </c>
      <c r="BL54" s="49" t="n">
        <f aca="false">$E54*MAX(0,(MIN(In_PB_Release,BL$4)-MAX($F54,BL$3)+1)/BL$5)</f>
        <v>0</v>
      </c>
      <c r="BM54" s="49" t="n">
        <f aca="false">$E54*MAX(0,(MIN(In_PB_Release,BM$4)-MAX($F54,BM$3)+1)/BM$5)</f>
        <v>0</v>
      </c>
      <c r="BN54" s="49" t="n">
        <f aca="false">$E54*MAX(0,(MIN(In_PB_Release,BN$4)-MAX($F54,BN$3)+1)/BN$5)</f>
        <v>0</v>
      </c>
      <c r="BO54" s="49" t="n">
        <f aca="false">$E54*MAX(0,(MIN(In_PB_Release,BO$4)-MAX($F54,BO$3)+1)/BO$5)</f>
        <v>0</v>
      </c>
      <c r="BP54" s="49" t="n">
        <f aca="false">$E54*MAX(0,(MIN(In_PB_Release,BP$4)-MAX($F54,BP$3)+1)/BP$5)</f>
        <v>0</v>
      </c>
      <c r="BQ54" s="49" t="n">
        <f aca="false">$E54*MAX(0,(MIN(In_PB_Release,BQ$4)-MAX($F54,BQ$3)+1)/BQ$5)</f>
        <v>0</v>
      </c>
      <c r="BR54" s="49" t="n">
        <f aca="false">$E54*MAX(0,(MIN(In_PB_Release,BR$4)-MAX($F54,BR$3)+1)/BR$5)</f>
        <v>0</v>
      </c>
      <c r="BS54" s="49" t="n">
        <f aca="false">$E54*MAX(0,(MIN(In_PB_Release,BS$4)-MAX($F54,BS$3)+1)/BS$5)</f>
        <v>0</v>
      </c>
      <c r="BT54" s="49" t="n">
        <f aca="false">$E54*MAX(0,(MIN(In_PB_Release,BT$4)-MAX($F54,BT$3)+1)/BT$5)</f>
        <v>0</v>
      </c>
      <c r="BU54" s="49" t="n">
        <f aca="false">$E54*MAX(0,(MIN(In_PB_Release,BU$4)-MAX($F54,BU$3)+1)/BU$5)</f>
        <v>0</v>
      </c>
      <c r="BV54" s="49" t="n">
        <f aca="false">$E54*MAX(0,(MIN(In_PB_Release,BV$4)-MAX($F54,BV$3)+1)/BV$5)</f>
        <v>0</v>
      </c>
      <c r="BW54" s="49" t="n">
        <f aca="false">$E54*MAX(0,(MIN(In_PB_Release,BW$4)-MAX($F54,BW$3)+1)/BW$5)</f>
        <v>0</v>
      </c>
      <c r="BX54" s="49" t="n">
        <f aca="false">$E54*MAX(0,(MIN(In_PB_Release,BX$4)-MAX($F54,BX$3)+1)/BX$5)</f>
        <v>0</v>
      </c>
      <c r="BY54" s="49" t="n">
        <f aca="false">$E54*MAX(0,(MIN(In_PB_Release,BY$4)-MAX($F54,BY$3)+1)/BY$5)</f>
        <v>0</v>
      </c>
      <c r="BZ54" s="49" t="n">
        <f aca="false">$E54*MAX(0,(MIN(In_PB_Release,BZ$4)-MAX($F54,BZ$3)+1)/BZ$5)</f>
        <v>0</v>
      </c>
      <c r="CA54" s="49" t="n">
        <f aca="false">$E54*MAX(0,(MIN(In_PB_Release,CA$4)-MAX($F54,CA$3)+1)/CA$5)</f>
        <v>0</v>
      </c>
      <c r="CB54" s="49" t="n">
        <f aca="false">$E54*MAX(0,(MIN(In_PB_Release,CB$4)-MAX($F54,CB$3)+1)/CB$5)</f>
        <v>0</v>
      </c>
      <c r="CC54" s="49" t="n">
        <f aca="false">$E54*MAX(0,(MIN(In_PB_Release,CC$4)-MAX($F54,CC$3)+1)/CC$5)</f>
        <v>0</v>
      </c>
      <c r="CD54" s="49" t="n">
        <f aca="false">$E54*MAX(0,(MIN(In_PB_Release,CD$4)-MAX($F54,CD$3)+1)/CD$5)</f>
        <v>0</v>
      </c>
      <c r="CE54" s="49" t="n">
        <f aca="false">$E54*MAX(0,(MIN(In_PB_Release,CE$4)-MAX($F54,CE$3)+1)/CE$5)</f>
        <v>0</v>
      </c>
      <c r="CF54" s="49" t="n">
        <f aca="false">$E54*MAX(0,(MIN(In_PB_Release,CF$4)-MAX($F54,CF$3)+1)/CF$5)</f>
        <v>0</v>
      </c>
      <c r="CG54" s="49" t="n">
        <f aca="false">$E54*MAX(0,(MIN(In_PB_Release,CG$4)-MAX($F54,CG$3)+1)/CG$5)</f>
        <v>0</v>
      </c>
      <c r="CH54" s="49" t="n">
        <f aca="false">$E54*MAX(0,(MIN(In_PB_Release,CH$4)-MAX($F54,CH$3)+1)/CH$5)</f>
        <v>0</v>
      </c>
      <c r="CI54" s="49" t="n">
        <f aca="false">$E54*MAX(0,(MIN(In_PB_Release,CI$4)-MAX($F54,CI$3)+1)/CI$5)</f>
        <v>0</v>
      </c>
      <c r="CJ54" s="49" t="n">
        <f aca="false">$E54*MAX(0,(MIN(In_PB_Release,CJ$4)-MAX($F54,CJ$3)+1)/CJ$5)</f>
        <v>0</v>
      </c>
      <c r="CK54" s="49" t="n">
        <f aca="false">$E54*MAX(0,(MIN(In_PB_Release,CK$4)-MAX($F54,CK$3)+1)/CK$5)</f>
        <v>0</v>
      </c>
      <c r="CL54" s="49" t="n">
        <f aca="false">$E54*MAX(0,(MIN(In_PB_Release,CL$4)-MAX($F54,CL$3)+1)/CL$5)</f>
        <v>0</v>
      </c>
      <c r="CM54" s="49" t="n">
        <f aca="false">$E54*MAX(0,(MIN(In_PB_Release,CM$4)-MAX($F54,CM$3)+1)/CM$5)</f>
        <v>0</v>
      </c>
      <c r="CN54" s="49" t="n">
        <f aca="false">$E54*MAX(0,(MIN(In_PB_Release,CN$4)-MAX($F54,CN$3)+1)/CN$5)</f>
        <v>0</v>
      </c>
      <c r="CO54" s="49" t="n">
        <f aca="false">$E54*MAX(0,(MIN(In_PB_Release,CO$4)-MAX($F54,CO$3)+1)/CO$5)</f>
        <v>0</v>
      </c>
      <c r="CP54" s="49" t="n">
        <f aca="false">$E54*MAX(0,(MIN(In_PB_Release,CP$4)-MAX($F54,CP$3)+1)/CP$5)</f>
        <v>0</v>
      </c>
      <c r="CQ54" s="49" t="n">
        <f aca="false">$E54*MAX(0,(MIN(In_PB_Release,CQ$4)-MAX($F54,CQ$3)+1)/CQ$5)</f>
        <v>0</v>
      </c>
      <c r="CR54" s="49" t="n">
        <f aca="false">$E54*MAX(0,(MIN(In_PB_Release,CR$4)-MAX($F54,CR$3)+1)/CR$5)</f>
        <v>0</v>
      </c>
      <c r="CS54" s="49" t="n">
        <f aca="false">$E54*MAX(0,(MIN(In_PB_Release,CS$4)-MAX($F54,CS$3)+1)/CS$5)</f>
        <v>0</v>
      </c>
      <c r="CT54" s="49" t="n">
        <f aca="false">$E54*MAX(0,(MIN(In_PB_Release,CT$4)-MAX($F54,CT$3)+1)/CT$5)</f>
        <v>0</v>
      </c>
      <c r="CU54" s="49" t="n">
        <f aca="false">$E54*MAX(0,(MIN(In_PB_Release,CU$4)-MAX($F54,CU$3)+1)/CU$5)</f>
        <v>0</v>
      </c>
      <c r="CV54" s="49" t="n">
        <f aca="false">$E54*MAX(0,(MIN(In_PB_Release,CV$4)-MAX($F54,CV$3)+1)/CV$5)</f>
        <v>0</v>
      </c>
      <c r="CW54" s="49" t="n">
        <f aca="false">$E54*MAX(0,(MIN(In_PB_Release,CW$4)-MAX($F54,CW$3)+1)/CW$5)</f>
        <v>0</v>
      </c>
      <c r="CX54" s="49" t="n">
        <f aca="false">$E54*MAX(0,(MIN(In_PB_Release,CX$4)-MAX($F54,CX$3)+1)/CX$5)</f>
        <v>0</v>
      </c>
      <c r="CY54" s="49" t="n">
        <f aca="false">$E54*MAX(0,(MIN(In_PB_Release,CY$4)-MAX($F54,CY$3)+1)/CY$5)</f>
        <v>0</v>
      </c>
      <c r="CZ54" s="49" t="n">
        <f aca="false">$E54*MAX(0,(MIN(In_PB_Release,CZ$4)-MAX($F54,CZ$3)+1)/CZ$5)</f>
        <v>0</v>
      </c>
      <c r="DA54" s="49" t="n">
        <f aca="false">$E54*MAX(0,(MIN(In_PB_Release,DA$4)-MAX($F54,DA$3)+1)/DA$5)</f>
        <v>0</v>
      </c>
      <c r="DB54" s="49" t="n">
        <f aca="false">$E54*MAX(0,(MIN(In_PB_Release,DB$4)-MAX($F54,DB$3)+1)/DB$5)</f>
        <v>0</v>
      </c>
      <c r="DC54" s="49" t="n">
        <f aca="false">$E54*MAX(0,(MIN(In_PB_Release,DC$4)-MAX($F54,DC$3)+1)/DC$5)</f>
        <v>0</v>
      </c>
      <c r="DD54" s="49" t="n">
        <f aca="false">$E54*MAX(0,(MIN(In_PB_Release,DD$4)-MAX($F54,DD$3)+1)/DD$5)</f>
        <v>0</v>
      </c>
      <c r="DE54" s="49" t="n">
        <f aca="false">$E54*MAX(0,(MIN(In_PB_Release,DE$4)-MAX($F54,DE$3)+1)/DE$5)</f>
        <v>0</v>
      </c>
      <c r="DF54" s="49" t="n">
        <f aca="false">$E54*MAX(0,(MIN(In_PB_Release,DF$4)-MAX($F54,DF$3)+1)/DF$5)</f>
        <v>0</v>
      </c>
      <c r="DG54" s="49" t="n">
        <f aca="false">$E54*MAX(0,(MIN(In_PB_Release,DG$4)-MAX($F54,DG$3)+1)/DG$5)</f>
        <v>0</v>
      </c>
      <c r="DH54" s="49" t="n">
        <f aca="false">$E54*MAX(0,(MIN(In_PB_Release,DH$4)-MAX($F54,DH$3)+1)/DH$5)</f>
        <v>0</v>
      </c>
      <c r="DI54" s="49" t="n">
        <f aca="false">$E54*MAX(0,(MIN(In_PB_Release,DI$4)-MAX($F54,DI$3)+1)/DI$5)</f>
        <v>0</v>
      </c>
      <c r="DJ54" s="49" t="n">
        <f aca="false">$E54*MAX(0,(MIN(In_PB_Release,DJ$4)-MAX($F54,DJ$3)+1)/DJ$5)</f>
        <v>0</v>
      </c>
      <c r="DK54" s="49" t="n">
        <f aca="false">$E54*MAX(0,(MIN(In_PB_Release,DK$4)-MAX($F54,DK$3)+1)/DK$5)</f>
        <v>0</v>
      </c>
      <c r="DL54" s="49" t="n">
        <f aca="false">$E54*MAX(0,(MIN(In_PB_Release,DL$4)-MAX($F54,DL$3)+1)/DL$5)</f>
        <v>0</v>
      </c>
      <c r="DM54" s="49" t="n">
        <f aca="false">$E54*MAX(0,(MIN(In_PB_Release,DM$4)-MAX($F54,DM$3)+1)/DM$5)</f>
        <v>0</v>
      </c>
      <c r="DN54" s="49" t="n">
        <f aca="false">$E54*MAX(0,(MIN(In_PB_Release,DN$4)-MAX($F54,DN$3)+1)/DN$5)</f>
        <v>0</v>
      </c>
      <c r="DO54" s="49" t="n">
        <f aca="false">$E54*MAX(0,(MIN(In_PB_Release,DO$4)-MAX($F54,DO$3)+1)/DO$5)</f>
        <v>0</v>
      </c>
      <c r="DP54" s="49" t="n">
        <f aca="false">$E54*MAX(0,(MIN(In_PB_Release,DP$4)-MAX($F54,DP$3)+1)/DP$5)</f>
        <v>0</v>
      </c>
      <c r="DQ54" s="49" t="n">
        <f aca="false">$E54*MAX(0,(MIN(In_PB_Release,DQ$4)-MAX($F54,DQ$3)+1)/DQ$5)</f>
        <v>0</v>
      </c>
      <c r="DR54" s="49" t="n">
        <f aca="false">$E54*MAX(0,(MIN(In_PB_Release,DR$4)-MAX($F54,DR$3)+1)/DR$5)</f>
        <v>0</v>
      </c>
      <c r="DS54" s="49" t="n">
        <f aca="false">$E54*MAX(0,(MIN(In_PB_Release,DS$4)-MAX($F54,DS$3)+1)/DS$5)</f>
        <v>0</v>
      </c>
      <c r="DT54" s="49" t="n">
        <f aca="false">$E54*MAX(0,(MIN(In_PB_Release,DT$4)-MAX($F54,DT$3)+1)/DT$5)</f>
        <v>0</v>
      </c>
      <c r="DU54" s="49" t="n">
        <f aca="false">$E54*MAX(0,(MIN(In_PB_Release,DU$4)-MAX($F54,DU$3)+1)/DU$5)</f>
        <v>0</v>
      </c>
      <c r="DV54" s="49" t="n">
        <f aca="false">$E54*MAX(0,(MIN(In_PB_Release,DV$4)-MAX($F54,DV$3)+1)/DV$5)</f>
        <v>0</v>
      </c>
      <c r="DW54" s="49" t="n">
        <f aca="false">$E54*MAX(0,(MIN(In_PB_Release,DW$4)-MAX($F54,DW$3)+1)/DW$5)</f>
        <v>0</v>
      </c>
      <c r="DX54" s="49" t="n">
        <f aca="false">$E54*MAX(0,(MIN(In_PB_Release,DX$4)-MAX($F54,DX$3)+1)/DX$5)</f>
        <v>0</v>
      </c>
      <c r="DY54" s="49" t="n">
        <f aca="false">$E54*MAX(0,(MIN(In_PB_Release,DY$4)-MAX($F54,DY$3)+1)/DY$5)</f>
        <v>0</v>
      </c>
      <c r="DZ54" s="49" t="n">
        <f aca="false">$E54*MAX(0,(MIN(In_PB_Release,DZ$4)-MAX($F54,DZ$3)+1)/DZ$5)</f>
        <v>0</v>
      </c>
      <c r="EA54" s="49" t="n">
        <f aca="false">$E54*MAX(0,(MIN(In_PB_Release,EA$4)-MAX($F54,EA$3)+1)/EA$5)</f>
        <v>0</v>
      </c>
      <c r="EB54" s="49" t="n">
        <f aca="false">$E54*MAX(0,(MIN(In_PB_Release,EB$4)-MAX($F54,EB$3)+1)/EB$5)</f>
        <v>0</v>
      </c>
      <c r="EC54" s="49" t="n">
        <f aca="false">$E54*MAX(0,(MIN(In_PB_Release,EC$4)-MAX($F54,EC$3)+1)/EC$5)</f>
        <v>0</v>
      </c>
      <c r="ED54" s="49" t="n">
        <f aca="false">$E54*MAX(0,(MIN(In_PB_Release,ED$4)-MAX($F54,ED$3)+1)/ED$5)</f>
        <v>0</v>
      </c>
      <c r="EE54" s="49" t="n">
        <f aca="false">$E54*MAX(0,(MIN(In_PB_Release,EE$4)-MAX($F54,EE$3)+1)/EE$5)</f>
        <v>0</v>
      </c>
      <c r="EF54" s="49" t="n">
        <f aca="false">$E54*MAX(0,(MIN(In_PB_Release,EF$4)-MAX($F54,EF$3)+1)/EF$5)</f>
        <v>0</v>
      </c>
      <c r="EG54" s="49" t="n">
        <f aca="false">$E54*MAX(0,(MIN(In_PB_Release,EG$4)-MAX($F54,EG$3)+1)/EG$5)</f>
        <v>0</v>
      </c>
      <c r="EH54" s="49" t="n">
        <f aca="false">$E54*MAX(0,(MIN(In_PB_Release,EH$4)-MAX($F54,EH$3)+1)/EH$5)</f>
        <v>0</v>
      </c>
      <c r="EI54" s="49" t="n">
        <f aca="false">$E54*MAX(0,(MIN(In_PB_Release,EI$4)-MAX($F54,EI$3)+1)/EI$5)</f>
        <v>0</v>
      </c>
      <c r="EJ54" s="49" t="n">
        <f aca="false">$E54*MAX(0,(MIN(In_PB_Release,EJ$4)-MAX($F54,EJ$3)+1)/EJ$5)</f>
        <v>0</v>
      </c>
      <c r="EK54" s="49" t="n">
        <f aca="false">$E54*MAX(0,(MIN(In_PB_Release,EK$4)-MAX($F54,EK$3)+1)/EK$5)</f>
        <v>0</v>
      </c>
      <c r="EL54" s="49" t="n">
        <f aca="false">$E54*MAX(0,(MIN(In_PB_Release,EL$4)-MAX($F54,EL$3)+1)/EL$5)</f>
        <v>0</v>
      </c>
      <c r="EM54" s="49" t="n">
        <f aca="false">$E54*MAX(0,(MIN(In_PB_Release,EM$4)-MAX($F54,EM$3)+1)/EM$5)</f>
        <v>0</v>
      </c>
      <c r="EN54" s="49" t="n">
        <f aca="false">$E54*MAX(0,(MIN(In_PB_Release,EN$4)-MAX($F54,EN$3)+1)/EN$5)</f>
        <v>0</v>
      </c>
      <c r="EO54" s="49" t="n">
        <f aca="false">$E54*MAX(0,(MIN(In_PB_Release,EO$4)-MAX($F54,EO$3)+1)/EO$5)</f>
        <v>0</v>
      </c>
    </row>
    <row r="55" customFormat="false" ht="15" hidden="false" customHeight="false" outlineLevel="0" collapsed="false">
      <c r="C55" s="1" t="s">
        <v>451</v>
      </c>
      <c r="D55" s="12" t="s">
        <v>33</v>
      </c>
      <c r="E55" s="49" t="n">
        <f aca="false">In_TSO_Security*In_MVA*Thousand/In_FX</f>
        <v>616.438356164384</v>
      </c>
      <c r="F55" s="47" t="n">
        <f aca="false">In_Decision_Date+In_PB_Days</f>
        <v>46433</v>
      </c>
      <c r="I55" s="49" t="n">
        <f aca="false">SUM(J55:EO55)</f>
        <v>-616.438356164384</v>
      </c>
      <c r="J55" s="49" t="n">
        <f aca="false">-$E55*N(AND(J$3&lt;=$F55,J$4&gt;=$F55))</f>
        <v>-0</v>
      </c>
      <c r="K55" s="49" t="n">
        <f aca="false">-$E55*N(AND(K$3&lt;=$F55,K$4&gt;=$F55))</f>
        <v>-616.438356164384</v>
      </c>
      <c r="L55" s="49" t="n">
        <f aca="false">-$E55*N(AND(L$3&lt;=$F55,L$4&gt;=$F55))</f>
        <v>-0</v>
      </c>
      <c r="M55" s="49" t="n">
        <f aca="false">-$E55*N(AND(M$3&lt;=$F55,M$4&gt;=$F55))</f>
        <v>-0</v>
      </c>
      <c r="N55" s="49" t="n">
        <f aca="false">-$E55*N(AND(N$3&lt;=$F55,N$4&gt;=$F55))</f>
        <v>-0</v>
      </c>
      <c r="O55" s="49" t="n">
        <f aca="false">-$E55*N(AND(O$3&lt;=$F55,O$4&gt;=$F55))</f>
        <v>-0</v>
      </c>
      <c r="P55" s="49" t="n">
        <f aca="false">-$E55*N(AND(P$3&lt;=$F55,P$4&gt;=$F55))</f>
        <v>-0</v>
      </c>
      <c r="Q55" s="49" t="n">
        <f aca="false">-$E55*N(AND(Q$3&lt;=$F55,Q$4&gt;=$F55))</f>
        <v>-0</v>
      </c>
      <c r="R55" s="49" t="n">
        <f aca="false">-$E55*N(AND(R$3&lt;=$F55,R$4&gt;=$F55))</f>
        <v>-0</v>
      </c>
      <c r="S55" s="49" t="n">
        <f aca="false">-$E55*N(AND(S$3&lt;=$F55,S$4&gt;=$F55))</f>
        <v>-0</v>
      </c>
      <c r="T55" s="49" t="n">
        <f aca="false">-$E55*N(AND(T$3&lt;=$F55,T$4&gt;=$F55))</f>
        <v>-0</v>
      </c>
      <c r="U55" s="49" t="n">
        <f aca="false">-$E55*N(AND(U$3&lt;=$F55,U$4&gt;=$F55))</f>
        <v>-0</v>
      </c>
      <c r="V55" s="49" t="n">
        <f aca="false">-$E55*N(AND(V$3&lt;=$F55,V$4&gt;=$F55))</f>
        <v>-0</v>
      </c>
      <c r="W55" s="49" t="n">
        <f aca="false">-$E55*N(AND(W$3&lt;=$F55,W$4&gt;=$F55))</f>
        <v>-0</v>
      </c>
      <c r="X55" s="49" t="n">
        <f aca="false">-$E55*N(AND(X$3&lt;=$F55,X$4&gt;=$F55))</f>
        <v>-0</v>
      </c>
      <c r="Y55" s="49" t="n">
        <f aca="false">-$E55*N(AND(Y$3&lt;=$F55,Y$4&gt;=$F55))</f>
        <v>-0</v>
      </c>
      <c r="Z55" s="49" t="n">
        <f aca="false">-$E55*N(AND(Z$3&lt;=$F55,Z$4&gt;=$F55))</f>
        <v>-0</v>
      </c>
      <c r="AA55" s="49" t="n">
        <f aca="false">-$E55*N(AND(AA$3&lt;=$F55,AA$4&gt;=$F55))</f>
        <v>-0</v>
      </c>
      <c r="AB55" s="49" t="n">
        <f aca="false">-$E55*N(AND(AB$3&lt;=$F55,AB$4&gt;=$F55))</f>
        <v>-0</v>
      </c>
      <c r="AC55" s="49" t="n">
        <f aca="false">-$E55*N(AND(AC$3&lt;=$F55,AC$4&gt;=$F55))</f>
        <v>-0</v>
      </c>
      <c r="AD55" s="49" t="n">
        <f aca="false">-$E55*N(AND(AD$3&lt;=$F55,AD$4&gt;=$F55))</f>
        <v>-0</v>
      </c>
      <c r="AE55" s="49" t="n">
        <f aca="false">-$E55*N(AND(AE$3&lt;=$F55,AE$4&gt;=$F55))</f>
        <v>-0</v>
      </c>
      <c r="AF55" s="49" t="n">
        <f aca="false">-$E55*N(AND(AF$3&lt;=$F55,AF$4&gt;=$F55))</f>
        <v>-0</v>
      </c>
      <c r="AG55" s="49" t="n">
        <f aca="false">-$E55*N(AND(AG$3&lt;=$F55,AG$4&gt;=$F55))</f>
        <v>-0</v>
      </c>
      <c r="AH55" s="49" t="n">
        <f aca="false">-$E55*N(AND(AH$3&lt;=$F55,AH$4&gt;=$F55))</f>
        <v>-0</v>
      </c>
      <c r="AI55" s="49" t="n">
        <f aca="false">-$E55*N(AND(AI$3&lt;=$F55,AI$4&gt;=$F55))</f>
        <v>-0</v>
      </c>
      <c r="AJ55" s="49" t="n">
        <f aca="false">-$E55*N(AND(AJ$3&lt;=$F55,AJ$4&gt;=$F55))</f>
        <v>-0</v>
      </c>
      <c r="AK55" s="49" t="n">
        <f aca="false">-$E55*N(AND(AK$3&lt;=$F55,AK$4&gt;=$F55))</f>
        <v>-0</v>
      </c>
      <c r="AL55" s="49" t="n">
        <f aca="false">-$E55*N(AND(AL$3&lt;=$F55,AL$4&gt;=$F55))</f>
        <v>-0</v>
      </c>
      <c r="AM55" s="49" t="n">
        <f aca="false">-$E55*N(AND(AM$3&lt;=$F55,AM$4&gt;=$F55))</f>
        <v>-0</v>
      </c>
      <c r="AN55" s="49" t="n">
        <f aca="false">-$E55*N(AND(AN$3&lt;=$F55,AN$4&gt;=$F55))</f>
        <v>-0</v>
      </c>
      <c r="AO55" s="49" t="n">
        <f aca="false">-$E55*N(AND(AO$3&lt;=$F55,AO$4&gt;=$F55))</f>
        <v>-0</v>
      </c>
      <c r="AP55" s="49" t="n">
        <f aca="false">-$E55*N(AND(AP$3&lt;=$F55,AP$4&gt;=$F55))</f>
        <v>-0</v>
      </c>
      <c r="AQ55" s="49" t="n">
        <f aca="false">-$E55*N(AND(AQ$3&lt;=$F55,AQ$4&gt;=$F55))</f>
        <v>-0</v>
      </c>
      <c r="AR55" s="49" t="n">
        <f aca="false">-$E55*N(AND(AR$3&lt;=$F55,AR$4&gt;=$F55))</f>
        <v>-0</v>
      </c>
      <c r="AS55" s="49" t="n">
        <f aca="false">-$E55*N(AND(AS$3&lt;=$F55,AS$4&gt;=$F55))</f>
        <v>-0</v>
      </c>
      <c r="AT55" s="49" t="n">
        <f aca="false">-$E55*N(AND(AT$3&lt;=$F55,AT$4&gt;=$F55))</f>
        <v>-0</v>
      </c>
      <c r="AU55" s="49" t="n">
        <f aca="false">-$E55*N(AND(AU$3&lt;=$F55,AU$4&gt;=$F55))</f>
        <v>-0</v>
      </c>
      <c r="AV55" s="49" t="n">
        <f aca="false">-$E55*N(AND(AV$3&lt;=$F55,AV$4&gt;=$F55))</f>
        <v>-0</v>
      </c>
      <c r="AW55" s="49" t="n">
        <f aca="false">-$E55*N(AND(AW$3&lt;=$F55,AW$4&gt;=$F55))</f>
        <v>-0</v>
      </c>
      <c r="AX55" s="49" t="n">
        <f aca="false">-$E55*N(AND(AX$3&lt;=$F55,AX$4&gt;=$F55))</f>
        <v>-0</v>
      </c>
      <c r="AY55" s="49" t="n">
        <f aca="false">-$E55*N(AND(AY$3&lt;=$F55,AY$4&gt;=$F55))</f>
        <v>-0</v>
      </c>
      <c r="AZ55" s="49" t="n">
        <f aca="false">-$E55*N(AND(AZ$3&lt;=$F55,AZ$4&gt;=$F55))</f>
        <v>-0</v>
      </c>
      <c r="BA55" s="49" t="n">
        <f aca="false">-$E55*N(AND(BA$3&lt;=$F55,BA$4&gt;=$F55))</f>
        <v>-0</v>
      </c>
      <c r="BB55" s="49" t="n">
        <f aca="false">-$E55*N(AND(BB$3&lt;=$F55,BB$4&gt;=$F55))</f>
        <v>-0</v>
      </c>
      <c r="BC55" s="49" t="n">
        <f aca="false">-$E55*N(AND(BC$3&lt;=$F55,BC$4&gt;=$F55))</f>
        <v>-0</v>
      </c>
      <c r="BD55" s="49" t="n">
        <f aca="false">-$E55*N(AND(BD$3&lt;=$F55,BD$4&gt;=$F55))</f>
        <v>-0</v>
      </c>
      <c r="BE55" s="49" t="n">
        <f aca="false">-$E55*N(AND(BE$3&lt;=$F55,BE$4&gt;=$F55))</f>
        <v>-0</v>
      </c>
      <c r="BF55" s="49" t="n">
        <f aca="false">-$E55*N(AND(BF$3&lt;=$F55,BF$4&gt;=$F55))</f>
        <v>-0</v>
      </c>
      <c r="BG55" s="49" t="n">
        <f aca="false">-$E55*N(AND(BG$3&lt;=$F55,BG$4&gt;=$F55))</f>
        <v>-0</v>
      </c>
      <c r="BH55" s="49" t="n">
        <f aca="false">-$E55*N(AND(BH$3&lt;=$F55,BH$4&gt;=$F55))</f>
        <v>-0</v>
      </c>
      <c r="BI55" s="49" t="n">
        <f aca="false">-$E55*N(AND(BI$3&lt;=$F55,BI$4&gt;=$F55))</f>
        <v>-0</v>
      </c>
      <c r="BJ55" s="49" t="n">
        <f aca="false">-$E55*N(AND(BJ$3&lt;=$F55,BJ$4&gt;=$F55))</f>
        <v>-0</v>
      </c>
      <c r="BK55" s="49" t="n">
        <f aca="false">-$E55*N(AND(BK$3&lt;=$F55,BK$4&gt;=$F55))</f>
        <v>-0</v>
      </c>
      <c r="BL55" s="49" t="n">
        <f aca="false">-$E55*N(AND(BL$3&lt;=$F55,BL$4&gt;=$F55))</f>
        <v>-0</v>
      </c>
      <c r="BM55" s="49" t="n">
        <f aca="false">-$E55*N(AND(BM$3&lt;=$F55,BM$4&gt;=$F55))</f>
        <v>-0</v>
      </c>
      <c r="BN55" s="49" t="n">
        <f aca="false">-$E55*N(AND(BN$3&lt;=$F55,BN$4&gt;=$F55))</f>
        <v>-0</v>
      </c>
      <c r="BO55" s="49" t="n">
        <f aca="false">-$E55*N(AND(BO$3&lt;=$F55,BO$4&gt;=$F55))</f>
        <v>-0</v>
      </c>
      <c r="BP55" s="49" t="n">
        <f aca="false">-$E55*N(AND(BP$3&lt;=$F55,BP$4&gt;=$F55))</f>
        <v>-0</v>
      </c>
      <c r="BQ55" s="49" t="n">
        <f aca="false">-$E55*N(AND(BQ$3&lt;=$F55,BQ$4&gt;=$F55))</f>
        <v>-0</v>
      </c>
      <c r="BR55" s="49" t="n">
        <f aca="false">-$E55*N(AND(BR$3&lt;=$F55,BR$4&gt;=$F55))</f>
        <v>-0</v>
      </c>
      <c r="BS55" s="49" t="n">
        <f aca="false">-$E55*N(AND(BS$3&lt;=$F55,BS$4&gt;=$F55))</f>
        <v>-0</v>
      </c>
      <c r="BT55" s="49" t="n">
        <f aca="false">-$E55*N(AND(BT$3&lt;=$F55,BT$4&gt;=$F55))</f>
        <v>-0</v>
      </c>
      <c r="BU55" s="49" t="n">
        <f aca="false">-$E55*N(AND(BU$3&lt;=$F55,BU$4&gt;=$F55))</f>
        <v>-0</v>
      </c>
      <c r="BV55" s="49" t="n">
        <f aca="false">-$E55*N(AND(BV$3&lt;=$F55,BV$4&gt;=$F55))</f>
        <v>-0</v>
      </c>
      <c r="BW55" s="49" t="n">
        <f aca="false">-$E55*N(AND(BW$3&lt;=$F55,BW$4&gt;=$F55))</f>
        <v>-0</v>
      </c>
      <c r="BX55" s="49" t="n">
        <f aca="false">-$E55*N(AND(BX$3&lt;=$F55,BX$4&gt;=$F55))</f>
        <v>-0</v>
      </c>
      <c r="BY55" s="49" t="n">
        <f aca="false">-$E55*N(AND(BY$3&lt;=$F55,BY$4&gt;=$F55))</f>
        <v>-0</v>
      </c>
      <c r="BZ55" s="49" t="n">
        <f aca="false">-$E55*N(AND(BZ$3&lt;=$F55,BZ$4&gt;=$F55))</f>
        <v>-0</v>
      </c>
      <c r="CA55" s="49" t="n">
        <f aca="false">-$E55*N(AND(CA$3&lt;=$F55,CA$4&gt;=$F55))</f>
        <v>-0</v>
      </c>
      <c r="CB55" s="49" t="n">
        <f aca="false">-$E55*N(AND(CB$3&lt;=$F55,CB$4&gt;=$F55))</f>
        <v>-0</v>
      </c>
      <c r="CC55" s="49" t="n">
        <f aca="false">-$E55*N(AND(CC$3&lt;=$F55,CC$4&gt;=$F55))</f>
        <v>-0</v>
      </c>
      <c r="CD55" s="49" t="n">
        <f aca="false">-$E55*N(AND(CD$3&lt;=$F55,CD$4&gt;=$F55))</f>
        <v>-0</v>
      </c>
      <c r="CE55" s="49" t="n">
        <f aca="false">-$E55*N(AND(CE$3&lt;=$F55,CE$4&gt;=$F55))</f>
        <v>-0</v>
      </c>
      <c r="CF55" s="49" t="n">
        <f aca="false">-$E55*N(AND(CF$3&lt;=$F55,CF$4&gt;=$F55))</f>
        <v>-0</v>
      </c>
      <c r="CG55" s="49" t="n">
        <f aca="false">-$E55*N(AND(CG$3&lt;=$F55,CG$4&gt;=$F55))</f>
        <v>-0</v>
      </c>
      <c r="CH55" s="49" t="n">
        <f aca="false">-$E55*N(AND(CH$3&lt;=$F55,CH$4&gt;=$F55))</f>
        <v>-0</v>
      </c>
      <c r="CI55" s="49" t="n">
        <f aca="false">-$E55*N(AND(CI$3&lt;=$F55,CI$4&gt;=$F55))</f>
        <v>-0</v>
      </c>
      <c r="CJ55" s="49" t="n">
        <f aca="false">-$E55*N(AND(CJ$3&lt;=$F55,CJ$4&gt;=$F55))</f>
        <v>-0</v>
      </c>
      <c r="CK55" s="49" t="n">
        <f aca="false">-$E55*N(AND(CK$3&lt;=$F55,CK$4&gt;=$F55))</f>
        <v>-0</v>
      </c>
      <c r="CL55" s="49" t="n">
        <f aca="false">-$E55*N(AND(CL$3&lt;=$F55,CL$4&gt;=$F55))</f>
        <v>-0</v>
      </c>
      <c r="CM55" s="49" t="n">
        <f aca="false">-$E55*N(AND(CM$3&lt;=$F55,CM$4&gt;=$F55))</f>
        <v>-0</v>
      </c>
      <c r="CN55" s="49" t="n">
        <f aca="false">-$E55*N(AND(CN$3&lt;=$F55,CN$4&gt;=$F55))</f>
        <v>-0</v>
      </c>
      <c r="CO55" s="49" t="n">
        <f aca="false">-$E55*N(AND(CO$3&lt;=$F55,CO$4&gt;=$F55))</f>
        <v>-0</v>
      </c>
      <c r="CP55" s="49" t="n">
        <f aca="false">-$E55*N(AND(CP$3&lt;=$F55,CP$4&gt;=$F55))</f>
        <v>-0</v>
      </c>
      <c r="CQ55" s="49" t="n">
        <f aca="false">-$E55*N(AND(CQ$3&lt;=$F55,CQ$4&gt;=$F55))</f>
        <v>-0</v>
      </c>
      <c r="CR55" s="49" t="n">
        <f aca="false">-$E55*N(AND(CR$3&lt;=$F55,CR$4&gt;=$F55))</f>
        <v>-0</v>
      </c>
      <c r="CS55" s="49" t="n">
        <f aca="false">-$E55*N(AND(CS$3&lt;=$F55,CS$4&gt;=$F55))</f>
        <v>-0</v>
      </c>
      <c r="CT55" s="49" t="n">
        <f aca="false">-$E55*N(AND(CT$3&lt;=$F55,CT$4&gt;=$F55))</f>
        <v>-0</v>
      </c>
      <c r="CU55" s="49" t="n">
        <f aca="false">-$E55*N(AND(CU$3&lt;=$F55,CU$4&gt;=$F55))</f>
        <v>-0</v>
      </c>
      <c r="CV55" s="49" t="n">
        <f aca="false">-$E55*N(AND(CV$3&lt;=$F55,CV$4&gt;=$F55))</f>
        <v>-0</v>
      </c>
      <c r="CW55" s="49" t="n">
        <f aca="false">-$E55*N(AND(CW$3&lt;=$F55,CW$4&gt;=$F55))</f>
        <v>-0</v>
      </c>
      <c r="CX55" s="49" t="n">
        <f aca="false">-$E55*N(AND(CX$3&lt;=$F55,CX$4&gt;=$F55))</f>
        <v>-0</v>
      </c>
      <c r="CY55" s="49" t="n">
        <f aca="false">-$E55*N(AND(CY$3&lt;=$F55,CY$4&gt;=$F55))</f>
        <v>-0</v>
      </c>
      <c r="CZ55" s="49" t="n">
        <f aca="false">-$E55*N(AND(CZ$3&lt;=$F55,CZ$4&gt;=$F55))</f>
        <v>-0</v>
      </c>
      <c r="DA55" s="49" t="n">
        <f aca="false">-$E55*N(AND(DA$3&lt;=$F55,DA$4&gt;=$F55))</f>
        <v>-0</v>
      </c>
      <c r="DB55" s="49" t="n">
        <f aca="false">-$E55*N(AND(DB$3&lt;=$F55,DB$4&gt;=$F55))</f>
        <v>-0</v>
      </c>
      <c r="DC55" s="49" t="n">
        <f aca="false">-$E55*N(AND(DC$3&lt;=$F55,DC$4&gt;=$F55))</f>
        <v>-0</v>
      </c>
      <c r="DD55" s="49" t="n">
        <f aca="false">-$E55*N(AND(DD$3&lt;=$F55,DD$4&gt;=$F55))</f>
        <v>-0</v>
      </c>
      <c r="DE55" s="49" t="n">
        <f aca="false">-$E55*N(AND(DE$3&lt;=$F55,DE$4&gt;=$F55))</f>
        <v>-0</v>
      </c>
      <c r="DF55" s="49" t="n">
        <f aca="false">-$E55*N(AND(DF$3&lt;=$F55,DF$4&gt;=$F55))</f>
        <v>-0</v>
      </c>
      <c r="DG55" s="49" t="n">
        <f aca="false">-$E55*N(AND(DG$3&lt;=$F55,DG$4&gt;=$F55))</f>
        <v>-0</v>
      </c>
      <c r="DH55" s="49" t="n">
        <f aca="false">-$E55*N(AND(DH$3&lt;=$F55,DH$4&gt;=$F55))</f>
        <v>-0</v>
      </c>
      <c r="DI55" s="49" t="n">
        <f aca="false">-$E55*N(AND(DI$3&lt;=$F55,DI$4&gt;=$F55))</f>
        <v>-0</v>
      </c>
      <c r="DJ55" s="49" t="n">
        <f aca="false">-$E55*N(AND(DJ$3&lt;=$F55,DJ$4&gt;=$F55))</f>
        <v>-0</v>
      </c>
      <c r="DK55" s="49" t="n">
        <f aca="false">-$E55*N(AND(DK$3&lt;=$F55,DK$4&gt;=$F55))</f>
        <v>-0</v>
      </c>
      <c r="DL55" s="49" t="n">
        <f aca="false">-$E55*N(AND(DL$3&lt;=$F55,DL$4&gt;=$F55))</f>
        <v>-0</v>
      </c>
      <c r="DM55" s="49" t="n">
        <f aca="false">-$E55*N(AND(DM$3&lt;=$F55,DM$4&gt;=$F55))</f>
        <v>-0</v>
      </c>
      <c r="DN55" s="49" t="n">
        <f aca="false">-$E55*N(AND(DN$3&lt;=$F55,DN$4&gt;=$F55))</f>
        <v>-0</v>
      </c>
      <c r="DO55" s="49" t="n">
        <f aca="false">-$E55*N(AND(DO$3&lt;=$F55,DO$4&gt;=$F55))</f>
        <v>-0</v>
      </c>
      <c r="DP55" s="49" t="n">
        <f aca="false">-$E55*N(AND(DP$3&lt;=$F55,DP$4&gt;=$F55))</f>
        <v>-0</v>
      </c>
      <c r="DQ55" s="49" t="n">
        <f aca="false">-$E55*N(AND(DQ$3&lt;=$F55,DQ$4&gt;=$F55))</f>
        <v>-0</v>
      </c>
      <c r="DR55" s="49" t="n">
        <f aca="false">-$E55*N(AND(DR$3&lt;=$F55,DR$4&gt;=$F55))</f>
        <v>-0</v>
      </c>
      <c r="DS55" s="49" t="n">
        <f aca="false">-$E55*N(AND(DS$3&lt;=$F55,DS$4&gt;=$F55))</f>
        <v>-0</v>
      </c>
      <c r="DT55" s="49" t="n">
        <f aca="false">-$E55*N(AND(DT$3&lt;=$F55,DT$4&gt;=$F55))</f>
        <v>-0</v>
      </c>
      <c r="DU55" s="49" t="n">
        <f aca="false">-$E55*N(AND(DU$3&lt;=$F55,DU$4&gt;=$F55))</f>
        <v>-0</v>
      </c>
      <c r="DV55" s="49" t="n">
        <f aca="false">-$E55*N(AND(DV$3&lt;=$F55,DV$4&gt;=$F55))</f>
        <v>-0</v>
      </c>
      <c r="DW55" s="49" t="n">
        <f aca="false">-$E55*N(AND(DW$3&lt;=$F55,DW$4&gt;=$F55))</f>
        <v>-0</v>
      </c>
      <c r="DX55" s="49" t="n">
        <f aca="false">-$E55*N(AND(DX$3&lt;=$F55,DX$4&gt;=$F55))</f>
        <v>-0</v>
      </c>
      <c r="DY55" s="49" t="n">
        <f aca="false">-$E55*N(AND(DY$3&lt;=$F55,DY$4&gt;=$F55))</f>
        <v>-0</v>
      </c>
      <c r="DZ55" s="49" t="n">
        <f aca="false">-$E55*N(AND(DZ$3&lt;=$F55,DZ$4&gt;=$F55))</f>
        <v>-0</v>
      </c>
      <c r="EA55" s="49" t="n">
        <f aca="false">-$E55*N(AND(EA$3&lt;=$F55,EA$4&gt;=$F55))</f>
        <v>-0</v>
      </c>
      <c r="EB55" s="49" t="n">
        <f aca="false">-$E55*N(AND(EB$3&lt;=$F55,EB$4&gt;=$F55))</f>
        <v>-0</v>
      </c>
      <c r="EC55" s="49" t="n">
        <f aca="false">-$E55*N(AND(EC$3&lt;=$F55,EC$4&gt;=$F55))</f>
        <v>-0</v>
      </c>
      <c r="ED55" s="49" t="n">
        <f aca="false">-$E55*N(AND(ED$3&lt;=$F55,ED$4&gt;=$F55))</f>
        <v>-0</v>
      </c>
      <c r="EE55" s="49" t="n">
        <f aca="false">-$E55*N(AND(EE$3&lt;=$F55,EE$4&gt;=$F55))</f>
        <v>-0</v>
      </c>
      <c r="EF55" s="49" t="n">
        <f aca="false">-$E55*N(AND(EF$3&lt;=$F55,EF$4&gt;=$F55))</f>
        <v>-0</v>
      </c>
      <c r="EG55" s="49" t="n">
        <f aca="false">-$E55*N(AND(EG$3&lt;=$F55,EG$4&gt;=$F55))</f>
        <v>-0</v>
      </c>
      <c r="EH55" s="49" t="n">
        <f aca="false">-$E55*N(AND(EH$3&lt;=$F55,EH$4&gt;=$F55))</f>
        <v>-0</v>
      </c>
      <c r="EI55" s="49" t="n">
        <f aca="false">-$E55*N(AND(EI$3&lt;=$F55,EI$4&gt;=$F55))</f>
        <v>-0</v>
      </c>
      <c r="EJ55" s="49" t="n">
        <f aca="false">-$E55*N(AND(EJ$3&lt;=$F55,EJ$4&gt;=$F55))</f>
        <v>-0</v>
      </c>
      <c r="EK55" s="49" t="n">
        <f aca="false">-$E55*N(AND(EK$3&lt;=$F55,EK$4&gt;=$F55))</f>
        <v>-0</v>
      </c>
      <c r="EL55" s="49" t="n">
        <f aca="false">-$E55*N(AND(EL$3&lt;=$F55,EL$4&gt;=$F55))</f>
        <v>-0</v>
      </c>
      <c r="EM55" s="49" t="n">
        <f aca="false">-$E55*N(AND(EM$3&lt;=$F55,EM$4&gt;=$F55))</f>
        <v>-0</v>
      </c>
      <c r="EN55" s="49" t="n">
        <f aca="false">-$E55*N(AND(EN$3&lt;=$F55,EN$4&gt;=$F55))</f>
        <v>-0</v>
      </c>
      <c r="EO55" s="49" t="n">
        <f aca="false">-$E55*N(AND(EO$3&lt;=$F55,EO$4&gt;=$F55))</f>
        <v>-0</v>
      </c>
    </row>
    <row r="56" customFormat="false" ht="15" hidden="false" customHeight="false" outlineLevel="0" collapsed="false">
      <c r="C56" s="1" t="s">
        <v>452</v>
      </c>
      <c r="D56" s="12" t="s">
        <v>33</v>
      </c>
      <c r="E56" s="49" t="n">
        <f aca="false">In_Direct_Fee*Thousand/In_FX</f>
        <v>1260.27397260274</v>
      </c>
      <c r="F56" s="21" t="n">
        <f aca="false">In_HCSSZ_Date</f>
        <v>47126</v>
      </c>
      <c r="I56" s="49" t="n">
        <f aca="false">SUM(J56:EO56)</f>
        <v>-1260.27397260274</v>
      </c>
      <c r="J56" s="49" t="n">
        <f aca="false">-$E56*N(AND(J$3&lt;=$F56,J$4&gt;=$F56))</f>
        <v>-0</v>
      </c>
      <c r="K56" s="49" t="n">
        <f aca="false">-$E56*N(AND(K$3&lt;=$F56,K$4&gt;=$F56))</f>
        <v>-0</v>
      </c>
      <c r="L56" s="49" t="n">
        <f aca="false">-$E56*N(AND(L$3&lt;=$F56,L$4&gt;=$F56))</f>
        <v>-0</v>
      </c>
      <c r="M56" s="49" t="n">
        <f aca="false">-$E56*N(AND(M$3&lt;=$F56,M$4&gt;=$F56))</f>
        <v>-0</v>
      </c>
      <c r="N56" s="49" t="n">
        <f aca="false">-$E56*N(AND(N$3&lt;=$F56,N$4&gt;=$F56))</f>
        <v>-0</v>
      </c>
      <c r="O56" s="49" t="n">
        <f aca="false">-$E56*N(AND(O$3&lt;=$F56,O$4&gt;=$F56))</f>
        <v>-0</v>
      </c>
      <c r="P56" s="49" t="n">
        <f aca="false">-$E56*N(AND(P$3&lt;=$F56,P$4&gt;=$F56))</f>
        <v>-0</v>
      </c>
      <c r="Q56" s="49" t="n">
        <f aca="false">-$E56*N(AND(Q$3&lt;=$F56,Q$4&gt;=$F56))</f>
        <v>-0</v>
      </c>
      <c r="R56" s="49" t="n">
        <f aca="false">-$E56*N(AND(R$3&lt;=$F56,R$4&gt;=$F56))</f>
        <v>-0</v>
      </c>
      <c r="S56" s="49" t="n">
        <f aca="false">-$E56*N(AND(S$3&lt;=$F56,S$4&gt;=$F56))</f>
        <v>-1260.27397260274</v>
      </c>
      <c r="T56" s="49" t="n">
        <f aca="false">-$E56*N(AND(T$3&lt;=$F56,T$4&gt;=$F56))</f>
        <v>-0</v>
      </c>
      <c r="U56" s="49" t="n">
        <f aca="false">-$E56*N(AND(U$3&lt;=$F56,U$4&gt;=$F56))</f>
        <v>-0</v>
      </c>
      <c r="V56" s="49" t="n">
        <f aca="false">-$E56*N(AND(V$3&lt;=$F56,V$4&gt;=$F56))</f>
        <v>-0</v>
      </c>
      <c r="W56" s="49" t="n">
        <f aca="false">-$E56*N(AND(W$3&lt;=$F56,W$4&gt;=$F56))</f>
        <v>-0</v>
      </c>
      <c r="X56" s="49" t="n">
        <f aca="false">-$E56*N(AND(X$3&lt;=$F56,X$4&gt;=$F56))</f>
        <v>-0</v>
      </c>
      <c r="Y56" s="49" t="n">
        <f aca="false">-$E56*N(AND(Y$3&lt;=$F56,Y$4&gt;=$F56))</f>
        <v>-0</v>
      </c>
      <c r="Z56" s="49" t="n">
        <f aca="false">-$E56*N(AND(Z$3&lt;=$F56,Z$4&gt;=$F56))</f>
        <v>-0</v>
      </c>
      <c r="AA56" s="49" t="n">
        <f aca="false">-$E56*N(AND(AA$3&lt;=$F56,AA$4&gt;=$F56))</f>
        <v>-0</v>
      </c>
      <c r="AB56" s="49" t="n">
        <f aca="false">-$E56*N(AND(AB$3&lt;=$F56,AB$4&gt;=$F56))</f>
        <v>-0</v>
      </c>
      <c r="AC56" s="49" t="n">
        <f aca="false">-$E56*N(AND(AC$3&lt;=$F56,AC$4&gt;=$F56))</f>
        <v>-0</v>
      </c>
      <c r="AD56" s="49" t="n">
        <f aca="false">-$E56*N(AND(AD$3&lt;=$F56,AD$4&gt;=$F56))</f>
        <v>-0</v>
      </c>
      <c r="AE56" s="49" t="n">
        <f aca="false">-$E56*N(AND(AE$3&lt;=$F56,AE$4&gt;=$F56))</f>
        <v>-0</v>
      </c>
      <c r="AF56" s="49" t="n">
        <f aca="false">-$E56*N(AND(AF$3&lt;=$F56,AF$4&gt;=$F56))</f>
        <v>-0</v>
      </c>
      <c r="AG56" s="49" t="n">
        <f aca="false">-$E56*N(AND(AG$3&lt;=$F56,AG$4&gt;=$F56))</f>
        <v>-0</v>
      </c>
      <c r="AH56" s="49" t="n">
        <f aca="false">-$E56*N(AND(AH$3&lt;=$F56,AH$4&gt;=$F56))</f>
        <v>-0</v>
      </c>
      <c r="AI56" s="49" t="n">
        <f aca="false">-$E56*N(AND(AI$3&lt;=$F56,AI$4&gt;=$F56))</f>
        <v>-0</v>
      </c>
      <c r="AJ56" s="49" t="n">
        <f aca="false">-$E56*N(AND(AJ$3&lt;=$F56,AJ$4&gt;=$F56))</f>
        <v>-0</v>
      </c>
      <c r="AK56" s="49" t="n">
        <f aca="false">-$E56*N(AND(AK$3&lt;=$F56,AK$4&gt;=$F56))</f>
        <v>-0</v>
      </c>
      <c r="AL56" s="49" t="n">
        <f aca="false">-$E56*N(AND(AL$3&lt;=$F56,AL$4&gt;=$F56))</f>
        <v>-0</v>
      </c>
      <c r="AM56" s="49" t="n">
        <f aca="false">-$E56*N(AND(AM$3&lt;=$F56,AM$4&gt;=$F56))</f>
        <v>-0</v>
      </c>
      <c r="AN56" s="49" t="n">
        <f aca="false">-$E56*N(AND(AN$3&lt;=$F56,AN$4&gt;=$F56))</f>
        <v>-0</v>
      </c>
      <c r="AO56" s="49" t="n">
        <f aca="false">-$E56*N(AND(AO$3&lt;=$F56,AO$4&gt;=$F56))</f>
        <v>-0</v>
      </c>
      <c r="AP56" s="49" t="n">
        <f aca="false">-$E56*N(AND(AP$3&lt;=$F56,AP$4&gt;=$F56))</f>
        <v>-0</v>
      </c>
      <c r="AQ56" s="49" t="n">
        <f aca="false">-$E56*N(AND(AQ$3&lt;=$F56,AQ$4&gt;=$F56))</f>
        <v>-0</v>
      </c>
      <c r="AR56" s="49" t="n">
        <f aca="false">-$E56*N(AND(AR$3&lt;=$F56,AR$4&gt;=$F56))</f>
        <v>-0</v>
      </c>
      <c r="AS56" s="49" t="n">
        <f aca="false">-$E56*N(AND(AS$3&lt;=$F56,AS$4&gt;=$F56))</f>
        <v>-0</v>
      </c>
      <c r="AT56" s="49" t="n">
        <f aca="false">-$E56*N(AND(AT$3&lt;=$F56,AT$4&gt;=$F56))</f>
        <v>-0</v>
      </c>
      <c r="AU56" s="49" t="n">
        <f aca="false">-$E56*N(AND(AU$3&lt;=$F56,AU$4&gt;=$F56))</f>
        <v>-0</v>
      </c>
      <c r="AV56" s="49" t="n">
        <f aca="false">-$E56*N(AND(AV$3&lt;=$F56,AV$4&gt;=$F56))</f>
        <v>-0</v>
      </c>
      <c r="AW56" s="49" t="n">
        <f aca="false">-$E56*N(AND(AW$3&lt;=$F56,AW$4&gt;=$F56))</f>
        <v>-0</v>
      </c>
      <c r="AX56" s="49" t="n">
        <f aca="false">-$E56*N(AND(AX$3&lt;=$F56,AX$4&gt;=$F56))</f>
        <v>-0</v>
      </c>
      <c r="AY56" s="49" t="n">
        <f aca="false">-$E56*N(AND(AY$3&lt;=$F56,AY$4&gt;=$F56))</f>
        <v>-0</v>
      </c>
      <c r="AZ56" s="49" t="n">
        <f aca="false">-$E56*N(AND(AZ$3&lt;=$F56,AZ$4&gt;=$F56))</f>
        <v>-0</v>
      </c>
      <c r="BA56" s="49" t="n">
        <f aca="false">-$E56*N(AND(BA$3&lt;=$F56,BA$4&gt;=$F56))</f>
        <v>-0</v>
      </c>
      <c r="BB56" s="49" t="n">
        <f aca="false">-$E56*N(AND(BB$3&lt;=$F56,BB$4&gt;=$F56))</f>
        <v>-0</v>
      </c>
      <c r="BC56" s="49" t="n">
        <f aca="false">-$E56*N(AND(BC$3&lt;=$F56,BC$4&gt;=$F56))</f>
        <v>-0</v>
      </c>
      <c r="BD56" s="49" t="n">
        <f aca="false">-$E56*N(AND(BD$3&lt;=$F56,BD$4&gt;=$F56))</f>
        <v>-0</v>
      </c>
      <c r="BE56" s="49" t="n">
        <f aca="false">-$E56*N(AND(BE$3&lt;=$F56,BE$4&gt;=$F56))</f>
        <v>-0</v>
      </c>
      <c r="BF56" s="49" t="n">
        <f aca="false">-$E56*N(AND(BF$3&lt;=$F56,BF$4&gt;=$F56))</f>
        <v>-0</v>
      </c>
      <c r="BG56" s="49" t="n">
        <f aca="false">-$E56*N(AND(BG$3&lt;=$F56,BG$4&gt;=$F56))</f>
        <v>-0</v>
      </c>
      <c r="BH56" s="49" t="n">
        <f aca="false">-$E56*N(AND(BH$3&lt;=$F56,BH$4&gt;=$F56))</f>
        <v>-0</v>
      </c>
      <c r="BI56" s="49" t="n">
        <f aca="false">-$E56*N(AND(BI$3&lt;=$F56,BI$4&gt;=$F56))</f>
        <v>-0</v>
      </c>
      <c r="BJ56" s="49" t="n">
        <f aca="false">-$E56*N(AND(BJ$3&lt;=$F56,BJ$4&gt;=$F56))</f>
        <v>-0</v>
      </c>
      <c r="BK56" s="49" t="n">
        <f aca="false">-$E56*N(AND(BK$3&lt;=$F56,BK$4&gt;=$F56))</f>
        <v>-0</v>
      </c>
      <c r="BL56" s="49" t="n">
        <f aca="false">-$E56*N(AND(BL$3&lt;=$F56,BL$4&gt;=$F56))</f>
        <v>-0</v>
      </c>
      <c r="BM56" s="49" t="n">
        <f aca="false">-$E56*N(AND(BM$3&lt;=$F56,BM$4&gt;=$F56))</f>
        <v>-0</v>
      </c>
      <c r="BN56" s="49" t="n">
        <f aca="false">-$E56*N(AND(BN$3&lt;=$F56,BN$4&gt;=$F56))</f>
        <v>-0</v>
      </c>
      <c r="BO56" s="49" t="n">
        <f aca="false">-$E56*N(AND(BO$3&lt;=$F56,BO$4&gt;=$F56))</f>
        <v>-0</v>
      </c>
      <c r="BP56" s="49" t="n">
        <f aca="false">-$E56*N(AND(BP$3&lt;=$F56,BP$4&gt;=$F56))</f>
        <v>-0</v>
      </c>
      <c r="BQ56" s="49" t="n">
        <f aca="false">-$E56*N(AND(BQ$3&lt;=$F56,BQ$4&gt;=$F56))</f>
        <v>-0</v>
      </c>
      <c r="BR56" s="49" t="n">
        <f aca="false">-$E56*N(AND(BR$3&lt;=$F56,BR$4&gt;=$F56))</f>
        <v>-0</v>
      </c>
      <c r="BS56" s="49" t="n">
        <f aca="false">-$E56*N(AND(BS$3&lt;=$F56,BS$4&gt;=$F56))</f>
        <v>-0</v>
      </c>
      <c r="BT56" s="49" t="n">
        <f aca="false">-$E56*N(AND(BT$3&lt;=$F56,BT$4&gt;=$F56))</f>
        <v>-0</v>
      </c>
      <c r="BU56" s="49" t="n">
        <f aca="false">-$E56*N(AND(BU$3&lt;=$F56,BU$4&gt;=$F56))</f>
        <v>-0</v>
      </c>
      <c r="BV56" s="49" t="n">
        <f aca="false">-$E56*N(AND(BV$3&lt;=$F56,BV$4&gt;=$F56))</f>
        <v>-0</v>
      </c>
      <c r="BW56" s="49" t="n">
        <f aca="false">-$E56*N(AND(BW$3&lt;=$F56,BW$4&gt;=$F56))</f>
        <v>-0</v>
      </c>
      <c r="BX56" s="49" t="n">
        <f aca="false">-$E56*N(AND(BX$3&lt;=$F56,BX$4&gt;=$F56))</f>
        <v>-0</v>
      </c>
      <c r="BY56" s="49" t="n">
        <f aca="false">-$E56*N(AND(BY$3&lt;=$F56,BY$4&gt;=$F56))</f>
        <v>-0</v>
      </c>
      <c r="BZ56" s="49" t="n">
        <f aca="false">-$E56*N(AND(BZ$3&lt;=$F56,BZ$4&gt;=$F56))</f>
        <v>-0</v>
      </c>
      <c r="CA56" s="49" t="n">
        <f aca="false">-$E56*N(AND(CA$3&lt;=$F56,CA$4&gt;=$F56))</f>
        <v>-0</v>
      </c>
      <c r="CB56" s="49" t="n">
        <f aca="false">-$E56*N(AND(CB$3&lt;=$F56,CB$4&gt;=$F56))</f>
        <v>-0</v>
      </c>
      <c r="CC56" s="49" t="n">
        <f aca="false">-$E56*N(AND(CC$3&lt;=$F56,CC$4&gt;=$F56))</f>
        <v>-0</v>
      </c>
      <c r="CD56" s="49" t="n">
        <f aca="false">-$E56*N(AND(CD$3&lt;=$F56,CD$4&gt;=$F56))</f>
        <v>-0</v>
      </c>
      <c r="CE56" s="49" t="n">
        <f aca="false">-$E56*N(AND(CE$3&lt;=$F56,CE$4&gt;=$F56))</f>
        <v>-0</v>
      </c>
      <c r="CF56" s="49" t="n">
        <f aca="false">-$E56*N(AND(CF$3&lt;=$F56,CF$4&gt;=$F56))</f>
        <v>-0</v>
      </c>
      <c r="CG56" s="49" t="n">
        <f aca="false">-$E56*N(AND(CG$3&lt;=$F56,CG$4&gt;=$F56))</f>
        <v>-0</v>
      </c>
      <c r="CH56" s="49" t="n">
        <f aca="false">-$E56*N(AND(CH$3&lt;=$F56,CH$4&gt;=$F56))</f>
        <v>-0</v>
      </c>
      <c r="CI56" s="49" t="n">
        <f aca="false">-$E56*N(AND(CI$3&lt;=$F56,CI$4&gt;=$F56))</f>
        <v>-0</v>
      </c>
      <c r="CJ56" s="49" t="n">
        <f aca="false">-$E56*N(AND(CJ$3&lt;=$F56,CJ$4&gt;=$F56))</f>
        <v>-0</v>
      </c>
      <c r="CK56" s="49" t="n">
        <f aca="false">-$E56*N(AND(CK$3&lt;=$F56,CK$4&gt;=$F56))</f>
        <v>-0</v>
      </c>
      <c r="CL56" s="49" t="n">
        <f aca="false">-$E56*N(AND(CL$3&lt;=$F56,CL$4&gt;=$F56))</f>
        <v>-0</v>
      </c>
      <c r="CM56" s="49" t="n">
        <f aca="false">-$E56*N(AND(CM$3&lt;=$F56,CM$4&gt;=$F56))</f>
        <v>-0</v>
      </c>
      <c r="CN56" s="49" t="n">
        <f aca="false">-$E56*N(AND(CN$3&lt;=$F56,CN$4&gt;=$F56))</f>
        <v>-0</v>
      </c>
      <c r="CO56" s="49" t="n">
        <f aca="false">-$E56*N(AND(CO$3&lt;=$F56,CO$4&gt;=$F56))</f>
        <v>-0</v>
      </c>
      <c r="CP56" s="49" t="n">
        <f aca="false">-$E56*N(AND(CP$3&lt;=$F56,CP$4&gt;=$F56))</f>
        <v>-0</v>
      </c>
      <c r="CQ56" s="49" t="n">
        <f aca="false">-$E56*N(AND(CQ$3&lt;=$F56,CQ$4&gt;=$F56))</f>
        <v>-0</v>
      </c>
      <c r="CR56" s="49" t="n">
        <f aca="false">-$E56*N(AND(CR$3&lt;=$F56,CR$4&gt;=$F56))</f>
        <v>-0</v>
      </c>
      <c r="CS56" s="49" t="n">
        <f aca="false">-$E56*N(AND(CS$3&lt;=$F56,CS$4&gt;=$F56))</f>
        <v>-0</v>
      </c>
      <c r="CT56" s="49" t="n">
        <f aca="false">-$E56*N(AND(CT$3&lt;=$F56,CT$4&gt;=$F56))</f>
        <v>-0</v>
      </c>
      <c r="CU56" s="49" t="n">
        <f aca="false">-$E56*N(AND(CU$3&lt;=$F56,CU$4&gt;=$F56))</f>
        <v>-0</v>
      </c>
      <c r="CV56" s="49" t="n">
        <f aca="false">-$E56*N(AND(CV$3&lt;=$F56,CV$4&gt;=$F56))</f>
        <v>-0</v>
      </c>
      <c r="CW56" s="49" t="n">
        <f aca="false">-$E56*N(AND(CW$3&lt;=$F56,CW$4&gt;=$F56))</f>
        <v>-0</v>
      </c>
      <c r="CX56" s="49" t="n">
        <f aca="false">-$E56*N(AND(CX$3&lt;=$F56,CX$4&gt;=$F56))</f>
        <v>-0</v>
      </c>
      <c r="CY56" s="49" t="n">
        <f aca="false">-$E56*N(AND(CY$3&lt;=$F56,CY$4&gt;=$F56))</f>
        <v>-0</v>
      </c>
      <c r="CZ56" s="49" t="n">
        <f aca="false">-$E56*N(AND(CZ$3&lt;=$F56,CZ$4&gt;=$F56))</f>
        <v>-0</v>
      </c>
      <c r="DA56" s="49" t="n">
        <f aca="false">-$E56*N(AND(DA$3&lt;=$F56,DA$4&gt;=$F56))</f>
        <v>-0</v>
      </c>
      <c r="DB56" s="49" t="n">
        <f aca="false">-$E56*N(AND(DB$3&lt;=$F56,DB$4&gt;=$F56))</f>
        <v>-0</v>
      </c>
      <c r="DC56" s="49" t="n">
        <f aca="false">-$E56*N(AND(DC$3&lt;=$F56,DC$4&gt;=$F56))</f>
        <v>-0</v>
      </c>
      <c r="DD56" s="49" t="n">
        <f aca="false">-$E56*N(AND(DD$3&lt;=$F56,DD$4&gt;=$F56))</f>
        <v>-0</v>
      </c>
      <c r="DE56" s="49" t="n">
        <f aca="false">-$E56*N(AND(DE$3&lt;=$F56,DE$4&gt;=$F56))</f>
        <v>-0</v>
      </c>
      <c r="DF56" s="49" t="n">
        <f aca="false">-$E56*N(AND(DF$3&lt;=$F56,DF$4&gt;=$F56))</f>
        <v>-0</v>
      </c>
      <c r="DG56" s="49" t="n">
        <f aca="false">-$E56*N(AND(DG$3&lt;=$F56,DG$4&gt;=$F56))</f>
        <v>-0</v>
      </c>
      <c r="DH56" s="49" t="n">
        <f aca="false">-$E56*N(AND(DH$3&lt;=$F56,DH$4&gt;=$F56))</f>
        <v>-0</v>
      </c>
      <c r="DI56" s="49" t="n">
        <f aca="false">-$E56*N(AND(DI$3&lt;=$F56,DI$4&gt;=$F56))</f>
        <v>-0</v>
      </c>
      <c r="DJ56" s="49" t="n">
        <f aca="false">-$E56*N(AND(DJ$3&lt;=$F56,DJ$4&gt;=$F56))</f>
        <v>-0</v>
      </c>
      <c r="DK56" s="49" t="n">
        <f aca="false">-$E56*N(AND(DK$3&lt;=$F56,DK$4&gt;=$F56))</f>
        <v>-0</v>
      </c>
      <c r="DL56" s="49" t="n">
        <f aca="false">-$E56*N(AND(DL$3&lt;=$F56,DL$4&gt;=$F56))</f>
        <v>-0</v>
      </c>
      <c r="DM56" s="49" t="n">
        <f aca="false">-$E56*N(AND(DM$3&lt;=$F56,DM$4&gt;=$F56))</f>
        <v>-0</v>
      </c>
      <c r="DN56" s="49" t="n">
        <f aca="false">-$E56*N(AND(DN$3&lt;=$F56,DN$4&gt;=$F56))</f>
        <v>-0</v>
      </c>
      <c r="DO56" s="49" t="n">
        <f aca="false">-$E56*N(AND(DO$3&lt;=$F56,DO$4&gt;=$F56))</f>
        <v>-0</v>
      </c>
      <c r="DP56" s="49" t="n">
        <f aca="false">-$E56*N(AND(DP$3&lt;=$F56,DP$4&gt;=$F56))</f>
        <v>-0</v>
      </c>
      <c r="DQ56" s="49" t="n">
        <f aca="false">-$E56*N(AND(DQ$3&lt;=$F56,DQ$4&gt;=$F56))</f>
        <v>-0</v>
      </c>
      <c r="DR56" s="49" t="n">
        <f aca="false">-$E56*N(AND(DR$3&lt;=$F56,DR$4&gt;=$F56))</f>
        <v>-0</v>
      </c>
      <c r="DS56" s="49" t="n">
        <f aca="false">-$E56*N(AND(DS$3&lt;=$F56,DS$4&gt;=$F56))</f>
        <v>-0</v>
      </c>
      <c r="DT56" s="49" t="n">
        <f aca="false">-$E56*N(AND(DT$3&lt;=$F56,DT$4&gt;=$F56))</f>
        <v>-0</v>
      </c>
      <c r="DU56" s="49" t="n">
        <f aca="false">-$E56*N(AND(DU$3&lt;=$F56,DU$4&gt;=$F56))</f>
        <v>-0</v>
      </c>
      <c r="DV56" s="49" t="n">
        <f aca="false">-$E56*N(AND(DV$3&lt;=$F56,DV$4&gt;=$F56))</f>
        <v>-0</v>
      </c>
      <c r="DW56" s="49" t="n">
        <f aca="false">-$E56*N(AND(DW$3&lt;=$F56,DW$4&gt;=$F56))</f>
        <v>-0</v>
      </c>
      <c r="DX56" s="49" t="n">
        <f aca="false">-$E56*N(AND(DX$3&lt;=$F56,DX$4&gt;=$F56))</f>
        <v>-0</v>
      </c>
      <c r="DY56" s="49" t="n">
        <f aca="false">-$E56*N(AND(DY$3&lt;=$F56,DY$4&gt;=$F56))</f>
        <v>-0</v>
      </c>
      <c r="DZ56" s="49" t="n">
        <f aca="false">-$E56*N(AND(DZ$3&lt;=$F56,DZ$4&gt;=$F56))</f>
        <v>-0</v>
      </c>
      <c r="EA56" s="49" t="n">
        <f aca="false">-$E56*N(AND(EA$3&lt;=$F56,EA$4&gt;=$F56))</f>
        <v>-0</v>
      </c>
      <c r="EB56" s="49" t="n">
        <f aca="false">-$E56*N(AND(EB$3&lt;=$F56,EB$4&gt;=$F56))</f>
        <v>-0</v>
      </c>
      <c r="EC56" s="49" t="n">
        <f aca="false">-$E56*N(AND(EC$3&lt;=$F56,EC$4&gt;=$F56))</f>
        <v>-0</v>
      </c>
      <c r="ED56" s="49" t="n">
        <f aca="false">-$E56*N(AND(ED$3&lt;=$F56,ED$4&gt;=$F56))</f>
        <v>-0</v>
      </c>
      <c r="EE56" s="49" t="n">
        <f aca="false">-$E56*N(AND(EE$3&lt;=$F56,EE$4&gt;=$F56))</f>
        <v>-0</v>
      </c>
      <c r="EF56" s="49" t="n">
        <f aca="false">-$E56*N(AND(EF$3&lt;=$F56,EF$4&gt;=$F56))</f>
        <v>-0</v>
      </c>
      <c r="EG56" s="49" t="n">
        <f aca="false">-$E56*N(AND(EG$3&lt;=$F56,EG$4&gt;=$F56))</f>
        <v>-0</v>
      </c>
      <c r="EH56" s="49" t="n">
        <f aca="false">-$E56*N(AND(EH$3&lt;=$F56,EH$4&gt;=$F56))</f>
        <v>-0</v>
      </c>
      <c r="EI56" s="49" t="n">
        <f aca="false">-$E56*N(AND(EI$3&lt;=$F56,EI$4&gt;=$F56))</f>
        <v>-0</v>
      </c>
      <c r="EJ56" s="49" t="n">
        <f aca="false">-$E56*N(AND(EJ$3&lt;=$F56,EJ$4&gt;=$F56))</f>
        <v>-0</v>
      </c>
      <c r="EK56" s="49" t="n">
        <f aca="false">-$E56*N(AND(EK$3&lt;=$F56,EK$4&gt;=$F56))</f>
        <v>-0</v>
      </c>
      <c r="EL56" s="49" t="n">
        <f aca="false">-$E56*N(AND(EL$3&lt;=$F56,EL$4&gt;=$F56))</f>
        <v>-0</v>
      </c>
      <c r="EM56" s="49" t="n">
        <f aca="false">-$E56*N(AND(EM$3&lt;=$F56,EM$4&gt;=$F56))</f>
        <v>-0</v>
      </c>
      <c r="EN56" s="49" t="n">
        <f aca="false">-$E56*N(AND(EN$3&lt;=$F56,EN$4&gt;=$F56))</f>
        <v>-0</v>
      </c>
      <c r="EO56" s="49" t="n">
        <f aca="false">-$E56*N(AND(EO$3&lt;=$F56,EO$4&gt;=$F56))</f>
        <v>-0</v>
      </c>
    </row>
    <row r="57" customFormat="false" ht="15" hidden="false" customHeight="false" outlineLevel="0" collapsed="false">
      <c r="C57" s="1" t="s">
        <v>453</v>
      </c>
      <c r="D57" s="12" t="s">
        <v>33</v>
      </c>
      <c r="E57" s="49" t="n">
        <f aca="false">(In_Indirect_Fee-In_TSO_Security)*In_MVA*Thousand/In_FX</f>
        <v>6894.54917808219</v>
      </c>
      <c r="F57" s="21" t="n">
        <f aca="false">In_HCSSZ_Date</f>
        <v>47126</v>
      </c>
      <c r="I57" s="49" t="n">
        <f aca="false">SUM(J57:EO57)</f>
        <v>-6894.54917808219</v>
      </c>
      <c r="J57" s="49" t="n">
        <f aca="false">-$E57*N(AND(J$3&lt;=$F57,J$4&gt;=$F57))</f>
        <v>-0</v>
      </c>
      <c r="K57" s="49" t="n">
        <f aca="false">-$E57*N(AND(K$3&lt;=$F57,K$4&gt;=$F57))</f>
        <v>-0</v>
      </c>
      <c r="L57" s="49" t="n">
        <f aca="false">-$E57*N(AND(L$3&lt;=$F57,L$4&gt;=$F57))</f>
        <v>-0</v>
      </c>
      <c r="M57" s="49" t="n">
        <f aca="false">-$E57*N(AND(M$3&lt;=$F57,M$4&gt;=$F57))</f>
        <v>-0</v>
      </c>
      <c r="N57" s="49" t="n">
        <f aca="false">-$E57*N(AND(N$3&lt;=$F57,N$4&gt;=$F57))</f>
        <v>-0</v>
      </c>
      <c r="O57" s="49" t="n">
        <f aca="false">-$E57*N(AND(O$3&lt;=$F57,O$4&gt;=$F57))</f>
        <v>-0</v>
      </c>
      <c r="P57" s="49" t="n">
        <f aca="false">-$E57*N(AND(P$3&lt;=$F57,P$4&gt;=$F57))</f>
        <v>-0</v>
      </c>
      <c r="Q57" s="49" t="n">
        <f aca="false">-$E57*N(AND(Q$3&lt;=$F57,Q$4&gt;=$F57))</f>
        <v>-0</v>
      </c>
      <c r="R57" s="49" t="n">
        <f aca="false">-$E57*N(AND(R$3&lt;=$F57,R$4&gt;=$F57))</f>
        <v>-0</v>
      </c>
      <c r="S57" s="49" t="n">
        <f aca="false">-$E57*N(AND(S$3&lt;=$F57,S$4&gt;=$F57))</f>
        <v>-6894.54917808219</v>
      </c>
      <c r="T57" s="49" t="n">
        <f aca="false">-$E57*N(AND(T$3&lt;=$F57,T$4&gt;=$F57))</f>
        <v>-0</v>
      </c>
      <c r="U57" s="49" t="n">
        <f aca="false">-$E57*N(AND(U$3&lt;=$F57,U$4&gt;=$F57))</f>
        <v>-0</v>
      </c>
      <c r="V57" s="49" t="n">
        <f aca="false">-$E57*N(AND(V$3&lt;=$F57,V$4&gt;=$F57))</f>
        <v>-0</v>
      </c>
      <c r="W57" s="49" t="n">
        <f aca="false">-$E57*N(AND(W$3&lt;=$F57,W$4&gt;=$F57))</f>
        <v>-0</v>
      </c>
      <c r="X57" s="49" t="n">
        <f aca="false">-$E57*N(AND(X$3&lt;=$F57,X$4&gt;=$F57))</f>
        <v>-0</v>
      </c>
      <c r="Y57" s="49" t="n">
        <f aca="false">-$E57*N(AND(Y$3&lt;=$F57,Y$4&gt;=$F57))</f>
        <v>-0</v>
      </c>
      <c r="Z57" s="49" t="n">
        <f aca="false">-$E57*N(AND(Z$3&lt;=$F57,Z$4&gt;=$F57))</f>
        <v>-0</v>
      </c>
      <c r="AA57" s="49" t="n">
        <f aca="false">-$E57*N(AND(AA$3&lt;=$F57,AA$4&gt;=$F57))</f>
        <v>-0</v>
      </c>
      <c r="AB57" s="49" t="n">
        <f aca="false">-$E57*N(AND(AB$3&lt;=$F57,AB$4&gt;=$F57))</f>
        <v>-0</v>
      </c>
      <c r="AC57" s="49" t="n">
        <f aca="false">-$E57*N(AND(AC$3&lt;=$F57,AC$4&gt;=$F57))</f>
        <v>-0</v>
      </c>
      <c r="AD57" s="49" t="n">
        <f aca="false">-$E57*N(AND(AD$3&lt;=$F57,AD$4&gt;=$F57))</f>
        <v>-0</v>
      </c>
      <c r="AE57" s="49" t="n">
        <f aca="false">-$E57*N(AND(AE$3&lt;=$F57,AE$4&gt;=$F57))</f>
        <v>-0</v>
      </c>
      <c r="AF57" s="49" t="n">
        <f aca="false">-$E57*N(AND(AF$3&lt;=$F57,AF$4&gt;=$F57))</f>
        <v>-0</v>
      </c>
      <c r="AG57" s="49" t="n">
        <f aca="false">-$E57*N(AND(AG$3&lt;=$F57,AG$4&gt;=$F57))</f>
        <v>-0</v>
      </c>
      <c r="AH57" s="49" t="n">
        <f aca="false">-$E57*N(AND(AH$3&lt;=$F57,AH$4&gt;=$F57))</f>
        <v>-0</v>
      </c>
      <c r="AI57" s="49" t="n">
        <f aca="false">-$E57*N(AND(AI$3&lt;=$F57,AI$4&gt;=$F57))</f>
        <v>-0</v>
      </c>
      <c r="AJ57" s="49" t="n">
        <f aca="false">-$E57*N(AND(AJ$3&lt;=$F57,AJ$4&gt;=$F57))</f>
        <v>-0</v>
      </c>
      <c r="AK57" s="49" t="n">
        <f aca="false">-$E57*N(AND(AK$3&lt;=$F57,AK$4&gt;=$F57))</f>
        <v>-0</v>
      </c>
      <c r="AL57" s="49" t="n">
        <f aca="false">-$E57*N(AND(AL$3&lt;=$F57,AL$4&gt;=$F57))</f>
        <v>-0</v>
      </c>
      <c r="AM57" s="49" t="n">
        <f aca="false">-$E57*N(AND(AM$3&lt;=$F57,AM$4&gt;=$F57))</f>
        <v>-0</v>
      </c>
      <c r="AN57" s="49" t="n">
        <f aca="false">-$E57*N(AND(AN$3&lt;=$F57,AN$4&gt;=$F57))</f>
        <v>-0</v>
      </c>
      <c r="AO57" s="49" t="n">
        <f aca="false">-$E57*N(AND(AO$3&lt;=$F57,AO$4&gt;=$F57))</f>
        <v>-0</v>
      </c>
      <c r="AP57" s="49" t="n">
        <f aca="false">-$E57*N(AND(AP$3&lt;=$F57,AP$4&gt;=$F57))</f>
        <v>-0</v>
      </c>
      <c r="AQ57" s="49" t="n">
        <f aca="false">-$E57*N(AND(AQ$3&lt;=$F57,AQ$4&gt;=$F57))</f>
        <v>-0</v>
      </c>
      <c r="AR57" s="49" t="n">
        <f aca="false">-$E57*N(AND(AR$3&lt;=$F57,AR$4&gt;=$F57))</f>
        <v>-0</v>
      </c>
      <c r="AS57" s="49" t="n">
        <f aca="false">-$E57*N(AND(AS$3&lt;=$F57,AS$4&gt;=$F57))</f>
        <v>-0</v>
      </c>
      <c r="AT57" s="49" t="n">
        <f aca="false">-$E57*N(AND(AT$3&lt;=$F57,AT$4&gt;=$F57))</f>
        <v>-0</v>
      </c>
      <c r="AU57" s="49" t="n">
        <f aca="false">-$E57*N(AND(AU$3&lt;=$F57,AU$4&gt;=$F57))</f>
        <v>-0</v>
      </c>
      <c r="AV57" s="49" t="n">
        <f aca="false">-$E57*N(AND(AV$3&lt;=$F57,AV$4&gt;=$F57))</f>
        <v>-0</v>
      </c>
      <c r="AW57" s="49" t="n">
        <f aca="false">-$E57*N(AND(AW$3&lt;=$F57,AW$4&gt;=$F57))</f>
        <v>-0</v>
      </c>
      <c r="AX57" s="49" t="n">
        <f aca="false">-$E57*N(AND(AX$3&lt;=$F57,AX$4&gt;=$F57))</f>
        <v>-0</v>
      </c>
      <c r="AY57" s="49" t="n">
        <f aca="false">-$E57*N(AND(AY$3&lt;=$F57,AY$4&gt;=$F57))</f>
        <v>-0</v>
      </c>
      <c r="AZ57" s="49" t="n">
        <f aca="false">-$E57*N(AND(AZ$3&lt;=$F57,AZ$4&gt;=$F57))</f>
        <v>-0</v>
      </c>
      <c r="BA57" s="49" t="n">
        <f aca="false">-$E57*N(AND(BA$3&lt;=$F57,BA$4&gt;=$F57))</f>
        <v>-0</v>
      </c>
      <c r="BB57" s="49" t="n">
        <f aca="false">-$E57*N(AND(BB$3&lt;=$F57,BB$4&gt;=$F57))</f>
        <v>-0</v>
      </c>
      <c r="BC57" s="49" t="n">
        <f aca="false">-$E57*N(AND(BC$3&lt;=$F57,BC$4&gt;=$F57))</f>
        <v>-0</v>
      </c>
      <c r="BD57" s="49" t="n">
        <f aca="false">-$E57*N(AND(BD$3&lt;=$F57,BD$4&gt;=$F57))</f>
        <v>-0</v>
      </c>
      <c r="BE57" s="49" t="n">
        <f aca="false">-$E57*N(AND(BE$3&lt;=$F57,BE$4&gt;=$F57))</f>
        <v>-0</v>
      </c>
      <c r="BF57" s="49" t="n">
        <f aca="false">-$E57*N(AND(BF$3&lt;=$F57,BF$4&gt;=$F57))</f>
        <v>-0</v>
      </c>
      <c r="BG57" s="49" t="n">
        <f aca="false">-$E57*N(AND(BG$3&lt;=$F57,BG$4&gt;=$F57))</f>
        <v>-0</v>
      </c>
      <c r="BH57" s="49" t="n">
        <f aca="false">-$E57*N(AND(BH$3&lt;=$F57,BH$4&gt;=$F57))</f>
        <v>-0</v>
      </c>
      <c r="BI57" s="49" t="n">
        <f aca="false">-$E57*N(AND(BI$3&lt;=$F57,BI$4&gt;=$F57))</f>
        <v>-0</v>
      </c>
      <c r="BJ57" s="49" t="n">
        <f aca="false">-$E57*N(AND(BJ$3&lt;=$F57,BJ$4&gt;=$F57))</f>
        <v>-0</v>
      </c>
      <c r="BK57" s="49" t="n">
        <f aca="false">-$E57*N(AND(BK$3&lt;=$F57,BK$4&gt;=$F57))</f>
        <v>-0</v>
      </c>
      <c r="BL57" s="49" t="n">
        <f aca="false">-$E57*N(AND(BL$3&lt;=$F57,BL$4&gt;=$F57))</f>
        <v>-0</v>
      </c>
      <c r="BM57" s="49" t="n">
        <f aca="false">-$E57*N(AND(BM$3&lt;=$F57,BM$4&gt;=$F57))</f>
        <v>-0</v>
      </c>
      <c r="BN57" s="49" t="n">
        <f aca="false">-$E57*N(AND(BN$3&lt;=$F57,BN$4&gt;=$F57))</f>
        <v>-0</v>
      </c>
      <c r="BO57" s="49" t="n">
        <f aca="false">-$E57*N(AND(BO$3&lt;=$F57,BO$4&gt;=$F57))</f>
        <v>-0</v>
      </c>
      <c r="BP57" s="49" t="n">
        <f aca="false">-$E57*N(AND(BP$3&lt;=$F57,BP$4&gt;=$F57))</f>
        <v>-0</v>
      </c>
      <c r="BQ57" s="49" t="n">
        <f aca="false">-$E57*N(AND(BQ$3&lt;=$F57,BQ$4&gt;=$F57))</f>
        <v>-0</v>
      </c>
      <c r="BR57" s="49" t="n">
        <f aca="false">-$E57*N(AND(BR$3&lt;=$F57,BR$4&gt;=$F57))</f>
        <v>-0</v>
      </c>
      <c r="BS57" s="49" t="n">
        <f aca="false">-$E57*N(AND(BS$3&lt;=$F57,BS$4&gt;=$F57))</f>
        <v>-0</v>
      </c>
      <c r="BT57" s="49" t="n">
        <f aca="false">-$E57*N(AND(BT$3&lt;=$F57,BT$4&gt;=$F57))</f>
        <v>-0</v>
      </c>
      <c r="BU57" s="49" t="n">
        <f aca="false">-$E57*N(AND(BU$3&lt;=$F57,BU$4&gt;=$F57))</f>
        <v>-0</v>
      </c>
      <c r="BV57" s="49" t="n">
        <f aca="false">-$E57*N(AND(BV$3&lt;=$F57,BV$4&gt;=$F57))</f>
        <v>-0</v>
      </c>
      <c r="BW57" s="49" t="n">
        <f aca="false">-$E57*N(AND(BW$3&lt;=$F57,BW$4&gt;=$F57))</f>
        <v>-0</v>
      </c>
      <c r="BX57" s="49" t="n">
        <f aca="false">-$E57*N(AND(BX$3&lt;=$F57,BX$4&gt;=$F57))</f>
        <v>-0</v>
      </c>
      <c r="BY57" s="49" t="n">
        <f aca="false">-$E57*N(AND(BY$3&lt;=$F57,BY$4&gt;=$F57))</f>
        <v>-0</v>
      </c>
      <c r="BZ57" s="49" t="n">
        <f aca="false">-$E57*N(AND(BZ$3&lt;=$F57,BZ$4&gt;=$F57))</f>
        <v>-0</v>
      </c>
      <c r="CA57" s="49" t="n">
        <f aca="false">-$E57*N(AND(CA$3&lt;=$F57,CA$4&gt;=$F57))</f>
        <v>-0</v>
      </c>
      <c r="CB57" s="49" t="n">
        <f aca="false">-$E57*N(AND(CB$3&lt;=$F57,CB$4&gt;=$F57))</f>
        <v>-0</v>
      </c>
      <c r="CC57" s="49" t="n">
        <f aca="false">-$E57*N(AND(CC$3&lt;=$F57,CC$4&gt;=$F57))</f>
        <v>-0</v>
      </c>
      <c r="CD57" s="49" t="n">
        <f aca="false">-$E57*N(AND(CD$3&lt;=$F57,CD$4&gt;=$F57))</f>
        <v>-0</v>
      </c>
      <c r="CE57" s="49" t="n">
        <f aca="false">-$E57*N(AND(CE$3&lt;=$F57,CE$4&gt;=$F57))</f>
        <v>-0</v>
      </c>
      <c r="CF57" s="49" t="n">
        <f aca="false">-$E57*N(AND(CF$3&lt;=$F57,CF$4&gt;=$F57))</f>
        <v>-0</v>
      </c>
      <c r="CG57" s="49" t="n">
        <f aca="false">-$E57*N(AND(CG$3&lt;=$F57,CG$4&gt;=$F57))</f>
        <v>-0</v>
      </c>
      <c r="CH57" s="49" t="n">
        <f aca="false">-$E57*N(AND(CH$3&lt;=$F57,CH$4&gt;=$F57))</f>
        <v>-0</v>
      </c>
      <c r="CI57" s="49" t="n">
        <f aca="false">-$E57*N(AND(CI$3&lt;=$F57,CI$4&gt;=$F57))</f>
        <v>-0</v>
      </c>
      <c r="CJ57" s="49" t="n">
        <f aca="false">-$E57*N(AND(CJ$3&lt;=$F57,CJ$4&gt;=$F57))</f>
        <v>-0</v>
      </c>
      <c r="CK57" s="49" t="n">
        <f aca="false">-$E57*N(AND(CK$3&lt;=$F57,CK$4&gt;=$F57))</f>
        <v>-0</v>
      </c>
      <c r="CL57" s="49" t="n">
        <f aca="false">-$E57*N(AND(CL$3&lt;=$F57,CL$4&gt;=$F57))</f>
        <v>-0</v>
      </c>
      <c r="CM57" s="49" t="n">
        <f aca="false">-$E57*N(AND(CM$3&lt;=$F57,CM$4&gt;=$F57))</f>
        <v>-0</v>
      </c>
      <c r="CN57" s="49" t="n">
        <f aca="false">-$E57*N(AND(CN$3&lt;=$F57,CN$4&gt;=$F57))</f>
        <v>-0</v>
      </c>
      <c r="CO57" s="49" t="n">
        <f aca="false">-$E57*N(AND(CO$3&lt;=$F57,CO$4&gt;=$F57))</f>
        <v>-0</v>
      </c>
      <c r="CP57" s="49" t="n">
        <f aca="false">-$E57*N(AND(CP$3&lt;=$F57,CP$4&gt;=$F57))</f>
        <v>-0</v>
      </c>
      <c r="CQ57" s="49" t="n">
        <f aca="false">-$E57*N(AND(CQ$3&lt;=$F57,CQ$4&gt;=$F57))</f>
        <v>-0</v>
      </c>
      <c r="CR57" s="49" t="n">
        <f aca="false">-$E57*N(AND(CR$3&lt;=$F57,CR$4&gt;=$F57))</f>
        <v>-0</v>
      </c>
      <c r="CS57" s="49" t="n">
        <f aca="false">-$E57*N(AND(CS$3&lt;=$F57,CS$4&gt;=$F57))</f>
        <v>-0</v>
      </c>
      <c r="CT57" s="49" t="n">
        <f aca="false">-$E57*N(AND(CT$3&lt;=$F57,CT$4&gt;=$F57))</f>
        <v>-0</v>
      </c>
      <c r="CU57" s="49" t="n">
        <f aca="false">-$E57*N(AND(CU$3&lt;=$F57,CU$4&gt;=$F57))</f>
        <v>-0</v>
      </c>
      <c r="CV57" s="49" t="n">
        <f aca="false">-$E57*N(AND(CV$3&lt;=$F57,CV$4&gt;=$F57))</f>
        <v>-0</v>
      </c>
      <c r="CW57" s="49" t="n">
        <f aca="false">-$E57*N(AND(CW$3&lt;=$F57,CW$4&gt;=$F57))</f>
        <v>-0</v>
      </c>
      <c r="CX57" s="49" t="n">
        <f aca="false">-$E57*N(AND(CX$3&lt;=$F57,CX$4&gt;=$F57))</f>
        <v>-0</v>
      </c>
      <c r="CY57" s="49" t="n">
        <f aca="false">-$E57*N(AND(CY$3&lt;=$F57,CY$4&gt;=$F57))</f>
        <v>-0</v>
      </c>
      <c r="CZ57" s="49" t="n">
        <f aca="false">-$E57*N(AND(CZ$3&lt;=$F57,CZ$4&gt;=$F57))</f>
        <v>-0</v>
      </c>
      <c r="DA57" s="49" t="n">
        <f aca="false">-$E57*N(AND(DA$3&lt;=$F57,DA$4&gt;=$F57))</f>
        <v>-0</v>
      </c>
      <c r="DB57" s="49" t="n">
        <f aca="false">-$E57*N(AND(DB$3&lt;=$F57,DB$4&gt;=$F57))</f>
        <v>-0</v>
      </c>
      <c r="DC57" s="49" t="n">
        <f aca="false">-$E57*N(AND(DC$3&lt;=$F57,DC$4&gt;=$F57))</f>
        <v>-0</v>
      </c>
      <c r="DD57" s="49" t="n">
        <f aca="false">-$E57*N(AND(DD$3&lt;=$F57,DD$4&gt;=$F57))</f>
        <v>-0</v>
      </c>
      <c r="DE57" s="49" t="n">
        <f aca="false">-$E57*N(AND(DE$3&lt;=$F57,DE$4&gt;=$F57))</f>
        <v>-0</v>
      </c>
      <c r="DF57" s="49" t="n">
        <f aca="false">-$E57*N(AND(DF$3&lt;=$F57,DF$4&gt;=$F57))</f>
        <v>-0</v>
      </c>
      <c r="DG57" s="49" t="n">
        <f aca="false">-$E57*N(AND(DG$3&lt;=$F57,DG$4&gt;=$F57))</f>
        <v>-0</v>
      </c>
      <c r="DH57" s="49" t="n">
        <f aca="false">-$E57*N(AND(DH$3&lt;=$F57,DH$4&gt;=$F57))</f>
        <v>-0</v>
      </c>
      <c r="DI57" s="49" t="n">
        <f aca="false">-$E57*N(AND(DI$3&lt;=$F57,DI$4&gt;=$F57))</f>
        <v>-0</v>
      </c>
      <c r="DJ57" s="49" t="n">
        <f aca="false">-$E57*N(AND(DJ$3&lt;=$F57,DJ$4&gt;=$F57))</f>
        <v>-0</v>
      </c>
      <c r="DK57" s="49" t="n">
        <f aca="false">-$E57*N(AND(DK$3&lt;=$F57,DK$4&gt;=$F57))</f>
        <v>-0</v>
      </c>
      <c r="DL57" s="49" t="n">
        <f aca="false">-$E57*N(AND(DL$3&lt;=$F57,DL$4&gt;=$F57))</f>
        <v>-0</v>
      </c>
      <c r="DM57" s="49" t="n">
        <f aca="false">-$E57*N(AND(DM$3&lt;=$F57,DM$4&gt;=$F57))</f>
        <v>-0</v>
      </c>
      <c r="DN57" s="49" t="n">
        <f aca="false">-$E57*N(AND(DN$3&lt;=$F57,DN$4&gt;=$F57))</f>
        <v>-0</v>
      </c>
      <c r="DO57" s="49" t="n">
        <f aca="false">-$E57*N(AND(DO$3&lt;=$F57,DO$4&gt;=$F57))</f>
        <v>-0</v>
      </c>
      <c r="DP57" s="49" t="n">
        <f aca="false">-$E57*N(AND(DP$3&lt;=$F57,DP$4&gt;=$F57))</f>
        <v>-0</v>
      </c>
      <c r="DQ57" s="49" t="n">
        <f aca="false">-$E57*N(AND(DQ$3&lt;=$F57,DQ$4&gt;=$F57))</f>
        <v>-0</v>
      </c>
      <c r="DR57" s="49" t="n">
        <f aca="false">-$E57*N(AND(DR$3&lt;=$F57,DR$4&gt;=$F57))</f>
        <v>-0</v>
      </c>
      <c r="DS57" s="49" t="n">
        <f aca="false">-$E57*N(AND(DS$3&lt;=$F57,DS$4&gt;=$F57))</f>
        <v>-0</v>
      </c>
      <c r="DT57" s="49" t="n">
        <f aca="false">-$E57*N(AND(DT$3&lt;=$F57,DT$4&gt;=$F57))</f>
        <v>-0</v>
      </c>
      <c r="DU57" s="49" t="n">
        <f aca="false">-$E57*N(AND(DU$3&lt;=$F57,DU$4&gt;=$F57))</f>
        <v>-0</v>
      </c>
      <c r="DV57" s="49" t="n">
        <f aca="false">-$E57*N(AND(DV$3&lt;=$F57,DV$4&gt;=$F57))</f>
        <v>-0</v>
      </c>
      <c r="DW57" s="49" t="n">
        <f aca="false">-$E57*N(AND(DW$3&lt;=$F57,DW$4&gt;=$F57))</f>
        <v>-0</v>
      </c>
      <c r="DX57" s="49" t="n">
        <f aca="false">-$E57*N(AND(DX$3&lt;=$F57,DX$4&gt;=$F57))</f>
        <v>-0</v>
      </c>
      <c r="DY57" s="49" t="n">
        <f aca="false">-$E57*N(AND(DY$3&lt;=$F57,DY$4&gt;=$F57))</f>
        <v>-0</v>
      </c>
      <c r="DZ57" s="49" t="n">
        <f aca="false">-$E57*N(AND(DZ$3&lt;=$F57,DZ$4&gt;=$F57))</f>
        <v>-0</v>
      </c>
      <c r="EA57" s="49" t="n">
        <f aca="false">-$E57*N(AND(EA$3&lt;=$F57,EA$4&gt;=$F57))</f>
        <v>-0</v>
      </c>
      <c r="EB57" s="49" t="n">
        <f aca="false">-$E57*N(AND(EB$3&lt;=$F57,EB$4&gt;=$F57))</f>
        <v>-0</v>
      </c>
      <c r="EC57" s="49" t="n">
        <f aca="false">-$E57*N(AND(EC$3&lt;=$F57,EC$4&gt;=$F57))</f>
        <v>-0</v>
      </c>
      <c r="ED57" s="49" t="n">
        <f aca="false">-$E57*N(AND(ED$3&lt;=$F57,ED$4&gt;=$F57))</f>
        <v>-0</v>
      </c>
      <c r="EE57" s="49" t="n">
        <f aca="false">-$E57*N(AND(EE$3&lt;=$F57,EE$4&gt;=$F57))</f>
        <v>-0</v>
      </c>
      <c r="EF57" s="49" t="n">
        <f aca="false">-$E57*N(AND(EF$3&lt;=$F57,EF$4&gt;=$F57))</f>
        <v>-0</v>
      </c>
      <c r="EG57" s="49" t="n">
        <f aca="false">-$E57*N(AND(EG$3&lt;=$F57,EG$4&gt;=$F57))</f>
        <v>-0</v>
      </c>
      <c r="EH57" s="49" t="n">
        <f aca="false">-$E57*N(AND(EH$3&lt;=$F57,EH$4&gt;=$F57))</f>
        <v>-0</v>
      </c>
      <c r="EI57" s="49" t="n">
        <f aca="false">-$E57*N(AND(EI$3&lt;=$F57,EI$4&gt;=$F57))</f>
        <v>-0</v>
      </c>
      <c r="EJ57" s="49" t="n">
        <f aca="false">-$E57*N(AND(EJ$3&lt;=$F57,EJ$4&gt;=$F57))</f>
        <v>-0</v>
      </c>
      <c r="EK57" s="49" t="n">
        <f aca="false">-$E57*N(AND(EK$3&lt;=$F57,EK$4&gt;=$F57))</f>
        <v>-0</v>
      </c>
      <c r="EL57" s="49" t="n">
        <f aca="false">-$E57*N(AND(EL$3&lt;=$F57,EL$4&gt;=$F57))</f>
        <v>-0</v>
      </c>
      <c r="EM57" s="49" t="n">
        <f aca="false">-$E57*N(AND(EM$3&lt;=$F57,EM$4&gt;=$F57))</f>
        <v>-0</v>
      </c>
      <c r="EN57" s="49" t="n">
        <f aca="false">-$E57*N(AND(EN$3&lt;=$F57,EN$4&gt;=$F57))</f>
        <v>-0</v>
      </c>
      <c r="EO57" s="49" t="n">
        <f aca="false">-$E57*N(AND(EO$3&lt;=$F57,EO$4&gt;=$F57))</f>
        <v>-0</v>
      </c>
    </row>
    <row r="58" customFormat="false" ht="15" hidden="false" customHeight="false" outlineLevel="0" collapsed="false">
      <c r="C58" s="1" t="s">
        <v>454</v>
      </c>
      <c r="D58" s="12" t="s">
        <v>33</v>
      </c>
      <c r="I58" s="49" t="n">
        <f aca="false">SUM(J58:EO58)</f>
        <v>-8154.82315068493</v>
      </c>
      <c r="J58" s="49" t="n">
        <f aca="false">J56+J57</f>
        <v>-0</v>
      </c>
      <c r="K58" s="49" t="n">
        <f aca="false">K56+K57</f>
        <v>-0</v>
      </c>
      <c r="L58" s="49" t="n">
        <f aca="false">L56+L57</f>
        <v>-0</v>
      </c>
      <c r="M58" s="49" t="n">
        <f aca="false">M56+M57</f>
        <v>-0</v>
      </c>
      <c r="N58" s="49" t="n">
        <f aca="false">N56+N57</f>
        <v>-0</v>
      </c>
      <c r="O58" s="49" t="n">
        <f aca="false">O56+O57</f>
        <v>-0</v>
      </c>
      <c r="P58" s="49" t="n">
        <f aca="false">P56+P57</f>
        <v>-0</v>
      </c>
      <c r="Q58" s="49" t="n">
        <f aca="false">Q56+Q57</f>
        <v>-0</v>
      </c>
      <c r="R58" s="49" t="n">
        <f aca="false">R56+R57</f>
        <v>-0</v>
      </c>
      <c r="S58" s="49" t="n">
        <f aca="false">S56+S57</f>
        <v>-8154.82315068493</v>
      </c>
      <c r="T58" s="49" t="n">
        <f aca="false">T56+T57</f>
        <v>-0</v>
      </c>
      <c r="U58" s="49" t="n">
        <f aca="false">U56+U57</f>
        <v>-0</v>
      </c>
      <c r="V58" s="49" t="n">
        <f aca="false">V56+V57</f>
        <v>-0</v>
      </c>
      <c r="W58" s="49" t="n">
        <f aca="false">W56+W57</f>
        <v>-0</v>
      </c>
      <c r="X58" s="49" t="n">
        <f aca="false">X56+X57</f>
        <v>-0</v>
      </c>
      <c r="Y58" s="49" t="n">
        <f aca="false">Y56+Y57</f>
        <v>-0</v>
      </c>
      <c r="Z58" s="49" t="n">
        <f aca="false">Z56+Z57</f>
        <v>-0</v>
      </c>
      <c r="AA58" s="49" t="n">
        <f aca="false">AA56+AA57</f>
        <v>-0</v>
      </c>
      <c r="AB58" s="49" t="n">
        <f aca="false">AB56+AB57</f>
        <v>-0</v>
      </c>
      <c r="AC58" s="49" t="n">
        <f aca="false">AC56+AC57</f>
        <v>-0</v>
      </c>
      <c r="AD58" s="49" t="n">
        <f aca="false">AD56+AD57</f>
        <v>-0</v>
      </c>
      <c r="AE58" s="49" t="n">
        <f aca="false">AE56+AE57</f>
        <v>-0</v>
      </c>
      <c r="AF58" s="49" t="n">
        <f aca="false">AF56+AF57</f>
        <v>-0</v>
      </c>
      <c r="AG58" s="49" t="n">
        <f aca="false">AG56+AG57</f>
        <v>-0</v>
      </c>
      <c r="AH58" s="49" t="n">
        <f aca="false">AH56+AH57</f>
        <v>-0</v>
      </c>
      <c r="AI58" s="49" t="n">
        <f aca="false">AI56+AI57</f>
        <v>-0</v>
      </c>
      <c r="AJ58" s="49" t="n">
        <f aca="false">AJ56+AJ57</f>
        <v>-0</v>
      </c>
      <c r="AK58" s="49" t="n">
        <f aca="false">AK56+AK57</f>
        <v>-0</v>
      </c>
      <c r="AL58" s="49" t="n">
        <f aca="false">AL56+AL57</f>
        <v>-0</v>
      </c>
      <c r="AM58" s="49" t="n">
        <f aca="false">AM56+AM57</f>
        <v>-0</v>
      </c>
      <c r="AN58" s="49" t="n">
        <f aca="false">AN56+AN57</f>
        <v>-0</v>
      </c>
      <c r="AO58" s="49" t="n">
        <f aca="false">AO56+AO57</f>
        <v>-0</v>
      </c>
      <c r="AP58" s="49" t="n">
        <f aca="false">AP56+AP57</f>
        <v>-0</v>
      </c>
      <c r="AQ58" s="49" t="n">
        <f aca="false">AQ56+AQ57</f>
        <v>-0</v>
      </c>
      <c r="AR58" s="49" t="n">
        <f aca="false">AR56+AR57</f>
        <v>-0</v>
      </c>
      <c r="AS58" s="49" t="n">
        <f aca="false">AS56+AS57</f>
        <v>-0</v>
      </c>
      <c r="AT58" s="49" t="n">
        <f aca="false">AT56+AT57</f>
        <v>-0</v>
      </c>
      <c r="AU58" s="49" t="n">
        <f aca="false">AU56+AU57</f>
        <v>-0</v>
      </c>
      <c r="AV58" s="49" t="n">
        <f aca="false">AV56+AV57</f>
        <v>-0</v>
      </c>
      <c r="AW58" s="49" t="n">
        <f aca="false">AW56+AW57</f>
        <v>-0</v>
      </c>
      <c r="AX58" s="49" t="n">
        <f aca="false">AX56+AX57</f>
        <v>-0</v>
      </c>
      <c r="AY58" s="49" t="n">
        <f aca="false">AY56+AY57</f>
        <v>-0</v>
      </c>
      <c r="AZ58" s="49" t="n">
        <f aca="false">AZ56+AZ57</f>
        <v>-0</v>
      </c>
      <c r="BA58" s="49" t="n">
        <f aca="false">BA56+BA57</f>
        <v>-0</v>
      </c>
      <c r="BB58" s="49" t="n">
        <f aca="false">BB56+BB57</f>
        <v>-0</v>
      </c>
      <c r="BC58" s="49" t="n">
        <f aca="false">BC56+BC57</f>
        <v>-0</v>
      </c>
      <c r="BD58" s="49" t="n">
        <f aca="false">BD56+BD57</f>
        <v>-0</v>
      </c>
      <c r="BE58" s="49" t="n">
        <f aca="false">BE56+BE57</f>
        <v>-0</v>
      </c>
      <c r="BF58" s="49" t="n">
        <f aca="false">BF56+BF57</f>
        <v>-0</v>
      </c>
      <c r="BG58" s="49" t="n">
        <f aca="false">BG56+BG57</f>
        <v>-0</v>
      </c>
      <c r="BH58" s="49" t="n">
        <f aca="false">BH56+BH57</f>
        <v>-0</v>
      </c>
      <c r="BI58" s="49" t="n">
        <f aca="false">BI56+BI57</f>
        <v>-0</v>
      </c>
      <c r="BJ58" s="49" t="n">
        <f aca="false">BJ56+BJ57</f>
        <v>-0</v>
      </c>
      <c r="BK58" s="49" t="n">
        <f aca="false">BK56+BK57</f>
        <v>-0</v>
      </c>
      <c r="BL58" s="49" t="n">
        <f aca="false">BL56+BL57</f>
        <v>-0</v>
      </c>
      <c r="BM58" s="49" t="n">
        <f aca="false">BM56+BM57</f>
        <v>-0</v>
      </c>
      <c r="BN58" s="49" t="n">
        <f aca="false">BN56+BN57</f>
        <v>-0</v>
      </c>
      <c r="BO58" s="49" t="n">
        <f aca="false">BO56+BO57</f>
        <v>-0</v>
      </c>
      <c r="BP58" s="49" t="n">
        <f aca="false">BP56+BP57</f>
        <v>-0</v>
      </c>
      <c r="BQ58" s="49" t="n">
        <f aca="false">BQ56+BQ57</f>
        <v>-0</v>
      </c>
      <c r="BR58" s="49" t="n">
        <f aca="false">BR56+BR57</f>
        <v>-0</v>
      </c>
      <c r="BS58" s="49" t="n">
        <f aca="false">BS56+BS57</f>
        <v>-0</v>
      </c>
      <c r="BT58" s="49" t="n">
        <f aca="false">BT56+BT57</f>
        <v>-0</v>
      </c>
      <c r="BU58" s="49" t="n">
        <f aca="false">BU56+BU57</f>
        <v>-0</v>
      </c>
      <c r="BV58" s="49" t="n">
        <f aca="false">BV56+BV57</f>
        <v>-0</v>
      </c>
      <c r="BW58" s="49" t="n">
        <f aca="false">BW56+BW57</f>
        <v>-0</v>
      </c>
      <c r="BX58" s="49" t="n">
        <f aca="false">BX56+BX57</f>
        <v>-0</v>
      </c>
      <c r="BY58" s="49" t="n">
        <f aca="false">BY56+BY57</f>
        <v>-0</v>
      </c>
      <c r="BZ58" s="49" t="n">
        <f aca="false">BZ56+BZ57</f>
        <v>-0</v>
      </c>
      <c r="CA58" s="49" t="n">
        <f aca="false">CA56+CA57</f>
        <v>-0</v>
      </c>
      <c r="CB58" s="49" t="n">
        <f aca="false">CB56+CB57</f>
        <v>-0</v>
      </c>
      <c r="CC58" s="49" t="n">
        <f aca="false">CC56+CC57</f>
        <v>-0</v>
      </c>
      <c r="CD58" s="49" t="n">
        <f aca="false">CD56+CD57</f>
        <v>-0</v>
      </c>
      <c r="CE58" s="49" t="n">
        <f aca="false">CE56+CE57</f>
        <v>-0</v>
      </c>
      <c r="CF58" s="49" t="n">
        <f aca="false">CF56+CF57</f>
        <v>-0</v>
      </c>
      <c r="CG58" s="49" t="n">
        <f aca="false">CG56+CG57</f>
        <v>-0</v>
      </c>
      <c r="CH58" s="49" t="n">
        <f aca="false">CH56+CH57</f>
        <v>-0</v>
      </c>
      <c r="CI58" s="49" t="n">
        <f aca="false">CI56+CI57</f>
        <v>-0</v>
      </c>
      <c r="CJ58" s="49" t="n">
        <f aca="false">CJ56+CJ57</f>
        <v>-0</v>
      </c>
      <c r="CK58" s="49" t="n">
        <f aca="false">CK56+CK57</f>
        <v>-0</v>
      </c>
      <c r="CL58" s="49" t="n">
        <f aca="false">CL56+CL57</f>
        <v>-0</v>
      </c>
      <c r="CM58" s="49" t="n">
        <f aca="false">CM56+CM57</f>
        <v>-0</v>
      </c>
      <c r="CN58" s="49" t="n">
        <f aca="false">CN56+CN57</f>
        <v>-0</v>
      </c>
      <c r="CO58" s="49" t="n">
        <f aca="false">CO56+CO57</f>
        <v>-0</v>
      </c>
      <c r="CP58" s="49" t="n">
        <f aca="false">CP56+CP57</f>
        <v>-0</v>
      </c>
      <c r="CQ58" s="49" t="n">
        <f aca="false">CQ56+CQ57</f>
        <v>-0</v>
      </c>
      <c r="CR58" s="49" t="n">
        <f aca="false">CR56+CR57</f>
        <v>-0</v>
      </c>
      <c r="CS58" s="49" t="n">
        <f aca="false">CS56+CS57</f>
        <v>-0</v>
      </c>
      <c r="CT58" s="49" t="n">
        <f aca="false">CT56+CT57</f>
        <v>-0</v>
      </c>
      <c r="CU58" s="49" t="n">
        <f aca="false">CU56+CU57</f>
        <v>-0</v>
      </c>
      <c r="CV58" s="49" t="n">
        <f aca="false">CV56+CV57</f>
        <v>-0</v>
      </c>
      <c r="CW58" s="49" t="n">
        <f aca="false">CW56+CW57</f>
        <v>-0</v>
      </c>
      <c r="CX58" s="49" t="n">
        <f aca="false">CX56+CX57</f>
        <v>-0</v>
      </c>
      <c r="CY58" s="49" t="n">
        <f aca="false">CY56+CY57</f>
        <v>-0</v>
      </c>
      <c r="CZ58" s="49" t="n">
        <f aca="false">CZ56+CZ57</f>
        <v>-0</v>
      </c>
      <c r="DA58" s="49" t="n">
        <f aca="false">DA56+DA57</f>
        <v>-0</v>
      </c>
      <c r="DB58" s="49" t="n">
        <f aca="false">DB56+DB57</f>
        <v>-0</v>
      </c>
      <c r="DC58" s="49" t="n">
        <f aca="false">DC56+DC57</f>
        <v>-0</v>
      </c>
      <c r="DD58" s="49" t="n">
        <f aca="false">DD56+DD57</f>
        <v>-0</v>
      </c>
      <c r="DE58" s="49" t="n">
        <f aca="false">DE56+DE57</f>
        <v>-0</v>
      </c>
      <c r="DF58" s="49" t="n">
        <f aca="false">DF56+DF57</f>
        <v>-0</v>
      </c>
      <c r="DG58" s="49" t="n">
        <f aca="false">DG56+DG57</f>
        <v>-0</v>
      </c>
      <c r="DH58" s="49" t="n">
        <f aca="false">DH56+DH57</f>
        <v>-0</v>
      </c>
      <c r="DI58" s="49" t="n">
        <f aca="false">DI56+DI57</f>
        <v>-0</v>
      </c>
      <c r="DJ58" s="49" t="n">
        <f aca="false">DJ56+DJ57</f>
        <v>-0</v>
      </c>
      <c r="DK58" s="49" t="n">
        <f aca="false">DK56+DK57</f>
        <v>-0</v>
      </c>
      <c r="DL58" s="49" t="n">
        <f aca="false">DL56+DL57</f>
        <v>-0</v>
      </c>
      <c r="DM58" s="49" t="n">
        <f aca="false">DM56+DM57</f>
        <v>-0</v>
      </c>
      <c r="DN58" s="49" t="n">
        <f aca="false">DN56+DN57</f>
        <v>-0</v>
      </c>
      <c r="DO58" s="49" t="n">
        <f aca="false">DO56+DO57</f>
        <v>-0</v>
      </c>
      <c r="DP58" s="49" t="n">
        <f aca="false">DP56+DP57</f>
        <v>-0</v>
      </c>
      <c r="DQ58" s="49" t="n">
        <f aca="false">DQ56+DQ57</f>
        <v>-0</v>
      </c>
      <c r="DR58" s="49" t="n">
        <f aca="false">DR56+DR57</f>
        <v>-0</v>
      </c>
      <c r="DS58" s="49" t="n">
        <f aca="false">DS56+DS57</f>
        <v>-0</v>
      </c>
      <c r="DT58" s="49" t="n">
        <f aca="false">DT56+DT57</f>
        <v>-0</v>
      </c>
      <c r="DU58" s="49" t="n">
        <f aca="false">DU56+DU57</f>
        <v>-0</v>
      </c>
      <c r="DV58" s="49" t="n">
        <f aca="false">DV56+DV57</f>
        <v>-0</v>
      </c>
      <c r="DW58" s="49" t="n">
        <f aca="false">DW56+DW57</f>
        <v>-0</v>
      </c>
      <c r="DX58" s="49" t="n">
        <f aca="false">DX56+DX57</f>
        <v>-0</v>
      </c>
      <c r="DY58" s="49" t="n">
        <f aca="false">DY56+DY57</f>
        <v>-0</v>
      </c>
      <c r="DZ58" s="49" t="n">
        <f aca="false">DZ56+DZ57</f>
        <v>-0</v>
      </c>
      <c r="EA58" s="49" t="n">
        <f aca="false">EA56+EA57</f>
        <v>-0</v>
      </c>
      <c r="EB58" s="49" t="n">
        <f aca="false">EB56+EB57</f>
        <v>-0</v>
      </c>
      <c r="EC58" s="49" t="n">
        <f aca="false">EC56+EC57</f>
        <v>-0</v>
      </c>
      <c r="ED58" s="49" t="n">
        <f aca="false">ED56+ED57</f>
        <v>-0</v>
      </c>
      <c r="EE58" s="49" t="n">
        <f aca="false">EE56+EE57</f>
        <v>-0</v>
      </c>
      <c r="EF58" s="49" t="n">
        <f aca="false">EF56+EF57</f>
        <v>-0</v>
      </c>
      <c r="EG58" s="49" t="n">
        <f aca="false">EG56+EG57</f>
        <v>-0</v>
      </c>
      <c r="EH58" s="49" t="n">
        <f aca="false">EH56+EH57</f>
        <v>-0</v>
      </c>
      <c r="EI58" s="49" t="n">
        <f aca="false">EI56+EI57</f>
        <v>-0</v>
      </c>
      <c r="EJ58" s="49" t="n">
        <f aca="false">EJ56+EJ57</f>
        <v>-0</v>
      </c>
      <c r="EK58" s="49" t="n">
        <f aca="false">EK56+EK57</f>
        <v>-0</v>
      </c>
      <c r="EL58" s="49" t="n">
        <f aca="false">EL56+EL57</f>
        <v>-0</v>
      </c>
      <c r="EM58" s="49" t="n">
        <f aca="false">EM56+EM57</f>
        <v>-0</v>
      </c>
      <c r="EN58" s="49" t="n">
        <f aca="false">EN56+EN57</f>
        <v>-0</v>
      </c>
      <c r="EO58" s="49" t="n">
        <f aca="false">EO56+EO57</f>
        <v>-0</v>
      </c>
    </row>
    <row r="59" customFormat="false" ht="15" hidden="false" customHeight="false" outlineLevel="0" collapsed="false">
      <c r="C59" s="1" t="s">
        <v>455</v>
      </c>
      <c r="D59" s="12" t="s">
        <v>33</v>
      </c>
      <c r="E59" s="49" t="n">
        <f aca="false">SUMIF($J$4:$EO$4,"&lt;="&amp;In_COD,$J59:$EO59)</f>
        <v>-490.264019515857</v>
      </c>
      <c r="I59" s="49" t="n">
        <f aca="false">SUM(J59:EO59)</f>
        <v>-822.911945956089</v>
      </c>
      <c r="J59" s="49" t="n">
        <f aca="false">-(J53+J54)*In_Guarantee_Fee*J$5/Days_In_Year</f>
        <v>-4.5907599924939</v>
      </c>
      <c r="K59" s="49" t="n">
        <f aca="false">-(K53+K54)*In_Guarantee_Fee*K$5/Days_In_Year</f>
        <v>-19.6746856821167</v>
      </c>
      <c r="L59" s="49" t="n">
        <f aca="false">-(L53+L54)*In_Guarantee_Fee*L$5/Days_In_Year</f>
        <v>-33.1554888346782</v>
      </c>
      <c r="M59" s="49" t="n">
        <f aca="false">-(M53+M54)*In_Guarantee_Fee*M$5/Days_In_Year</f>
        <v>-33.5198348658285</v>
      </c>
      <c r="N59" s="49" t="n">
        <f aca="false">-(N53+N54)*In_Guarantee_Fee*N$5/Days_In_Year</f>
        <v>-33.5198348658285</v>
      </c>
      <c r="O59" s="49" t="n">
        <f aca="false">-(O53+O54)*In_Guarantee_Fee*O$5/Days_In_Year</f>
        <v>-33.1554888346782</v>
      </c>
      <c r="P59" s="49" t="n">
        <f aca="false">-(P53+P54)*In_Guarantee_Fee*P$5/Days_In_Year</f>
        <v>-33.1554888346782</v>
      </c>
      <c r="Q59" s="49" t="n">
        <f aca="false">-(Q53+Q54)*In_Guarantee_Fee*Q$5/Days_In_Year</f>
        <v>-33.5198348658285</v>
      </c>
      <c r="R59" s="49" t="n">
        <f aca="false">-(R53+R54)*In_Guarantee_Fee*R$5/Days_In_Year</f>
        <v>-33.5198348658285</v>
      </c>
      <c r="S59" s="49" t="n">
        <f aca="false">-(S53+S54)*In_Guarantee_Fee*S$5/Days_In_Year</f>
        <v>-32.7911428035279</v>
      </c>
      <c r="T59" s="49" t="n">
        <f aca="false">-(T53+T54)*In_Guarantee_Fee*T$5/Days_In_Year</f>
        <v>-33.1554888346782</v>
      </c>
      <c r="U59" s="49" t="n">
        <f aca="false">-(U53+U54)*In_Guarantee_Fee*U$5/Days_In_Year</f>
        <v>-33.5198348658285</v>
      </c>
      <c r="V59" s="49" t="n">
        <f aca="false">-(V53+V54)*In_Guarantee_Fee*V$5/Days_In_Year</f>
        <v>-33.5198348658285</v>
      </c>
      <c r="W59" s="49" t="n">
        <f aca="false">-(W53+W54)*In_Guarantee_Fee*W$5/Days_In_Year</f>
        <v>-32.7911428035279</v>
      </c>
      <c r="X59" s="49" t="n">
        <f aca="false">-(X53+X54)*In_Guarantee_Fee*X$5/Days_In_Year</f>
        <v>-33.1554888346782</v>
      </c>
      <c r="Y59" s="49" t="n">
        <f aca="false">-(Y53+Y54)*In_Guarantee_Fee*Y$5/Days_In_Year</f>
        <v>-33.5198348658285</v>
      </c>
      <c r="Z59" s="49" t="n">
        <f aca="false">-(Z53+Z54)*In_Guarantee_Fee*Z$5/Days_In_Year</f>
        <v>-33.5198348658285</v>
      </c>
      <c r="AA59" s="49" t="n">
        <f aca="false">-(AA53+AA54)*In_Guarantee_Fee*AA$5/Days_In_Year</f>
        <v>-32.7911428035279</v>
      </c>
      <c r="AB59" s="49" t="n">
        <f aca="false">-(AB53+AB54)*In_Guarantee_Fee*AB$5/Days_In_Year</f>
        <v>-33.1554888346782</v>
      </c>
      <c r="AC59" s="49" t="n">
        <f aca="false">-(AC53+AC54)*In_Guarantee_Fee*AC$5/Days_In_Year</f>
        <v>-33.5198348658285</v>
      </c>
      <c r="AD59" s="49" t="n">
        <f aca="false">-(AD53+AD54)*In_Guarantee_Fee*AD$5/Days_In_Year</f>
        <v>-33.5198348658285</v>
      </c>
      <c r="AE59" s="49" t="n">
        <f aca="false">-(AE53+AE54)*In_Guarantee_Fee*AE$5/Days_In_Year</f>
        <v>-33.1554888346782</v>
      </c>
      <c r="AF59" s="49" t="n">
        <f aca="false">-(AF53+AF54)*In_Guarantee_Fee*AF$5/Days_In_Year</f>
        <v>-33.1554888346782</v>
      </c>
      <c r="AG59" s="49" t="n">
        <f aca="false">-(AG53+AG54)*In_Guarantee_Fee*AG$5/Days_In_Year</f>
        <v>-33.5198348658285</v>
      </c>
      <c r="AH59" s="49" t="n">
        <f aca="false">-(AH53+AH54)*In_Guarantee_Fee*AH$5/Days_In_Year</f>
        <v>-33.5198348658285</v>
      </c>
      <c r="AI59" s="49" t="n">
        <f aca="false">-(AI53+AI54)*In_Guarantee_Fee*AI$5/Days_In_Year</f>
        <v>-32.7911428035279</v>
      </c>
      <c r="AJ59" s="49" t="n">
        <f aca="false">-(AJ53+AJ54)*In_Guarantee_Fee*AJ$5/Days_In_Year</f>
        <v>-0</v>
      </c>
      <c r="AK59" s="49" t="n">
        <f aca="false">-(AK53+AK54)*In_Guarantee_Fee*AK$5/Days_In_Year</f>
        <v>-0</v>
      </c>
      <c r="AL59" s="49" t="n">
        <f aca="false">-(AL53+AL54)*In_Guarantee_Fee*AL$5/Days_In_Year</f>
        <v>-0</v>
      </c>
      <c r="AM59" s="49" t="n">
        <f aca="false">-(AM53+AM54)*In_Guarantee_Fee*AM$5/Days_In_Year</f>
        <v>-0</v>
      </c>
      <c r="AN59" s="49" t="n">
        <f aca="false">-(AN53+AN54)*In_Guarantee_Fee*AN$5/Days_In_Year</f>
        <v>-0</v>
      </c>
      <c r="AO59" s="49" t="n">
        <f aca="false">-(AO53+AO54)*In_Guarantee_Fee*AO$5/Days_In_Year</f>
        <v>-0</v>
      </c>
      <c r="AP59" s="49" t="n">
        <f aca="false">-(AP53+AP54)*In_Guarantee_Fee*AP$5/Days_In_Year</f>
        <v>-0</v>
      </c>
      <c r="AQ59" s="49" t="n">
        <f aca="false">-(AQ53+AQ54)*In_Guarantee_Fee*AQ$5/Days_In_Year</f>
        <v>-0</v>
      </c>
      <c r="AR59" s="49" t="n">
        <f aca="false">-(AR53+AR54)*In_Guarantee_Fee*AR$5/Days_In_Year</f>
        <v>-0</v>
      </c>
      <c r="AS59" s="49" t="n">
        <f aca="false">-(AS53+AS54)*In_Guarantee_Fee*AS$5/Days_In_Year</f>
        <v>-0</v>
      </c>
      <c r="AT59" s="49" t="n">
        <f aca="false">-(AT53+AT54)*In_Guarantee_Fee*AT$5/Days_In_Year</f>
        <v>-0</v>
      </c>
      <c r="AU59" s="49" t="n">
        <f aca="false">-(AU53+AU54)*In_Guarantee_Fee*AU$5/Days_In_Year</f>
        <v>-0</v>
      </c>
      <c r="AV59" s="49" t="n">
        <f aca="false">-(AV53+AV54)*In_Guarantee_Fee*AV$5/Days_In_Year</f>
        <v>-0</v>
      </c>
      <c r="AW59" s="49" t="n">
        <f aca="false">-(AW53+AW54)*In_Guarantee_Fee*AW$5/Days_In_Year</f>
        <v>-0</v>
      </c>
      <c r="AX59" s="49" t="n">
        <f aca="false">-(AX53+AX54)*In_Guarantee_Fee*AX$5/Days_In_Year</f>
        <v>-0</v>
      </c>
      <c r="AY59" s="49" t="n">
        <f aca="false">-(AY53+AY54)*In_Guarantee_Fee*AY$5/Days_In_Year</f>
        <v>-0</v>
      </c>
      <c r="AZ59" s="49" t="n">
        <f aca="false">-(AZ53+AZ54)*In_Guarantee_Fee*AZ$5/Days_In_Year</f>
        <v>-0</v>
      </c>
      <c r="BA59" s="49" t="n">
        <f aca="false">-(BA53+BA54)*In_Guarantee_Fee*BA$5/Days_In_Year</f>
        <v>-0</v>
      </c>
      <c r="BB59" s="49" t="n">
        <f aca="false">-(BB53+BB54)*In_Guarantee_Fee*BB$5/Days_In_Year</f>
        <v>-0</v>
      </c>
      <c r="BC59" s="49" t="n">
        <f aca="false">-(BC53+BC54)*In_Guarantee_Fee*BC$5/Days_In_Year</f>
        <v>-0</v>
      </c>
      <c r="BD59" s="49" t="n">
        <f aca="false">-(BD53+BD54)*In_Guarantee_Fee*BD$5/Days_In_Year</f>
        <v>-0</v>
      </c>
      <c r="BE59" s="49" t="n">
        <f aca="false">-(BE53+BE54)*In_Guarantee_Fee*BE$5/Days_In_Year</f>
        <v>-0</v>
      </c>
      <c r="BF59" s="49" t="n">
        <f aca="false">-(BF53+BF54)*In_Guarantee_Fee*BF$5/Days_In_Year</f>
        <v>-0</v>
      </c>
      <c r="BG59" s="49" t="n">
        <f aca="false">-(BG53+BG54)*In_Guarantee_Fee*BG$5/Days_In_Year</f>
        <v>-0</v>
      </c>
      <c r="BH59" s="49" t="n">
        <f aca="false">-(BH53+BH54)*In_Guarantee_Fee*BH$5/Days_In_Year</f>
        <v>-0</v>
      </c>
      <c r="BI59" s="49" t="n">
        <f aca="false">-(BI53+BI54)*In_Guarantee_Fee*BI$5/Days_In_Year</f>
        <v>-0</v>
      </c>
      <c r="BJ59" s="49" t="n">
        <f aca="false">-(BJ53+BJ54)*In_Guarantee_Fee*BJ$5/Days_In_Year</f>
        <v>-0</v>
      </c>
      <c r="BK59" s="49" t="n">
        <f aca="false">-(BK53+BK54)*In_Guarantee_Fee*BK$5/Days_In_Year</f>
        <v>-0</v>
      </c>
      <c r="BL59" s="49" t="n">
        <f aca="false">-(BL53+BL54)*In_Guarantee_Fee*BL$5/Days_In_Year</f>
        <v>-0</v>
      </c>
      <c r="BM59" s="49" t="n">
        <f aca="false">-(BM53+BM54)*In_Guarantee_Fee*BM$5/Days_In_Year</f>
        <v>-0</v>
      </c>
      <c r="BN59" s="49" t="n">
        <f aca="false">-(BN53+BN54)*In_Guarantee_Fee*BN$5/Days_In_Year</f>
        <v>-0</v>
      </c>
      <c r="BO59" s="49" t="n">
        <f aca="false">-(BO53+BO54)*In_Guarantee_Fee*BO$5/Days_In_Year</f>
        <v>-0</v>
      </c>
      <c r="BP59" s="49" t="n">
        <f aca="false">-(BP53+BP54)*In_Guarantee_Fee*BP$5/Days_In_Year</f>
        <v>-0</v>
      </c>
      <c r="BQ59" s="49" t="n">
        <f aca="false">-(BQ53+BQ54)*In_Guarantee_Fee*BQ$5/Days_In_Year</f>
        <v>-0</v>
      </c>
      <c r="BR59" s="49" t="n">
        <f aca="false">-(BR53+BR54)*In_Guarantee_Fee*BR$5/Days_In_Year</f>
        <v>-0</v>
      </c>
      <c r="BS59" s="49" t="n">
        <f aca="false">-(BS53+BS54)*In_Guarantee_Fee*BS$5/Days_In_Year</f>
        <v>-0</v>
      </c>
      <c r="BT59" s="49" t="n">
        <f aca="false">-(BT53+BT54)*In_Guarantee_Fee*BT$5/Days_In_Year</f>
        <v>-0</v>
      </c>
      <c r="BU59" s="49" t="n">
        <f aca="false">-(BU53+BU54)*In_Guarantee_Fee*BU$5/Days_In_Year</f>
        <v>-0</v>
      </c>
      <c r="BV59" s="49" t="n">
        <f aca="false">-(BV53+BV54)*In_Guarantee_Fee*BV$5/Days_In_Year</f>
        <v>-0</v>
      </c>
      <c r="BW59" s="49" t="n">
        <f aca="false">-(BW53+BW54)*In_Guarantee_Fee*BW$5/Days_In_Year</f>
        <v>-0</v>
      </c>
      <c r="BX59" s="49" t="n">
        <f aca="false">-(BX53+BX54)*In_Guarantee_Fee*BX$5/Days_In_Year</f>
        <v>-0</v>
      </c>
      <c r="BY59" s="49" t="n">
        <f aca="false">-(BY53+BY54)*In_Guarantee_Fee*BY$5/Days_In_Year</f>
        <v>-0</v>
      </c>
      <c r="BZ59" s="49" t="n">
        <f aca="false">-(BZ53+BZ54)*In_Guarantee_Fee*BZ$5/Days_In_Year</f>
        <v>-0</v>
      </c>
      <c r="CA59" s="49" t="n">
        <f aca="false">-(CA53+CA54)*In_Guarantee_Fee*CA$5/Days_In_Year</f>
        <v>-0</v>
      </c>
      <c r="CB59" s="49" t="n">
        <f aca="false">-(CB53+CB54)*In_Guarantee_Fee*CB$5/Days_In_Year</f>
        <v>-0</v>
      </c>
      <c r="CC59" s="49" t="n">
        <f aca="false">-(CC53+CC54)*In_Guarantee_Fee*CC$5/Days_In_Year</f>
        <v>-0</v>
      </c>
      <c r="CD59" s="49" t="n">
        <f aca="false">-(CD53+CD54)*In_Guarantee_Fee*CD$5/Days_In_Year</f>
        <v>-0</v>
      </c>
      <c r="CE59" s="49" t="n">
        <f aca="false">-(CE53+CE54)*In_Guarantee_Fee*CE$5/Days_In_Year</f>
        <v>-0</v>
      </c>
      <c r="CF59" s="49" t="n">
        <f aca="false">-(CF53+CF54)*In_Guarantee_Fee*CF$5/Days_In_Year</f>
        <v>-0</v>
      </c>
      <c r="CG59" s="49" t="n">
        <f aca="false">-(CG53+CG54)*In_Guarantee_Fee*CG$5/Days_In_Year</f>
        <v>-0</v>
      </c>
      <c r="CH59" s="49" t="n">
        <f aca="false">-(CH53+CH54)*In_Guarantee_Fee*CH$5/Days_In_Year</f>
        <v>-0</v>
      </c>
      <c r="CI59" s="49" t="n">
        <f aca="false">-(CI53+CI54)*In_Guarantee_Fee*CI$5/Days_In_Year</f>
        <v>-0</v>
      </c>
      <c r="CJ59" s="49" t="n">
        <f aca="false">-(CJ53+CJ54)*In_Guarantee_Fee*CJ$5/Days_In_Year</f>
        <v>-0</v>
      </c>
      <c r="CK59" s="49" t="n">
        <f aca="false">-(CK53+CK54)*In_Guarantee_Fee*CK$5/Days_In_Year</f>
        <v>-0</v>
      </c>
      <c r="CL59" s="49" t="n">
        <f aca="false">-(CL53+CL54)*In_Guarantee_Fee*CL$5/Days_In_Year</f>
        <v>-0</v>
      </c>
      <c r="CM59" s="49" t="n">
        <f aca="false">-(CM53+CM54)*In_Guarantee_Fee*CM$5/Days_In_Year</f>
        <v>-0</v>
      </c>
      <c r="CN59" s="49" t="n">
        <f aca="false">-(CN53+CN54)*In_Guarantee_Fee*CN$5/Days_In_Year</f>
        <v>-0</v>
      </c>
      <c r="CO59" s="49" t="n">
        <f aca="false">-(CO53+CO54)*In_Guarantee_Fee*CO$5/Days_In_Year</f>
        <v>-0</v>
      </c>
      <c r="CP59" s="49" t="n">
        <f aca="false">-(CP53+CP54)*In_Guarantee_Fee*CP$5/Days_In_Year</f>
        <v>-0</v>
      </c>
      <c r="CQ59" s="49" t="n">
        <f aca="false">-(CQ53+CQ54)*In_Guarantee_Fee*CQ$5/Days_In_Year</f>
        <v>-0</v>
      </c>
      <c r="CR59" s="49" t="n">
        <f aca="false">-(CR53+CR54)*In_Guarantee_Fee*CR$5/Days_In_Year</f>
        <v>-0</v>
      </c>
      <c r="CS59" s="49" t="n">
        <f aca="false">-(CS53+CS54)*In_Guarantee_Fee*CS$5/Days_In_Year</f>
        <v>-0</v>
      </c>
      <c r="CT59" s="49" t="n">
        <f aca="false">-(CT53+CT54)*In_Guarantee_Fee*CT$5/Days_In_Year</f>
        <v>-0</v>
      </c>
      <c r="CU59" s="49" t="n">
        <f aca="false">-(CU53+CU54)*In_Guarantee_Fee*CU$5/Days_In_Year</f>
        <v>-0</v>
      </c>
      <c r="CV59" s="49" t="n">
        <f aca="false">-(CV53+CV54)*In_Guarantee_Fee*CV$5/Days_In_Year</f>
        <v>-0</v>
      </c>
      <c r="CW59" s="49" t="n">
        <f aca="false">-(CW53+CW54)*In_Guarantee_Fee*CW$5/Days_In_Year</f>
        <v>-0</v>
      </c>
      <c r="CX59" s="49" t="n">
        <f aca="false">-(CX53+CX54)*In_Guarantee_Fee*CX$5/Days_In_Year</f>
        <v>-0</v>
      </c>
      <c r="CY59" s="49" t="n">
        <f aca="false">-(CY53+CY54)*In_Guarantee_Fee*CY$5/Days_In_Year</f>
        <v>-0</v>
      </c>
      <c r="CZ59" s="49" t="n">
        <f aca="false">-(CZ53+CZ54)*In_Guarantee_Fee*CZ$5/Days_In_Year</f>
        <v>-0</v>
      </c>
      <c r="DA59" s="49" t="n">
        <f aca="false">-(DA53+DA54)*In_Guarantee_Fee*DA$5/Days_In_Year</f>
        <v>-0</v>
      </c>
      <c r="DB59" s="49" t="n">
        <f aca="false">-(DB53+DB54)*In_Guarantee_Fee*DB$5/Days_In_Year</f>
        <v>-0</v>
      </c>
      <c r="DC59" s="49" t="n">
        <f aca="false">-(DC53+DC54)*In_Guarantee_Fee*DC$5/Days_In_Year</f>
        <v>-0</v>
      </c>
      <c r="DD59" s="49" t="n">
        <f aca="false">-(DD53+DD54)*In_Guarantee_Fee*DD$5/Days_In_Year</f>
        <v>-0</v>
      </c>
      <c r="DE59" s="49" t="n">
        <f aca="false">-(DE53+DE54)*In_Guarantee_Fee*DE$5/Days_In_Year</f>
        <v>-0</v>
      </c>
      <c r="DF59" s="49" t="n">
        <f aca="false">-(DF53+DF54)*In_Guarantee_Fee*DF$5/Days_In_Year</f>
        <v>-0</v>
      </c>
      <c r="DG59" s="49" t="n">
        <f aca="false">-(DG53+DG54)*In_Guarantee_Fee*DG$5/Days_In_Year</f>
        <v>-0</v>
      </c>
      <c r="DH59" s="49" t="n">
        <f aca="false">-(DH53+DH54)*In_Guarantee_Fee*DH$5/Days_In_Year</f>
        <v>-0</v>
      </c>
      <c r="DI59" s="49" t="n">
        <f aca="false">-(DI53+DI54)*In_Guarantee_Fee*DI$5/Days_In_Year</f>
        <v>-0</v>
      </c>
      <c r="DJ59" s="49" t="n">
        <f aca="false">-(DJ53+DJ54)*In_Guarantee_Fee*DJ$5/Days_In_Year</f>
        <v>-0</v>
      </c>
      <c r="DK59" s="49" t="n">
        <f aca="false">-(DK53+DK54)*In_Guarantee_Fee*DK$5/Days_In_Year</f>
        <v>-0</v>
      </c>
      <c r="DL59" s="49" t="n">
        <f aca="false">-(DL53+DL54)*In_Guarantee_Fee*DL$5/Days_In_Year</f>
        <v>-0</v>
      </c>
      <c r="DM59" s="49" t="n">
        <f aca="false">-(DM53+DM54)*In_Guarantee_Fee*DM$5/Days_In_Year</f>
        <v>-0</v>
      </c>
      <c r="DN59" s="49" t="n">
        <f aca="false">-(DN53+DN54)*In_Guarantee_Fee*DN$5/Days_In_Year</f>
        <v>-0</v>
      </c>
      <c r="DO59" s="49" t="n">
        <f aca="false">-(DO53+DO54)*In_Guarantee_Fee*DO$5/Days_In_Year</f>
        <v>-0</v>
      </c>
      <c r="DP59" s="49" t="n">
        <f aca="false">-(DP53+DP54)*In_Guarantee_Fee*DP$5/Days_In_Year</f>
        <v>-0</v>
      </c>
      <c r="DQ59" s="49" t="n">
        <f aca="false">-(DQ53+DQ54)*In_Guarantee_Fee*DQ$5/Days_In_Year</f>
        <v>-0</v>
      </c>
      <c r="DR59" s="49" t="n">
        <f aca="false">-(DR53+DR54)*In_Guarantee_Fee*DR$5/Days_In_Year</f>
        <v>-0</v>
      </c>
      <c r="DS59" s="49" t="n">
        <f aca="false">-(DS53+DS54)*In_Guarantee_Fee*DS$5/Days_In_Year</f>
        <v>-0</v>
      </c>
      <c r="DT59" s="49" t="n">
        <f aca="false">-(DT53+DT54)*In_Guarantee_Fee*DT$5/Days_In_Year</f>
        <v>-0</v>
      </c>
      <c r="DU59" s="49" t="n">
        <f aca="false">-(DU53+DU54)*In_Guarantee_Fee*DU$5/Days_In_Year</f>
        <v>-0</v>
      </c>
      <c r="DV59" s="49" t="n">
        <f aca="false">-(DV53+DV54)*In_Guarantee_Fee*DV$5/Days_In_Year</f>
        <v>-0</v>
      </c>
      <c r="DW59" s="49" t="n">
        <f aca="false">-(DW53+DW54)*In_Guarantee_Fee*DW$5/Days_In_Year</f>
        <v>-0</v>
      </c>
      <c r="DX59" s="49" t="n">
        <f aca="false">-(DX53+DX54)*In_Guarantee_Fee*DX$5/Days_In_Year</f>
        <v>-0</v>
      </c>
      <c r="DY59" s="49" t="n">
        <f aca="false">-(DY53+DY54)*In_Guarantee_Fee*DY$5/Days_In_Year</f>
        <v>-0</v>
      </c>
      <c r="DZ59" s="49" t="n">
        <f aca="false">-(DZ53+DZ54)*In_Guarantee_Fee*DZ$5/Days_In_Year</f>
        <v>-0</v>
      </c>
      <c r="EA59" s="49" t="n">
        <f aca="false">-(EA53+EA54)*In_Guarantee_Fee*EA$5/Days_In_Year</f>
        <v>-0</v>
      </c>
      <c r="EB59" s="49" t="n">
        <f aca="false">-(EB53+EB54)*In_Guarantee_Fee*EB$5/Days_In_Year</f>
        <v>-0</v>
      </c>
      <c r="EC59" s="49" t="n">
        <f aca="false">-(EC53+EC54)*In_Guarantee_Fee*EC$5/Days_In_Year</f>
        <v>-0</v>
      </c>
      <c r="ED59" s="49" t="n">
        <f aca="false">-(ED53+ED54)*In_Guarantee_Fee*ED$5/Days_In_Year</f>
        <v>-0</v>
      </c>
      <c r="EE59" s="49" t="n">
        <f aca="false">-(EE53+EE54)*In_Guarantee_Fee*EE$5/Days_In_Year</f>
        <v>-0</v>
      </c>
      <c r="EF59" s="49" t="n">
        <f aca="false">-(EF53+EF54)*In_Guarantee_Fee*EF$5/Days_In_Year</f>
        <v>-0</v>
      </c>
      <c r="EG59" s="49" t="n">
        <f aca="false">-(EG53+EG54)*In_Guarantee_Fee*EG$5/Days_In_Year</f>
        <v>-0</v>
      </c>
      <c r="EH59" s="49" t="n">
        <f aca="false">-(EH53+EH54)*In_Guarantee_Fee*EH$5/Days_In_Year</f>
        <v>-0</v>
      </c>
      <c r="EI59" s="49" t="n">
        <f aca="false">-(EI53+EI54)*In_Guarantee_Fee*EI$5/Days_In_Year</f>
        <v>-0</v>
      </c>
      <c r="EJ59" s="49" t="n">
        <f aca="false">-(EJ53+EJ54)*In_Guarantee_Fee*EJ$5/Days_In_Year</f>
        <v>-0</v>
      </c>
      <c r="EK59" s="49" t="n">
        <f aca="false">-(EK53+EK54)*In_Guarantee_Fee*EK$5/Days_In_Year</f>
        <v>-0</v>
      </c>
      <c r="EL59" s="49" t="n">
        <f aca="false">-(EL53+EL54)*In_Guarantee_Fee*EL$5/Days_In_Year</f>
        <v>-0</v>
      </c>
      <c r="EM59" s="49" t="n">
        <f aca="false">-(EM53+EM54)*In_Guarantee_Fee*EM$5/Days_In_Year</f>
        <v>-0</v>
      </c>
      <c r="EN59" s="49" t="n">
        <f aca="false">-(EN53+EN54)*In_Guarantee_Fee*EN$5/Days_In_Year</f>
        <v>-0</v>
      </c>
      <c r="EO59" s="49" t="n">
        <f aca="false">-(EO53+EO54)*In_Guarantee_Fee*EO$5/Days_In_Year</f>
        <v>-0</v>
      </c>
    </row>
    <row r="60" customFormat="false" ht="15" hidden="false" customHeight="false" outlineLevel="0" collapsed="false">
      <c r="C60" s="1" t="s">
        <v>456</v>
      </c>
      <c r="D60" s="12" t="s">
        <v>33</v>
      </c>
      <c r="E60" s="49" t="n">
        <f aca="false">$E54*$E25*In_Bench_Wind/$E51</f>
        <v>1668.49315068493</v>
      </c>
      <c r="F60" s="49" t="n">
        <f aca="false">$E54-$E60</f>
        <v>547.945205479452</v>
      </c>
    </row>
    <row r="61" customFormat="false" ht="15" hidden="false" customHeight="false" outlineLevel="0" collapsed="false">
      <c r="C61" s="1" t="s">
        <v>457</v>
      </c>
      <c r="D61" s="12" t="s">
        <v>33</v>
      </c>
      <c r="E61" s="49" t="n">
        <f aca="false">($E30&gt;In_Tolerance_Cap)*$E30*$E60+($F30&gt;In_Tolerance_Cap)*$F30*$F60</f>
        <v>0</v>
      </c>
      <c r="F61" s="49" t="n">
        <f aca="false">(($E30+$F30&gt;0)+(In_Deliver=0)&gt;0)*$E54</f>
        <v>2216.43835616438</v>
      </c>
    </row>
    <row r="62" customFormat="false" ht="15" hidden="false" customHeight="false" outlineLevel="0" collapsed="false">
      <c r="C62" s="1" t="s">
        <v>458</v>
      </c>
      <c r="D62" s="12" t="s">
        <v>33</v>
      </c>
      <c r="E62" s="47" t="n">
        <f aca="false">EDATE(In_COD,In_Sanction_Lag)</f>
        <v>47937</v>
      </c>
      <c r="I62" s="49" t="n">
        <f aca="false">SUM(J62:EO62)</f>
        <v>0</v>
      </c>
      <c r="J62" s="49" t="n">
        <f aca="false">-CHOOSE(In_Sanction_Regime,$E61,$F61)*N(AND(J$3&lt;=$E62,J$4&gt;=$E62))</f>
        <v>-0</v>
      </c>
      <c r="K62" s="49" t="n">
        <f aca="false">-CHOOSE(In_Sanction_Regime,$E61,$F61)*N(AND(K$3&lt;=$E62,K$4&gt;=$E62))</f>
        <v>-0</v>
      </c>
      <c r="L62" s="49" t="n">
        <f aca="false">-CHOOSE(In_Sanction_Regime,$E61,$F61)*N(AND(L$3&lt;=$E62,L$4&gt;=$E62))</f>
        <v>-0</v>
      </c>
      <c r="M62" s="49" t="n">
        <f aca="false">-CHOOSE(In_Sanction_Regime,$E61,$F61)*N(AND(M$3&lt;=$E62,M$4&gt;=$E62))</f>
        <v>-0</v>
      </c>
      <c r="N62" s="49" t="n">
        <f aca="false">-CHOOSE(In_Sanction_Regime,$E61,$F61)*N(AND(N$3&lt;=$E62,N$4&gt;=$E62))</f>
        <v>-0</v>
      </c>
      <c r="O62" s="49" t="n">
        <f aca="false">-CHOOSE(In_Sanction_Regime,$E61,$F61)*N(AND(O$3&lt;=$E62,O$4&gt;=$E62))</f>
        <v>-0</v>
      </c>
      <c r="P62" s="49" t="n">
        <f aca="false">-CHOOSE(In_Sanction_Regime,$E61,$F61)*N(AND(P$3&lt;=$E62,P$4&gt;=$E62))</f>
        <v>-0</v>
      </c>
      <c r="Q62" s="49" t="n">
        <f aca="false">-CHOOSE(In_Sanction_Regime,$E61,$F61)*N(AND(Q$3&lt;=$E62,Q$4&gt;=$E62))</f>
        <v>-0</v>
      </c>
      <c r="R62" s="49" t="n">
        <f aca="false">-CHOOSE(In_Sanction_Regime,$E61,$F61)*N(AND(R$3&lt;=$E62,R$4&gt;=$E62))</f>
        <v>-0</v>
      </c>
      <c r="S62" s="49" t="n">
        <f aca="false">-CHOOSE(In_Sanction_Regime,$E61,$F61)*N(AND(S$3&lt;=$E62,S$4&gt;=$E62))</f>
        <v>-0</v>
      </c>
      <c r="T62" s="49" t="n">
        <f aca="false">-CHOOSE(In_Sanction_Regime,$E61,$F61)*N(AND(T$3&lt;=$E62,T$4&gt;=$E62))</f>
        <v>-0</v>
      </c>
      <c r="U62" s="49" t="n">
        <f aca="false">-CHOOSE(In_Sanction_Regime,$E61,$F61)*N(AND(U$3&lt;=$E62,U$4&gt;=$E62))</f>
        <v>-0</v>
      </c>
      <c r="V62" s="49" t="n">
        <f aca="false">-CHOOSE(In_Sanction_Regime,$E61,$F61)*N(AND(V$3&lt;=$E62,V$4&gt;=$E62))</f>
        <v>-0</v>
      </c>
      <c r="W62" s="49" t="n">
        <f aca="false">-CHOOSE(In_Sanction_Regime,$E61,$F61)*N(AND(W$3&lt;=$E62,W$4&gt;=$E62))</f>
        <v>-0</v>
      </c>
      <c r="X62" s="49" t="n">
        <f aca="false">-CHOOSE(In_Sanction_Regime,$E61,$F61)*N(AND(X$3&lt;=$E62,X$4&gt;=$E62))</f>
        <v>-0</v>
      </c>
      <c r="Y62" s="49" t="n">
        <f aca="false">-CHOOSE(In_Sanction_Regime,$E61,$F61)*N(AND(Y$3&lt;=$E62,Y$4&gt;=$E62))</f>
        <v>-0</v>
      </c>
      <c r="Z62" s="49" t="n">
        <f aca="false">-CHOOSE(In_Sanction_Regime,$E61,$F61)*N(AND(Z$3&lt;=$E62,Z$4&gt;=$E62))</f>
        <v>-0</v>
      </c>
      <c r="AA62" s="49" t="n">
        <f aca="false">-CHOOSE(In_Sanction_Regime,$E61,$F61)*N(AND(AA$3&lt;=$E62,AA$4&gt;=$E62))</f>
        <v>-0</v>
      </c>
      <c r="AB62" s="49" t="n">
        <f aca="false">-CHOOSE(In_Sanction_Regime,$E61,$F61)*N(AND(AB$3&lt;=$E62,AB$4&gt;=$E62))</f>
        <v>-0</v>
      </c>
      <c r="AC62" s="49" t="n">
        <f aca="false">-CHOOSE(In_Sanction_Regime,$E61,$F61)*N(AND(AC$3&lt;=$E62,AC$4&gt;=$E62))</f>
        <v>-0</v>
      </c>
      <c r="AD62" s="49" t="n">
        <f aca="false">-CHOOSE(In_Sanction_Regime,$E61,$F61)*N(AND(AD$3&lt;=$E62,AD$4&gt;=$E62))</f>
        <v>-0</v>
      </c>
      <c r="AE62" s="49" t="n">
        <f aca="false">-CHOOSE(In_Sanction_Regime,$E61,$F61)*N(AND(AE$3&lt;=$E62,AE$4&gt;=$E62))</f>
        <v>-0</v>
      </c>
      <c r="AF62" s="49" t="n">
        <f aca="false">-CHOOSE(In_Sanction_Regime,$E61,$F61)*N(AND(AF$3&lt;=$E62,AF$4&gt;=$E62))</f>
        <v>-0</v>
      </c>
      <c r="AG62" s="49" t="n">
        <f aca="false">-CHOOSE(In_Sanction_Regime,$E61,$F61)*N(AND(AG$3&lt;=$E62,AG$4&gt;=$E62))</f>
        <v>-0</v>
      </c>
      <c r="AH62" s="49" t="n">
        <f aca="false">-CHOOSE(In_Sanction_Regime,$E61,$F61)*N(AND(AH$3&lt;=$E62,AH$4&gt;=$E62))</f>
        <v>-0</v>
      </c>
      <c r="AI62" s="49" t="n">
        <f aca="false">-CHOOSE(In_Sanction_Regime,$E61,$F61)*N(AND(AI$3&lt;=$E62,AI$4&gt;=$E62))</f>
        <v>-0</v>
      </c>
      <c r="AJ62" s="49" t="n">
        <f aca="false">-CHOOSE(In_Sanction_Regime,$E61,$F61)*N(AND(AJ$3&lt;=$E62,AJ$4&gt;=$E62))</f>
        <v>-0</v>
      </c>
      <c r="AK62" s="49" t="n">
        <f aca="false">-CHOOSE(In_Sanction_Regime,$E61,$F61)*N(AND(AK$3&lt;=$E62,AK$4&gt;=$E62))</f>
        <v>-0</v>
      </c>
      <c r="AL62" s="49" t="n">
        <f aca="false">-CHOOSE(In_Sanction_Regime,$E61,$F61)*N(AND(AL$3&lt;=$E62,AL$4&gt;=$E62))</f>
        <v>-0</v>
      </c>
      <c r="AM62" s="49" t="n">
        <f aca="false">-CHOOSE(In_Sanction_Regime,$E61,$F61)*N(AND(AM$3&lt;=$E62,AM$4&gt;=$E62))</f>
        <v>-0</v>
      </c>
      <c r="AN62" s="49" t="n">
        <f aca="false">-CHOOSE(In_Sanction_Regime,$E61,$F61)*N(AND(AN$3&lt;=$E62,AN$4&gt;=$E62))</f>
        <v>-0</v>
      </c>
      <c r="AO62" s="49" t="n">
        <f aca="false">-CHOOSE(In_Sanction_Regime,$E61,$F61)*N(AND(AO$3&lt;=$E62,AO$4&gt;=$E62))</f>
        <v>-0</v>
      </c>
      <c r="AP62" s="49" t="n">
        <f aca="false">-CHOOSE(In_Sanction_Regime,$E61,$F61)*N(AND(AP$3&lt;=$E62,AP$4&gt;=$E62))</f>
        <v>-0</v>
      </c>
      <c r="AQ62" s="49" t="n">
        <f aca="false">-CHOOSE(In_Sanction_Regime,$E61,$F61)*N(AND(AQ$3&lt;=$E62,AQ$4&gt;=$E62))</f>
        <v>-0</v>
      </c>
      <c r="AR62" s="49" t="n">
        <f aca="false">-CHOOSE(In_Sanction_Regime,$E61,$F61)*N(AND(AR$3&lt;=$E62,AR$4&gt;=$E62))</f>
        <v>-0</v>
      </c>
      <c r="AS62" s="49" t="n">
        <f aca="false">-CHOOSE(In_Sanction_Regime,$E61,$F61)*N(AND(AS$3&lt;=$E62,AS$4&gt;=$E62))</f>
        <v>-0</v>
      </c>
      <c r="AT62" s="49" t="n">
        <f aca="false">-CHOOSE(In_Sanction_Regime,$E61,$F61)*N(AND(AT$3&lt;=$E62,AT$4&gt;=$E62))</f>
        <v>-0</v>
      </c>
      <c r="AU62" s="49" t="n">
        <f aca="false">-CHOOSE(In_Sanction_Regime,$E61,$F61)*N(AND(AU$3&lt;=$E62,AU$4&gt;=$E62))</f>
        <v>-0</v>
      </c>
      <c r="AV62" s="49" t="n">
        <f aca="false">-CHOOSE(In_Sanction_Regime,$E61,$F61)*N(AND(AV$3&lt;=$E62,AV$4&gt;=$E62))</f>
        <v>-0</v>
      </c>
      <c r="AW62" s="49" t="n">
        <f aca="false">-CHOOSE(In_Sanction_Regime,$E61,$F61)*N(AND(AW$3&lt;=$E62,AW$4&gt;=$E62))</f>
        <v>-0</v>
      </c>
      <c r="AX62" s="49" t="n">
        <f aca="false">-CHOOSE(In_Sanction_Regime,$E61,$F61)*N(AND(AX$3&lt;=$E62,AX$4&gt;=$E62))</f>
        <v>-0</v>
      </c>
      <c r="AY62" s="49" t="n">
        <f aca="false">-CHOOSE(In_Sanction_Regime,$E61,$F61)*N(AND(AY$3&lt;=$E62,AY$4&gt;=$E62))</f>
        <v>-0</v>
      </c>
      <c r="AZ62" s="49" t="n">
        <f aca="false">-CHOOSE(In_Sanction_Regime,$E61,$F61)*N(AND(AZ$3&lt;=$E62,AZ$4&gt;=$E62))</f>
        <v>-0</v>
      </c>
      <c r="BA62" s="49" t="n">
        <f aca="false">-CHOOSE(In_Sanction_Regime,$E61,$F61)*N(AND(BA$3&lt;=$E62,BA$4&gt;=$E62))</f>
        <v>-0</v>
      </c>
      <c r="BB62" s="49" t="n">
        <f aca="false">-CHOOSE(In_Sanction_Regime,$E61,$F61)*N(AND(BB$3&lt;=$E62,BB$4&gt;=$E62))</f>
        <v>-0</v>
      </c>
      <c r="BC62" s="49" t="n">
        <f aca="false">-CHOOSE(In_Sanction_Regime,$E61,$F61)*N(AND(BC$3&lt;=$E62,BC$4&gt;=$E62))</f>
        <v>-0</v>
      </c>
      <c r="BD62" s="49" t="n">
        <f aca="false">-CHOOSE(In_Sanction_Regime,$E61,$F61)*N(AND(BD$3&lt;=$E62,BD$4&gt;=$E62))</f>
        <v>-0</v>
      </c>
      <c r="BE62" s="49" t="n">
        <f aca="false">-CHOOSE(In_Sanction_Regime,$E61,$F61)*N(AND(BE$3&lt;=$E62,BE$4&gt;=$E62))</f>
        <v>-0</v>
      </c>
      <c r="BF62" s="49" t="n">
        <f aca="false">-CHOOSE(In_Sanction_Regime,$E61,$F61)*N(AND(BF$3&lt;=$E62,BF$4&gt;=$E62))</f>
        <v>-0</v>
      </c>
      <c r="BG62" s="49" t="n">
        <f aca="false">-CHOOSE(In_Sanction_Regime,$E61,$F61)*N(AND(BG$3&lt;=$E62,BG$4&gt;=$E62))</f>
        <v>-0</v>
      </c>
      <c r="BH62" s="49" t="n">
        <f aca="false">-CHOOSE(In_Sanction_Regime,$E61,$F61)*N(AND(BH$3&lt;=$E62,BH$4&gt;=$E62))</f>
        <v>-0</v>
      </c>
      <c r="BI62" s="49" t="n">
        <f aca="false">-CHOOSE(In_Sanction_Regime,$E61,$F61)*N(AND(BI$3&lt;=$E62,BI$4&gt;=$E62))</f>
        <v>-0</v>
      </c>
      <c r="BJ62" s="49" t="n">
        <f aca="false">-CHOOSE(In_Sanction_Regime,$E61,$F61)*N(AND(BJ$3&lt;=$E62,BJ$4&gt;=$E62))</f>
        <v>-0</v>
      </c>
      <c r="BK62" s="49" t="n">
        <f aca="false">-CHOOSE(In_Sanction_Regime,$E61,$F61)*N(AND(BK$3&lt;=$E62,BK$4&gt;=$E62))</f>
        <v>-0</v>
      </c>
      <c r="BL62" s="49" t="n">
        <f aca="false">-CHOOSE(In_Sanction_Regime,$E61,$F61)*N(AND(BL$3&lt;=$E62,BL$4&gt;=$E62))</f>
        <v>-0</v>
      </c>
      <c r="BM62" s="49" t="n">
        <f aca="false">-CHOOSE(In_Sanction_Regime,$E61,$F61)*N(AND(BM$3&lt;=$E62,BM$4&gt;=$E62))</f>
        <v>-0</v>
      </c>
      <c r="BN62" s="49" t="n">
        <f aca="false">-CHOOSE(In_Sanction_Regime,$E61,$F61)*N(AND(BN$3&lt;=$E62,BN$4&gt;=$E62))</f>
        <v>-0</v>
      </c>
      <c r="BO62" s="49" t="n">
        <f aca="false">-CHOOSE(In_Sanction_Regime,$E61,$F61)*N(AND(BO$3&lt;=$E62,BO$4&gt;=$E62))</f>
        <v>-0</v>
      </c>
      <c r="BP62" s="49" t="n">
        <f aca="false">-CHOOSE(In_Sanction_Regime,$E61,$F61)*N(AND(BP$3&lt;=$E62,BP$4&gt;=$E62))</f>
        <v>-0</v>
      </c>
      <c r="BQ62" s="49" t="n">
        <f aca="false">-CHOOSE(In_Sanction_Regime,$E61,$F61)*N(AND(BQ$3&lt;=$E62,BQ$4&gt;=$E62))</f>
        <v>-0</v>
      </c>
      <c r="BR62" s="49" t="n">
        <f aca="false">-CHOOSE(In_Sanction_Regime,$E61,$F61)*N(AND(BR$3&lt;=$E62,BR$4&gt;=$E62))</f>
        <v>-0</v>
      </c>
      <c r="BS62" s="49" t="n">
        <f aca="false">-CHOOSE(In_Sanction_Regime,$E61,$F61)*N(AND(BS$3&lt;=$E62,BS$4&gt;=$E62))</f>
        <v>-0</v>
      </c>
      <c r="BT62" s="49" t="n">
        <f aca="false">-CHOOSE(In_Sanction_Regime,$E61,$F61)*N(AND(BT$3&lt;=$E62,BT$4&gt;=$E62))</f>
        <v>-0</v>
      </c>
      <c r="BU62" s="49" t="n">
        <f aca="false">-CHOOSE(In_Sanction_Regime,$E61,$F61)*N(AND(BU$3&lt;=$E62,BU$4&gt;=$E62))</f>
        <v>-0</v>
      </c>
      <c r="BV62" s="49" t="n">
        <f aca="false">-CHOOSE(In_Sanction_Regime,$E61,$F61)*N(AND(BV$3&lt;=$E62,BV$4&gt;=$E62))</f>
        <v>-0</v>
      </c>
      <c r="BW62" s="49" t="n">
        <f aca="false">-CHOOSE(In_Sanction_Regime,$E61,$F61)*N(AND(BW$3&lt;=$E62,BW$4&gt;=$E62))</f>
        <v>-0</v>
      </c>
      <c r="BX62" s="49" t="n">
        <f aca="false">-CHOOSE(In_Sanction_Regime,$E61,$F61)*N(AND(BX$3&lt;=$E62,BX$4&gt;=$E62))</f>
        <v>-0</v>
      </c>
      <c r="BY62" s="49" t="n">
        <f aca="false">-CHOOSE(In_Sanction_Regime,$E61,$F61)*N(AND(BY$3&lt;=$E62,BY$4&gt;=$E62))</f>
        <v>-0</v>
      </c>
      <c r="BZ62" s="49" t="n">
        <f aca="false">-CHOOSE(In_Sanction_Regime,$E61,$F61)*N(AND(BZ$3&lt;=$E62,BZ$4&gt;=$E62))</f>
        <v>-0</v>
      </c>
      <c r="CA62" s="49" t="n">
        <f aca="false">-CHOOSE(In_Sanction_Regime,$E61,$F61)*N(AND(CA$3&lt;=$E62,CA$4&gt;=$E62))</f>
        <v>-0</v>
      </c>
      <c r="CB62" s="49" t="n">
        <f aca="false">-CHOOSE(In_Sanction_Regime,$E61,$F61)*N(AND(CB$3&lt;=$E62,CB$4&gt;=$E62))</f>
        <v>-0</v>
      </c>
      <c r="CC62" s="49" t="n">
        <f aca="false">-CHOOSE(In_Sanction_Regime,$E61,$F61)*N(AND(CC$3&lt;=$E62,CC$4&gt;=$E62))</f>
        <v>-0</v>
      </c>
      <c r="CD62" s="49" t="n">
        <f aca="false">-CHOOSE(In_Sanction_Regime,$E61,$F61)*N(AND(CD$3&lt;=$E62,CD$4&gt;=$E62))</f>
        <v>-0</v>
      </c>
      <c r="CE62" s="49" t="n">
        <f aca="false">-CHOOSE(In_Sanction_Regime,$E61,$F61)*N(AND(CE$3&lt;=$E62,CE$4&gt;=$E62))</f>
        <v>-0</v>
      </c>
      <c r="CF62" s="49" t="n">
        <f aca="false">-CHOOSE(In_Sanction_Regime,$E61,$F61)*N(AND(CF$3&lt;=$E62,CF$4&gt;=$E62))</f>
        <v>-0</v>
      </c>
      <c r="CG62" s="49" t="n">
        <f aca="false">-CHOOSE(In_Sanction_Regime,$E61,$F61)*N(AND(CG$3&lt;=$E62,CG$4&gt;=$E62))</f>
        <v>-0</v>
      </c>
      <c r="CH62" s="49" t="n">
        <f aca="false">-CHOOSE(In_Sanction_Regime,$E61,$F61)*N(AND(CH$3&lt;=$E62,CH$4&gt;=$E62))</f>
        <v>-0</v>
      </c>
      <c r="CI62" s="49" t="n">
        <f aca="false">-CHOOSE(In_Sanction_Regime,$E61,$F61)*N(AND(CI$3&lt;=$E62,CI$4&gt;=$E62))</f>
        <v>-0</v>
      </c>
      <c r="CJ62" s="49" t="n">
        <f aca="false">-CHOOSE(In_Sanction_Regime,$E61,$F61)*N(AND(CJ$3&lt;=$E62,CJ$4&gt;=$E62))</f>
        <v>-0</v>
      </c>
      <c r="CK62" s="49" t="n">
        <f aca="false">-CHOOSE(In_Sanction_Regime,$E61,$F61)*N(AND(CK$3&lt;=$E62,CK$4&gt;=$E62))</f>
        <v>-0</v>
      </c>
      <c r="CL62" s="49" t="n">
        <f aca="false">-CHOOSE(In_Sanction_Regime,$E61,$F61)*N(AND(CL$3&lt;=$E62,CL$4&gt;=$E62))</f>
        <v>-0</v>
      </c>
      <c r="CM62" s="49" t="n">
        <f aca="false">-CHOOSE(In_Sanction_Regime,$E61,$F61)*N(AND(CM$3&lt;=$E62,CM$4&gt;=$E62))</f>
        <v>-0</v>
      </c>
      <c r="CN62" s="49" t="n">
        <f aca="false">-CHOOSE(In_Sanction_Regime,$E61,$F61)*N(AND(CN$3&lt;=$E62,CN$4&gt;=$E62))</f>
        <v>-0</v>
      </c>
      <c r="CO62" s="49" t="n">
        <f aca="false">-CHOOSE(In_Sanction_Regime,$E61,$F61)*N(AND(CO$3&lt;=$E62,CO$4&gt;=$E62))</f>
        <v>-0</v>
      </c>
      <c r="CP62" s="49" t="n">
        <f aca="false">-CHOOSE(In_Sanction_Regime,$E61,$F61)*N(AND(CP$3&lt;=$E62,CP$4&gt;=$E62))</f>
        <v>-0</v>
      </c>
      <c r="CQ62" s="49" t="n">
        <f aca="false">-CHOOSE(In_Sanction_Regime,$E61,$F61)*N(AND(CQ$3&lt;=$E62,CQ$4&gt;=$E62))</f>
        <v>-0</v>
      </c>
      <c r="CR62" s="49" t="n">
        <f aca="false">-CHOOSE(In_Sanction_Regime,$E61,$F61)*N(AND(CR$3&lt;=$E62,CR$4&gt;=$E62))</f>
        <v>-0</v>
      </c>
      <c r="CS62" s="49" t="n">
        <f aca="false">-CHOOSE(In_Sanction_Regime,$E61,$F61)*N(AND(CS$3&lt;=$E62,CS$4&gt;=$E62))</f>
        <v>-0</v>
      </c>
      <c r="CT62" s="49" t="n">
        <f aca="false">-CHOOSE(In_Sanction_Regime,$E61,$F61)*N(AND(CT$3&lt;=$E62,CT$4&gt;=$E62))</f>
        <v>-0</v>
      </c>
      <c r="CU62" s="49" t="n">
        <f aca="false">-CHOOSE(In_Sanction_Regime,$E61,$F61)*N(AND(CU$3&lt;=$E62,CU$4&gt;=$E62))</f>
        <v>-0</v>
      </c>
      <c r="CV62" s="49" t="n">
        <f aca="false">-CHOOSE(In_Sanction_Regime,$E61,$F61)*N(AND(CV$3&lt;=$E62,CV$4&gt;=$E62))</f>
        <v>-0</v>
      </c>
      <c r="CW62" s="49" t="n">
        <f aca="false">-CHOOSE(In_Sanction_Regime,$E61,$F61)*N(AND(CW$3&lt;=$E62,CW$4&gt;=$E62))</f>
        <v>-0</v>
      </c>
      <c r="CX62" s="49" t="n">
        <f aca="false">-CHOOSE(In_Sanction_Regime,$E61,$F61)*N(AND(CX$3&lt;=$E62,CX$4&gt;=$E62))</f>
        <v>-0</v>
      </c>
      <c r="CY62" s="49" t="n">
        <f aca="false">-CHOOSE(In_Sanction_Regime,$E61,$F61)*N(AND(CY$3&lt;=$E62,CY$4&gt;=$E62))</f>
        <v>-0</v>
      </c>
      <c r="CZ62" s="49" t="n">
        <f aca="false">-CHOOSE(In_Sanction_Regime,$E61,$F61)*N(AND(CZ$3&lt;=$E62,CZ$4&gt;=$E62))</f>
        <v>-0</v>
      </c>
      <c r="DA62" s="49" t="n">
        <f aca="false">-CHOOSE(In_Sanction_Regime,$E61,$F61)*N(AND(DA$3&lt;=$E62,DA$4&gt;=$E62))</f>
        <v>-0</v>
      </c>
      <c r="DB62" s="49" t="n">
        <f aca="false">-CHOOSE(In_Sanction_Regime,$E61,$F61)*N(AND(DB$3&lt;=$E62,DB$4&gt;=$E62))</f>
        <v>-0</v>
      </c>
      <c r="DC62" s="49" t="n">
        <f aca="false">-CHOOSE(In_Sanction_Regime,$E61,$F61)*N(AND(DC$3&lt;=$E62,DC$4&gt;=$E62))</f>
        <v>-0</v>
      </c>
      <c r="DD62" s="49" t="n">
        <f aca="false">-CHOOSE(In_Sanction_Regime,$E61,$F61)*N(AND(DD$3&lt;=$E62,DD$4&gt;=$E62))</f>
        <v>-0</v>
      </c>
      <c r="DE62" s="49" t="n">
        <f aca="false">-CHOOSE(In_Sanction_Regime,$E61,$F61)*N(AND(DE$3&lt;=$E62,DE$4&gt;=$E62))</f>
        <v>-0</v>
      </c>
      <c r="DF62" s="49" t="n">
        <f aca="false">-CHOOSE(In_Sanction_Regime,$E61,$F61)*N(AND(DF$3&lt;=$E62,DF$4&gt;=$E62))</f>
        <v>-0</v>
      </c>
      <c r="DG62" s="49" t="n">
        <f aca="false">-CHOOSE(In_Sanction_Regime,$E61,$F61)*N(AND(DG$3&lt;=$E62,DG$4&gt;=$E62))</f>
        <v>-0</v>
      </c>
      <c r="DH62" s="49" t="n">
        <f aca="false">-CHOOSE(In_Sanction_Regime,$E61,$F61)*N(AND(DH$3&lt;=$E62,DH$4&gt;=$E62))</f>
        <v>-0</v>
      </c>
      <c r="DI62" s="49" t="n">
        <f aca="false">-CHOOSE(In_Sanction_Regime,$E61,$F61)*N(AND(DI$3&lt;=$E62,DI$4&gt;=$E62))</f>
        <v>-0</v>
      </c>
      <c r="DJ62" s="49" t="n">
        <f aca="false">-CHOOSE(In_Sanction_Regime,$E61,$F61)*N(AND(DJ$3&lt;=$E62,DJ$4&gt;=$E62))</f>
        <v>-0</v>
      </c>
      <c r="DK62" s="49" t="n">
        <f aca="false">-CHOOSE(In_Sanction_Regime,$E61,$F61)*N(AND(DK$3&lt;=$E62,DK$4&gt;=$E62))</f>
        <v>-0</v>
      </c>
      <c r="DL62" s="49" t="n">
        <f aca="false">-CHOOSE(In_Sanction_Regime,$E61,$F61)*N(AND(DL$3&lt;=$E62,DL$4&gt;=$E62))</f>
        <v>-0</v>
      </c>
      <c r="DM62" s="49" t="n">
        <f aca="false">-CHOOSE(In_Sanction_Regime,$E61,$F61)*N(AND(DM$3&lt;=$E62,DM$4&gt;=$E62))</f>
        <v>-0</v>
      </c>
      <c r="DN62" s="49" t="n">
        <f aca="false">-CHOOSE(In_Sanction_Regime,$E61,$F61)*N(AND(DN$3&lt;=$E62,DN$4&gt;=$E62))</f>
        <v>-0</v>
      </c>
      <c r="DO62" s="49" t="n">
        <f aca="false">-CHOOSE(In_Sanction_Regime,$E61,$F61)*N(AND(DO$3&lt;=$E62,DO$4&gt;=$E62))</f>
        <v>-0</v>
      </c>
      <c r="DP62" s="49" t="n">
        <f aca="false">-CHOOSE(In_Sanction_Regime,$E61,$F61)*N(AND(DP$3&lt;=$E62,DP$4&gt;=$E62))</f>
        <v>-0</v>
      </c>
      <c r="DQ62" s="49" t="n">
        <f aca="false">-CHOOSE(In_Sanction_Regime,$E61,$F61)*N(AND(DQ$3&lt;=$E62,DQ$4&gt;=$E62))</f>
        <v>-0</v>
      </c>
      <c r="DR62" s="49" t="n">
        <f aca="false">-CHOOSE(In_Sanction_Regime,$E61,$F61)*N(AND(DR$3&lt;=$E62,DR$4&gt;=$E62))</f>
        <v>-0</v>
      </c>
      <c r="DS62" s="49" t="n">
        <f aca="false">-CHOOSE(In_Sanction_Regime,$E61,$F61)*N(AND(DS$3&lt;=$E62,DS$4&gt;=$E62))</f>
        <v>-0</v>
      </c>
      <c r="DT62" s="49" t="n">
        <f aca="false">-CHOOSE(In_Sanction_Regime,$E61,$F61)*N(AND(DT$3&lt;=$E62,DT$4&gt;=$E62))</f>
        <v>-0</v>
      </c>
      <c r="DU62" s="49" t="n">
        <f aca="false">-CHOOSE(In_Sanction_Regime,$E61,$F61)*N(AND(DU$3&lt;=$E62,DU$4&gt;=$E62))</f>
        <v>-0</v>
      </c>
      <c r="DV62" s="49" t="n">
        <f aca="false">-CHOOSE(In_Sanction_Regime,$E61,$F61)*N(AND(DV$3&lt;=$E62,DV$4&gt;=$E62))</f>
        <v>-0</v>
      </c>
      <c r="DW62" s="49" t="n">
        <f aca="false">-CHOOSE(In_Sanction_Regime,$E61,$F61)*N(AND(DW$3&lt;=$E62,DW$4&gt;=$E62))</f>
        <v>-0</v>
      </c>
      <c r="DX62" s="49" t="n">
        <f aca="false">-CHOOSE(In_Sanction_Regime,$E61,$F61)*N(AND(DX$3&lt;=$E62,DX$4&gt;=$E62))</f>
        <v>-0</v>
      </c>
      <c r="DY62" s="49" t="n">
        <f aca="false">-CHOOSE(In_Sanction_Regime,$E61,$F61)*N(AND(DY$3&lt;=$E62,DY$4&gt;=$E62))</f>
        <v>-0</v>
      </c>
      <c r="DZ62" s="49" t="n">
        <f aca="false">-CHOOSE(In_Sanction_Regime,$E61,$F61)*N(AND(DZ$3&lt;=$E62,DZ$4&gt;=$E62))</f>
        <v>-0</v>
      </c>
      <c r="EA62" s="49" t="n">
        <f aca="false">-CHOOSE(In_Sanction_Regime,$E61,$F61)*N(AND(EA$3&lt;=$E62,EA$4&gt;=$E62))</f>
        <v>-0</v>
      </c>
      <c r="EB62" s="49" t="n">
        <f aca="false">-CHOOSE(In_Sanction_Regime,$E61,$F61)*N(AND(EB$3&lt;=$E62,EB$4&gt;=$E62))</f>
        <v>-0</v>
      </c>
      <c r="EC62" s="49" t="n">
        <f aca="false">-CHOOSE(In_Sanction_Regime,$E61,$F61)*N(AND(EC$3&lt;=$E62,EC$4&gt;=$E62))</f>
        <v>-0</v>
      </c>
      <c r="ED62" s="49" t="n">
        <f aca="false">-CHOOSE(In_Sanction_Regime,$E61,$F61)*N(AND(ED$3&lt;=$E62,ED$4&gt;=$E62))</f>
        <v>-0</v>
      </c>
      <c r="EE62" s="49" t="n">
        <f aca="false">-CHOOSE(In_Sanction_Regime,$E61,$F61)*N(AND(EE$3&lt;=$E62,EE$4&gt;=$E62))</f>
        <v>-0</v>
      </c>
      <c r="EF62" s="49" t="n">
        <f aca="false">-CHOOSE(In_Sanction_Regime,$E61,$F61)*N(AND(EF$3&lt;=$E62,EF$4&gt;=$E62))</f>
        <v>-0</v>
      </c>
      <c r="EG62" s="49" t="n">
        <f aca="false">-CHOOSE(In_Sanction_Regime,$E61,$F61)*N(AND(EG$3&lt;=$E62,EG$4&gt;=$E62))</f>
        <v>-0</v>
      </c>
      <c r="EH62" s="49" t="n">
        <f aca="false">-CHOOSE(In_Sanction_Regime,$E61,$F61)*N(AND(EH$3&lt;=$E62,EH$4&gt;=$E62))</f>
        <v>-0</v>
      </c>
      <c r="EI62" s="49" t="n">
        <f aca="false">-CHOOSE(In_Sanction_Regime,$E61,$F61)*N(AND(EI$3&lt;=$E62,EI$4&gt;=$E62))</f>
        <v>-0</v>
      </c>
      <c r="EJ62" s="49" t="n">
        <f aca="false">-CHOOSE(In_Sanction_Regime,$E61,$F61)*N(AND(EJ$3&lt;=$E62,EJ$4&gt;=$E62))</f>
        <v>-0</v>
      </c>
      <c r="EK62" s="49" t="n">
        <f aca="false">-CHOOSE(In_Sanction_Regime,$E61,$F61)*N(AND(EK$3&lt;=$E62,EK$4&gt;=$E62))</f>
        <v>-0</v>
      </c>
      <c r="EL62" s="49" t="n">
        <f aca="false">-CHOOSE(In_Sanction_Regime,$E61,$F61)*N(AND(EL$3&lt;=$E62,EL$4&gt;=$E62))</f>
        <v>-0</v>
      </c>
      <c r="EM62" s="49" t="n">
        <f aca="false">-CHOOSE(In_Sanction_Regime,$E61,$F61)*N(AND(EM$3&lt;=$E62,EM$4&gt;=$E62))</f>
        <v>-0</v>
      </c>
      <c r="EN62" s="49" t="n">
        <f aca="false">-CHOOSE(In_Sanction_Regime,$E61,$F61)*N(AND(EN$3&lt;=$E62,EN$4&gt;=$E62))</f>
        <v>-0</v>
      </c>
      <c r="EO62" s="49" t="n">
        <f aca="false">-CHOOSE(In_Sanction_Regime,$E61,$F61)*N(AND(EO$3&lt;=$E62,EO$4&gt;=$E62))</f>
        <v>-0</v>
      </c>
    </row>
    <row r="63" customFormat="false" ht="15" hidden="false" customHeight="false" outlineLevel="0" collapsed="false">
      <c r="C63" s="26" t="s">
        <v>459</v>
      </c>
      <c r="D63" s="12" t="s">
        <v>33</v>
      </c>
      <c r="I63" s="58" t="n">
        <f aca="false">SUM(J63:EO63)</f>
        <v>-6597.56948020267</v>
      </c>
      <c r="J63" s="58" t="n">
        <f aca="false">J48+J49+J50+J52+J55+J59</f>
        <v>-4662.80993807469</v>
      </c>
      <c r="K63" s="58" t="n">
        <f aca="false">K48+K49+K50+K52+K55+K59</f>
        <v>-706.535577057768</v>
      </c>
      <c r="L63" s="58" t="n">
        <f aca="false">L48+L49+L50+L52+L55+L59</f>
        <v>-104.360496659404</v>
      </c>
      <c r="M63" s="58" t="n">
        <f aca="false">M48+M49+M50+M52+M55+M59</f>
        <v>-105.507315304013</v>
      </c>
      <c r="N63" s="58" t="n">
        <f aca="false">N48+N49+N50+N52+N55+N59</f>
        <v>-105.507315304013</v>
      </c>
      <c r="O63" s="58" t="n">
        <f aca="false">O48+O49+O50+O52+O55+O59</f>
        <v>-104.360496659404</v>
      </c>
      <c r="P63" s="58" t="n">
        <f aca="false">P48+P49+P50+P52+P55+P59</f>
        <v>-104.360496659404</v>
      </c>
      <c r="Q63" s="58" t="n">
        <f aca="false">Q48+Q49+Q50+Q52+Q55+Q59</f>
        <v>-105.507315304013</v>
      </c>
      <c r="R63" s="58" t="n">
        <f aca="false">R48+R49+R50+R52+R55+R59</f>
        <v>-33.5198348658285</v>
      </c>
      <c r="S63" s="58" t="n">
        <f aca="false">S48+S49+S50+S52+S55+S59</f>
        <v>-32.7911428035279</v>
      </c>
      <c r="T63" s="58" t="n">
        <f aca="false">T48+T49+T50+T52+T55+T59</f>
        <v>-33.1554888346782</v>
      </c>
      <c r="U63" s="58" t="n">
        <f aca="false">U48+U49+U50+U52+U55+U59</f>
        <v>-33.5198348658285</v>
      </c>
      <c r="V63" s="58" t="n">
        <f aca="false">V48+V49+V50+V52+V55+V59</f>
        <v>-33.5198348658285</v>
      </c>
      <c r="W63" s="58" t="n">
        <f aca="false">W48+W49+W50+W52+W55+W59</f>
        <v>-32.7911428035279</v>
      </c>
      <c r="X63" s="58" t="n">
        <f aca="false">X48+X49+X50+X52+X55+X59</f>
        <v>-33.1554888346782</v>
      </c>
      <c r="Y63" s="58" t="n">
        <f aca="false">Y48+Y49+Y50+Y52+Y55+Y59</f>
        <v>-33.5198348658285</v>
      </c>
      <c r="Z63" s="58" t="n">
        <f aca="false">Z48+Z49+Z50+Z52+Z55+Z59</f>
        <v>-33.5198348658285</v>
      </c>
      <c r="AA63" s="58" t="n">
        <f aca="false">AA48+AA49+AA50+AA52+AA55+AA59</f>
        <v>-32.7911428035279</v>
      </c>
      <c r="AB63" s="58" t="n">
        <f aca="false">AB48+AB49+AB50+AB52+AB55+AB59</f>
        <v>-33.1554888346782</v>
      </c>
      <c r="AC63" s="58" t="n">
        <f aca="false">AC48+AC49+AC50+AC52+AC55+AC59</f>
        <v>-33.5198348658285</v>
      </c>
      <c r="AD63" s="58" t="n">
        <f aca="false">AD48+AD49+AD50+AD52+AD55+AD59</f>
        <v>-33.5198348658285</v>
      </c>
      <c r="AE63" s="58" t="n">
        <f aca="false">AE48+AE49+AE50+AE52+AE55+AE59</f>
        <v>-33.1554888346782</v>
      </c>
      <c r="AF63" s="58" t="n">
        <f aca="false">AF48+AF49+AF50+AF52+AF55+AF59</f>
        <v>-33.1554888346782</v>
      </c>
      <c r="AG63" s="58" t="n">
        <f aca="false">AG48+AG49+AG50+AG52+AG55+AG59</f>
        <v>-33.5198348658285</v>
      </c>
      <c r="AH63" s="58" t="n">
        <f aca="false">AH48+AH49+AH50+AH52+AH55+AH59</f>
        <v>-33.5198348658285</v>
      </c>
      <c r="AI63" s="58" t="n">
        <f aca="false">AI48+AI49+AI50+AI52+AI55+AI59</f>
        <v>-32.7911428035279</v>
      </c>
      <c r="AJ63" s="58" t="n">
        <f aca="false">AJ48+AJ49+AJ50+AJ52+AJ55+AJ59</f>
        <v>-0</v>
      </c>
      <c r="AK63" s="58" t="n">
        <f aca="false">AK48+AK49+AK50+AK52+AK55+AK59</f>
        <v>-0</v>
      </c>
      <c r="AL63" s="58" t="n">
        <f aca="false">AL48+AL49+AL50+AL52+AL55+AL59</f>
        <v>-0</v>
      </c>
      <c r="AM63" s="58" t="n">
        <f aca="false">AM48+AM49+AM50+AM52+AM55+AM59</f>
        <v>-0</v>
      </c>
      <c r="AN63" s="58" t="n">
        <f aca="false">AN48+AN49+AN50+AN52+AN55+AN59</f>
        <v>-0</v>
      </c>
      <c r="AO63" s="58" t="n">
        <f aca="false">AO48+AO49+AO50+AO52+AO55+AO59</f>
        <v>-0</v>
      </c>
      <c r="AP63" s="58" t="n">
        <f aca="false">AP48+AP49+AP50+AP52+AP55+AP59</f>
        <v>-0</v>
      </c>
      <c r="AQ63" s="58" t="n">
        <f aca="false">AQ48+AQ49+AQ50+AQ52+AQ55+AQ59</f>
        <v>-0</v>
      </c>
      <c r="AR63" s="58" t="n">
        <f aca="false">AR48+AR49+AR50+AR52+AR55+AR59</f>
        <v>-0</v>
      </c>
      <c r="AS63" s="58" t="n">
        <f aca="false">AS48+AS49+AS50+AS52+AS55+AS59</f>
        <v>-0</v>
      </c>
      <c r="AT63" s="58" t="n">
        <f aca="false">AT48+AT49+AT50+AT52+AT55+AT59</f>
        <v>-0</v>
      </c>
      <c r="AU63" s="58" t="n">
        <f aca="false">AU48+AU49+AU50+AU52+AU55+AU59</f>
        <v>-0</v>
      </c>
      <c r="AV63" s="58" t="n">
        <f aca="false">AV48+AV49+AV50+AV52+AV55+AV59</f>
        <v>-0</v>
      </c>
      <c r="AW63" s="58" t="n">
        <f aca="false">AW48+AW49+AW50+AW52+AW55+AW59</f>
        <v>-0</v>
      </c>
      <c r="AX63" s="58" t="n">
        <f aca="false">AX48+AX49+AX50+AX52+AX55+AX59</f>
        <v>-0</v>
      </c>
      <c r="AY63" s="58" t="n">
        <f aca="false">AY48+AY49+AY50+AY52+AY55+AY59</f>
        <v>-0</v>
      </c>
      <c r="AZ63" s="58" t="n">
        <f aca="false">AZ48+AZ49+AZ50+AZ52+AZ55+AZ59</f>
        <v>-0</v>
      </c>
      <c r="BA63" s="58" t="n">
        <f aca="false">BA48+BA49+BA50+BA52+BA55+BA59</f>
        <v>-0</v>
      </c>
      <c r="BB63" s="58" t="n">
        <f aca="false">BB48+BB49+BB50+BB52+BB55+BB59</f>
        <v>-0</v>
      </c>
      <c r="BC63" s="58" t="n">
        <f aca="false">BC48+BC49+BC50+BC52+BC55+BC59</f>
        <v>-0</v>
      </c>
      <c r="BD63" s="58" t="n">
        <f aca="false">BD48+BD49+BD50+BD52+BD55+BD59</f>
        <v>-0</v>
      </c>
      <c r="BE63" s="58" t="n">
        <f aca="false">BE48+BE49+BE50+BE52+BE55+BE59</f>
        <v>-0</v>
      </c>
      <c r="BF63" s="58" t="n">
        <f aca="false">BF48+BF49+BF50+BF52+BF55+BF59</f>
        <v>-0</v>
      </c>
      <c r="BG63" s="58" t="n">
        <f aca="false">BG48+BG49+BG50+BG52+BG55+BG59</f>
        <v>-0</v>
      </c>
      <c r="BH63" s="58" t="n">
        <f aca="false">BH48+BH49+BH50+BH52+BH55+BH59</f>
        <v>-0</v>
      </c>
      <c r="BI63" s="58" t="n">
        <f aca="false">BI48+BI49+BI50+BI52+BI55+BI59</f>
        <v>-0</v>
      </c>
      <c r="BJ63" s="58" t="n">
        <f aca="false">BJ48+BJ49+BJ50+BJ52+BJ55+BJ59</f>
        <v>-0</v>
      </c>
      <c r="BK63" s="58" t="n">
        <f aca="false">BK48+BK49+BK50+BK52+BK55+BK59</f>
        <v>-0</v>
      </c>
      <c r="BL63" s="58" t="n">
        <f aca="false">BL48+BL49+BL50+BL52+BL55+BL59</f>
        <v>-0</v>
      </c>
      <c r="BM63" s="58" t="n">
        <f aca="false">BM48+BM49+BM50+BM52+BM55+BM59</f>
        <v>-0</v>
      </c>
      <c r="BN63" s="58" t="n">
        <f aca="false">BN48+BN49+BN50+BN52+BN55+BN59</f>
        <v>-0</v>
      </c>
      <c r="BO63" s="58" t="n">
        <f aca="false">BO48+BO49+BO50+BO52+BO55+BO59</f>
        <v>-0</v>
      </c>
      <c r="BP63" s="58" t="n">
        <f aca="false">BP48+BP49+BP50+BP52+BP55+BP59</f>
        <v>-0</v>
      </c>
      <c r="BQ63" s="58" t="n">
        <f aca="false">BQ48+BQ49+BQ50+BQ52+BQ55+BQ59</f>
        <v>-0</v>
      </c>
      <c r="BR63" s="58" t="n">
        <f aca="false">BR48+BR49+BR50+BR52+BR55+BR59</f>
        <v>-0</v>
      </c>
      <c r="BS63" s="58" t="n">
        <f aca="false">BS48+BS49+BS50+BS52+BS55+BS59</f>
        <v>-0</v>
      </c>
      <c r="BT63" s="58" t="n">
        <f aca="false">BT48+BT49+BT50+BT52+BT55+BT59</f>
        <v>-0</v>
      </c>
      <c r="BU63" s="58" t="n">
        <f aca="false">BU48+BU49+BU50+BU52+BU55+BU59</f>
        <v>-0</v>
      </c>
      <c r="BV63" s="58" t="n">
        <f aca="false">BV48+BV49+BV50+BV52+BV55+BV59</f>
        <v>-0</v>
      </c>
      <c r="BW63" s="58" t="n">
        <f aca="false">BW48+BW49+BW50+BW52+BW55+BW59</f>
        <v>-0</v>
      </c>
      <c r="BX63" s="58" t="n">
        <f aca="false">BX48+BX49+BX50+BX52+BX55+BX59</f>
        <v>-0</v>
      </c>
      <c r="BY63" s="58" t="n">
        <f aca="false">BY48+BY49+BY50+BY52+BY55+BY59</f>
        <v>-0</v>
      </c>
      <c r="BZ63" s="58" t="n">
        <f aca="false">BZ48+BZ49+BZ50+BZ52+BZ55+BZ59</f>
        <v>-0</v>
      </c>
      <c r="CA63" s="58" t="n">
        <f aca="false">CA48+CA49+CA50+CA52+CA55+CA59</f>
        <v>-0</v>
      </c>
      <c r="CB63" s="58" t="n">
        <f aca="false">CB48+CB49+CB50+CB52+CB55+CB59</f>
        <v>-0</v>
      </c>
      <c r="CC63" s="58" t="n">
        <f aca="false">CC48+CC49+CC50+CC52+CC55+CC59</f>
        <v>-0</v>
      </c>
      <c r="CD63" s="58" t="n">
        <f aca="false">CD48+CD49+CD50+CD52+CD55+CD59</f>
        <v>-0</v>
      </c>
      <c r="CE63" s="58" t="n">
        <f aca="false">CE48+CE49+CE50+CE52+CE55+CE59</f>
        <v>-0</v>
      </c>
      <c r="CF63" s="58" t="n">
        <f aca="false">CF48+CF49+CF50+CF52+CF55+CF59</f>
        <v>-0</v>
      </c>
      <c r="CG63" s="58" t="n">
        <f aca="false">CG48+CG49+CG50+CG52+CG55+CG59</f>
        <v>-0</v>
      </c>
      <c r="CH63" s="58" t="n">
        <f aca="false">CH48+CH49+CH50+CH52+CH55+CH59</f>
        <v>-0</v>
      </c>
      <c r="CI63" s="58" t="n">
        <f aca="false">CI48+CI49+CI50+CI52+CI55+CI59</f>
        <v>-0</v>
      </c>
      <c r="CJ63" s="58" t="n">
        <f aca="false">CJ48+CJ49+CJ50+CJ52+CJ55+CJ59</f>
        <v>-0</v>
      </c>
      <c r="CK63" s="58" t="n">
        <f aca="false">CK48+CK49+CK50+CK52+CK55+CK59</f>
        <v>-0</v>
      </c>
      <c r="CL63" s="58" t="n">
        <f aca="false">CL48+CL49+CL50+CL52+CL55+CL59</f>
        <v>-0</v>
      </c>
      <c r="CM63" s="58" t="n">
        <f aca="false">CM48+CM49+CM50+CM52+CM55+CM59</f>
        <v>-0</v>
      </c>
      <c r="CN63" s="58" t="n">
        <f aca="false">CN48+CN49+CN50+CN52+CN55+CN59</f>
        <v>-0</v>
      </c>
      <c r="CO63" s="58" t="n">
        <f aca="false">CO48+CO49+CO50+CO52+CO55+CO59</f>
        <v>-0</v>
      </c>
      <c r="CP63" s="58" t="n">
        <f aca="false">CP48+CP49+CP50+CP52+CP55+CP59</f>
        <v>-0</v>
      </c>
      <c r="CQ63" s="58" t="n">
        <f aca="false">CQ48+CQ49+CQ50+CQ52+CQ55+CQ59</f>
        <v>-0</v>
      </c>
      <c r="CR63" s="58" t="n">
        <f aca="false">CR48+CR49+CR50+CR52+CR55+CR59</f>
        <v>-0</v>
      </c>
      <c r="CS63" s="58" t="n">
        <f aca="false">CS48+CS49+CS50+CS52+CS55+CS59</f>
        <v>-0</v>
      </c>
      <c r="CT63" s="58" t="n">
        <f aca="false">CT48+CT49+CT50+CT52+CT55+CT59</f>
        <v>-0</v>
      </c>
      <c r="CU63" s="58" t="n">
        <f aca="false">CU48+CU49+CU50+CU52+CU55+CU59</f>
        <v>-0</v>
      </c>
      <c r="CV63" s="58" t="n">
        <f aca="false">CV48+CV49+CV50+CV52+CV55+CV59</f>
        <v>-0</v>
      </c>
      <c r="CW63" s="58" t="n">
        <f aca="false">CW48+CW49+CW50+CW52+CW55+CW59</f>
        <v>-0</v>
      </c>
      <c r="CX63" s="58" t="n">
        <f aca="false">CX48+CX49+CX50+CX52+CX55+CX59</f>
        <v>-0</v>
      </c>
      <c r="CY63" s="58" t="n">
        <f aca="false">CY48+CY49+CY50+CY52+CY55+CY59</f>
        <v>-0</v>
      </c>
      <c r="CZ63" s="58" t="n">
        <f aca="false">CZ48+CZ49+CZ50+CZ52+CZ55+CZ59</f>
        <v>-0</v>
      </c>
      <c r="DA63" s="58" t="n">
        <f aca="false">DA48+DA49+DA50+DA52+DA55+DA59</f>
        <v>-0</v>
      </c>
      <c r="DB63" s="58" t="n">
        <f aca="false">DB48+DB49+DB50+DB52+DB55+DB59</f>
        <v>-0</v>
      </c>
      <c r="DC63" s="58" t="n">
        <f aca="false">DC48+DC49+DC50+DC52+DC55+DC59</f>
        <v>-0</v>
      </c>
      <c r="DD63" s="58" t="n">
        <f aca="false">DD48+DD49+DD50+DD52+DD55+DD59</f>
        <v>-0</v>
      </c>
      <c r="DE63" s="58" t="n">
        <f aca="false">DE48+DE49+DE50+DE52+DE55+DE59</f>
        <v>-0</v>
      </c>
      <c r="DF63" s="58" t="n">
        <f aca="false">DF48+DF49+DF50+DF52+DF55+DF59</f>
        <v>-0</v>
      </c>
      <c r="DG63" s="58" t="n">
        <f aca="false">DG48+DG49+DG50+DG52+DG55+DG59</f>
        <v>-0</v>
      </c>
      <c r="DH63" s="58" t="n">
        <f aca="false">DH48+DH49+DH50+DH52+DH55+DH59</f>
        <v>-0</v>
      </c>
      <c r="DI63" s="58" t="n">
        <f aca="false">DI48+DI49+DI50+DI52+DI55+DI59</f>
        <v>-0</v>
      </c>
      <c r="DJ63" s="58" t="n">
        <f aca="false">DJ48+DJ49+DJ50+DJ52+DJ55+DJ59</f>
        <v>-0</v>
      </c>
      <c r="DK63" s="58" t="n">
        <f aca="false">DK48+DK49+DK50+DK52+DK55+DK59</f>
        <v>-0</v>
      </c>
      <c r="DL63" s="58" t="n">
        <f aca="false">DL48+DL49+DL50+DL52+DL55+DL59</f>
        <v>-0</v>
      </c>
      <c r="DM63" s="58" t="n">
        <f aca="false">DM48+DM49+DM50+DM52+DM55+DM59</f>
        <v>-0</v>
      </c>
      <c r="DN63" s="58" t="n">
        <f aca="false">DN48+DN49+DN50+DN52+DN55+DN59</f>
        <v>-0</v>
      </c>
      <c r="DO63" s="58" t="n">
        <f aca="false">DO48+DO49+DO50+DO52+DO55+DO59</f>
        <v>-0</v>
      </c>
      <c r="DP63" s="58" t="n">
        <f aca="false">DP48+DP49+DP50+DP52+DP55+DP59</f>
        <v>-0</v>
      </c>
      <c r="DQ63" s="58" t="n">
        <f aca="false">DQ48+DQ49+DQ50+DQ52+DQ55+DQ59</f>
        <v>-0</v>
      </c>
      <c r="DR63" s="58" t="n">
        <f aca="false">DR48+DR49+DR50+DR52+DR55+DR59</f>
        <v>-0</v>
      </c>
      <c r="DS63" s="58" t="n">
        <f aca="false">DS48+DS49+DS50+DS52+DS55+DS59</f>
        <v>-0</v>
      </c>
      <c r="DT63" s="58" t="n">
        <f aca="false">DT48+DT49+DT50+DT52+DT55+DT59</f>
        <v>-0</v>
      </c>
      <c r="DU63" s="58" t="n">
        <f aca="false">DU48+DU49+DU50+DU52+DU55+DU59</f>
        <v>-0</v>
      </c>
      <c r="DV63" s="58" t="n">
        <f aca="false">DV48+DV49+DV50+DV52+DV55+DV59</f>
        <v>-0</v>
      </c>
      <c r="DW63" s="58" t="n">
        <f aca="false">DW48+DW49+DW50+DW52+DW55+DW59</f>
        <v>-0</v>
      </c>
      <c r="DX63" s="58" t="n">
        <f aca="false">DX48+DX49+DX50+DX52+DX55+DX59</f>
        <v>-0</v>
      </c>
      <c r="DY63" s="58" t="n">
        <f aca="false">DY48+DY49+DY50+DY52+DY55+DY59</f>
        <v>-0</v>
      </c>
      <c r="DZ63" s="58" t="n">
        <f aca="false">DZ48+DZ49+DZ50+DZ52+DZ55+DZ59</f>
        <v>-0</v>
      </c>
      <c r="EA63" s="58" t="n">
        <f aca="false">EA48+EA49+EA50+EA52+EA55+EA59</f>
        <v>-0</v>
      </c>
      <c r="EB63" s="58" t="n">
        <f aca="false">EB48+EB49+EB50+EB52+EB55+EB59</f>
        <v>-0</v>
      </c>
      <c r="EC63" s="58" t="n">
        <f aca="false">EC48+EC49+EC50+EC52+EC55+EC59</f>
        <v>-0</v>
      </c>
      <c r="ED63" s="58" t="n">
        <f aca="false">ED48+ED49+ED50+ED52+ED55+ED59</f>
        <v>-0</v>
      </c>
      <c r="EE63" s="58" t="n">
        <f aca="false">EE48+EE49+EE50+EE52+EE55+EE59</f>
        <v>-0</v>
      </c>
      <c r="EF63" s="58" t="n">
        <f aca="false">EF48+EF49+EF50+EF52+EF55+EF59</f>
        <v>-0</v>
      </c>
      <c r="EG63" s="58" t="n">
        <f aca="false">EG48+EG49+EG50+EG52+EG55+EG59</f>
        <v>-0</v>
      </c>
      <c r="EH63" s="58" t="n">
        <f aca="false">EH48+EH49+EH50+EH52+EH55+EH59</f>
        <v>-0</v>
      </c>
      <c r="EI63" s="58" t="n">
        <f aca="false">EI48+EI49+EI50+EI52+EI55+EI59</f>
        <v>-0</v>
      </c>
      <c r="EJ63" s="58" t="n">
        <f aca="false">EJ48+EJ49+EJ50+EJ52+EJ55+EJ59</f>
        <v>-0</v>
      </c>
      <c r="EK63" s="58" t="n">
        <f aca="false">EK48+EK49+EK50+EK52+EK55+EK59</f>
        <v>-0</v>
      </c>
      <c r="EL63" s="58" t="n">
        <f aca="false">EL48+EL49+EL50+EL52+EL55+EL59</f>
        <v>-0</v>
      </c>
      <c r="EM63" s="58" t="n">
        <f aca="false">EM48+EM49+EM50+EM52+EM55+EM59</f>
        <v>-0</v>
      </c>
      <c r="EN63" s="58" t="n">
        <f aca="false">EN48+EN49+EN50+EN52+EN55+EN59</f>
        <v>-0</v>
      </c>
      <c r="EO63" s="58" t="n">
        <f aca="false">EO48+EO49+EO50+EO52+EO55+EO59</f>
        <v>-0</v>
      </c>
    </row>
    <row r="65" customFormat="false" ht="15" hidden="false" customHeight="false" outlineLevel="0" collapsed="false">
      <c r="A65" s="10" t="s">
        <v>13</v>
      </c>
      <c r="B65" s="10"/>
      <c r="C65" s="10" t="s">
        <v>460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customFormat="false" ht="15" hidden="false" customHeight="false" outlineLevel="0" collapsed="false">
      <c r="C66" s="1" t="s">
        <v>461</v>
      </c>
      <c r="D66" s="12" t="s">
        <v>19</v>
      </c>
      <c r="E66" s="49" t="n">
        <f aca="false">IF($E44=1,In_Turbine,In_Turbine_CN)</f>
        <v>500</v>
      </c>
    </row>
    <row r="67" customFormat="false" ht="15" hidden="false" customHeight="false" outlineLevel="0" collapsed="false">
      <c r="C67" s="1" t="s">
        <v>462</v>
      </c>
      <c r="D67" s="12" t="s">
        <v>33</v>
      </c>
      <c r="E67" s="49" t="n">
        <f aca="false">IF($E44=1,In_Substation,In_Substation_CN)</f>
        <v>10800</v>
      </c>
    </row>
    <row r="68" customFormat="false" ht="15" hidden="false" customHeight="false" outlineLevel="0" collapsed="false">
      <c r="C68" s="1" t="s">
        <v>463</v>
      </c>
      <c r="D68" s="12" t="s">
        <v>33</v>
      </c>
      <c r="E68" s="49" t="n">
        <f aca="false">(($E66+In_Other_Wind)*$F25+$E67)*(1+In_Capex_Contingency)+In_BESS_Capex*$E28*In_BESS_Built</f>
        <v>64716.25</v>
      </c>
      <c r="I68" s="49" t="n">
        <f aca="false">SUM(J68:EO68)</f>
        <v>-64716.25</v>
      </c>
      <c r="J68" s="49" t="n">
        <f aca="false">-$E68*J12</f>
        <v>-0</v>
      </c>
      <c r="K68" s="49" t="n">
        <f aca="false">-$E68*K12</f>
        <v>-0</v>
      </c>
      <c r="L68" s="49" t="n">
        <f aca="false">-$E68*L12</f>
        <v>-0</v>
      </c>
      <c r="M68" s="49" t="n">
        <f aca="false">-$E68*M12</f>
        <v>-0</v>
      </c>
      <c r="N68" s="49" t="n">
        <f aca="false">-$E68*N12</f>
        <v>-0</v>
      </c>
      <c r="O68" s="49" t="n">
        <f aca="false">-$E68*O12</f>
        <v>-0</v>
      </c>
      <c r="P68" s="49" t="n">
        <f aca="false">-$E68*P12</f>
        <v>-0</v>
      </c>
      <c r="Q68" s="49" t="n">
        <f aca="false">-$E68*Q12</f>
        <v>-0</v>
      </c>
      <c r="R68" s="49" t="n">
        <f aca="false">-$E68*R12</f>
        <v>-8156.02054794521</v>
      </c>
      <c r="S68" s="49" t="n">
        <f aca="false">-$E68*S12</f>
        <v>-7978.71575342466</v>
      </c>
      <c r="T68" s="49" t="n">
        <f aca="false">-$E68*T12</f>
        <v>-8067.36815068493</v>
      </c>
      <c r="U68" s="49" t="n">
        <f aca="false">-$E68*U12</f>
        <v>-8156.02054794521</v>
      </c>
      <c r="V68" s="49" t="n">
        <f aca="false">-$E68*V12</f>
        <v>-8156.02054794521</v>
      </c>
      <c r="W68" s="49" t="n">
        <f aca="false">-$E68*W12</f>
        <v>-7978.71575342466</v>
      </c>
      <c r="X68" s="49" t="n">
        <f aca="false">-$E68*X12</f>
        <v>-8067.36815068493</v>
      </c>
      <c r="Y68" s="49" t="n">
        <f aca="false">-$E68*Y12</f>
        <v>-8156.02054794521</v>
      </c>
      <c r="Z68" s="49" t="n">
        <f aca="false">-$E68*Z12</f>
        <v>-0</v>
      </c>
      <c r="AA68" s="49" t="n">
        <f aca="false">-$E68*AA12</f>
        <v>-0</v>
      </c>
      <c r="AB68" s="49" t="n">
        <f aca="false">-$E68*AB12</f>
        <v>-0</v>
      </c>
      <c r="AC68" s="49" t="n">
        <f aca="false">-$E68*AC12</f>
        <v>-0</v>
      </c>
      <c r="AD68" s="49" t="n">
        <f aca="false">-$E68*AD12</f>
        <v>-0</v>
      </c>
      <c r="AE68" s="49" t="n">
        <f aca="false">-$E68*AE12</f>
        <v>-0</v>
      </c>
      <c r="AF68" s="49" t="n">
        <f aca="false">-$E68*AF12</f>
        <v>-0</v>
      </c>
      <c r="AG68" s="49" t="n">
        <f aca="false">-$E68*AG12</f>
        <v>-0</v>
      </c>
      <c r="AH68" s="49" t="n">
        <f aca="false">-$E68*AH12</f>
        <v>-0</v>
      </c>
      <c r="AI68" s="49" t="n">
        <f aca="false">-$E68*AI12</f>
        <v>-0</v>
      </c>
      <c r="AJ68" s="49" t="n">
        <f aca="false">-$E68*AJ12</f>
        <v>-0</v>
      </c>
      <c r="AK68" s="49" t="n">
        <f aca="false">-$E68*AK12</f>
        <v>-0</v>
      </c>
      <c r="AL68" s="49" t="n">
        <f aca="false">-$E68*AL12</f>
        <v>-0</v>
      </c>
      <c r="AM68" s="49" t="n">
        <f aca="false">-$E68*AM12</f>
        <v>-0</v>
      </c>
      <c r="AN68" s="49" t="n">
        <f aca="false">-$E68*AN12</f>
        <v>-0</v>
      </c>
      <c r="AO68" s="49" t="n">
        <f aca="false">-$E68*AO12</f>
        <v>-0</v>
      </c>
      <c r="AP68" s="49" t="n">
        <f aca="false">-$E68*AP12</f>
        <v>-0</v>
      </c>
      <c r="AQ68" s="49" t="n">
        <f aca="false">-$E68*AQ12</f>
        <v>-0</v>
      </c>
      <c r="AR68" s="49" t="n">
        <f aca="false">-$E68*AR12</f>
        <v>-0</v>
      </c>
      <c r="AS68" s="49" t="n">
        <f aca="false">-$E68*AS12</f>
        <v>-0</v>
      </c>
      <c r="AT68" s="49" t="n">
        <f aca="false">-$E68*AT12</f>
        <v>-0</v>
      </c>
      <c r="AU68" s="49" t="n">
        <f aca="false">-$E68*AU12</f>
        <v>-0</v>
      </c>
      <c r="AV68" s="49" t="n">
        <f aca="false">-$E68*AV12</f>
        <v>-0</v>
      </c>
      <c r="AW68" s="49" t="n">
        <f aca="false">-$E68*AW12</f>
        <v>-0</v>
      </c>
      <c r="AX68" s="49" t="n">
        <f aca="false">-$E68*AX12</f>
        <v>-0</v>
      </c>
      <c r="AY68" s="49" t="n">
        <f aca="false">-$E68*AY12</f>
        <v>-0</v>
      </c>
      <c r="AZ68" s="49" t="n">
        <f aca="false">-$E68*AZ12</f>
        <v>-0</v>
      </c>
      <c r="BA68" s="49" t="n">
        <f aca="false">-$E68*BA12</f>
        <v>-0</v>
      </c>
      <c r="BB68" s="49" t="n">
        <f aca="false">-$E68*BB12</f>
        <v>-0</v>
      </c>
      <c r="BC68" s="49" t="n">
        <f aca="false">-$E68*BC12</f>
        <v>-0</v>
      </c>
      <c r="BD68" s="49" t="n">
        <f aca="false">-$E68*BD12</f>
        <v>-0</v>
      </c>
      <c r="BE68" s="49" t="n">
        <f aca="false">-$E68*BE12</f>
        <v>-0</v>
      </c>
      <c r="BF68" s="49" t="n">
        <f aca="false">-$E68*BF12</f>
        <v>-0</v>
      </c>
      <c r="BG68" s="49" t="n">
        <f aca="false">-$E68*BG12</f>
        <v>-0</v>
      </c>
      <c r="BH68" s="49" t="n">
        <f aca="false">-$E68*BH12</f>
        <v>-0</v>
      </c>
      <c r="BI68" s="49" t="n">
        <f aca="false">-$E68*BI12</f>
        <v>-0</v>
      </c>
      <c r="BJ68" s="49" t="n">
        <f aca="false">-$E68*BJ12</f>
        <v>-0</v>
      </c>
      <c r="BK68" s="49" t="n">
        <f aca="false">-$E68*BK12</f>
        <v>-0</v>
      </c>
      <c r="BL68" s="49" t="n">
        <f aca="false">-$E68*BL12</f>
        <v>-0</v>
      </c>
      <c r="BM68" s="49" t="n">
        <f aca="false">-$E68*BM12</f>
        <v>-0</v>
      </c>
      <c r="BN68" s="49" t="n">
        <f aca="false">-$E68*BN12</f>
        <v>-0</v>
      </c>
      <c r="BO68" s="49" t="n">
        <f aca="false">-$E68*BO12</f>
        <v>-0</v>
      </c>
      <c r="BP68" s="49" t="n">
        <f aca="false">-$E68*BP12</f>
        <v>-0</v>
      </c>
      <c r="BQ68" s="49" t="n">
        <f aca="false">-$E68*BQ12</f>
        <v>-0</v>
      </c>
      <c r="BR68" s="49" t="n">
        <f aca="false">-$E68*BR12</f>
        <v>-0</v>
      </c>
      <c r="BS68" s="49" t="n">
        <f aca="false">-$E68*BS12</f>
        <v>-0</v>
      </c>
      <c r="BT68" s="49" t="n">
        <f aca="false">-$E68*BT12</f>
        <v>-0</v>
      </c>
      <c r="BU68" s="49" t="n">
        <f aca="false">-$E68*BU12</f>
        <v>-0</v>
      </c>
      <c r="BV68" s="49" t="n">
        <f aca="false">-$E68*BV12</f>
        <v>-0</v>
      </c>
      <c r="BW68" s="49" t="n">
        <f aca="false">-$E68*BW12</f>
        <v>-0</v>
      </c>
      <c r="BX68" s="49" t="n">
        <f aca="false">-$E68*BX12</f>
        <v>-0</v>
      </c>
      <c r="BY68" s="49" t="n">
        <f aca="false">-$E68*BY12</f>
        <v>-0</v>
      </c>
      <c r="BZ68" s="49" t="n">
        <f aca="false">-$E68*BZ12</f>
        <v>-0</v>
      </c>
      <c r="CA68" s="49" t="n">
        <f aca="false">-$E68*CA12</f>
        <v>-0</v>
      </c>
      <c r="CB68" s="49" t="n">
        <f aca="false">-$E68*CB12</f>
        <v>-0</v>
      </c>
      <c r="CC68" s="49" t="n">
        <f aca="false">-$E68*CC12</f>
        <v>-0</v>
      </c>
      <c r="CD68" s="49" t="n">
        <f aca="false">-$E68*CD12</f>
        <v>-0</v>
      </c>
      <c r="CE68" s="49" t="n">
        <f aca="false">-$E68*CE12</f>
        <v>-0</v>
      </c>
      <c r="CF68" s="49" t="n">
        <f aca="false">-$E68*CF12</f>
        <v>-0</v>
      </c>
      <c r="CG68" s="49" t="n">
        <f aca="false">-$E68*CG12</f>
        <v>-0</v>
      </c>
      <c r="CH68" s="49" t="n">
        <f aca="false">-$E68*CH12</f>
        <v>-0</v>
      </c>
      <c r="CI68" s="49" t="n">
        <f aca="false">-$E68*CI12</f>
        <v>-0</v>
      </c>
      <c r="CJ68" s="49" t="n">
        <f aca="false">-$E68*CJ12</f>
        <v>-0</v>
      </c>
      <c r="CK68" s="49" t="n">
        <f aca="false">-$E68*CK12</f>
        <v>-0</v>
      </c>
      <c r="CL68" s="49" t="n">
        <f aca="false">-$E68*CL12</f>
        <v>-0</v>
      </c>
      <c r="CM68" s="49" t="n">
        <f aca="false">-$E68*CM12</f>
        <v>-0</v>
      </c>
      <c r="CN68" s="49" t="n">
        <f aca="false">-$E68*CN12</f>
        <v>-0</v>
      </c>
      <c r="CO68" s="49" t="n">
        <f aca="false">-$E68*CO12</f>
        <v>-0</v>
      </c>
      <c r="CP68" s="49" t="n">
        <f aca="false">-$E68*CP12</f>
        <v>-0</v>
      </c>
      <c r="CQ68" s="49" t="n">
        <f aca="false">-$E68*CQ12</f>
        <v>-0</v>
      </c>
      <c r="CR68" s="49" t="n">
        <f aca="false">-$E68*CR12</f>
        <v>-0</v>
      </c>
      <c r="CS68" s="49" t="n">
        <f aca="false">-$E68*CS12</f>
        <v>-0</v>
      </c>
      <c r="CT68" s="49" t="n">
        <f aca="false">-$E68*CT12</f>
        <v>-0</v>
      </c>
      <c r="CU68" s="49" t="n">
        <f aca="false">-$E68*CU12</f>
        <v>-0</v>
      </c>
      <c r="CV68" s="49" t="n">
        <f aca="false">-$E68*CV12</f>
        <v>-0</v>
      </c>
      <c r="CW68" s="49" t="n">
        <f aca="false">-$E68*CW12</f>
        <v>-0</v>
      </c>
      <c r="CX68" s="49" t="n">
        <f aca="false">-$E68*CX12</f>
        <v>-0</v>
      </c>
      <c r="CY68" s="49" t="n">
        <f aca="false">-$E68*CY12</f>
        <v>-0</v>
      </c>
      <c r="CZ68" s="49" t="n">
        <f aca="false">-$E68*CZ12</f>
        <v>-0</v>
      </c>
      <c r="DA68" s="49" t="n">
        <f aca="false">-$E68*DA12</f>
        <v>-0</v>
      </c>
      <c r="DB68" s="49" t="n">
        <f aca="false">-$E68*DB12</f>
        <v>-0</v>
      </c>
      <c r="DC68" s="49" t="n">
        <f aca="false">-$E68*DC12</f>
        <v>-0</v>
      </c>
      <c r="DD68" s="49" t="n">
        <f aca="false">-$E68*DD12</f>
        <v>-0</v>
      </c>
      <c r="DE68" s="49" t="n">
        <f aca="false">-$E68*DE12</f>
        <v>-0</v>
      </c>
      <c r="DF68" s="49" t="n">
        <f aca="false">-$E68*DF12</f>
        <v>-0</v>
      </c>
      <c r="DG68" s="49" t="n">
        <f aca="false">-$E68*DG12</f>
        <v>-0</v>
      </c>
      <c r="DH68" s="49" t="n">
        <f aca="false">-$E68*DH12</f>
        <v>-0</v>
      </c>
      <c r="DI68" s="49" t="n">
        <f aca="false">-$E68*DI12</f>
        <v>-0</v>
      </c>
      <c r="DJ68" s="49" t="n">
        <f aca="false">-$E68*DJ12</f>
        <v>-0</v>
      </c>
      <c r="DK68" s="49" t="n">
        <f aca="false">-$E68*DK12</f>
        <v>-0</v>
      </c>
      <c r="DL68" s="49" t="n">
        <f aca="false">-$E68*DL12</f>
        <v>-0</v>
      </c>
      <c r="DM68" s="49" t="n">
        <f aca="false">-$E68*DM12</f>
        <v>-0</v>
      </c>
      <c r="DN68" s="49" t="n">
        <f aca="false">-$E68*DN12</f>
        <v>-0</v>
      </c>
      <c r="DO68" s="49" t="n">
        <f aca="false">-$E68*DO12</f>
        <v>-0</v>
      </c>
      <c r="DP68" s="49" t="n">
        <f aca="false">-$E68*DP12</f>
        <v>-0</v>
      </c>
      <c r="DQ68" s="49" t="n">
        <f aca="false">-$E68*DQ12</f>
        <v>-0</v>
      </c>
      <c r="DR68" s="49" t="n">
        <f aca="false">-$E68*DR12</f>
        <v>-0</v>
      </c>
      <c r="DS68" s="49" t="n">
        <f aca="false">-$E68*DS12</f>
        <v>-0</v>
      </c>
      <c r="DT68" s="49" t="n">
        <f aca="false">-$E68*DT12</f>
        <v>-0</v>
      </c>
      <c r="DU68" s="49" t="n">
        <f aca="false">-$E68*DU12</f>
        <v>-0</v>
      </c>
      <c r="DV68" s="49" t="n">
        <f aca="false">-$E68*DV12</f>
        <v>-0</v>
      </c>
      <c r="DW68" s="49" t="n">
        <f aca="false">-$E68*DW12</f>
        <v>-0</v>
      </c>
      <c r="DX68" s="49" t="n">
        <f aca="false">-$E68*DX12</f>
        <v>-0</v>
      </c>
      <c r="DY68" s="49" t="n">
        <f aca="false">-$E68*DY12</f>
        <v>-0</v>
      </c>
      <c r="DZ68" s="49" t="n">
        <f aca="false">-$E68*DZ12</f>
        <v>-0</v>
      </c>
      <c r="EA68" s="49" t="n">
        <f aca="false">-$E68*EA12</f>
        <v>-0</v>
      </c>
      <c r="EB68" s="49" t="n">
        <f aca="false">-$E68*EB12</f>
        <v>-0</v>
      </c>
      <c r="EC68" s="49" t="n">
        <f aca="false">-$E68*EC12</f>
        <v>-0</v>
      </c>
      <c r="ED68" s="49" t="n">
        <f aca="false">-$E68*ED12</f>
        <v>-0</v>
      </c>
      <c r="EE68" s="49" t="n">
        <f aca="false">-$E68*EE12</f>
        <v>-0</v>
      </c>
      <c r="EF68" s="49" t="n">
        <f aca="false">-$E68*EF12</f>
        <v>-0</v>
      </c>
      <c r="EG68" s="49" t="n">
        <f aca="false">-$E68*EG12</f>
        <v>-0</v>
      </c>
      <c r="EH68" s="49" t="n">
        <f aca="false">-$E68*EH12</f>
        <v>-0</v>
      </c>
      <c r="EI68" s="49" t="n">
        <f aca="false">-$E68*EI12</f>
        <v>-0</v>
      </c>
      <c r="EJ68" s="49" t="n">
        <f aca="false">-$E68*EJ12</f>
        <v>-0</v>
      </c>
      <c r="EK68" s="49" t="n">
        <f aca="false">-$E68*EK12</f>
        <v>-0</v>
      </c>
      <c r="EL68" s="49" t="n">
        <f aca="false">-$E68*EL12</f>
        <v>-0</v>
      </c>
      <c r="EM68" s="49" t="n">
        <f aca="false">-$E68*EM12</f>
        <v>-0</v>
      </c>
      <c r="EN68" s="49" t="n">
        <f aca="false">-$E68*EN12</f>
        <v>-0</v>
      </c>
      <c r="EO68" s="49" t="n">
        <f aca="false">-$E68*EO12</f>
        <v>-0</v>
      </c>
    </row>
    <row r="69" customFormat="false" ht="15" hidden="false" customHeight="false" outlineLevel="0" collapsed="false">
      <c r="C69" s="1" t="s">
        <v>464</v>
      </c>
      <c r="D69" s="12" t="s">
        <v>33</v>
      </c>
      <c r="E69" s="49" t="n">
        <f aca="false">$E34*In_MVA*In_Deliver</f>
        <v>2500</v>
      </c>
      <c r="I69" s="49" t="n">
        <f aca="false">SUM(J69:EO69)</f>
        <v>-2500</v>
      </c>
      <c r="J69" s="49" t="n">
        <f aca="false">-$E69*J14</f>
        <v>-0</v>
      </c>
      <c r="K69" s="49" t="n">
        <f aca="false">-$E69*K14</f>
        <v>-0</v>
      </c>
      <c r="L69" s="49" t="n">
        <f aca="false">-$E69*L14</f>
        <v>-0</v>
      </c>
      <c r="M69" s="49" t="n">
        <f aca="false">-$E69*M14</f>
        <v>-0</v>
      </c>
      <c r="N69" s="49" t="n">
        <f aca="false">-$E69*N14</f>
        <v>-0</v>
      </c>
      <c r="O69" s="49" t="n">
        <f aca="false">-$E69*O14</f>
        <v>-0</v>
      </c>
      <c r="P69" s="49" t="n">
        <f aca="false">-$E69*P14</f>
        <v>-0</v>
      </c>
      <c r="Q69" s="49" t="n">
        <f aca="false">-$E69*Q14</f>
        <v>-0</v>
      </c>
      <c r="R69" s="49" t="n">
        <f aca="false">-$E69*R14</f>
        <v>-0</v>
      </c>
      <c r="S69" s="49" t="n">
        <f aca="false">-$E69*S14</f>
        <v>-0</v>
      </c>
      <c r="T69" s="49" t="n">
        <f aca="false">-$E69*T14</f>
        <v>-0</v>
      </c>
      <c r="U69" s="49" t="n">
        <f aca="false">-$E69*U14</f>
        <v>-0</v>
      </c>
      <c r="V69" s="49" t="n">
        <f aca="false">-$E69*V14</f>
        <v>-0</v>
      </c>
      <c r="W69" s="49" t="n">
        <f aca="false">-$E69*W14</f>
        <v>-0</v>
      </c>
      <c r="X69" s="49" t="n">
        <f aca="false">-$E69*X14</f>
        <v>-0</v>
      </c>
      <c r="Y69" s="49" t="n">
        <f aca="false">-$E69*Y14</f>
        <v>-2500</v>
      </c>
      <c r="Z69" s="49" t="n">
        <f aca="false">-$E69*Z14</f>
        <v>-0</v>
      </c>
      <c r="AA69" s="49" t="n">
        <f aca="false">-$E69*AA14</f>
        <v>-0</v>
      </c>
      <c r="AB69" s="49" t="n">
        <f aca="false">-$E69*AB14</f>
        <v>-0</v>
      </c>
      <c r="AC69" s="49" t="n">
        <f aca="false">-$E69*AC14</f>
        <v>-0</v>
      </c>
      <c r="AD69" s="49" t="n">
        <f aca="false">-$E69*AD14</f>
        <v>-0</v>
      </c>
      <c r="AE69" s="49" t="n">
        <f aca="false">-$E69*AE14</f>
        <v>-0</v>
      </c>
      <c r="AF69" s="49" t="n">
        <f aca="false">-$E69*AF14</f>
        <v>-0</v>
      </c>
      <c r="AG69" s="49" t="n">
        <f aca="false">-$E69*AG14</f>
        <v>-0</v>
      </c>
      <c r="AH69" s="49" t="n">
        <f aca="false">-$E69*AH14</f>
        <v>-0</v>
      </c>
      <c r="AI69" s="49" t="n">
        <f aca="false">-$E69*AI14</f>
        <v>-0</v>
      </c>
      <c r="AJ69" s="49" t="n">
        <f aca="false">-$E69*AJ14</f>
        <v>-0</v>
      </c>
      <c r="AK69" s="49" t="n">
        <f aca="false">-$E69*AK14</f>
        <v>-0</v>
      </c>
      <c r="AL69" s="49" t="n">
        <f aca="false">-$E69*AL14</f>
        <v>-0</v>
      </c>
      <c r="AM69" s="49" t="n">
        <f aca="false">-$E69*AM14</f>
        <v>-0</v>
      </c>
      <c r="AN69" s="49" t="n">
        <f aca="false">-$E69*AN14</f>
        <v>-0</v>
      </c>
      <c r="AO69" s="49" t="n">
        <f aca="false">-$E69*AO14</f>
        <v>-0</v>
      </c>
      <c r="AP69" s="49" t="n">
        <f aca="false">-$E69*AP14</f>
        <v>-0</v>
      </c>
      <c r="AQ69" s="49" t="n">
        <f aca="false">-$E69*AQ14</f>
        <v>-0</v>
      </c>
      <c r="AR69" s="49" t="n">
        <f aca="false">-$E69*AR14</f>
        <v>-0</v>
      </c>
      <c r="AS69" s="49" t="n">
        <f aca="false">-$E69*AS14</f>
        <v>-0</v>
      </c>
      <c r="AT69" s="49" t="n">
        <f aca="false">-$E69*AT14</f>
        <v>-0</v>
      </c>
      <c r="AU69" s="49" t="n">
        <f aca="false">-$E69*AU14</f>
        <v>-0</v>
      </c>
      <c r="AV69" s="49" t="n">
        <f aca="false">-$E69*AV14</f>
        <v>-0</v>
      </c>
      <c r="AW69" s="49" t="n">
        <f aca="false">-$E69*AW14</f>
        <v>-0</v>
      </c>
      <c r="AX69" s="49" t="n">
        <f aca="false">-$E69*AX14</f>
        <v>-0</v>
      </c>
      <c r="AY69" s="49" t="n">
        <f aca="false">-$E69*AY14</f>
        <v>-0</v>
      </c>
      <c r="AZ69" s="49" t="n">
        <f aca="false">-$E69*AZ14</f>
        <v>-0</v>
      </c>
      <c r="BA69" s="49" t="n">
        <f aca="false">-$E69*BA14</f>
        <v>-0</v>
      </c>
      <c r="BB69" s="49" t="n">
        <f aca="false">-$E69*BB14</f>
        <v>-0</v>
      </c>
      <c r="BC69" s="49" t="n">
        <f aca="false">-$E69*BC14</f>
        <v>-0</v>
      </c>
      <c r="BD69" s="49" t="n">
        <f aca="false">-$E69*BD14</f>
        <v>-0</v>
      </c>
      <c r="BE69" s="49" t="n">
        <f aca="false">-$E69*BE14</f>
        <v>-0</v>
      </c>
      <c r="BF69" s="49" t="n">
        <f aca="false">-$E69*BF14</f>
        <v>-0</v>
      </c>
      <c r="BG69" s="49" t="n">
        <f aca="false">-$E69*BG14</f>
        <v>-0</v>
      </c>
      <c r="BH69" s="49" t="n">
        <f aca="false">-$E69*BH14</f>
        <v>-0</v>
      </c>
      <c r="BI69" s="49" t="n">
        <f aca="false">-$E69*BI14</f>
        <v>-0</v>
      </c>
      <c r="BJ69" s="49" t="n">
        <f aca="false">-$E69*BJ14</f>
        <v>-0</v>
      </c>
      <c r="BK69" s="49" t="n">
        <f aca="false">-$E69*BK14</f>
        <v>-0</v>
      </c>
      <c r="BL69" s="49" t="n">
        <f aca="false">-$E69*BL14</f>
        <v>-0</v>
      </c>
      <c r="BM69" s="49" t="n">
        <f aca="false">-$E69*BM14</f>
        <v>-0</v>
      </c>
      <c r="BN69" s="49" t="n">
        <f aca="false">-$E69*BN14</f>
        <v>-0</v>
      </c>
      <c r="BO69" s="49" t="n">
        <f aca="false">-$E69*BO14</f>
        <v>-0</v>
      </c>
      <c r="BP69" s="49" t="n">
        <f aca="false">-$E69*BP14</f>
        <v>-0</v>
      </c>
      <c r="BQ69" s="49" t="n">
        <f aca="false">-$E69*BQ14</f>
        <v>-0</v>
      </c>
      <c r="BR69" s="49" t="n">
        <f aca="false">-$E69*BR14</f>
        <v>-0</v>
      </c>
      <c r="BS69" s="49" t="n">
        <f aca="false">-$E69*BS14</f>
        <v>-0</v>
      </c>
      <c r="BT69" s="49" t="n">
        <f aca="false">-$E69*BT14</f>
        <v>-0</v>
      </c>
      <c r="BU69" s="49" t="n">
        <f aca="false">-$E69*BU14</f>
        <v>-0</v>
      </c>
      <c r="BV69" s="49" t="n">
        <f aca="false">-$E69*BV14</f>
        <v>-0</v>
      </c>
      <c r="BW69" s="49" t="n">
        <f aca="false">-$E69*BW14</f>
        <v>-0</v>
      </c>
      <c r="BX69" s="49" t="n">
        <f aca="false">-$E69*BX14</f>
        <v>-0</v>
      </c>
      <c r="BY69" s="49" t="n">
        <f aca="false">-$E69*BY14</f>
        <v>-0</v>
      </c>
      <c r="BZ69" s="49" t="n">
        <f aca="false">-$E69*BZ14</f>
        <v>-0</v>
      </c>
      <c r="CA69" s="49" t="n">
        <f aca="false">-$E69*CA14</f>
        <v>-0</v>
      </c>
      <c r="CB69" s="49" t="n">
        <f aca="false">-$E69*CB14</f>
        <v>-0</v>
      </c>
      <c r="CC69" s="49" t="n">
        <f aca="false">-$E69*CC14</f>
        <v>-0</v>
      </c>
      <c r="CD69" s="49" t="n">
        <f aca="false">-$E69*CD14</f>
        <v>-0</v>
      </c>
      <c r="CE69" s="49" t="n">
        <f aca="false">-$E69*CE14</f>
        <v>-0</v>
      </c>
      <c r="CF69" s="49" t="n">
        <f aca="false">-$E69*CF14</f>
        <v>-0</v>
      </c>
      <c r="CG69" s="49" t="n">
        <f aca="false">-$E69*CG14</f>
        <v>-0</v>
      </c>
      <c r="CH69" s="49" t="n">
        <f aca="false">-$E69*CH14</f>
        <v>-0</v>
      </c>
      <c r="CI69" s="49" t="n">
        <f aca="false">-$E69*CI14</f>
        <v>-0</v>
      </c>
      <c r="CJ69" s="49" t="n">
        <f aca="false">-$E69*CJ14</f>
        <v>-0</v>
      </c>
      <c r="CK69" s="49" t="n">
        <f aca="false">-$E69*CK14</f>
        <v>-0</v>
      </c>
      <c r="CL69" s="49" t="n">
        <f aca="false">-$E69*CL14</f>
        <v>-0</v>
      </c>
      <c r="CM69" s="49" t="n">
        <f aca="false">-$E69*CM14</f>
        <v>-0</v>
      </c>
      <c r="CN69" s="49" t="n">
        <f aca="false">-$E69*CN14</f>
        <v>-0</v>
      </c>
      <c r="CO69" s="49" t="n">
        <f aca="false">-$E69*CO14</f>
        <v>-0</v>
      </c>
      <c r="CP69" s="49" t="n">
        <f aca="false">-$E69*CP14</f>
        <v>-0</v>
      </c>
      <c r="CQ69" s="49" t="n">
        <f aca="false">-$E69*CQ14</f>
        <v>-0</v>
      </c>
      <c r="CR69" s="49" t="n">
        <f aca="false">-$E69*CR14</f>
        <v>-0</v>
      </c>
      <c r="CS69" s="49" t="n">
        <f aca="false">-$E69*CS14</f>
        <v>-0</v>
      </c>
      <c r="CT69" s="49" t="n">
        <f aca="false">-$E69*CT14</f>
        <v>-0</v>
      </c>
      <c r="CU69" s="49" t="n">
        <f aca="false">-$E69*CU14</f>
        <v>-0</v>
      </c>
      <c r="CV69" s="49" t="n">
        <f aca="false">-$E69*CV14</f>
        <v>-0</v>
      </c>
      <c r="CW69" s="49" t="n">
        <f aca="false">-$E69*CW14</f>
        <v>-0</v>
      </c>
      <c r="CX69" s="49" t="n">
        <f aca="false">-$E69*CX14</f>
        <v>-0</v>
      </c>
      <c r="CY69" s="49" t="n">
        <f aca="false">-$E69*CY14</f>
        <v>-0</v>
      </c>
      <c r="CZ69" s="49" t="n">
        <f aca="false">-$E69*CZ14</f>
        <v>-0</v>
      </c>
      <c r="DA69" s="49" t="n">
        <f aca="false">-$E69*DA14</f>
        <v>-0</v>
      </c>
      <c r="DB69" s="49" t="n">
        <f aca="false">-$E69*DB14</f>
        <v>-0</v>
      </c>
      <c r="DC69" s="49" t="n">
        <f aca="false">-$E69*DC14</f>
        <v>-0</v>
      </c>
      <c r="DD69" s="49" t="n">
        <f aca="false">-$E69*DD14</f>
        <v>-0</v>
      </c>
      <c r="DE69" s="49" t="n">
        <f aca="false">-$E69*DE14</f>
        <v>-0</v>
      </c>
      <c r="DF69" s="49" t="n">
        <f aca="false">-$E69*DF14</f>
        <v>-0</v>
      </c>
      <c r="DG69" s="49" t="n">
        <f aca="false">-$E69*DG14</f>
        <v>-0</v>
      </c>
      <c r="DH69" s="49" t="n">
        <f aca="false">-$E69*DH14</f>
        <v>-0</v>
      </c>
      <c r="DI69" s="49" t="n">
        <f aca="false">-$E69*DI14</f>
        <v>-0</v>
      </c>
      <c r="DJ69" s="49" t="n">
        <f aca="false">-$E69*DJ14</f>
        <v>-0</v>
      </c>
      <c r="DK69" s="49" t="n">
        <f aca="false">-$E69*DK14</f>
        <v>-0</v>
      </c>
      <c r="DL69" s="49" t="n">
        <f aca="false">-$E69*DL14</f>
        <v>-0</v>
      </c>
      <c r="DM69" s="49" t="n">
        <f aca="false">-$E69*DM14</f>
        <v>-0</v>
      </c>
      <c r="DN69" s="49" t="n">
        <f aca="false">-$E69*DN14</f>
        <v>-0</v>
      </c>
      <c r="DO69" s="49" t="n">
        <f aca="false">-$E69*DO14</f>
        <v>-0</v>
      </c>
      <c r="DP69" s="49" t="n">
        <f aca="false">-$E69*DP14</f>
        <v>-0</v>
      </c>
      <c r="DQ69" s="49" t="n">
        <f aca="false">-$E69*DQ14</f>
        <v>-0</v>
      </c>
      <c r="DR69" s="49" t="n">
        <f aca="false">-$E69*DR14</f>
        <v>-0</v>
      </c>
      <c r="DS69" s="49" t="n">
        <f aca="false">-$E69*DS14</f>
        <v>-0</v>
      </c>
      <c r="DT69" s="49" t="n">
        <f aca="false">-$E69*DT14</f>
        <v>-0</v>
      </c>
      <c r="DU69" s="49" t="n">
        <f aca="false">-$E69*DU14</f>
        <v>-0</v>
      </c>
      <c r="DV69" s="49" t="n">
        <f aca="false">-$E69*DV14</f>
        <v>-0</v>
      </c>
      <c r="DW69" s="49" t="n">
        <f aca="false">-$E69*DW14</f>
        <v>-0</v>
      </c>
      <c r="DX69" s="49" t="n">
        <f aca="false">-$E69*DX14</f>
        <v>-0</v>
      </c>
      <c r="DY69" s="49" t="n">
        <f aca="false">-$E69*DY14</f>
        <v>-0</v>
      </c>
      <c r="DZ69" s="49" t="n">
        <f aca="false">-$E69*DZ14</f>
        <v>-0</v>
      </c>
      <c r="EA69" s="49" t="n">
        <f aca="false">-$E69*EA14</f>
        <v>-0</v>
      </c>
      <c r="EB69" s="49" t="n">
        <f aca="false">-$E69*EB14</f>
        <v>-0</v>
      </c>
      <c r="EC69" s="49" t="n">
        <f aca="false">-$E69*EC14</f>
        <v>-0</v>
      </c>
      <c r="ED69" s="49" t="n">
        <f aca="false">-$E69*ED14</f>
        <v>-0</v>
      </c>
      <c r="EE69" s="49" t="n">
        <f aca="false">-$E69*EE14</f>
        <v>-0</v>
      </c>
      <c r="EF69" s="49" t="n">
        <f aca="false">-$E69*EF14</f>
        <v>-0</v>
      </c>
      <c r="EG69" s="49" t="n">
        <f aca="false">-$E69*EG14</f>
        <v>-0</v>
      </c>
      <c r="EH69" s="49" t="n">
        <f aca="false">-$E69*EH14</f>
        <v>-0</v>
      </c>
      <c r="EI69" s="49" t="n">
        <f aca="false">-$E69*EI14</f>
        <v>-0</v>
      </c>
      <c r="EJ69" s="49" t="n">
        <f aca="false">-$E69*EJ14</f>
        <v>-0</v>
      </c>
      <c r="EK69" s="49" t="n">
        <f aca="false">-$E69*EK14</f>
        <v>-0</v>
      </c>
      <c r="EL69" s="49" t="n">
        <f aca="false">-$E69*EL14</f>
        <v>-0</v>
      </c>
      <c r="EM69" s="49" t="n">
        <f aca="false">-$E69*EM14</f>
        <v>-0</v>
      </c>
      <c r="EN69" s="49" t="n">
        <f aca="false">-$E69*EN14</f>
        <v>-0</v>
      </c>
      <c r="EO69" s="49" t="n">
        <f aca="false">-$E69*EO14</f>
        <v>-0</v>
      </c>
    </row>
    <row r="70" customFormat="false" ht="15" hidden="false" customHeight="false" outlineLevel="0" collapsed="false">
      <c r="C70" s="26" t="s">
        <v>465</v>
      </c>
      <c r="D70" s="12" t="s">
        <v>33</v>
      </c>
      <c r="E70" s="58" t="n">
        <f aca="false">SUMPRODUCT($J70:$EO70/$J22:$EO22)*$E22</f>
        <v>-78904.2480519649</v>
      </c>
      <c r="I70" s="58" t="n">
        <f aca="false">SUM(J70:EO70)</f>
        <v>-75371.0731506849</v>
      </c>
      <c r="J70" s="58" t="n">
        <f aca="false">J68+J58+J69</f>
        <v>-0</v>
      </c>
      <c r="K70" s="58" t="n">
        <f aca="false">K68+K58+K69</f>
        <v>-0</v>
      </c>
      <c r="L70" s="58" t="n">
        <f aca="false">L68+L58+L69</f>
        <v>-0</v>
      </c>
      <c r="M70" s="58" t="n">
        <f aca="false">M68+M58+M69</f>
        <v>-0</v>
      </c>
      <c r="N70" s="58" t="n">
        <f aca="false">N68+N58+N69</f>
        <v>-0</v>
      </c>
      <c r="O70" s="58" t="n">
        <f aca="false">O68+O58+O69</f>
        <v>-0</v>
      </c>
      <c r="P70" s="58" t="n">
        <f aca="false">P68+P58+P69</f>
        <v>-0</v>
      </c>
      <c r="Q70" s="58" t="n">
        <f aca="false">Q68+Q58+Q69</f>
        <v>-0</v>
      </c>
      <c r="R70" s="58" t="n">
        <f aca="false">R68+R58+R69</f>
        <v>-8156.02054794521</v>
      </c>
      <c r="S70" s="58" t="n">
        <f aca="false">S68+S58+S69</f>
        <v>-16133.5389041096</v>
      </c>
      <c r="T70" s="58" t="n">
        <f aca="false">T68+T58+T69</f>
        <v>-8067.36815068493</v>
      </c>
      <c r="U70" s="58" t="n">
        <f aca="false">U68+U58+U69</f>
        <v>-8156.02054794521</v>
      </c>
      <c r="V70" s="58" t="n">
        <f aca="false">V68+V58+V69</f>
        <v>-8156.02054794521</v>
      </c>
      <c r="W70" s="58" t="n">
        <f aca="false">W68+W58+W69</f>
        <v>-7978.71575342466</v>
      </c>
      <c r="X70" s="58" t="n">
        <f aca="false">X68+X58+X69</f>
        <v>-8067.36815068493</v>
      </c>
      <c r="Y70" s="58" t="n">
        <f aca="false">Y68+Y58+Y69</f>
        <v>-10656.0205479452</v>
      </c>
      <c r="Z70" s="58" t="n">
        <f aca="false">Z68+Z58+Z69</f>
        <v>-0</v>
      </c>
      <c r="AA70" s="58" t="n">
        <f aca="false">AA68+AA58+AA69</f>
        <v>-0</v>
      </c>
      <c r="AB70" s="58" t="n">
        <f aca="false">AB68+AB58+AB69</f>
        <v>-0</v>
      </c>
      <c r="AC70" s="58" t="n">
        <f aca="false">AC68+AC58+AC69</f>
        <v>-0</v>
      </c>
      <c r="AD70" s="58" t="n">
        <f aca="false">AD68+AD58+AD69</f>
        <v>-0</v>
      </c>
      <c r="AE70" s="58" t="n">
        <f aca="false">AE68+AE58+AE69</f>
        <v>-0</v>
      </c>
      <c r="AF70" s="58" t="n">
        <f aca="false">AF68+AF58+AF69</f>
        <v>-0</v>
      </c>
      <c r="AG70" s="58" t="n">
        <f aca="false">AG68+AG58+AG69</f>
        <v>-0</v>
      </c>
      <c r="AH70" s="58" t="n">
        <f aca="false">AH68+AH58+AH69</f>
        <v>-0</v>
      </c>
      <c r="AI70" s="58" t="n">
        <f aca="false">AI68+AI58+AI69</f>
        <v>-0</v>
      </c>
      <c r="AJ70" s="58" t="n">
        <f aca="false">AJ68+AJ58+AJ69</f>
        <v>-0</v>
      </c>
      <c r="AK70" s="58" t="n">
        <f aca="false">AK68+AK58+AK69</f>
        <v>-0</v>
      </c>
      <c r="AL70" s="58" t="n">
        <f aca="false">AL68+AL58+AL69</f>
        <v>-0</v>
      </c>
      <c r="AM70" s="58" t="n">
        <f aca="false">AM68+AM58+AM69</f>
        <v>-0</v>
      </c>
      <c r="AN70" s="58" t="n">
        <f aca="false">AN68+AN58+AN69</f>
        <v>-0</v>
      </c>
      <c r="AO70" s="58" t="n">
        <f aca="false">AO68+AO58+AO69</f>
        <v>-0</v>
      </c>
      <c r="AP70" s="58" t="n">
        <f aca="false">AP68+AP58+AP69</f>
        <v>-0</v>
      </c>
      <c r="AQ70" s="58" t="n">
        <f aca="false">AQ68+AQ58+AQ69</f>
        <v>-0</v>
      </c>
      <c r="AR70" s="58" t="n">
        <f aca="false">AR68+AR58+AR69</f>
        <v>-0</v>
      </c>
      <c r="AS70" s="58" t="n">
        <f aca="false">AS68+AS58+AS69</f>
        <v>-0</v>
      </c>
      <c r="AT70" s="58" t="n">
        <f aca="false">AT68+AT58+AT69</f>
        <v>-0</v>
      </c>
      <c r="AU70" s="58" t="n">
        <f aca="false">AU68+AU58+AU69</f>
        <v>-0</v>
      </c>
      <c r="AV70" s="58" t="n">
        <f aca="false">AV68+AV58+AV69</f>
        <v>-0</v>
      </c>
      <c r="AW70" s="58" t="n">
        <f aca="false">AW68+AW58+AW69</f>
        <v>-0</v>
      </c>
      <c r="AX70" s="58" t="n">
        <f aca="false">AX68+AX58+AX69</f>
        <v>-0</v>
      </c>
      <c r="AY70" s="58" t="n">
        <f aca="false">AY68+AY58+AY69</f>
        <v>-0</v>
      </c>
      <c r="AZ70" s="58" t="n">
        <f aca="false">AZ68+AZ58+AZ69</f>
        <v>-0</v>
      </c>
      <c r="BA70" s="58" t="n">
        <f aca="false">BA68+BA58+BA69</f>
        <v>-0</v>
      </c>
      <c r="BB70" s="58" t="n">
        <f aca="false">BB68+BB58+BB69</f>
        <v>-0</v>
      </c>
      <c r="BC70" s="58" t="n">
        <f aca="false">BC68+BC58+BC69</f>
        <v>-0</v>
      </c>
      <c r="BD70" s="58" t="n">
        <f aca="false">BD68+BD58+BD69</f>
        <v>-0</v>
      </c>
      <c r="BE70" s="58" t="n">
        <f aca="false">BE68+BE58+BE69</f>
        <v>-0</v>
      </c>
      <c r="BF70" s="58" t="n">
        <f aca="false">BF68+BF58+BF69</f>
        <v>-0</v>
      </c>
      <c r="BG70" s="58" t="n">
        <f aca="false">BG68+BG58+BG69</f>
        <v>-0</v>
      </c>
      <c r="BH70" s="58" t="n">
        <f aca="false">BH68+BH58+BH69</f>
        <v>-0</v>
      </c>
      <c r="BI70" s="58" t="n">
        <f aca="false">BI68+BI58+BI69</f>
        <v>-0</v>
      </c>
      <c r="BJ70" s="58" t="n">
        <f aca="false">BJ68+BJ58+BJ69</f>
        <v>-0</v>
      </c>
      <c r="BK70" s="58" t="n">
        <f aca="false">BK68+BK58+BK69</f>
        <v>-0</v>
      </c>
      <c r="BL70" s="58" t="n">
        <f aca="false">BL68+BL58+BL69</f>
        <v>-0</v>
      </c>
      <c r="BM70" s="58" t="n">
        <f aca="false">BM68+BM58+BM69</f>
        <v>-0</v>
      </c>
      <c r="BN70" s="58" t="n">
        <f aca="false">BN68+BN58+BN69</f>
        <v>-0</v>
      </c>
      <c r="BO70" s="58" t="n">
        <f aca="false">BO68+BO58+BO69</f>
        <v>-0</v>
      </c>
      <c r="BP70" s="58" t="n">
        <f aca="false">BP68+BP58+BP69</f>
        <v>-0</v>
      </c>
      <c r="BQ70" s="58" t="n">
        <f aca="false">BQ68+BQ58+BQ69</f>
        <v>-0</v>
      </c>
      <c r="BR70" s="58" t="n">
        <f aca="false">BR68+BR58+BR69</f>
        <v>-0</v>
      </c>
      <c r="BS70" s="58" t="n">
        <f aca="false">BS68+BS58+BS69</f>
        <v>-0</v>
      </c>
      <c r="BT70" s="58" t="n">
        <f aca="false">BT68+BT58+BT69</f>
        <v>-0</v>
      </c>
      <c r="BU70" s="58" t="n">
        <f aca="false">BU68+BU58+BU69</f>
        <v>-0</v>
      </c>
      <c r="BV70" s="58" t="n">
        <f aca="false">BV68+BV58+BV69</f>
        <v>-0</v>
      </c>
      <c r="BW70" s="58" t="n">
        <f aca="false">BW68+BW58+BW69</f>
        <v>-0</v>
      </c>
      <c r="BX70" s="58" t="n">
        <f aca="false">BX68+BX58+BX69</f>
        <v>-0</v>
      </c>
      <c r="BY70" s="58" t="n">
        <f aca="false">BY68+BY58+BY69</f>
        <v>-0</v>
      </c>
      <c r="BZ70" s="58" t="n">
        <f aca="false">BZ68+BZ58+BZ69</f>
        <v>-0</v>
      </c>
      <c r="CA70" s="58" t="n">
        <f aca="false">CA68+CA58+CA69</f>
        <v>-0</v>
      </c>
      <c r="CB70" s="58" t="n">
        <f aca="false">CB68+CB58+CB69</f>
        <v>-0</v>
      </c>
      <c r="CC70" s="58" t="n">
        <f aca="false">CC68+CC58+CC69</f>
        <v>-0</v>
      </c>
      <c r="CD70" s="58" t="n">
        <f aca="false">CD68+CD58+CD69</f>
        <v>-0</v>
      </c>
      <c r="CE70" s="58" t="n">
        <f aca="false">CE68+CE58+CE69</f>
        <v>-0</v>
      </c>
      <c r="CF70" s="58" t="n">
        <f aca="false">CF68+CF58+CF69</f>
        <v>-0</v>
      </c>
      <c r="CG70" s="58" t="n">
        <f aca="false">CG68+CG58+CG69</f>
        <v>-0</v>
      </c>
      <c r="CH70" s="58" t="n">
        <f aca="false">CH68+CH58+CH69</f>
        <v>-0</v>
      </c>
      <c r="CI70" s="58" t="n">
        <f aca="false">CI68+CI58+CI69</f>
        <v>-0</v>
      </c>
      <c r="CJ70" s="58" t="n">
        <f aca="false">CJ68+CJ58+CJ69</f>
        <v>-0</v>
      </c>
      <c r="CK70" s="58" t="n">
        <f aca="false">CK68+CK58+CK69</f>
        <v>-0</v>
      </c>
      <c r="CL70" s="58" t="n">
        <f aca="false">CL68+CL58+CL69</f>
        <v>-0</v>
      </c>
      <c r="CM70" s="58" t="n">
        <f aca="false">CM68+CM58+CM69</f>
        <v>-0</v>
      </c>
      <c r="CN70" s="58" t="n">
        <f aca="false">CN68+CN58+CN69</f>
        <v>-0</v>
      </c>
      <c r="CO70" s="58" t="n">
        <f aca="false">CO68+CO58+CO69</f>
        <v>-0</v>
      </c>
      <c r="CP70" s="58" t="n">
        <f aca="false">CP68+CP58+CP69</f>
        <v>-0</v>
      </c>
      <c r="CQ70" s="58" t="n">
        <f aca="false">CQ68+CQ58+CQ69</f>
        <v>-0</v>
      </c>
      <c r="CR70" s="58" t="n">
        <f aca="false">CR68+CR58+CR69</f>
        <v>-0</v>
      </c>
      <c r="CS70" s="58" t="n">
        <f aca="false">CS68+CS58+CS69</f>
        <v>-0</v>
      </c>
      <c r="CT70" s="58" t="n">
        <f aca="false">CT68+CT58+CT69</f>
        <v>-0</v>
      </c>
      <c r="CU70" s="58" t="n">
        <f aca="false">CU68+CU58+CU69</f>
        <v>-0</v>
      </c>
      <c r="CV70" s="58" t="n">
        <f aca="false">CV68+CV58+CV69</f>
        <v>-0</v>
      </c>
      <c r="CW70" s="58" t="n">
        <f aca="false">CW68+CW58+CW69</f>
        <v>-0</v>
      </c>
      <c r="CX70" s="58" t="n">
        <f aca="false">CX68+CX58+CX69</f>
        <v>-0</v>
      </c>
      <c r="CY70" s="58" t="n">
        <f aca="false">CY68+CY58+CY69</f>
        <v>-0</v>
      </c>
      <c r="CZ70" s="58" t="n">
        <f aca="false">CZ68+CZ58+CZ69</f>
        <v>-0</v>
      </c>
      <c r="DA70" s="58" t="n">
        <f aca="false">DA68+DA58+DA69</f>
        <v>-0</v>
      </c>
      <c r="DB70" s="58" t="n">
        <f aca="false">DB68+DB58+DB69</f>
        <v>-0</v>
      </c>
      <c r="DC70" s="58" t="n">
        <f aca="false">DC68+DC58+DC69</f>
        <v>-0</v>
      </c>
      <c r="DD70" s="58" t="n">
        <f aca="false">DD68+DD58+DD69</f>
        <v>-0</v>
      </c>
      <c r="DE70" s="58" t="n">
        <f aca="false">DE68+DE58+DE69</f>
        <v>-0</v>
      </c>
      <c r="DF70" s="58" t="n">
        <f aca="false">DF68+DF58+DF69</f>
        <v>-0</v>
      </c>
      <c r="DG70" s="58" t="n">
        <f aca="false">DG68+DG58+DG69</f>
        <v>-0</v>
      </c>
      <c r="DH70" s="58" t="n">
        <f aca="false">DH68+DH58+DH69</f>
        <v>-0</v>
      </c>
      <c r="DI70" s="58" t="n">
        <f aca="false">DI68+DI58+DI69</f>
        <v>-0</v>
      </c>
      <c r="DJ70" s="58" t="n">
        <f aca="false">DJ68+DJ58+DJ69</f>
        <v>-0</v>
      </c>
      <c r="DK70" s="58" t="n">
        <f aca="false">DK68+DK58+DK69</f>
        <v>-0</v>
      </c>
      <c r="DL70" s="58" t="n">
        <f aca="false">DL68+DL58+DL69</f>
        <v>-0</v>
      </c>
      <c r="DM70" s="58" t="n">
        <f aca="false">DM68+DM58+DM69</f>
        <v>-0</v>
      </c>
      <c r="DN70" s="58" t="n">
        <f aca="false">DN68+DN58+DN69</f>
        <v>-0</v>
      </c>
      <c r="DO70" s="58" t="n">
        <f aca="false">DO68+DO58+DO69</f>
        <v>-0</v>
      </c>
      <c r="DP70" s="58" t="n">
        <f aca="false">DP68+DP58+DP69</f>
        <v>-0</v>
      </c>
      <c r="DQ70" s="58" t="n">
        <f aca="false">DQ68+DQ58+DQ69</f>
        <v>-0</v>
      </c>
      <c r="DR70" s="58" t="n">
        <f aca="false">DR68+DR58+DR69</f>
        <v>-0</v>
      </c>
      <c r="DS70" s="58" t="n">
        <f aca="false">DS68+DS58+DS69</f>
        <v>-0</v>
      </c>
      <c r="DT70" s="58" t="n">
        <f aca="false">DT68+DT58+DT69</f>
        <v>-0</v>
      </c>
      <c r="DU70" s="58" t="n">
        <f aca="false">DU68+DU58+DU69</f>
        <v>-0</v>
      </c>
      <c r="DV70" s="58" t="n">
        <f aca="false">DV68+DV58+DV69</f>
        <v>-0</v>
      </c>
      <c r="DW70" s="58" t="n">
        <f aca="false">DW68+DW58+DW69</f>
        <v>-0</v>
      </c>
      <c r="DX70" s="58" t="n">
        <f aca="false">DX68+DX58+DX69</f>
        <v>-0</v>
      </c>
      <c r="DY70" s="58" t="n">
        <f aca="false">DY68+DY58+DY69</f>
        <v>-0</v>
      </c>
      <c r="DZ70" s="58" t="n">
        <f aca="false">DZ68+DZ58+DZ69</f>
        <v>-0</v>
      </c>
      <c r="EA70" s="58" t="n">
        <f aca="false">EA68+EA58+EA69</f>
        <v>-0</v>
      </c>
      <c r="EB70" s="58" t="n">
        <f aca="false">EB68+EB58+EB69</f>
        <v>-0</v>
      </c>
      <c r="EC70" s="58" t="n">
        <f aca="false">EC68+EC58+EC69</f>
        <v>-0</v>
      </c>
      <c r="ED70" s="58" t="n">
        <f aca="false">ED68+ED58+ED69</f>
        <v>-0</v>
      </c>
      <c r="EE70" s="58" t="n">
        <f aca="false">EE68+EE58+EE69</f>
        <v>-0</v>
      </c>
      <c r="EF70" s="58" t="n">
        <f aca="false">EF68+EF58+EF69</f>
        <v>-0</v>
      </c>
      <c r="EG70" s="58" t="n">
        <f aca="false">EG68+EG58+EG69</f>
        <v>-0</v>
      </c>
      <c r="EH70" s="58" t="n">
        <f aca="false">EH68+EH58+EH69</f>
        <v>-0</v>
      </c>
      <c r="EI70" s="58" t="n">
        <f aca="false">EI68+EI58+EI69</f>
        <v>-0</v>
      </c>
      <c r="EJ70" s="58" t="n">
        <f aca="false">EJ68+EJ58+EJ69</f>
        <v>-0</v>
      </c>
      <c r="EK70" s="58" t="n">
        <f aca="false">EK68+EK58+EK69</f>
        <v>-0</v>
      </c>
      <c r="EL70" s="58" t="n">
        <f aca="false">EL68+EL58+EL69</f>
        <v>-0</v>
      </c>
      <c r="EM70" s="58" t="n">
        <f aca="false">EM68+EM58+EM69</f>
        <v>-0</v>
      </c>
      <c r="EN70" s="58" t="n">
        <f aca="false">EN68+EN58+EN69</f>
        <v>-0</v>
      </c>
      <c r="EO70" s="58" t="n">
        <f aca="false">EO68+EO58+EO69</f>
        <v>-0</v>
      </c>
    </row>
    <row r="72" customFormat="false" ht="15" hidden="false" customHeight="false" outlineLevel="0" collapsed="false">
      <c r="A72" s="10" t="s">
        <v>13</v>
      </c>
      <c r="B72" s="10"/>
      <c r="C72" s="10" t="s">
        <v>330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customFormat="false" ht="15" hidden="false" customHeight="false" outlineLevel="0" collapsed="false">
      <c r="C73" s="1" t="s">
        <v>466</v>
      </c>
      <c r="D73" s="12" t="s">
        <v>411</v>
      </c>
      <c r="J73" s="56" t="n">
        <f aca="false">(1+In_Opex_Esc)^(J$7-YEAR(In_COD))</f>
        <v>0.905950644799755</v>
      </c>
      <c r="K73" s="56" t="n">
        <f aca="false">(1+In_Opex_Esc)^(K$7-YEAR(In_COD))</f>
        <v>0.928599410919749</v>
      </c>
      <c r="L73" s="56" t="n">
        <f aca="false">(1+In_Opex_Esc)^(L$7-YEAR(In_COD))</f>
        <v>0.928599410919749</v>
      </c>
      <c r="M73" s="56" t="n">
        <f aca="false">(1+In_Opex_Esc)^(M$7-YEAR(In_COD))</f>
        <v>0.928599410919749</v>
      </c>
      <c r="N73" s="56" t="n">
        <f aca="false">(1+In_Opex_Esc)^(N$7-YEAR(In_COD))</f>
        <v>0.928599410919749</v>
      </c>
      <c r="O73" s="56" t="n">
        <f aca="false">(1+In_Opex_Esc)^(O$7-YEAR(In_COD))</f>
        <v>0.951814396192743</v>
      </c>
      <c r="P73" s="56" t="n">
        <f aca="false">(1+In_Opex_Esc)^(P$7-YEAR(In_COD))</f>
        <v>0.951814396192743</v>
      </c>
      <c r="Q73" s="56" t="n">
        <f aca="false">(1+In_Opex_Esc)^(Q$7-YEAR(In_COD))</f>
        <v>0.951814396192743</v>
      </c>
      <c r="R73" s="56" t="n">
        <f aca="false">(1+In_Opex_Esc)^(R$7-YEAR(In_COD))</f>
        <v>0.951814396192743</v>
      </c>
      <c r="S73" s="56" t="n">
        <f aca="false">(1+In_Opex_Esc)^(S$7-YEAR(In_COD))</f>
        <v>0.975609756097561</v>
      </c>
      <c r="T73" s="56" t="n">
        <f aca="false">(1+In_Opex_Esc)^(T$7-YEAR(In_COD))</f>
        <v>0.975609756097561</v>
      </c>
      <c r="U73" s="56" t="n">
        <f aca="false">(1+In_Opex_Esc)^(U$7-YEAR(In_COD))</f>
        <v>0.975609756097561</v>
      </c>
      <c r="V73" s="56" t="n">
        <f aca="false">(1+In_Opex_Esc)^(V$7-YEAR(In_COD))</f>
        <v>0.975609756097561</v>
      </c>
      <c r="W73" s="56" t="n">
        <f aca="false">(1+In_Opex_Esc)^(W$7-YEAR(In_COD))</f>
        <v>1</v>
      </c>
      <c r="X73" s="56" t="n">
        <f aca="false">(1+In_Opex_Esc)^(X$7-YEAR(In_COD))</f>
        <v>1</v>
      </c>
      <c r="Y73" s="56" t="n">
        <f aca="false">(1+In_Opex_Esc)^(Y$7-YEAR(In_COD))</f>
        <v>1</v>
      </c>
      <c r="Z73" s="56" t="n">
        <f aca="false">(1+In_Opex_Esc)^(Z$7-YEAR(In_COD))</f>
        <v>1</v>
      </c>
      <c r="AA73" s="56" t="n">
        <f aca="false">(1+In_Opex_Esc)^(AA$7-YEAR(In_COD))</f>
        <v>1.025</v>
      </c>
      <c r="AB73" s="56" t="n">
        <f aca="false">(1+In_Opex_Esc)^(AB$7-YEAR(In_COD))</f>
        <v>1.025</v>
      </c>
      <c r="AC73" s="56" t="n">
        <f aca="false">(1+In_Opex_Esc)^(AC$7-YEAR(In_COD))</f>
        <v>1.025</v>
      </c>
      <c r="AD73" s="56" t="n">
        <f aca="false">(1+In_Opex_Esc)^(AD$7-YEAR(In_COD))</f>
        <v>1.025</v>
      </c>
      <c r="AE73" s="56" t="n">
        <f aca="false">(1+In_Opex_Esc)^(AE$7-YEAR(In_COD))</f>
        <v>1.050625</v>
      </c>
      <c r="AF73" s="56" t="n">
        <f aca="false">(1+In_Opex_Esc)^(AF$7-YEAR(In_COD))</f>
        <v>1.050625</v>
      </c>
      <c r="AG73" s="56" t="n">
        <f aca="false">(1+In_Opex_Esc)^(AG$7-YEAR(In_COD))</f>
        <v>1.050625</v>
      </c>
      <c r="AH73" s="56" t="n">
        <f aca="false">(1+In_Opex_Esc)^(AH$7-YEAR(In_COD))</f>
        <v>1.050625</v>
      </c>
      <c r="AI73" s="56" t="n">
        <f aca="false">(1+In_Opex_Esc)^(AI$7-YEAR(In_COD))</f>
        <v>1.076890625</v>
      </c>
      <c r="AJ73" s="56" t="n">
        <f aca="false">(1+In_Opex_Esc)^(AJ$7-YEAR(In_COD))</f>
        <v>1.076890625</v>
      </c>
      <c r="AK73" s="56" t="n">
        <f aca="false">(1+In_Opex_Esc)^(AK$7-YEAR(In_COD))</f>
        <v>1.076890625</v>
      </c>
      <c r="AL73" s="56" t="n">
        <f aca="false">(1+In_Opex_Esc)^(AL$7-YEAR(In_COD))</f>
        <v>1.076890625</v>
      </c>
      <c r="AM73" s="56" t="n">
        <f aca="false">(1+In_Opex_Esc)^(AM$7-YEAR(In_COD))</f>
        <v>1.103812890625</v>
      </c>
      <c r="AN73" s="56" t="n">
        <f aca="false">(1+In_Opex_Esc)^(AN$7-YEAR(In_COD))</f>
        <v>1.103812890625</v>
      </c>
      <c r="AO73" s="56" t="n">
        <f aca="false">(1+In_Opex_Esc)^(AO$7-YEAR(In_COD))</f>
        <v>1.103812890625</v>
      </c>
      <c r="AP73" s="56" t="n">
        <f aca="false">(1+In_Opex_Esc)^(AP$7-YEAR(In_COD))</f>
        <v>1.103812890625</v>
      </c>
      <c r="AQ73" s="56" t="n">
        <f aca="false">(1+In_Opex_Esc)^(AQ$7-YEAR(In_COD))</f>
        <v>1.13140821289062</v>
      </c>
      <c r="AR73" s="56" t="n">
        <f aca="false">(1+In_Opex_Esc)^(AR$7-YEAR(In_COD))</f>
        <v>1.13140821289062</v>
      </c>
      <c r="AS73" s="56" t="n">
        <f aca="false">(1+In_Opex_Esc)^(AS$7-YEAR(In_COD))</f>
        <v>1.13140821289062</v>
      </c>
      <c r="AT73" s="56" t="n">
        <f aca="false">(1+In_Opex_Esc)^(AT$7-YEAR(In_COD))</f>
        <v>1.13140821289062</v>
      </c>
      <c r="AU73" s="56" t="n">
        <f aca="false">(1+In_Opex_Esc)^(AU$7-YEAR(In_COD))</f>
        <v>1.15969341821289</v>
      </c>
      <c r="AV73" s="56" t="n">
        <f aca="false">(1+In_Opex_Esc)^(AV$7-YEAR(In_COD))</f>
        <v>1.15969341821289</v>
      </c>
      <c r="AW73" s="56" t="n">
        <f aca="false">(1+In_Opex_Esc)^(AW$7-YEAR(In_COD))</f>
        <v>1.15969341821289</v>
      </c>
      <c r="AX73" s="56" t="n">
        <f aca="false">(1+In_Opex_Esc)^(AX$7-YEAR(In_COD))</f>
        <v>1.15969341821289</v>
      </c>
      <c r="AY73" s="56" t="n">
        <f aca="false">(1+In_Opex_Esc)^(AY$7-YEAR(In_COD))</f>
        <v>1.18868575366821</v>
      </c>
      <c r="AZ73" s="56" t="n">
        <f aca="false">(1+In_Opex_Esc)^(AZ$7-YEAR(In_COD))</f>
        <v>1.18868575366821</v>
      </c>
      <c r="BA73" s="56" t="n">
        <f aca="false">(1+In_Opex_Esc)^(BA$7-YEAR(In_COD))</f>
        <v>1.18868575366821</v>
      </c>
      <c r="BB73" s="56" t="n">
        <f aca="false">(1+In_Opex_Esc)^(BB$7-YEAR(In_COD))</f>
        <v>1.18868575366821</v>
      </c>
      <c r="BC73" s="56" t="n">
        <f aca="false">(1+In_Opex_Esc)^(BC$7-YEAR(In_COD))</f>
        <v>1.21840289750992</v>
      </c>
      <c r="BD73" s="56" t="n">
        <f aca="false">(1+In_Opex_Esc)^(BD$7-YEAR(In_COD))</f>
        <v>1.21840289750992</v>
      </c>
      <c r="BE73" s="56" t="n">
        <f aca="false">(1+In_Opex_Esc)^(BE$7-YEAR(In_COD))</f>
        <v>1.21840289750992</v>
      </c>
      <c r="BF73" s="56" t="n">
        <f aca="false">(1+In_Opex_Esc)^(BF$7-YEAR(In_COD))</f>
        <v>1.21840289750992</v>
      </c>
      <c r="BG73" s="56" t="n">
        <f aca="false">(1+In_Opex_Esc)^(BG$7-YEAR(In_COD))</f>
        <v>1.24886296994767</v>
      </c>
      <c r="BH73" s="56" t="n">
        <f aca="false">(1+In_Opex_Esc)^(BH$7-YEAR(In_COD))</f>
        <v>1.24886296994767</v>
      </c>
      <c r="BI73" s="56" t="n">
        <f aca="false">(1+In_Opex_Esc)^(BI$7-YEAR(In_COD))</f>
        <v>1.24886296994767</v>
      </c>
      <c r="BJ73" s="56" t="n">
        <f aca="false">(1+In_Opex_Esc)^(BJ$7-YEAR(In_COD))</f>
        <v>1.24886296994767</v>
      </c>
      <c r="BK73" s="56" t="n">
        <f aca="false">(1+In_Opex_Esc)^(BK$7-YEAR(In_COD))</f>
        <v>1.28008454419636</v>
      </c>
      <c r="BL73" s="56" t="n">
        <f aca="false">(1+In_Opex_Esc)^(BL$7-YEAR(In_COD))</f>
        <v>1.28008454419636</v>
      </c>
      <c r="BM73" s="56" t="n">
        <f aca="false">(1+In_Opex_Esc)^(BM$7-YEAR(In_COD))</f>
        <v>1.28008454419636</v>
      </c>
      <c r="BN73" s="56" t="n">
        <f aca="false">(1+In_Opex_Esc)^(BN$7-YEAR(In_COD))</f>
        <v>1.28008454419636</v>
      </c>
      <c r="BO73" s="56" t="n">
        <f aca="false">(1+In_Opex_Esc)^(BO$7-YEAR(In_COD))</f>
        <v>1.31208665780127</v>
      </c>
      <c r="BP73" s="56" t="n">
        <f aca="false">(1+In_Opex_Esc)^(BP$7-YEAR(In_COD))</f>
        <v>1.31208665780127</v>
      </c>
      <c r="BQ73" s="56" t="n">
        <f aca="false">(1+In_Opex_Esc)^(BQ$7-YEAR(In_COD))</f>
        <v>1.31208665780127</v>
      </c>
      <c r="BR73" s="56" t="n">
        <f aca="false">(1+In_Opex_Esc)^(BR$7-YEAR(In_COD))</f>
        <v>1.31208665780127</v>
      </c>
      <c r="BS73" s="56" t="n">
        <f aca="false">(1+In_Opex_Esc)^(BS$7-YEAR(In_COD))</f>
        <v>1.3448888242463</v>
      </c>
      <c r="BT73" s="56" t="n">
        <f aca="false">(1+In_Opex_Esc)^(BT$7-YEAR(In_COD))</f>
        <v>1.3448888242463</v>
      </c>
      <c r="BU73" s="56" t="n">
        <f aca="false">(1+In_Opex_Esc)^(BU$7-YEAR(In_COD))</f>
        <v>1.3448888242463</v>
      </c>
      <c r="BV73" s="56" t="n">
        <f aca="false">(1+In_Opex_Esc)^(BV$7-YEAR(In_COD))</f>
        <v>1.3448888242463</v>
      </c>
      <c r="BW73" s="56" t="n">
        <f aca="false">(1+In_Opex_Esc)^(BW$7-YEAR(In_COD))</f>
        <v>1.37851104485245</v>
      </c>
      <c r="BX73" s="56" t="n">
        <f aca="false">(1+In_Opex_Esc)^(BX$7-YEAR(In_COD))</f>
        <v>1.37851104485245</v>
      </c>
      <c r="BY73" s="56" t="n">
        <f aca="false">(1+In_Opex_Esc)^(BY$7-YEAR(In_COD))</f>
        <v>1.37851104485245</v>
      </c>
      <c r="BZ73" s="56" t="n">
        <f aca="false">(1+In_Opex_Esc)^(BZ$7-YEAR(In_COD))</f>
        <v>1.37851104485245</v>
      </c>
      <c r="CA73" s="56" t="n">
        <f aca="false">(1+In_Opex_Esc)^(CA$7-YEAR(In_COD))</f>
        <v>1.41297382097377</v>
      </c>
      <c r="CB73" s="56" t="n">
        <f aca="false">(1+In_Opex_Esc)^(CB$7-YEAR(In_COD))</f>
        <v>1.41297382097377</v>
      </c>
      <c r="CC73" s="56" t="n">
        <f aca="false">(1+In_Opex_Esc)^(CC$7-YEAR(In_COD))</f>
        <v>1.41297382097377</v>
      </c>
      <c r="CD73" s="56" t="n">
        <f aca="false">(1+In_Opex_Esc)^(CD$7-YEAR(In_COD))</f>
        <v>1.41297382097377</v>
      </c>
      <c r="CE73" s="56" t="n">
        <f aca="false">(1+In_Opex_Esc)^(CE$7-YEAR(In_COD))</f>
        <v>1.44829816649811</v>
      </c>
      <c r="CF73" s="56" t="n">
        <f aca="false">(1+In_Opex_Esc)^(CF$7-YEAR(In_COD))</f>
        <v>1.44829816649811</v>
      </c>
      <c r="CG73" s="56" t="n">
        <f aca="false">(1+In_Opex_Esc)^(CG$7-YEAR(In_COD))</f>
        <v>1.44829816649811</v>
      </c>
      <c r="CH73" s="56" t="n">
        <f aca="false">(1+In_Opex_Esc)^(CH$7-YEAR(In_COD))</f>
        <v>1.44829816649811</v>
      </c>
      <c r="CI73" s="56" t="n">
        <f aca="false">(1+In_Opex_Esc)^(CI$7-YEAR(In_COD))</f>
        <v>1.48450562066056</v>
      </c>
      <c r="CJ73" s="56" t="n">
        <f aca="false">(1+In_Opex_Esc)^(CJ$7-YEAR(In_COD))</f>
        <v>1.48450562066056</v>
      </c>
      <c r="CK73" s="56" t="n">
        <f aca="false">(1+In_Opex_Esc)^(CK$7-YEAR(In_COD))</f>
        <v>1.48450562066056</v>
      </c>
      <c r="CL73" s="56" t="n">
        <f aca="false">(1+In_Opex_Esc)^(CL$7-YEAR(In_COD))</f>
        <v>1.48450562066056</v>
      </c>
      <c r="CM73" s="56" t="n">
        <f aca="false">(1+In_Opex_Esc)^(CM$7-YEAR(In_COD))</f>
        <v>1.52161826117708</v>
      </c>
      <c r="CN73" s="56" t="n">
        <f aca="false">(1+In_Opex_Esc)^(CN$7-YEAR(In_COD))</f>
        <v>1.52161826117708</v>
      </c>
      <c r="CO73" s="56" t="n">
        <f aca="false">(1+In_Opex_Esc)^(CO$7-YEAR(In_COD))</f>
        <v>1.52161826117708</v>
      </c>
      <c r="CP73" s="56" t="n">
        <f aca="false">(1+In_Opex_Esc)^(CP$7-YEAR(In_COD))</f>
        <v>1.52161826117708</v>
      </c>
      <c r="CQ73" s="56" t="n">
        <f aca="false">(1+In_Opex_Esc)^(CQ$7-YEAR(In_COD))</f>
        <v>1.5596587177065</v>
      </c>
      <c r="CR73" s="56" t="n">
        <f aca="false">(1+In_Opex_Esc)^(CR$7-YEAR(In_COD))</f>
        <v>1.5596587177065</v>
      </c>
      <c r="CS73" s="56" t="n">
        <f aca="false">(1+In_Opex_Esc)^(CS$7-YEAR(In_COD))</f>
        <v>1.5596587177065</v>
      </c>
      <c r="CT73" s="56" t="n">
        <f aca="false">(1+In_Opex_Esc)^(CT$7-YEAR(In_COD))</f>
        <v>1.5596587177065</v>
      </c>
      <c r="CU73" s="56" t="n">
        <f aca="false">(1+In_Opex_Esc)^(CU$7-YEAR(In_COD))</f>
        <v>1.59865018564917</v>
      </c>
      <c r="CV73" s="56" t="n">
        <f aca="false">(1+In_Opex_Esc)^(CV$7-YEAR(In_COD))</f>
        <v>1.59865018564917</v>
      </c>
      <c r="CW73" s="56" t="n">
        <f aca="false">(1+In_Opex_Esc)^(CW$7-YEAR(In_COD))</f>
        <v>1.59865018564917</v>
      </c>
      <c r="CX73" s="56" t="n">
        <f aca="false">(1+In_Opex_Esc)^(CX$7-YEAR(In_COD))</f>
        <v>1.59865018564917</v>
      </c>
      <c r="CY73" s="56" t="n">
        <f aca="false">(1+In_Opex_Esc)^(CY$7-YEAR(In_COD))</f>
        <v>1.63861644029039</v>
      </c>
      <c r="CZ73" s="56" t="n">
        <f aca="false">(1+In_Opex_Esc)^(CZ$7-YEAR(In_COD))</f>
        <v>1.63861644029039</v>
      </c>
      <c r="DA73" s="56" t="n">
        <f aca="false">(1+In_Opex_Esc)^(DA$7-YEAR(In_COD))</f>
        <v>1.63861644029039</v>
      </c>
      <c r="DB73" s="56" t="n">
        <f aca="false">(1+In_Opex_Esc)^(DB$7-YEAR(In_COD))</f>
        <v>1.63861644029039</v>
      </c>
      <c r="DC73" s="56" t="n">
        <f aca="false">(1+In_Opex_Esc)^(DC$7-YEAR(In_COD))</f>
        <v>1.67958185129765</v>
      </c>
      <c r="DD73" s="56" t="n">
        <f aca="false">(1+In_Opex_Esc)^(DD$7-YEAR(In_COD))</f>
        <v>1.67958185129765</v>
      </c>
      <c r="DE73" s="56" t="n">
        <f aca="false">(1+In_Opex_Esc)^(DE$7-YEAR(In_COD))</f>
        <v>1.67958185129765</v>
      </c>
      <c r="DF73" s="56" t="n">
        <f aca="false">(1+In_Opex_Esc)^(DF$7-YEAR(In_COD))</f>
        <v>1.67958185129765</v>
      </c>
      <c r="DG73" s="56" t="n">
        <f aca="false">(1+In_Opex_Esc)^(DG$7-YEAR(In_COD))</f>
        <v>1.7215713975801</v>
      </c>
      <c r="DH73" s="56" t="n">
        <f aca="false">(1+In_Opex_Esc)^(DH$7-YEAR(In_COD))</f>
        <v>1.7215713975801</v>
      </c>
      <c r="DI73" s="56" t="n">
        <f aca="false">(1+In_Opex_Esc)^(DI$7-YEAR(In_COD))</f>
        <v>1.7215713975801</v>
      </c>
      <c r="DJ73" s="56" t="n">
        <f aca="false">(1+In_Opex_Esc)^(DJ$7-YEAR(In_COD))</f>
        <v>1.7215713975801</v>
      </c>
      <c r="DK73" s="56" t="n">
        <f aca="false">(1+In_Opex_Esc)^(DK$7-YEAR(In_COD))</f>
        <v>1.7646106825196</v>
      </c>
      <c r="DL73" s="56" t="n">
        <f aca="false">(1+In_Opex_Esc)^(DL$7-YEAR(In_COD))</f>
        <v>1.7646106825196</v>
      </c>
      <c r="DM73" s="56" t="n">
        <f aca="false">(1+In_Opex_Esc)^(DM$7-YEAR(In_COD))</f>
        <v>1.7646106825196</v>
      </c>
      <c r="DN73" s="56" t="n">
        <f aca="false">(1+In_Opex_Esc)^(DN$7-YEAR(In_COD))</f>
        <v>1.7646106825196</v>
      </c>
      <c r="DO73" s="56" t="n">
        <f aca="false">(1+In_Opex_Esc)^(DO$7-YEAR(In_COD))</f>
        <v>1.80872594958259</v>
      </c>
      <c r="DP73" s="56" t="n">
        <f aca="false">(1+In_Opex_Esc)^(DP$7-YEAR(In_COD))</f>
        <v>1.80872594958259</v>
      </c>
      <c r="DQ73" s="56" t="n">
        <f aca="false">(1+In_Opex_Esc)^(DQ$7-YEAR(In_COD))</f>
        <v>1.80872594958259</v>
      </c>
      <c r="DR73" s="56" t="n">
        <f aca="false">(1+In_Opex_Esc)^(DR$7-YEAR(In_COD))</f>
        <v>1.80872594958259</v>
      </c>
      <c r="DS73" s="56" t="n">
        <f aca="false">(1+In_Opex_Esc)^(DS$7-YEAR(In_COD))</f>
        <v>1.85394409832215</v>
      </c>
      <c r="DT73" s="56" t="n">
        <f aca="false">(1+In_Opex_Esc)^(DT$7-YEAR(In_COD))</f>
        <v>1.85394409832215</v>
      </c>
      <c r="DU73" s="56" t="n">
        <f aca="false">(1+In_Opex_Esc)^(DU$7-YEAR(In_COD))</f>
        <v>1.85394409832215</v>
      </c>
      <c r="DV73" s="56" t="n">
        <f aca="false">(1+In_Opex_Esc)^(DV$7-YEAR(In_COD))</f>
        <v>1.85394409832215</v>
      </c>
      <c r="DW73" s="56" t="n">
        <f aca="false">(1+In_Opex_Esc)^(DW$7-YEAR(In_COD))</f>
        <v>1.90029270078021</v>
      </c>
      <c r="DX73" s="56" t="n">
        <f aca="false">(1+In_Opex_Esc)^(DX$7-YEAR(In_COD))</f>
        <v>1.90029270078021</v>
      </c>
      <c r="DY73" s="56" t="n">
        <f aca="false">(1+In_Opex_Esc)^(DY$7-YEAR(In_COD))</f>
        <v>1.90029270078021</v>
      </c>
      <c r="DZ73" s="56" t="n">
        <f aca="false">(1+In_Opex_Esc)^(DZ$7-YEAR(In_COD))</f>
        <v>1.90029270078021</v>
      </c>
      <c r="EA73" s="56" t="n">
        <f aca="false">(1+In_Opex_Esc)^(EA$7-YEAR(In_COD))</f>
        <v>1.94780001829971</v>
      </c>
      <c r="EB73" s="56" t="n">
        <f aca="false">(1+In_Opex_Esc)^(EB$7-YEAR(In_COD))</f>
        <v>1.94780001829971</v>
      </c>
      <c r="EC73" s="56" t="n">
        <f aca="false">(1+In_Opex_Esc)^(EC$7-YEAR(In_COD))</f>
        <v>1.94780001829971</v>
      </c>
      <c r="ED73" s="56" t="n">
        <f aca="false">(1+In_Opex_Esc)^(ED$7-YEAR(In_COD))</f>
        <v>1.94780001829971</v>
      </c>
      <c r="EE73" s="56" t="n">
        <f aca="false">(1+In_Opex_Esc)^(EE$7-YEAR(In_COD))</f>
        <v>1.9964950187572</v>
      </c>
      <c r="EF73" s="56" t="n">
        <f aca="false">(1+In_Opex_Esc)^(EF$7-YEAR(In_COD))</f>
        <v>1.9964950187572</v>
      </c>
      <c r="EG73" s="56" t="n">
        <f aca="false">(1+In_Opex_Esc)^(EG$7-YEAR(In_COD))</f>
        <v>1.9964950187572</v>
      </c>
      <c r="EH73" s="56" t="n">
        <f aca="false">(1+In_Opex_Esc)^(EH$7-YEAR(In_COD))</f>
        <v>1.9964950187572</v>
      </c>
      <c r="EI73" s="56" t="n">
        <f aca="false">(1+In_Opex_Esc)^(EI$7-YEAR(In_COD))</f>
        <v>2.04640739422613</v>
      </c>
      <c r="EJ73" s="56" t="n">
        <f aca="false">(1+In_Opex_Esc)^(EJ$7-YEAR(In_COD))</f>
        <v>2.04640739422613</v>
      </c>
      <c r="EK73" s="56" t="n">
        <f aca="false">(1+In_Opex_Esc)^(EK$7-YEAR(In_COD))</f>
        <v>2.04640739422613</v>
      </c>
      <c r="EL73" s="56" t="n">
        <f aca="false">(1+In_Opex_Esc)^(EL$7-YEAR(In_COD))</f>
        <v>2.04640739422613</v>
      </c>
      <c r="EM73" s="56" t="n">
        <f aca="false">(1+In_Opex_Esc)^(EM$7-YEAR(In_COD))</f>
        <v>2.09756757908179</v>
      </c>
      <c r="EN73" s="56" t="n">
        <f aca="false">(1+In_Opex_Esc)^(EN$7-YEAR(In_COD))</f>
        <v>2.09756757908179</v>
      </c>
      <c r="EO73" s="56" t="n">
        <f aca="false">(1+In_Opex_Esc)^(EO$7-YEAR(In_COD))</f>
        <v>2.09756757908179</v>
      </c>
    </row>
    <row r="74" customFormat="false" ht="15" hidden="false" customHeight="false" outlineLevel="0" collapsed="false">
      <c r="C74" s="1" t="s">
        <v>467</v>
      </c>
      <c r="D74" s="12" t="s">
        <v>24</v>
      </c>
      <c r="J74" s="33" t="n">
        <f aca="false">In_PPA_Price*(1+In_PPA_Esc)^(J$7-YEAR(In_COD))</f>
        <v>86.4882310034535</v>
      </c>
      <c r="K74" s="33" t="n">
        <f aca="false">In_PPA_Price*(1+In_PPA_Esc)^(K$7-YEAR(In_COD))</f>
        <v>87.353113313488</v>
      </c>
      <c r="L74" s="33" t="n">
        <f aca="false">In_PPA_Price*(1+In_PPA_Esc)^(L$7-YEAR(In_COD))</f>
        <v>87.353113313488</v>
      </c>
      <c r="M74" s="33" t="n">
        <f aca="false">In_PPA_Price*(1+In_PPA_Esc)^(M$7-YEAR(In_COD))</f>
        <v>87.353113313488</v>
      </c>
      <c r="N74" s="33" t="n">
        <f aca="false">In_PPA_Price*(1+In_PPA_Esc)^(N$7-YEAR(In_COD))</f>
        <v>87.353113313488</v>
      </c>
      <c r="O74" s="33" t="n">
        <f aca="false">In_PPA_Price*(1+In_PPA_Esc)^(O$7-YEAR(In_COD))</f>
        <v>88.2266444466229</v>
      </c>
      <c r="P74" s="33" t="n">
        <f aca="false">In_PPA_Price*(1+In_PPA_Esc)^(P$7-YEAR(In_COD))</f>
        <v>88.2266444466229</v>
      </c>
      <c r="Q74" s="33" t="n">
        <f aca="false">In_PPA_Price*(1+In_PPA_Esc)^(Q$7-YEAR(In_COD))</f>
        <v>88.2266444466229</v>
      </c>
      <c r="R74" s="33" t="n">
        <f aca="false">In_PPA_Price*(1+In_PPA_Esc)^(R$7-YEAR(In_COD))</f>
        <v>88.2266444466229</v>
      </c>
      <c r="S74" s="33" t="n">
        <f aca="false">In_PPA_Price*(1+In_PPA_Esc)^(S$7-YEAR(In_COD))</f>
        <v>89.1089108910891</v>
      </c>
      <c r="T74" s="33" t="n">
        <f aca="false">In_PPA_Price*(1+In_PPA_Esc)^(T$7-YEAR(In_COD))</f>
        <v>89.1089108910891</v>
      </c>
      <c r="U74" s="33" t="n">
        <f aca="false">In_PPA_Price*(1+In_PPA_Esc)^(U$7-YEAR(In_COD))</f>
        <v>89.1089108910891</v>
      </c>
      <c r="V74" s="33" t="n">
        <f aca="false">In_PPA_Price*(1+In_PPA_Esc)^(V$7-YEAR(In_COD))</f>
        <v>89.1089108910891</v>
      </c>
      <c r="W74" s="33" t="n">
        <f aca="false">In_PPA_Price*(1+In_PPA_Esc)^(W$7-YEAR(In_COD))</f>
        <v>90</v>
      </c>
      <c r="X74" s="33" t="n">
        <f aca="false">In_PPA_Price*(1+In_PPA_Esc)^(X$7-YEAR(In_COD))</f>
        <v>90</v>
      </c>
      <c r="Y74" s="33" t="n">
        <f aca="false">In_PPA_Price*(1+In_PPA_Esc)^(Y$7-YEAR(In_COD))</f>
        <v>90</v>
      </c>
      <c r="Z74" s="33" t="n">
        <f aca="false">In_PPA_Price*(1+In_PPA_Esc)^(Z$7-YEAR(In_COD))</f>
        <v>90</v>
      </c>
      <c r="AA74" s="33" t="n">
        <f aca="false">In_PPA_Price*(1+In_PPA_Esc)^(AA$7-YEAR(In_COD))</f>
        <v>90.9</v>
      </c>
      <c r="AB74" s="33" t="n">
        <f aca="false">In_PPA_Price*(1+In_PPA_Esc)^(AB$7-YEAR(In_COD))</f>
        <v>90.9</v>
      </c>
      <c r="AC74" s="33" t="n">
        <f aca="false">In_PPA_Price*(1+In_PPA_Esc)^(AC$7-YEAR(In_COD))</f>
        <v>90.9</v>
      </c>
      <c r="AD74" s="33" t="n">
        <f aca="false">In_PPA_Price*(1+In_PPA_Esc)^(AD$7-YEAR(In_COD))</f>
        <v>90.9</v>
      </c>
      <c r="AE74" s="33" t="n">
        <f aca="false">In_PPA_Price*(1+In_PPA_Esc)^(AE$7-YEAR(In_COD))</f>
        <v>91.809</v>
      </c>
      <c r="AF74" s="33" t="n">
        <f aca="false">In_PPA_Price*(1+In_PPA_Esc)^(AF$7-YEAR(In_COD))</f>
        <v>91.809</v>
      </c>
      <c r="AG74" s="33" t="n">
        <f aca="false">In_PPA_Price*(1+In_PPA_Esc)^(AG$7-YEAR(In_COD))</f>
        <v>91.809</v>
      </c>
      <c r="AH74" s="33" t="n">
        <f aca="false">In_PPA_Price*(1+In_PPA_Esc)^(AH$7-YEAR(In_COD))</f>
        <v>91.809</v>
      </c>
      <c r="AI74" s="33" t="n">
        <f aca="false">In_PPA_Price*(1+In_PPA_Esc)^(AI$7-YEAR(In_COD))</f>
        <v>92.72709</v>
      </c>
      <c r="AJ74" s="33" t="n">
        <f aca="false">In_PPA_Price*(1+In_PPA_Esc)^(AJ$7-YEAR(In_COD))</f>
        <v>92.72709</v>
      </c>
      <c r="AK74" s="33" t="n">
        <f aca="false">In_PPA_Price*(1+In_PPA_Esc)^(AK$7-YEAR(In_COD))</f>
        <v>92.72709</v>
      </c>
      <c r="AL74" s="33" t="n">
        <f aca="false">In_PPA_Price*(1+In_PPA_Esc)^(AL$7-YEAR(In_COD))</f>
        <v>92.72709</v>
      </c>
      <c r="AM74" s="33" t="n">
        <f aca="false">In_PPA_Price*(1+In_PPA_Esc)^(AM$7-YEAR(In_COD))</f>
        <v>93.6543609</v>
      </c>
      <c r="AN74" s="33" t="n">
        <f aca="false">In_PPA_Price*(1+In_PPA_Esc)^(AN$7-YEAR(In_COD))</f>
        <v>93.6543609</v>
      </c>
      <c r="AO74" s="33" t="n">
        <f aca="false">In_PPA_Price*(1+In_PPA_Esc)^(AO$7-YEAR(In_COD))</f>
        <v>93.6543609</v>
      </c>
      <c r="AP74" s="33" t="n">
        <f aca="false">In_PPA_Price*(1+In_PPA_Esc)^(AP$7-YEAR(In_COD))</f>
        <v>93.6543609</v>
      </c>
      <c r="AQ74" s="33" t="n">
        <f aca="false">In_PPA_Price*(1+In_PPA_Esc)^(AQ$7-YEAR(In_COD))</f>
        <v>94.590904509</v>
      </c>
      <c r="AR74" s="33" t="n">
        <f aca="false">In_PPA_Price*(1+In_PPA_Esc)^(AR$7-YEAR(In_COD))</f>
        <v>94.590904509</v>
      </c>
      <c r="AS74" s="33" t="n">
        <f aca="false">In_PPA_Price*(1+In_PPA_Esc)^(AS$7-YEAR(In_COD))</f>
        <v>94.590904509</v>
      </c>
      <c r="AT74" s="33" t="n">
        <f aca="false">In_PPA_Price*(1+In_PPA_Esc)^(AT$7-YEAR(In_COD))</f>
        <v>94.590904509</v>
      </c>
      <c r="AU74" s="33" t="n">
        <f aca="false">In_PPA_Price*(1+In_PPA_Esc)^(AU$7-YEAR(In_COD))</f>
        <v>95.53681355409</v>
      </c>
      <c r="AV74" s="33" t="n">
        <f aca="false">In_PPA_Price*(1+In_PPA_Esc)^(AV$7-YEAR(In_COD))</f>
        <v>95.53681355409</v>
      </c>
      <c r="AW74" s="33" t="n">
        <f aca="false">In_PPA_Price*(1+In_PPA_Esc)^(AW$7-YEAR(In_COD))</f>
        <v>95.53681355409</v>
      </c>
      <c r="AX74" s="33" t="n">
        <f aca="false">In_PPA_Price*(1+In_PPA_Esc)^(AX$7-YEAR(In_COD))</f>
        <v>95.53681355409</v>
      </c>
      <c r="AY74" s="33" t="n">
        <f aca="false">In_PPA_Price*(1+In_PPA_Esc)^(AY$7-YEAR(In_COD))</f>
        <v>96.4921816896309</v>
      </c>
      <c r="AZ74" s="33" t="n">
        <f aca="false">In_PPA_Price*(1+In_PPA_Esc)^(AZ$7-YEAR(In_COD))</f>
        <v>96.4921816896309</v>
      </c>
      <c r="BA74" s="33" t="n">
        <f aca="false">In_PPA_Price*(1+In_PPA_Esc)^(BA$7-YEAR(In_COD))</f>
        <v>96.4921816896309</v>
      </c>
      <c r="BB74" s="33" t="n">
        <f aca="false">In_PPA_Price*(1+In_PPA_Esc)^(BB$7-YEAR(In_COD))</f>
        <v>96.4921816896309</v>
      </c>
      <c r="BC74" s="33" t="n">
        <f aca="false">In_PPA_Price*(1+In_PPA_Esc)^(BC$7-YEAR(In_COD))</f>
        <v>97.4571035065272</v>
      </c>
      <c r="BD74" s="33" t="n">
        <f aca="false">In_PPA_Price*(1+In_PPA_Esc)^(BD$7-YEAR(In_COD))</f>
        <v>97.4571035065272</v>
      </c>
      <c r="BE74" s="33" t="n">
        <f aca="false">In_PPA_Price*(1+In_PPA_Esc)^(BE$7-YEAR(In_COD))</f>
        <v>97.4571035065272</v>
      </c>
      <c r="BF74" s="33" t="n">
        <f aca="false">In_PPA_Price*(1+In_PPA_Esc)^(BF$7-YEAR(In_COD))</f>
        <v>97.4571035065272</v>
      </c>
      <c r="BG74" s="33" t="n">
        <f aca="false">In_PPA_Price*(1+In_PPA_Esc)^(BG$7-YEAR(In_COD))</f>
        <v>98.4316745415925</v>
      </c>
      <c r="BH74" s="33" t="n">
        <f aca="false">In_PPA_Price*(1+In_PPA_Esc)^(BH$7-YEAR(In_COD))</f>
        <v>98.4316745415925</v>
      </c>
      <c r="BI74" s="33" t="n">
        <f aca="false">In_PPA_Price*(1+In_PPA_Esc)^(BI$7-YEAR(In_COD))</f>
        <v>98.4316745415925</v>
      </c>
      <c r="BJ74" s="33" t="n">
        <f aca="false">In_PPA_Price*(1+In_PPA_Esc)^(BJ$7-YEAR(In_COD))</f>
        <v>98.4316745415925</v>
      </c>
      <c r="BK74" s="33" t="n">
        <f aca="false">In_PPA_Price*(1+In_PPA_Esc)^(BK$7-YEAR(In_COD))</f>
        <v>99.4159912870084</v>
      </c>
      <c r="BL74" s="33" t="n">
        <f aca="false">In_PPA_Price*(1+In_PPA_Esc)^(BL$7-YEAR(In_COD))</f>
        <v>99.4159912870084</v>
      </c>
      <c r="BM74" s="33" t="n">
        <f aca="false">In_PPA_Price*(1+In_PPA_Esc)^(BM$7-YEAR(In_COD))</f>
        <v>99.4159912870084</v>
      </c>
      <c r="BN74" s="33" t="n">
        <f aca="false">In_PPA_Price*(1+In_PPA_Esc)^(BN$7-YEAR(In_COD))</f>
        <v>99.4159912870084</v>
      </c>
      <c r="BO74" s="33" t="n">
        <f aca="false">In_PPA_Price*(1+In_PPA_Esc)^(BO$7-YEAR(In_COD))</f>
        <v>100.410151199878</v>
      </c>
      <c r="BP74" s="33" t="n">
        <f aca="false">In_PPA_Price*(1+In_PPA_Esc)^(BP$7-YEAR(In_COD))</f>
        <v>100.410151199878</v>
      </c>
      <c r="BQ74" s="33" t="n">
        <f aca="false">In_PPA_Price*(1+In_PPA_Esc)^(BQ$7-YEAR(In_COD))</f>
        <v>100.410151199878</v>
      </c>
      <c r="BR74" s="33" t="n">
        <f aca="false">In_PPA_Price*(1+In_PPA_Esc)^(BR$7-YEAR(In_COD))</f>
        <v>100.410151199878</v>
      </c>
      <c r="BS74" s="33" t="n">
        <f aca="false">In_PPA_Price*(1+In_PPA_Esc)^(BS$7-YEAR(In_COD))</f>
        <v>101.414252711877</v>
      </c>
      <c r="BT74" s="33" t="n">
        <f aca="false">In_PPA_Price*(1+In_PPA_Esc)^(BT$7-YEAR(In_COD))</f>
        <v>101.414252711877</v>
      </c>
      <c r="BU74" s="33" t="n">
        <f aca="false">In_PPA_Price*(1+In_PPA_Esc)^(BU$7-YEAR(In_COD))</f>
        <v>101.414252711877</v>
      </c>
      <c r="BV74" s="33" t="n">
        <f aca="false">In_PPA_Price*(1+In_PPA_Esc)^(BV$7-YEAR(In_COD))</f>
        <v>101.414252711877</v>
      </c>
      <c r="BW74" s="33" t="n">
        <f aca="false">In_PPA_Price*(1+In_PPA_Esc)^(BW$7-YEAR(In_COD))</f>
        <v>102.428395238996</v>
      </c>
      <c r="BX74" s="33" t="n">
        <f aca="false">In_PPA_Price*(1+In_PPA_Esc)^(BX$7-YEAR(In_COD))</f>
        <v>102.428395238996</v>
      </c>
      <c r="BY74" s="33" t="n">
        <f aca="false">In_PPA_Price*(1+In_PPA_Esc)^(BY$7-YEAR(In_COD))</f>
        <v>102.428395238996</v>
      </c>
      <c r="BZ74" s="33" t="n">
        <f aca="false">In_PPA_Price*(1+In_PPA_Esc)^(BZ$7-YEAR(In_COD))</f>
        <v>102.428395238996</v>
      </c>
      <c r="CA74" s="33" t="n">
        <f aca="false">In_PPA_Price*(1+In_PPA_Esc)^(CA$7-YEAR(In_COD))</f>
        <v>103.452679191386</v>
      </c>
      <c r="CB74" s="33" t="n">
        <f aca="false">In_PPA_Price*(1+In_PPA_Esc)^(CB$7-YEAR(In_COD))</f>
        <v>103.452679191386</v>
      </c>
      <c r="CC74" s="33" t="n">
        <f aca="false">In_PPA_Price*(1+In_PPA_Esc)^(CC$7-YEAR(In_COD))</f>
        <v>103.452679191386</v>
      </c>
      <c r="CD74" s="33" t="n">
        <f aca="false">In_PPA_Price*(1+In_PPA_Esc)^(CD$7-YEAR(In_COD))</f>
        <v>103.452679191386</v>
      </c>
      <c r="CE74" s="33" t="n">
        <f aca="false">In_PPA_Price*(1+In_PPA_Esc)^(CE$7-YEAR(In_COD))</f>
        <v>104.4872059833</v>
      </c>
      <c r="CF74" s="33" t="n">
        <f aca="false">In_PPA_Price*(1+In_PPA_Esc)^(CF$7-YEAR(In_COD))</f>
        <v>104.4872059833</v>
      </c>
      <c r="CG74" s="33" t="n">
        <f aca="false">In_PPA_Price*(1+In_PPA_Esc)^(CG$7-YEAR(In_COD))</f>
        <v>104.4872059833</v>
      </c>
      <c r="CH74" s="33" t="n">
        <f aca="false">In_PPA_Price*(1+In_PPA_Esc)^(CH$7-YEAR(In_COD))</f>
        <v>104.4872059833</v>
      </c>
      <c r="CI74" s="33" t="n">
        <f aca="false">In_PPA_Price*(1+In_PPA_Esc)^(CI$7-YEAR(In_COD))</f>
        <v>105.532078043133</v>
      </c>
      <c r="CJ74" s="33" t="n">
        <f aca="false">In_PPA_Price*(1+In_PPA_Esc)^(CJ$7-YEAR(In_COD))</f>
        <v>105.532078043133</v>
      </c>
      <c r="CK74" s="33" t="n">
        <f aca="false">In_PPA_Price*(1+In_PPA_Esc)^(CK$7-YEAR(In_COD))</f>
        <v>105.532078043133</v>
      </c>
      <c r="CL74" s="33" t="n">
        <f aca="false">In_PPA_Price*(1+In_PPA_Esc)^(CL$7-YEAR(In_COD))</f>
        <v>105.532078043133</v>
      </c>
      <c r="CM74" s="33" t="n">
        <f aca="false">In_PPA_Price*(1+In_PPA_Esc)^(CM$7-YEAR(In_COD))</f>
        <v>106.587398823564</v>
      </c>
      <c r="CN74" s="33" t="n">
        <f aca="false">In_PPA_Price*(1+In_PPA_Esc)^(CN$7-YEAR(In_COD))</f>
        <v>106.587398823564</v>
      </c>
      <c r="CO74" s="33" t="n">
        <f aca="false">In_PPA_Price*(1+In_PPA_Esc)^(CO$7-YEAR(In_COD))</f>
        <v>106.587398823564</v>
      </c>
      <c r="CP74" s="33" t="n">
        <f aca="false">In_PPA_Price*(1+In_PPA_Esc)^(CP$7-YEAR(In_COD))</f>
        <v>106.587398823564</v>
      </c>
      <c r="CQ74" s="33" t="n">
        <f aca="false">In_PPA_Price*(1+In_PPA_Esc)^(CQ$7-YEAR(In_COD))</f>
        <v>107.6532728118</v>
      </c>
      <c r="CR74" s="33" t="n">
        <f aca="false">In_PPA_Price*(1+In_PPA_Esc)^(CR$7-YEAR(In_COD))</f>
        <v>107.6532728118</v>
      </c>
      <c r="CS74" s="33" t="n">
        <f aca="false">In_PPA_Price*(1+In_PPA_Esc)^(CS$7-YEAR(In_COD))</f>
        <v>107.6532728118</v>
      </c>
      <c r="CT74" s="33" t="n">
        <f aca="false">In_PPA_Price*(1+In_PPA_Esc)^(CT$7-YEAR(In_COD))</f>
        <v>107.6532728118</v>
      </c>
      <c r="CU74" s="33" t="n">
        <f aca="false">In_PPA_Price*(1+In_PPA_Esc)^(CU$7-YEAR(In_COD))</f>
        <v>108.729805539918</v>
      </c>
      <c r="CV74" s="33" t="n">
        <f aca="false">In_PPA_Price*(1+In_PPA_Esc)^(CV$7-YEAR(In_COD))</f>
        <v>108.729805539918</v>
      </c>
      <c r="CW74" s="33" t="n">
        <f aca="false">In_PPA_Price*(1+In_PPA_Esc)^(CW$7-YEAR(In_COD))</f>
        <v>108.729805539918</v>
      </c>
      <c r="CX74" s="33" t="n">
        <f aca="false">In_PPA_Price*(1+In_PPA_Esc)^(CX$7-YEAR(In_COD))</f>
        <v>108.729805539918</v>
      </c>
      <c r="CY74" s="33" t="n">
        <f aca="false">In_PPA_Price*(1+In_PPA_Esc)^(CY$7-YEAR(In_COD))</f>
        <v>109.817103595317</v>
      </c>
      <c r="CZ74" s="33" t="n">
        <f aca="false">In_PPA_Price*(1+In_PPA_Esc)^(CZ$7-YEAR(In_COD))</f>
        <v>109.817103595317</v>
      </c>
      <c r="DA74" s="33" t="n">
        <f aca="false">In_PPA_Price*(1+In_PPA_Esc)^(DA$7-YEAR(In_COD))</f>
        <v>109.817103595317</v>
      </c>
      <c r="DB74" s="33" t="n">
        <f aca="false">In_PPA_Price*(1+In_PPA_Esc)^(DB$7-YEAR(In_COD))</f>
        <v>109.817103595317</v>
      </c>
      <c r="DC74" s="33" t="n">
        <f aca="false">In_PPA_Price*(1+In_PPA_Esc)^(DC$7-YEAR(In_COD))</f>
        <v>110.91527463127</v>
      </c>
      <c r="DD74" s="33" t="n">
        <f aca="false">In_PPA_Price*(1+In_PPA_Esc)^(DD$7-YEAR(In_COD))</f>
        <v>110.91527463127</v>
      </c>
      <c r="DE74" s="33" t="n">
        <f aca="false">In_PPA_Price*(1+In_PPA_Esc)^(DE$7-YEAR(In_COD))</f>
        <v>110.91527463127</v>
      </c>
      <c r="DF74" s="33" t="n">
        <f aca="false">In_PPA_Price*(1+In_PPA_Esc)^(DF$7-YEAR(In_COD))</f>
        <v>110.91527463127</v>
      </c>
      <c r="DG74" s="33" t="n">
        <f aca="false">In_PPA_Price*(1+In_PPA_Esc)^(DG$7-YEAR(In_COD))</f>
        <v>112.024427377583</v>
      </c>
      <c r="DH74" s="33" t="n">
        <f aca="false">In_PPA_Price*(1+In_PPA_Esc)^(DH$7-YEAR(In_COD))</f>
        <v>112.024427377583</v>
      </c>
      <c r="DI74" s="33" t="n">
        <f aca="false">In_PPA_Price*(1+In_PPA_Esc)^(DI$7-YEAR(In_COD))</f>
        <v>112.024427377583</v>
      </c>
      <c r="DJ74" s="33" t="n">
        <f aca="false">In_PPA_Price*(1+In_PPA_Esc)^(DJ$7-YEAR(In_COD))</f>
        <v>112.024427377583</v>
      </c>
      <c r="DK74" s="33" t="n">
        <f aca="false">In_PPA_Price*(1+In_PPA_Esc)^(DK$7-YEAR(In_COD))</f>
        <v>113.144671651359</v>
      </c>
      <c r="DL74" s="33" t="n">
        <f aca="false">In_PPA_Price*(1+In_PPA_Esc)^(DL$7-YEAR(In_COD))</f>
        <v>113.144671651359</v>
      </c>
      <c r="DM74" s="33" t="n">
        <f aca="false">In_PPA_Price*(1+In_PPA_Esc)^(DM$7-YEAR(In_COD))</f>
        <v>113.144671651359</v>
      </c>
      <c r="DN74" s="33" t="n">
        <f aca="false">In_PPA_Price*(1+In_PPA_Esc)^(DN$7-YEAR(In_COD))</f>
        <v>113.144671651359</v>
      </c>
      <c r="DO74" s="33" t="n">
        <f aca="false">In_PPA_Price*(1+In_PPA_Esc)^(DO$7-YEAR(In_COD))</f>
        <v>114.276118367872</v>
      </c>
      <c r="DP74" s="33" t="n">
        <f aca="false">In_PPA_Price*(1+In_PPA_Esc)^(DP$7-YEAR(In_COD))</f>
        <v>114.276118367872</v>
      </c>
      <c r="DQ74" s="33" t="n">
        <f aca="false">In_PPA_Price*(1+In_PPA_Esc)^(DQ$7-YEAR(In_COD))</f>
        <v>114.276118367872</v>
      </c>
      <c r="DR74" s="33" t="n">
        <f aca="false">In_PPA_Price*(1+In_PPA_Esc)^(DR$7-YEAR(In_COD))</f>
        <v>114.276118367872</v>
      </c>
      <c r="DS74" s="33" t="n">
        <f aca="false">In_PPA_Price*(1+In_PPA_Esc)^(DS$7-YEAR(In_COD))</f>
        <v>115.418879551551</v>
      </c>
      <c r="DT74" s="33" t="n">
        <f aca="false">In_PPA_Price*(1+In_PPA_Esc)^(DT$7-YEAR(In_COD))</f>
        <v>115.418879551551</v>
      </c>
      <c r="DU74" s="33" t="n">
        <f aca="false">In_PPA_Price*(1+In_PPA_Esc)^(DU$7-YEAR(In_COD))</f>
        <v>115.418879551551</v>
      </c>
      <c r="DV74" s="33" t="n">
        <f aca="false">In_PPA_Price*(1+In_PPA_Esc)^(DV$7-YEAR(In_COD))</f>
        <v>115.418879551551</v>
      </c>
      <c r="DW74" s="33" t="n">
        <f aca="false">In_PPA_Price*(1+In_PPA_Esc)^(DW$7-YEAR(In_COD))</f>
        <v>116.573068347067</v>
      </c>
      <c r="DX74" s="33" t="n">
        <f aca="false">In_PPA_Price*(1+In_PPA_Esc)^(DX$7-YEAR(In_COD))</f>
        <v>116.573068347067</v>
      </c>
      <c r="DY74" s="33" t="n">
        <f aca="false">In_PPA_Price*(1+In_PPA_Esc)^(DY$7-YEAR(In_COD))</f>
        <v>116.573068347067</v>
      </c>
      <c r="DZ74" s="33" t="n">
        <f aca="false">In_PPA_Price*(1+In_PPA_Esc)^(DZ$7-YEAR(In_COD))</f>
        <v>116.573068347067</v>
      </c>
      <c r="EA74" s="33" t="n">
        <f aca="false">In_PPA_Price*(1+In_PPA_Esc)^(EA$7-YEAR(In_COD))</f>
        <v>117.738799030537</v>
      </c>
      <c r="EB74" s="33" t="n">
        <f aca="false">In_PPA_Price*(1+In_PPA_Esc)^(EB$7-YEAR(In_COD))</f>
        <v>117.738799030537</v>
      </c>
      <c r="EC74" s="33" t="n">
        <f aca="false">In_PPA_Price*(1+In_PPA_Esc)^(EC$7-YEAR(In_COD))</f>
        <v>117.738799030537</v>
      </c>
      <c r="ED74" s="33" t="n">
        <f aca="false">In_PPA_Price*(1+In_PPA_Esc)^(ED$7-YEAR(In_COD))</f>
        <v>117.738799030537</v>
      </c>
      <c r="EE74" s="33" t="n">
        <f aca="false">In_PPA_Price*(1+In_PPA_Esc)^(EE$7-YEAR(In_COD))</f>
        <v>118.916187020843</v>
      </c>
      <c r="EF74" s="33" t="n">
        <f aca="false">In_PPA_Price*(1+In_PPA_Esc)^(EF$7-YEAR(In_COD))</f>
        <v>118.916187020843</v>
      </c>
      <c r="EG74" s="33" t="n">
        <f aca="false">In_PPA_Price*(1+In_PPA_Esc)^(EG$7-YEAR(In_COD))</f>
        <v>118.916187020843</v>
      </c>
      <c r="EH74" s="33" t="n">
        <f aca="false">In_PPA_Price*(1+In_PPA_Esc)^(EH$7-YEAR(In_COD))</f>
        <v>118.916187020843</v>
      </c>
      <c r="EI74" s="33" t="n">
        <f aca="false">In_PPA_Price*(1+In_PPA_Esc)^(EI$7-YEAR(In_COD))</f>
        <v>120.105348891051</v>
      </c>
      <c r="EJ74" s="33" t="n">
        <f aca="false">In_PPA_Price*(1+In_PPA_Esc)^(EJ$7-YEAR(In_COD))</f>
        <v>120.105348891051</v>
      </c>
      <c r="EK74" s="33" t="n">
        <f aca="false">In_PPA_Price*(1+In_PPA_Esc)^(EK$7-YEAR(In_COD))</f>
        <v>120.105348891051</v>
      </c>
      <c r="EL74" s="33" t="n">
        <f aca="false">In_PPA_Price*(1+In_PPA_Esc)^(EL$7-YEAR(In_COD))</f>
        <v>120.105348891051</v>
      </c>
      <c r="EM74" s="33" t="n">
        <f aca="false">In_PPA_Price*(1+In_PPA_Esc)^(EM$7-YEAR(In_COD))</f>
        <v>121.306402379962</v>
      </c>
      <c r="EN74" s="33" t="n">
        <f aca="false">In_PPA_Price*(1+In_PPA_Esc)^(EN$7-YEAR(In_COD))</f>
        <v>121.306402379962</v>
      </c>
      <c r="EO74" s="33" t="n">
        <f aca="false">In_PPA_Price*(1+In_PPA_Esc)^(EO$7-YEAR(In_COD))</f>
        <v>121.306402379962</v>
      </c>
    </row>
    <row r="75" customFormat="false" ht="15" hidden="false" customHeight="false" outlineLevel="0" collapsed="false">
      <c r="C75" s="1" t="s">
        <v>468</v>
      </c>
      <c r="D75" s="12" t="s">
        <v>70</v>
      </c>
      <c r="E75" s="49" t="n">
        <f aca="false">SUMIF($J$7:$EO$7,YEAR(In_COD)+1,$J75:$EO75)</f>
        <v>139397.5128</v>
      </c>
      <c r="I75" s="49" t="n">
        <f aca="false">SUM(J75:EO75)</f>
        <v>4010958.36031905</v>
      </c>
      <c r="J75" s="49" t="n">
        <f aca="false">$F25*In_P50_Hours*(1-In_Curtailment)*(1-$E29)*(1-In_Degradation)^(J21-1)*J16*J$6</f>
        <v>0</v>
      </c>
      <c r="K75" s="49" t="n">
        <f aca="false">$F25*In_P50_Hours*(1-In_Curtailment)*(1-$E29)*(1-In_Degradation)^(K21-1)*K16*K$6</f>
        <v>0</v>
      </c>
      <c r="L75" s="49" t="n">
        <f aca="false">$F25*In_P50_Hours*(1-In_Curtailment)*(1-$E29)*(1-In_Degradation)^(L21-1)*L16*L$6</f>
        <v>0</v>
      </c>
      <c r="M75" s="49" t="n">
        <f aca="false">$F25*In_P50_Hours*(1-In_Curtailment)*(1-$E29)*(1-In_Degradation)^(M21-1)*M16*M$6</f>
        <v>0</v>
      </c>
      <c r="N75" s="49" t="n">
        <f aca="false">$F25*In_P50_Hours*(1-In_Curtailment)*(1-$E29)*(1-In_Degradation)^(N21-1)*N16*N$6</f>
        <v>0</v>
      </c>
      <c r="O75" s="49" t="n">
        <f aca="false">$F25*In_P50_Hours*(1-In_Curtailment)*(1-$E29)*(1-In_Degradation)^(O21-1)*O16*O$6</f>
        <v>0</v>
      </c>
      <c r="P75" s="49" t="n">
        <f aca="false">$F25*In_P50_Hours*(1-In_Curtailment)*(1-$E29)*(1-In_Degradation)^(P21-1)*P16*P$6</f>
        <v>0</v>
      </c>
      <c r="Q75" s="49" t="n">
        <f aca="false">$F25*In_P50_Hours*(1-In_Curtailment)*(1-$E29)*(1-In_Degradation)^(Q21-1)*Q16*Q$6</f>
        <v>0</v>
      </c>
      <c r="R75" s="49" t="n">
        <f aca="false">$F25*In_P50_Hours*(1-In_Curtailment)*(1-$E29)*(1-In_Degradation)^(R21-1)*R16*R$6</f>
        <v>0</v>
      </c>
      <c r="S75" s="49" t="n">
        <f aca="false">$F25*In_P50_Hours*(1-In_Curtailment)*(1-$E29)*(1-In_Degradation)^(S21-1)*S16*S$6</f>
        <v>0</v>
      </c>
      <c r="T75" s="49" t="n">
        <f aca="false">$F25*In_P50_Hours*(1-In_Curtailment)*(1-$E29)*(1-In_Degradation)^(T21-1)*T16*T$6</f>
        <v>0</v>
      </c>
      <c r="U75" s="49" t="n">
        <f aca="false">$F25*In_P50_Hours*(1-In_Curtailment)*(1-$E29)*(1-In_Degradation)^(U21-1)*U16*U$6</f>
        <v>0</v>
      </c>
      <c r="V75" s="49" t="n">
        <f aca="false">$F25*In_P50_Hours*(1-In_Curtailment)*(1-$E29)*(1-In_Degradation)^(V21-1)*V16*V$6</f>
        <v>0</v>
      </c>
      <c r="W75" s="49" t="n">
        <f aca="false">$F25*In_P50_Hours*(1-In_Curtailment)*(1-$E29)*(1-In_Degradation)^(W21-1)*W16*W$6</f>
        <v>0</v>
      </c>
      <c r="X75" s="49" t="n">
        <f aca="false">$F25*In_P50_Hours*(1-In_Curtailment)*(1-$E29)*(1-In_Degradation)^(X21-1)*X16*X$6</f>
        <v>0</v>
      </c>
      <c r="Y75" s="49" t="n">
        <f aca="false">$F25*In_P50_Hours*(1-In_Curtailment)*(1-$E29)*(1-In_Degradation)^(Y21-1)*Y16*Y$6</f>
        <v>0</v>
      </c>
      <c r="Z75" s="49" t="n">
        <f aca="false">$F25*In_P50_Hours*(1-In_Curtailment)*(1-$E29)*(1-In_Degradation)^(Z21-1)*Z16*Z$6</f>
        <v>35162.4</v>
      </c>
      <c r="AA75" s="49" t="n">
        <f aca="false">$F25*In_P50_Hours*(1-In_Curtailment)*(1-$E29)*(1-In_Degradation)^(AA21-1)*AA16*AA$6</f>
        <v>34398</v>
      </c>
      <c r="AB75" s="49" t="n">
        <f aca="false">$F25*In_P50_Hours*(1-In_Curtailment)*(1-$E29)*(1-In_Degradation)^(AB21-1)*AB16*AB$6</f>
        <v>34780.2</v>
      </c>
      <c r="AC75" s="49" t="n">
        <f aca="false">$F25*In_P50_Hours*(1-In_Curtailment)*(1-$E29)*(1-In_Degradation)^(AC21-1)*AC16*AC$6</f>
        <v>35162.4</v>
      </c>
      <c r="AD75" s="49" t="n">
        <f aca="false">$F25*In_P50_Hours*(1-In_Curtailment)*(1-$E29)*(1-In_Degradation)^(AD21-1)*AD16*AD$6</f>
        <v>35056.9128</v>
      </c>
      <c r="AE75" s="49" t="n">
        <f aca="false">$F25*In_P50_Hours*(1-In_Curtailment)*(1-$E29)*(1-In_Degradation)^(AE21-1)*AE16*AE$6</f>
        <v>34675.8594</v>
      </c>
      <c r="AF75" s="49" t="n">
        <f aca="false">$F25*In_P50_Hours*(1-In_Curtailment)*(1-$E29)*(1-In_Degradation)^(AF21-1)*AF16*AF$6</f>
        <v>34675.8594</v>
      </c>
      <c r="AG75" s="49" t="n">
        <f aca="false">$F25*In_P50_Hours*(1-In_Curtailment)*(1-$E29)*(1-In_Degradation)^(AG21-1)*AG16*AG$6</f>
        <v>35056.9128</v>
      </c>
      <c r="AH75" s="49" t="n">
        <f aca="false">$F25*In_P50_Hours*(1-In_Curtailment)*(1-$E29)*(1-In_Degradation)^(AH21-1)*AH16*AH$6</f>
        <v>34951.7420616</v>
      </c>
      <c r="AI75" s="49" t="n">
        <f aca="false">$F25*In_P50_Hours*(1-In_Curtailment)*(1-$E29)*(1-In_Degradation)^(AI21-1)*AI16*AI$6</f>
        <v>34191.921582</v>
      </c>
      <c r="AJ75" s="49" t="n">
        <f aca="false">$F25*In_P50_Hours*(1-In_Curtailment)*(1-$E29)*(1-In_Degradation)^(AJ21-1)*AJ16*AJ$6</f>
        <v>34571.8318218</v>
      </c>
      <c r="AK75" s="49" t="n">
        <f aca="false">$F25*In_P50_Hours*(1-In_Curtailment)*(1-$E29)*(1-In_Degradation)^(AK21-1)*AK16*AK$6</f>
        <v>34951.7420616</v>
      </c>
      <c r="AL75" s="49" t="n">
        <f aca="false">$F25*In_P50_Hours*(1-In_Curtailment)*(1-$E29)*(1-In_Degradation)^(AL21-1)*AL16*AL$6</f>
        <v>34846.8868354152</v>
      </c>
      <c r="AM75" s="49" t="n">
        <f aca="false">$F25*In_P50_Hours*(1-In_Curtailment)*(1-$E29)*(1-In_Degradation)^(AM21-1)*AM16*AM$6</f>
        <v>34089.345817254</v>
      </c>
      <c r="AN75" s="49" t="n">
        <f aca="false">$F25*In_P50_Hours*(1-In_Curtailment)*(1-$E29)*(1-In_Degradation)^(AN21-1)*AN16*AN$6</f>
        <v>34468.1163263346</v>
      </c>
      <c r="AO75" s="49" t="n">
        <f aca="false">$F25*In_P50_Hours*(1-In_Curtailment)*(1-$E29)*(1-In_Degradation)^(AO21-1)*AO16*AO$6</f>
        <v>34846.8868354152</v>
      </c>
      <c r="AP75" s="49" t="n">
        <f aca="false">$F25*In_P50_Hours*(1-In_Curtailment)*(1-$E29)*(1-In_Degradation)^(AP21-1)*AP16*AP$6</f>
        <v>34742.346174909</v>
      </c>
      <c r="AQ75" s="49" t="n">
        <f aca="false">$F25*In_P50_Hours*(1-In_Curtailment)*(1-$E29)*(1-In_Degradation)^(AQ21-1)*AQ16*AQ$6</f>
        <v>33987.0777798023</v>
      </c>
      <c r="AR75" s="49" t="n">
        <f aca="false">$F25*In_P50_Hours*(1-In_Curtailment)*(1-$E29)*(1-In_Degradation)^(AR21-1)*AR16*AR$6</f>
        <v>34364.7119773556</v>
      </c>
      <c r="AS75" s="49" t="n">
        <f aca="false">$F25*In_P50_Hours*(1-In_Curtailment)*(1-$E29)*(1-In_Degradation)^(AS21-1)*AS16*AS$6</f>
        <v>34742.346174909</v>
      </c>
      <c r="AT75" s="49" t="n">
        <f aca="false">$F25*In_P50_Hours*(1-In_Curtailment)*(1-$E29)*(1-In_Degradation)^(AT21-1)*AT16*AT$6</f>
        <v>34638.1191363842</v>
      </c>
      <c r="AU75" s="49" t="n">
        <f aca="false">$F25*In_P50_Hours*(1-In_Curtailment)*(1-$E29)*(1-In_Degradation)^(AU21-1)*AU16*AU$6</f>
        <v>34261.6178414235</v>
      </c>
      <c r="AV75" s="49" t="n">
        <f aca="false">$F25*In_P50_Hours*(1-In_Curtailment)*(1-$E29)*(1-In_Degradation)^(AV21-1)*AV16*AV$6</f>
        <v>34261.6178414235</v>
      </c>
      <c r="AW75" s="49" t="n">
        <f aca="false">$F25*In_P50_Hours*(1-In_Curtailment)*(1-$E29)*(1-In_Degradation)^(AW21-1)*AW16*AW$6</f>
        <v>34638.1191363842</v>
      </c>
      <c r="AX75" s="49" t="n">
        <f aca="false">$F25*In_P50_Hours*(1-In_Curtailment)*(1-$E29)*(1-In_Degradation)^(AX21-1)*AX16*AX$6</f>
        <v>34534.2047789751</v>
      </c>
      <c r="AY75" s="49" t="n">
        <f aca="false">$F25*In_P50_Hours*(1-In_Curtailment)*(1-$E29)*(1-In_Degradation)^(AY21-1)*AY16*AY$6</f>
        <v>33783.4611968235</v>
      </c>
      <c r="AZ75" s="49" t="n">
        <f aca="false">$F25*In_P50_Hours*(1-In_Curtailment)*(1-$E29)*(1-In_Degradation)^(AZ21-1)*AZ16*AZ$6</f>
        <v>34158.8329878993</v>
      </c>
      <c r="BA75" s="49" t="n">
        <f aca="false">$F25*In_P50_Hours*(1-In_Curtailment)*(1-$E29)*(1-In_Degradation)^(BA21-1)*BA16*BA$6</f>
        <v>34534.2047789751</v>
      </c>
      <c r="BB75" s="49" t="n">
        <f aca="false">$F25*In_P50_Hours*(1-In_Curtailment)*(1-$E29)*(1-In_Degradation)^(BB21-1)*BB16*BB$6</f>
        <v>34430.6021646382</v>
      </c>
      <c r="BC75" s="49" t="n">
        <f aca="false">$F25*In_P50_Hours*(1-In_Curtailment)*(1-$E29)*(1-In_Degradation)^(BC21-1)*BC16*BC$6</f>
        <v>33682.110813233</v>
      </c>
      <c r="BD75" s="49" t="n">
        <f aca="false">$F25*In_P50_Hours*(1-In_Curtailment)*(1-$E29)*(1-In_Degradation)^(BD21-1)*BD16*BD$6</f>
        <v>34056.3564889356</v>
      </c>
      <c r="BE75" s="49" t="n">
        <f aca="false">$F25*In_P50_Hours*(1-In_Curtailment)*(1-$E29)*(1-In_Degradation)^(BE21-1)*BE16*BE$6</f>
        <v>34430.6021646382</v>
      </c>
      <c r="BF75" s="49" t="n">
        <f aca="false">$F25*In_P50_Hours*(1-In_Curtailment)*(1-$E29)*(1-In_Degradation)^(BF21-1)*BF16*BF$6</f>
        <v>34327.3103581443</v>
      </c>
      <c r="BG75" s="49" t="n">
        <f aca="false">$F25*In_P50_Hours*(1-In_Curtailment)*(1-$E29)*(1-In_Degradation)^(BG21-1)*BG16*BG$6</f>
        <v>33581.0644807933</v>
      </c>
      <c r="BH75" s="49" t="n">
        <f aca="false">$F25*In_P50_Hours*(1-In_Curtailment)*(1-$E29)*(1-In_Degradation)^(BH21-1)*BH16*BH$6</f>
        <v>33954.1874194688</v>
      </c>
      <c r="BI75" s="49" t="n">
        <f aca="false">$F25*In_P50_Hours*(1-In_Curtailment)*(1-$E29)*(1-In_Degradation)^(BI21-1)*BI16*BI$6</f>
        <v>34327.3103581443</v>
      </c>
      <c r="BJ75" s="49" t="n">
        <f aca="false">$F25*In_P50_Hours*(1-In_Curtailment)*(1-$E29)*(1-In_Degradation)^(BJ21-1)*BJ16*BJ$6</f>
        <v>34224.3284270698</v>
      </c>
      <c r="BK75" s="49" t="n">
        <f aca="false">$F25*In_P50_Hours*(1-In_Curtailment)*(1-$E29)*(1-In_Degradation)^(BK21-1)*BK16*BK$6</f>
        <v>33852.3248572104</v>
      </c>
      <c r="BL75" s="49" t="n">
        <f aca="false">$F25*In_P50_Hours*(1-In_Curtailment)*(1-$E29)*(1-In_Degradation)^(BL21-1)*BL16*BL$6</f>
        <v>33852.3248572104</v>
      </c>
      <c r="BM75" s="49" t="n">
        <f aca="false">$F25*In_P50_Hours*(1-In_Curtailment)*(1-$E29)*(1-In_Degradation)^(BM21-1)*BM16*BM$6</f>
        <v>34224.3284270698</v>
      </c>
      <c r="BN75" s="49" t="n">
        <f aca="false">$F25*In_P50_Hours*(1-In_Curtailment)*(1-$E29)*(1-In_Degradation)^(BN21-1)*BN16*BN$6</f>
        <v>34121.6554417886</v>
      </c>
      <c r="BO75" s="49" t="n">
        <f aca="false">$F25*In_P50_Hours*(1-In_Curtailment)*(1-$E29)*(1-In_Degradation)^(BO21-1)*BO16*BO$6</f>
        <v>33379.8803234888</v>
      </c>
      <c r="BP75" s="49" t="n">
        <f aca="false">$F25*In_P50_Hours*(1-In_Curtailment)*(1-$E29)*(1-In_Degradation)^(BP21-1)*BP16*BP$6</f>
        <v>33750.7678826387</v>
      </c>
      <c r="BQ75" s="49" t="n">
        <f aca="false">$F25*In_P50_Hours*(1-In_Curtailment)*(1-$E29)*(1-In_Degradation)^(BQ21-1)*BQ16*BQ$6</f>
        <v>34121.6554417886</v>
      </c>
      <c r="BR75" s="49" t="n">
        <f aca="false">$F25*In_P50_Hours*(1-In_Curtailment)*(1-$E29)*(1-In_Degradation)^(BR21-1)*BR16*BR$6</f>
        <v>34019.2904754632</v>
      </c>
      <c r="BS75" s="49" t="n">
        <f aca="false">$F25*In_P50_Hours*(1-In_Curtailment)*(1-$E29)*(1-In_Degradation)^(BS21-1)*BS16*BS$6</f>
        <v>33279.7406825184</v>
      </c>
      <c r="BT75" s="49" t="n">
        <f aca="false">$F25*In_P50_Hours*(1-In_Curtailment)*(1-$E29)*(1-In_Degradation)^(BT21-1)*BT16*BT$6</f>
        <v>33649.5155789908</v>
      </c>
      <c r="BU75" s="49" t="n">
        <f aca="false">$F25*In_P50_Hours*(1-In_Curtailment)*(1-$E29)*(1-In_Degradation)^(BU21-1)*BU16*BU$6</f>
        <v>34019.2904754632</v>
      </c>
      <c r="BV75" s="49" t="n">
        <f aca="false">$F25*In_P50_Hours*(1-In_Curtailment)*(1-$E29)*(1-In_Degradation)^(BV21-1)*BV16*BV$6</f>
        <v>33917.2326040368</v>
      </c>
      <c r="BW75" s="49" t="n">
        <f aca="false">$F25*In_P50_Hours*(1-In_Curtailment)*(1-$E29)*(1-In_Degradation)^(BW21-1)*BW16*BW$6</f>
        <v>33179.9014604708</v>
      </c>
      <c r="BX75" s="49" t="n">
        <f aca="false">$F25*In_P50_Hours*(1-In_Curtailment)*(1-$E29)*(1-In_Degradation)^(BX21-1)*BX16*BX$6</f>
        <v>33548.5670322538</v>
      </c>
      <c r="BY75" s="49" t="n">
        <f aca="false">$F25*In_P50_Hours*(1-In_Curtailment)*(1-$E29)*(1-In_Degradation)^(BY21-1)*BY16*BY$6</f>
        <v>33917.2326040368</v>
      </c>
      <c r="BZ75" s="49" t="n">
        <f aca="false">$F25*In_P50_Hours*(1-In_Curtailment)*(1-$E29)*(1-In_Degradation)^(BZ21-1)*BZ16*BZ$6</f>
        <v>33815.4809062247</v>
      </c>
      <c r="CA75" s="49" t="n">
        <f aca="false">$F25*In_P50_Hours*(1-In_Curtailment)*(1-$E29)*(1-In_Degradation)^(CA21-1)*CA16*CA$6</f>
        <v>33447.9213311571</v>
      </c>
      <c r="CB75" s="49" t="n">
        <f aca="false">$F25*In_P50_Hours*(1-In_Curtailment)*(1-$E29)*(1-In_Degradation)^(CB21-1)*CB16*CB$6</f>
        <v>33447.9213311571</v>
      </c>
      <c r="CC75" s="49" t="n">
        <f aca="false">$F25*In_P50_Hours*(1-In_Curtailment)*(1-$E29)*(1-In_Degradation)^(CC21-1)*CC16*CC$6</f>
        <v>33815.4809062247</v>
      </c>
      <c r="CD75" s="49" t="n">
        <f aca="false">$F25*In_P50_Hours*(1-In_Curtailment)*(1-$E29)*(1-In_Degradation)^(CD21-1)*CD16*CD$6</f>
        <v>33714.0344635061</v>
      </c>
      <c r="CE75" s="49" t="n">
        <f aca="false">$F25*In_P50_Hours*(1-In_Curtailment)*(1-$E29)*(1-In_Degradation)^(CE21-1)*CE16*CE$6</f>
        <v>32981.1206708211</v>
      </c>
      <c r="CF75" s="49" t="n">
        <f aca="false">$F25*In_P50_Hours*(1-In_Curtailment)*(1-$E29)*(1-In_Degradation)^(CF21-1)*CF16*CF$6</f>
        <v>33347.5775671636</v>
      </c>
      <c r="CG75" s="49" t="n">
        <f aca="false">$F25*In_P50_Hours*(1-In_Curtailment)*(1-$E29)*(1-In_Degradation)^(CG21-1)*CG16*CG$6</f>
        <v>33714.0344635061</v>
      </c>
      <c r="CH75" s="49" t="n">
        <f aca="false">$F25*In_P50_Hours*(1-In_Curtailment)*(1-$E29)*(1-In_Degradation)^(CH21-1)*CH16*CH$6</f>
        <v>33612.8923601155</v>
      </c>
      <c r="CI75" s="49" t="n">
        <f aca="false">$F25*In_P50_Hours*(1-In_Curtailment)*(1-$E29)*(1-In_Degradation)^(CI21-1)*CI16*CI$6</f>
        <v>32882.1773088087</v>
      </c>
      <c r="CJ75" s="49" t="n">
        <f aca="false">$F25*In_P50_Hours*(1-In_Curtailment)*(1-$E29)*(1-In_Degradation)^(CJ21-1)*CJ16*CJ$6</f>
        <v>33247.5348344621</v>
      </c>
      <c r="CK75" s="49" t="n">
        <f aca="false">$F25*In_P50_Hours*(1-In_Curtailment)*(1-$E29)*(1-In_Degradation)^(CK21-1)*CK16*CK$6</f>
        <v>33612.8923601155</v>
      </c>
      <c r="CL75" s="49" t="n">
        <f aca="false">$F25*In_P50_Hours*(1-In_Curtailment)*(1-$E29)*(1-In_Degradation)^(CL21-1)*CL16*CL$6</f>
        <v>33512.0536830352</v>
      </c>
      <c r="CM75" s="49" t="n">
        <f aca="false">$F25*In_P50_Hours*(1-In_Curtailment)*(1-$E29)*(1-In_Degradation)^(CM21-1)*CM16*CM$6</f>
        <v>32783.5307768823</v>
      </c>
      <c r="CN75" s="49" t="n">
        <f aca="false">$F25*In_P50_Hours*(1-In_Curtailment)*(1-$E29)*(1-In_Degradation)^(CN21-1)*CN16*CN$6</f>
        <v>33147.7922299587</v>
      </c>
      <c r="CO75" s="49" t="n">
        <f aca="false">$F25*In_P50_Hours*(1-In_Curtailment)*(1-$E29)*(1-In_Degradation)^(CO21-1)*CO16*CO$6</f>
        <v>33512.0536830352</v>
      </c>
      <c r="CP75" s="49" t="n">
        <f aca="false">$F25*In_P50_Hours*(1-In_Curtailment)*(1-$E29)*(1-In_Degradation)^(CP21-1)*CP16*CP$6</f>
        <v>33411.5175219861</v>
      </c>
      <c r="CQ75" s="49" t="n">
        <f aca="false">$F25*In_P50_Hours*(1-In_Curtailment)*(1-$E29)*(1-In_Degradation)^(CQ21-1)*CQ16*CQ$6</f>
        <v>33048.3488532689</v>
      </c>
      <c r="CR75" s="49" t="n">
        <f aca="false">$F25*In_P50_Hours*(1-In_Curtailment)*(1-$E29)*(1-In_Degradation)^(CR21-1)*CR16*CR$6</f>
        <v>33048.3488532689</v>
      </c>
      <c r="CS75" s="49" t="n">
        <f aca="false">$F25*In_P50_Hours*(1-In_Curtailment)*(1-$E29)*(1-In_Degradation)^(CS21-1)*CS16*CS$6</f>
        <v>33411.5175219861</v>
      </c>
      <c r="CT75" s="49" t="n">
        <f aca="false">$F25*In_P50_Hours*(1-In_Curtailment)*(1-$E29)*(1-In_Degradation)^(CT21-1)*CT16*CT$6</f>
        <v>33311.2829694201</v>
      </c>
      <c r="CU75" s="49" t="n">
        <f aca="false">$F25*In_P50_Hours*(1-In_Curtailment)*(1-$E29)*(1-In_Degradation)^(CU21-1)*CU16*CU$6</f>
        <v>32587.124643998</v>
      </c>
      <c r="CV75" s="49" t="n">
        <f aca="false">$F25*In_P50_Hours*(1-In_Curtailment)*(1-$E29)*(1-In_Degradation)^(CV21-1)*CV16*CV$6</f>
        <v>32949.2038067091</v>
      </c>
      <c r="CW75" s="49" t="n">
        <f aca="false">$F25*In_P50_Hours*(1-In_Curtailment)*(1-$E29)*(1-In_Degradation)^(CW21-1)*CW16*CW$6</f>
        <v>33311.2829694201</v>
      </c>
      <c r="CX75" s="49" t="n">
        <f aca="false">$F25*In_P50_Hours*(1-In_Curtailment)*(1-$E29)*(1-In_Degradation)^(CX21-1)*CX16*CX$6</f>
        <v>33211.3491205119</v>
      </c>
      <c r="CY75" s="49" t="n">
        <f aca="false">$F25*In_P50_Hours*(1-In_Curtailment)*(1-$E29)*(1-In_Degradation)^(CY21-1)*CY16*CY$6</f>
        <v>32489.363270066</v>
      </c>
      <c r="CZ75" s="49" t="n">
        <f aca="false">$F25*In_P50_Hours*(1-In_Curtailment)*(1-$E29)*(1-In_Degradation)^(CZ21-1)*CZ16*CZ$6</f>
        <v>32850.3561952889</v>
      </c>
      <c r="DA75" s="49" t="n">
        <f aca="false">$F25*In_P50_Hours*(1-In_Curtailment)*(1-$E29)*(1-In_Degradation)^(DA21-1)*DA16*DA$6</f>
        <v>33211.3491205119</v>
      </c>
      <c r="DB75" s="49" t="n">
        <f aca="false">$F25*In_P50_Hours*(1-In_Curtailment)*(1-$E29)*(1-In_Degradation)^(DB21-1)*DB16*DB$6</f>
        <v>33111.7150731503</v>
      </c>
      <c r="DC75" s="49" t="n">
        <f aca="false">$F25*In_P50_Hours*(1-In_Curtailment)*(1-$E29)*(1-In_Degradation)^(DC21-1)*DC16*DC$6</f>
        <v>32391.8951802558</v>
      </c>
      <c r="DD75" s="49" t="n">
        <f aca="false">$F25*In_P50_Hours*(1-In_Curtailment)*(1-$E29)*(1-In_Degradation)^(DD21-1)*DD16*DD$6</f>
        <v>32751.8051267031</v>
      </c>
      <c r="DE75" s="49" t="n">
        <f aca="false">$F25*In_P50_Hours*(1-In_Curtailment)*(1-$E29)*(1-In_Degradation)^(DE21-1)*DE16*DE$6</f>
        <v>33111.7150731503</v>
      </c>
      <c r="DF75" s="49" t="n">
        <f aca="false">$F25*In_P50_Hours*(1-In_Curtailment)*(1-$E29)*(1-In_Degradation)^(DF21-1)*DF16*DF$6</f>
        <v>33012.3799279309</v>
      </c>
      <c r="DG75" s="49" t="n">
        <f aca="false">$F25*In_P50_Hours*(1-In_Curtailment)*(1-$E29)*(1-In_Degradation)^(DG21-1)*DG16*DG$6</f>
        <v>32653.5497113229</v>
      </c>
      <c r="DH75" s="49" t="n">
        <f aca="false">$F25*In_P50_Hours*(1-In_Curtailment)*(1-$E29)*(1-In_Degradation)^(DH21-1)*DH16*DH$6</f>
        <v>32653.5497113229</v>
      </c>
      <c r="DI75" s="49" t="n">
        <f aca="false">$F25*In_P50_Hours*(1-In_Curtailment)*(1-$E29)*(1-In_Degradation)^(DI21-1)*DI16*DI$6</f>
        <v>33012.3799279309</v>
      </c>
      <c r="DJ75" s="49" t="n">
        <f aca="false">$F25*In_P50_Hours*(1-In_Curtailment)*(1-$E29)*(1-In_Degradation)^(DJ21-1)*DJ16*DJ$6</f>
        <v>32913.3427881471</v>
      </c>
      <c r="DK75" s="49" t="n">
        <f aca="false">$F25*In_P50_Hours*(1-In_Curtailment)*(1-$E29)*(1-In_Degradation)^(DK21-1)*DK16*DK$6</f>
        <v>32197.8353362308</v>
      </c>
      <c r="DL75" s="49" t="n">
        <f aca="false">$F25*In_P50_Hours*(1-In_Curtailment)*(1-$E29)*(1-In_Degradation)^(DL21-1)*DL16*DL$6</f>
        <v>32555.589062189</v>
      </c>
      <c r="DM75" s="49" t="n">
        <f aca="false">$F25*In_P50_Hours*(1-In_Curtailment)*(1-$E29)*(1-In_Degradation)^(DM21-1)*DM16*DM$6</f>
        <v>32913.3427881471</v>
      </c>
      <c r="DN75" s="49" t="n">
        <f aca="false">$F25*In_P50_Hours*(1-In_Curtailment)*(1-$E29)*(1-In_Degradation)^(DN21-1)*DN16*DN$6</f>
        <v>32814.6027597827</v>
      </c>
      <c r="DO75" s="49" t="n">
        <f aca="false">$F25*In_P50_Hours*(1-In_Curtailment)*(1-$E29)*(1-In_Degradation)^(DO21-1)*DO16*DO$6</f>
        <v>32101.2418302222</v>
      </c>
      <c r="DP75" s="49" t="n">
        <f aca="false">$F25*In_P50_Hours*(1-In_Curtailment)*(1-$E29)*(1-In_Degradation)^(DP21-1)*DP16*DP$6</f>
        <v>32457.9222950024</v>
      </c>
      <c r="DQ75" s="49" t="n">
        <f aca="false">$F25*In_P50_Hours*(1-In_Curtailment)*(1-$E29)*(1-In_Degradation)^(DQ21-1)*DQ16*DQ$6</f>
        <v>32814.6027597827</v>
      </c>
      <c r="DR75" s="49" t="n">
        <f aca="false">$F25*In_P50_Hours*(1-In_Curtailment)*(1-$E29)*(1-In_Degradation)^(DR21-1)*DR16*DR$6</f>
        <v>32716.1589515033</v>
      </c>
      <c r="DS75" s="49" t="n">
        <f aca="false">$F25*In_P50_Hours*(1-In_Curtailment)*(1-$E29)*(1-In_Degradation)^(DS21-1)*DS16*DS$6</f>
        <v>32004.9381047315</v>
      </c>
      <c r="DT75" s="49" t="n">
        <f aca="false">$F25*In_P50_Hours*(1-In_Curtailment)*(1-$E29)*(1-In_Degradation)^(DT21-1)*DT16*DT$6</f>
        <v>32360.5485281174</v>
      </c>
      <c r="DU75" s="49" t="n">
        <f aca="false">$F25*In_P50_Hours*(1-In_Curtailment)*(1-$E29)*(1-In_Degradation)^(DU21-1)*DU16*DU$6</f>
        <v>32716.1589515033</v>
      </c>
      <c r="DV75" s="49" t="n">
        <f aca="false">$F25*In_P50_Hours*(1-In_Curtailment)*(1-$E29)*(1-In_Degradation)^(DV21-1)*DV16*DV$6</f>
        <v>32618.0104746488</v>
      </c>
      <c r="DW75" s="49" t="n">
        <f aca="false">$F25*In_P50_Hours*(1-In_Curtailment)*(1-$E29)*(1-In_Degradation)^(DW21-1)*DW16*DW$6</f>
        <v>32263.466882533</v>
      </c>
      <c r="DX75" s="49" t="n">
        <f aca="false">$F25*In_P50_Hours*(1-In_Curtailment)*(1-$E29)*(1-In_Degradation)^(DX21-1)*DX16*DX$6</f>
        <v>32263.466882533</v>
      </c>
      <c r="DY75" s="49" t="n">
        <f aca="false">$F25*In_P50_Hours*(1-In_Curtailment)*(1-$E29)*(1-In_Degradation)^(DY21-1)*DY16*DY$6</f>
        <v>32618.0104746488</v>
      </c>
      <c r="DZ75" s="49" t="n">
        <f aca="false">$F25*In_P50_Hours*(1-In_Curtailment)*(1-$E29)*(1-In_Degradation)^(DZ21-1)*DZ16*DZ$6</f>
        <v>32520.1564432249</v>
      </c>
      <c r="EA75" s="49" t="n">
        <f aca="false">$F25*In_P50_Hours*(1-In_Curtailment)*(1-$E29)*(1-In_Degradation)^(EA21-1)*EA16*EA$6</f>
        <v>31813.196520546</v>
      </c>
      <c r="EB75" s="49" t="n">
        <f aca="false">$F25*In_P50_Hours*(1-In_Curtailment)*(1-$E29)*(1-In_Degradation)^(EB21-1)*EB16*EB$6</f>
        <v>32166.6764818854</v>
      </c>
      <c r="EC75" s="49" t="n">
        <f aca="false">$F25*In_P50_Hours*(1-In_Curtailment)*(1-$E29)*(1-In_Degradation)^(EC21-1)*EC16*EC$6</f>
        <v>32520.1564432249</v>
      </c>
      <c r="ED75" s="49" t="n">
        <f aca="false">$F25*In_P50_Hours*(1-In_Curtailment)*(1-$E29)*(1-In_Degradation)^(ED21-1)*ED16*ED$6</f>
        <v>32422.5959738952</v>
      </c>
      <c r="EE75" s="49" t="n">
        <f aca="false">$F25*In_P50_Hours*(1-In_Curtailment)*(1-$E29)*(1-In_Degradation)^(EE21-1)*EE16*EE$6</f>
        <v>31717.7569309844</v>
      </c>
      <c r="EF75" s="49" t="n">
        <f aca="false">$F25*In_P50_Hours*(1-In_Curtailment)*(1-$E29)*(1-In_Degradation)^(EF21-1)*EF16*EF$6</f>
        <v>32070.1764524398</v>
      </c>
      <c r="EG75" s="49" t="n">
        <f aca="false">$F25*In_P50_Hours*(1-In_Curtailment)*(1-$E29)*(1-In_Degradation)^(EG21-1)*EG16*EG$6</f>
        <v>32422.5959738952</v>
      </c>
      <c r="EH75" s="49" t="n">
        <f aca="false">$F25*In_P50_Hours*(1-In_Curtailment)*(1-$E29)*(1-In_Degradation)^(EH21-1)*EH16*EH$6</f>
        <v>32325.3281859735</v>
      </c>
      <c r="EI75" s="49" t="n">
        <f aca="false">$F25*In_P50_Hours*(1-In_Curtailment)*(1-$E29)*(1-In_Degradation)^(EI21-1)*EI16*EI$6</f>
        <v>31622.6036601915</v>
      </c>
      <c r="EJ75" s="49" t="n">
        <f aca="false">$F25*In_P50_Hours*(1-In_Curtailment)*(1-$E29)*(1-In_Degradation)^(EJ21-1)*EJ16*EJ$6</f>
        <v>31973.9659230825</v>
      </c>
      <c r="EK75" s="49" t="n">
        <f aca="false">$F25*In_P50_Hours*(1-In_Curtailment)*(1-$E29)*(1-In_Degradation)^(EK21-1)*EK16*EK$6</f>
        <v>32325.3281859735</v>
      </c>
      <c r="EL75" s="49" t="n">
        <f aca="false">$F25*In_P50_Hours*(1-In_Curtailment)*(1-$E29)*(1-In_Degradation)^(EL21-1)*EL16*EL$6</f>
        <v>32228.3522014156</v>
      </c>
      <c r="EM75" s="49" t="n">
        <f aca="false">$F25*In_P50_Hours*(1-In_Curtailment)*(1-$E29)*(1-In_Degradation)^(EM21-1)*EM16*EM$6</f>
        <v>31878.0440253132</v>
      </c>
      <c r="EN75" s="49" t="n">
        <f aca="false">$F25*In_P50_Hours*(1-In_Curtailment)*(1-$E29)*(1-In_Degradation)^(EN21-1)*EN16*EN$6</f>
        <v>31878.0440253132</v>
      </c>
      <c r="EO75" s="49" t="n">
        <f aca="false">$F25*In_P50_Hours*(1-In_Curtailment)*(1-$E29)*(1-In_Degradation)^(EO21-1)*EO16*EO$6</f>
        <v>32228.3522014156</v>
      </c>
    </row>
    <row r="76" customFormat="false" ht="15" hidden="false" customHeight="false" outlineLevel="0" collapsed="false">
      <c r="C76" s="1" t="s">
        <v>469</v>
      </c>
      <c r="D76" s="12" t="s">
        <v>33</v>
      </c>
      <c r="E76" s="49" t="n">
        <f aca="false">SUMIF($J$7:$EO$7,YEAR(In_COD)+1,$J76:$EO76)</f>
        <v>12671.23391352</v>
      </c>
      <c r="I76" s="49" t="n">
        <f aca="false">SUM(J76:EO76)</f>
        <v>420752.711777652</v>
      </c>
      <c r="J76" s="49" t="n">
        <f aca="false">J75*J74/Thousand</f>
        <v>0</v>
      </c>
      <c r="K76" s="49" t="n">
        <f aca="false">K75*K74/Thousand</f>
        <v>0</v>
      </c>
      <c r="L76" s="49" t="n">
        <f aca="false">L75*L74/Thousand</f>
        <v>0</v>
      </c>
      <c r="M76" s="49" t="n">
        <f aca="false">M75*M74/Thousand</f>
        <v>0</v>
      </c>
      <c r="N76" s="49" t="n">
        <f aca="false">N75*N74/Thousand</f>
        <v>0</v>
      </c>
      <c r="O76" s="49" t="n">
        <f aca="false">O75*O74/Thousand</f>
        <v>0</v>
      </c>
      <c r="P76" s="49" t="n">
        <f aca="false">P75*P74/Thousand</f>
        <v>0</v>
      </c>
      <c r="Q76" s="49" t="n">
        <f aca="false">Q75*Q74/Thousand</f>
        <v>0</v>
      </c>
      <c r="R76" s="49" t="n">
        <f aca="false">R75*R74/Thousand</f>
        <v>0</v>
      </c>
      <c r="S76" s="49" t="n">
        <f aca="false">S75*S74/Thousand</f>
        <v>0</v>
      </c>
      <c r="T76" s="49" t="n">
        <f aca="false">T75*T74/Thousand</f>
        <v>0</v>
      </c>
      <c r="U76" s="49" t="n">
        <f aca="false">U75*U74/Thousand</f>
        <v>0</v>
      </c>
      <c r="V76" s="49" t="n">
        <f aca="false">V75*V74/Thousand</f>
        <v>0</v>
      </c>
      <c r="W76" s="49" t="n">
        <f aca="false">W75*W74/Thousand</f>
        <v>0</v>
      </c>
      <c r="X76" s="49" t="n">
        <f aca="false">X75*X74/Thousand</f>
        <v>0</v>
      </c>
      <c r="Y76" s="49" t="n">
        <f aca="false">Y75*Y74/Thousand</f>
        <v>0</v>
      </c>
      <c r="Z76" s="49" t="n">
        <f aca="false">Z75*Z74/Thousand</f>
        <v>3164.616</v>
      </c>
      <c r="AA76" s="49" t="n">
        <f aca="false">AA75*AA74/Thousand</f>
        <v>3126.7782</v>
      </c>
      <c r="AB76" s="49" t="n">
        <f aca="false">AB75*AB74/Thousand</f>
        <v>3161.52018</v>
      </c>
      <c r="AC76" s="49" t="n">
        <f aca="false">AC75*AC74/Thousand</f>
        <v>3196.26216</v>
      </c>
      <c r="AD76" s="49" t="n">
        <f aca="false">AD75*AD74/Thousand</f>
        <v>3186.67337352</v>
      </c>
      <c r="AE76" s="49" t="n">
        <f aca="false">AE75*AE74/Thousand</f>
        <v>3183.5559756546</v>
      </c>
      <c r="AF76" s="49" t="n">
        <f aca="false">AF75*AF74/Thousand</f>
        <v>3183.5559756546</v>
      </c>
      <c r="AG76" s="49" t="n">
        <f aca="false">AG75*AG74/Thousand</f>
        <v>3218.5401072552</v>
      </c>
      <c r="AH76" s="49" t="n">
        <f aca="false">AH75*AH74/Thousand</f>
        <v>3208.88448693344</v>
      </c>
      <c r="AI76" s="49" t="n">
        <f aca="false">AI75*AI74/Thousand</f>
        <v>3170.51738980706</v>
      </c>
      <c r="AJ76" s="49" t="n">
        <f aca="false">AJ75*AJ74/Thousand</f>
        <v>3205.74536080491</v>
      </c>
      <c r="AK76" s="49" t="n">
        <f aca="false">AK75*AK74/Thousand</f>
        <v>3240.97333180277</v>
      </c>
      <c r="AL76" s="49" t="n">
        <f aca="false">AL75*AL74/Thousand</f>
        <v>3231.25041180736</v>
      </c>
      <c r="AM76" s="49" t="n">
        <f aca="false">AM75*AM74/Thousand</f>
        <v>3192.61589601401</v>
      </c>
      <c r="AN76" s="49" t="n">
        <f aca="false">AN75*AN74/Thousand</f>
        <v>3228.08940596972</v>
      </c>
      <c r="AO76" s="49" t="n">
        <f aca="false">AO75*AO74/Thousand</f>
        <v>3263.56291592544</v>
      </c>
      <c r="AP76" s="49" t="n">
        <f aca="false">AP75*AP74/Thousand</f>
        <v>3253.77222717766</v>
      </c>
      <c r="AQ76" s="49" t="n">
        <f aca="false">AQ75*AQ74/Thousand</f>
        <v>3214.86842880923</v>
      </c>
      <c r="AR76" s="49" t="n">
        <f aca="false">AR75*AR74/Thousand</f>
        <v>3250.58918912933</v>
      </c>
      <c r="AS76" s="49" t="n">
        <f aca="false">AS75*AS74/Thousand</f>
        <v>3286.30994944944</v>
      </c>
      <c r="AT76" s="49" t="n">
        <f aca="false">AT75*AT74/Thousand</f>
        <v>3276.45101960109</v>
      </c>
      <c r="AU76" s="49" t="n">
        <f aca="false">AU75*AU74/Thousand</f>
        <v>3273.24579577756</v>
      </c>
      <c r="AV76" s="49" t="n">
        <f aca="false">AV75*AV74/Thousand</f>
        <v>3273.24579577756</v>
      </c>
      <c r="AW76" s="49" t="n">
        <f aca="false">AW75*AW74/Thousand</f>
        <v>3309.2155297971</v>
      </c>
      <c r="AX76" s="49" t="n">
        <f aca="false">AX75*AX74/Thousand</f>
        <v>3299.28788320771</v>
      </c>
      <c r="AY76" s="49" t="n">
        <f aca="false">AY75*AY74/Thousand</f>
        <v>3259.83987590848</v>
      </c>
      <c r="AZ76" s="49" t="n">
        <f aca="false">AZ75*AZ74/Thousand</f>
        <v>3296.06031897413</v>
      </c>
      <c r="BA76" s="49" t="n">
        <f aca="false">BA75*BA74/Thousand</f>
        <v>3332.28076203978</v>
      </c>
      <c r="BB76" s="49" t="n">
        <f aca="false">BB75*BB74/Thousand</f>
        <v>3322.28391975366</v>
      </c>
      <c r="BC76" s="49" t="n">
        <f aca="false">BC75*BC74/Thousand</f>
        <v>3282.56095984357</v>
      </c>
      <c r="BD76" s="49" t="n">
        <f aca="false">BD75*BD74/Thousand</f>
        <v>3319.03385939738</v>
      </c>
      <c r="BE76" s="49" t="n">
        <f aca="false">BE75*BE74/Thousand</f>
        <v>3355.5067589512</v>
      </c>
      <c r="BF76" s="49" t="n">
        <f aca="false">BF75*BF74/Thousand</f>
        <v>3345.44023867435</v>
      </c>
      <c r="BG76" s="49" t="n">
        <f aca="false">BG75*BG74/Thousand</f>
        <v>3305.44040973368</v>
      </c>
      <c r="BH76" s="49" t="n">
        <f aca="false">BH75*BH74/Thousand</f>
        <v>3342.16752539738</v>
      </c>
      <c r="BI76" s="49" t="n">
        <f aca="false">BI75*BI74/Thousand</f>
        <v>3378.89464106109</v>
      </c>
      <c r="BJ76" s="49" t="n">
        <f aca="false">BJ75*BJ74/Thousand</f>
        <v>3368.75795713791</v>
      </c>
      <c r="BK76" s="49" t="n">
        <f aca="false">BK75*BK74/Thousand</f>
        <v>3365.4624330494</v>
      </c>
      <c r="BL76" s="49" t="n">
        <f aca="false">BL75*BL74/Thousand</f>
        <v>3365.4624330494</v>
      </c>
      <c r="BM76" s="49" t="n">
        <f aca="false">BM75*BM74/Thousand</f>
        <v>3402.44553670929</v>
      </c>
      <c r="BN76" s="49" t="n">
        <f aca="false">BN75*BN74/Thousand</f>
        <v>3392.23820009916</v>
      </c>
      <c r="BO76" s="49" t="n">
        <f aca="false">BO75*BO74/Thousand</f>
        <v>3351.67883031536</v>
      </c>
      <c r="BP76" s="49" t="n">
        <f aca="false">BP75*BP74/Thousand</f>
        <v>3388.91970620776</v>
      </c>
      <c r="BQ76" s="49" t="n">
        <f aca="false">BQ75*BQ74/Thousand</f>
        <v>3426.16058210015</v>
      </c>
      <c r="BR76" s="49" t="n">
        <f aca="false">BR75*BR74/Thousand</f>
        <v>3415.88210035385</v>
      </c>
      <c r="BS76" s="49" t="n">
        <f aca="false">BS75*BS74/Thousand</f>
        <v>3375.04003176266</v>
      </c>
      <c r="BT76" s="49" t="n">
        <f aca="false">BT75*BT74/Thousand</f>
        <v>3412.54047656003</v>
      </c>
      <c r="BU76" s="49" t="n">
        <f aca="false">BU75*BU74/Thousand</f>
        <v>3450.04092135739</v>
      </c>
      <c r="BV76" s="49" t="n">
        <f aca="false">BV75*BV74/Thousand</f>
        <v>3439.69079859332</v>
      </c>
      <c r="BW76" s="49" t="n">
        <f aca="false">BW75*BW74/Thousand</f>
        <v>3398.56406078405</v>
      </c>
      <c r="BX76" s="49" t="n">
        <f aca="false">BX75*BX74/Thousand</f>
        <v>3436.32588368165</v>
      </c>
      <c r="BY76" s="49" t="n">
        <f aca="false">BY75*BY74/Thousand</f>
        <v>3474.08770657925</v>
      </c>
      <c r="BZ76" s="49" t="n">
        <f aca="false">BZ75*BZ74/Thousand</f>
        <v>3463.66544345951</v>
      </c>
      <c r="CA76" s="49" t="n">
        <f aca="false">CA75*CA74/Thousand</f>
        <v>3460.27707509091</v>
      </c>
      <c r="CB76" s="49" t="n">
        <f aca="false">CB75*CB74/Thousand</f>
        <v>3460.27707509091</v>
      </c>
      <c r="CC76" s="49" t="n">
        <f aca="false">CC75*CC74/Thousand</f>
        <v>3498.30209789411</v>
      </c>
      <c r="CD76" s="49" t="n">
        <f aca="false">CD75*CD74/Thousand</f>
        <v>3487.80719160042</v>
      </c>
      <c r="CE76" s="49" t="n">
        <f aca="false">CE75*CE74/Thousand</f>
        <v>3446.10514909216</v>
      </c>
      <c r="CF76" s="49" t="n">
        <f aca="false">CF75*CF74/Thousand</f>
        <v>3484.39520630429</v>
      </c>
      <c r="CG76" s="49" t="n">
        <f aca="false">CG75*CG74/Thousand</f>
        <v>3522.68526351643</v>
      </c>
      <c r="CH76" s="49" t="n">
        <f aca="false">CH75*CH74/Thousand</f>
        <v>3512.11720772588</v>
      </c>
      <c r="CI76" s="49" t="n">
        <f aca="false">CI75*CI74/Thousand</f>
        <v>3470.12450198133</v>
      </c>
      <c r="CJ76" s="49" t="n">
        <f aca="false">CJ75*CJ74/Thousand</f>
        <v>3508.68144089223</v>
      </c>
      <c r="CK76" s="49" t="n">
        <f aca="false">CK75*CK74/Thousand</f>
        <v>3547.23837980314</v>
      </c>
      <c r="CL76" s="49" t="n">
        <f aca="false">CL75*CL74/Thousand</f>
        <v>3536.59666466373</v>
      </c>
      <c r="CM76" s="49" t="n">
        <f aca="false">CM75*CM74/Thousand</f>
        <v>3494.31126976014</v>
      </c>
      <c r="CN76" s="49" t="n">
        <f aca="false">CN75*CN74/Thousand</f>
        <v>3533.13695053525</v>
      </c>
      <c r="CO76" s="49" t="n">
        <f aca="false">CO75*CO74/Thousand</f>
        <v>3571.96263131037</v>
      </c>
      <c r="CP76" s="49" t="n">
        <f aca="false">CP75*CP74/Thousand</f>
        <v>3561.24674341644</v>
      </c>
      <c r="CQ76" s="49" t="n">
        <f aca="false">CQ75*CQ74/Thousand</f>
        <v>3557.76291508048</v>
      </c>
      <c r="CR76" s="49" t="n">
        <f aca="false">CR75*CR74/Thousand</f>
        <v>3557.76291508048</v>
      </c>
      <c r="CS76" s="49" t="n">
        <f aca="false">CS75*CS74/Thousand</f>
        <v>3596.8592108506</v>
      </c>
      <c r="CT76" s="49" t="n">
        <f aca="false">CT75*CT74/Thousand</f>
        <v>3586.06863321805</v>
      </c>
      <c r="CU76" s="49" t="n">
        <f aca="false">CU75*CU74/Thousand</f>
        <v>3543.19172564696</v>
      </c>
      <c r="CV76" s="49" t="n">
        <f aca="false">CV75*CV74/Thousand</f>
        <v>3582.5605225986</v>
      </c>
      <c r="CW76" s="49" t="n">
        <f aca="false">CW75*CW74/Thousand</f>
        <v>3621.92931955023</v>
      </c>
      <c r="CX76" s="49" t="n">
        <f aca="false">CX75*CX74/Thousand</f>
        <v>3611.06353159158</v>
      </c>
      <c r="CY76" s="49" t="n">
        <f aca="false">CY75*CY74/Thousand</f>
        <v>3567.88777197472</v>
      </c>
      <c r="CZ76" s="49" t="n">
        <f aca="false">CZ75*CZ74/Thousand</f>
        <v>3607.53096944111</v>
      </c>
      <c r="DA76" s="49" t="n">
        <f aca="false">DA75*DA74/Thousand</f>
        <v>3647.17416690749</v>
      </c>
      <c r="DB76" s="49" t="n">
        <f aca="false">DB75*DB74/Thousand</f>
        <v>3636.23264440677</v>
      </c>
      <c r="DC76" s="49" t="n">
        <f aca="false">DC75*DC74/Thousand</f>
        <v>3592.75594974539</v>
      </c>
      <c r="DD76" s="49" t="n">
        <f aca="false">DD75*DD74/Thousand</f>
        <v>3632.67546029811</v>
      </c>
      <c r="DE76" s="49" t="n">
        <f aca="false">DE75*DE74/Thousand</f>
        <v>3672.59497085084</v>
      </c>
      <c r="DF76" s="49" t="n">
        <f aca="false">DF75*DF74/Thousand</f>
        <v>3661.57718593829</v>
      </c>
      <c r="DG76" s="49" t="n">
        <f aca="false">DG75*DG74/Thousand</f>
        <v>3657.99520825639</v>
      </c>
      <c r="DH76" s="49" t="n">
        <f aca="false">DH75*DH74/Thousand</f>
        <v>3657.99520825639</v>
      </c>
      <c r="DI76" s="49" t="n">
        <f aca="false">DI75*DI74/Thousand</f>
        <v>3698.19295779767</v>
      </c>
      <c r="DJ76" s="49" t="n">
        <f aca="false">DJ75*DJ74/Thousand</f>
        <v>3687.09837892428</v>
      </c>
      <c r="DK76" s="49" t="n">
        <f aca="false">DK75*DK74/Thousand</f>
        <v>3643.01350700236</v>
      </c>
      <c r="DL76" s="49" t="n">
        <f aca="false">DL75*DL74/Thousand</f>
        <v>3683.49143485794</v>
      </c>
      <c r="DM76" s="49" t="n">
        <f aca="false">DM75*DM74/Thousand</f>
        <v>3723.96936271352</v>
      </c>
      <c r="DN76" s="49" t="n">
        <f aca="false">DN75*DN74/Thousand</f>
        <v>3712.79745462538</v>
      </c>
      <c r="DO76" s="49" t="n">
        <f aca="false">DO75*DO74/Thousand</f>
        <v>3668.40531114616</v>
      </c>
      <c r="DP76" s="49" t="n">
        <f aca="false">DP75*DP74/Thousand</f>
        <v>3709.1653701589</v>
      </c>
      <c r="DQ76" s="49" t="n">
        <f aca="false">DQ75*DQ74/Thousand</f>
        <v>3749.92542917163</v>
      </c>
      <c r="DR76" s="49" t="n">
        <f aca="false">DR75*DR74/Thousand</f>
        <v>3738.67565288412</v>
      </c>
      <c r="DS76" s="49" t="n">
        <f aca="false">DS75*DS74/Thousand</f>
        <v>3693.97409616485</v>
      </c>
      <c r="DT76" s="49" t="n">
        <f aca="false">DT75*DT74/Thousand</f>
        <v>3735.0182527889</v>
      </c>
      <c r="DU76" s="49" t="n">
        <f aca="false">DU75*DU74/Thousand</f>
        <v>3776.06240941296</v>
      </c>
      <c r="DV76" s="49" t="n">
        <f aca="false">DV75*DV74/Thousand</f>
        <v>3764.73422218472</v>
      </c>
      <c r="DW76" s="49" t="n">
        <f aca="false">DW75*DW74/Thousand</f>
        <v>3761.05133001084</v>
      </c>
      <c r="DX76" s="49" t="n">
        <f aca="false">DX75*DX74/Thousand</f>
        <v>3761.05133001084</v>
      </c>
      <c r="DY76" s="49" t="n">
        <f aca="false">DY75*DY74/Thousand</f>
        <v>3802.38156440657</v>
      </c>
      <c r="DZ76" s="49" t="n">
        <f aca="false">DZ75*DZ74/Thousand</f>
        <v>3790.97441971335</v>
      </c>
      <c r="EA76" s="49" t="n">
        <f aca="false">EA75*EA74/Thousand</f>
        <v>3745.64755165156</v>
      </c>
      <c r="EB76" s="49" t="n">
        <f aca="false">EB75*EB74/Thousand</f>
        <v>3787.26585778102</v>
      </c>
      <c r="EC76" s="49" t="n">
        <f aca="false">EC75*EC74/Thousand</f>
        <v>3828.88416391048</v>
      </c>
      <c r="ED76" s="49" t="n">
        <f aca="false">ED75*ED74/Thousand</f>
        <v>3817.39751141875</v>
      </c>
      <c r="EE76" s="49" t="n">
        <f aca="false">EE75*EE74/Thousand</f>
        <v>3771.75471508657</v>
      </c>
      <c r="EF76" s="49" t="n">
        <f aca="false">EF75*EF74/Thousand</f>
        <v>3813.66310080975</v>
      </c>
      <c r="EG76" s="49" t="n">
        <f aca="false">EG75*EG74/Thousand</f>
        <v>3855.57148653294</v>
      </c>
      <c r="EH76" s="49" t="n">
        <f aca="false">EH75*EH74/Thousand</f>
        <v>3844.00477207334</v>
      </c>
      <c r="EI76" s="49" t="n">
        <f aca="false">EI75*EI74/Thousand</f>
        <v>3798.04384545072</v>
      </c>
      <c r="EJ76" s="49" t="n">
        <f aca="false">EJ75*EJ74/Thousand</f>
        <v>3840.2443326224</v>
      </c>
      <c r="EK76" s="49" t="n">
        <f aca="false">EK75*EK74/Thousand</f>
        <v>3882.44481979407</v>
      </c>
      <c r="EL76" s="49" t="n">
        <f aca="false">EL75*EL74/Thousand</f>
        <v>3870.79748533469</v>
      </c>
      <c r="EM76" s="49" t="n">
        <f aca="false">EM75*EM74/Thousand</f>
        <v>3867.01083562077</v>
      </c>
      <c r="EN76" s="49" t="n">
        <f aca="false">EN75*EN74/Thousand</f>
        <v>3867.01083562077</v>
      </c>
      <c r="EO76" s="49" t="n">
        <f aca="false">EO75*EO74/Thousand</f>
        <v>3909.50546018804</v>
      </c>
    </row>
    <row r="77" customFormat="false" ht="15" hidden="false" customHeight="false" outlineLevel="0" collapsed="false">
      <c r="C77" s="1" t="s">
        <v>470</v>
      </c>
      <c r="D77" s="12" t="s">
        <v>33</v>
      </c>
      <c r="I77" s="49" t="n">
        <f aca="false">SUM(J77:EO77)</f>
        <v>-29733.4185659025</v>
      </c>
      <c r="J77" s="49" t="n">
        <f aca="false">-In_Var_Opex*J75*J73/Thousand</f>
        <v>-0</v>
      </c>
      <c r="K77" s="49" t="n">
        <f aca="false">-In_Var_Opex*K75*K73/Thousand</f>
        <v>-0</v>
      </c>
      <c r="L77" s="49" t="n">
        <f aca="false">-In_Var_Opex*L75*L73/Thousand</f>
        <v>-0</v>
      </c>
      <c r="M77" s="49" t="n">
        <f aca="false">-In_Var_Opex*M75*M73/Thousand</f>
        <v>-0</v>
      </c>
      <c r="N77" s="49" t="n">
        <f aca="false">-In_Var_Opex*N75*N73/Thousand</f>
        <v>-0</v>
      </c>
      <c r="O77" s="49" t="n">
        <f aca="false">-In_Var_Opex*O75*O73/Thousand</f>
        <v>-0</v>
      </c>
      <c r="P77" s="49" t="n">
        <f aca="false">-In_Var_Opex*P75*P73/Thousand</f>
        <v>-0</v>
      </c>
      <c r="Q77" s="49" t="n">
        <f aca="false">-In_Var_Opex*Q75*Q73/Thousand</f>
        <v>-0</v>
      </c>
      <c r="R77" s="49" t="n">
        <f aca="false">-In_Var_Opex*R75*R73/Thousand</f>
        <v>-0</v>
      </c>
      <c r="S77" s="49" t="n">
        <f aca="false">-In_Var_Opex*S75*S73/Thousand</f>
        <v>-0</v>
      </c>
      <c r="T77" s="49" t="n">
        <f aca="false">-In_Var_Opex*T75*T73/Thousand</f>
        <v>-0</v>
      </c>
      <c r="U77" s="49" t="n">
        <f aca="false">-In_Var_Opex*U75*U73/Thousand</f>
        <v>-0</v>
      </c>
      <c r="V77" s="49" t="n">
        <f aca="false">-In_Var_Opex*V75*V73/Thousand</f>
        <v>-0</v>
      </c>
      <c r="W77" s="49" t="n">
        <f aca="false">-In_Var_Opex*W75*W73/Thousand</f>
        <v>-0</v>
      </c>
      <c r="X77" s="49" t="n">
        <f aca="false">-In_Var_Opex*X75*X73/Thousand</f>
        <v>-0</v>
      </c>
      <c r="Y77" s="49" t="n">
        <f aca="false">-In_Var_Opex*Y75*Y73/Thousand</f>
        <v>-0</v>
      </c>
      <c r="Z77" s="49" t="n">
        <f aca="false">-In_Var_Opex*Z75*Z73/Thousand</f>
        <v>-175.812</v>
      </c>
      <c r="AA77" s="49" t="n">
        <f aca="false">-In_Var_Opex*AA75*AA73/Thousand</f>
        <v>-176.28975</v>
      </c>
      <c r="AB77" s="49" t="n">
        <f aca="false">-In_Var_Opex*AB75*AB73/Thousand</f>
        <v>-178.248525</v>
      </c>
      <c r="AC77" s="49" t="n">
        <f aca="false">-In_Var_Opex*AC75*AC73/Thousand</f>
        <v>-180.2073</v>
      </c>
      <c r="AD77" s="49" t="n">
        <f aca="false">-In_Var_Opex*AD75*AD73/Thousand</f>
        <v>-179.6666781</v>
      </c>
      <c r="AE77" s="49" t="n">
        <f aca="false">-In_Var_Opex*AE75*AE73/Thousand</f>
        <v>-182.156623910625</v>
      </c>
      <c r="AF77" s="49" t="n">
        <f aca="false">-In_Var_Opex*AF75*AF73/Thousand</f>
        <v>-182.156623910625</v>
      </c>
      <c r="AG77" s="49" t="n">
        <f aca="false">-In_Var_Opex*AG75*AG73/Thousand</f>
        <v>-184.1583450525</v>
      </c>
      <c r="AH77" s="49" t="n">
        <f aca="false">-In_Var_Opex*AH75*AH73/Thousand</f>
        <v>-183.605870017343</v>
      </c>
      <c r="AI77" s="49" t="n">
        <f aca="false">-In_Var_Opex*AI75*AI73/Thousand</f>
        <v>-184.104799011955</v>
      </c>
      <c r="AJ77" s="49" t="n">
        <f aca="false">-In_Var_Opex*AJ75*AJ73/Thousand</f>
        <v>-186.150407889865</v>
      </c>
      <c r="AK77" s="49" t="n">
        <f aca="false">-In_Var_Opex*AK75*AK73/Thousand</f>
        <v>-188.196016767776</v>
      </c>
      <c r="AL77" s="49" t="n">
        <f aca="false">-In_Var_Opex*AL75*AL73/Thousand</f>
        <v>-187.631428717473</v>
      </c>
      <c r="AM77" s="49" t="n">
        <f aca="false">-In_Var_Opex*AM75*AM73/Thousand</f>
        <v>-188.141296730292</v>
      </c>
      <c r="AN77" s="49" t="n">
        <f aca="false">-In_Var_Opex*AN75*AN73/Thousand</f>
        <v>-190.231755582851</v>
      </c>
      <c r="AO77" s="49" t="n">
        <f aca="false">-In_Var_Opex*AO75*AO73/Thousand</f>
        <v>-192.32221443541</v>
      </c>
      <c r="AP77" s="49" t="n">
        <f aca="false">-In_Var_Opex*AP75*AP73/Thousand</f>
        <v>-191.745247792103</v>
      </c>
      <c r="AQ77" s="49" t="n">
        <f aca="false">-In_Var_Opex*AQ75*AQ73/Thousand</f>
        <v>-192.266294661104</v>
      </c>
      <c r="AR77" s="49" t="n">
        <f aca="false">-In_Var_Opex*AR75*AR73/Thousand</f>
        <v>-194.402586824005</v>
      </c>
      <c r="AS77" s="49" t="n">
        <f aca="false">-In_Var_Opex*AS75*AS73/Thousand</f>
        <v>-196.538878986906</v>
      </c>
      <c r="AT77" s="49" t="n">
        <f aca="false">-In_Var_Opex*AT75*AT73/Thousand</f>
        <v>-195.949262349945</v>
      </c>
      <c r="AU77" s="49" t="n">
        <f aca="false">-In_Var_Opex*AU75*AU73/Thousand</f>
        <v>-198.664863540121</v>
      </c>
      <c r="AV77" s="49" t="n">
        <f aca="false">-In_Var_Opex*AV75*AV73/Thousand</f>
        <v>-198.664863540121</v>
      </c>
      <c r="AW77" s="49" t="n">
        <f aca="false">-In_Var_Opex*AW75*AW73/Thousand</f>
        <v>-200.847993908694</v>
      </c>
      <c r="AX77" s="49" t="n">
        <f aca="false">-In_Var_Opex*AX75*AX73/Thousand</f>
        <v>-200.245449926968</v>
      </c>
      <c r="AY77" s="49" t="n">
        <f aca="false">-In_Var_Opex*AY75*AY73/Thousand</f>
        <v>-200.789595171334</v>
      </c>
      <c r="AZ77" s="49" t="n">
        <f aca="false">-In_Var_Opex*AZ75*AZ73/Thousand</f>
        <v>-203.020590673238</v>
      </c>
      <c r="BA77" s="49" t="n">
        <f aca="false">-In_Var_Opex*BA75*BA73/Thousand</f>
        <v>-205.251586175142</v>
      </c>
      <c r="BB77" s="49" t="n">
        <f aca="false">-In_Var_Opex*BB75*BB73/Thousand</f>
        <v>-204.635831416616</v>
      </c>
      <c r="BC77" s="49" t="n">
        <f aca="false">-In_Var_Opex*BC75*BC73/Thousand</f>
        <v>-205.191907045466</v>
      </c>
      <c r="BD77" s="49" t="n">
        <f aca="false">-In_Var_Opex*BD75*BD73/Thousand</f>
        <v>-207.471817123749</v>
      </c>
      <c r="BE77" s="49" t="n">
        <f aca="false">-In_Var_Opex*BE75*BE73/Thousand</f>
        <v>-209.751727202032</v>
      </c>
      <c r="BF77" s="49" t="n">
        <f aca="false">-In_Var_Opex*BF75*BF73/Thousand</f>
        <v>-209.122472020426</v>
      </c>
      <c r="BG77" s="49" t="n">
        <f aca="false">-In_Var_Opex*BG75*BG73/Thousand</f>
        <v>-209.690739607438</v>
      </c>
      <c r="BH77" s="49" t="n">
        <f aca="false">-In_Var_Opex*BH75*BH73/Thousand</f>
        <v>-212.020636714187</v>
      </c>
      <c r="BI77" s="49" t="n">
        <f aca="false">-In_Var_Opex*BI75*BI73/Thousand</f>
        <v>-214.350533820936</v>
      </c>
      <c r="BJ77" s="49" t="n">
        <f aca="false">-In_Var_Opex*BJ75*BJ73/Thousand</f>
        <v>-213.707482219474</v>
      </c>
      <c r="BK77" s="49" t="n">
        <f aca="false">-In_Var_Opex*BK75*BK73/Thousand</f>
        <v>-216.669189174146</v>
      </c>
      <c r="BL77" s="49" t="n">
        <f aca="false">-In_Var_Opex*BL75*BL73/Thousand</f>
        <v>-216.669189174146</v>
      </c>
      <c r="BM77" s="49" t="n">
        <f aca="false">-In_Var_Opex*BM75*BM73/Thousand</f>
        <v>-219.05016927496</v>
      </c>
      <c r="BN77" s="49" t="n">
        <f aca="false">-In_Var_Opex*BN75*BN73/Thousand</f>
        <v>-218.393018767136</v>
      </c>
      <c r="BO77" s="49" t="n">
        <f aca="false">-In_Var_Opex*BO75*BO73/Thousand</f>
        <v>-218.986478057264</v>
      </c>
      <c r="BP77" s="49" t="n">
        <f aca="false">-In_Var_Opex*BP75*BP73/Thousand</f>
        <v>-221.419661146789</v>
      </c>
      <c r="BQ77" s="49" t="n">
        <f aca="false">-In_Var_Opex*BQ75*BQ73/Thousand</f>
        <v>-223.852844236314</v>
      </c>
      <c r="BR77" s="49" t="n">
        <f aca="false">-In_Var_Opex*BR75*BR73/Thousand</f>
        <v>-223.181285703605</v>
      </c>
      <c r="BS77" s="49" t="n">
        <f aca="false">-In_Var_Opex*BS75*BS73/Thousand</f>
        <v>-223.787756588669</v>
      </c>
      <c r="BT77" s="49" t="n">
        <f aca="false">-In_Var_Opex*BT75*BT73/Thousand</f>
        <v>-226.274287217432</v>
      </c>
      <c r="BU77" s="49" t="n">
        <f aca="false">-In_Var_Opex*BU75*BU73/Thousand</f>
        <v>-228.760817846195</v>
      </c>
      <c r="BV77" s="49" t="n">
        <f aca="false">-In_Var_Opex*BV75*BV73/Thousand</f>
        <v>-228.074535392656</v>
      </c>
      <c r="BW77" s="49" t="n">
        <f aca="false">-In_Var_Opex*BW75*BW73/Thousand</f>
        <v>-228.694303151876</v>
      </c>
      <c r="BX77" s="49" t="n">
        <f aca="false">-In_Var_Opex*BX75*BX73/Thousand</f>
        <v>-231.235350964674</v>
      </c>
      <c r="BY77" s="49" t="n">
        <f aca="false">-In_Var_Opex*BY75*BY73/Thousand</f>
        <v>-233.776398777473</v>
      </c>
      <c r="BZ77" s="49" t="n">
        <f aca="false">-In_Var_Opex*BZ75*BZ73/Thousand</f>
        <v>-233.07506958114</v>
      </c>
      <c r="CA77" s="49" t="n">
        <f aca="false">-In_Var_Opex*CA75*CA73/Thousand</f>
        <v>-236.305186034575</v>
      </c>
      <c r="CB77" s="49" t="n">
        <f aca="false">-In_Var_Opex*CB75*CB73/Thousand</f>
        <v>-236.305186034575</v>
      </c>
      <c r="CC77" s="49" t="n">
        <f aca="false">-In_Var_Opex*CC75*CC73/Thousand</f>
        <v>-238.901946320669</v>
      </c>
      <c r="CD77" s="49" t="n">
        <f aca="false">-In_Var_Opex*CD75*CD73/Thousand</f>
        <v>-238.185240481707</v>
      </c>
      <c r="CE77" s="49" t="n">
        <f aca="false">-In_Var_Opex*CE75*CE73/Thousand</f>
        <v>-238.832482983016</v>
      </c>
      <c r="CF77" s="49" t="n">
        <f aca="false">-In_Var_Opex*CF75*CF73/Thousand</f>
        <v>-241.486177238383</v>
      </c>
      <c r="CG77" s="49" t="n">
        <f aca="false">-In_Var_Opex*CG75*CG73/Thousand</f>
        <v>-244.13987149375</v>
      </c>
      <c r="CH77" s="49" t="n">
        <f aca="false">-In_Var_Opex*CH75*CH73/Thousand</f>
        <v>-243.407451879268</v>
      </c>
      <c r="CI77" s="49" t="n">
        <f aca="false">-In_Var_Opex*CI75*CI73/Thousand</f>
        <v>-244.068885172418</v>
      </c>
      <c r="CJ77" s="49" t="n">
        <f aca="false">-In_Var_Opex*CJ75*CJ73/Thousand</f>
        <v>-246.780761674334</v>
      </c>
      <c r="CK77" s="49" t="n">
        <f aca="false">-In_Var_Opex*CK75*CK73/Thousand</f>
        <v>-249.49263817625</v>
      </c>
      <c r="CL77" s="49" t="n">
        <f aca="false">-In_Var_Opex*CL75*CL73/Thousand</f>
        <v>-248.744160261721</v>
      </c>
      <c r="CM77" s="49" t="n">
        <f aca="false">-In_Var_Opex*CM75*CM73/Thousand</f>
        <v>-249.420095479824</v>
      </c>
      <c r="CN77" s="49" t="n">
        <f aca="false">-In_Var_Opex*CN75*CN73/Thousand</f>
        <v>-252.191429874044</v>
      </c>
      <c r="CO77" s="49" t="n">
        <f aca="false">-In_Var_Opex*CO75*CO73/Thousand</f>
        <v>-254.962764268264</v>
      </c>
      <c r="CP77" s="49" t="n">
        <f aca="false">-In_Var_Opex*CP75*CP73/Thousand</f>
        <v>-254.197875975459</v>
      </c>
      <c r="CQ77" s="49" t="n">
        <f aca="false">-In_Var_Opex*CQ75*CQ73/Thousand</f>
        <v>-257.720726974032</v>
      </c>
      <c r="CR77" s="49" t="n">
        <f aca="false">-In_Var_Opex*CR75*CR73/Thousand</f>
        <v>-257.720726974032</v>
      </c>
      <c r="CS77" s="49" t="n">
        <f aca="false">-In_Var_Opex*CS75*CS73/Thousand</f>
        <v>-260.552822874846</v>
      </c>
      <c r="CT77" s="49" t="n">
        <f aca="false">-In_Var_Opex*CT75*CT73/Thousand</f>
        <v>-259.771164406221</v>
      </c>
      <c r="CU77" s="49" t="n">
        <f aca="false">-In_Var_Opex*CU75*CU73/Thousand</f>
        <v>-260.477064309499</v>
      </c>
      <c r="CV77" s="49" t="n">
        <f aca="false">-In_Var_Opex*CV75*CV73/Thousand</f>
        <v>-263.371253912938</v>
      </c>
      <c r="CW77" s="49" t="n">
        <f aca="false">-In_Var_Opex*CW75*CW73/Thousand</f>
        <v>-266.265443516377</v>
      </c>
      <c r="CX77" s="49" t="n">
        <f aca="false">-In_Var_Opex*CX75*CX73/Thousand</f>
        <v>-265.466647185828</v>
      </c>
      <c r="CY77" s="49" t="n">
        <f aca="false">-In_Var_Opex*CY75*CY73/Thousand</f>
        <v>-266.188023944485</v>
      </c>
      <c r="CZ77" s="49" t="n">
        <f aca="false">-In_Var_Opex*CZ75*CZ73/Thousand</f>
        <v>-269.145668654979</v>
      </c>
      <c r="DA77" s="49" t="n">
        <f aca="false">-In_Var_Opex*DA75*DA73/Thousand</f>
        <v>-272.103313365473</v>
      </c>
      <c r="DB77" s="49" t="n">
        <f aca="false">-In_Var_Opex*DB75*DB73/Thousand</f>
        <v>-271.287003425377</v>
      </c>
      <c r="DC77" s="49" t="n">
        <f aca="false">-In_Var_Opex*DC75*DC73/Thousand</f>
        <v>-272.024196369468</v>
      </c>
      <c r="DD77" s="49" t="n">
        <f aca="false">-In_Var_Opex*DD75*DD73/Thousand</f>
        <v>-275.04668744024</v>
      </c>
      <c r="DE77" s="49" t="n">
        <f aca="false">-In_Var_Opex*DE75*DE73/Thousand</f>
        <v>-278.069178511011</v>
      </c>
      <c r="DF77" s="49" t="n">
        <f aca="false">-In_Var_Opex*DF75*DF73/Thousand</f>
        <v>-277.234970975478</v>
      </c>
      <c r="DG77" s="49" t="n">
        <f aca="false">-In_Var_Opex*DG75*DG73/Thousand</f>
        <v>-281.077086062367</v>
      </c>
      <c r="DH77" s="49" t="n">
        <f aca="false">-In_Var_Opex*DH75*DH73/Thousand</f>
        <v>-281.077086062367</v>
      </c>
      <c r="DI77" s="49" t="n">
        <f aca="false">-In_Var_Opex*DI75*DI73/Thousand</f>
        <v>-284.165845249865</v>
      </c>
      <c r="DJ77" s="49" t="n">
        <f aca="false">-In_Var_Opex*DJ75*DJ73/Thousand</f>
        <v>-283.313347714116</v>
      </c>
      <c r="DK77" s="49" t="n">
        <f aca="false">-In_Var_Opex*DK75*DK73/Thousand</f>
        <v>-284.0832209416</v>
      </c>
      <c r="DL77" s="49" t="n">
        <f aca="false">-In_Var_Opex*DL75*DL73/Thousand</f>
        <v>-287.239701174284</v>
      </c>
      <c r="DM77" s="49" t="n">
        <f aca="false">-In_Var_Opex*DM75*DM73/Thousand</f>
        <v>-290.396181406969</v>
      </c>
      <c r="DN77" s="49" t="n">
        <f aca="false">-In_Var_Opex*DN75*DN73/Thousand</f>
        <v>-289.524992862748</v>
      </c>
      <c r="DO77" s="49" t="n">
        <f aca="false">-In_Var_Opex*DO75*DO73/Thousand</f>
        <v>-290.311745560744</v>
      </c>
      <c r="DP77" s="49" t="n">
        <f aca="false">-In_Var_Opex*DP75*DP73/Thousand</f>
        <v>-293.53743162253</v>
      </c>
      <c r="DQ77" s="49" t="n">
        <f aca="false">-In_Var_Opex*DQ75*DQ73/Thousand</f>
        <v>-296.763117684316</v>
      </c>
      <c r="DR77" s="49" t="n">
        <f aca="false">-In_Var_Opex*DR75*DR73/Thousand</f>
        <v>-295.872828331263</v>
      </c>
      <c r="DS77" s="49" t="n">
        <f aca="false">-In_Var_Opex*DS75*DS73/Thousand</f>
        <v>-296.676830582163</v>
      </c>
      <c r="DT77" s="49" t="n">
        <f aca="false">-In_Var_Opex*DT75*DT73/Thousand</f>
        <v>-299.973239810854</v>
      </c>
      <c r="DU77" s="49" t="n">
        <f aca="false">-In_Var_Opex*DU75*DU73/Thousand</f>
        <v>-303.269649039545</v>
      </c>
      <c r="DV77" s="49" t="n">
        <f aca="false">-In_Var_Opex*DV75*DV73/Thousand</f>
        <v>-302.359840092426</v>
      </c>
      <c r="DW77" s="49" t="n">
        <f aca="false">-In_Var_Opex*DW75*DW73/Thousand</f>
        <v>-306.550153093707</v>
      </c>
      <c r="DX77" s="49" t="n">
        <f aca="false">-In_Var_Opex*DX75*DX73/Thousand</f>
        <v>-306.550153093707</v>
      </c>
      <c r="DY77" s="49" t="n">
        <f aca="false">-In_Var_Opex*DY75*DY73/Thousand</f>
        <v>-309.918836094737</v>
      </c>
      <c r="DZ77" s="49" t="n">
        <f aca="false">-In_Var_Opex*DZ75*DZ73/Thousand</f>
        <v>-308.989079586453</v>
      </c>
      <c r="EA77" s="49" t="n">
        <f aca="false">-In_Var_Opex*EA75*EA73/Thousand</f>
        <v>-309.828723824459</v>
      </c>
      <c r="EB77" s="49" t="n">
        <f aca="false">-In_Var_Opex*EB75*EB73/Thousand</f>
        <v>-313.271265200287</v>
      </c>
      <c r="EC77" s="49" t="n">
        <f aca="false">-In_Var_Opex*EC75*EC73/Thousand</f>
        <v>-316.713806576114</v>
      </c>
      <c r="ED77" s="49" t="n">
        <f aca="false">-In_Var_Opex*ED75*ED73/Thousand</f>
        <v>-315.763665156386</v>
      </c>
      <c r="EE77" s="49" t="n">
        <f aca="false">-In_Var_Opex*EE75*EE73/Thousand</f>
        <v>-316.621718594311</v>
      </c>
      <c r="EF77" s="49" t="n">
        <f aca="false">-In_Var_Opex*EF75*EF73/Thousand</f>
        <v>-320.139737689803</v>
      </c>
      <c r="EG77" s="49" t="n">
        <f aca="false">-In_Var_Opex*EG75*EG73/Thousand</f>
        <v>-323.657756785295</v>
      </c>
      <c r="EH77" s="49" t="n">
        <f aca="false">-In_Var_Opex*EH75*EH73/Thousand</f>
        <v>-322.686783514939</v>
      </c>
      <c r="EI77" s="49" t="n">
        <f aca="false">-In_Var_Opex*EI75*EI73/Thousand</f>
        <v>-323.563649774491</v>
      </c>
      <c r="EJ77" s="49" t="n">
        <f aca="false">-In_Var_Opex*EJ75*EJ73/Thousand</f>
        <v>-327.158801438652</v>
      </c>
      <c r="EK77" s="49" t="n">
        <f aca="false">-In_Var_Opex*EK75*EK73/Thousand</f>
        <v>-330.753953102813</v>
      </c>
      <c r="EL77" s="49" t="n">
        <f aca="false">-In_Var_Opex*EL75*EL73/Thousand</f>
        <v>-329.761691243504</v>
      </c>
      <c r="EM77" s="49" t="n">
        <f aca="false">-In_Var_Opex*EM75*EM73/Thousand</f>
        <v>-334.331758160194</v>
      </c>
      <c r="EN77" s="49" t="n">
        <f aca="false">-In_Var_Opex*EN75*EN73/Thousand</f>
        <v>-334.331758160194</v>
      </c>
      <c r="EO77" s="49" t="n">
        <f aca="false">-In_Var_Opex*EO75*EO73/Thousand</f>
        <v>-338.005733524592</v>
      </c>
    </row>
    <row r="78" customFormat="false" ht="15" hidden="false" customHeight="false" outlineLevel="0" collapsed="false">
      <c r="C78" s="1" t="s">
        <v>471</v>
      </c>
      <c r="D78" s="12" t="s">
        <v>33</v>
      </c>
      <c r="I78" s="49" t="n">
        <f aca="false">SUM(J78:EO78)</f>
        <v>-60869.5202640337</v>
      </c>
      <c r="J78" s="49" t="n">
        <f aca="false">-(In_Fixed_Opex*$F25+In_Admin)*J73*J16*J$6</f>
        <v>-0</v>
      </c>
      <c r="K78" s="49" t="n">
        <f aca="false">-(In_Fixed_Opex*$F25+In_Admin)*K73*K16*K$6</f>
        <v>-0</v>
      </c>
      <c r="L78" s="49" t="n">
        <f aca="false">-(In_Fixed_Opex*$F25+In_Admin)*L73*L16*L$6</f>
        <v>-0</v>
      </c>
      <c r="M78" s="49" t="n">
        <f aca="false">-(In_Fixed_Opex*$F25+In_Admin)*M73*M16*M$6</f>
        <v>-0</v>
      </c>
      <c r="N78" s="49" t="n">
        <f aca="false">-(In_Fixed_Opex*$F25+In_Admin)*N73*N16*N$6</f>
        <v>-0</v>
      </c>
      <c r="O78" s="49" t="n">
        <f aca="false">-(In_Fixed_Opex*$F25+In_Admin)*O73*O16*O$6</f>
        <v>-0</v>
      </c>
      <c r="P78" s="49" t="n">
        <f aca="false">-(In_Fixed_Opex*$F25+In_Admin)*P73*P16*P$6</f>
        <v>-0</v>
      </c>
      <c r="Q78" s="49" t="n">
        <f aca="false">-(In_Fixed_Opex*$F25+In_Admin)*Q73*Q16*Q$6</f>
        <v>-0</v>
      </c>
      <c r="R78" s="49" t="n">
        <f aca="false">-(In_Fixed_Opex*$F25+In_Admin)*R73*R16*R$6</f>
        <v>-0</v>
      </c>
      <c r="S78" s="49" t="n">
        <f aca="false">-(In_Fixed_Opex*$F25+In_Admin)*S73*S16*S$6</f>
        <v>-0</v>
      </c>
      <c r="T78" s="49" t="n">
        <f aca="false">-(In_Fixed_Opex*$F25+In_Admin)*T73*T16*T$6</f>
        <v>-0</v>
      </c>
      <c r="U78" s="49" t="n">
        <f aca="false">-(In_Fixed_Opex*$F25+In_Admin)*U73*U16*U$6</f>
        <v>-0</v>
      </c>
      <c r="V78" s="49" t="n">
        <f aca="false">-(In_Fixed_Opex*$F25+In_Admin)*V73*V16*V$6</f>
        <v>-0</v>
      </c>
      <c r="W78" s="49" t="n">
        <f aca="false">-(In_Fixed_Opex*$F25+In_Admin)*W73*W16*W$6</f>
        <v>-0</v>
      </c>
      <c r="X78" s="49" t="n">
        <f aca="false">-(In_Fixed_Opex*$F25+In_Admin)*X73*X16*X$6</f>
        <v>-0</v>
      </c>
      <c r="Y78" s="49" t="n">
        <f aca="false">-(In_Fixed_Opex*$F25+In_Admin)*Y73*Y16*Y$6</f>
        <v>-0</v>
      </c>
      <c r="Z78" s="49" t="n">
        <f aca="false">-(In_Fixed_Opex*$F25+In_Admin)*Z73*Z16*Z$6</f>
        <v>-342.794520547945</v>
      </c>
      <c r="AA78" s="49" t="n">
        <f aca="false">-(In_Fixed_Opex*$F25+In_Admin)*AA73*AA16*AA$6</f>
        <v>-343.72602739726</v>
      </c>
      <c r="AB78" s="49" t="n">
        <f aca="false">-(In_Fixed_Opex*$F25+In_Admin)*AB73*AB16*AB$6</f>
        <v>-347.545205479452</v>
      </c>
      <c r="AC78" s="49" t="n">
        <f aca="false">-(In_Fixed_Opex*$F25+In_Admin)*AC73*AC16*AC$6</f>
        <v>-351.364383561644</v>
      </c>
      <c r="AD78" s="49" t="n">
        <f aca="false">-(In_Fixed_Opex*$F25+In_Admin)*AD73*AD16*AD$6</f>
        <v>-351.364383561644</v>
      </c>
      <c r="AE78" s="49" t="n">
        <f aca="false">-(In_Fixed_Opex*$F25+In_Admin)*AE73*AE16*AE$6</f>
        <v>-356.233835616438</v>
      </c>
      <c r="AF78" s="49" t="n">
        <f aca="false">-(In_Fixed_Opex*$F25+In_Admin)*AF73*AF16*AF$6</f>
        <v>-356.233835616438</v>
      </c>
      <c r="AG78" s="49" t="n">
        <f aca="false">-(In_Fixed_Opex*$F25+In_Admin)*AG73*AG16*AG$6</f>
        <v>-360.148493150685</v>
      </c>
      <c r="AH78" s="49" t="n">
        <f aca="false">-(In_Fixed_Opex*$F25+In_Admin)*AH73*AH16*AH$6</f>
        <v>-360.148493150685</v>
      </c>
      <c r="AI78" s="49" t="n">
        <f aca="false">-(In_Fixed_Opex*$F25+In_Admin)*AI73*AI16*AI$6</f>
        <v>-361.127157534246</v>
      </c>
      <c r="AJ78" s="49" t="n">
        <f aca="false">-(In_Fixed_Opex*$F25+In_Admin)*AJ73*AJ16*AJ$6</f>
        <v>-365.139681506849</v>
      </c>
      <c r="AK78" s="49" t="n">
        <f aca="false">-(In_Fixed_Opex*$F25+In_Admin)*AK73*AK16*AK$6</f>
        <v>-369.152205479452</v>
      </c>
      <c r="AL78" s="49" t="n">
        <f aca="false">-(In_Fixed_Opex*$F25+In_Admin)*AL73*AL16*AL$6</f>
        <v>-369.152205479452</v>
      </c>
      <c r="AM78" s="49" t="n">
        <f aca="false">-(In_Fixed_Opex*$F25+In_Admin)*AM73*AM16*AM$6</f>
        <v>-370.155336472603</v>
      </c>
      <c r="AN78" s="49" t="n">
        <f aca="false">-(In_Fixed_Opex*$F25+In_Admin)*AN73*AN16*AN$6</f>
        <v>-374.268173544521</v>
      </c>
      <c r="AO78" s="49" t="n">
        <f aca="false">-(In_Fixed_Opex*$F25+In_Admin)*AO73*AO16*AO$6</f>
        <v>-378.381010616438</v>
      </c>
      <c r="AP78" s="49" t="n">
        <f aca="false">-(In_Fixed_Opex*$F25+In_Admin)*AP73*AP16*AP$6</f>
        <v>-378.381010616438</v>
      </c>
      <c r="AQ78" s="49" t="n">
        <f aca="false">-(In_Fixed_Opex*$F25+In_Admin)*AQ73*AQ16*AQ$6</f>
        <v>-379.409219884418</v>
      </c>
      <c r="AR78" s="49" t="n">
        <f aca="false">-(In_Fixed_Opex*$F25+In_Admin)*AR73*AR16*AR$6</f>
        <v>-383.624877883134</v>
      </c>
      <c r="AS78" s="49" t="n">
        <f aca="false">-(In_Fixed_Opex*$F25+In_Admin)*AS73*AS16*AS$6</f>
        <v>-387.840535881849</v>
      </c>
      <c r="AT78" s="49" t="n">
        <f aca="false">-(In_Fixed_Opex*$F25+In_Admin)*AT73*AT16*AT$6</f>
        <v>-387.840535881849</v>
      </c>
      <c r="AU78" s="49" t="n">
        <f aca="false">-(In_Fixed_Opex*$F25+In_Admin)*AU73*AU16*AU$6</f>
        <v>-393.215499830212</v>
      </c>
      <c r="AV78" s="49" t="n">
        <f aca="false">-(In_Fixed_Opex*$F25+In_Admin)*AV73*AV16*AV$6</f>
        <v>-393.215499830212</v>
      </c>
      <c r="AW78" s="49" t="n">
        <f aca="false">-(In_Fixed_Opex*$F25+In_Admin)*AW73*AW16*AW$6</f>
        <v>-397.536549278895</v>
      </c>
      <c r="AX78" s="49" t="n">
        <f aca="false">-(In_Fixed_Opex*$F25+In_Admin)*AX73*AX16*AX$6</f>
        <v>-397.536549278895</v>
      </c>
      <c r="AY78" s="49" t="n">
        <f aca="false">-(In_Fixed_Opex*$F25+In_Admin)*AY73*AY16*AY$6</f>
        <v>-398.616811641066</v>
      </c>
      <c r="AZ78" s="49" t="n">
        <f aca="false">-(In_Fixed_Opex*$F25+In_Admin)*AZ73*AZ16*AZ$6</f>
        <v>-403.045887325967</v>
      </c>
      <c r="BA78" s="49" t="n">
        <f aca="false">-(In_Fixed_Opex*$F25+In_Admin)*BA73*BA16*BA$6</f>
        <v>-407.474963010868</v>
      </c>
      <c r="BB78" s="49" t="n">
        <f aca="false">-(In_Fixed_Opex*$F25+In_Admin)*BB73*BB16*BB$6</f>
        <v>-407.474963010868</v>
      </c>
      <c r="BC78" s="49" t="n">
        <f aca="false">-(In_Fixed_Opex*$F25+In_Admin)*BC73*BC16*BC$6</f>
        <v>-408.582231932093</v>
      </c>
      <c r="BD78" s="49" t="n">
        <f aca="false">-(In_Fixed_Opex*$F25+In_Admin)*BD73*BD16*BD$6</f>
        <v>-413.122034509116</v>
      </c>
      <c r="BE78" s="49" t="n">
        <f aca="false">-(In_Fixed_Opex*$F25+In_Admin)*BE73*BE16*BE$6</f>
        <v>-417.661837086139</v>
      </c>
      <c r="BF78" s="49" t="n">
        <f aca="false">-(In_Fixed_Opex*$F25+In_Admin)*BF73*BF16*BF$6</f>
        <v>-417.661837086139</v>
      </c>
      <c r="BG78" s="49" t="n">
        <f aca="false">-(In_Fixed_Opex*$F25+In_Admin)*BG73*BG16*BG$6</f>
        <v>-418.796787730395</v>
      </c>
      <c r="BH78" s="49" t="n">
        <f aca="false">-(In_Fixed_Opex*$F25+In_Admin)*BH73*BH16*BH$6</f>
        <v>-423.450085371844</v>
      </c>
      <c r="BI78" s="49" t="n">
        <f aca="false">-(In_Fixed_Opex*$F25+In_Admin)*BI73*BI16*BI$6</f>
        <v>-428.103383013293</v>
      </c>
      <c r="BJ78" s="49" t="n">
        <f aca="false">-(In_Fixed_Opex*$F25+In_Admin)*BJ73*BJ16*BJ$6</f>
        <v>-428.103383013293</v>
      </c>
      <c r="BK78" s="49" t="n">
        <f aca="false">-(In_Fixed_Opex*$F25+In_Admin)*BK73*BK16*BK$6</f>
        <v>-434.03633750614</v>
      </c>
      <c r="BL78" s="49" t="n">
        <f aca="false">-(In_Fixed_Opex*$F25+In_Admin)*BL73*BL16*BL$6</f>
        <v>-434.03633750614</v>
      </c>
      <c r="BM78" s="49" t="n">
        <f aca="false">-(In_Fixed_Opex*$F25+In_Admin)*BM73*BM16*BM$6</f>
        <v>-438.805967588625</v>
      </c>
      <c r="BN78" s="49" t="n">
        <f aca="false">-(In_Fixed_Opex*$F25+In_Admin)*BN73*BN16*BN$6</f>
        <v>-438.805967588625</v>
      </c>
      <c r="BO78" s="49" t="n">
        <f aca="false">-(In_Fixed_Opex*$F25+In_Admin)*BO73*BO16*BO$6</f>
        <v>-439.998375109246</v>
      </c>
      <c r="BP78" s="49" t="n">
        <f aca="false">-(In_Fixed_Opex*$F25+In_Admin)*BP73*BP16*BP$6</f>
        <v>-444.887245943794</v>
      </c>
      <c r="BQ78" s="49" t="n">
        <f aca="false">-(In_Fixed_Opex*$F25+In_Admin)*BQ73*BQ16*BQ$6</f>
        <v>-449.776116778341</v>
      </c>
      <c r="BR78" s="49" t="n">
        <f aca="false">-(In_Fixed_Opex*$F25+In_Admin)*BR73*BR16*BR$6</f>
        <v>-449.776116778341</v>
      </c>
      <c r="BS78" s="49" t="n">
        <f aca="false">-(In_Fixed_Opex*$F25+In_Admin)*BS73*BS16*BS$6</f>
        <v>-450.998334486977</v>
      </c>
      <c r="BT78" s="49" t="n">
        <f aca="false">-(In_Fixed_Opex*$F25+In_Admin)*BT73*BT16*BT$6</f>
        <v>-456.009427092388</v>
      </c>
      <c r="BU78" s="49" t="n">
        <f aca="false">-(In_Fixed_Opex*$F25+In_Admin)*BU73*BU16*BU$6</f>
        <v>-461.020519697799</v>
      </c>
      <c r="BV78" s="49" t="n">
        <f aca="false">-(In_Fixed_Opex*$F25+In_Admin)*BV73*BV16*BV$6</f>
        <v>-461.020519697799</v>
      </c>
      <c r="BW78" s="49" t="n">
        <f aca="false">-(In_Fixed_Opex*$F25+In_Admin)*BW73*BW16*BW$6</f>
        <v>-462.273292849152</v>
      </c>
      <c r="BX78" s="49" t="n">
        <f aca="false">-(In_Fixed_Opex*$F25+In_Admin)*BX73*BX16*BX$6</f>
        <v>-467.409662769698</v>
      </c>
      <c r="BY78" s="49" t="n">
        <f aca="false">-(In_Fixed_Opex*$F25+In_Admin)*BY73*BY16*BY$6</f>
        <v>-472.546032690244</v>
      </c>
      <c r="BZ78" s="49" t="n">
        <f aca="false">-(In_Fixed_Opex*$F25+In_Admin)*BZ73*BZ16*BZ$6</f>
        <v>-472.546032690244</v>
      </c>
      <c r="CA78" s="49" t="n">
        <f aca="false">-(In_Fixed_Opex*$F25+In_Admin)*CA73*CA16*CA$6</f>
        <v>-479.09490433894</v>
      </c>
      <c r="CB78" s="49" t="n">
        <f aca="false">-(In_Fixed_Opex*$F25+In_Admin)*CB73*CB16*CB$6</f>
        <v>-479.09490433894</v>
      </c>
      <c r="CC78" s="49" t="n">
        <f aca="false">-(In_Fixed_Opex*$F25+In_Admin)*CC73*CC16*CC$6</f>
        <v>-484.3596835075</v>
      </c>
      <c r="CD78" s="49" t="n">
        <f aca="false">-(In_Fixed_Opex*$F25+In_Admin)*CD73*CD16*CD$6</f>
        <v>-484.3596835075</v>
      </c>
      <c r="CE78" s="49" t="n">
        <f aca="false">-(In_Fixed_Opex*$F25+In_Admin)*CE73*CE16*CE$6</f>
        <v>-485.67587829964</v>
      </c>
      <c r="CF78" s="49" t="n">
        <f aca="false">-(In_Fixed_Opex*$F25+In_Admin)*CF73*CF16*CF$6</f>
        <v>-491.072276947414</v>
      </c>
      <c r="CG78" s="49" t="n">
        <f aca="false">-(In_Fixed_Opex*$F25+In_Admin)*CG73*CG16*CG$6</f>
        <v>-496.468675595188</v>
      </c>
      <c r="CH78" s="49" t="n">
        <f aca="false">-(In_Fixed_Opex*$F25+In_Admin)*CH73*CH16*CH$6</f>
        <v>-496.468675595188</v>
      </c>
      <c r="CI78" s="49" t="n">
        <f aca="false">-(In_Fixed_Opex*$F25+In_Admin)*CI73*CI16*CI$6</f>
        <v>-497.817775257131</v>
      </c>
      <c r="CJ78" s="49" t="n">
        <f aca="false">-(In_Fixed_Opex*$F25+In_Admin)*CJ73*CJ16*CJ$6</f>
        <v>-503.349083871099</v>
      </c>
      <c r="CK78" s="49" t="n">
        <f aca="false">-(In_Fixed_Opex*$F25+In_Admin)*CK73*CK16*CK$6</f>
        <v>-508.880392485067</v>
      </c>
      <c r="CL78" s="49" t="n">
        <f aca="false">-(In_Fixed_Opex*$F25+In_Admin)*CL73*CL16*CL$6</f>
        <v>-508.880392485067</v>
      </c>
      <c r="CM78" s="49" t="n">
        <f aca="false">-(In_Fixed_Opex*$F25+In_Admin)*CM73*CM16*CM$6</f>
        <v>-510.263219638559</v>
      </c>
      <c r="CN78" s="49" t="n">
        <f aca="false">-(In_Fixed_Opex*$F25+In_Admin)*CN73*CN16*CN$6</f>
        <v>-515.932810967877</v>
      </c>
      <c r="CO78" s="49" t="n">
        <f aca="false">-(In_Fixed_Opex*$F25+In_Admin)*CO73*CO16*CO$6</f>
        <v>-521.602402297194</v>
      </c>
      <c r="CP78" s="49" t="n">
        <f aca="false">-(In_Fixed_Opex*$F25+In_Admin)*CP73*CP16*CP$6</f>
        <v>-521.602402297194</v>
      </c>
      <c r="CQ78" s="49" t="n">
        <f aca="false">-(In_Fixed_Opex*$F25+In_Admin)*CQ73*CQ16*CQ$6</f>
        <v>-528.831131242074</v>
      </c>
      <c r="CR78" s="49" t="n">
        <f aca="false">-(In_Fixed_Opex*$F25+In_Admin)*CR73*CR16*CR$6</f>
        <v>-528.831131242074</v>
      </c>
      <c r="CS78" s="49" t="n">
        <f aca="false">-(In_Fixed_Opex*$F25+In_Admin)*CS73*CS16*CS$6</f>
        <v>-534.642462354624</v>
      </c>
      <c r="CT78" s="49" t="n">
        <f aca="false">-(In_Fixed_Opex*$F25+In_Admin)*CT73*CT16*CT$6</f>
        <v>-534.642462354624</v>
      </c>
      <c r="CU78" s="49" t="n">
        <f aca="false">-(In_Fixed_Opex*$F25+In_Admin)*CU73*CU16*CU$6</f>
        <v>-536.095295132761</v>
      </c>
      <c r="CV78" s="49" t="n">
        <f aca="false">-(In_Fixed_Opex*$F25+In_Admin)*CV73*CV16*CV$6</f>
        <v>-542.051909523125</v>
      </c>
      <c r="CW78" s="49" t="n">
        <f aca="false">-(In_Fixed_Opex*$F25+In_Admin)*CW73*CW16*CW$6</f>
        <v>-548.008523913489</v>
      </c>
      <c r="CX78" s="49" t="n">
        <f aca="false">-(In_Fixed_Opex*$F25+In_Admin)*CX73*CX16*CX$6</f>
        <v>-548.008523913489</v>
      </c>
      <c r="CY78" s="49" t="n">
        <f aca="false">-(In_Fixed_Opex*$F25+In_Admin)*CY73*CY16*CY$6</f>
        <v>-549.49767751108</v>
      </c>
      <c r="CZ78" s="49" t="n">
        <f aca="false">-(In_Fixed_Opex*$F25+In_Admin)*CZ73*CZ16*CZ$6</f>
        <v>-555.603207261203</v>
      </c>
      <c r="DA78" s="49" t="n">
        <f aca="false">-(In_Fixed_Opex*$F25+In_Admin)*DA73*DA16*DA$6</f>
        <v>-561.708737011326</v>
      </c>
      <c r="DB78" s="49" t="n">
        <f aca="false">-(In_Fixed_Opex*$F25+In_Admin)*DB73*DB16*DB$6</f>
        <v>-561.708737011326</v>
      </c>
      <c r="DC78" s="49" t="n">
        <f aca="false">-(In_Fixed_Opex*$F25+In_Admin)*DC73*DC16*DC$6</f>
        <v>-563.235119448857</v>
      </c>
      <c r="DD78" s="49" t="n">
        <f aca="false">-(In_Fixed_Opex*$F25+In_Admin)*DD73*DD16*DD$6</f>
        <v>-569.493287442734</v>
      </c>
      <c r="DE78" s="49" t="n">
        <f aca="false">-(In_Fixed_Opex*$F25+In_Admin)*DE73*DE16*DE$6</f>
        <v>-575.75145543661</v>
      </c>
      <c r="DF78" s="49" t="n">
        <f aca="false">-(In_Fixed_Opex*$F25+In_Admin)*DF73*DF16*DF$6</f>
        <v>-575.75145543661</v>
      </c>
      <c r="DG78" s="49" t="n">
        <f aca="false">-(In_Fixed_Opex*$F25+In_Admin)*DG73*DG16*DG$6</f>
        <v>-583.730619628802</v>
      </c>
      <c r="DH78" s="49" t="n">
        <f aca="false">-(In_Fixed_Opex*$F25+In_Admin)*DH73*DH16*DH$6</f>
        <v>-583.730619628802</v>
      </c>
      <c r="DI78" s="49" t="n">
        <f aca="false">-(In_Fixed_Opex*$F25+In_Admin)*DI73*DI16*DI$6</f>
        <v>-590.145241822525</v>
      </c>
      <c r="DJ78" s="49" t="n">
        <f aca="false">-(In_Fixed_Opex*$F25+In_Admin)*DJ73*DJ16*DJ$6</f>
        <v>-590.145241822525</v>
      </c>
      <c r="DK78" s="49" t="n">
        <f aca="false">-(In_Fixed_Opex*$F25+In_Admin)*DK73*DK16*DK$6</f>
        <v>-591.748897370955</v>
      </c>
      <c r="DL78" s="49" t="n">
        <f aca="false">-(In_Fixed_Opex*$F25+In_Admin)*DL73*DL16*DL$6</f>
        <v>-598.323885119522</v>
      </c>
      <c r="DM78" s="49" t="n">
        <f aca="false">-(In_Fixed_Opex*$F25+In_Admin)*DM73*DM16*DM$6</f>
        <v>-604.898872868088</v>
      </c>
      <c r="DN78" s="49" t="n">
        <f aca="false">-(In_Fixed_Opex*$F25+In_Admin)*DN73*DN16*DN$6</f>
        <v>-604.898872868088</v>
      </c>
      <c r="DO78" s="49" t="n">
        <f aca="false">-(In_Fixed_Opex*$F25+In_Admin)*DO73*DO16*DO$6</f>
        <v>-606.542619805229</v>
      </c>
      <c r="DP78" s="49" t="n">
        <f aca="false">-(In_Fixed_Opex*$F25+In_Admin)*DP73*DP16*DP$6</f>
        <v>-613.28198224751</v>
      </c>
      <c r="DQ78" s="49" t="n">
        <f aca="false">-(In_Fixed_Opex*$F25+In_Admin)*DQ73*DQ16*DQ$6</f>
        <v>-620.02134468979</v>
      </c>
      <c r="DR78" s="49" t="n">
        <f aca="false">-(In_Fixed_Opex*$F25+In_Admin)*DR73*DR16*DR$6</f>
        <v>-620.02134468979</v>
      </c>
      <c r="DS78" s="49" t="n">
        <f aca="false">-(In_Fixed_Opex*$F25+In_Admin)*DS73*DS16*DS$6</f>
        <v>-621.70618530036</v>
      </c>
      <c r="DT78" s="49" t="n">
        <f aca="false">-(In_Fixed_Opex*$F25+In_Admin)*DT73*DT16*DT$6</f>
        <v>-628.614031803698</v>
      </c>
      <c r="DU78" s="49" t="n">
        <f aca="false">-(In_Fixed_Opex*$F25+In_Admin)*DU73*DU16*DU$6</f>
        <v>-635.521878307035</v>
      </c>
      <c r="DV78" s="49" t="n">
        <f aca="false">-(In_Fixed_Opex*$F25+In_Admin)*DV73*DV16*DV$6</f>
        <v>-635.521878307035</v>
      </c>
      <c r="DW78" s="49" t="n">
        <f aca="false">-(In_Fixed_Opex*$F25+In_Admin)*DW73*DW16*DW$6</f>
        <v>-644.32938259879</v>
      </c>
      <c r="DX78" s="49" t="n">
        <f aca="false">-(In_Fixed_Opex*$F25+In_Admin)*DX73*DX16*DX$6</f>
        <v>-644.32938259879</v>
      </c>
      <c r="DY78" s="49" t="n">
        <f aca="false">-(In_Fixed_Opex*$F25+In_Admin)*DY73*DY16*DY$6</f>
        <v>-651.409925264711</v>
      </c>
      <c r="DZ78" s="49" t="n">
        <f aca="false">-(In_Fixed_Opex*$F25+In_Admin)*DZ73*DZ16*DZ$6</f>
        <v>-651.409925264711</v>
      </c>
      <c r="EA78" s="49" t="n">
        <f aca="false">-(In_Fixed_Opex*$F25+In_Admin)*EA73*EA16*EA$6</f>
        <v>-653.180060931191</v>
      </c>
      <c r="EB78" s="49" t="n">
        <f aca="false">-(In_Fixed_Opex*$F25+In_Admin)*EB73*EB16*EB$6</f>
        <v>-660.43761716376</v>
      </c>
      <c r="EC78" s="49" t="n">
        <f aca="false">-(In_Fixed_Opex*$F25+In_Admin)*EC73*EC16*EC$6</f>
        <v>-667.695173396328</v>
      </c>
      <c r="ED78" s="49" t="n">
        <f aca="false">-(In_Fixed_Opex*$F25+In_Admin)*ED73*ED16*ED$6</f>
        <v>-667.695173396328</v>
      </c>
      <c r="EE78" s="49" t="n">
        <f aca="false">-(In_Fixed_Opex*$F25+In_Admin)*EE73*EE16*EE$6</f>
        <v>-669.50956245447</v>
      </c>
      <c r="EF78" s="49" t="n">
        <f aca="false">-(In_Fixed_Opex*$F25+In_Admin)*EF73*EF16*EF$6</f>
        <v>-676.948557592854</v>
      </c>
      <c r="EG78" s="49" t="n">
        <f aca="false">-(In_Fixed_Opex*$F25+In_Admin)*EG73*EG16*EG$6</f>
        <v>-684.387552731237</v>
      </c>
      <c r="EH78" s="49" t="n">
        <f aca="false">-(In_Fixed_Opex*$F25+In_Admin)*EH73*EH16*EH$6</f>
        <v>-684.387552731237</v>
      </c>
      <c r="EI78" s="49" t="n">
        <f aca="false">-(In_Fixed_Opex*$F25+In_Admin)*EI73*EI16*EI$6</f>
        <v>-686.247301515832</v>
      </c>
      <c r="EJ78" s="49" t="n">
        <f aca="false">-(In_Fixed_Opex*$F25+In_Admin)*EJ73*EJ16*EJ$6</f>
        <v>-693.872271532675</v>
      </c>
      <c r="EK78" s="49" t="n">
        <f aca="false">-(In_Fixed_Opex*$F25+In_Admin)*EK73*EK16*EK$6</f>
        <v>-701.497241549517</v>
      </c>
      <c r="EL78" s="49" t="n">
        <f aca="false">-(In_Fixed_Opex*$F25+In_Admin)*EL73*EL16*EL$6</f>
        <v>-701.497241549517</v>
      </c>
      <c r="EM78" s="49" t="n">
        <f aca="false">-(In_Fixed_Opex*$F25+In_Admin)*EM73*EM16*EM$6</f>
        <v>-711.219078320991</v>
      </c>
      <c r="EN78" s="49" t="n">
        <f aca="false">-(In_Fixed_Opex*$F25+In_Admin)*EN73*EN16*EN$6</f>
        <v>-711.219078320991</v>
      </c>
      <c r="EO78" s="49" t="n">
        <f aca="false">-(In_Fixed_Opex*$F25+In_Admin)*EO73*EO16*EO$6</f>
        <v>-719.034672588255</v>
      </c>
    </row>
    <row r="79" customFormat="false" ht="15" hidden="false" customHeight="false" outlineLevel="0" collapsed="false">
      <c r="C79" s="1" t="s">
        <v>472</v>
      </c>
      <c r="D79" s="12" t="s">
        <v>33</v>
      </c>
      <c r="I79" s="49" t="n">
        <f aca="false">SUM(J79:EO79)</f>
        <v>-7708.87664873263</v>
      </c>
      <c r="J79" s="49" t="n">
        <f aca="false">-In_Lease*$F25*J73*J17*J$6</f>
        <v>-0</v>
      </c>
      <c r="K79" s="49" t="n">
        <f aca="false">-In_Lease*$F25*K73*K17*K$6</f>
        <v>-0</v>
      </c>
      <c r="L79" s="49" t="n">
        <f aca="false">-In_Lease*$F25*L73*L17*L$6</f>
        <v>-0</v>
      </c>
      <c r="M79" s="49" t="n">
        <f aca="false">-In_Lease*$F25*M73*M17*M$6</f>
        <v>-0</v>
      </c>
      <c r="N79" s="49" t="n">
        <f aca="false">-In_Lease*$F25*N73*N17*N$6</f>
        <v>-0</v>
      </c>
      <c r="O79" s="49" t="n">
        <f aca="false">-In_Lease*$F25*O73*O17*O$6</f>
        <v>-0</v>
      </c>
      <c r="P79" s="49" t="n">
        <f aca="false">-In_Lease*$F25*P73*P17*P$6</f>
        <v>-0</v>
      </c>
      <c r="Q79" s="49" t="n">
        <f aca="false">-In_Lease*$F25*Q73*Q17*Q$6</f>
        <v>-0</v>
      </c>
      <c r="R79" s="49" t="n">
        <f aca="false">-In_Lease*$F25*R73*R17*R$6</f>
        <v>-39.5850480389201</v>
      </c>
      <c r="S79" s="49" t="n">
        <f aca="false">-In_Lease*$F25*S73*S17*S$6</f>
        <v>-39.6926161042432</v>
      </c>
      <c r="T79" s="49" t="n">
        <f aca="false">-In_Lease*$F25*T73*T17*T$6</f>
        <v>-40.1336451720682</v>
      </c>
      <c r="U79" s="49" t="n">
        <f aca="false">-In_Lease*$F25*U73*U17*U$6</f>
        <v>-40.5746742398931</v>
      </c>
      <c r="V79" s="49" t="n">
        <f aca="false">-In_Lease*$F25*V73*V17*V$6</f>
        <v>-40.5746742398931</v>
      </c>
      <c r="W79" s="49" t="n">
        <f aca="false">-In_Lease*$F25*W73*W17*W$6</f>
        <v>-40.6849315068493</v>
      </c>
      <c r="X79" s="49" t="n">
        <f aca="false">-In_Lease*$F25*X73*X17*X$6</f>
        <v>-41.1369863013699</v>
      </c>
      <c r="Y79" s="49" t="n">
        <f aca="false">-In_Lease*$F25*Y73*Y17*Y$6</f>
        <v>-41.5890410958904</v>
      </c>
      <c r="Z79" s="49" t="n">
        <f aca="false">-In_Lease*$F25*Z73*Z17*Z$6</f>
        <v>-41.5890410958904</v>
      </c>
      <c r="AA79" s="49" t="n">
        <f aca="false">-In_Lease*$F25*AA73*AA17*AA$6</f>
        <v>-41.7020547945206</v>
      </c>
      <c r="AB79" s="49" t="n">
        <f aca="false">-In_Lease*$F25*AB73*AB17*AB$6</f>
        <v>-42.1654109589041</v>
      </c>
      <c r="AC79" s="49" t="n">
        <f aca="false">-In_Lease*$F25*AC73*AC17*AC$6</f>
        <v>-42.6287671232877</v>
      </c>
      <c r="AD79" s="49" t="n">
        <f aca="false">-In_Lease*$F25*AD73*AD17*AD$6</f>
        <v>-42.6287671232877</v>
      </c>
      <c r="AE79" s="49" t="n">
        <f aca="false">-In_Lease*$F25*AE73*AE17*AE$6</f>
        <v>-43.2195462328767</v>
      </c>
      <c r="AF79" s="49" t="n">
        <f aca="false">-In_Lease*$F25*AF73*AF17*AF$6</f>
        <v>-43.2195462328767</v>
      </c>
      <c r="AG79" s="49" t="n">
        <f aca="false">-In_Lease*$F25*AG73*AG17*AG$6</f>
        <v>-43.6944863013699</v>
      </c>
      <c r="AH79" s="49" t="n">
        <f aca="false">-In_Lease*$F25*AH73*AH17*AH$6</f>
        <v>-43.6944863013699</v>
      </c>
      <c r="AI79" s="49" t="n">
        <f aca="false">-In_Lease*$F25*AI73*AI17*AI$6</f>
        <v>-43.8132213184931</v>
      </c>
      <c r="AJ79" s="49" t="n">
        <f aca="false">-In_Lease*$F25*AJ73*AJ17*AJ$6</f>
        <v>-44.3000348886986</v>
      </c>
      <c r="AK79" s="49" t="n">
        <f aca="false">-In_Lease*$F25*AK73*AK17*AK$6</f>
        <v>-44.7868484589041</v>
      </c>
      <c r="AL79" s="49" t="n">
        <f aca="false">-In_Lease*$F25*AL73*AL17*AL$6</f>
        <v>-44.7868484589041</v>
      </c>
      <c r="AM79" s="49" t="n">
        <f aca="false">-In_Lease*$F25*AM73*AM17*AM$6</f>
        <v>-44.9085518514555</v>
      </c>
      <c r="AN79" s="49" t="n">
        <f aca="false">-In_Lease*$F25*AN73*AN17*AN$6</f>
        <v>-45.4075357609161</v>
      </c>
      <c r="AO79" s="49" t="n">
        <f aca="false">-In_Lease*$F25*AO73*AO17*AO$6</f>
        <v>-45.9065196703767</v>
      </c>
      <c r="AP79" s="49" t="n">
        <f aca="false">-In_Lease*$F25*AP73*AP17*AP$6</f>
        <v>-45.9065196703767</v>
      </c>
      <c r="AQ79" s="49" t="n">
        <f aca="false">-In_Lease*$F25*AQ73*AQ17*AQ$6</f>
        <v>-46.0312656477419</v>
      </c>
      <c r="AR79" s="49" t="n">
        <f aca="false">-In_Lease*$F25*AR73*AR17*AR$6</f>
        <v>-46.542724154939</v>
      </c>
      <c r="AS79" s="49" t="n">
        <f aca="false">-In_Lease*$F25*AS73*AS17*AS$6</f>
        <v>-47.0541826621361</v>
      </c>
      <c r="AT79" s="49" t="n">
        <f aca="false">-In_Lease*$F25*AT73*AT17*AT$6</f>
        <v>-47.0541826621361</v>
      </c>
      <c r="AU79" s="49" t="n">
        <f aca="false">-In_Lease*$F25*AU73*AU17*AU$6</f>
        <v>-47.7062922588125</v>
      </c>
      <c r="AV79" s="49" t="n">
        <f aca="false">-In_Lease*$F25*AV73*AV17*AV$6</f>
        <v>-47.7062922588125</v>
      </c>
      <c r="AW79" s="49" t="n">
        <f aca="false">-In_Lease*$F25*AW73*AW17*AW$6</f>
        <v>-48.2305372286895</v>
      </c>
      <c r="AX79" s="49" t="n">
        <f aca="false">-In_Lease*$F25*AX73*AX17*AX$6</f>
        <v>-48.2305372286895</v>
      </c>
      <c r="AY79" s="49" t="n">
        <f aca="false">-In_Lease*$F25*AY73*AY17*AY$6</f>
        <v>-48.3615984711588</v>
      </c>
      <c r="AZ79" s="49" t="n">
        <f aca="false">-In_Lease*$F25*AZ73*AZ17*AZ$6</f>
        <v>-48.8989495652828</v>
      </c>
      <c r="BA79" s="49" t="n">
        <f aca="false">-In_Lease*$F25*BA73*BA17*BA$6</f>
        <v>-49.4363006594068</v>
      </c>
      <c r="BB79" s="49" t="n">
        <f aca="false">-In_Lease*$F25*BB73*BB17*BB$6</f>
        <v>-49.4363006594068</v>
      </c>
      <c r="BC79" s="49" t="n">
        <f aca="false">-In_Lease*$F25*BC73*BC17*BC$6</f>
        <v>-49.5706384329377</v>
      </c>
      <c r="BD79" s="49" t="n">
        <f aca="false">-In_Lease*$F25*BD73*BD17*BD$6</f>
        <v>-50.1214233044148</v>
      </c>
      <c r="BE79" s="49" t="n">
        <f aca="false">-In_Lease*$F25*BE73*BE17*BE$6</f>
        <v>-50.6722081758919</v>
      </c>
      <c r="BF79" s="49" t="n">
        <f aca="false">-In_Lease*$F25*BF73*BF17*BF$6</f>
        <v>-50.6722081758919</v>
      </c>
      <c r="BG79" s="49" t="n">
        <f aca="false">-In_Lease*$F25*BG73*BG17*BG$6</f>
        <v>-50.8099043937612</v>
      </c>
      <c r="BH79" s="49" t="n">
        <f aca="false">-In_Lease*$F25*BH73*BH17*BH$6</f>
        <v>-51.3744588870252</v>
      </c>
      <c r="BI79" s="49" t="n">
        <f aca="false">-In_Lease*$F25*BI73*BI17*BI$6</f>
        <v>-51.9390133802892</v>
      </c>
      <c r="BJ79" s="49" t="n">
        <f aca="false">-In_Lease*$F25*BJ73*BJ17*BJ$6</f>
        <v>-51.9390133802892</v>
      </c>
      <c r="BK79" s="49" t="n">
        <f aca="false">-In_Lease*$F25*BK73*BK17*BK$6</f>
        <v>-52.6588203592008</v>
      </c>
      <c r="BL79" s="49" t="n">
        <f aca="false">-In_Lease*$F25*BL73*BL17*BL$6</f>
        <v>-52.6588203592008</v>
      </c>
      <c r="BM79" s="49" t="n">
        <f aca="false">-In_Lease*$F25*BM73*BM17*BM$6</f>
        <v>-53.2374887147964</v>
      </c>
      <c r="BN79" s="49" t="n">
        <f aca="false">-In_Lease*$F25*BN73*BN17*BN$6</f>
        <v>-53.2374887147964</v>
      </c>
      <c r="BO79" s="49" t="n">
        <f aca="false">-In_Lease*$F25*BO73*BO17*BO$6</f>
        <v>-53.3821558036953</v>
      </c>
      <c r="BP79" s="49" t="n">
        <f aca="false">-In_Lease*$F25*BP73*BP17*BP$6</f>
        <v>-53.9752908681808</v>
      </c>
      <c r="BQ79" s="49" t="n">
        <f aca="false">-In_Lease*$F25*BQ73*BQ17*BQ$6</f>
        <v>-54.5684259326664</v>
      </c>
      <c r="BR79" s="49" t="n">
        <f aca="false">-In_Lease*$F25*BR73*BR17*BR$6</f>
        <v>-54.5684259326664</v>
      </c>
      <c r="BS79" s="49" t="n">
        <f aca="false">-In_Lease*$F25*BS73*BS17*BS$6</f>
        <v>-54.7167096987877</v>
      </c>
      <c r="BT79" s="49" t="n">
        <f aca="false">-In_Lease*$F25*BT73*BT17*BT$6</f>
        <v>-55.3246731398854</v>
      </c>
      <c r="BU79" s="49" t="n">
        <f aca="false">-In_Lease*$F25*BU73*BU17*BU$6</f>
        <v>-55.932636580983</v>
      </c>
      <c r="BV79" s="49" t="n">
        <f aca="false">-In_Lease*$F25*BV73*BV17*BV$6</f>
        <v>-55.932636580983</v>
      </c>
      <c r="BW79" s="49" t="n">
        <f aca="false">-In_Lease*$F25*BW73*BW17*BW$6</f>
        <v>-56.0846274412574</v>
      </c>
      <c r="BX79" s="49" t="n">
        <f aca="false">-In_Lease*$F25*BX73*BX17*BX$6</f>
        <v>-56.7077899683825</v>
      </c>
      <c r="BY79" s="49" t="n">
        <f aca="false">-In_Lease*$F25*BY73*BY17*BY$6</f>
        <v>-57.3309524955076</v>
      </c>
      <c r="BZ79" s="49" t="n">
        <f aca="false">-In_Lease*$F25*BZ73*BZ17*BZ$6</f>
        <v>-57.3309524955076</v>
      </c>
      <c r="CA79" s="49" t="n">
        <f aca="false">-In_Lease*$F25*CA73*CA17*CA$6</f>
        <v>-58.125484717592</v>
      </c>
      <c r="CB79" s="49" t="n">
        <f aca="false">-In_Lease*$F25*CB73*CB17*CB$6</f>
        <v>-58.125484717592</v>
      </c>
      <c r="CC79" s="49" t="n">
        <f aca="false">-In_Lease*$F25*CC73*CC17*CC$6</f>
        <v>-58.7642263078953</v>
      </c>
      <c r="CD79" s="49" t="n">
        <f aca="false">-In_Lease*$F25*CD73*CD17*CD$6</f>
        <v>-58.7642263078953</v>
      </c>
      <c r="CE79" s="49" t="n">
        <f aca="false">-In_Lease*$F25*CE73*CE17*CE$6</f>
        <v>-58.923911705471</v>
      </c>
      <c r="CF79" s="49" t="n">
        <f aca="false">-In_Lease*$F25*CF73*CF17*CF$6</f>
        <v>-59.5786218355318</v>
      </c>
      <c r="CG79" s="49" t="n">
        <f aca="false">-In_Lease*$F25*CG73*CG17*CG$6</f>
        <v>-60.2333319655926</v>
      </c>
      <c r="CH79" s="49" t="n">
        <f aca="false">-In_Lease*$F25*CH73*CH17*CH$6</f>
        <v>-60.2333319655926</v>
      </c>
      <c r="CI79" s="49" t="n">
        <f aca="false">-In_Lease*$F25*CI73*CI17*CI$6</f>
        <v>-60.3970094981078</v>
      </c>
      <c r="CJ79" s="49" t="n">
        <f aca="false">-In_Lease*$F25*CJ73*CJ17*CJ$6</f>
        <v>-61.0680873814201</v>
      </c>
      <c r="CK79" s="49" t="n">
        <f aca="false">-In_Lease*$F25*CK73*CK17*CK$6</f>
        <v>-61.7391652647324</v>
      </c>
      <c r="CL79" s="49" t="n">
        <f aca="false">-In_Lease*$F25*CL73*CL17*CL$6</f>
        <v>-61.7391652647324</v>
      </c>
      <c r="CM79" s="49" t="n">
        <f aca="false">-In_Lease*$F25*CM73*CM17*CM$6</f>
        <v>-61.9069347355605</v>
      </c>
      <c r="CN79" s="49" t="n">
        <f aca="false">-In_Lease*$F25*CN73*CN17*CN$6</f>
        <v>-62.5947895659556</v>
      </c>
      <c r="CO79" s="49" t="n">
        <f aca="false">-In_Lease*$F25*CO73*CO17*CO$6</f>
        <v>-63.2826443963507</v>
      </c>
      <c r="CP79" s="49" t="n">
        <f aca="false">-In_Lease*$F25*CP73*CP17*CP$6</f>
        <v>-63.2826443963507</v>
      </c>
      <c r="CQ79" s="49" t="n">
        <f aca="false">-In_Lease*$F25*CQ73*CQ17*CQ$6</f>
        <v>-64.1596593051045</v>
      </c>
      <c r="CR79" s="49" t="n">
        <f aca="false">-In_Lease*$F25*CR73*CR17*CR$6</f>
        <v>-64.1596593051045</v>
      </c>
      <c r="CS79" s="49" t="n">
        <f aca="false">-In_Lease*$F25*CS73*CS17*CS$6</f>
        <v>-64.8647105062595</v>
      </c>
      <c r="CT79" s="49" t="n">
        <f aca="false">-In_Lease*$F25*CT73*CT17*CT$6</f>
        <v>-64.8647105062595</v>
      </c>
      <c r="CU79" s="49" t="n">
        <f aca="false">-In_Lease*$F25*CU73*CU17*CU$6</f>
        <v>-65.0409733065482</v>
      </c>
      <c r="CV79" s="49" t="n">
        <f aca="false">-In_Lease*$F25*CV73*CV17*CV$6</f>
        <v>-65.7636507877321</v>
      </c>
      <c r="CW79" s="49" t="n">
        <f aca="false">-In_Lease*$F25*CW73*CW17*CW$6</f>
        <v>-66.486328268916</v>
      </c>
      <c r="CX79" s="49" t="n">
        <f aca="false">-In_Lease*$F25*CX73*CX17*CX$6</f>
        <v>-66.486328268916</v>
      </c>
      <c r="CY79" s="49" t="n">
        <f aca="false">-In_Lease*$F25*CY73*CY17*CY$6</f>
        <v>-66.6669976392119</v>
      </c>
      <c r="CZ79" s="49" t="n">
        <f aca="false">-In_Lease*$F25*CZ73*CZ17*CZ$6</f>
        <v>-67.4077420574254</v>
      </c>
      <c r="DA79" s="49" t="n">
        <f aca="false">-In_Lease*$F25*DA73*DA17*DA$6</f>
        <v>-68.1484864756389</v>
      </c>
      <c r="DB79" s="49" t="n">
        <f aca="false">-In_Lease*$F25*DB73*DB17*DB$6</f>
        <v>-68.1484864756389</v>
      </c>
      <c r="DC79" s="49" t="n">
        <f aca="false">-In_Lease*$F25*DC73*DC17*DC$6</f>
        <v>-68.3336725801922</v>
      </c>
      <c r="DD79" s="49" t="n">
        <f aca="false">-In_Lease*$F25*DD73*DD17*DD$6</f>
        <v>-69.0929356088611</v>
      </c>
      <c r="DE79" s="49" t="n">
        <f aca="false">-In_Lease*$F25*DE73*DE17*DE$6</f>
        <v>-69.8521986375299</v>
      </c>
      <c r="DF79" s="49" t="n">
        <f aca="false">-In_Lease*$F25*DF73*DF17*DF$6</f>
        <v>-69.8521986375299</v>
      </c>
      <c r="DG79" s="49" t="n">
        <f aca="false">-In_Lease*$F25*DG73*DG17*DG$6</f>
        <v>-70.8202589990826</v>
      </c>
      <c r="DH79" s="49" t="n">
        <f aca="false">-In_Lease*$F25*DH73*DH17*DH$6</f>
        <v>-70.8202589990826</v>
      </c>
      <c r="DI79" s="49" t="n">
        <f aca="false">-In_Lease*$F25*DI73*DI17*DI$6</f>
        <v>-71.5985036034681</v>
      </c>
      <c r="DJ79" s="49" t="n">
        <f aca="false">-In_Lease*$F25*DJ73*DJ17*DJ$6</f>
        <v>-71.5985036034681</v>
      </c>
      <c r="DK79" s="49" t="n">
        <f aca="false">-In_Lease*$F25*DK73*DK17*DK$6</f>
        <v>-71.7930647545645</v>
      </c>
      <c r="DL79" s="49" t="n">
        <f aca="false">-In_Lease*$F25*DL73*DL17*DL$6</f>
        <v>-72.5907654740596</v>
      </c>
      <c r="DM79" s="49" t="n">
        <f aca="false">-In_Lease*$F25*DM73*DM17*DM$6</f>
        <v>-73.3884661935548</v>
      </c>
      <c r="DN79" s="49" t="n">
        <f aca="false">-In_Lease*$F25*DN73*DN17*DN$6</f>
        <v>-73.3884661935548</v>
      </c>
      <c r="DO79" s="49" t="n">
        <f aca="false">-In_Lease*$F25*DO73*DO17*DO$6</f>
        <v>-73.5878913734286</v>
      </c>
      <c r="DP79" s="49" t="n">
        <f aca="false">-In_Lease*$F25*DP73*DP17*DP$6</f>
        <v>-74.4055346109111</v>
      </c>
      <c r="DQ79" s="49" t="n">
        <f aca="false">-In_Lease*$F25*DQ73*DQ17*DQ$6</f>
        <v>-75.2231778483937</v>
      </c>
      <c r="DR79" s="49" t="n">
        <f aca="false">-In_Lease*$F25*DR73*DR17*DR$6</f>
        <v>-75.2231778483937</v>
      </c>
      <c r="DS79" s="49" t="n">
        <f aca="false">-In_Lease*$F25*DS73*DS17*DS$6</f>
        <v>-75.4275886577643</v>
      </c>
      <c r="DT79" s="49" t="n">
        <f aca="false">-In_Lease*$F25*DT73*DT17*DT$6</f>
        <v>-76.2656729761839</v>
      </c>
      <c r="DU79" s="49" t="n">
        <f aca="false">-In_Lease*$F25*DU73*DU17*DU$6</f>
        <v>-77.1037572946035</v>
      </c>
      <c r="DV79" s="49" t="n">
        <f aca="false">-In_Lease*$F25*DV73*DV17*DV$6</f>
        <v>-77.1037572946035</v>
      </c>
      <c r="DW79" s="49" t="n">
        <f aca="false">-In_Lease*$F25*DW73*DW17*DW$6</f>
        <v>-78.1723148005885</v>
      </c>
      <c r="DX79" s="49" t="n">
        <f aca="false">-In_Lease*$F25*DX73*DX17*DX$6</f>
        <v>-78.1723148005885</v>
      </c>
      <c r="DY79" s="49" t="n">
        <f aca="false">-In_Lease*$F25*DY73*DY17*DY$6</f>
        <v>-79.0313512269686</v>
      </c>
      <c r="DZ79" s="49" t="n">
        <f aca="false">-In_Lease*$F25*DZ73*DZ17*DZ$6</f>
        <v>-79.0313512269686</v>
      </c>
      <c r="EA79" s="49" t="n">
        <f aca="false">-In_Lease*$F25*EA73*EA17*EA$6</f>
        <v>-79.2461103335636</v>
      </c>
      <c r="EB79" s="49" t="n">
        <f aca="false">-In_Lease*$F25*EB73*EB17*EB$6</f>
        <v>-80.1266226706032</v>
      </c>
      <c r="EC79" s="49" t="n">
        <f aca="false">-In_Lease*$F25*EC73*EC17*EC$6</f>
        <v>-81.0071350076428</v>
      </c>
      <c r="ED79" s="49" t="n">
        <f aca="false">-In_Lease*$F25*ED73*ED17*ED$6</f>
        <v>-81.0071350076428</v>
      </c>
      <c r="EE79" s="49" t="n">
        <f aca="false">-In_Lease*$F25*EE73*EE17*EE$6</f>
        <v>-81.2272630919027</v>
      </c>
      <c r="EF79" s="49" t="n">
        <f aca="false">-In_Lease*$F25*EF73*EF17*EF$6</f>
        <v>-82.1297882373683</v>
      </c>
      <c r="EG79" s="49" t="n">
        <f aca="false">-In_Lease*$F25*EG73*EG17*EG$6</f>
        <v>-83.0323133828338</v>
      </c>
      <c r="EH79" s="49" t="n">
        <f aca="false">-In_Lease*$F25*EH73*EH17*EH$6</f>
        <v>-83.0323133828338</v>
      </c>
      <c r="EI79" s="49" t="n">
        <f aca="false">-In_Lease*$F25*EI73*EI17*EI$6</f>
        <v>-83.2579446692002</v>
      </c>
      <c r="EJ79" s="49" t="n">
        <f aca="false">-In_Lease*$F25*EJ73*EJ17*EJ$6</f>
        <v>-84.1830329433024</v>
      </c>
      <c r="EK79" s="49" t="n">
        <f aca="false">-In_Lease*$F25*EK73*EK17*EK$6</f>
        <v>-85.1081212174047</v>
      </c>
      <c r="EL79" s="49" t="n">
        <f aca="false">-In_Lease*$F25*EL73*EL17*EL$6</f>
        <v>-85.1081212174047</v>
      </c>
      <c r="EM79" s="49" t="n">
        <f aca="false">-In_Lease*$F25*EM73*EM17*EM$6</f>
        <v>-86.287608766885</v>
      </c>
      <c r="EN79" s="49" t="n">
        <f aca="false">-In_Lease*$F25*EN73*EN17*EN$6</f>
        <v>-86.287608766885</v>
      </c>
      <c r="EO79" s="49" t="n">
        <f aca="false">-In_Lease*$F25*EO73*EO17*EO$6</f>
        <v>-87.2358242478398</v>
      </c>
    </row>
    <row r="80" customFormat="false" ht="15" hidden="false" customHeight="false" outlineLevel="0" collapsed="false">
      <c r="C80" s="1" t="s">
        <v>473</v>
      </c>
      <c r="D80" s="12" t="s">
        <v>33</v>
      </c>
      <c r="I80" s="49" t="n">
        <f aca="false">SUM(J80:EO80)</f>
        <v>-10098.0650826636</v>
      </c>
      <c r="J80" s="49" t="n">
        <f aca="false">-J76*(In_MEKH+In_HIPA+In_Innovation)</f>
        <v>-0</v>
      </c>
      <c r="K80" s="49" t="n">
        <f aca="false">-K76*(In_MEKH+In_HIPA+In_Innovation)</f>
        <v>-0</v>
      </c>
      <c r="L80" s="49" t="n">
        <f aca="false">-L76*(In_MEKH+In_HIPA+In_Innovation)</f>
        <v>-0</v>
      </c>
      <c r="M80" s="49" t="n">
        <f aca="false">-M76*(In_MEKH+In_HIPA+In_Innovation)</f>
        <v>-0</v>
      </c>
      <c r="N80" s="49" t="n">
        <f aca="false">-N76*(In_MEKH+In_HIPA+In_Innovation)</f>
        <v>-0</v>
      </c>
      <c r="O80" s="49" t="n">
        <f aca="false">-O76*(In_MEKH+In_HIPA+In_Innovation)</f>
        <v>-0</v>
      </c>
      <c r="P80" s="49" t="n">
        <f aca="false">-P76*(In_MEKH+In_HIPA+In_Innovation)</f>
        <v>-0</v>
      </c>
      <c r="Q80" s="49" t="n">
        <f aca="false">-Q76*(In_MEKH+In_HIPA+In_Innovation)</f>
        <v>-0</v>
      </c>
      <c r="R80" s="49" t="n">
        <f aca="false">-R76*(In_MEKH+In_HIPA+In_Innovation)</f>
        <v>-0</v>
      </c>
      <c r="S80" s="49" t="n">
        <f aca="false">-S76*(In_MEKH+In_HIPA+In_Innovation)</f>
        <v>-0</v>
      </c>
      <c r="T80" s="49" t="n">
        <f aca="false">-T76*(In_MEKH+In_HIPA+In_Innovation)</f>
        <v>-0</v>
      </c>
      <c r="U80" s="49" t="n">
        <f aca="false">-U76*(In_MEKH+In_HIPA+In_Innovation)</f>
        <v>-0</v>
      </c>
      <c r="V80" s="49" t="n">
        <f aca="false">-V76*(In_MEKH+In_HIPA+In_Innovation)</f>
        <v>-0</v>
      </c>
      <c r="W80" s="49" t="n">
        <f aca="false">-W76*(In_MEKH+In_HIPA+In_Innovation)</f>
        <v>-0</v>
      </c>
      <c r="X80" s="49" t="n">
        <f aca="false">-X76*(In_MEKH+In_HIPA+In_Innovation)</f>
        <v>-0</v>
      </c>
      <c r="Y80" s="49" t="n">
        <f aca="false">-Y76*(In_MEKH+In_HIPA+In_Innovation)</f>
        <v>-0</v>
      </c>
      <c r="Z80" s="49" t="n">
        <f aca="false">-Z76*(In_MEKH+In_HIPA+In_Innovation)</f>
        <v>-75.950784</v>
      </c>
      <c r="AA80" s="49" t="n">
        <f aca="false">-AA76*(In_MEKH+In_HIPA+In_Innovation)</f>
        <v>-75.0426768</v>
      </c>
      <c r="AB80" s="49" t="n">
        <f aca="false">-AB76*(In_MEKH+In_HIPA+In_Innovation)</f>
        <v>-75.87648432</v>
      </c>
      <c r="AC80" s="49" t="n">
        <f aca="false">-AC76*(In_MEKH+In_HIPA+In_Innovation)</f>
        <v>-76.71029184</v>
      </c>
      <c r="AD80" s="49" t="n">
        <f aca="false">-AD76*(In_MEKH+In_HIPA+In_Innovation)</f>
        <v>-76.48016096448</v>
      </c>
      <c r="AE80" s="49" t="n">
        <f aca="false">-AE76*(In_MEKH+In_HIPA+In_Innovation)</f>
        <v>-76.4053434157104</v>
      </c>
      <c r="AF80" s="49" t="n">
        <f aca="false">-AF76*(In_MEKH+In_HIPA+In_Innovation)</f>
        <v>-76.4053434157104</v>
      </c>
      <c r="AG80" s="49" t="n">
        <f aca="false">-AG76*(In_MEKH+In_HIPA+In_Innovation)</f>
        <v>-77.2449625741248</v>
      </c>
      <c r="AH80" s="49" t="n">
        <f aca="false">-AH76*(In_MEKH+In_HIPA+In_Innovation)</f>
        <v>-77.0132276864024</v>
      </c>
      <c r="AI80" s="49" t="n">
        <f aca="false">-AI76*(In_MEKH+In_HIPA+In_Innovation)</f>
        <v>-76.0924173553694</v>
      </c>
      <c r="AJ80" s="49" t="n">
        <f aca="false">-AJ76*(In_MEKH+In_HIPA+In_Innovation)</f>
        <v>-76.9378886593179</v>
      </c>
      <c r="AK80" s="49" t="n">
        <f aca="false">-AK76*(In_MEKH+In_HIPA+In_Innovation)</f>
        <v>-77.7833599632665</v>
      </c>
      <c r="AL80" s="49" t="n">
        <f aca="false">-AL76*(In_MEKH+In_HIPA+In_Innovation)</f>
        <v>-77.5500098833767</v>
      </c>
      <c r="AM80" s="49" t="n">
        <f aca="false">-AM76*(In_MEKH+In_HIPA+In_Innovation)</f>
        <v>-76.6227815043363</v>
      </c>
      <c r="AN80" s="49" t="n">
        <f aca="false">-AN76*(In_MEKH+In_HIPA+In_Innovation)</f>
        <v>-77.4741457432734</v>
      </c>
      <c r="AO80" s="49" t="n">
        <f aca="false">-AO76*(In_MEKH+In_HIPA+In_Innovation)</f>
        <v>-78.3255099822104</v>
      </c>
      <c r="AP80" s="49" t="n">
        <f aca="false">-AP76*(In_MEKH+In_HIPA+In_Innovation)</f>
        <v>-78.0905334522638</v>
      </c>
      <c r="AQ80" s="49" t="n">
        <f aca="false">-AQ76*(In_MEKH+In_HIPA+In_Innovation)</f>
        <v>-77.1568422914215</v>
      </c>
      <c r="AR80" s="49" t="n">
        <f aca="false">-AR76*(In_MEKH+In_HIPA+In_Innovation)</f>
        <v>-78.014140539104</v>
      </c>
      <c r="AS80" s="49" t="n">
        <f aca="false">-AS76*(In_MEKH+In_HIPA+In_Innovation)</f>
        <v>-78.8714387867865</v>
      </c>
      <c r="AT80" s="49" t="n">
        <f aca="false">-AT76*(In_MEKH+In_HIPA+In_Innovation)</f>
        <v>-78.6348244704261</v>
      </c>
      <c r="AU80" s="49" t="n">
        <f aca="false">-AU76*(In_MEKH+In_HIPA+In_Innovation)</f>
        <v>-78.5578990986615</v>
      </c>
      <c r="AV80" s="49" t="n">
        <f aca="false">-AV76*(In_MEKH+In_HIPA+In_Innovation)</f>
        <v>-78.5578990986615</v>
      </c>
      <c r="AW80" s="49" t="n">
        <f aca="false">-AW76*(In_MEKH+In_HIPA+In_Innovation)</f>
        <v>-79.4211727151304</v>
      </c>
      <c r="AX80" s="49" t="n">
        <f aca="false">-AX76*(In_MEKH+In_HIPA+In_Innovation)</f>
        <v>-79.182909196985</v>
      </c>
      <c r="AY80" s="49" t="n">
        <f aca="false">-AY76*(In_MEKH+In_HIPA+In_Innovation)</f>
        <v>-78.2361570218036</v>
      </c>
      <c r="AZ80" s="49" t="n">
        <f aca="false">-AZ76*(In_MEKH+In_HIPA+In_Innovation)</f>
        <v>-79.1054476553792</v>
      </c>
      <c r="BA80" s="49" t="n">
        <f aca="false">-BA76*(In_MEKH+In_HIPA+In_Innovation)</f>
        <v>-79.9747382889548</v>
      </c>
      <c r="BB80" s="49" t="n">
        <f aca="false">-BB76*(In_MEKH+In_HIPA+In_Innovation)</f>
        <v>-79.7348140740879</v>
      </c>
      <c r="BC80" s="49" t="n">
        <f aca="false">-BC76*(In_MEKH+In_HIPA+In_Innovation)</f>
        <v>-78.7814630362456</v>
      </c>
      <c r="BD80" s="49" t="n">
        <f aca="false">-BD76*(In_MEKH+In_HIPA+In_Innovation)</f>
        <v>-79.6568126255372</v>
      </c>
      <c r="BE80" s="49" t="n">
        <f aca="false">-BE76*(In_MEKH+In_HIPA+In_Innovation)</f>
        <v>-80.5321622148288</v>
      </c>
      <c r="BF80" s="49" t="n">
        <f aca="false">-BF76*(In_MEKH+In_HIPA+In_Innovation)</f>
        <v>-80.2905657281844</v>
      </c>
      <c r="BG80" s="49" t="n">
        <f aca="false">-BG76*(In_MEKH+In_HIPA+In_Innovation)</f>
        <v>-79.3305698336082</v>
      </c>
      <c r="BH80" s="49" t="n">
        <f aca="false">-BH76*(In_MEKH+In_HIPA+In_Innovation)</f>
        <v>-80.2120206095372</v>
      </c>
      <c r="BI80" s="49" t="n">
        <f aca="false">-BI76*(In_MEKH+In_HIPA+In_Innovation)</f>
        <v>-81.0934713854662</v>
      </c>
      <c r="BJ80" s="49" t="n">
        <f aca="false">-BJ76*(In_MEKH+In_HIPA+In_Innovation)</f>
        <v>-80.8501909713098</v>
      </c>
      <c r="BK80" s="49" t="n">
        <f aca="false">-BK76*(In_MEKH+In_HIPA+In_Innovation)</f>
        <v>-80.7710983931857</v>
      </c>
      <c r="BL80" s="49" t="n">
        <f aca="false">-BL76*(In_MEKH+In_HIPA+In_Innovation)</f>
        <v>-80.7710983931857</v>
      </c>
      <c r="BM80" s="49" t="n">
        <f aca="false">-BM76*(In_MEKH+In_HIPA+In_Innovation)</f>
        <v>-81.6586928810229</v>
      </c>
      <c r="BN80" s="49" t="n">
        <f aca="false">-BN76*(In_MEKH+In_HIPA+In_Innovation)</f>
        <v>-81.4137168023798</v>
      </c>
      <c r="BO80" s="49" t="n">
        <f aca="false">-BO76*(In_MEKH+In_HIPA+In_Innovation)</f>
        <v>-80.4402919275687</v>
      </c>
      <c r="BP80" s="49" t="n">
        <f aca="false">-BP76*(In_MEKH+In_HIPA+In_Innovation)</f>
        <v>-81.3340729489862</v>
      </c>
      <c r="BQ80" s="49" t="n">
        <f aca="false">-BQ76*(In_MEKH+In_HIPA+In_Innovation)</f>
        <v>-82.2278539704036</v>
      </c>
      <c r="BR80" s="49" t="n">
        <f aca="false">-BR76*(In_MEKH+In_HIPA+In_Innovation)</f>
        <v>-81.9811704084924</v>
      </c>
      <c r="BS80" s="49" t="n">
        <f aca="false">-BS76*(In_MEKH+In_HIPA+In_Innovation)</f>
        <v>-81.0009607623039</v>
      </c>
      <c r="BT80" s="49" t="n">
        <f aca="false">-BT76*(In_MEKH+In_HIPA+In_Innovation)</f>
        <v>-81.9009714374406</v>
      </c>
      <c r="BU80" s="49" t="n">
        <f aca="false">-BU76*(In_MEKH+In_HIPA+In_Innovation)</f>
        <v>-82.8009821125773</v>
      </c>
      <c r="BV80" s="49" t="n">
        <f aca="false">-BV76*(In_MEKH+In_HIPA+In_Innovation)</f>
        <v>-82.5525791662396</v>
      </c>
      <c r="BW80" s="49" t="n">
        <f aca="false">-BW76*(In_MEKH+In_HIPA+In_Innovation)</f>
        <v>-81.5655374588172</v>
      </c>
      <c r="BX80" s="49" t="n">
        <f aca="false">-BX76*(In_MEKH+In_HIPA+In_Innovation)</f>
        <v>-82.4718212083596</v>
      </c>
      <c r="BY80" s="49" t="n">
        <f aca="false">-BY76*(In_MEKH+In_HIPA+In_Innovation)</f>
        <v>-83.378104957902</v>
      </c>
      <c r="BZ80" s="49" t="n">
        <f aca="false">-BZ76*(In_MEKH+In_HIPA+In_Innovation)</f>
        <v>-83.1279706430283</v>
      </c>
      <c r="CA80" s="49" t="n">
        <f aca="false">-CA76*(In_MEKH+In_HIPA+In_Innovation)</f>
        <v>-83.0466498021818</v>
      </c>
      <c r="CB80" s="49" t="n">
        <f aca="false">-CB76*(In_MEKH+In_HIPA+In_Innovation)</f>
        <v>-83.0466498021818</v>
      </c>
      <c r="CC80" s="49" t="n">
        <f aca="false">-CC76*(In_MEKH+In_HIPA+In_Innovation)</f>
        <v>-83.9592503494586</v>
      </c>
      <c r="CD80" s="49" t="n">
        <f aca="false">-CD76*(In_MEKH+In_HIPA+In_Innovation)</f>
        <v>-83.7073725984102</v>
      </c>
      <c r="CE80" s="49" t="n">
        <f aca="false">-CE76*(In_MEKH+In_HIPA+In_Innovation)</f>
        <v>-82.7065235782118</v>
      </c>
      <c r="CF80" s="49" t="n">
        <f aca="false">-CF76*(In_MEKH+In_HIPA+In_Innovation)</f>
        <v>-83.625484951303</v>
      </c>
      <c r="CG80" s="49" t="n">
        <f aca="false">-CG76*(In_MEKH+In_HIPA+In_Innovation)</f>
        <v>-84.5444463243943</v>
      </c>
      <c r="CH80" s="49" t="n">
        <f aca="false">-CH76*(In_MEKH+In_HIPA+In_Innovation)</f>
        <v>-84.2908129854211</v>
      </c>
      <c r="CI80" s="49" t="n">
        <f aca="false">-CI76*(In_MEKH+In_HIPA+In_Innovation)</f>
        <v>-83.2829880475519</v>
      </c>
      <c r="CJ80" s="49" t="n">
        <f aca="false">-CJ76*(In_MEKH+In_HIPA+In_Innovation)</f>
        <v>-84.2083545814136</v>
      </c>
      <c r="CK80" s="49" t="n">
        <f aca="false">-CK76*(In_MEKH+In_HIPA+In_Innovation)</f>
        <v>-85.1337211152753</v>
      </c>
      <c r="CL80" s="49" t="n">
        <f aca="false">-CL76*(In_MEKH+In_HIPA+In_Innovation)</f>
        <v>-84.8783199519295</v>
      </c>
      <c r="CM80" s="49" t="n">
        <f aca="false">-CM76*(In_MEKH+In_HIPA+In_Innovation)</f>
        <v>-83.8634704742434</v>
      </c>
      <c r="CN80" s="49" t="n">
        <f aca="false">-CN76*(In_MEKH+In_HIPA+In_Innovation)</f>
        <v>-84.7952868128461</v>
      </c>
      <c r="CO80" s="49" t="n">
        <f aca="false">-CO76*(In_MEKH+In_HIPA+In_Innovation)</f>
        <v>-85.7271031514488</v>
      </c>
      <c r="CP80" s="49" t="n">
        <f aca="false">-CP76*(In_MEKH+In_HIPA+In_Innovation)</f>
        <v>-85.4699218419945</v>
      </c>
      <c r="CQ80" s="49" t="n">
        <f aca="false">-CQ76*(In_MEKH+In_HIPA+In_Innovation)</f>
        <v>-85.3863099619316</v>
      </c>
      <c r="CR80" s="49" t="n">
        <f aca="false">-CR76*(In_MEKH+In_HIPA+In_Innovation)</f>
        <v>-85.3863099619316</v>
      </c>
      <c r="CS80" s="49" t="n">
        <f aca="false">-CS76*(In_MEKH+In_HIPA+In_Innovation)</f>
        <v>-86.3246210604144</v>
      </c>
      <c r="CT80" s="49" t="n">
        <f aca="false">-CT76*(In_MEKH+In_HIPA+In_Innovation)</f>
        <v>-86.0656471972332</v>
      </c>
      <c r="CU80" s="49" t="n">
        <f aca="false">-CU76*(In_MEKH+In_HIPA+In_Innovation)</f>
        <v>-85.0366014155271</v>
      </c>
      <c r="CV80" s="49" t="n">
        <f aca="false">-CV76*(In_MEKH+In_HIPA+In_Innovation)</f>
        <v>-85.9814525423663</v>
      </c>
      <c r="CW80" s="49" t="n">
        <f aca="false">-CW76*(In_MEKH+In_HIPA+In_Innovation)</f>
        <v>-86.9263036692055</v>
      </c>
      <c r="CX80" s="49" t="n">
        <f aca="false">-CX76*(In_MEKH+In_HIPA+In_Innovation)</f>
        <v>-86.6655247581979</v>
      </c>
      <c r="CY80" s="49" t="n">
        <f aca="false">-CY76*(In_MEKH+In_HIPA+In_Innovation)</f>
        <v>-85.6293065273933</v>
      </c>
      <c r="CZ80" s="49" t="n">
        <f aca="false">-CZ76*(In_MEKH+In_HIPA+In_Innovation)</f>
        <v>-86.5807432665866</v>
      </c>
      <c r="DA80" s="49" t="n">
        <f aca="false">-DA76*(In_MEKH+In_HIPA+In_Innovation)</f>
        <v>-87.5321800057799</v>
      </c>
      <c r="DB80" s="49" t="n">
        <f aca="false">-DB76*(In_MEKH+In_HIPA+In_Innovation)</f>
        <v>-87.2695834657625</v>
      </c>
      <c r="DC80" s="49" t="n">
        <f aca="false">-DC76*(In_MEKH+In_HIPA+In_Innovation)</f>
        <v>-86.2261427938893</v>
      </c>
      <c r="DD80" s="49" t="n">
        <f aca="false">-DD76*(In_MEKH+In_HIPA+In_Innovation)</f>
        <v>-87.1842110471547</v>
      </c>
      <c r="DE80" s="49" t="n">
        <f aca="false">-DE76*(In_MEKH+In_HIPA+In_Innovation)</f>
        <v>-88.1422793004201</v>
      </c>
      <c r="DF80" s="49" t="n">
        <f aca="false">-DF76*(In_MEKH+In_HIPA+In_Innovation)</f>
        <v>-87.8778524625189</v>
      </c>
      <c r="DG80" s="49" t="n">
        <f aca="false">-DG76*(In_MEKH+In_HIPA+In_Innovation)</f>
        <v>-87.7918849981534</v>
      </c>
      <c r="DH80" s="49" t="n">
        <f aca="false">-DH76*(In_MEKH+In_HIPA+In_Innovation)</f>
        <v>-87.7918849981534</v>
      </c>
      <c r="DI80" s="49" t="n">
        <f aca="false">-DI76*(In_MEKH+In_HIPA+In_Innovation)</f>
        <v>-88.7566309871441</v>
      </c>
      <c r="DJ80" s="49" t="n">
        <f aca="false">-DJ76*(In_MEKH+In_HIPA+In_Innovation)</f>
        <v>-88.4903610941826</v>
      </c>
      <c r="DK80" s="49" t="n">
        <f aca="false">-DK76*(In_MEKH+In_HIPA+In_Innovation)</f>
        <v>-87.4323241680565</v>
      </c>
      <c r="DL80" s="49" t="n">
        <f aca="false">-DL76*(In_MEKH+In_HIPA+In_Innovation)</f>
        <v>-88.4037944365905</v>
      </c>
      <c r="DM80" s="49" t="n">
        <f aca="false">-DM76*(In_MEKH+In_HIPA+In_Innovation)</f>
        <v>-89.3752647051245</v>
      </c>
      <c r="DN80" s="49" t="n">
        <f aca="false">-DN76*(In_MEKH+In_HIPA+In_Innovation)</f>
        <v>-89.1071389110091</v>
      </c>
      <c r="DO80" s="49" t="n">
        <f aca="false">-DO76*(In_MEKH+In_HIPA+In_Innovation)</f>
        <v>-88.0417274675079</v>
      </c>
      <c r="DP80" s="49" t="n">
        <f aca="false">-DP76*(In_MEKH+In_HIPA+In_Innovation)</f>
        <v>-89.0199688838135</v>
      </c>
      <c r="DQ80" s="49" t="n">
        <f aca="false">-DQ76*(In_MEKH+In_HIPA+In_Innovation)</f>
        <v>-89.9982103001192</v>
      </c>
      <c r="DR80" s="49" t="n">
        <f aca="false">-DR76*(In_MEKH+In_HIPA+In_Innovation)</f>
        <v>-89.7282156692188</v>
      </c>
      <c r="DS80" s="49" t="n">
        <f aca="false">-DS76*(In_MEKH+In_HIPA+In_Innovation)</f>
        <v>-88.6553783079564</v>
      </c>
      <c r="DT80" s="49" t="n">
        <f aca="false">-DT76*(In_MEKH+In_HIPA+In_Innovation)</f>
        <v>-89.6404380669337</v>
      </c>
      <c r="DU80" s="49" t="n">
        <f aca="false">-DU76*(In_MEKH+In_HIPA+In_Innovation)</f>
        <v>-90.625497825911</v>
      </c>
      <c r="DV80" s="49" t="n">
        <f aca="false">-DV76*(In_MEKH+In_HIPA+In_Innovation)</f>
        <v>-90.3536213324333</v>
      </c>
      <c r="DW80" s="49" t="n">
        <f aca="false">-DW76*(In_MEKH+In_HIPA+In_Innovation)</f>
        <v>-90.2652319202602</v>
      </c>
      <c r="DX80" s="49" t="n">
        <f aca="false">-DX76*(In_MEKH+In_HIPA+In_Innovation)</f>
        <v>-90.2652319202602</v>
      </c>
      <c r="DY80" s="49" t="n">
        <f aca="false">-DY76*(In_MEKH+In_HIPA+In_Innovation)</f>
        <v>-91.2571575457576</v>
      </c>
      <c r="DZ80" s="49" t="n">
        <f aca="false">-DZ76*(In_MEKH+In_HIPA+In_Innovation)</f>
        <v>-90.9833860731203</v>
      </c>
      <c r="EA80" s="49" t="n">
        <f aca="false">-EA76*(In_MEKH+In_HIPA+In_Innovation)</f>
        <v>-89.8955412396374</v>
      </c>
      <c r="EB80" s="49" t="n">
        <f aca="false">-EB76*(In_MEKH+In_HIPA+In_Innovation)</f>
        <v>-90.8943805867445</v>
      </c>
      <c r="EC80" s="49" t="n">
        <f aca="false">-EC76*(In_MEKH+In_HIPA+In_Innovation)</f>
        <v>-91.8932199338516</v>
      </c>
      <c r="ED80" s="49" t="n">
        <f aca="false">-ED76*(In_MEKH+In_HIPA+In_Innovation)</f>
        <v>-91.61754027405</v>
      </c>
      <c r="EE80" s="49" t="n">
        <f aca="false">-EE76*(In_MEKH+In_HIPA+In_Innovation)</f>
        <v>-90.5221131620776</v>
      </c>
      <c r="EF80" s="49" t="n">
        <f aca="false">-EF76*(In_MEKH+In_HIPA+In_Innovation)</f>
        <v>-91.5279144194341</v>
      </c>
      <c r="EG80" s="49" t="n">
        <f aca="false">-EG76*(In_MEKH+In_HIPA+In_Innovation)</f>
        <v>-92.5337156767905</v>
      </c>
      <c r="EH80" s="49" t="n">
        <f aca="false">-EH76*(In_MEKH+In_HIPA+In_Innovation)</f>
        <v>-92.2561145297601</v>
      </c>
      <c r="EI80" s="49" t="n">
        <f aca="false">-EI76*(In_MEKH+In_HIPA+In_Innovation)</f>
        <v>-91.1530522908173</v>
      </c>
      <c r="EJ80" s="49" t="n">
        <f aca="false">-EJ76*(In_MEKH+In_HIPA+In_Innovation)</f>
        <v>-92.1658639829375</v>
      </c>
      <c r="EK80" s="49" t="n">
        <f aca="false">-EK76*(In_MEKH+In_HIPA+In_Innovation)</f>
        <v>-93.1786756750577</v>
      </c>
      <c r="EL80" s="49" t="n">
        <f aca="false">-EL76*(In_MEKH+In_HIPA+In_Innovation)</f>
        <v>-92.8991396480325</v>
      </c>
      <c r="EM80" s="49" t="n">
        <f aca="false">-EM76*(In_MEKH+In_HIPA+In_Innovation)</f>
        <v>-92.8082600548986</v>
      </c>
      <c r="EN80" s="49" t="n">
        <f aca="false">-EN76*(In_MEKH+In_HIPA+In_Innovation)</f>
        <v>-92.8082600548986</v>
      </c>
      <c r="EO80" s="49" t="n">
        <f aca="false">-EO76*(In_MEKH+In_HIPA+In_Innovation)</f>
        <v>-93.8281310445129</v>
      </c>
    </row>
    <row r="81" customFormat="false" ht="15" hidden="false" customHeight="false" outlineLevel="0" collapsed="false">
      <c r="C81" s="1" t="s">
        <v>346</v>
      </c>
      <c r="D81" s="12" t="s">
        <v>33</v>
      </c>
      <c r="I81" s="49" t="n">
        <f aca="false">SUM(J81:EO81)</f>
        <v>-4936.62840952233</v>
      </c>
      <c r="J81" s="49" t="n">
        <f aca="false">In_Opex_Contingency*(J77+J78+J79-J76*In_MEKH)</f>
        <v>-0</v>
      </c>
      <c r="K81" s="49" t="n">
        <f aca="false">In_Opex_Contingency*(K77+K78+K79-K76*In_MEKH)</f>
        <v>-0</v>
      </c>
      <c r="L81" s="49" t="n">
        <f aca="false">In_Opex_Contingency*(L77+L78+L79-L76*In_MEKH)</f>
        <v>-0</v>
      </c>
      <c r="M81" s="49" t="n">
        <f aca="false">In_Opex_Contingency*(M77+M78+M79-M76*In_MEKH)</f>
        <v>-0</v>
      </c>
      <c r="N81" s="49" t="n">
        <f aca="false">In_Opex_Contingency*(N77+N78+N79-N76*In_MEKH)</f>
        <v>-0</v>
      </c>
      <c r="O81" s="49" t="n">
        <f aca="false">In_Opex_Contingency*(O77+O78+O79-O76*In_MEKH)</f>
        <v>-0</v>
      </c>
      <c r="P81" s="49" t="n">
        <f aca="false">In_Opex_Contingency*(P77+P78+P79-P76*In_MEKH)</f>
        <v>-0</v>
      </c>
      <c r="Q81" s="49" t="n">
        <f aca="false">In_Opex_Contingency*(Q77+Q78+Q79-Q76*In_MEKH)</f>
        <v>-0</v>
      </c>
      <c r="R81" s="49" t="n">
        <f aca="false">In_Opex_Contingency*(R77+R78+R79-R76*In_MEKH)</f>
        <v>-1.979252401946</v>
      </c>
      <c r="S81" s="49" t="n">
        <f aca="false">In_Opex_Contingency*(S77+S78+S79-S76*In_MEKH)</f>
        <v>-1.98463080521216</v>
      </c>
      <c r="T81" s="49" t="n">
        <f aca="false">In_Opex_Contingency*(T77+T78+T79-T76*In_MEKH)</f>
        <v>-2.00668225860341</v>
      </c>
      <c r="U81" s="49" t="n">
        <f aca="false">In_Opex_Contingency*(U77+U78+U79-U76*In_MEKH)</f>
        <v>-2.02873371199466</v>
      </c>
      <c r="V81" s="49" t="n">
        <f aca="false">In_Opex_Contingency*(V77+V78+V79-V76*In_MEKH)</f>
        <v>-2.02873371199466</v>
      </c>
      <c r="W81" s="49" t="n">
        <f aca="false">In_Opex_Contingency*(W77+W78+W79-W76*In_MEKH)</f>
        <v>-2.03424657534247</v>
      </c>
      <c r="X81" s="49" t="n">
        <f aca="false">In_Opex_Contingency*(X77+X78+X79-X76*In_MEKH)</f>
        <v>-2.05684931506849</v>
      </c>
      <c r="Y81" s="49" t="n">
        <f aca="false">In_Opex_Contingency*(Y77+Y78+Y79-Y76*In_MEKH)</f>
        <v>-2.07945205479452</v>
      </c>
      <c r="Z81" s="49" t="n">
        <f aca="false">In_Opex_Contingency*(Z77+Z78+Z79-Z76*In_MEKH)</f>
        <v>-28.1680088821918</v>
      </c>
      <c r="AA81" s="49" t="n">
        <f aca="false">In_Opex_Contingency*(AA77+AA78+AA79-AA76*In_MEKH)</f>
        <v>-28.242230519589</v>
      </c>
      <c r="AB81" s="49" t="n">
        <f aca="false">In_Opex_Contingency*(AB77+AB78+AB79-AB76*In_MEKH)</f>
        <v>-28.5560330809178</v>
      </c>
      <c r="AC81" s="49" t="n">
        <f aca="false">In_Opex_Contingency*(AC77+AC78+AC79-AC76*In_MEKH)</f>
        <v>-28.8698356422466</v>
      </c>
      <c r="AD81" s="49" t="n">
        <f aca="false">In_Opex_Contingency*(AD77+AD78+AD79-AD76*In_MEKH)</f>
        <v>-28.8423251079226</v>
      </c>
      <c r="AE81" s="49" t="n">
        <f aca="false">In_Opex_Contingency*(AE77+AE78+AE79-AE76*In_MEKH)</f>
        <v>-29.2396780867797</v>
      </c>
      <c r="AF81" s="49" t="n">
        <f aca="false">In_Opex_Contingency*(AF77+AF78+AF79-AF76*In_MEKH)</f>
        <v>-29.2396780867797</v>
      </c>
      <c r="AG81" s="49" t="n">
        <f aca="false">In_Opex_Contingency*(AG77+AG78+AG79-AG76*In_MEKH)</f>
        <v>-29.5609932305905</v>
      </c>
      <c r="AH81" s="49" t="n">
        <f aca="false">In_Opex_Contingency*(AH77+AH78+AH79-AH76*In_MEKH)</f>
        <v>-29.5328866978166</v>
      </c>
      <c r="AI81" s="49" t="n">
        <f aca="false">In_Opex_Contingency*(AI77+AI78+AI79-AI76*In_MEKH)</f>
        <v>-29.6107847627251</v>
      </c>
      <c r="AJ81" s="49" t="n">
        <f aca="false">In_Opex_Contingency*(AJ77+AJ78+AJ79-AJ76*In_MEKH)</f>
        <v>-29.9397934823109</v>
      </c>
      <c r="AK81" s="49" t="n">
        <f aca="false">In_Opex_Contingency*(AK77+AK78+AK79-AK76*In_MEKH)</f>
        <v>-30.2688022018968</v>
      </c>
      <c r="AL81" s="49" t="n">
        <f aca="false">In_Opex_Contingency*(AL77+AL78+AL79-AL76*In_MEKH)</f>
        <v>-30.2400866533818</v>
      </c>
      <c r="AM81" s="49" t="n">
        <f aca="false">In_Opex_Contingency*(AM77+AM78+AM79-AM76*In_MEKH)</f>
        <v>-30.3198900475182</v>
      </c>
      <c r="AN81" s="49" t="n">
        <f aca="false">In_Opex_Contingency*(AN77+AN78+AN79-AN76*In_MEKH)</f>
        <v>-30.6567777147129</v>
      </c>
      <c r="AO81" s="49" t="n">
        <f aca="false">In_Opex_Contingency*(AO77+AO78+AO79-AO76*In_MEKH)</f>
        <v>-30.9936653819075</v>
      </c>
      <c r="AP81" s="49" t="n">
        <f aca="false">In_Opex_Contingency*(AP77+AP78+AP79-AP76*In_MEKH)</f>
        <v>-30.9643275153048</v>
      </c>
      <c r="AQ81" s="49" t="n">
        <f aca="false">In_Opex_Contingency*(AQ77+AQ78+AQ79-AQ76*In_MEKH)</f>
        <v>-31.0460824311036</v>
      </c>
      <c r="AR81" s="49" t="n">
        <f aca="false">In_Opex_Contingency*(AR77+AR78+AR79-AR76*In_MEKH)</f>
        <v>-31.3910389025603</v>
      </c>
      <c r="AS81" s="49" t="n">
        <f aca="false">In_Opex_Contingency*(AS77+AS78+AS79-AS76*In_MEKH)</f>
        <v>-31.735995374017</v>
      </c>
      <c r="AT81" s="49" t="n">
        <f aca="false">In_Opex_Contingency*(AT77+AT78+AT79-AT76*In_MEKH)</f>
        <v>-31.7060215956766</v>
      </c>
      <c r="AU81" s="49" t="n">
        <f aca="false">In_Opex_Contingency*(AU77+AU78+AU79-AU76*In_MEKH)</f>
        <v>-32.1429950712461</v>
      </c>
      <c r="AV81" s="49" t="n">
        <f aca="false">In_Opex_Contingency*(AV77+AV78+AV79-AV76*In_MEKH)</f>
        <v>-32.1429950712461</v>
      </c>
      <c r="AW81" s="49" t="n">
        <f aca="false">In_Opex_Contingency*(AW77+AW78+AW79-AW76*In_MEKH)</f>
        <v>-32.4962147973038</v>
      </c>
      <c r="AX81" s="49" t="n">
        <f aca="false">In_Opex_Contingency*(AX77+AX78+AX79-AX76*In_MEKH)</f>
        <v>-32.465591215888</v>
      </c>
      <c r="AY81" s="49" t="n">
        <f aca="false">In_Opex_Contingency*(AY77+AY78+AY79-AY76*In_MEKH)</f>
        <v>-32.5513922579734</v>
      </c>
      <c r="AZ81" s="49" t="n">
        <f aca="false">In_Opex_Contingency*(AZ77+AZ78+AZ79-AZ76*In_MEKH)</f>
        <v>-32.9130743941731</v>
      </c>
      <c r="BA81" s="49" t="n">
        <f aca="false">In_Opex_Contingency*(BA77+BA78+BA79-BA76*In_MEKH)</f>
        <v>-33.2747565303728</v>
      </c>
      <c r="BB81" s="49" t="n">
        <f aca="false">In_Opex_Contingency*(BB77+BB78+BB79-BB76*In_MEKH)</f>
        <v>-33.2434689503322</v>
      </c>
      <c r="BC81" s="49" t="n">
        <f aca="false">In_Opex_Contingency*(BC77+BC78+BC79-BC76*In_MEKH)</f>
        <v>-33.331366918517</v>
      </c>
      <c r="BD81" s="49" t="n">
        <f aca="false">In_Opex_Contingency*(BD77+BD78+BD79-BD76*In_MEKH)</f>
        <v>-33.7017154398339</v>
      </c>
      <c r="BE81" s="49" t="n">
        <f aca="false">In_Opex_Contingency*(BE77+BE78+BE79-BE76*In_MEKH)</f>
        <v>-34.0720639611507</v>
      </c>
      <c r="BF81" s="49" t="n">
        <f aca="false">In_Opex_Contingency*(BF77+BF78+BF79-BF76*In_MEKH)</f>
        <v>-34.0400978760566</v>
      </c>
      <c r="BG81" s="49" t="n">
        <f aca="false">In_Opex_Contingency*(BG77+BG78+BG79-BG76*In_MEKH)</f>
        <v>-34.1301436070664</v>
      </c>
      <c r="BH81" s="49" t="n">
        <f aca="false">In_Opex_Contingency*(BH77+BH78+BH79-BH76*In_MEKH)</f>
        <v>-34.5093674249227</v>
      </c>
      <c r="BI81" s="49" t="n">
        <f aca="false">In_Opex_Contingency*(BI77+BI78+BI79-BI76*In_MEKH)</f>
        <v>-34.888591242779</v>
      </c>
      <c r="BJ81" s="49" t="n">
        <f aca="false">In_Opex_Contingency*(BJ77+BJ78+BJ79-BJ76*In_MEKH)</f>
        <v>-34.8559318285097</v>
      </c>
      <c r="BK81" s="49" t="n">
        <f aca="false">In_Opex_Contingency*(BK77+BK78+BK79-BK76*In_MEKH)</f>
        <v>-35.3364904736268</v>
      </c>
      <c r="BL81" s="49" t="n">
        <f aca="false">In_Opex_Contingency*(BL77+BL78+BL79-BL76*In_MEKH)</f>
        <v>-35.3364904736268</v>
      </c>
      <c r="BM81" s="49" t="n">
        <f aca="false">In_Opex_Contingency*(BM77+BM78+BM79-BM76*In_MEKH)</f>
        <v>-35.7248035557546</v>
      </c>
      <c r="BN81" s="49" t="n">
        <f aca="false">In_Opex_Contingency*(BN77+BN78+BN79-BN76*In_MEKH)</f>
        <v>-35.6914356635328</v>
      </c>
      <c r="BO81" s="49" t="n">
        <f aca="false">In_Opex_Contingency*(BO77+BO78+BO79-BO76*In_MEKH)</f>
        <v>-35.785934390026</v>
      </c>
      <c r="BP81" s="49" t="n">
        <f aca="false">In_Opex_Contingency*(BP77+BP78+BP79-BP76*In_MEKH)</f>
        <v>-36.1835558832485</v>
      </c>
      <c r="BQ81" s="49" t="n">
        <f aca="false">In_Opex_Contingency*(BQ77+BQ78+BQ79-BQ76*In_MEKH)</f>
        <v>-36.5811773764711</v>
      </c>
      <c r="BR81" s="49" t="n">
        <f aca="false">In_Opex_Contingency*(BR77+BR78+BR79-BR76*In_MEKH)</f>
        <v>-36.5470855257483</v>
      </c>
      <c r="BS81" s="49" t="n">
        <f aca="false">In_Opex_Contingency*(BS77+BS78+BS79-BS76*In_MEKH)</f>
        <v>-36.6438920403098</v>
      </c>
      <c r="BT81" s="49" t="n">
        <f aca="false">In_Opex_Contingency*(BT77+BT78+BT79-BT76*In_MEKH)</f>
        <v>-37.0510463963133</v>
      </c>
      <c r="BU81" s="49" t="n">
        <f aca="false">In_Opex_Contingency*(BU77+BU78+BU79-BU76*In_MEKH)</f>
        <v>-37.4582007523167</v>
      </c>
      <c r="BV81" s="49" t="n">
        <f aca="false">In_Opex_Contingency*(BV77+BV78+BV79-BV76*In_MEKH)</f>
        <v>-37.4233691235016</v>
      </c>
      <c r="BW81" s="49" t="n">
        <f aca="false">In_Opex_Contingency*(BW77+BW78+BW79-BW76*In_MEKH)</f>
        <v>-37.5225393751534</v>
      </c>
      <c r="BX81" s="49" t="n">
        <f aca="false">In_Opex_Contingency*(BX77+BX78+BX79-BX76*In_MEKH)</f>
        <v>-37.9394564793218</v>
      </c>
      <c r="BY81" s="49" t="n">
        <f aca="false">In_Opex_Contingency*(BY77+BY78+BY79-BY76*In_MEKH)</f>
        <v>-38.3563735834902</v>
      </c>
      <c r="BZ81" s="49" t="n">
        <f aca="false">In_Opex_Contingency*(BZ77+BZ78+BZ79-BZ76*In_MEKH)</f>
        <v>-38.3207860105176</v>
      </c>
      <c r="CA81" s="49" t="n">
        <f aca="false">In_Opex_Contingency*(CA77+CA78+CA79-CA76*In_MEKH)</f>
        <v>-38.8492926083099</v>
      </c>
      <c r="CB81" s="49" t="n">
        <f aca="false">In_Opex_Contingency*(CB77+CB78+CB79-CB76*In_MEKH)</f>
        <v>-38.8492926083099</v>
      </c>
      <c r="CC81" s="49" t="n">
        <f aca="false">In_Opex_Contingency*(CC77+CC78+CC79-CC76*In_MEKH)</f>
        <v>-39.2762079116979</v>
      </c>
      <c r="CD81" s="49" t="n">
        <f aca="false">In_Opex_Contingency*(CD77+CD78+CD79-CD76*In_MEKH)</f>
        <v>-39.2398478744351</v>
      </c>
      <c r="CE81" s="49" t="n">
        <f aca="false">In_Opex_Contingency*(CE77+CE78+CE79-CE76*In_MEKH)</f>
        <v>-39.343918906861</v>
      </c>
      <c r="CF81" s="49" t="n">
        <f aca="false">In_Opex_Contingency*(CF77+CF78+CF79-CF76*In_MEKH)</f>
        <v>-39.7810735613816</v>
      </c>
      <c r="CG81" s="49" t="n">
        <f aca="false">In_Opex_Contingency*(CG77+CG78+CG79-CG76*In_MEKH)</f>
        <v>-40.2182282159023</v>
      </c>
      <c r="CH81" s="49" t="n">
        <f aca="false">In_Opex_Contingency*(CH77+CH78+CH79-CH76*In_MEKH)</f>
        <v>-40.1810788323887</v>
      </c>
      <c r="CI81" s="49" t="n">
        <f aca="false">In_Opex_Contingency*(CI77+CI78+CI79-CI76*In_MEKH)</f>
        <v>-40.2876897214819</v>
      </c>
      <c r="CJ81" s="49" t="n">
        <f aca="false">In_Opex_Contingency*(CJ77+CJ78+CJ79-CJ76*In_MEKH)</f>
        <v>-40.7353307183873</v>
      </c>
      <c r="CK81" s="49" t="n">
        <f aca="false">In_Opex_Contingency*(CK77+CK78+CK79-CK76*In_MEKH)</f>
        <v>-41.1829717152927</v>
      </c>
      <c r="CL81" s="49" t="n">
        <f aca="false">In_Opex_Contingency*(CL77+CL78+CL79-CL76*In_MEKH)</f>
        <v>-41.1450157338092</v>
      </c>
      <c r="CM81" s="49" t="n">
        <f aca="false">In_Opex_Contingency*(CM77+CM78+CM79-CM76*In_MEKH)</f>
        <v>-41.2542280561852</v>
      </c>
      <c r="CN81" s="49" t="n">
        <f aca="false">In_Opex_Contingency*(CN77+CN78+CN79-CN76*In_MEKH)</f>
        <v>-41.7126083679206</v>
      </c>
      <c r="CO81" s="49" t="n">
        <f aca="false">In_Opex_Contingency*(CO77+CO78+CO79-CO76*In_MEKH)</f>
        <v>-42.170988679656</v>
      </c>
      <c r="CP81" s="49" t="n">
        <f aca="false">In_Opex_Contingency*(CP77+CP78+CP79-CP76*In_MEKH)</f>
        <v>-42.132208470621</v>
      </c>
      <c r="CQ81" s="49" t="n">
        <f aca="false">In_Opex_Contingency*(CQ77+CQ78+CQ79-CQ76*In_MEKH)</f>
        <v>-42.7134640218145</v>
      </c>
      <c r="CR81" s="49" t="n">
        <f aca="false">In_Opex_Contingency*(CR77+CR78+CR79-CR76*In_MEKH)</f>
        <v>-42.7134640218145</v>
      </c>
      <c r="CS81" s="49" t="n">
        <f aca="false">In_Opex_Contingency*(CS77+CS78+CS79-CS76*In_MEKH)</f>
        <v>-43.182842747329</v>
      </c>
      <c r="CT81" s="49" t="n">
        <f aca="false">In_Opex_Contingency*(CT77+CT78+CT79-CT76*In_MEKH)</f>
        <v>-43.1432202950161</v>
      </c>
      <c r="CU81" s="49" t="n">
        <f aca="false">In_Opex_Contingency*(CU77+CU78+CU79-CU76*In_MEKH)</f>
        <v>-43.2578262237228</v>
      </c>
      <c r="CV81" s="49" t="n">
        <f aca="false">In_Opex_Contingency*(CV77+CV78+CV79-CV76*In_MEKH)</f>
        <v>-43.7384687373197</v>
      </c>
      <c r="CW81" s="49" t="n">
        <f aca="false">In_Opex_Contingency*(CW77+CW78+CW79-CW76*In_MEKH)</f>
        <v>-44.2191112509166</v>
      </c>
      <c r="CX81" s="49" t="n">
        <f aca="false">In_Opex_Contingency*(CX77+CX78+CX79-CX76*In_MEKH)</f>
        <v>-44.1786281449912</v>
      </c>
      <c r="CY81" s="49" t="n">
        <f aca="false">In_Opex_Contingency*(CY77+CY78+CY79-CY76*In_MEKH)</f>
        <v>-44.2960293433376</v>
      </c>
      <c r="CZ81" s="49" t="n">
        <f aca="false">In_Opex_Contingency*(CZ77+CZ78+CZ79-CZ76*In_MEKH)</f>
        <v>-44.7882074471524</v>
      </c>
      <c r="DA81" s="49" t="n">
        <f aca="false">In_Opex_Contingency*(DA77+DA78+DA79-DA76*In_MEKH)</f>
        <v>-45.2803855509673</v>
      </c>
      <c r="DB81" s="49" t="n">
        <f aca="false">In_Opex_Contingency*(DB77+DB78+DB79-DB76*In_MEKH)</f>
        <v>-45.2390229778375</v>
      </c>
      <c r="DC81" s="49" t="n">
        <f aca="false">In_Opex_Contingency*(DC77+DC78+DC79-DC76*In_MEKH)</f>
        <v>-45.3592872174131</v>
      </c>
      <c r="DD81" s="49" t="n">
        <f aca="false">In_Opex_Contingency*(DD77+DD78+DD79-DD76*In_MEKH)</f>
        <v>-45.8632792976066</v>
      </c>
      <c r="DE81" s="49" t="n">
        <f aca="false">In_Opex_Contingency*(DE77+DE78+DE79-DE76*In_MEKH)</f>
        <v>-46.3672713778001</v>
      </c>
      <c r="DF81" s="49" t="n">
        <f aca="false">In_Opex_Contingency*(DF77+DF78+DF79-DF76*In_MEKH)</f>
        <v>-46.3250101117778</v>
      </c>
      <c r="DG81" s="49" t="n">
        <f aca="false">In_Opex_Contingency*(DG77+DG78+DG79-DG76*In_MEKH)</f>
        <v>-46.9642979949254</v>
      </c>
      <c r="DH81" s="49" t="n">
        <f aca="false">In_Opex_Contingency*(DH77+DH78+DH79-DH76*In_MEKH)</f>
        <v>-46.9642979949254</v>
      </c>
      <c r="DI81" s="49" t="n">
        <f aca="false">In_Opex_Contingency*(DI77+DI78+DI79-DI76*In_MEKH)</f>
        <v>-47.4803891816828</v>
      </c>
      <c r="DJ81" s="49" t="n">
        <f aca="false">In_Opex_Contingency*(DJ77+DJ78+DJ79-DJ76*In_MEKH)</f>
        <v>-47.4372095759517</v>
      </c>
      <c r="DK81" s="49" t="n">
        <f aca="false">In_Opex_Contingency*(DK77+DK78+DK79-DK76*In_MEKH)</f>
        <v>-47.5634098287061</v>
      </c>
      <c r="DL81" s="49" t="n">
        <f aca="false">In_Opex_Contingency*(DL77+DL78+DL79-DL76*In_MEKH)</f>
        <v>-48.0918921601362</v>
      </c>
      <c r="DM81" s="49" t="n">
        <f aca="false">In_Opex_Contingency*(DM77+DM78+DM79-DM76*In_MEKH)</f>
        <v>-48.6203744915662</v>
      </c>
      <c r="DN81" s="49" t="n">
        <f aca="false">In_Opex_Contingency*(DN77+DN78+DN79-DN76*In_MEKH)</f>
        <v>-48.5762564689508</v>
      </c>
      <c r="DO81" s="49" t="n">
        <f aca="false">In_Opex_Contingency*(DO77+DO78+DO79-DO76*In_MEKH)</f>
        <v>-48.7055331025274</v>
      </c>
      <c r="DP81" s="49" t="n">
        <f aca="false">In_Opex_Contingency*(DP77+DP78+DP79-DP76*In_MEKH)</f>
        <v>-49.2467056925555</v>
      </c>
      <c r="DQ81" s="49" t="n">
        <f aca="false">In_Opex_Contingency*(DQ77+DQ78+DQ79-DQ76*In_MEKH)</f>
        <v>-49.7878782825836</v>
      </c>
      <c r="DR81" s="49" t="n">
        <f aca="false">In_Opex_Contingency*(DR77+DR78+DR79-DR76*In_MEKH)</f>
        <v>-49.7428013261166</v>
      </c>
      <c r="DS81" s="49" t="n">
        <f aca="false">In_Opex_Contingency*(DS77+DS78+DS79-DS76*In_MEKH)</f>
        <v>-49.8752289318226</v>
      </c>
      <c r="DT81" s="49" t="n">
        <f aca="false">In_Opex_Contingency*(DT77+DT78+DT79-DT76*In_MEKH)</f>
        <v>-50.4293981421762</v>
      </c>
      <c r="DU81" s="49" t="n">
        <f aca="false">In_Opex_Contingency*(DU77+DU78+DU79-DU76*In_MEKH)</f>
        <v>-50.9835673525298</v>
      </c>
      <c r="DV81" s="49" t="n">
        <f aca="false">In_Opex_Contingency*(DV77+DV78+DV79-DV76*In_MEKH)</f>
        <v>-50.9375104958125</v>
      </c>
      <c r="DW81" s="49" t="n">
        <f aca="false">In_Opex_Contingency*(DW77+DW78+DW79-DW76*In_MEKH)</f>
        <v>-51.6406450911548</v>
      </c>
      <c r="DX81" s="49" t="n">
        <f aca="false">In_Opex_Contingency*(DX77+DX78+DX79-DX76*In_MEKH)</f>
        <v>-51.6406450911548</v>
      </c>
      <c r="DY81" s="49" t="n">
        <f aca="false">In_Opex_Contingency*(DY77+DY78+DY79-DY76*In_MEKH)</f>
        <v>-52.2081247075411</v>
      </c>
      <c r="DZ81" s="49" t="n">
        <f aca="false">In_Opex_Contingency*(DZ77+DZ78+DZ79-DZ76*In_MEKH)</f>
        <v>-52.1610665248923</v>
      </c>
      <c r="EA81" s="49" t="n">
        <f aca="false">In_Opex_Contingency*(EA77+EA78+EA79-EA76*In_MEKH)</f>
        <v>-52.3000271320433</v>
      </c>
      <c r="EB81" s="49" t="n">
        <f aca="false">In_Opex_Contingency*(EB77+EB78+EB79-EB76*In_MEKH)</f>
        <v>-52.8811385446215</v>
      </c>
      <c r="EC81" s="49" t="n">
        <f aca="false">In_Opex_Contingency*(EC77+EC78+EC79-EC76*In_MEKH)</f>
        <v>-53.4622499571998</v>
      </c>
      <c r="ED81" s="49" t="n">
        <f aca="false">In_Opex_Contingency*(ED77+ED78+ED79-ED76*In_MEKH)</f>
        <v>-53.4141685535888</v>
      </c>
      <c r="EE81" s="49" t="n">
        <f aca="false">In_Opex_Contingency*(EE77+EE78+EE79-EE76*In_MEKH)</f>
        <v>-53.5565149427885</v>
      </c>
      <c r="EF81" s="49" t="n">
        <f aca="false">In_Opex_Contingency*(EF77+EF78+EF79-EF76*In_MEKH)</f>
        <v>-54.1515873310417</v>
      </c>
      <c r="EG81" s="49" t="n">
        <f aca="false">In_Opex_Contingency*(EG77+EG78+EG79-EG76*In_MEKH)</f>
        <v>-54.7466597192949</v>
      </c>
      <c r="EH81" s="49" t="n">
        <f aca="false">In_Opex_Contingency*(EH77+EH78+EH79-EH76*In_MEKH)</f>
        <v>-54.6975327200541</v>
      </c>
      <c r="EI81" s="49" t="n">
        <f aca="false">In_Opex_Contingency*(EI77+EI78+EI79-EI76*In_MEKH)</f>
        <v>-54.8433469902487</v>
      </c>
      <c r="EJ81" s="49" t="n">
        <f aca="false">In_Opex_Contingency*(EJ77+EJ78+EJ79-EJ76*In_MEKH)</f>
        <v>-55.4527175123626</v>
      </c>
      <c r="EK81" s="49" t="n">
        <f aca="false">In_Opex_Contingency*(EK77+EK78+EK79-EK76*In_MEKH)</f>
        <v>-56.0620880344765</v>
      </c>
      <c r="EL81" s="49" t="n">
        <f aca="false">In_Opex_Contingency*(EL77+EL78+EL79-EL76*In_MEKH)</f>
        <v>-56.0118925747881</v>
      </c>
      <c r="EM81" s="49" t="n">
        <f aca="false">In_Opex_Contingency*(EM77+EM78+EM79-EM76*In_MEKH)</f>
        <v>-56.7852728041846</v>
      </c>
      <c r="EN81" s="49" t="n">
        <f aca="false">In_Opex_Contingency*(EN77+EN78+EN79-EN76*In_MEKH)</f>
        <v>-56.7852728041846</v>
      </c>
      <c r="EO81" s="49" t="n">
        <f aca="false">In_Opex_Contingency*(EO77+EO78+EO79-EO76*In_MEKH)</f>
        <v>-57.4092867910437</v>
      </c>
    </row>
    <row r="82" customFormat="false" ht="15" hidden="false" customHeight="false" outlineLevel="0" collapsed="false">
      <c r="C82" s="1" t="s">
        <v>23</v>
      </c>
      <c r="D82" s="12" t="s">
        <v>33</v>
      </c>
      <c r="I82" s="49" t="n">
        <f aca="false">SUM(J82:EO82)</f>
        <v>-12032.8750809572</v>
      </c>
      <c r="J82" s="49" t="n">
        <f aca="false">-$E35*In_Deliver*J75/Thousand</f>
        <v>-0</v>
      </c>
      <c r="K82" s="49" t="n">
        <f aca="false">-$E35*In_Deliver*K75/Thousand</f>
        <v>-0</v>
      </c>
      <c r="L82" s="49" t="n">
        <f aca="false">-$E35*In_Deliver*L75/Thousand</f>
        <v>-0</v>
      </c>
      <c r="M82" s="49" t="n">
        <f aca="false">-$E35*In_Deliver*M75/Thousand</f>
        <v>-0</v>
      </c>
      <c r="N82" s="49" t="n">
        <f aca="false">-$E35*In_Deliver*N75/Thousand</f>
        <v>-0</v>
      </c>
      <c r="O82" s="49" t="n">
        <f aca="false">-$E35*In_Deliver*O75/Thousand</f>
        <v>-0</v>
      </c>
      <c r="P82" s="49" t="n">
        <f aca="false">-$E35*In_Deliver*P75/Thousand</f>
        <v>-0</v>
      </c>
      <c r="Q82" s="49" t="n">
        <f aca="false">-$E35*In_Deliver*Q75/Thousand</f>
        <v>-0</v>
      </c>
      <c r="R82" s="49" t="n">
        <f aca="false">-$E35*In_Deliver*R75/Thousand</f>
        <v>-0</v>
      </c>
      <c r="S82" s="49" t="n">
        <f aca="false">-$E35*In_Deliver*S75/Thousand</f>
        <v>-0</v>
      </c>
      <c r="T82" s="49" t="n">
        <f aca="false">-$E35*In_Deliver*T75/Thousand</f>
        <v>-0</v>
      </c>
      <c r="U82" s="49" t="n">
        <f aca="false">-$E35*In_Deliver*U75/Thousand</f>
        <v>-0</v>
      </c>
      <c r="V82" s="49" t="n">
        <f aca="false">-$E35*In_Deliver*V75/Thousand</f>
        <v>-0</v>
      </c>
      <c r="W82" s="49" t="n">
        <f aca="false">-$E35*In_Deliver*W75/Thousand</f>
        <v>-0</v>
      </c>
      <c r="X82" s="49" t="n">
        <f aca="false">-$E35*In_Deliver*X75/Thousand</f>
        <v>-0</v>
      </c>
      <c r="Y82" s="49" t="n">
        <f aca="false">-$E35*In_Deliver*Y75/Thousand</f>
        <v>-0</v>
      </c>
      <c r="Z82" s="49" t="n">
        <f aca="false">-$E35*In_Deliver*Z75/Thousand</f>
        <v>-105.4872</v>
      </c>
      <c r="AA82" s="49" t="n">
        <f aca="false">-$E35*In_Deliver*AA75/Thousand</f>
        <v>-103.194</v>
      </c>
      <c r="AB82" s="49" t="n">
        <f aca="false">-$E35*In_Deliver*AB75/Thousand</f>
        <v>-104.3406</v>
      </c>
      <c r="AC82" s="49" t="n">
        <f aca="false">-$E35*In_Deliver*AC75/Thousand</f>
        <v>-105.4872</v>
      </c>
      <c r="AD82" s="49" t="n">
        <f aca="false">-$E35*In_Deliver*AD75/Thousand</f>
        <v>-105.1707384</v>
      </c>
      <c r="AE82" s="49" t="n">
        <f aca="false">-$E35*In_Deliver*AE75/Thousand</f>
        <v>-104.0275782</v>
      </c>
      <c r="AF82" s="49" t="n">
        <f aca="false">-$E35*In_Deliver*AF75/Thousand</f>
        <v>-104.0275782</v>
      </c>
      <c r="AG82" s="49" t="n">
        <f aca="false">-$E35*In_Deliver*AG75/Thousand</f>
        <v>-105.1707384</v>
      </c>
      <c r="AH82" s="49" t="n">
        <f aca="false">-$E35*In_Deliver*AH75/Thousand</f>
        <v>-104.8552261848</v>
      </c>
      <c r="AI82" s="49" t="n">
        <f aca="false">-$E35*In_Deliver*AI75/Thousand</f>
        <v>-102.575764746</v>
      </c>
      <c r="AJ82" s="49" t="n">
        <f aca="false">-$E35*In_Deliver*AJ75/Thousand</f>
        <v>-103.7154954654</v>
      </c>
      <c r="AK82" s="49" t="n">
        <f aca="false">-$E35*In_Deliver*AK75/Thousand</f>
        <v>-104.8552261848</v>
      </c>
      <c r="AL82" s="49" t="n">
        <f aca="false">-$E35*In_Deliver*AL75/Thousand</f>
        <v>-104.540660506246</v>
      </c>
      <c r="AM82" s="49" t="n">
        <f aca="false">-$E35*In_Deliver*AM75/Thousand</f>
        <v>-102.268037451762</v>
      </c>
      <c r="AN82" s="49" t="n">
        <f aca="false">-$E35*In_Deliver*AN75/Thousand</f>
        <v>-103.404348979004</v>
      </c>
      <c r="AO82" s="49" t="n">
        <f aca="false">-$E35*In_Deliver*AO75/Thousand</f>
        <v>-104.540660506246</v>
      </c>
      <c r="AP82" s="49" t="n">
        <f aca="false">-$E35*In_Deliver*AP75/Thousand</f>
        <v>-104.227038524727</v>
      </c>
      <c r="AQ82" s="49" t="n">
        <f aca="false">-$E35*In_Deliver*AQ75/Thousand</f>
        <v>-101.961233339407</v>
      </c>
      <c r="AR82" s="49" t="n">
        <f aca="false">-$E35*In_Deliver*AR75/Thousand</f>
        <v>-103.094135932067</v>
      </c>
      <c r="AS82" s="49" t="n">
        <f aca="false">-$E35*In_Deliver*AS75/Thousand</f>
        <v>-104.227038524727</v>
      </c>
      <c r="AT82" s="49" t="n">
        <f aca="false">-$E35*In_Deliver*AT75/Thousand</f>
        <v>-103.914357409153</v>
      </c>
      <c r="AU82" s="49" t="n">
        <f aca="false">-$E35*In_Deliver*AU75/Thousand</f>
        <v>-102.784853524271</v>
      </c>
      <c r="AV82" s="49" t="n">
        <f aca="false">-$E35*In_Deliver*AV75/Thousand</f>
        <v>-102.784853524271</v>
      </c>
      <c r="AW82" s="49" t="n">
        <f aca="false">-$E35*In_Deliver*AW75/Thousand</f>
        <v>-103.914357409153</v>
      </c>
      <c r="AX82" s="49" t="n">
        <f aca="false">-$E35*In_Deliver*AX75/Thousand</f>
        <v>-103.602614336925</v>
      </c>
      <c r="AY82" s="49" t="n">
        <f aca="false">-$E35*In_Deliver*AY75/Thousand</f>
        <v>-101.35038359047</v>
      </c>
      <c r="AZ82" s="49" t="n">
        <f aca="false">-$E35*In_Deliver*AZ75/Thousand</f>
        <v>-102.476498963698</v>
      </c>
      <c r="BA82" s="49" t="n">
        <f aca="false">-$E35*In_Deliver*BA75/Thousand</f>
        <v>-103.602614336925</v>
      </c>
      <c r="BB82" s="49" t="n">
        <f aca="false">-$E35*In_Deliver*BB75/Thousand</f>
        <v>-103.291806493914</v>
      </c>
      <c r="BC82" s="49" t="n">
        <f aca="false">-$E35*In_Deliver*BC75/Thousand</f>
        <v>-101.046332439699</v>
      </c>
      <c r="BD82" s="49" t="n">
        <f aca="false">-$E35*In_Deliver*BD75/Thousand</f>
        <v>-102.169069466807</v>
      </c>
      <c r="BE82" s="49" t="n">
        <f aca="false">-$E35*In_Deliver*BE75/Thousand</f>
        <v>-103.291806493914</v>
      </c>
      <c r="BF82" s="49" t="n">
        <f aca="false">-$E35*In_Deliver*BF75/Thousand</f>
        <v>-102.981931074433</v>
      </c>
      <c r="BG82" s="49" t="n">
        <f aca="false">-$E35*In_Deliver*BG75/Thousand</f>
        <v>-100.74319344238</v>
      </c>
      <c r="BH82" s="49" t="n">
        <f aca="false">-$E35*In_Deliver*BH75/Thousand</f>
        <v>-101.862562258406</v>
      </c>
      <c r="BI82" s="49" t="n">
        <f aca="false">-$E35*In_Deliver*BI75/Thousand</f>
        <v>-102.981931074433</v>
      </c>
      <c r="BJ82" s="49" t="n">
        <f aca="false">-$E35*In_Deliver*BJ75/Thousand</f>
        <v>-102.672985281209</v>
      </c>
      <c r="BK82" s="49" t="n">
        <f aca="false">-$E35*In_Deliver*BK75/Thousand</f>
        <v>-101.556974571631</v>
      </c>
      <c r="BL82" s="49" t="n">
        <f aca="false">-$E35*In_Deliver*BL75/Thousand</f>
        <v>-101.556974571631</v>
      </c>
      <c r="BM82" s="49" t="n">
        <f aca="false">-$E35*In_Deliver*BM75/Thousand</f>
        <v>-102.672985281209</v>
      </c>
      <c r="BN82" s="49" t="n">
        <f aca="false">-$E35*In_Deliver*BN75/Thousand</f>
        <v>-102.364966325366</v>
      </c>
      <c r="BO82" s="49" t="n">
        <f aca="false">-$E35*In_Deliver*BO75/Thousand</f>
        <v>-100.139640970467</v>
      </c>
      <c r="BP82" s="49" t="n">
        <f aca="false">-$E35*In_Deliver*BP75/Thousand</f>
        <v>-101.252303647916</v>
      </c>
      <c r="BQ82" s="49" t="n">
        <f aca="false">-$E35*In_Deliver*BQ75/Thousand</f>
        <v>-102.364966325366</v>
      </c>
      <c r="BR82" s="49" t="n">
        <f aca="false">-$E35*In_Deliver*BR75/Thousand</f>
        <v>-102.05787142639</v>
      </c>
      <c r="BS82" s="49" t="n">
        <f aca="false">-$E35*In_Deliver*BS75/Thousand</f>
        <v>-99.8392220475551</v>
      </c>
      <c r="BT82" s="49" t="n">
        <f aca="false">-$E35*In_Deliver*BT75/Thousand</f>
        <v>-100.948546736972</v>
      </c>
      <c r="BU82" s="49" t="n">
        <f aca="false">-$E35*In_Deliver*BU75/Thousand</f>
        <v>-102.05787142639</v>
      </c>
      <c r="BV82" s="49" t="n">
        <f aca="false">-$E35*In_Deliver*BV75/Thousand</f>
        <v>-101.751697812111</v>
      </c>
      <c r="BW82" s="49" t="n">
        <f aca="false">-$E35*In_Deliver*BW75/Thousand</f>
        <v>-99.5397043814125</v>
      </c>
      <c r="BX82" s="49" t="n">
        <f aca="false">-$E35*In_Deliver*BX75/Thousand</f>
        <v>-100.645701096762</v>
      </c>
      <c r="BY82" s="49" t="n">
        <f aca="false">-$E35*In_Deliver*BY75/Thousand</f>
        <v>-101.751697812111</v>
      </c>
      <c r="BZ82" s="49" t="n">
        <f aca="false">-$E35*In_Deliver*BZ75/Thousand</f>
        <v>-101.446442718674</v>
      </c>
      <c r="CA82" s="49" t="n">
        <f aca="false">-$E35*In_Deliver*CA75/Thousand</f>
        <v>-100.343763993471</v>
      </c>
      <c r="CB82" s="49" t="n">
        <f aca="false">-$E35*In_Deliver*CB75/Thousand</f>
        <v>-100.343763993471</v>
      </c>
      <c r="CC82" s="49" t="n">
        <f aca="false">-$E35*In_Deliver*CC75/Thousand</f>
        <v>-101.446442718674</v>
      </c>
      <c r="CD82" s="49" t="n">
        <f aca="false">-$E35*In_Deliver*CD75/Thousand</f>
        <v>-101.142103390518</v>
      </c>
      <c r="CE82" s="49" t="n">
        <f aca="false">-$E35*In_Deliver*CE75/Thousand</f>
        <v>-98.9433620124634</v>
      </c>
      <c r="CF82" s="49" t="n">
        <f aca="false">-$E35*In_Deliver*CF75/Thousand</f>
        <v>-100.042732701491</v>
      </c>
      <c r="CG82" s="49" t="n">
        <f aca="false">-$E35*In_Deliver*CG75/Thousand</f>
        <v>-101.142103390518</v>
      </c>
      <c r="CH82" s="49" t="n">
        <f aca="false">-$E35*In_Deliver*CH75/Thousand</f>
        <v>-100.838677080347</v>
      </c>
      <c r="CI82" s="49" t="n">
        <f aca="false">-$E35*In_Deliver*CI75/Thousand</f>
        <v>-98.646531926426</v>
      </c>
      <c r="CJ82" s="49" t="n">
        <f aca="false">-$E35*In_Deliver*CJ75/Thousand</f>
        <v>-99.7426045033863</v>
      </c>
      <c r="CK82" s="49" t="n">
        <f aca="false">-$E35*In_Deliver*CK75/Thousand</f>
        <v>-100.838677080347</v>
      </c>
      <c r="CL82" s="49" t="n">
        <f aca="false">-$E35*In_Deliver*CL75/Thousand</f>
        <v>-100.536161049106</v>
      </c>
      <c r="CM82" s="49" t="n">
        <f aca="false">-$E35*In_Deliver*CM75/Thousand</f>
        <v>-98.3505923306468</v>
      </c>
      <c r="CN82" s="49" t="n">
        <f aca="false">-$E35*In_Deliver*CN75/Thousand</f>
        <v>-99.4433766898762</v>
      </c>
      <c r="CO82" s="49" t="n">
        <f aca="false">-$E35*In_Deliver*CO75/Thousand</f>
        <v>-100.536161049106</v>
      </c>
      <c r="CP82" s="49" t="n">
        <f aca="false">-$E35*In_Deliver*CP75/Thousand</f>
        <v>-100.234552565958</v>
      </c>
      <c r="CQ82" s="49" t="n">
        <f aca="false">-$E35*In_Deliver*CQ75/Thousand</f>
        <v>-99.1450465598065</v>
      </c>
      <c r="CR82" s="49" t="n">
        <f aca="false">-$E35*In_Deliver*CR75/Thousand</f>
        <v>-99.1450465598065</v>
      </c>
      <c r="CS82" s="49" t="n">
        <f aca="false">-$E35*In_Deliver*CS75/Thousand</f>
        <v>-100.234552565958</v>
      </c>
      <c r="CT82" s="49" t="n">
        <f aca="false">-$E35*In_Deliver*CT75/Thousand</f>
        <v>-99.9338489082604</v>
      </c>
      <c r="CU82" s="49" t="n">
        <f aca="false">-$E35*In_Deliver*CU75/Thousand</f>
        <v>-97.7613739319939</v>
      </c>
      <c r="CV82" s="49" t="n">
        <f aca="false">-$E35*In_Deliver*CV75/Thousand</f>
        <v>-98.8476114201271</v>
      </c>
      <c r="CW82" s="49" t="n">
        <f aca="false">-$E35*In_Deliver*CW75/Thousand</f>
        <v>-99.9338489082604</v>
      </c>
      <c r="CX82" s="49" t="n">
        <f aca="false">-$E35*In_Deliver*CX75/Thousand</f>
        <v>-99.6340473615356</v>
      </c>
      <c r="CY82" s="49" t="n">
        <f aca="false">-$E35*In_Deliver*CY75/Thousand</f>
        <v>-97.4680898101979</v>
      </c>
      <c r="CZ82" s="49" t="n">
        <f aca="false">-$E35*In_Deliver*CZ75/Thousand</f>
        <v>-98.5510685858667</v>
      </c>
      <c r="DA82" s="49" t="n">
        <f aca="false">-$E35*In_Deliver*DA75/Thousand</f>
        <v>-99.6340473615356</v>
      </c>
      <c r="DB82" s="49" t="n">
        <f aca="false">-$E35*In_Deliver*DB75/Thousand</f>
        <v>-99.335145219451</v>
      </c>
      <c r="DC82" s="49" t="n">
        <f aca="false">-$E35*In_Deliver*DC75/Thousand</f>
        <v>-97.1756855407673</v>
      </c>
      <c r="DD82" s="49" t="n">
        <f aca="false">-$E35*In_Deliver*DD75/Thousand</f>
        <v>-98.2554153801091</v>
      </c>
      <c r="DE82" s="49" t="n">
        <f aca="false">-$E35*In_Deliver*DE75/Thousand</f>
        <v>-99.335145219451</v>
      </c>
      <c r="DF82" s="49" t="n">
        <f aca="false">-$E35*In_Deliver*DF75/Thousand</f>
        <v>-99.0371397837927</v>
      </c>
      <c r="DG82" s="49" t="n">
        <f aca="false">-$E35*In_Deliver*DG75/Thousand</f>
        <v>-97.9606491339688</v>
      </c>
      <c r="DH82" s="49" t="n">
        <f aca="false">-$E35*In_Deliver*DH75/Thousand</f>
        <v>-97.9606491339688</v>
      </c>
      <c r="DI82" s="49" t="n">
        <f aca="false">-$E35*In_Deliver*DI75/Thousand</f>
        <v>-99.0371397837927</v>
      </c>
      <c r="DJ82" s="49" t="n">
        <f aca="false">-$E35*In_Deliver*DJ75/Thousand</f>
        <v>-98.7400283644413</v>
      </c>
      <c r="DK82" s="49" t="n">
        <f aca="false">-$E35*In_Deliver*DK75/Thousand</f>
        <v>-96.5935060086926</v>
      </c>
      <c r="DL82" s="49" t="n">
        <f aca="false">-$E35*In_Deliver*DL75/Thousand</f>
        <v>-97.6667671865669</v>
      </c>
      <c r="DM82" s="49" t="n">
        <f aca="false">-$E35*In_Deliver*DM75/Thousand</f>
        <v>-98.7400283644413</v>
      </c>
      <c r="DN82" s="49" t="n">
        <f aca="false">-$E35*In_Deliver*DN75/Thousand</f>
        <v>-98.443808279348</v>
      </c>
      <c r="DO82" s="49" t="n">
        <f aca="false">-$E35*In_Deliver*DO75/Thousand</f>
        <v>-96.3037254906665</v>
      </c>
      <c r="DP82" s="49" t="n">
        <f aca="false">-$E35*In_Deliver*DP75/Thousand</f>
        <v>-97.3737668850072</v>
      </c>
      <c r="DQ82" s="49" t="n">
        <f aca="false">-$E35*In_Deliver*DQ75/Thousand</f>
        <v>-98.443808279348</v>
      </c>
      <c r="DR82" s="49" t="n">
        <f aca="false">-$E35*In_Deliver*DR75/Thousand</f>
        <v>-98.1484768545099</v>
      </c>
      <c r="DS82" s="49" t="n">
        <f aca="false">-$E35*In_Deliver*DS75/Thousand</f>
        <v>-96.0148143141945</v>
      </c>
      <c r="DT82" s="49" t="n">
        <f aca="false">-$E35*In_Deliver*DT75/Thousand</f>
        <v>-97.0816455843522</v>
      </c>
      <c r="DU82" s="49" t="n">
        <f aca="false">-$E35*In_Deliver*DU75/Thousand</f>
        <v>-98.1484768545099</v>
      </c>
      <c r="DV82" s="49" t="n">
        <f aca="false">-$E35*In_Deliver*DV75/Thousand</f>
        <v>-97.8540314239464</v>
      </c>
      <c r="DW82" s="49" t="n">
        <f aca="false">-$E35*In_Deliver*DW75/Thousand</f>
        <v>-96.7904006475991</v>
      </c>
      <c r="DX82" s="49" t="n">
        <f aca="false">-$E35*In_Deliver*DX75/Thousand</f>
        <v>-96.7904006475991</v>
      </c>
      <c r="DY82" s="49" t="n">
        <f aca="false">-$E35*In_Deliver*DY75/Thousand</f>
        <v>-97.8540314239464</v>
      </c>
      <c r="DZ82" s="49" t="n">
        <f aca="false">-$E35*In_Deliver*DZ75/Thousand</f>
        <v>-97.5604693296746</v>
      </c>
      <c r="EA82" s="49" t="n">
        <f aca="false">-$E35*In_Deliver*EA75/Thousand</f>
        <v>-95.4395895616381</v>
      </c>
      <c r="EB82" s="49" t="n">
        <f aca="false">-$E35*In_Deliver*EB75/Thousand</f>
        <v>-96.5000294456563</v>
      </c>
      <c r="EC82" s="49" t="n">
        <f aca="false">-$E35*In_Deliver*EC75/Thousand</f>
        <v>-97.5604693296746</v>
      </c>
      <c r="ED82" s="49" t="n">
        <f aca="false">-$E35*In_Deliver*ED75/Thousand</f>
        <v>-97.2677879216855</v>
      </c>
      <c r="EE82" s="49" t="n">
        <f aca="false">-$E35*In_Deliver*EE75/Thousand</f>
        <v>-95.1532707929532</v>
      </c>
      <c r="EF82" s="49" t="n">
        <f aca="false">-$E35*In_Deliver*EF75/Thousand</f>
        <v>-96.2105293573194</v>
      </c>
      <c r="EG82" s="49" t="n">
        <f aca="false">-$E35*In_Deliver*EG75/Thousand</f>
        <v>-97.2677879216855</v>
      </c>
      <c r="EH82" s="49" t="n">
        <f aca="false">-$E35*In_Deliver*EH75/Thousand</f>
        <v>-96.9759845579205</v>
      </c>
      <c r="EI82" s="49" t="n">
        <f aca="false">-$E35*In_Deliver*EI75/Thousand</f>
        <v>-94.8678109805744</v>
      </c>
      <c r="EJ82" s="49" t="n">
        <f aca="false">-$E35*In_Deliver*EJ75/Thousand</f>
        <v>-95.9218977692474</v>
      </c>
      <c r="EK82" s="49" t="n">
        <f aca="false">-$E35*In_Deliver*EK75/Thousand</f>
        <v>-96.9759845579205</v>
      </c>
      <c r="EL82" s="49" t="n">
        <f aca="false">-$E35*In_Deliver*EL75/Thousand</f>
        <v>-96.6850566042467</v>
      </c>
      <c r="EM82" s="49" t="n">
        <f aca="false">-$E35*In_Deliver*EM75/Thousand</f>
        <v>-95.6341320759397</v>
      </c>
      <c r="EN82" s="49" t="n">
        <f aca="false">-$E35*In_Deliver*EN75/Thousand</f>
        <v>-95.6341320759397</v>
      </c>
      <c r="EO82" s="49" t="n">
        <f aca="false">-$E35*In_Deliver*EO75/Thousand</f>
        <v>-96.6850566042467</v>
      </c>
    </row>
    <row r="83" customFormat="false" ht="15" hidden="false" customHeight="false" outlineLevel="0" collapsed="false">
      <c r="C83" s="26" t="s">
        <v>474</v>
      </c>
      <c r="D83" s="12" t="s">
        <v>33</v>
      </c>
      <c r="E83" s="58" t="n">
        <f aca="false">SUMIF($J$7:$EO$7,YEAR(In_COD)+1,$J83:$EO83)</f>
        <v>9556.88408374485</v>
      </c>
      <c r="I83" s="58" t="n">
        <f aca="false">SUM(J83:EO83)</f>
        <v>295373.32772584</v>
      </c>
      <c r="J83" s="58" t="n">
        <f aca="false">SUM(J76:J82)</f>
        <v>0</v>
      </c>
      <c r="K83" s="58" t="n">
        <f aca="false">SUM(K76:K82)</f>
        <v>0</v>
      </c>
      <c r="L83" s="58" t="n">
        <f aca="false">SUM(L76:L82)</f>
        <v>0</v>
      </c>
      <c r="M83" s="58" t="n">
        <f aca="false">SUM(M76:M82)</f>
        <v>0</v>
      </c>
      <c r="N83" s="58" t="n">
        <f aca="false">SUM(N76:N82)</f>
        <v>0</v>
      </c>
      <c r="O83" s="58" t="n">
        <f aca="false">SUM(O76:O82)</f>
        <v>0</v>
      </c>
      <c r="P83" s="58" t="n">
        <f aca="false">SUM(P76:P82)</f>
        <v>0</v>
      </c>
      <c r="Q83" s="58" t="n">
        <f aca="false">SUM(Q76:Q82)</f>
        <v>0</v>
      </c>
      <c r="R83" s="58" t="n">
        <f aca="false">SUM(R76:R82)</f>
        <v>-41.5643004408661</v>
      </c>
      <c r="S83" s="58" t="n">
        <f aca="false">SUM(S76:S82)</f>
        <v>-41.6772469094554</v>
      </c>
      <c r="T83" s="58" t="n">
        <f aca="false">SUM(T76:T82)</f>
        <v>-42.1403274306716</v>
      </c>
      <c r="U83" s="58" t="n">
        <f aca="false">SUM(U76:U82)</f>
        <v>-42.6034079518878</v>
      </c>
      <c r="V83" s="58" t="n">
        <f aca="false">SUM(V76:V82)</f>
        <v>-42.6034079518878</v>
      </c>
      <c r="W83" s="58" t="n">
        <f aca="false">SUM(W76:W82)</f>
        <v>-42.7191780821918</v>
      </c>
      <c r="X83" s="58" t="n">
        <f aca="false">SUM(X76:X82)</f>
        <v>-43.1938356164384</v>
      </c>
      <c r="Y83" s="58" t="n">
        <f aca="false">SUM(Y76:Y82)</f>
        <v>-43.6684931506849</v>
      </c>
      <c r="Z83" s="58" t="n">
        <f aca="false">SUM(Z76:Z82)</f>
        <v>2394.81444547397</v>
      </c>
      <c r="AA83" s="58" t="n">
        <f aca="false">SUM(AA76:AA82)</f>
        <v>2358.58146048863</v>
      </c>
      <c r="AB83" s="58" t="n">
        <f aca="false">SUM(AB76:AB82)</f>
        <v>2384.78792116073</v>
      </c>
      <c r="AC83" s="58" t="n">
        <f aca="false">SUM(AC76:AC82)</f>
        <v>2410.99438183282</v>
      </c>
      <c r="AD83" s="58" t="n">
        <f aca="false">SUM(AD76:AD82)</f>
        <v>2402.52032026267</v>
      </c>
      <c r="AE83" s="58" t="n">
        <f aca="false">SUM(AE76:AE82)</f>
        <v>2392.27337019217</v>
      </c>
      <c r="AF83" s="58" t="n">
        <f aca="false">SUM(AF76:AF82)</f>
        <v>2392.27337019217</v>
      </c>
      <c r="AG83" s="58" t="n">
        <f aca="false">SUM(AG76:AG82)</f>
        <v>2418.56208854593</v>
      </c>
      <c r="AH83" s="58" t="n">
        <f aca="false">SUM(AH76:AH82)</f>
        <v>2410.03429689502</v>
      </c>
      <c r="AI83" s="58" t="n">
        <f aca="false">SUM(AI76:AI82)</f>
        <v>2373.19324507827</v>
      </c>
      <c r="AJ83" s="58" t="n">
        <f aca="false">SUM(AJ76:AJ82)</f>
        <v>2399.56205891247</v>
      </c>
      <c r="AK83" s="58" t="n">
        <f aca="false">SUM(AK76:AK82)</f>
        <v>2425.93087274668</v>
      </c>
      <c r="AL83" s="58" t="n">
        <f aca="false">SUM(AL76:AL82)</f>
        <v>2417.34917210853</v>
      </c>
      <c r="AM83" s="58" t="n">
        <f aca="false">SUM(AM76:AM82)</f>
        <v>2380.20000195605</v>
      </c>
      <c r="AN83" s="58" t="n">
        <f aca="false">SUM(AN76:AN82)</f>
        <v>2406.64666864445</v>
      </c>
      <c r="AO83" s="58" t="n">
        <f aca="false">SUM(AO76:AO82)</f>
        <v>2433.09333533285</v>
      </c>
      <c r="AP83" s="58" t="n">
        <f aca="false">SUM(AP76:AP82)</f>
        <v>2424.45754960645</v>
      </c>
      <c r="AQ83" s="58" t="n">
        <f aca="false">SUM(AQ76:AQ82)</f>
        <v>2386.99749055404</v>
      </c>
      <c r="AR83" s="58" t="n">
        <f aca="false">SUM(AR76:AR82)</f>
        <v>2413.51968489352</v>
      </c>
      <c r="AS83" s="58" t="n">
        <f aca="false">SUM(AS76:AS82)</f>
        <v>2440.04187923301</v>
      </c>
      <c r="AT83" s="58" t="n">
        <f aca="false">SUM(AT76:AT82)</f>
        <v>2431.3518352319</v>
      </c>
      <c r="AU83" s="58" t="n">
        <f aca="false">SUM(AU76:AU82)</f>
        <v>2420.17339245424</v>
      </c>
      <c r="AV83" s="58" t="n">
        <f aca="false">SUM(AV76:AV82)</f>
        <v>2420.17339245424</v>
      </c>
      <c r="AW83" s="58" t="n">
        <f aca="false">SUM(AW76:AW82)</f>
        <v>2446.76870445923</v>
      </c>
      <c r="AX83" s="58" t="n">
        <f aca="false">SUM(AX76:AX82)</f>
        <v>2438.02423202336</v>
      </c>
      <c r="AY83" s="58" t="n">
        <f aca="false">SUM(AY76:AY82)</f>
        <v>2399.93393775468</v>
      </c>
      <c r="AZ83" s="58" t="n">
        <f aca="false">SUM(AZ76:AZ82)</f>
        <v>2426.5998703964</v>
      </c>
      <c r="BA83" s="58" t="n">
        <f aca="false">SUM(BA76:BA82)</f>
        <v>2453.26580303812</v>
      </c>
      <c r="BB83" s="58" t="n">
        <f aca="false">SUM(BB76:BB82)</f>
        <v>2444.46673514844</v>
      </c>
      <c r="BC83" s="58" t="n">
        <f aca="false">SUM(BC76:BC82)</f>
        <v>2406.05702003861</v>
      </c>
      <c r="BD83" s="58" t="n">
        <f aca="false">SUM(BD76:BD82)</f>
        <v>2432.79098692793</v>
      </c>
      <c r="BE83" s="58" t="n">
        <f aca="false">SUM(BE76:BE82)</f>
        <v>2459.52495381724</v>
      </c>
      <c r="BF83" s="58" t="n">
        <f aca="false">SUM(BF76:BF82)</f>
        <v>2450.67112671322</v>
      </c>
      <c r="BG83" s="58" t="n">
        <f aca="false">SUM(BG76:BG82)</f>
        <v>2411.93907111903</v>
      </c>
      <c r="BH83" s="58" t="n">
        <f aca="false">SUM(BH76:BH82)</f>
        <v>2438.73839413146</v>
      </c>
      <c r="BI83" s="58" t="n">
        <f aca="false">SUM(BI76:BI82)</f>
        <v>2465.5377171439</v>
      </c>
      <c r="BJ83" s="58" t="n">
        <f aca="false">SUM(BJ76:BJ82)</f>
        <v>2456.62897044382</v>
      </c>
      <c r="BK83" s="58" t="n">
        <f aca="false">SUM(BK76:BK82)</f>
        <v>2444.43352257147</v>
      </c>
      <c r="BL83" s="58" t="n">
        <f aca="false">SUM(BL76:BL82)</f>
        <v>2444.43352257147</v>
      </c>
      <c r="BM83" s="58" t="n">
        <f aca="false">SUM(BM76:BM82)</f>
        <v>2471.29542941292</v>
      </c>
      <c r="BN83" s="58" t="n">
        <f aca="false">SUM(BN76:BN82)</f>
        <v>2462.33160623732</v>
      </c>
      <c r="BO83" s="58" t="n">
        <f aca="false">SUM(BO76:BO82)</f>
        <v>2422.9459540571</v>
      </c>
      <c r="BP83" s="58" t="n">
        <f aca="false">SUM(BP76:BP82)</f>
        <v>2449.86757576884</v>
      </c>
      <c r="BQ83" s="58" t="n">
        <f aca="false">SUM(BQ76:BQ82)</f>
        <v>2476.78919748059</v>
      </c>
      <c r="BR83" s="58" t="n">
        <f aca="false">SUM(BR76:BR82)</f>
        <v>2467.77014457861</v>
      </c>
      <c r="BS83" s="58" t="n">
        <f aca="false">SUM(BS76:BS82)</f>
        <v>2428.05315613806</v>
      </c>
      <c r="BT83" s="58" t="n">
        <f aca="false">SUM(BT76:BT82)</f>
        <v>2455.03152453959</v>
      </c>
      <c r="BU83" s="58" t="n">
        <f aca="false">SUM(BU76:BU82)</f>
        <v>2482.00989294113</v>
      </c>
      <c r="BV83" s="58" t="n">
        <f aca="false">SUM(BV76:BV82)</f>
        <v>2472.93546082003</v>
      </c>
      <c r="BW83" s="58" t="n">
        <f aca="false">SUM(BW76:BW82)</f>
        <v>2432.88405612638</v>
      </c>
      <c r="BX83" s="58" t="n">
        <f aca="false">SUM(BX76:BX82)</f>
        <v>2459.91610119445</v>
      </c>
      <c r="BY83" s="58" t="n">
        <f aca="false">SUM(BY76:BY82)</f>
        <v>2486.94814626252</v>
      </c>
      <c r="BZ83" s="58" t="n">
        <f aca="false">SUM(BZ76:BZ82)</f>
        <v>2477.8181893204</v>
      </c>
      <c r="CA83" s="58" t="n">
        <f aca="false">SUM(CA76:CA82)</f>
        <v>2464.51179359584</v>
      </c>
      <c r="CB83" s="58" t="n">
        <f aca="false">SUM(CB76:CB82)</f>
        <v>2464.51179359584</v>
      </c>
      <c r="CC83" s="58" t="n">
        <f aca="false">SUM(CC76:CC82)</f>
        <v>2491.59434077821</v>
      </c>
      <c r="CD83" s="58" t="n">
        <f aca="false">SUM(CD76:CD82)</f>
        <v>2482.40871743996</v>
      </c>
      <c r="CE83" s="58" t="n">
        <f aca="false">SUM(CE76:CE82)</f>
        <v>2441.67907160649</v>
      </c>
      <c r="CF83" s="58" t="n">
        <f aca="false">SUM(CF76:CF82)</f>
        <v>2468.80883906879</v>
      </c>
      <c r="CG83" s="58" t="n">
        <f aca="false">SUM(CG76:CG82)</f>
        <v>2495.93860653108</v>
      </c>
      <c r="CH83" s="58" t="n">
        <f aca="false">SUM(CH76:CH82)</f>
        <v>2486.69717938767</v>
      </c>
      <c r="CI83" s="58" t="n">
        <f aca="false">SUM(CI76:CI82)</f>
        <v>2445.62362235821</v>
      </c>
      <c r="CJ83" s="58" t="n">
        <f aca="false">SUM(CJ76:CJ82)</f>
        <v>2472.79721816219</v>
      </c>
      <c r="CK83" s="58" t="n">
        <f aca="false">SUM(CK76:CK82)</f>
        <v>2499.97081396617</v>
      </c>
      <c r="CL83" s="58" t="n">
        <f aca="false">SUM(CL76:CL82)</f>
        <v>2490.67344991736</v>
      </c>
      <c r="CM83" s="58" t="n">
        <f aca="false">SUM(CM76:CM82)</f>
        <v>2449.25272904512</v>
      </c>
      <c r="CN83" s="58" t="n">
        <f aca="false">SUM(CN76:CN82)</f>
        <v>2476.46664825673</v>
      </c>
      <c r="CO83" s="58" t="n">
        <f aca="false">SUM(CO76:CO82)</f>
        <v>2503.68056746835</v>
      </c>
      <c r="CP83" s="58" t="n">
        <f aca="false">SUM(CP76:CP82)</f>
        <v>2494.32713786886</v>
      </c>
      <c r="CQ83" s="58" t="n">
        <f aca="false">SUM(CQ76:CQ82)</f>
        <v>2479.80657701572</v>
      </c>
      <c r="CR83" s="58" t="n">
        <f aca="false">SUM(CR76:CR82)</f>
        <v>2479.80657701572</v>
      </c>
      <c r="CS83" s="58" t="n">
        <f aca="false">SUM(CS76:CS82)</f>
        <v>2507.05719874117</v>
      </c>
      <c r="CT83" s="58" t="n">
        <f aca="false">SUM(CT76:CT82)</f>
        <v>2497.64757955043</v>
      </c>
      <c r="CU83" s="58" t="n">
        <f aca="false">SUM(CU76:CU82)</f>
        <v>2455.52259132691</v>
      </c>
      <c r="CV83" s="58" t="n">
        <f aca="false">SUM(CV76:CV82)</f>
        <v>2482.80617567499</v>
      </c>
      <c r="CW83" s="58" t="n">
        <f aca="false">SUM(CW76:CW82)</f>
        <v>2510.08976002306</v>
      </c>
      <c r="CX83" s="58" t="n">
        <f aca="false">SUM(CX76:CX82)</f>
        <v>2500.62383195862</v>
      </c>
      <c r="CY83" s="58" t="n">
        <f aca="false">SUM(CY76:CY82)</f>
        <v>2458.14164719902</v>
      </c>
      <c r="CZ83" s="58" t="n">
        <f aca="false">SUM(CZ76:CZ82)</f>
        <v>2485.45433216789</v>
      </c>
      <c r="DA83" s="58" t="n">
        <f aca="false">SUM(DA76:DA82)</f>
        <v>2512.76701713677</v>
      </c>
      <c r="DB83" s="58" t="n">
        <f aca="false">SUM(DB76:DB82)</f>
        <v>2503.24466583138</v>
      </c>
      <c r="DC83" s="58" t="n">
        <f aca="false">SUM(DC76:DC82)</f>
        <v>2460.4018457948</v>
      </c>
      <c r="DD83" s="58" t="n">
        <f aca="false">SUM(DD76:DD82)</f>
        <v>2487.73964408141</v>
      </c>
      <c r="DE83" s="58" t="n">
        <f aca="false">SUM(DE76:DE82)</f>
        <v>2515.07744236802</v>
      </c>
      <c r="DF83" s="58" t="n">
        <f aca="false">SUM(DF76:DF82)</f>
        <v>2505.49855853058</v>
      </c>
      <c r="DG83" s="58" t="n">
        <f aca="false">SUM(DG76:DG82)</f>
        <v>2489.65041143909</v>
      </c>
      <c r="DH83" s="58" t="n">
        <f aca="false">SUM(DH76:DH82)</f>
        <v>2489.65041143909</v>
      </c>
      <c r="DI83" s="58" t="n">
        <f aca="false">SUM(DI76:DI82)</f>
        <v>2517.00920716919</v>
      </c>
      <c r="DJ83" s="58" t="n">
        <f aca="false">SUM(DJ76:DJ82)</f>
        <v>2507.37368674959</v>
      </c>
      <c r="DK83" s="58" t="n">
        <f aca="false">SUM(DK76:DK82)</f>
        <v>2463.79908392978</v>
      </c>
      <c r="DL83" s="58" t="n">
        <f aca="false">SUM(DL76:DL82)</f>
        <v>2491.17462930678</v>
      </c>
      <c r="DM83" s="58" t="n">
        <f aca="false">SUM(DM76:DM82)</f>
        <v>2518.55017468378</v>
      </c>
      <c r="DN83" s="58" t="n">
        <f aca="false">SUM(DN76:DN82)</f>
        <v>2508.85791904168</v>
      </c>
      <c r="DO83" s="58" t="n">
        <f aca="false">SUM(DO76:DO82)</f>
        <v>2464.91206834606</v>
      </c>
      <c r="DP83" s="58" t="n">
        <f aca="false">SUM(DP76:DP82)</f>
        <v>2492.29998021657</v>
      </c>
      <c r="DQ83" s="58" t="n">
        <f aca="false">SUM(DQ76:DQ82)</f>
        <v>2519.68789208708</v>
      </c>
      <c r="DR83" s="58" t="n">
        <f aca="false">SUM(DR76:DR82)</f>
        <v>2509.93880816483</v>
      </c>
      <c r="DS83" s="58" t="n">
        <f aca="false">SUM(DS76:DS82)</f>
        <v>2465.61807007059</v>
      </c>
      <c r="DT83" s="58" t="n">
        <f aca="false">SUM(DT76:DT82)</f>
        <v>2493.01382640471</v>
      </c>
      <c r="DU83" s="58" t="n">
        <f aca="false">SUM(DU76:DU82)</f>
        <v>2520.40958273882</v>
      </c>
      <c r="DV83" s="58" t="n">
        <f aca="false">SUM(DV76:DV82)</f>
        <v>2510.60358323846</v>
      </c>
      <c r="DW83" s="58" t="n">
        <f aca="false">SUM(DW76:DW82)</f>
        <v>2493.30320185874</v>
      </c>
      <c r="DX83" s="58" t="n">
        <f aca="false">SUM(DX76:DX82)</f>
        <v>2493.30320185874</v>
      </c>
      <c r="DY83" s="58" t="n">
        <f aca="false">SUM(DY76:DY82)</f>
        <v>2520.70213814291</v>
      </c>
      <c r="DZ83" s="58" t="n">
        <f aca="false">SUM(DZ76:DZ82)</f>
        <v>2510.83914170753</v>
      </c>
      <c r="EA83" s="58" t="n">
        <f aca="false">SUM(EA76:EA82)</f>
        <v>2465.75749862902</v>
      </c>
      <c r="EB83" s="58" t="n">
        <f aca="false">SUM(EB76:EB82)</f>
        <v>2493.15480416935</v>
      </c>
      <c r="EC83" s="58" t="n">
        <f aca="false">SUM(EC76:EC82)</f>
        <v>2520.55210970967</v>
      </c>
      <c r="ED83" s="58" t="n">
        <f aca="false">SUM(ED76:ED82)</f>
        <v>2510.63204110907</v>
      </c>
      <c r="EE83" s="58" t="n">
        <f aca="false">SUM(EE76:EE82)</f>
        <v>2465.16427204807</v>
      </c>
      <c r="EF83" s="58" t="n">
        <f aca="false">SUM(EF76:EF82)</f>
        <v>2492.55498618193</v>
      </c>
      <c r="EG83" s="58" t="n">
        <f aca="false">SUM(EG76:EG82)</f>
        <v>2519.9457003158</v>
      </c>
      <c r="EH83" s="58" t="n">
        <f aca="false">SUM(EH76:EH82)</f>
        <v>2509.96849063659</v>
      </c>
      <c r="EI83" s="58" t="n">
        <f aca="false">SUM(EI76:EI82)</f>
        <v>2464.11073922956</v>
      </c>
      <c r="EJ83" s="58" t="n">
        <f aca="false">SUM(EJ76:EJ82)</f>
        <v>2491.48974744322</v>
      </c>
      <c r="EK83" s="58" t="n">
        <f aca="false">SUM(EK76:EK82)</f>
        <v>2518.86875565688</v>
      </c>
      <c r="EL83" s="58" t="n">
        <f aca="false">SUM(EL76:EL82)</f>
        <v>2508.8343424972</v>
      </c>
      <c r="EM83" s="58" t="n">
        <f aca="false">SUM(EM76:EM82)</f>
        <v>2489.94472543768</v>
      </c>
      <c r="EN83" s="58" t="n">
        <f aca="false">SUM(EN76:EN82)</f>
        <v>2489.94472543768</v>
      </c>
      <c r="EO83" s="58" t="n">
        <f aca="false">SUM(EO76:EO82)</f>
        <v>2517.30675538755</v>
      </c>
    </row>
    <row r="85" customFormat="false" ht="15" hidden="false" customHeight="false" outlineLevel="0" collapsed="false">
      <c r="A85" s="10" t="s">
        <v>13</v>
      </c>
      <c r="B85" s="10"/>
      <c r="C85" s="10" t="s">
        <v>475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customFormat="false" ht="15" hidden="false" customHeight="false" outlineLevel="0" collapsed="false">
      <c r="C86" s="1" t="s">
        <v>476</v>
      </c>
      <c r="D86" s="12" t="s">
        <v>33</v>
      </c>
      <c r="J86" s="59" t="n">
        <v>0</v>
      </c>
      <c r="K86" s="59" t="n">
        <v>0</v>
      </c>
      <c r="L86" s="59" t="n">
        <v>0</v>
      </c>
      <c r="M86" s="59" t="n">
        <v>0</v>
      </c>
      <c r="N86" s="59" t="n">
        <v>0</v>
      </c>
      <c r="O86" s="59" t="n">
        <v>0</v>
      </c>
      <c r="P86" s="59" t="n">
        <v>0</v>
      </c>
      <c r="Q86" s="59" t="n">
        <v>0</v>
      </c>
      <c r="R86" s="59" t="n">
        <v>0</v>
      </c>
      <c r="S86" s="59" t="n">
        <v>0</v>
      </c>
      <c r="T86" s="59" t="n">
        <v>0</v>
      </c>
      <c r="U86" s="59" t="n">
        <v>0</v>
      </c>
      <c r="V86" s="59" t="n">
        <v>0</v>
      </c>
      <c r="W86" s="59" t="n">
        <v>0</v>
      </c>
      <c r="X86" s="59" t="n">
        <v>0</v>
      </c>
      <c r="Y86" s="59" t="n">
        <v>0</v>
      </c>
      <c r="Z86" s="59" t="n">
        <v>-51.9580932447942</v>
      </c>
      <c r="AA86" s="59" t="n">
        <v>-51.5307761708278</v>
      </c>
      <c r="AB86" s="59" t="n">
        <v>-53.1436163398488</v>
      </c>
      <c r="AC86" s="59" t="n">
        <v>-54.7630874133642</v>
      </c>
      <c r="AD86" s="59" t="n">
        <v>-54.6713498504433</v>
      </c>
      <c r="AE86" s="59" t="n">
        <v>-55.3365601041145</v>
      </c>
      <c r="AF86" s="59" t="n">
        <v>-108.117078349286</v>
      </c>
      <c r="AG86" s="59" t="n">
        <v>-115.094121726251</v>
      </c>
      <c r="AH86" s="59" t="n">
        <v>-114.957996974453</v>
      </c>
      <c r="AI86" s="59" t="n">
        <v>-114.121638211455</v>
      </c>
      <c r="AJ86" s="59" t="n">
        <v>-122.455848826282</v>
      </c>
      <c r="AK86" s="59" t="n">
        <v>-125.886035504284</v>
      </c>
      <c r="AL86" s="59" t="n">
        <v>-125.800057165876</v>
      </c>
      <c r="AM86" s="59" t="n">
        <v>-124.867137514168</v>
      </c>
      <c r="AN86" s="59" t="n">
        <v>-128.354052315976</v>
      </c>
      <c r="AO86" s="59" t="n">
        <v>-131.856360822482</v>
      </c>
      <c r="AP86" s="59" t="n">
        <v>-131.823469169964</v>
      </c>
      <c r="AQ86" s="59" t="n">
        <v>-130.905880625509</v>
      </c>
      <c r="AR86" s="59" t="n">
        <v>-134.466863572752</v>
      </c>
      <c r="AS86" s="59" t="n">
        <v>-138.044024462163</v>
      </c>
      <c r="AT86" s="59" t="n">
        <v>-138.067311344122</v>
      </c>
      <c r="AU86" s="59" t="n">
        <v>-139.445504905317</v>
      </c>
      <c r="AV86" s="59" t="n">
        <v>-140.805675535977</v>
      </c>
      <c r="AW86" s="59" t="n">
        <v>-144.460563523078</v>
      </c>
      <c r="AX86" s="59" t="n">
        <v>-144.543280080785</v>
      </c>
      <c r="AY86" s="59" t="n">
        <v>-143.664716360743</v>
      </c>
      <c r="AZ86" s="59" t="n">
        <v>-147.382489661509</v>
      </c>
      <c r="BA86" s="59" t="n">
        <v>-151.118131274546</v>
      </c>
      <c r="BB86" s="59" t="n">
        <v>-151.263696051241</v>
      </c>
      <c r="BC86" s="59" t="n">
        <v>-150.409144711298</v>
      </c>
      <c r="BD86" s="59" t="n">
        <v>-154.209947724303</v>
      </c>
      <c r="BE86" s="59" t="n">
        <v>-158.029529356769</v>
      </c>
      <c r="BF86" s="59" t="n">
        <v>-158.241536819628</v>
      </c>
      <c r="BG86" s="59" t="n">
        <v>-157.414224182451</v>
      </c>
      <c r="BH86" s="59" t="n">
        <v>-161.301365261538</v>
      </c>
      <c r="BI86" s="59" t="n">
        <v>-165.20824164318</v>
      </c>
      <c r="BJ86" s="59" t="n">
        <v>-165.490471138974</v>
      </c>
      <c r="BK86" s="59" t="n">
        <v>-167.011508804879</v>
      </c>
      <c r="BL86" s="59" t="n">
        <v>-168.670766740314</v>
      </c>
      <c r="BM86" s="59" t="n">
        <v>-172.668469848968</v>
      </c>
      <c r="BN86" s="59" t="n">
        <v>-173.024895015502</v>
      </c>
      <c r="BO86" s="59" t="n">
        <v>-172.26247146876</v>
      </c>
      <c r="BP86" s="59" t="n">
        <v>-176.332922538314</v>
      </c>
      <c r="BQ86" s="59" t="n">
        <v>-180.425170975242</v>
      </c>
      <c r="BR86" s="59" t="n">
        <v>-180.85996963177</v>
      </c>
      <c r="BS86" s="59" t="n">
        <v>-180.135586819294</v>
      </c>
      <c r="BT86" s="59" t="n">
        <v>-184.303387830296</v>
      </c>
      <c r="BU86" s="59" t="n">
        <v>-188.494096682897</v>
      </c>
      <c r="BV86" s="59" t="n">
        <v>-189.011661223913</v>
      </c>
      <c r="BW86" s="59" t="n">
        <v>-188.329327150422</v>
      </c>
      <c r="BX86" s="59" t="n">
        <v>-192.598543478065</v>
      </c>
      <c r="BY86" s="59" t="n">
        <v>-196.891834695016</v>
      </c>
      <c r="BZ86" s="59" t="n">
        <v>-197.496783013054</v>
      </c>
      <c r="CA86" s="59" t="n">
        <v>-199.211527614159</v>
      </c>
      <c r="CB86" s="59" t="n">
        <v>-201.23563902654</v>
      </c>
      <c r="CC86" s="59" t="n">
        <v>-205.635852331739</v>
      </c>
      <c r="CD86" s="59" t="n">
        <v>-206.333039296099</v>
      </c>
      <c r="CE86" s="59" t="n">
        <v>-205.747723921375</v>
      </c>
      <c r="CF86" s="59" t="n">
        <v>-210.232837913763</v>
      </c>
      <c r="CG86" s="59" t="n">
        <v>-214.74454228678</v>
      </c>
      <c r="CH86" s="59" t="n">
        <v>-215.539071806518</v>
      </c>
      <c r="CI86" s="59" t="n">
        <v>-212.801201406482</v>
      </c>
      <c r="CJ86" s="59" t="n">
        <v>-215.165659199887</v>
      </c>
      <c r="CK86" s="59" t="n">
        <v>-217.530116993293</v>
      </c>
      <c r="CL86" s="59" t="n">
        <v>-216.135512385971</v>
      </c>
      <c r="CM86" s="59" t="n">
        <v>-213.345567409518</v>
      </c>
      <c r="CN86" s="59" t="n">
        <v>-215.716073714068</v>
      </c>
      <c r="CO86" s="59" t="n">
        <v>-218.086580018619</v>
      </c>
      <c r="CP86" s="59" t="n">
        <v>-216.683565578695</v>
      </c>
      <c r="CQ86" s="59" t="n">
        <v>-216.217063027917</v>
      </c>
      <c r="CR86" s="59" t="n">
        <v>-216.217063027917</v>
      </c>
      <c r="CS86" s="59" t="n">
        <v>-218.593074709542</v>
      </c>
      <c r="CT86" s="59" t="n">
        <v>-217.181631830932</v>
      </c>
      <c r="CU86" s="59" t="n">
        <v>-214.286046751786</v>
      </c>
      <c r="CV86" s="59" t="n">
        <v>-216.667002826806</v>
      </c>
      <c r="CW86" s="59" t="n">
        <v>-219.047958901826</v>
      </c>
      <c r="CX86" s="59" t="n">
        <v>-217.62806969216</v>
      </c>
      <c r="CY86" s="59" t="n">
        <v>-214.678905132602</v>
      </c>
      <c r="CZ86" s="59" t="n">
        <v>-217.064226300742</v>
      </c>
      <c r="DA86" s="59" t="n">
        <v>-219.449547468883</v>
      </c>
      <c r="DB86" s="59" t="n">
        <v>-375.486699874707</v>
      </c>
      <c r="DC86" s="59" t="n">
        <v>-369.06027686922</v>
      </c>
      <c r="DD86" s="59" t="n">
        <v>-373.160946612211</v>
      </c>
      <c r="DE86" s="59" t="n">
        <v>-377.261616355202</v>
      </c>
      <c r="DF86" s="59" t="n">
        <v>-375.824783779587</v>
      </c>
      <c r="DG86" s="59" t="n">
        <v>-373.447561715864</v>
      </c>
      <c r="DH86" s="59" t="n">
        <v>-373.447561715864</v>
      </c>
      <c r="DI86" s="59" t="n">
        <v>-377.551381075379</v>
      </c>
      <c r="DJ86" s="59" t="n">
        <v>-376.106053012439</v>
      </c>
      <c r="DK86" s="59" t="n">
        <v>-369.569862589467</v>
      </c>
      <c r="DL86" s="59" t="n">
        <v>-373.676194396017</v>
      </c>
      <c r="DM86" s="59" t="n">
        <v>-377.782526202566</v>
      </c>
      <c r="DN86" s="59" t="n">
        <v>-376.328687856252</v>
      </c>
      <c r="DO86" s="59" t="n">
        <v>-369.736810251909</v>
      </c>
      <c r="DP86" s="59" t="n">
        <v>-373.844997032485</v>
      </c>
      <c r="DQ86" s="59" t="n">
        <v>-377.953183813062</v>
      </c>
      <c r="DR86" s="59" t="n">
        <v>-376.490821224724</v>
      </c>
      <c r="DS86" s="59" t="n">
        <v>-369.842710510588</v>
      </c>
      <c r="DT86" s="59" t="n">
        <v>-373.952073960706</v>
      </c>
      <c r="DU86" s="59" t="n">
        <v>-378.061437410824</v>
      </c>
      <c r="DV86" s="59" t="n">
        <v>-376.590537485769</v>
      </c>
      <c r="DW86" s="59" t="n">
        <v>-373.995480278812</v>
      </c>
      <c r="DX86" s="59" t="n">
        <v>-373.995480278812</v>
      </c>
      <c r="DY86" s="59" t="n">
        <v>-378.105320721436</v>
      </c>
      <c r="DZ86" s="59" t="n">
        <v>-376.625871256129</v>
      </c>
      <c r="EA86" s="59" t="n">
        <v>-369.863624794354</v>
      </c>
      <c r="EB86" s="59" t="n">
        <v>-373.973220625402</v>
      </c>
      <c r="EC86" s="59" t="n">
        <v>-378.082816456451</v>
      </c>
      <c r="ED86" s="59" t="n">
        <v>-376.59480616636</v>
      </c>
      <c r="EE86" s="59" t="n">
        <v>-369.77464080721</v>
      </c>
      <c r="EF86" s="59" t="n">
        <v>-373.88324792729</v>
      </c>
      <c r="EG86" s="59" t="n">
        <v>-377.99185504737</v>
      </c>
      <c r="EH86" s="59" t="n">
        <v>-376.495273595489</v>
      </c>
      <c r="EI86" s="59" t="n">
        <v>-369.616610884434</v>
      </c>
      <c r="EJ86" s="59" t="n">
        <v>-373.723462116483</v>
      </c>
      <c r="EK86" s="59" t="n">
        <v>-377.830313348532</v>
      </c>
      <c r="EL86" s="59" t="n">
        <v>-376.325151374579</v>
      </c>
      <c r="EM86" s="59" t="n">
        <v>-373.491708815652</v>
      </c>
      <c r="EN86" s="59" t="n">
        <v>-373.491708815652</v>
      </c>
      <c r="EO86" s="59" t="n">
        <v>-377.596013308132</v>
      </c>
    </row>
    <row r="87" customFormat="false" ht="15" hidden="false" customHeight="false" outlineLevel="0" collapsed="false">
      <c r="C87" s="1" t="s">
        <v>477</v>
      </c>
      <c r="D87" s="12" t="s">
        <v>33</v>
      </c>
      <c r="I87" s="49" t="n">
        <f aca="false">SUM(J87:EO87)</f>
        <v>267075.314292139</v>
      </c>
      <c r="J87" s="49" t="n">
        <f aca="false">(J83+J59+J86)*(J$4&gt;In_COD)</f>
        <v>-0</v>
      </c>
      <c r="K87" s="49" t="n">
        <f aca="false">(K83+K59+K86)*(K$4&gt;In_COD)</f>
        <v>-0</v>
      </c>
      <c r="L87" s="49" t="n">
        <f aca="false">(L83+L59+L86)*(L$4&gt;In_COD)</f>
        <v>-0</v>
      </c>
      <c r="M87" s="49" t="n">
        <f aca="false">(M83+M59+M86)*(M$4&gt;In_COD)</f>
        <v>-0</v>
      </c>
      <c r="N87" s="49" t="n">
        <f aca="false">(N83+N59+N86)*(N$4&gt;In_COD)</f>
        <v>-0</v>
      </c>
      <c r="O87" s="49" t="n">
        <f aca="false">(O83+O59+O86)*(O$4&gt;In_COD)</f>
        <v>-0</v>
      </c>
      <c r="P87" s="49" t="n">
        <f aca="false">(P83+P59+P86)*(P$4&gt;In_COD)</f>
        <v>-0</v>
      </c>
      <c r="Q87" s="49" t="n">
        <f aca="false">(Q83+Q59+Q86)*(Q$4&gt;In_COD)</f>
        <v>-0</v>
      </c>
      <c r="R87" s="49" t="n">
        <f aca="false">(R83+R59+R86)*(R$4&gt;In_COD)</f>
        <v>-0</v>
      </c>
      <c r="S87" s="49" t="n">
        <f aca="false">(S83+S59+S86)*(S$4&gt;In_COD)</f>
        <v>-0</v>
      </c>
      <c r="T87" s="49" t="n">
        <f aca="false">(T83+T59+T86)*(T$4&gt;In_COD)</f>
        <v>-0</v>
      </c>
      <c r="U87" s="49" t="n">
        <f aca="false">(U83+U59+U86)*(U$4&gt;In_COD)</f>
        <v>-0</v>
      </c>
      <c r="V87" s="49" t="n">
        <f aca="false">(V83+V59+V86)*(V$4&gt;In_COD)</f>
        <v>-0</v>
      </c>
      <c r="W87" s="49" t="n">
        <f aca="false">(W83+W59+W86)*(W$4&gt;In_COD)</f>
        <v>-0</v>
      </c>
      <c r="X87" s="49" t="n">
        <f aca="false">(X83+X59+X86)*(X$4&gt;In_COD)</f>
        <v>-0</v>
      </c>
      <c r="Y87" s="49" t="n">
        <f aca="false">(Y83+Y59+Y86)*(Y$4&gt;In_COD)</f>
        <v>-0</v>
      </c>
      <c r="Z87" s="49" t="n">
        <f aca="false">(Z83+Z59+Z86)*(Z$4&gt;In_COD)</f>
        <v>2309.33651736335</v>
      </c>
      <c r="AA87" s="49" t="n">
        <f aca="false">(AA83+AA59+AA86)*(AA$4&gt;In_COD)</f>
        <v>2274.25954151428</v>
      </c>
      <c r="AB87" s="49" t="n">
        <f aca="false">(AB83+AB59+AB86)*(AB$4&gt;In_COD)</f>
        <v>2298.4888159862</v>
      </c>
      <c r="AC87" s="49" t="n">
        <f aca="false">(AC83+AC59+AC86)*(AC$4&gt;In_COD)</f>
        <v>2322.71145955363</v>
      </c>
      <c r="AD87" s="49" t="n">
        <f aca="false">(AD83+AD59+AD86)*(AD$4&gt;In_COD)</f>
        <v>2314.3291355464</v>
      </c>
      <c r="AE87" s="49" t="n">
        <f aca="false">(AE83+AE59+AE86)*(AE$4&gt;In_COD)</f>
        <v>2303.78132125338</v>
      </c>
      <c r="AF87" s="49" t="n">
        <f aca="false">(AF83+AF59+AF86)*(AF$4&gt;In_COD)</f>
        <v>2251.00080300821</v>
      </c>
      <c r="AG87" s="49" t="n">
        <f aca="false">(AG83+AG59+AG86)*(AG$4&gt;In_COD)</f>
        <v>2269.94813195385</v>
      </c>
      <c r="AH87" s="49" t="n">
        <f aca="false">(AH83+AH59+AH86)*(AH$4&gt;In_COD)</f>
        <v>2261.55646505474</v>
      </c>
      <c r="AI87" s="49" t="n">
        <f aca="false">(AI83+AI59+AI86)*(AI$4&gt;In_COD)</f>
        <v>2226.28046406329</v>
      </c>
      <c r="AJ87" s="49" t="n">
        <f aca="false">(AJ83+AJ59+AJ86)*(AJ$4&gt;In_COD)</f>
        <v>2277.10621008619</v>
      </c>
      <c r="AK87" s="49" t="n">
        <f aca="false">(AK83+AK59+AK86)*(AK$4&gt;In_COD)</f>
        <v>2300.04483724239</v>
      </c>
      <c r="AL87" s="49" t="n">
        <f aca="false">(AL83+AL59+AL86)*(AL$4&gt;In_COD)</f>
        <v>2291.54911494265</v>
      </c>
      <c r="AM87" s="49" t="n">
        <f aca="false">(AM83+AM59+AM86)*(AM$4&gt;In_COD)</f>
        <v>2255.33286444188</v>
      </c>
      <c r="AN87" s="49" t="n">
        <f aca="false">(AN83+AN59+AN86)*(AN$4&gt;In_COD)</f>
        <v>2278.29261632847</v>
      </c>
      <c r="AO87" s="49" t="n">
        <f aca="false">(AO83+AO59+AO86)*(AO$4&gt;In_COD)</f>
        <v>2301.23697451036</v>
      </c>
      <c r="AP87" s="49" t="n">
        <f aca="false">(AP83+AP59+AP86)*(AP$4&gt;In_COD)</f>
        <v>2292.63408043648</v>
      </c>
      <c r="AQ87" s="49" t="n">
        <f aca="false">(AQ83+AQ59+AQ86)*(AQ$4&gt;In_COD)</f>
        <v>2256.09160992853</v>
      </c>
      <c r="AR87" s="49" t="n">
        <f aca="false">(AR83+AR59+AR86)*(AR$4&gt;In_COD)</f>
        <v>2279.05282132077</v>
      </c>
      <c r="AS87" s="49" t="n">
        <f aca="false">(AS83+AS59+AS86)*(AS$4&gt;In_COD)</f>
        <v>2301.99785477085</v>
      </c>
      <c r="AT87" s="49" t="n">
        <f aca="false">(AT83+AT59+AT86)*(AT$4&gt;In_COD)</f>
        <v>2293.28452388778</v>
      </c>
      <c r="AU87" s="49" t="n">
        <f aca="false">(AU83+AU59+AU86)*(AU$4&gt;In_COD)</f>
        <v>2280.72788754892</v>
      </c>
      <c r="AV87" s="49" t="n">
        <f aca="false">(AV83+AV59+AV86)*(AV$4&gt;In_COD)</f>
        <v>2279.36771691826</v>
      </c>
      <c r="AW87" s="49" t="n">
        <f aca="false">(AW83+AW59+AW86)*(AW$4&gt;In_COD)</f>
        <v>2302.30814093616</v>
      </c>
      <c r="AX87" s="49" t="n">
        <f aca="false">(AX83+AX59+AX86)*(AX$4&gt;In_COD)</f>
        <v>2293.48095194257</v>
      </c>
      <c r="AY87" s="49" t="n">
        <f aca="false">(AY83+AY59+AY86)*(AY$4&gt;In_COD)</f>
        <v>2256.26922139393</v>
      </c>
      <c r="AZ87" s="49" t="n">
        <f aca="false">(AZ83+AZ59+AZ86)*(AZ$4&gt;In_COD)</f>
        <v>2279.21738073489</v>
      </c>
      <c r="BA87" s="49" t="n">
        <f aca="false">(BA83+BA59+BA86)*(BA$4&gt;In_COD)</f>
        <v>2302.14767176357</v>
      </c>
      <c r="BB87" s="49" t="n">
        <f aca="false">(BB83+BB59+BB86)*(BB$4&gt;In_COD)</f>
        <v>2293.2030390972</v>
      </c>
      <c r="BC87" s="49" t="n">
        <f aca="false">(BC83+BC59+BC86)*(BC$4&gt;In_COD)</f>
        <v>2255.64787532731</v>
      </c>
      <c r="BD87" s="49" t="n">
        <f aca="false">(BD83+BD59+BD86)*(BD$4&gt;In_COD)</f>
        <v>2278.58103920362</v>
      </c>
      <c r="BE87" s="49" t="n">
        <f aca="false">(BE83+BE59+BE86)*(BE$4&gt;In_COD)</f>
        <v>2301.49542446047</v>
      </c>
      <c r="BF87" s="49" t="n">
        <f aca="false">(BF83+BF59+BF86)*(BF$4&gt;In_COD)</f>
        <v>2292.42958989359</v>
      </c>
      <c r="BG87" s="49" t="n">
        <f aca="false">(BG83+BG59+BG86)*(BG$4&gt;In_COD)</f>
        <v>2254.52484693658</v>
      </c>
      <c r="BH87" s="49" t="n">
        <f aca="false">(BH83+BH59+BH86)*(BH$4&gt;In_COD)</f>
        <v>2277.43702886992</v>
      </c>
      <c r="BI87" s="49" t="n">
        <f aca="false">(BI83+BI59+BI86)*(BI$4&gt;In_COD)</f>
        <v>2300.32947550072</v>
      </c>
      <c r="BJ87" s="49" t="n">
        <f aca="false">(BJ83+BJ59+BJ86)*(BJ$4&gt;In_COD)</f>
        <v>2291.13849930485</v>
      </c>
      <c r="BK87" s="49" t="n">
        <f aca="false">(BK83+BK59+BK86)*(BK$4&gt;In_COD)</f>
        <v>2277.42201376659</v>
      </c>
      <c r="BL87" s="49" t="n">
        <f aca="false">(BL83+BL59+BL86)*(BL$4&gt;In_COD)</f>
        <v>2275.76275583116</v>
      </c>
      <c r="BM87" s="49" t="n">
        <f aca="false">(BM83+BM59+BM86)*(BM$4&gt;In_COD)</f>
        <v>2298.62695956395</v>
      </c>
      <c r="BN87" s="49" t="n">
        <f aca="false">(BN83+BN59+BN86)*(BN$4&gt;In_COD)</f>
        <v>2289.30671122182</v>
      </c>
      <c r="BO87" s="49" t="n">
        <f aca="false">(BO83+BO59+BO86)*(BO$4&gt;In_COD)</f>
        <v>2250.68348258834</v>
      </c>
      <c r="BP87" s="49" t="n">
        <f aca="false">(BP83+BP59+BP86)*(BP$4&gt;In_COD)</f>
        <v>2273.53465323053</v>
      </c>
      <c r="BQ87" s="49" t="n">
        <f aca="false">(BQ83+BQ59+BQ86)*(BQ$4&gt;In_COD)</f>
        <v>2296.36402650535</v>
      </c>
      <c r="BR87" s="49" t="n">
        <f aca="false">(BR83+BR59+BR86)*(BR$4&gt;In_COD)</f>
        <v>2286.91017494684</v>
      </c>
      <c r="BS87" s="49" t="n">
        <f aca="false">(BS83+BS59+BS86)*(BS$4&gt;In_COD)</f>
        <v>2247.91756931877</v>
      </c>
      <c r="BT87" s="49" t="n">
        <f aca="false">(BT83+BT59+BT86)*(BT$4&gt;In_COD)</f>
        <v>2270.7281367093</v>
      </c>
      <c r="BU87" s="49" t="n">
        <f aca="false">(BU83+BU59+BU86)*(BU$4&gt;In_COD)</f>
        <v>2293.51579625823</v>
      </c>
      <c r="BV87" s="49" t="n">
        <f aca="false">(BV83+BV59+BV86)*(BV$4&gt;In_COD)</f>
        <v>2283.92379959611</v>
      </c>
      <c r="BW87" s="49" t="n">
        <f aca="false">(BW83+BW59+BW86)*(BW$4&gt;In_COD)</f>
        <v>2244.55472897596</v>
      </c>
      <c r="BX87" s="49" t="n">
        <f aca="false">(BX83+BX59+BX86)*(BX$4&gt;In_COD)</f>
        <v>2267.31755771639</v>
      </c>
      <c r="BY87" s="49" t="n">
        <f aca="false">(BY83+BY59+BY86)*(BY$4&gt;In_COD)</f>
        <v>2290.05631156751</v>
      </c>
      <c r="BZ87" s="49" t="n">
        <f aca="false">(BZ83+BZ59+BZ86)*(BZ$4&gt;In_COD)</f>
        <v>2280.32140630735</v>
      </c>
      <c r="CA87" s="49" t="n">
        <f aca="false">(CA83+CA59+CA86)*(CA$4&gt;In_COD)</f>
        <v>2265.30026598168</v>
      </c>
      <c r="CB87" s="49" t="n">
        <f aca="false">(CB83+CB59+CB86)*(CB$4&gt;In_COD)</f>
        <v>2263.2761545693</v>
      </c>
      <c r="CC87" s="49" t="n">
        <f aca="false">(CC83+CC59+CC86)*(CC$4&gt;In_COD)</f>
        <v>2285.95848844647</v>
      </c>
      <c r="CD87" s="49" t="n">
        <f aca="false">(CD83+CD59+CD86)*(CD$4&gt;In_COD)</f>
        <v>2276.07567814386</v>
      </c>
      <c r="CE87" s="49" t="n">
        <f aca="false">(CE83+CE59+CE86)*(CE$4&gt;In_COD)</f>
        <v>2235.93134768512</v>
      </c>
      <c r="CF87" s="49" t="n">
        <f aca="false">(CF83+CF59+CF86)*(CF$4&gt;In_COD)</f>
        <v>2258.57600115503</v>
      </c>
      <c r="CG87" s="49" t="n">
        <f aca="false">(CG83+CG59+CG86)*(CG$4&gt;In_COD)</f>
        <v>2281.1940642443</v>
      </c>
      <c r="CH87" s="49" t="n">
        <f aca="false">(CH83+CH59+CH86)*(CH$4&gt;In_COD)</f>
        <v>2271.15810758116</v>
      </c>
      <c r="CI87" s="49" t="n">
        <f aca="false">(CI83+CI59+CI86)*(CI$4&gt;In_COD)</f>
        <v>2232.82242095173</v>
      </c>
      <c r="CJ87" s="49" t="n">
        <f aca="false">(CJ83+CJ59+CJ86)*(CJ$4&gt;In_COD)</f>
        <v>2257.63155896231</v>
      </c>
      <c r="CK87" s="49" t="n">
        <f aca="false">(CK83+CK59+CK86)*(CK$4&gt;In_COD)</f>
        <v>2282.44069697288</v>
      </c>
      <c r="CL87" s="49" t="n">
        <f aca="false">(CL83+CL59+CL86)*(CL$4&gt;In_COD)</f>
        <v>2274.53793753139</v>
      </c>
      <c r="CM87" s="49" t="n">
        <f aca="false">(CM83+CM59+CM86)*(CM$4&gt;In_COD)</f>
        <v>2235.9071616356</v>
      </c>
      <c r="CN87" s="49" t="n">
        <f aca="false">(CN83+CN59+CN86)*(CN$4&gt;In_COD)</f>
        <v>2260.75057454267</v>
      </c>
      <c r="CO87" s="49" t="n">
        <f aca="false">(CO83+CO59+CO86)*(CO$4&gt;In_COD)</f>
        <v>2285.59398744973</v>
      </c>
      <c r="CP87" s="49" t="n">
        <f aca="false">(CP83+CP59+CP86)*(CP$4&gt;In_COD)</f>
        <v>2277.64357229016</v>
      </c>
      <c r="CQ87" s="49" t="n">
        <f aca="false">(CQ83+CQ59+CQ86)*(CQ$4&gt;In_COD)</f>
        <v>2263.58951398781</v>
      </c>
      <c r="CR87" s="49" t="n">
        <f aca="false">(CR83+CR59+CR86)*(CR$4&gt;In_COD)</f>
        <v>2263.58951398781</v>
      </c>
      <c r="CS87" s="49" t="n">
        <f aca="false">(CS83+CS59+CS86)*(CS$4&gt;In_COD)</f>
        <v>2288.46412403163</v>
      </c>
      <c r="CT87" s="49" t="n">
        <f aca="false">(CT83+CT59+CT86)*(CT$4&gt;In_COD)</f>
        <v>2280.4659477195</v>
      </c>
      <c r="CU87" s="49" t="n">
        <f aca="false">(CU83+CU59+CU86)*(CU$4&gt;In_COD)</f>
        <v>2241.23654457512</v>
      </c>
      <c r="CV87" s="49" t="n">
        <f aca="false">(CV83+CV59+CV86)*(CV$4&gt;In_COD)</f>
        <v>2266.13917284818</v>
      </c>
      <c r="CW87" s="49" t="n">
        <f aca="false">(CW83+CW59+CW86)*(CW$4&gt;In_COD)</f>
        <v>2291.04180112124</v>
      </c>
      <c r="CX87" s="49" t="n">
        <f aca="false">(CX83+CX59+CX86)*(CX$4&gt;In_COD)</f>
        <v>2282.99576226646</v>
      </c>
      <c r="CY87" s="49" t="n">
        <f aca="false">(CY83+CY59+CY86)*(CY$4&gt;In_COD)</f>
        <v>2243.46274206641</v>
      </c>
      <c r="CZ87" s="49" t="n">
        <f aca="false">(CZ83+CZ59+CZ86)*(CZ$4&gt;In_COD)</f>
        <v>2268.39010586715</v>
      </c>
      <c r="DA87" s="49" t="n">
        <f aca="false">(DA83+DA59+DA86)*(DA$4&gt;In_COD)</f>
        <v>2293.31746966789</v>
      </c>
      <c r="DB87" s="49" t="n">
        <f aca="false">(DB83+DB59+DB86)*(DB$4&gt;In_COD)</f>
        <v>2127.75796595667</v>
      </c>
      <c r="DC87" s="49" t="n">
        <f aca="false">(DC83+DC59+DC86)*(DC$4&gt;In_COD)</f>
        <v>2091.34156892558</v>
      </c>
      <c r="DD87" s="49" t="n">
        <f aca="false">(DD83+DD59+DD86)*(DD$4&gt;In_COD)</f>
        <v>2114.5786974692</v>
      </c>
      <c r="DE87" s="49" t="n">
        <f aca="false">(DE83+DE59+DE86)*(DE$4&gt;In_COD)</f>
        <v>2137.81582601281</v>
      </c>
      <c r="DF87" s="49" t="n">
        <f aca="false">(DF83+DF59+DF86)*(DF$4&gt;In_COD)</f>
        <v>2129.67377475099</v>
      </c>
      <c r="DG87" s="49" t="n">
        <f aca="false">(DG83+DG59+DG86)*(DG$4&gt;In_COD)</f>
        <v>2116.20284972323</v>
      </c>
      <c r="DH87" s="49" t="n">
        <f aca="false">(DH83+DH59+DH86)*(DH$4&gt;In_COD)</f>
        <v>2116.20284972323</v>
      </c>
      <c r="DI87" s="49" t="n">
        <f aca="false">(DI83+DI59+DI86)*(DI$4&gt;In_COD)</f>
        <v>2139.45782609381</v>
      </c>
      <c r="DJ87" s="49" t="n">
        <f aca="false">(DJ83+DJ59+DJ86)*(DJ$4&gt;In_COD)</f>
        <v>2131.26763373715</v>
      </c>
      <c r="DK87" s="49" t="n">
        <f aca="false">(DK83+DK59+DK86)*(DK$4&gt;In_COD)</f>
        <v>2094.22922134031</v>
      </c>
      <c r="DL87" s="49" t="n">
        <f aca="false">(DL83+DL59+DL86)*(DL$4&gt;In_COD)</f>
        <v>2117.49843491076</v>
      </c>
      <c r="DM87" s="49" t="n">
        <f aca="false">(DM83+DM59+DM86)*(DM$4&gt;In_COD)</f>
        <v>2140.76764848121</v>
      </c>
      <c r="DN87" s="49" t="n">
        <f aca="false">(DN83+DN59+DN86)*(DN$4&gt;In_COD)</f>
        <v>2132.52923118543</v>
      </c>
      <c r="DO87" s="49" t="n">
        <f aca="false">(DO83+DO59+DO86)*(DO$4&gt;In_COD)</f>
        <v>2095.17525809415</v>
      </c>
      <c r="DP87" s="49" t="n">
        <f aca="false">(DP83+DP59+DP86)*(DP$4&gt;In_COD)</f>
        <v>2118.45498318408</v>
      </c>
      <c r="DQ87" s="49" t="n">
        <f aca="false">(DQ83+DQ59+DQ86)*(DQ$4&gt;In_COD)</f>
        <v>2141.73470827402</v>
      </c>
      <c r="DR87" s="49" t="n">
        <f aca="false">(DR83+DR59+DR86)*(DR$4&gt;In_COD)</f>
        <v>2133.4479869401</v>
      </c>
      <c r="DS87" s="49" t="n">
        <f aca="false">(DS83+DS59+DS86)*(DS$4&gt;In_COD)</f>
        <v>2095.77535956</v>
      </c>
      <c r="DT87" s="49" t="n">
        <f aca="false">(DT83+DT59+DT86)*(DT$4&gt;In_COD)</f>
        <v>2119.061752444</v>
      </c>
      <c r="DU87" s="49" t="n">
        <f aca="false">(DU83+DU59+DU86)*(DU$4&gt;In_COD)</f>
        <v>2142.348145328</v>
      </c>
      <c r="DV87" s="49" t="n">
        <f aca="false">(DV83+DV59+DV86)*(DV$4&gt;In_COD)</f>
        <v>2134.01304575269</v>
      </c>
      <c r="DW87" s="49" t="n">
        <f aca="false">(DW83+DW59+DW86)*(DW$4&gt;In_COD)</f>
        <v>2119.30772157993</v>
      </c>
      <c r="DX87" s="49" t="n">
        <f aca="false">(DX83+DX59+DX86)*(DX$4&gt;In_COD)</f>
        <v>2119.30772157993</v>
      </c>
      <c r="DY87" s="49" t="n">
        <f aca="false">(DY83+DY59+DY86)*(DY$4&gt;In_COD)</f>
        <v>2142.59681742147</v>
      </c>
      <c r="DZ87" s="49" t="n">
        <f aca="false">(DZ83+DZ59+DZ86)*(DZ$4&gt;In_COD)</f>
        <v>2134.2132704514</v>
      </c>
      <c r="EA87" s="49" t="n">
        <f aca="false">(EA83+EA59+EA86)*(EA$4&gt;In_COD)</f>
        <v>2095.89387383467</v>
      </c>
      <c r="EB87" s="49" t="n">
        <f aca="false">(EB83+EB59+EB86)*(EB$4&gt;In_COD)</f>
        <v>2119.18158354395</v>
      </c>
      <c r="EC87" s="49" t="n">
        <f aca="false">(EC83+EC59+EC86)*(EC$4&gt;In_COD)</f>
        <v>2142.46929325322</v>
      </c>
      <c r="ED87" s="49" t="n">
        <f aca="false">(ED83+ED59+ED86)*(ED$4&gt;In_COD)</f>
        <v>2134.03723494271</v>
      </c>
      <c r="EE87" s="49" t="n">
        <f aca="false">(EE83+EE59+EE86)*(EE$4&gt;In_COD)</f>
        <v>2095.38963124086</v>
      </c>
      <c r="EF87" s="49" t="n">
        <f aca="false">(EF83+EF59+EF86)*(EF$4&gt;In_COD)</f>
        <v>2118.67173825464</v>
      </c>
      <c r="EG87" s="49" t="n">
        <f aca="false">(EG83+EG59+EG86)*(EG$4&gt;In_COD)</f>
        <v>2141.95384526843</v>
      </c>
      <c r="EH87" s="49" t="n">
        <f aca="false">(EH83+EH59+EH86)*(EH$4&gt;In_COD)</f>
        <v>2133.4732170411</v>
      </c>
      <c r="EI87" s="49" t="n">
        <f aca="false">(EI83+EI59+EI86)*(EI$4&gt;In_COD)</f>
        <v>2094.49412834512</v>
      </c>
      <c r="EJ87" s="49" t="n">
        <f aca="false">(EJ83+EJ59+EJ86)*(EJ$4&gt;In_COD)</f>
        <v>2117.76628532674</v>
      </c>
      <c r="EK87" s="49" t="n">
        <f aca="false">(EK83+EK59+EK86)*(EK$4&gt;In_COD)</f>
        <v>2141.03844230835</v>
      </c>
      <c r="EL87" s="49" t="n">
        <f aca="false">(EL83+EL59+EL86)*(EL$4&gt;In_COD)</f>
        <v>2132.50919112262</v>
      </c>
      <c r="EM87" s="49" t="n">
        <f aca="false">(EM83+EM59+EM86)*(EM$4&gt;In_COD)</f>
        <v>2116.45301662203</v>
      </c>
      <c r="EN87" s="49" t="n">
        <f aca="false">(EN83+EN59+EN86)*(EN$4&gt;In_COD)</f>
        <v>2116.45301662203</v>
      </c>
      <c r="EO87" s="49" t="n">
        <f aca="false">(EO83+EO59+EO86)*(EO$4&gt;In_COD)</f>
        <v>2139.71074207941</v>
      </c>
    </row>
    <row r="88" customFormat="false" ht="15" hidden="false" customHeight="false" outlineLevel="0" collapsed="false">
      <c r="C88" s="1" t="s">
        <v>478</v>
      </c>
      <c r="D88" s="12" t="s">
        <v>33</v>
      </c>
      <c r="E88" s="49" t="n">
        <f aca="false">PV($F22,In_Debt_Tenor*Months_In_Year/Months_Per_Period,-$F88)</f>
        <v>77983.9921058252</v>
      </c>
      <c r="F88" s="49" t="n">
        <f aca="false">MIN($J88:$EO88)</f>
        <v>1855.23372005274</v>
      </c>
      <c r="J88" s="49" t="str">
        <f aca="false">IF(J18=1,J87/In_DSCR,"")</f>
        <v/>
      </c>
      <c r="K88" s="49" t="str">
        <f aca="false">IF(K18=1,K87/In_DSCR,"")</f>
        <v/>
      </c>
      <c r="L88" s="49" t="str">
        <f aca="false">IF(L18=1,L87/In_DSCR,"")</f>
        <v/>
      </c>
      <c r="M88" s="49" t="str">
        <f aca="false">IF(M18=1,M87/In_DSCR,"")</f>
        <v/>
      </c>
      <c r="N88" s="49" t="str">
        <f aca="false">IF(N18=1,N87/In_DSCR,"")</f>
        <v/>
      </c>
      <c r="O88" s="49" t="str">
        <f aca="false">IF(O18=1,O87/In_DSCR,"")</f>
        <v/>
      </c>
      <c r="P88" s="49" t="str">
        <f aca="false">IF(P18=1,P87/In_DSCR,"")</f>
        <v/>
      </c>
      <c r="Q88" s="49" t="str">
        <f aca="false">IF(Q18=1,Q87/In_DSCR,"")</f>
        <v/>
      </c>
      <c r="R88" s="49" t="str">
        <f aca="false">IF(R18=1,R87/In_DSCR,"")</f>
        <v/>
      </c>
      <c r="S88" s="49" t="str">
        <f aca="false">IF(S18=1,S87/In_DSCR,"")</f>
        <v/>
      </c>
      <c r="T88" s="49" t="str">
        <f aca="false">IF(T18=1,T87/In_DSCR,"")</f>
        <v/>
      </c>
      <c r="U88" s="49" t="str">
        <f aca="false">IF(U18=1,U87/In_DSCR,"")</f>
        <v/>
      </c>
      <c r="V88" s="49" t="str">
        <f aca="false">IF(V18=1,V87/In_DSCR,"")</f>
        <v/>
      </c>
      <c r="W88" s="49" t="str">
        <f aca="false">IF(W18=1,W87/In_DSCR,"")</f>
        <v/>
      </c>
      <c r="X88" s="49" t="str">
        <f aca="false">IF(X18=1,X87/In_DSCR,"")</f>
        <v/>
      </c>
      <c r="Y88" s="49" t="str">
        <f aca="false">IF(Y18=1,Y87/In_DSCR,"")</f>
        <v/>
      </c>
      <c r="Z88" s="49" t="n">
        <f aca="false">IF(Z18=1,Z87/In_DSCR,"")</f>
        <v>1924.44709780279</v>
      </c>
      <c r="AA88" s="49" t="n">
        <f aca="false">IF(AA18=1,AA87/In_DSCR,"")</f>
        <v>1895.21628459523</v>
      </c>
      <c r="AB88" s="49" t="n">
        <f aca="false">IF(AB18=1,AB87/In_DSCR,"")</f>
        <v>1915.40734665517</v>
      </c>
      <c r="AC88" s="49" t="n">
        <f aca="false">IF(AC18=1,AC87/In_DSCR,"")</f>
        <v>1935.59288296136</v>
      </c>
      <c r="AD88" s="49" t="n">
        <f aca="false">IF(AD18=1,AD87/In_DSCR,"")</f>
        <v>1928.60761295533</v>
      </c>
      <c r="AE88" s="49" t="n">
        <f aca="false">IF(AE18=1,AE87/In_DSCR,"")</f>
        <v>1919.81776771115</v>
      </c>
      <c r="AF88" s="49" t="n">
        <f aca="false">IF(AF18=1,AF87/In_DSCR,"")</f>
        <v>1875.83400250684</v>
      </c>
      <c r="AG88" s="49" t="n">
        <f aca="false">IF(AG18=1,AG87/In_DSCR,"")</f>
        <v>1891.62344329488</v>
      </c>
      <c r="AH88" s="49" t="n">
        <f aca="false">IF(AH18=1,AH87/In_DSCR,"")</f>
        <v>1884.63038754561</v>
      </c>
      <c r="AI88" s="49" t="n">
        <f aca="false">IF(AI18=1,AI87/In_DSCR,"")</f>
        <v>1855.23372005274</v>
      </c>
      <c r="AJ88" s="49" t="n">
        <f aca="false">IF(AJ18=1,AJ87/In_DSCR,"")</f>
        <v>1897.58850840516</v>
      </c>
      <c r="AK88" s="49" t="n">
        <f aca="false">IF(AK18=1,AK87/In_DSCR,"")</f>
        <v>1916.70403103533</v>
      </c>
      <c r="AL88" s="49" t="n">
        <f aca="false">IF(AL18=1,AL87/In_DSCR,"")</f>
        <v>1909.62426245221</v>
      </c>
      <c r="AM88" s="49" t="n">
        <f aca="false">IF(AM18=1,AM87/In_DSCR,"")</f>
        <v>1879.44405370156</v>
      </c>
      <c r="AN88" s="49" t="n">
        <f aca="false">IF(AN18=1,AN87/In_DSCR,"")</f>
        <v>1898.57718027372</v>
      </c>
      <c r="AO88" s="49" t="n">
        <f aca="false">IF(AO18=1,AO87/In_DSCR,"")</f>
        <v>1917.69747875864</v>
      </c>
      <c r="AP88" s="49" t="n">
        <f aca="false">IF(AP18=1,AP87/In_DSCR,"")</f>
        <v>1910.52840036373</v>
      </c>
      <c r="AQ88" s="49" t="n">
        <f aca="false">IF(AQ18=1,AQ87/In_DSCR,"")</f>
        <v>1880.07634160711</v>
      </c>
      <c r="AR88" s="49" t="n">
        <f aca="false">IF(AR18=1,AR87/In_DSCR,"")</f>
        <v>1899.21068443398</v>
      </c>
      <c r="AS88" s="49" t="n">
        <f aca="false">IF(AS18=1,AS87/In_DSCR,"")</f>
        <v>1918.33154564238</v>
      </c>
      <c r="AT88" s="49" t="n">
        <f aca="false">IF(AT18=1,AT87/In_DSCR,"")</f>
        <v>1911.07043657315</v>
      </c>
      <c r="AU88" s="49" t="n">
        <f aca="false">IF(AU18=1,AU87/In_DSCR,"")</f>
        <v>1900.60657295744</v>
      </c>
      <c r="AV88" s="49" t="n">
        <f aca="false">IF(AV18=1,AV87/In_DSCR,"")</f>
        <v>1899.47309743189</v>
      </c>
      <c r="AW88" s="49" t="n">
        <f aca="false">IF(AW18=1,AW87/In_DSCR,"")</f>
        <v>1918.5901174468</v>
      </c>
      <c r="AX88" s="49" t="n">
        <f aca="false">IF(AX18=1,AX87/In_DSCR,"")</f>
        <v>1911.23412661881</v>
      </c>
      <c r="AY88" s="49" t="n">
        <f aca="false">IF(AY18=1,AY87/In_DSCR,"")</f>
        <v>1880.22435116161</v>
      </c>
      <c r="AZ88" s="49" t="n">
        <f aca="false">IF(AZ18=1,AZ87/In_DSCR,"")</f>
        <v>1899.34781727907</v>
      </c>
      <c r="BA88" s="49" t="n">
        <f aca="false">IF(BA18=1,BA87/In_DSCR,"")</f>
        <v>1918.45639313631</v>
      </c>
      <c r="BB88" s="49" t="n">
        <f aca="false">IF(BB18=1,BB87/In_DSCR,"")</f>
        <v>1911.002532581</v>
      </c>
      <c r="BC88" s="49" t="n">
        <f aca="false">IF(BC18=1,BC87/In_DSCR,"")</f>
        <v>1879.70656277276</v>
      </c>
      <c r="BD88" s="49" t="n">
        <f aca="false">IF(BD18=1,BD87/In_DSCR,"")</f>
        <v>1898.81753266969</v>
      </c>
      <c r="BE88" s="49" t="n">
        <f aca="false">IF(BE18=1,BE87/In_DSCR,"")</f>
        <v>1917.91285371706</v>
      </c>
      <c r="BF88" s="49" t="n">
        <f aca="false">IF(BF18=1,BF87/In_DSCR,"")</f>
        <v>1910.35799157799</v>
      </c>
      <c r="BG88" s="49" t="n">
        <f aca="false">IF(BG18=1,BG87/In_DSCR,"")</f>
        <v>1878.77070578048</v>
      </c>
      <c r="BH88" s="49" t="n">
        <f aca="false">IF(BH18=1,BH87/In_DSCR,"")</f>
        <v>1897.86419072494</v>
      </c>
      <c r="BI88" s="49" t="n">
        <f aca="false">IF(BI18=1,BI87/In_DSCR,"")</f>
        <v>1916.94122958393</v>
      </c>
      <c r="BJ88" s="49" t="n">
        <f aca="false">IF(BJ18=1,BJ87/In_DSCR,"")</f>
        <v>1909.28208275404</v>
      </c>
      <c r="BK88" s="49" t="n">
        <f aca="false">IF(BK18=1,BK87/In_DSCR,"")</f>
        <v>1897.85167813883</v>
      </c>
      <c r="BL88" s="49" t="n">
        <f aca="false">IF(BL18=1,BL87/In_DSCR,"")</f>
        <v>1896.46896319263</v>
      </c>
      <c r="BM88" s="49" t="n">
        <f aca="false">IF(BM18=1,BM87/In_DSCR,"")</f>
        <v>1915.52246630329</v>
      </c>
      <c r="BN88" s="49" t="n">
        <f aca="false">IF(BN18=1,BN87/In_DSCR,"")</f>
        <v>1907.75559268485</v>
      </c>
      <c r="BO88" s="49" t="n">
        <f aca="false">IF(BO18=1,BO87/In_DSCR,"")</f>
        <v>1875.56956882361</v>
      </c>
      <c r="BP88" s="49" t="n">
        <f aca="false">IF(BP18=1,BP87/In_DSCR,"")</f>
        <v>1894.61221102544</v>
      </c>
      <c r="BQ88" s="49" t="n">
        <f aca="false">IF(BQ18=1,BQ87/In_DSCR,"")</f>
        <v>1913.63668875446</v>
      </c>
      <c r="BR88" s="49" t="n">
        <f aca="false">IF(BR18=1,BR87/In_DSCR,"")</f>
        <v>1905.75847912236</v>
      </c>
      <c r="BS88" s="49" t="n">
        <f aca="false">IF(BS18=1,BS87/In_DSCR,"")</f>
        <v>1873.26464109897</v>
      </c>
      <c r="BT88" s="49" t="n">
        <f aca="false">IF(BT18=1,BT87/In_DSCR,"")</f>
        <v>1892.27344725775</v>
      </c>
      <c r="BU88" s="49" t="n">
        <f aca="false">IF(BU18=1,BU87/In_DSCR,"")</f>
        <v>1911.26316354853</v>
      </c>
      <c r="BV88" s="49" t="n">
        <f aca="false">IF(BV18=1,BV87/In_DSCR,"")</f>
        <v>1903.26983299676</v>
      </c>
      <c r="BW88" s="49" t="n">
        <f aca="false">IF(BW18=1,BW87/In_DSCR,"")</f>
        <v>1870.46227414663</v>
      </c>
      <c r="BX88" s="49" t="n">
        <f aca="false">IF(BX18=1,BX87/In_DSCR,"")</f>
        <v>1889.43129809699</v>
      </c>
      <c r="BY88" s="49" t="n">
        <f aca="false">IF(BY18=1,BY87/In_DSCR,"")</f>
        <v>1908.38025963959</v>
      </c>
      <c r="BZ88" s="49" t="n">
        <f aca="false">IF(BZ18=1,BZ87/In_DSCR,"")</f>
        <v>1900.26783858946</v>
      </c>
      <c r="CA88" s="49" t="n">
        <f aca="false">IF(CA18=1,CA87/In_DSCR,"")</f>
        <v>1887.7502216514</v>
      </c>
      <c r="CB88" s="49" t="n">
        <f aca="false">IF(CB18=1,CB87/In_DSCR,"")</f>
        <v>1886.06346214108</v>
      </c>
      <c r="CC88" s="49" t="n">
        <f aca="false">IF(CC18=1,CC87/In_DSCR,"")</f>
        <v>1904.96540703873</v>
      </c>
      <c r="CD88" s="49" t="n">
        <f aca="false">IF(CD18=1,CD87/In_DSCR,"")</f>
        <v>1896.72973178655</v>
      </c>
      <c r="CE88" s="49" t="n">
        <f aca="false">IF(CE18=1,CE87/In_DSCR,"")</f>
        <v>1863.27612307093</v>
      </c>
      <c r="CF88" s="49" t="n">
        <f aca="false">IF(CF18=1,CF87/In_DSCR,"")</f>
        <v>1882.14666762919</v>
      </c>
      <c r="CG88" s="49" t="n">
        <f aca="false">IF(CG18=1,CG87/In_DSCR,"")</f>
        <v>1900.99505353692</v>
      </c>
      <c r="CH88" s="49" t="str">
        <f aca="false">IF(CH18=1,CH87/In_DSCR,"")</f>
        <v/>
      </c>
      <c r="CI88" s="49" t="str">
        <f aca="false">IF(CI18=1,CI87/In_DSCR,"")</f>
        <v/>
      </c>
      <c r="CJ88" s="49" t="str">
        <f aca="false">IF(CJ18=1,CJ87/In_DSCR,"")</f>
        <v/>
      </c>
      <c r="CK88" s="49" t="str">
        <f aca="false">IF(CK18=1,CK87/In_DSCR,"")</f>
        <v/>
      </c>
      <c r="CL88" s="49" t="str">
        <f aca="false">IF(CL18=1,CL87/In_DSCR,"")</f>
        <v/>
      </c>
      <c r="CM88" s="49" t="str">
        <f aca="false">IF(CM18=1,CM87/In_DSCR,"")</f>
        <v/>
      </c>
      <c r="CN88" s="49" t="str">
        <f aca="false">IF(CN18=1,CN87/In_DSCR,"")</f>
        <v/>
      </c>
      <c r="CO88" s="49" t="str">
        <f aca="false">IF(CO18=1,CO87/In_DSCR,"")</f>
        <v/>
      </c>
      <c r="CP88" s="49" t="str">
        <f aca="false">IF(CP18=1,CP87/In_DSCR,"")</f>
        <v/>
      </c>
      <c r="CQ88" s="49" t="str">
        <f aca="false">IF(CQ18=1,CQ87/In_DSCR,"")</f>
        <v/>
      </c>
      <c r="CR88" s="49" t="str">
        <f aca="false">IF(CR18=1,CR87/In_DSCR,"")</f>
        <v/>
      </c>
      <c r="CS88" s="49" t="str">
        <f aca="false">IF(CS18=1,CS87/In_DSCR,"")</f>
        <v/>
      </c>
      <c r="CT88" s="49" t="str">
        <f aca="false">IF(CT18=1,CT87/In_DSCR,"")</f>
        <v/>
      </c>
      <c r="CU88" s="49" t="str">
        <f aca="false">IF(CU18=1,CU87/In_DSCR,"")</f>
        <v/>
      </c>
      <c r="CV88" s="49" t="str">
        <f aca="false">IF(CV18=1,CV87/In_DSCR,"")</f>
        <v/>
      </c>
      <c r="CW88" s="49" t="str">
        <f aca="false">IF(CW18=1,CW87/In_DSCR,"")</f>
        <v/>
      </c>
      <c r="CX88" s="49" t="str">
        <f aca="false">IF(CX18=1,CX87/In_DSCR,"")</f>
        <v/>
      </c>
      <c r="CY88" s="49" t="str">
        <f aca="false">IF(CY18=1,CY87/In_DSCR,"")</f>
        <v/>
      </c>
      <c r="CZ88" s="49" t="str">
        <f aca="false">IF(CZ18=1,CZ87/In_DSCR,"")</f>
        <v/>
      </c>
      <c r="DA88" s="49" t="str">
        <f aca="false">IF(DA18=1,DA87/In_DSCR,"")</f>
        <v/>
      </c>
      <c r="DB88" s="49" t="str">
        <f aca="false">IF(DB18=1,DB87/In_DSCR,"")</f>
        <v/>
      </c>
      <c r="DC88" s="49" t="str">
        <f aca="false">IF(DC18=1,DC87/In_DSCR,"")</f>
        <v/>
      </c>
      <c r="DD88" s="49" t="str">
        <f aca="false">IF(DD18=1,DD87/In_DSCR,"")</f>
        <v/>
      </c>
      <c r="DE88" s="49" t="str">
        <f aca="false">IF(DE18=1,DE87/In_DSCR,"")</f>
        <v/>
      </c>
      <c r="DF88" s="49" t="str">
        <f aca="false">IF(DF18=1,DF87/In_DSCR,"")</f>
        <v/>
      </c>
      <c r="DG88" s="49" t="str">
        <f aca="false">IF(DG18=1,DG87/In_DSCR,"")</f>
        <v/>
      </c>
      <c r="DH88" s="49" t="str">
        <f aca="false">IF(DH18=1,DH87/In_DSCR,"")</f>
        <v/>
      </c>
      <c r="DI88" s="49" t="str">
        <f aca="false">IF(DI18=1,DI87/In_DSCR,"")</f>
        <v/>
      </c>
      <c r="DJ88" s="49" t="str">
        <f aca="false">IF(DJ18=1,DJ87/In_DSCR,"")</f>
        <v/>
      </c>
      <c r="DK88" s="49" t="str">
        <f aca="false">IF(DK18=1,DK87/In_DSCR,"")</f>
        <v/>
      </c>
      <c r="DL88" s="49" t="str">
        <f aca="false">IF(DL18=1,DL87/In_DSCR,"")</f>
        <v/>
      </c>
      <c r="DM88" s="49" t="str">
        <f aca="false">IF(DM18=1,DM87/In_DSCR,"")</f>
        <v/>
      </c>
      <c r="DN88" s="49" t="str">
        <f aca="false">IF(DN18=1,DN87/In_DSCR,"")</f>
        <v/>
      </c>
      <c r="DO88" s="49" t="str">
        <f aca="false">IF(DO18=1,DO87/In_DSCR,"")</f>
        <v/>
      </c>
      <c r="DP88" s="49" t="str">
        <f aca="false">IF(DP18=1,DP87/In_DSCR,"")</f>
        <v/>
      </c>
      <c r="DQ88" s="49" t="str">
        <f aca="false">IF(DQ18=1,DQ87/In_DSCR,"")</f>
        <v/>
      </c>
      <c r="DR88" s="49" t="str">
        <f aca="false">IF(DR18=1,DR87/In_DSCR,"")</f>
        <v/>
      </c>
      <c r="DS88" s="49" t="str">
        <f aca="false">IF(DS18=1,DS87/In_DSCR,"")</f>
        <v/>
      </c>
      <c r="DT88" s="49" t="str">
        <f aca="false">IF(DT18=1,DT87/In_DSCR,"")</f>
        <v/>
      </c>
      <c r="DU88" s="49" t="str">
        <f aca="false">IF(DU18=1,DU87/In_DSCR,"")</f>
        <v/>
      </c>
      <c r="DV88" s="49" t="str">
        <f aca="false">IF(DV18=1,DV87/In_DSCR,"")</f>
        <v/>
      </c>
      <c r="DW88" s="49" t="str">
        <f aca="false">IF(DW18=1,DW87/In_DSCR,"")</f>
        <v/>
      </c>
      <c r="DX88" s="49" t="str">
        <f aca="false">IF(DX18=1,DX87/In_DSCR,"")</f>
        <v/>
      </c>
      <c r="DY88" s="49" t="str">
        <f aca="false">IF(DY18=1,DY87/In_DSCR,"")</f>
        <v/>
      </c>
      <c r="DZ88" s="49" t="str">
        <f aca="false">IF(DZ18=1,DZ87/In_DSCR,"")</f>
        <v/>
      </c>
      <c r="EA88" s="49" t="str">
        <f aca="false">IF(EA18=1,EA87/In_DSCR,"")</f>
        <v/>
      </c>
      <c r="EB88" s="49" t="str">
        <f aca="false">IF(EB18=1,EB87/In_DSCR,"")</f>
        <v/>
      </c>
      <c r="EC88" s="49" t="str">
        <f aca="false">IF(EC18=1,EC87/In_DSCR,"")</f>
        <v/>
      </c>
      <c r="ED88" s="49" t="str">
        <f aca="false">IF(ED18=1,ED87/In_DSCR,"")</f>
        <v/>
      </c>
      <c r="EE88" s="49" t="str">
        <f aca="false">IF(EE18=1,EE87/In_DSCR,"")</f>
        <v/>
      </c>
      <c r="EF88" s="49" t="str">
        <f aca="false">IF(EF18=1,EF87/In_DSCR,"")</f>
        <v/>
      </c>
      <c r="EG88" s="49" t="str">
        <f aca="false">IF(EG18=1,EG87/In_DSCR,"")</f>
        <v/>
      </c>
      <c r="EH88" s="49" t="str">
        <f aca="false">IF(EH18=1,EH87/In_DSCR,"")</f>
        <v/>
      </c>
      <c r="EI88" s="49" t="str">
        <f aca="false">IF(EI18=1,EI87/In_DSCR,"")</f>
        <v/>
      </c>
      <c r="EJ88" s="49" t="str">
        <f aca="false">IF(EJ18=1,EJ87/In_DSCR,"")</f>
        <v/>
      </c>
      <c r="EK88" s="49" t="str">
        <f aca="false">IF(EK18=1,EK87/In_DSCR,"")</f>
        <v/>
      </c>
      <c r="EL88" s="49" t="str">
        <f aca="false">IF(EL18=1,EL87/In_DSCR,"")</f>
        <v/>
      </c>
      <c r="EM88" s="49" t="str">
        <f aca="false">IF(EM18=1,EM87/In_DSCR,"")</f>
        <v/>
      </c>
      <c r="EN88" s="49" t="str">
        <f aca="false">IF(EN18=1,EN87/In_DSCR,"")</f>
        <v/>
      </c>
      <c r="EO88" s="49" t="str">
        <f aca="false">IF(EO18=1,EO87/In_DSCR,"")</f>
        <v/>
      </c>
    </row>
    <row r="89" customFormat="false" ht="15" hidden="false" customHeight="false" outlineLevel="0" collapsed="false">
      <c r="C89" s="1" t="s">
        <v>479</v>
      </c>
      <c r="D89" s="12" t="s">
        <v>33</v>
      </c>
      <c r="E89" s="49" t="n">
        <f aca="false">In_Debt_Per_MW*$F25</f>
        <v>49500</v>
      </c>
    </row>
    <row r="90" customFormat="false" ht="15" hidden="false" customHeight="false" outlineLevel="0" collapsed="false">
      <c r="C90" s="26" t="s">
        <v>480</v>
      </c>
      <c r="D90" s="12" t="s">
        <v>27</v>
      </c>
      <c r="E90" s="34" t="n">
        <f aca="false">MIN(In_Gearing,$E88/-$E70,$E89/-$E70)</f>
        <v>0.627342649123279</v>
      </c>
      <c r="F90" s="34" t="n">
        <f aca="false">$E90*-$E70/$E88</f>
        <v>0.634745653092854</v>
      </c>
    </row>
    <row r="91" customFormat="false" ht="15" hidden="false" customHeight="false" outlineLevel="0" collapsed="false">
      <c r="C91" s="1" t="s">
        <v>481</v>
      </c>
      <c r="D91" s="12" t="s">
        <v>33</v>
      </c>
      <c r="E91" s="49" t="n">
        <f aca="false">$E90*-$E70</f>
        <v>49500</v>
      </c>
      <c r="F91" s="49" t="n">
        <f aca="false">PMT($F22,In_Debt_Tenor*Months_In_Year/Months_Per_Period,-$E91)</f>
        <v>1177.60153927476</v>
      </c>
    </row>
    <row r="93" customFormat="false" ht="15" hidden="false" customHeight="false" outlineLevel="0" collapsed="false">
      <c r="A93" s="10" t="s">
        <v>13</v>
      </c>
      <c r="B93" s="10"/>
      <c r="C93" s="10" t="s">
        <v>356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customFormat="false" ht="15" hidden="false" customHeight="false" outlineLevel="0" collapsed="false">
      <c r="C94" s="1" t="s">
        <v>482</v>
      </c>
      <c r="D94" s="12" t="s">
        <v>33</v>
      </c>
      <c r="I94" s="49" t="n">
        <f aca="false">SUM(J94:EO94)</f>
        <v>-21156.0923564854</v>
      </c>
      <c r="J94" s="49" t="n">
        <f aca="false">-I103*$F22*(J$4&gt;In_COD)</f>
        <v>-0</v>
      </c>
      <c r="K94" s="49" t="n">
        <f aca="false">-J103*$F22*(K$4&gt;In_COD)</f>
        <v>-0</v>
      </c>
      <c r="L94" s="49" t="n">
        <f aca="false">-K103*$F22*(L$4&gt;In_COD)</f>
        <v>-0</v>
      </c>
      <c r="M94" s="49" t="n">
        <f aca="false">-L103*$F22*(M$4&gt;In_COD)</f>
        <v>-0</v>
      </c>
      <c r="N94" s="49" t="n">
        <f aca="false">-M103*$F22*(N$4&gt;In_COD)</f>
        <v>-0</v>
      </c>
      <c r="O94" s="49" t="n">
        <f aca="false">-N103*$F22*(O$4&gt;In_COD)</f>
        <v>-0</v>
      </c>
      <c r="P94" s="49" t="n">
        <f aca="false">-O103*$F22*(P$4&gt;In_COD)</f>
        <v>-0</v>
      </c>
      <c r="Q94" s="49" t="n">
        <f aca="false">-P103*$F22*(Q$4&gt;In_COD)</f>
        <v>-0</v>
      </c>
      <c r="R94" s="49" t="n">
        <f aca="false">-Q103*$F22*(R$4&gt;In_COD)</f>
        <v>-0</v>
      </c>
      <c r="S94" s="49" t="n">
        <f aca="false">-R103*$F22*(S$4&gt;In_COD)</f>
        <v>-0</v>
      </c>
      <c r="T94" s="49" t="n">
        <f aca="false">-S103*$F22*(T$4&gt;In_COD)</f>
        <v>-0</v>
      </c>
      <c r="U94" s="49" t="n">
        <f aca="false">-T103*$F22*(U$4&gt;In_COD)</f>
        <v>-0</v>
      </c>
      <c r="V94" s="49" t="n">
        <f aca="false">-U103*$F22*(V$4&gt;In_COD)</f>
        <v>-0</v>
      </c>
      <c r="W94" s="49" t="n">
        <f aca="false">-V103*$F22*(W$4&gt;In_COD)</f>
        <v>-0</v>
      </c>
      <c r="X94" s="49" t="n">
        <f aca="false">-W103*$F22*(X$4&gt;In_COD)</f>
        <v>-0</v>
      </c>
      <c r="Y94" s="49" t="n">
        <f aca="false">-X103*$F22*(Y$4&gt;In_COD)</f>
        <v>-0</v>
      </c>
      <c r="Z94" s="49" t="n">
        <f aca="false">-Y103*$F22*(Z$4&gt;In_COD)</f>
        <v>-618.75</v>
      </c>
      <c r="AA94" s="49" t="n">
        <f aca="false">-Z103*$F22*(AA$4&gt;In_COD)</f>
        <v>-611.764355759066</v>
      </c>
      <c r="AB94" s="49" t="n">
        <f aca="false">-AA103*$F22*(AB$4&gt;In_COD)</f>
        <v>-604.69139096512</v>
      </c>
      <c r="AC94" s="49" t="n">
        <f aca="false">-AB103*$F22*(AC$4&gt;In_COD)</f>
        <v>-597.530014111249</v>
      </c>
      <c r="AD94" s="49" t="n">
        <f aca="false">-AC103*$F22*(AD$4&gt;In_COD)</f>
        <v>-590.279120046705</v>
      </c>
      <c r="AE94" s="49" t="n">
        <f aca="false">-AD103*$F22*(AE$4&gt;In_COD)</f>
        <v>-582.937589806355</v>
      </c>
      <c r="AF94" s="49" t="n">
        <f aca="false">-AE103*$F22*(AF$4&gt;In_COD)</f>
        <v>-575.504290438</v>
      </c>
      <c r="AG94" s="49" t="n">
        <f aca="false">-AF103*$F22*(AG$4&gt;In_COD)</f>
        <v>-567.97807482754</v>
      </c>
      <c r="AH94" s="49" t="n">
        <f aca="false">-AG103*$F22*(AH$4&gt;In_COD)</f>
        <v>-560.35778152195</v>
      </c>
      <c r="AI94" s="49" t="n">
        <f aca="false">-AH103*$F22*(AI$4&gt;In_COD)</f>
        <v>-552.64223455004</v>
      </c>
      <c r="AJ94" s="49" t="n">
        <f aca="false">-AI103*$F22*(AJ$4&gt;In_COD)</f>
        <v>-544.830243240981</v>
      </c>
      <c r="AK94" s="49" t="n">
        <f aca="false">-AJ103*$F22*(AK$4&gt;In_COD)</f>
        <v>-536.920602040559</v>
      </c>
      <c r="AL94" s="49" t="n">
        <f aca="false">-AK103*$F22*(AL$4&gt;In_COD)</f>
        <v>-528.912090325131</v>
      </c>
      <c r="AM94" s="49" t="n">
        <f aca="false">-AL103*$F22*(AM$4&gt;In_COD)</f>
        <v>-520.803472213261</v>
      </c>
      <c r="AN94" s="49" t="n">
        <f aca="false">-AM103*$F22*(AN$4&gt;In_COD)</f>
        <v>-512.593496374992</v>
      </c>
      <c r="AO94" s="49" t="n">
        <f aca="false">-AN103*$F22*(AO$4&gt;In_COD)</f>
        <v>-504.280895838745</v>
      </c>
      <c r="AP94" s="49" t="n">
        <f aca="false">-AO103*$F22*(AP$4&gt;In_COD)</f>
        <v>-495.864387795795</v>
      </c>
      <c r="AQ94" s="49" t="n">
        <f aca="false">-AP103*$F22*(AQ$4&gt;In_COD)</f>
        <v>-487.342673402308</v>
      </c>
      <c r="AR94" s="49" t="n">
        <f aca="false">-AQ103*$F22*(AR$4&gt;In_COD)</f>
        <v>-478.714437578902</v>
      </c>
      <c r="AS94" s="49" t="n">
        <f aca="false">-AR103*$F22*(AS$4&gt;In_COD)</f>
        <v>-469.978348807704</v>
      </c>
      <c r="AT94" s="49" t="n">
        <f aca="false">-AS103*$F22*(AT$4&gt;In_COD)</f>
        <v>-461.133058926866</v>
      </c>
      <c r="AU94" s="49" t="n">
        <f aca="false">-AT103*$F22*(AU$4&gt;In_COD)</f>
        <v>-452.177202922517</v>
      </c>
      <c r="AV94" s="49" t="n">
        <f aca="false">-AU103*$F22*(AV$4&gt;In_COD)</f>
        <v>-443.109398718114</v>
      </c>
      <c r="AW94" s="49" t="n">
        <f aca="false">-AV103*$F22*(AW$4&gt;In_COD)</f>
        <v>-433.928246961156</v>
      </c>
      <c r="AX94" s="49" t="n">
        <f aca="false">-AW103*$F22*(AX$4&gt;In_COD)</f>
        <v>-424.632330807236</v>
      </c>
      <c r="AY94" s="49" t="n">
        <f aca="false">-AX103*$F22*(AY$4&gt;In_COD)</f>
        <v>-415.220215701392</v>
      </c>
      <c r="AZ94" s="49" t="n">
        <f aca="false">-AY103*$F22*(AZ$4&gt;In_COD)</f>
        <v>-405.690449156725</v>
      </c>
      <c r="BA94" s="49" t="n">
        <f aca="false">-AZ103*$F22*(BA$4&gt;In_COD)</f>
        <v>-396.04156053025</v>
      </c>
      <c r="BB94" s="49" t="n">
        <f aca="false">-BA103*$F22*(BB$4&gt;In_COD)</f>
        <v>-386.272060795943</v>
      </c>
      <c r="BC94" s="49" t="n">
        <f aca="false">-BB103*$F22*(BC$4&gt;In_COD)</f>
        <v>-376.380442314958</v>
      </c>
      <c r="BD94" s="49" t="n">
        <f aca="false">-BC103*$F22*(BD$4&gt;In_COD)</f>
        <v>-366.365178602961</v>
      </c>
      <c r="BE94" s="49" t="n">
        <f aca="false">-BD103*$F22*(BE$4&gt;In_COD)</f>
        <v>-356.224724094563</v>
      </c>
      <c r="BF94" s="49" t="n">
        <f aca="false">-BE103*$F22*(BF$4&gt;In_COD)</f>
        <v>-345.957513904811</v>
      </c>
      <c r="BG94" s="49" t="n">
        <f aca="false">-BF103*$F22*(BG$4&gt;In_COD)</f>
        <v>-335.561963587686</v>
      </c>
      <c r="BH94" s="49" t="n">
        <f aca="false">-BG103*$F22*(BH$4&gt;In_COD)</f>
        <v>-325.036468891598</v>
      </c>
      <c r="BI94" s="49" t="n">
        <f aca="false">-BH103*$F22*(BI$4&gt;In_COD)</f>
        <v>-314.379405511808</v>
      </c>
      <c r="BJ94" s="49" t="n">
        <f aca="false">-BI103*$F22*(BJ$4&gt;In_COD)</f>
        <v>-303.589128839772</v>
      </c>
      <c r="BK94" s="49" t="n">
        <f aca="false">-BJ103*$F22*(BK$4&gt;In_COD)</f>
        <v>-292.663973709334</v>
      </c>
      <c r="BL94" s="49" t="n">
        <f aca="false">-BK103*$F22*(BL$4&gt;In_COD)</f>
        <v>-281.602254139766</v>
      </c>
      <c r="BM94" s="49" t="n">
        <f aca="false">-BL103*$F22*(BM$4&gt;In_COD)</f>
        <v>-270.402263075579</v>
      </c>
      <c r="BN94" s="49" t="n">
        <f aca="false">-BM103*$F22*(BN$4&gt;In_COD)</f>
        <v>-259.062272123089</v>
      </c>
      <c r="BO94" s="49" t="n">
        <f aca="false">-BN103*$F22*(BO$4&gt;In_COD)</f>
        <v>-247.580531283693</v>
      </c>
      <c r="BP94" s="49" t="n">
        <f aca="false">-BO103*$F22*(BP$4&gt;In_COD)</f>
        <v>-235.955268683805</v>
      </c>
      <c r="BQ94" s="49" t="n">
        <f aca="false">-BP103*$F22*(BQ$4&gt;In_COD)</f>
        <v>-224.184690301418</v>
      </c>
      <c r="BR94" s="49" t="n">
        <f aca="false">-BQ103*$F22*(BR$4&gt;In_COD)</f>
        <v>-212.266979689252</v>
      </c>
      <c r="BS94" s="49" t="n">
        <f aca="false">-BR103*$F22*(BS$4&gt;In_COD)</f>
        <v>-200.200297694433</v>
      </c>
      <c r="BT94" s="49" t="n">
        <f aca="false">-BS103*$F22*(BT$4&gt;In_COD)</f>
        <v>-187.982782174679</v>
      </c>
      <c r="BU94" s="49" t="n">
        <f aca="false">-BT103*$F22*(BU$4&gt;In_COD)</f>
        <v>-175.612547710928</v>
      </c>
      <c r="BV94" s="49" t="n">
        <f aca="false">-BU103*$F22*(BV$4&gt;In_COD)</f>
        <v>-163.08768531638</v>
      </c>
      <c r="BW94" s="49" t="n">
        <f aca="false">-BV103*$F22*(BW$4&gt;In_COD)</f>
        <v>-150.4062621419</v>
      </c>
      <c r="BX94" s="49" t="n">
        <f aca="false">-BW103*$F22*(BX$4&gt;In_COD)</f>
        <v>-137.566321177739</v>
      </c>
      <c r="BY94" s="49" t="n">
        <f aca="false">-BX103*$F22*(BY$4&gt;In_COD)</f>
        <v>-124.565880951527</v>
      </c>
      <c r="BZ94" s="49" t="n">
        <f aca="false">-BY103*$F22*(BZ$4&gt;In_COD)</f>
        <v>-111.402935222486</v>
      </c>
      <c r="CA94" s="49" t="n">
        <f aca="false">-BZ103*$F22*(CA$4&gt;In_COD)</f>
        <v>-98.0754526718328</v>
      </c>
      <c r="CB94" s="49" t="n">
        <f aca="false">-CA103*$F22*(CB$4&gt;In_COD)</f>
        <v>-84.5813765892962</v>
      </c>
      <c r="CC94" s="49" t="n">
        <f aca="false">-CB103*$F22*(CC$4&gt;In_COD)</f>
        <v>-70.918624555728</v>
      </c>
      <c r="CD94" s="49" t="n">
        <f aca="false">-CC103*$F22*(CD$4&gt;In_COD)</f>
        <v>-57.0850881217401</v>
      </c>
      <c r="CE94" s="49" t="n">
        <f aca="false">-CD103*$F22*(CE$4&gt;In_COD)</f>
        <v>-43.0786324823274</v>
      </c>
      <c r="CF94" s="49" t="n">
        <f aca="false">-CE103*$F22*(CF$4&gt;In_COD)</f>
        <v>-28.897096147422</v>
      </c>
      <c r="CG94" s="49" t="n">
        <f aca="false">-CF103*$F22*(CG$4&gt;In_COD)</f>
        <v>-14.5382906083303</v>
      </c>
      <c r="CH94" s="49" t="n">
        <f aca="false">-CG103*$F22*(CH$4&gt;In_COD)</f>
        <v>-0</v>
      </c>
      <c r="CI94" s="49" t="n">
        <f aca="false">-CH103*$F22*(CI$4&gt;In_COD)</f>
        <v>-0</v>
      </c>
      <c r="CJ94" s="49" t="n">
        <f aca="false">-CI103*$F22*(CJ$4&gt;In_COD)</f>
        <v>-0</v>
      </c>
      <c r="CK94" s="49" t="n">
        <f aca="false">-CJ103*$F22*(CK$4&gt;In_COD)</f>
        <v>-0</v>
      </c>
      <c r="CL94" s="49" t="n">
        <f aca="false">-CK103*$F22*(CL$4&gt;In_COD)</f>
        <v>-0</v>
      </c>
      <c r="CM94" s="49" t="n">
        <f aca="false">-CL103*$F22*(CM$4&gt;In_COD)</f>
        <v>-0</v>
      </c>
      <c r="CN94" s="49" t="n">
        <f aca="false">-CM103*$F22*(CN$4&gt;In_COD)</f>
        <v>-0</v>
      </c>
      <c r="CO94" s="49" t="n">
        <f aca="false">-CN103*$F22*(CO$4&gt;In_COD)</f>
        <v>-0</v>
      </c>
      <c r="CP94" s="49" t="n">
        <f aca="false">-CO103*$F22*(CP$4&gt;In_COD)</f>
        <v>-0</v>
      </c>
      <c r="CQ94" s="49" t="n">
        <f aca="false">-CP103*$F22*(CQ$4&gt;In_COD)</f>
        <v>-0</v>
      </c>
      <c r="CR94" s="49" t="n">
        <f aca="false">-CQ103*$F22*(CR$4&gt;In_COD)</f>
        <v>-0</v>
      </c>
      <c r="CS94" s="49" t="n">
        <f aca="false">-CR103*$F22*(CS$4&gt;In_COD)</f>
        <v>-0</v>
      </c>
      <c r="CT94" s="49" t="n">
        <f aca="false">-CS103*$F22*(CT$4&gt;In_COD)</f>
        <v>-0</v>
      </c>
      <c r="CU94" s="49" t="n">
        <f aca="false">-CT103*$F22*(CU$4&gt;In_COD)</f>
        <v>-0</v>
      </c>
      <c r="CV94" s="49" t="n">
        <f aca="false">-CU103*$F22*(CV$4&gt;In_COD)</f>
        <v>-0</v>
      </c>
      <c r="CW94" s="49" t="n">
        <f aca="false">-CV103*$F22*(CW$4&gt;In_COD)</f>
        <v>-0</v>
      </c>
      <c r="CX94" s="49" t="n">
        <f aca="false">-CW103*$F22*(CX$4&gt;In_COD)</f>
        <v>-0</v>
      </c>
      <c r="CY94" s="49" t="n">
        <f aca="false">-CX103*$F22*(CY$4&gt;In_COD)</f>
        <v>-0</v>
      </c>
      <c r="CZ94" s="49" t="n">
        <f aca="false">-CY103*$F22*(CZ$4&gt;In_COD)</f>
        <v>-0</v>
      </c>
      <c r="DA94" s="49" t="n">
        <f aca="false">-CZ103*$F22*(DA$4&gt;In_COD)</f>
        <v>-0</v>
      </c>
      <c r="DB94" s="49" t="n">
        <f aca="false">-DA103*$F22*(DB$4&gt;In_COD)</f>
        <v>-0</v>
      </c>
      <c r="DC94" s="49" t="n">
        <f aca="false">-DB103*$F22*(DC$4&gt;In_COD)</f>
        <v>-0</v>
      </c>
      <c r="DD94" s="49" t="n">
        <f aca="false">-DC103*$F22*(DD$4&gt;In_COD)</f>
        <v>-0</v>
      </c>
      <c r="DE94" s="49" t="n">
        <f aca="false">-DD103*$F22*(DE$4&gt;In_COD)</f>
        <v>-0</v>
      </c>
      <c r="DF94" s="49" t="n">
        <f aca="false">-DE103*$F22*(DF$4&gt;In_COD)</f>
        <v>-0</v>
      </c>
      <c r="DG94" s="49" t="n">
        <f aca="false">-DF103*$F22*(DG$4&gt;In_COD)</f>
        <v>-0</v>
      </c>
      <c r="DH94" s="49" t="n">
        <f aca="false">-DG103*$F22*(DH$4&gt;In_COD)</f>
        <v>-0</v>
      </c>
      <c r="DI94" s="49" t="n">
        <f aca="false">-DH103*$F22*(DI$4&gt;In_COD)</f>
        <v>-0</v>
      </c>
      <c r="DJ94" s="49" t="n">
        <f aca="false">-DI103*$F22*(DJ$4&gt;In_COD)</f>
        <v>-0</v>
      </c>
      <c r="DK94" s="49" t="n">
        <f aca="false">-DJ103*$F22*(DK$4&gt;In_COD)</f>
        <v>-0</v>
      </c>
      <c r="DL94" s="49" t="n">
        <f aca="false">-DK103*$F22*(DL$4&gt;In_COD)</f>
        <v>-0</v>
      </c>
      <c r="DM94" s="49" t="n">
        <f aca="false">-DL103*$F22*(DM$4&gt;In_COD)</f>
        <v>-0</v>
      </c>
      <c r="DN94" s="49" t="n">
        <f aca="false">-DM103*$F22*(DN$4&gt;In_COD)</f>
        <v>-0</v>
      </c>
      <c r="DO94" s="49" t="n">
        <f aca="false">-DN103*$F22*(DO$4&gt;In_COD)</f>
        <v>-0</v>
      </c>
      <c r="DP94" s="49" t="n">
        <f aca="false">-DO103*$F22*(DP$4&gt;In_COD)</f>
        <v>-0</v>
      </c>
      <c r="DQ94" s="49" t="n">
        <f aca="false">-DP103*$F22*(DQ$4&gt;In_COD)</f>
        <v>-0</v>
      </c>
      <c r="DR94" s="49" t="n">
        <f aca="false">-DQ103*$F22*(DR$4&gt;In_COD)</f>
        <v>-0</v>
      </c>
      <c r="DS94" s="49" t="n">
        <f aca="false">-DR103*$F22*(DS$4&gt;In_COD)</f>
        <v>-0</v>
      </c>
      <c r="DT94" s="49" t="n">
        <f aca="false">-DS103*$F22*(DT$4&gt;In_COD)</f>
        <v>-0</v>
      </c>
      <c r="DU94" s="49" t="n">
        <f aca="false">-DT103*$F22*(DU$4&gt;In_COD)</f>
        <v>-0</v>
      </c>
      <c r="DV94" s="49" t="n">
        <f aca="false">-DU103*$F22*(DV$4&gt;In_COD)</f>
        <v>-0</v>
      </c>
      <c r="DW94" s="49" t="n">
        <f aca="false">-DV103*$F22*(DW$4&gt;In_COD)</f>
        <v>-0</v>
      </c>
      <c r="DX94" s="49" t="n">
        <f aca="false">-DW103*$F22*(DX$4&gt;In_COD)</f>
        <v>-0</v>
      </c>
      <c r="DY94" s="49" t="n">
        <f aca="false">-DX103*$F22*(DY$4&gt;In_COD)</f>
        <v>-0</v>
      </c>
      <c r="DZ94" s="49" t="n">
        <f aca="false">-DY103*$F22*(DZ$4&gt;In_COD)</f>
        <v>-0</v>
      </c>
      <c r="EA94" s="49" t="n">
        <f aca="false">-DZ103*$F22*(EA$4&gt;In_COD)</f>
        <v>-0</v>
      </c>
      <c r="EB94" s="49" t="n">
        <f aca="false">-EA103*$F22*(EB$4&gt;In_COD)</f>
        <v>-0</v>
      </c>
      <c r="EC94" s="49" t="n">
        <f aca="false">-EB103*$F22*(EC$4&gt;In_COD)</f>
        <v>-0</v>
      </c>
      <c r="ED94" s="49" t="n">
        <f aca="false">-EC103*$F22*(ED$4&gt;In_COD)</f>
        <v>-0</v>
      </c>
      <c r="EE94" s="49" t="n">
        <f aca="false">-ED103*$F22*(EE$4&gt;In_COD)</f>
        <v>-0</v>
      </c>
      <c r="EF94" s="49" t="n">
        <f aca="false">-EE103*$F22*(EF$4&gt;In_COD)</f>
        <v>-0</v>
      </c>
      <c r="EG94" s="49" t="n">
        <f aca="false">-EF103*$F22*(EG$4&gt;In_COD)</f>
        <v>-0</v>
      </c>
      <c r="EH94" s="49" t="n">
        <f aca="false">-EG103*$F22*(EH$4&gt;In_COD)</f>
        <v>-0</v>
      </c>
      <c r="EI94" s="49" t="n">
        <f aca="false">-EH103*$F22*(EI$4&gt;In_COD)</f>
        <v>-0</v>
      </c>
      <c r="EJ94" s="49" t="n">
        <f aca="false">-EI103*$F22*(EJ$4&gt;In_COD)</f>
        <v>-0</v>
      </c>
      <c r="EK94" s="49" t="n">
        <f aca="false">-EJ103*$F22*(EK$4&gt;In_COD)</f>
        <v>-0</v>
      </c>
      <c r="EL94" s="49" t="n">
        <f aca="false">-EK103*$F22*(EL$4&gt;In_COD)</f>
        <v>-0</v>
      </c>
      <c r="EM94" s="49" t="n">
        <f aca="false">-EL103*$F22*(EM$4&gt;In_COD)</f>
        <v>-0</v>
      </c>
      <c r="EN94" s="49" t="n">
        <f aca="false">-EM103*$F22*(EN$4&gt;In_COD)</f>
        <v>-0</v>
      </c>
      <c r="EO94" s="49" t="n">
        <f aca="false">-EN103*$F22*(EO$4&gt;In_COD)</f>
        <v>-0</v>
      </c>
    </row>
    <row r="95" customFormat="false" ht="15" hidden="false" customHeight="false" outlineLevel="0" collapsed="false">
      <c r="C95" s="1" t="s">
        <v>483</v>
      </c>
      <c r="D95" s="12" t="s">
        <v>33</v>
      </c>
      <c r="I95" s="49" t="n">
        <f aca="false">SUM(J95:EO95)</f>
        <v>-49500</v>
      </c>
      <c r="J95" s="49" t="n">
        <f aca="false">-MIN(I103,$F91+J94)*J18</f>
        <v>-0</v>
      </c>
      <c r="K95" s="49" t="n">
        <f aca="false">-MIN(J103,$F91+K94)*K18</f>
        <v>-0</v>
      </c>
      <c r="L95" s="49" t="n">
        <f aca="false">-MIN(K103,$F91+L94)*L18</f>
        <v>-0</v>
      </c>
      <c r="M95" s="49" t="n">
        <f aca="false">-MIN(L103,$F91+M94)*M18</f>
        <v>-0</v>
      </c>
      <c r="N95" s="49" t="n">
        <f aca="false">-MIN(M103,$F91+N94)*N18</f>
        <v>-0</v>
      </c>
      <c r="O95" s="49" t="n">
        <f aca="false">-MIN(N103,$F91+O94)*O18</f>
        <v>-0</v>
      </c>
      <c r="P95" s="49" t="n">
        <f aca="false">-MIN(O103,$F91+P94)*P18</f>
        <v>-0</v>
      </c>
      <c r="Q95" s="49" t="n">
        <f aca="false">-MIN(P103,$F91+Q94)*Q18</f>
        <v>-0</v>
      </c>
      <c r="R95" s="49" t="n">
        <f aca="false">-MIN(Q103,$F91+R94)*R18</f>
        <v>-0</v>
      </c>
      <c r="S95" s="49" t="n">
        <f aca="false">-MIN(R103,$F91+S94)*S18</f>
        <v>-0</v>
      </c>
      <c r="T95" s="49" t="n">
        <f aca="false">-MIN(S103,$F91+T94)*T18</f>
        <v>-0</v>
      </c>
      <c r="U95" s="49" t="n">
        <f aca="false">-MIN(T103,$F91+U94)*U18</f>
        <v>-0</v>
      </c>
      <c r="V95" s="49" t="n">
        <f aca="false">-MIN(U103,$F91+V94)*V18</f>
        <v>-0</v>
      </c>
      <c r="W95" s="49" t="n">
        <f aca="false">-MIN(V103,$F91+W94)*W18</f>
        <v>-0</v>
      </c>
      <c r="X95" s="49" t="n">
        <f aca="false">-MIN(W103,$F91+X94)*X18</f>
        <v>-0</v>
      </c>
      <c r="Y95" s="49" t="n">
        <f aca="false">-MIN(X103,$F91+Y94)*Y18</f>
        <v>-0</v>
      </c>
      <c r="Z95" s="49" t="n">
        <f aca="false">-MIN(Y103,$F91+Z94)*Z18</f>
        <v>-558.851539274757</v>
      </c>
      <c r="AA95" s="49" t="n">
        <f aca="false">-MIN(Z103,$F91+AA94)*AA18</f>
        <v>-565.837183515692</v>
      </c>
      <c r="AB95" s="49" t="n">
        <f aca="false">-MIN(AA103,$F91+AB94)*AB18</f>
        <v>-572.910148309638</v>
      </c>
      <c r="AC95" s="49" t="n">
        <f aca="false">-MIN(AB103,$F91+AC94)*AC18</f>
        <v>-580.071525163509</v>
      </c>
      <c r="AD95" s="49" t="n">
        <f aca="false">-MIN(AC103,$F91+AD94)*AD18</f>
        <v>-587.322419228052</v>
      </c>
      <c r="AE95" s="49" t="n">
        <f aca="false">-MIN(AD103,$F91+AE94)*AE18</f>
        <v>-594.663949468403</v>
      </c>
      <c r="AF95" s="49" t="n">
        <f aca="false">-MIN(AE103,$F91+AF94)*AF18</f>
        <v>-602.097248836758</v>
      </c>
      <c r="AG95" s="49" t="n">
        <f aca="false">-MIN(AF103,$F91+AG94)*AG18</f>
        <v>-609.623464447218</v>
      </c>
      <c r="AH95" s="49" t="n">
        <f aca="false">-MIN(AG103,$F91+AH94)*AH18</f>
        <v>-617.243757752808</v>
      </c>
      <c r="AI95" s="49" t="n">
        <f aca="false">-MIN(AH103,$F91+AI94)*AI18</f>
        <v>-624.959304724718</v>
      </c>
      <c r="AJ95" s="49" t="n">
        <f aca="false">-MIN(AI103,$F91+AJ94)*AJ18</f>
        <v>-632.771296033777</v>
      </c>
      <c r="AK95" s="49" t="n">
        <f aca="false">-MIN(AJ103,$F91+AK94)*AK18</f>
        <v>-640.680937234199</v>
      </c>
      <c r="AL95" s="49" t="n">
        <f aca="false">-MIN(AK103,$F91+AL94)*AL18</f>
        <v>-648.689448949627</v>
      </c>
      <c r="AM95" s="49" t="n">
        <f aca="false">-MIN(AL103,$F91+AM94)*AM18</f>
        <v>-656.798067061497</v>
      </c>
      <c r="AN95" s="49" t="n">
        <f aca="false">-MIN(AM103,$F91+AN94)*AN18</f>
        <v>-665.008042899766</v>
      </c>
      <c r="AO95" s="49" t="n">
        <f aca="false">-MIN(AN103,$F91+AO94)*AO18</f>
        <v>-673.320643436013</v>
      </c>
      <c r="AP95" s="49" t="n">
        <f aca="false">-MIN(AO103,$F91+AP94)*AP18</f>
        <v>-681.737151478963</v>
      </c>
      <c r="AQ95" s="49" t="n">
        <f aca="false">-MIN(AP103,$F91+AQ94)*AQ18</f>
        <v>-690.25886587245</v>
      </c>
      <c r="AR95" s="49" t="n">
        <f aca="false">-MIN(AQ103,$F91+AR94)*AR18</f>
        <v>-698.887101695856</v>
      </c>
      <c r="AS95" s="49" t="n">
        <f aca="false">-MIN(AR103,$F91+AS94)*AS18</f>
        <v>-707.623190467054</v>
      </c>
      <c r="AT95" s="49" t="n">
        <f aca="false">-MIN(AS103,$F91+AT94)*AT18</f>
        <v>-716.468480347892</v>
      </c>
      <c r="AU95" s="49" t="n">
        <f aca="false">-MIN(AT103,$F91+AU94)*AU18</f>
        <v>-725.424336352241</v>
      </c>
      <c r="AV95" s="49" t="n">
        <f aca="false">-MIN(AU103,$F91+AV94)*AV18</f>
        <v>-734.492140556644</v>
      </c>
      <c r="AW95" s="49" t="n">
        <f aca="false">-MIN(AV103,$F91+AW94)*AW18</f>
        <v>-743.673292313602</v>
      </c>
      <c r="AX95" s="49" t="n">
        <f aca="false">-MIN(AW103,$F91+AX94)*AX18</f>
        <v>-752.969208467522</v>
      </c>
      <c r="AY95" s="49" t="n">
        <f aca="false">-MIN(AX103,$F91+AY94)*AY18</f>
        <v>-762.381323573366</v>
      </c>
      <c r="AZ95" s="49" t="n">
        <f aca="false">-MIN(AY103,$F91+AZ94)*AZ18</f>
        <v>-771.911090118033</v>
      </c>
      <c r="BA95" s="49" t="n">
        <f aca="false">-MIN(AZ103,$F91+BA94)*BA18</f>
        <v>-781.559978744508</v>
      </c>
      <c r="BB95" s="49" t="n">
        <f aca="false">-MIN(BA103,$F91+BB94)*BB18</f>
        <v>-791.329478478815</v>
      </c>
      <c r="BC95" s="49" t="n">
        <f aca="false">-MIN(BB103,$F91+BC94)*BC18</f>
        <v>-801.2210969598</v>
      </c>
      <c r="BD95" s="49" t="n">
        <f aca="false">-MIN(BC103,$F91+BD94)*BD18</f>
        <v>-811.236360671797</v>
      </c>
      <c r="BE95" s="49" t="n">
        <f aca="false">-MIN(BD103,$F91+BE94)*BE18</f>
        <v>-821.376815180195</v>
      </c>
      <c r="BF95" s="49" t="n">
        <f aca="false">-MIN(BE103,$F91+BF94)*BF18</f>
        <v>-831.644025369947</v>
      </c>
      <c r="BG95" s="49" t="n">
        <f aca="false">-MIN(BF103,$F91+BG94)*BG18</f>
        <v>-842.039575687071</v>
      </c>
      <c r="BH95" s="49" t="n">
        <f aca="false">-MIN(BG103,$F91+BH94)*BH18</f>
        <v>-852.56507038316</v>
      </c>
      <c r="BI95" s="49" t="n">
        <f aca="false">-MIN(BH103,$F91+BI94)*BI18</f>
        <v>-863.222133762949</v>
      </c>
      <c r="BJ95" s="49" t="n">
        <f aca="false">-MIN(BI103,$F91+BJ94)*BJ18</f>
        <v>-874.012410434986</v>
      </c>
      <c r="BK95" s="49" t="n">
        <f aca="false">-MIN(BJ103,$F91+BK94)*BK18</f>
        <v>-884.937565565424</v>
      </c>
      <c r="BL95" s="49" t="n">
        <f aca="false">-MIN(BK103,$F91+BL94)*BL18</f>
        <v>-895.999285134991</v>
      </c>
      <c r="BM95" s="49" t="n">
        <f aca="false">-MIN(BL103,$F91+BM94)*BM18</f>
        <v>-907.199276199179</v>
      </c>
      <c r="BN95" s="49" t="n">
        <f aca="false">-MIN(BM103,$F91+BN94)*BN18</f>
        <v>-918.539267151668</v>
      </c>
      <c r="BO95" s="49" t="n">
        <f aca="false">-MIN(BN103,$F91+BO94)*BO18</f>
        <v>-930.021007991064</v>
      </c>
      <c r="BP95" s="49" t="n">
        <f aca="false">-MIN(BO103,$F91+BP94)*BP18</f>
        <v>-941.646270590953</v>
      </c>
      <c r="BQ95" s="49" t="n">
        <f aca="false">-MIN(BP103,$F91+BQ94)*BQ18</f>
        <v>-953.416848973339</v>
      </c>
      <c r="BR95" s="49" t="n">
        <f aca="false">-MIN(BQ103,$F91+BR94)*BR18</f>
        <v>-965.334559585506</v>
      </c>
      <c r="BS95" s="49" t="n">
        <f aca="false">-MIN(BR103,$F91+BS94)*BS18</f>
        <v>-977.401241580325</v>
      </c>
      <c r="BT95" s="49" t="n">
        <f aca="false">-MIN(BS103,$F91+BT94)*BT18</f>
        <v>-989.618757100079</v>
      </c>
      <c r="BU95" s="49" t="n">
        <f aca="false">-MIN(BT103,$F91+BU94)*BU18</f>
        <v>-1001.98899156383</v>
      </c>
      <c r="BV95" s="49" t="n">
        <f aca="false">-MIN(BU103,$F91+BV94)*BV18</f>
        <v>-1014.51385395838</v>
      </c>
      <c r="BW95" s="49" t="n">
        <f aca="false">-MIN(BV103,$F91+BW94)*BW18</f>
        <v>-1027.19527713286</v>
      </c>
      <c r="BX95" s="49" t="n">
        <f aca="false">-MIN(BW103,$F91+BX94)*BX18</f>
        <v>-1040.03521809702</v>
      </c>
      <c r="BY95" s="49" t="n">
        <f aca="false">-MIN(BX103,$F91+BY94)*BY18</f>
        <v>-1053.03565832323</v>
      </c>
      <c r="BZ95" s="49" t="n">
        <f aca="false">-MIN(BY103,$F91+BZ94)*BZ18</f>
        <v>-1066.19860405227</v>
      </c>
      <c r="CA95" s="49" t="n">
        <f aca="false">-MIN(BZ103,$F91+CA94)*CA18</f>
        <v>-1079.52608660292</v>
      </c>
      <c r="CB95" s="49" t="n">
        <f aca="false">-MIN(CA103,$F91+CB94)*CB18</f>
        <v>-1093.02016268546</v>
      </c>
      <c r="CC95" s="49" t="n">
        <f aca="false">-MIN(CB103,$F91+CC94)*CC18</f>
        <v>-1106.68291471903</v>
      </c>
      <c r="CD95" s="49" t="n">
        <f aca="false">-MIN(CC103,$F91+CD94)*CD18</f>
        <v>-1120.51645115302</v>
      </c>
      <c r="CE95" s="49" t="n">
        <f aca="false">-MIN(CD103,$F91+CE94)*CE18</f>
        <v>-1134.52290679243</v>
      </c>
      <c r="CF95" s="49" t="n">
        <f aca="false">-MIN(CE103,$F91+CF94)*CF18</f>
        <v>-1148.70444312734</v>
      </c>
      <c r="CG95" s="49" t="n">
        <f aca="false">-MIN(CF103,$F91+CG94)*CG18</f>
        <v>-1163.06324866642</v>
      </c>
      <c r="CH95" s="49" t="n">
        <f aca="false">-MIN(CG103,$F91+CH94)*CH18</f>
        <v>-0</v>
      </c>
      <c r="CI95" s="49" t="n">
        <f aca="false">-MIN(CH103,$F91+CI94)*CI18</f>
        <v>-0</v>
      </c>
      <c r="CJ95" s="49" t="n">
        <f aca="false">-MIN(CI103,$F91+CJ94)*CJ18</f>
        <v>-0</v>
      </c>
      <c r="CK95" s="49" t="n">
        <f aca="false">-MIN(CJ103,$F91+CK94)*CK18</f>
        <v>-0</v>
      </c>
      <c r="CL95" s="49" t="n">
        <f aca="false">-MIN(CK103,$F91+CL94)*CL18</f>
        <v>-0</v>
      </c>
      <c r="CM95" s="49" t="n">
        <f aca="false">-MIN(CL103,$F91+CM94)*CM18</f>
        <v>-0</v>
      </c>
      <c r="CN95" s="49" t="n">
        <f aca="false">-MIN(CM103,$F91+CN94)*CN18</f>
        <v>-0</v>
      </c>
      <c r="CO95" s="49" t="n">
        <f aca="false">-MIN(CN103,$F91+CO94)*CO18</f>
        <v>-0</v>
      </c>
      <c r="CP95" s="49" t="n">
        <f aca="false">-MIN(CO103,$F91+CP94)*CP18</f>
        <v>-0</v>
      </c>
      <c r="CQ95" s="49" t="n">
        <f aca="false">-MIN(CP103,$F91+CQ94)*CQ18</f>
        <v>-0</v>
      </c>
      <c r="CR95" s="49" t="n">
        <f aca="false">-MIN(CQ103,$F91+CR94)*CR18</f>
        <v>-0</v>
      </c>
      <c r="CS95" s="49" t="n">
        <f aca="false">-MIN(CR103,$F91+CS94)*CS18</f>
        <v>-0</v>
      </c>
      <c r="CT95" s="49" t="n">
        <f aca="false">-MIN(CS103,$F91+CT94)*CT18</f>
        <v>-0</v>
      </c>
      <c r="CU95" s="49" t="n">
        <f aca="false">-MIN(CT103,$F91+CU94)*CU18</f>
        <v>-0</v>
      </c>
      <c r="CV95" s="49" t="n">
        <f aca="false">-MIN(CU103,$F91+CV94)*CV18</f>
        <v>-0</v>
      </c>
      <c r="CW95" s="49" t="n">
        <f aca="false">-MIN(CV103,$F91+CW94)*CW18</f>
        <v>-0</v>
      </c>
      <c r="CX95" s="49" t="n">
        <f aca="false">-MIN(CW103,$F91+CX94)*CX18</f>
        <v>-0</v>
      </c>
      <c r="CY95" s="49" t="n">
        <f aca="false">-MIN(CX103,$F91+CY94)*CY18</f>
        <v>-0</v>
      </c>
      <c r="CZ95" s="49" t="n">
        <f aca="false">-MIN(CY103,$F91+CZ94)*CZ18</f>
        <v>-0</v>
      </c>
      <c r="DA95" s="49" t="n">
        <f aca="false">-MIN(CZ103,$F91+DA94)*DA18</f>
        <v>-0</v>
      </c>
      <c r="DB95" s="49" t="n">
        <f aca="false">-MIN(DA103,$F91+DB94)*DB18</f>
        <v>-0</v>
      </c>
      <c r="DC95" s="49" t="n">
        <f aca="false">-MIN(DB103,$F91+DC94)*DC18</f>
        <v>-0</v>
      </c>
      <c r="DD95" s="49" t="n">
        <f aca="false">-MIN(DC103,$F91+DD94)*DD18</f>
        <v>-0</v>
      </c>
      <c r="DE95" s="49" t="n">
        <f aca="false">-MIN(DD103,$F91+DE94)*DE18</f>
        <v>-0</v>
      </c>
      <c r="DF95" s="49" t="n">
        <f aca="false">-MIN(DE103,$F91+DF94)*DF18</f>
        <v>-0</v>
      </c>
      <c r="DG95" s="49" t="n">
        <f aca="false">-MIN(DF103,$F91+DG94)*DG18</f>
        <v>-0</v>
      </c>
      <c r="DH95" s="49" t="n">
        <f aca="false">-MIN(DG103,$F91+DH94)*DH18</f>
        <v>-0</v>
      </c>
      <c r="DI95" s="49" t="n">
        <f aca="false">-MIN(DH103,$F91+DI94)*DI18</f>
        <v>-0</v>
      </c>
      <c r="DJ95" s="49" t="n">
        <f aca="false">-MIN(DI103,$F91+DJ94)*DJ18</f>
        <v>-0</v>
      </c>
      <c r="DK95" s="49" t="n">
        <f aca="false">-MIN(DJ103,$F91+DK94)*DK18</f>
        <v>-0</v>
      </c>
      <c r="DL95" s="49" t="n">
        <f aca="false">-MIN(DK103,$F91+DL94)*DL18</f>
        <v>-0</v>
      </c>
      <c r="DM95" s="49" t="n">
        <f aca="false">-MIN(DL103,$F91+DM94)*DM18</f>
        <v>-0</v>
      </c>
      <c r="DN95" s="49" t="n">
        <f aca="false">-MIN(DM103,$F91+DN94)*DN18</f>
        <v>-0</v>
      </c>
      <c r="DO95" s="49" t="n">
        <f aca="false">-MIN(DN103,$F91+DO94)*DO18</f>
        <v>-0</v>
      </c>
      <c r="DP95" s="49" t="n">
        <f aca="false">-MIN(DO103,$F91+DP94)*DP18</f>
        <v>-0</v>
      </c>
      <c r="DQ95" s="49" t="n">
        <f aca="false">-MIN(DP103,$F91+DQ94)*DQ18</f>
        <v>-0</v>
      </c>
      <c r="DR95" s="49" t="n">
        <f aca="false">-MIN(DQ103,$F91+DR94)*DR18</f>
        <v>-0</v>
      </c>
      <c r="DS95" s="49" t="n">
        <f aca="false">-MIN(DR103,$F91+DS94)*DS18</f>
        <v>-0</v>
      </c>
      <c r="DT95" s="49" t="n">
        <f aca="false">-MIN(DS103,$F91+DT94)*DT18</f>
        <v>-0</v>
      </c>
      <c r="DU95" s="49" t="n">
        <f aca="false">-MIN(DT103,$F91+DU94)*DU18</f>
        <v>-0</v>
      </c>
      <c r="DV95" s="49" t="n">
        <f aca="false">-MIN(DU103,$F91+DV94)*DV18</f>
        <v>-0</v>
      </c>
      <c r="DW95" s="49" t="n">
        <f aca="false">-MIN(DV103,$F91+DW94)*DW18</f>
        <v>-0</v>
      </c>
      <c r="DX95" s="49" t="n">
        <f aca="false">-MIN(DW103,$F91+DX94)*DX18</f>
        <v>-0</v>
      </c>
      <c r="DY95" s="49" t="n">
        <f aca="false">-MIN(DX103,$F91+DY94)*DY18</f>
        <v>-0</v>
      </c>
      <c r="DZ95" s="49" t="n">
        <f aca="false">-MIN(DY103,$F91+DZ94)*DZ18</f>
        <v>-0</v>
      </c>
      <c r="EA95" s="49" t="n">
        <f aca="false">-MIN(DZ103,$F91+EA94)*EA18</f>
        <v>-0</v>
      </c>
      <c r="EB95" s="49" t="n">
        <f aca="false">-MIN(EA103,$F91+EB94)*EB18</f>
        <v>-0</v>
      </c>
      <c r="EC95" s="49" t="n">
        <f aca="false">-MIN(EB103,$F91+EC94)*EC18</f>
        <v>-0</v>
      </c>
      <c r="ED95" s="49" t="n">
        <f aca="false">-MIN(EC103,$F91+ED94)*ED18</f>
        <v>-0</v>
      </c>
      <c r="EE95" s="49" t="n">
        <f aca="false">-MIN(ED103,$F91+EE94)*EE18</f>
        <v>-0</v>
      </c>
      <c r="EF95" s="49" t="n">
        <f aca="false">-MIN(EE103,$F91+EF94)*EF18</f>
        <v>-0</v>
      </c>
      <c r="EG95" s="49" t="n">
        <f aca="false">-MIN(EF103,$F91+EG94)*EG18</f>
        <v>-0</v>
      </c>
      <c r="EH95" s="49" t="n">
        <f aca="false">-MIN(EG103,$F91+EH94)*EH18</f>
        <v>-0</v>
      </c>
      <c r="EI95" s="49" t="n">
        <f aca="false">-MIN(EH103,$F91+EI94)*EI18</f>
        <v>-0</v>
      </c>
      <c r="EJ95" s="49" t="n">
        <f aca="false">-MIN(EI103,$F91+EJ94)*EJ18</f>
        <v>-0</v>
      </c>
      <c r="EK95" s="49" t="n">
        <f aca="false">-MIN(EJ103,$F91+EK94)*EK18</f>
        <v>-0</v>
      </c>
      <c r="EL95" s="49" t="n">
        <f aca="false">-MIN(EK103,$F91+EL94)*EL18</f>
        <v>-0</v>
      </c>
      <c r="EM95" s="49" t="n">
        <f aca="false">-MIN(EL103,$F91+EM94)*EM18</f>
        <v>-0</v>
      </c>
      <c r="EN95" s="49" t="n">
        <f aca="false">-MIN(EM103,$F91+EN94)*EN18</f>
        <v>-0</v>
      </c>
      <c r="EO95" s="49" t="n">
        <f aca="false">-MIN(EN103,$F91+EO94)*EO18</f>
        <v>-0</v>
      </c>
    </row>
    <row r="96" customFormat="false" ht="15" hidden="false" customHeight="false" outlineLevel="0" collapsed="false">
      <c r="C96" s="1" t="s">
        <v>484</v>
      </c>
      <c r="D96" s="12" t="s">
        <v>33</v>
      </c>
      <c r="I96" s="49" t="n">
        <f aca="false">SUM(J96:EO96)</f>
        <v>-70656.0923564855</v>
      </c>
      <c r="J96" s="49" t="n">
        <f aca="false">J94+J95</f>
        <v>-0</v>
      </c>
      <c r="K96" s="49" t="n">
        <f aca="false">K94+K95</f>
        <v>-0</v>
      </c>
      <c r="L96" s="49" t="n">
        <f aca="false">L94+L95</f>
        <v>-0</v>
      </c>
      <c r="M96" s="49" t="n">
        <f aca="false">M94+M95</f>
        <v>-0</v>
      </c>
      <c r="N96" s="49" t="n">
        <f aca="false">N94+N95</f>
        <v>-0</v>
      </c>
      <c r="O96" s="49" t="n">
        <f aca="false">O94+O95</f>
        <v>-0</v>
      </c>
      <c r="P96" s="49" t="n">
        <f aca="false">P94+P95</f>
        <v>-0</v>
      </c>
      <c r="Q96" s="49" t="n">
        <f aca="false">Q94+Q95</f>
        <v>-0</v>
      </c>
      <c r="R96" s="49" t="n">
        <f aca="false">R94+R95</f>
        <v>-0</v>
      </c>
      <c r="S96" s="49" t="n">
        <f aca="false">S94+S95</f>
        <v>-0</v>
      </c>
      <c r="T96" s="49" t="n">
        <f aca="false">T94+T95</f>
        <v>-0</v>
      </c>
      <c r="U96" s="49" t="n">
        <f aca="false">U94+U95</f>
        <v>-0</v>
      </c>
      <c r="V96" s="49" t="n">
        <f aca="false">V94+V95</f>
        <v>-0</v>
      </c>
      <c r="W96" s="49" t="n">
        <f aca="false">W94+W95</f>
        <v>-0</v>
      </c>
      <c r="X96" s="49" t="n">
        <f aca="false">X94+X95</f>
        <v>-0</v>
      </c>
      <c r="Y96" s="49" t="n">
        <f aca="false">Y94+Y95</f>
        <v>-0</v>
      </c>
      <c r="Z96" s="49" t="n">
        <f aca="false">Z94+Z95</f>
        <v>-1177.60153927476</v>
      </c>
      <c r="AA96" s="49" t="n">
        <f aca="false">AA94+AA95</f>
        <v>-1177.60153927476</v>
      </c>
      <c r="AB96" s="49" t="n">
        <f aca="false">AB94+AB95</f>
        <v>-1177.60153927476</v>
      </c>
      <c r="AC96" s="49" t="n">
        <f aca="false">AC94+AC95</f>
        <v>-1177.60153927476</v>
      </c>
      <c r="AD96" s="49" t="n">
        <f aca="false">AD94+AD95</f>
        <v>-1177.60153927476</v>
      </c>
      <c r="AE96" s="49" t="n">
        <f aca="false">AE94+AE95</f>
        <v>-1177.60153927476</v>
      </c>
      <c r="AF96" s="49" t="n">
        <f aca="false">AF94+AF95</f>
        <v>-1177.60153927476</v>
      </c>
      <c r="AG96" s="49" t="n">
        <f aca="false">AG94+AG95</f>
        <v>-1177.60153927476</v>
      </c>
      <c r="AH96" s="49" t="n">
        <f aca="false">AH94+AH95</f>
        <v>-1177.60153927476</v>
      </c>
      <c r="AI96" s="49" t="n">
        <f aca="false">AI94+AI95</f>
        <v>-1177.60153927476</v>
      </c>
      <c r="AJ96" s="49" t="n">
        <f aca="false">AJ94+AJ95</f>
        <v>-1177.60153927476</v>
      </c>
      <c r="AK96" s="49" t="n">
        <f aca="false">AK94+AK95</f>
        <v>-1177.60153927476</v>
      </c>
      <c r="AL96" s="49" t="n">
        <f aca="false">AL94+AL95</f>
        <v>-1177.60153927476</v>
      </c>
      <c r="AM96" s="49" t="n">
        <f aca="false">AM94+AM95</f>
        <v>-1177.60153927476</v>
      </c>
      <c r="AN96" s="49" t="n">
        <f aca="false">AN94+AN95</f>
        <v>-1177.60153927476</v>
      </c>
      <c r="AO96" s="49" t="n">
        <f aca="false">AO94+AO95</f>
        <v>-1177.60153927476</v>
      </c>
      <c r="AP96" s="49" t="n">
        <f aca="false">AP94+AP95</f>
        <v>-1177.60153927476</v>
      </c>
      <c r="AQ96" s="49" t="n">
        <f aca="false">AQ94+AQ95</f>
        <v>-1177.60153927476</v>
      </c>
      <c r="AR96" s="49" t="n">
        <f aca="false">AR94+AR95</f>
        <v>-1177.60153927476</v>
      </c>
      <c r="AS96" s="49" t="n">
        <f aca="false">AS94+AS95</f>
        <v>-1177.60153927476</v>
      </c>
      <c r="AT96" s="49" t="n">
        <f aca="false">AT94+AT95</f>
        <v>-1177.60153927476</v>
      </c>
      <c r="AU96" s="49" t="n">
        <f aca="false">AU94+AU95</f>
        <v>-1177.60153927476</v>
      </c>
      <c r="AV96" s="49" t="n">
        <f aca="false">AV94+AV95</f>
        <v>-1177.60153927476</v>
      </c>
      <c r="AW96" s="49" t="n">
        <f aca="false">AW94+AW95</f>
        <v>-1177.60153927476</v>
      </c>
      <c r="AX96" s="49" t="n">
        <f aca="false">AX94+AX95</f>
        <v>-1177.60153927476</v>
      </c>
      <c r="AY96" s="49" t="n">
        <f aca="false">AY94+AY95</f>
        <v>-1177.60153927476</v>
      </c>
      <c r="AZ96" s="49" t="n">
        <f aca="false">AZ94+AZ95</f>
        <v>-1177.60153927476</v>
      </c>
      <c r="BA96" s="49" t="n">
        <f aca="false">BA94+BA95</f>
        <v>-1177.60153927476</v>
      </c>
      <c r="BB96" s="49" t="n">
        <f aca="false">BB94+BB95</f>
        <v>-1177.60153927476</v>
      </c>
      <c r="BC96" s="49" t="n">
        <f aca="false">BC94+BC95</f>
        <v>-1177.60153927476</v>
      </c>
      <c r="BD96" s="49" t="n">
        <f aca="false">BD94+BD95</f>
        <v>-1177.60153927476</v>
      </c>
      <c r="BE96" s="49" t="n">
        <f aca="false">BE94+BE95</f>
        <v>-1177.60153927476</v>
      </c>
      <c r="BF96" s="49" t="n">
        <f aca="false">BF94+BF95</f>
        <v>-1177.60153927476</v>
      </c>
      <c r="BG96" s="49" t="n">
        <f aca="false">BG94+BG95</f>
        <v>-1177.60153927476</v>
      </c>
      <c r="BH96" s="49" t="n">
        <f aca="false">BH94+BH95</f>
        <v>-1177.60153927476</v>
      </c>
      <c r="BI96" s="49" t="n">
        <f aca="false">BI94+BI95</f>
        <v>-1177.60153927476</v>
      </c>
      <c r="BJ96" s="49" t="n">
        <f aca="false">BJ94+BJ95</f>
        <v>-1177.60153927476</v>
      </c>
      <c r="BK96" s="49" t="n">
        <f aca="false">BK94+BK95</f>
        <v>-1177.60153927476</v>
      </c>
      <c r="BL96" s="49" t="n">
        <f aca="false">BL94+BL95</f>
        <v>-1177.60153927476</v>
      </c>
      <c r="BM96" s="49" t="n">
        <f aca="false">BM94+BM95</f>
        <v>-1177.60153927476</v>
      </c>
      <c r="BN96" s="49" t="n">
        <f aca="false">BN94+BN95</f>
        <v>-1177.60153927476</v>
      </c>
      <c r="BO96" s="49" t="n">
        <f aca="false">BO94+BO95</f>
        <v>-1177.60153927476</v>
      </c>
      <c r="BP96" s="49" t="n">
        <f aca="false">BP94+BP95</f>
        <v>-1177.60153927476</v>
      </c>
      <c r="BQ96" s="49" t="n">
        <f aca="false">BQ94+BQ95</f>
        <v>-1177.60153927476</v>
      </c>
      <c r="BR96" s="49" t="n">
        <f aca="false">BR94+BR95</f>
        <v>-1177.60153927476</v>
      </c>
      <c r="BS96" s="49" t="n">
        <f aca="false">BS94+BS95</f>
        <v>-1177.60153927476</v>
      </c>
      <c r="BT96" s="49" t="n">
        <f aca="false">BT94+BT95</f>
        <v>-1177.60153927476</v>
      </c>
      <c r="BU96" s="49" t="n">
        <f aca="false">BU94+BU95</f>
        <v>-1177.60153927476</v>
      </c>
      <c r="BV96" s="49" t="n">
        <f aca="false">BV94+BV95</f>
        <v>-1177.60153927476</v>
      </c>
      <c r="BW96" s="49" t="n">
        <f aca="false">BW94+BW95</f>
        <v>-1177.60153927476</v>
      </c>
      <c r="BX96" s="49" t="n">
        <f aca="false">BX94+BX95</f>
        <v>-1177.60153927476</v>
      </c>
      <c r="BY96" s="49" t="n">
        <f aca="false">BY94+BY95</f>
        <v>-1177.60153927476</v>
      </c>
      <c r="BZ96" s="49" t="n">
        <f aca="false">BZ94+BZ95</f>
        <v>-1177.60153927476</v>
      </c>
      <c r="CA96" s="49" t="n">
        <f aca="false">CA94+CA95</f>
        <v>-1177.60153927476</v>
      </c>
      <c r="CB96" s="49" t="n">
        <f aca="false">CB94+CB95</f>
        <v>-1177.60153927476</v>
      </c>
      <c r="CC96" s="49" t="n">
        <f aca="false">CC94+CC95</f>
        <v>-1177.60153927476</v>
      </c>
      <c r="CD96" s="49" t="n">
        <f aca="false">CD94+CD95</f>
        <v>-1177.60153927476</v>
      </c>
      <c r="CE96" s="49" t="n">
        <f aca="false">CE94+CE95</f>
        <v>-1177.60153927476</v>
      </c>
      <c r="CF96" s="49" t="n">
        <f aca="false">CF94+CF95</f>
        <v>-1177.60153927476</v>
      </c>
      <c r="CG96" s="49" t="n">
        <f aca="false">CG94+CG95</f>
        <v>-1177.60153927475</v>
      </c>
      <c r="CH96" s="49" t="n">
        <f aca="false">CH94+CH95</f>
        <v>-0</v>
      </c>
      <c r="CI96" s="49" t="n">
        <f aca="false">CI94+CI95</f>
        <v>-0</v>
      </c>
      <c r="CJ96" s="49" t="n">
        <f aca="false">CJ94+CJ95</f>
        <v>-0</v>
      </c>
      <c r="CK96" s="49" t="n">
        <f aca="false">CK94+CK95</f>
        <v>-0</v>
      </c>
      <c r="CL96" s="49" t="n">
        <f aca="false">CL94+CL95</f>
        <v>-0</v>
      </c>
      <c r="CM96" s="49" t="n">
        <f aca="false">CM94+CM95</f>
        <v>-0</v>
      </c>
      <c r="CN96" s="49" t="n">
        <f aca="false">CN94+CN95</f>
        <v>-0</v>
      </c>
      <c r="CO96" s="49" t="n">
        <f aca="false">CO94+CO95</f>
        <v>-0</v>
      </c>
      <c r="CP96" s="49" t="n">
        <f aca="false">CP94+CP95</f>
        <v>-0</v>
      </c>
      <c r="CQ96" s="49" t="n">
        <f aca="false">CQ94+CQ95</f>
        <v>-0</v>
      </c>
      <c r="CR96" s="49" t="n">
        <f aca="false">CR94+CR95</f>
        <v>-0</v>
      </c>
      <c r="CS96" s="49" t="n">
        <f aca="false">CS94+CS95</f>
        <v>-0</v>
      </c>
      <c r="CT96" s="49" t="n">
        <f aca="false">CT94+CT95</f>
        <v>-0</v>
      </c>
      <c r="CU96" s="49" t="n">
        <f aca="false">CU94+CU95</f>
        <v>-0</v>
      </c>
      <c r="CV96" s="49" t="n">
        <f aca="false">CV94+CV95</f>
        <v>-0</v>
      </c>
      <c r="CW96" s="49" t="n">
        <f aca="false">CW94+CW95</f>
        <v>-0</v>
      </c>
      <c r="CX96" s="49" t="n">
        <f aca="false">CX94+CX95</f>
        <v>-0</v>
      </c>
      <c r="CY96" s="49" t="n">
        <f aca="false">CY94+CY95</f>
        <v>-0</v>
      </c>
      <c r="CZ96" s="49" t="n">
        <f aca="false">CZ94+CZ95</f>
        <v>-0</v>
      </c>
      <c r="DA96" s="49" t="n">
        <f aca="false">DA94+DA95</f>
        <v>-0</v>
      </c>
      <c r="DB96" s="49" t="n">
        <f aca="false">DB94+DB95</f>
        <v>-0</v>
      </c>
      <c r="DC96" s="49" t="n">
        <f aca="false">DC94+DC95</f>
        <v>-0</v>
      </c>
      <c r="DD96" s="49" t="n">
        <f aca="false">DD94+DD95</f>
        <v>-0</v>
      </c>
      <c r="DE96" s="49" t="n">
        <f aca="false">DE94+DE95</f>
        <v>-0</v>
      </c>
      <c r="DF96" s="49" t="n">
        <f aca="false">DF94+DF95</f>
        <v>-0</v>
      </c>
      <c r="DG96" s="49" t="n">
        <f aca="false">DG94+DG95</f>
        <v>-0</v>
      </c>
      <c r="DH96" s="49" t="n">
        <f aca="false">DH94+DH95</f>
        <v>-0</v>
      </c>
      <c r="DI96" s="49" t="n">
        <f aca="false">DI94+DI95</f>
        <v>-0</v>
      </c>
      <c r="DJ96" s="49" t="n">
        <f aca="false">DJ94+DJ95</f>
        <v>-0</v>
      </c>
      <c r="DK96" s="49" t="n">
        <f aca="false">DK94+DK95</f>
        <v>-0</v>
      </c>
      <c r="DL96" s="49" t="n">
        <f aca="false">DL94+DL95</f>
        <v>-0</v>
      </c>
      <c r="DM96" s="49" t="n">
        <f aca="false">DM94+DM95</f>
        <v>-0</v>
      </c>
      <c r="DN96" s="49" t="n">
        <f aca="false">DN94+DN95</f>
        <v>-0</v>
      </c>
      <c r="DO96" s="49" t="n">
        <f aca="false">DO94+DO95</f>
        <v>-0</v>
      </c>
      <c r="DP96" s="49" t="n">
        <f aca="false">DP94+DP95</f>
        <v>-0</v>
      </c>
      <c r="DQ96" s="49" t="n">
        <f aca="false">DQ94+DQ95</f>
        <v>-0</v>
      </c>
      <c r="DR96" s="49" t="n">
        <f aca="false">DR94+DR95</f>
        <v>-0</v>
      </c>
      <c r="DS96" s="49" t="n">
        <f aca="false">DS94+DS95</f>
        <v>-0</v>
      </c>
      <c r="DT96" s="49" t="n">
        <f aca="false">DT94+DT95</f>
        <v>-0</v>
      </c>
      <c r="DU96" s="49" t="n">
        <f aca="false">DU94+DU95</f>
        <v>-0</v>
      </c>
      <c r="DV96" s="49" t="n">
        <f aca="false">DV94+DV95</f>
        <v>-0</v>
      </c>
      <c r="DW96" s="49" t="n">
        <f aca="false">DW94+DW95</f>
        <v>-0</v>
      </c>
      <c r="DX96" s="49" t="n">
        <f aca="false">DX94+DX95</f>
        <v>-0</v>
      </c>
      <c r="DY96" s="49" t="n">
        <f aca="false">DY94+DY95</f>
        <v>-0</v>
      </c>
      <c r="DZ96" s="49" t="n">
        <f aca="false">DZ94+DZ95</f>
        <v>-0</v>
      </c>
      <c r="EA96" s="49" t="n">
        <f aca="false">EA94+EA95</f>
        <v>-0</v>
      </c>
      <c r="EB96" s="49" t="n">
        <f aca="false">EB94+EB95</f>
        <v>-0</v>
      </c>
      <c r="EC96" s="49" t="n">
        <f aca="false">EC94+EC95</f>
        <v>-0</v>
      </c>
      <c r="ED96" s="49" t="n">
        <f aca="false">ED94+ED95</f>
        <v>-0</v>
      </c>
      <c r="EE96" s="49" t="n">
        <f aca="false">EE94+EE95</f>
        <v>-0</v>
      </c>
      <c r="EF96" s="49" t="n">
        <f aca="false">EF94+EF95</f>
        <v>-0</v>
      </c>
      <c r="EG96" s="49" t="n">
        <f aca="false">EG94+EG95</f>
        <v>-0</v>
      </c>
      <c r="EH96" s="49" t="n">
        <f aca="false">EH94+EH95</f>
        <v>-0</v>
      </c>
      <c r="EI96" s="49" t="n">
        <f aca="false">EI94+EI95</f>
        <v>-0</v>
      </c>
      <c r="EJ96" s="49" t="n">
        <f aca="false">EJ94+EJ95</f>
        <v>-0</v>
      </c>
      <c r="EK96" s="49" t="n">
        <f aca="false">EK94+EK95</f>
        <v>-0</v>
      </c>
      <c r="EL96" s="49" t="n">
        <f aca="false">EL94+EL95</f>
        <v>-0</v>
      </c>
      <c r="EM96" s="49" t="n">
        <f aca="false">EM94+EM95</f>
        <v>-0</v>
      </c>
      <c r="EN96" s="49" t="n">
        <f aca="false">EN94+EN95</f>
        <v>-0</v>
      </c>
      <c r="EO96" s="49" t="n">
        <f aca="false">EO94+EO95</f>
        <v>-0</v>
      </c>
    </row>
    <row r="97" customFormat="false" ht="15" hidden="false" customHeight="false" outlineLevel="0" collapsed="false">
      <c r="C97" s="1" t="s">
        <v>485</v>
      </c>
      <c r="D97" s="12" t="s">
        <v>33</v>
      </c>
      <c r="I97" s="49" t="n">
        <f aca="false">SUM(J97:EO97)</f>
        <v>0</v>
      </c>
      <c r="J97" s="49" t="n">
        <f aca="false">-MIN(I103+J95,In_Sweep*MAX(0,J87+J96))*(J$4&gt;In_COD)</f>
        <v>0</v>
      </c>
      <c r="K97" s="49" t="n">
        <f aca="false">-MIN(J103+K95,In_Sweep*MAX(0,K87+K96))*(K$4&gt;In_COD)</f>
        <v>0</v>
      </c>
      <c r="L97" s="49" t="n">
        <f aca="false">-MIN(K103+L95,In_Sweep*MAX(0,L87+L96))*(L$4&gt;In_COD)</f>
        <v>0</v>
      </c>
      <c r="M97" s="49" t="n">
        <f aca="false">-MIN(L103+M95,In_Sweep*MAX(0,M87+M96))*(M$4&gt;In_COD)</f>
        <v>0</v>
      </c>
      <c r="N97" s="49" t="n">
        <f aca="false">-MIN(M103+N95,In_Sweep*MAX(0,N87+N96))*(N$4&gt;In_COD)</f>
        <v>0</v>
      </c>
      <c r="O97" s="49" t="n">
        <f aca="false">-MIN(N103+O95,In_Sweep*MAX(0,O87+O96))*(O$4&gt;In_COD)</f>
        <v>0</v>
      </c>
      <c r="P97" s="49" t="n">
        <f aca="false">-MIN(O103+P95,In_Sweep*MAX(0,P87+P96))*(P$4&gt;In_COD)</f>
        <v>0</v>
      </c>
      <c r="Q97" s="49" t="n">
        <f aca="false">-MIN(P103+Q95,In_Sweep*MAX(0,Q87+Q96))*(Q$4&gt;In_COD)</f>
        <v>0</v>
      </c>
      <c r="R97" s="49" t="n">
        <f aca="false">-MIN(Q103+R95,In_Sweep*MAX(0,R87+R96))*(R$4&gt;In_COD)</f>
        <v>0</v>
      </c>
      <c r="S97" s="49" t="n">
        <f aca="false">-MIN(R103+S95,In_Sweep*MAX(0,S87+S96))*(S$4&gt;In_COD)</f>
        <v>0</v>
      </c>
      <c r="T97" s="49" t="n">
        <f aca="false">-MIN(S103+T95,In_Sweep*MAX(0,T87+T96))*(T$4&gt;In_COD)</f>
        <v>0</v>
      </c>
      <c r="U97" s="49" t="n">
        <f aca="false">-MIN(T103+U95,In_Sweep*MAX(0,U87+U96))*(U$4&gt;In_COD)</f>
        <v>0</v>
      </c>
      <c r="V97" s="49" t="n">
        <f aca="false">-MIN(U103+V95,In_Sweep*MAX(0,V87+V96))*(V$4&gt;In_COD)</f>
        <v>0</v>
      </c>
      <c r="W97" s="49" t="n">
        <f aca="false">-MIN(V103+W95,In_Sweep*MAX(0,W87+W96))*(W$4&gt;In_COD)</f>
        <v>0</v>
      </c>
      <c r="X97" s="49" t="n">
        <f aca="false">-MIN(W103+X95,In_Sweep*MAX(0,X87+X96))*(X$4&gt;In_COD)</f>
        <v>0</v>
      </c>
      <c r="Y97" s="49" t="n">
        <f aca="false">-MIN(X103+Y95,In_Sweep*MAX(0,Y87+Y96))*(Y$4&gt;In_COD)</f>
        <v>0</v>
      </c>
      <c r="Z97" s="49" t="n">
        <f aca="false">-MIN(Y103+Z95,In_Sweep*MAX(0,Z87+Z96))*(Z$4&gt;In_COD)</f>
        <v>-0</v>
      </c>
      <c r="AA97" s="49" t="n">
        <f aca="false">-MIN(Z103+AA95,In_Sweep*MAX(0,AA87+AA96))*(AA$4&gt;In_COD)</f>
        <v>-0</v>
      </c>
      <c r="AB97" s="49" t="n">
        <f aca="false">-MIN(AA103+AB95,In_Sweep*MAX(0,AB87+AB96))*(AB$4&gt;In_COD)</f>
        <v>-0</v>
      </c>
      <c r="AC97" s="49" t="n">
        <f aca="false">-MIN(AB103+AC95,In_Sweep*MAX(0,AC87+AC96))*(AC$4&gt;In_COD)</f>
        <v>-0</v>
      </c>
      <c r="AD97" s="49" t="n">
        <f aca="false">-MIN(AC103+AD95,In_Sweep*MAX(0,AD87+AD96))*(AD$4&gt;In_COD)</f>
        <v>-0</v>
      </c>
      <c r="AE97" s="49" t="n">
        <f aca="false">-MIN(AD103+AE95,In_Sweep*MAX(0,AE87+AE96))*(AE$4&gt;In_COD)</f>
        <v>-0</v>
      </c>
      <c r="AF97" s="49" t="n">
        <f aca="false">-MIN(AE103+AF95,In_Sweep*MAX(0,AF87+AF96))*(AF$4&gt;In_COD)</f>
        <v>-0</v>
      </c>
      <c r="AG97" s="49" t="n">
        <f aca="false">-MIN(AF103+AG95,In_Sweep*MAX(0,AG87+AG96))*(AG$4&gt;In_COD)</f>
        <v>-0</v>
      </c>
      <c r="AH97" s="49" t="n">
        <f aca="false">-MIN(AG103+AH95,In_Sweep*MAX(0,AH87+AH96))*(AH$4&gt;In_COD)</f>
        <v>-0</v>
      </c>
      <c r="AI97" s="49" t="n">
        <f aca="false">-MIN(AH103+AI95,In_Sweep*MAX(0,AI87+AI96))*(AI$4&gt;In_COD)</f>
        <v>-0</v>
      </c>
      <c r="AJ97" s="49" t="n">
        <f aca="false">-MIN(AI103+AJ95,In_Sweep*MAX(0,AJ87+AJ96))*(AJ$4&gt;In_COD)</f>
        <v>-0</v>
      </c>
      <c r="AK97" s="49" t="n">
        <f aca="false">-MIN(AJ103+AK95,In_Sweep*MAX(0,AK87+AK96))*(AK$4&gt;In_COD)</f>
        <v>-0</v>
      </c>
      <c r="AL97" s="49" t="n">
        <f aca="false">-MIN(AK103+AL95,In_Sweep*MAX(0,AL87+AL96))*(AL$4&gt;In_COD)</f>
        <v>-0</v>
      </c>
      <c r="AM97" s="49" t="n">
        <f aca="false">-MIN(AL103+AM95,In_Sweep*MAX(0,AM87+AM96))*(AM$4&gt;In_COD)</f>
        <v>-0</v>
      </c>
      <c r="AN97" s="49" t="n">
        <f aca="false">-MIN(AM103+AN95,In_Sweep*MAX(0,AN87+AN96))*(AN$4&gt;In_COD)</f>
        <v>-0</v>
      </c>
      <c r="AO97" s="49" t="n">
        <f aca="false">-MIN(AN103+AO95,In_Sweep*MAX(0,AO87+AO96))*(AO$4&gt;In_COD)</f>
        <v>-0</v>
      </c>
      <c r="AP97" s="49" t="n">
        <f aca="false">-MIN(AO103+AP95,In_Sweep*MAX(0,AP87+AP96))*(AP$4&gt;In_COD)</f>
        <v>-0</v>
      </c>
      <c r="AQ97" s="49" t="n">
        <f aca="false">-MIN(AP103+AQ95,In_Sweep*MAX(0,AQ87+AQ96))*(AQ$4&gt;In_COD)</f>
        <v>-0</v>
      </c>
      <c r="AR97" s="49" t="n">
        <f aca="false">-MIN(AQ103+AR95,In_Sweep*MAX(0,AR87+AR96))*(AR$4&gt;In_COD)</f>
        <v>-0</v>
      </c>
      <c r="AS97" s="49" t="n">
        <f aca="false">-MIN(AR103+AS95,In_Sweep*MAX(0,AS87+AS96))*(AS$4&gt;In_COD)</f>
        <v>-0</v>
      </c>
      <c r="AT97" s="49" t="n">
        <f aca="false">-MIN(AS103+AT95,In_Sweep*MAX(0,AT87+AT96))*(AT$4&gt;In_COD)</f>
        <v>-0</v>
      </c>
      <c r="AU97" s="49" t="n">
        <f aca="false">-MIN(AT103+AU95,In_Sweep*MAX(0,AU87+AU96))*(AU$4&gt;In_COD)</f>
        <v>-0</v>
      </c>
      <c r="AV97" s="49" t="n">
        <f aca="false">-MIN(AU103+AV95,In_Sweep*MAX(0,AV87+AV96))*(AV$4&gt;In_COD)</f>
        <v>-0</v>
      </c>
      <c r="AW97" s="49" t="n">
        <f aca="false">-MIN(AV103+AW95,In_Sweep*MAX(0,AW87+AW96))*(AW$4&gt;In_COD)</f>
        <v>-0</v>
      </c>
      <c r="AX97" s="49" t="n">
        <f aca="false">-MIN(AW103+AX95,In_Sweep*MAX(0,AX87+AX96))*(AX$4&gt;In_COD)</f>
        <v>-0</v>
      </c>
      <c r="AY97" s="49" t="n">
        <f aca="false">-MIN(AX103+AY95,In_Sweep*MAX(0,AY87+AY96))*(AY$4&gt;In_COD)</f>
        <v>-0</v>
      </c>
      <c r="AZ97" s="49" t="n">
        <f aca="false">-MIN(AY103+AZ95,In_Sweep*MAX(0,AZ87+AZ96))*(AZ$4&gt;In_COD)</f>
        <v>-0</v>
      </c>
      <c r="BA97" s="49" t="n">
        <f aca="false">-MIN(AZ103+BA95,In_Sweep*MAX(0,BA87+BA96))*(BA$4&gt;In_COD)</f>
        <v>-0</v>
      </c>
      <c r="BB97" s="49" t="n">
        <f aca="false">-MIN(BA103+BB95,In_Sweep*MAX(0,BB87+BB96))*(BB$4&gt;In_COD)</f>
        <v>-0</v>
      </c>
      <c r="BC97" s="49" t="n">
        <f aca="false">-MIN(BB103+BC95,In_Sweep*MAX(0,BC87+BC96))*(BC$4&gt;In_COD)</f>
        <v>-0</v>
      </c>
      <c r="BD97" s="49" t="n">
        <f aca="false">-MIN(BC103+BD95,In_Sweep*MAX(0,BD87+BD96))*(BD$4&gt;In_COD)</f>
        <v>-0</v>
      </c>
      <c r="BE97" s="49" t="n">
        <f aca="false">-MIN(BD103+BE95,In_Sweep*MAX(0,BE87+BE96))*(BE$4&gt;In_COD)</f>
        <v>-0</v>
      </c>
      <c r="BF97" s="49" t="n">
        <f aca="false">-MIN(BE103+BF95,In_Sweep*MAX(0,BF87+BF96))*(BF$4&gt;In_COD)</f>
        <v>-0</v>
      </c>
      <c r="BG97" s="49" t="n">
        <f aca="false">-MIN(BF103+BG95,In_Sweep*MAX(0,BG87+BG96))*(BG$4&gt;In_COD)</f>
        <v>-0</v>
      </c>
      <c r="BH97" s="49" t="n">
        <f aca="false">-MIN(BG103+BH95,In_Sweep*MAX(0,BH87+BH96))*(BH$4&gt;In_COD)</f>
        <v>-0</v>
      </c>
      <c r="BI97" s="49" t="n">
        <f aca="false">-MIN(BH103+BI95,In_Sweep*MAX(0,BI87+BI96))*(BI$4&gt;In_COD)</f>
        <v>-0</v>
      </c>
      <c r="BJ97" s="49" t="n">
        <f aca="false">-MIN(BI103+BJ95,In_Sweep*MAX(0,BJ87+BJ96))*(BJ$4&gt;In_COD)</f>
        <v>-0</v>
      </c>
      <c r="BK97" s="49" t="n">
        <f aca="false">-MIN(BJ103+BK95,In_Sweep*MAX(0,BK87+BK96))*(BK$4&gt;In_COD)</f>
        <v>-0</v>
      </c>
      <c r="BL97" s="49" t="n">
        <f aca="false">-MIN(BK103+BL95,In_Sweep*MAX(0,BL87+BL96))*(BL$4&gt;In_COD)</f>
        <v>-0</v>
      </c>
      <c r="BM97" s="49" t="n">
        <f aca="false">-MIN(BL103+BM95,In_Sweep*MAX(0,BM87+BM96))*(BM$4&gt;In_COD)</f>
        <v>-0</v>
      </c>
      <c r="BN97" s="49" t="n">
        <f aca="false">-MIN(BM103+BN95,In_Sweep*MAX(0,BN87+BN96))*(BN$4&gt;In_COD)</f>
        <v>-0</v>
      </c>
      <c r="BO97" s="49" t="n">
        <f aca="false">-MIN(BN103+BO95,In_Sweep*MAX(0,BO87+BO96))*(BO$4&gt;In_COD)</f>
        <v>-0</v>
      </c>
      <c r="BP97" s="49" t="n">
        <f aca="false">-MIN(BO103+BP95,In_Sweep*MAX(0,BP87+BP96))*(BP$4&gt;In_COD)</f>
        <v>-0</v>
      </c>
      <c r="BQ97" s="49" t="n">
        <f aca="false">-MIN(BP103+BQ95,In_Sweep*MAX(0,BQ87+BQ96))*(BQ$4&gt;In_COD)</f>
        <v>-0</v>
      </c>
      <c r="BR97" s="49" t="n">
        <f aca="false">-MIN(BQ103+BR95,In_Sweep*MAX(0,BR87+BR96))*(BR$4&gt;In_COD)</f>
        <v>-0</v>
      </c>
      <c r="BS97" s="49" t="n">
        <f aca="false">-MIN(BR103+BS95,In_Sweep*MAX(0,BS87+BS96))*(BS$4&gt;In_COD)</f>
        <v>-0</v>
      </c>
      <c r="BT97" s="49" t="n">
        <f aca="false">-MIN(BS103+BT95,In_Sweep*MAX(0,BT87+BT96))*(BT$4&gt;In_COD)</f>
        <v>-0</v>
      </c>
      <c r="BU97" s="49" t="n">
        <f aca="false">-MIN(BT103+BU95,In_Sweep*MAX(0,BU87+BU96))*(BU$4&gt;In_COD)</f>
        <v>-0</v>
      </c>
      <c r="BV97" s="49" t="n">
        <f aca="false">-MIN(BU103+BV95,In_Sweep*MAX(0,BV87+BV96))*(BV$4&gt;In_COD)</f>
        <v>-0</v>
      </c>
      <c r="BW97" s="49" t="n">
        <f aca="false">-MIN(BV103+BW95,In_Sweep*MAX(0,BW87+BW96))*(BW$4&gt;In_COD)</f>
        <v>-0</v>
      </c>
      <c r="BX97" s="49" t="n">
        <f aca="false">-MIN(BW103+BX95,In_Sweep*MAX(0,BX87+BX96))*(BX$4&gt;In_COD)</f>
        <v>-0</v>
      </c>
      <c r="BY97" s="49" t="n">
        <f aca="false">-MIN(BX103+BY95,In_Sweep*MAX(0,BY87+BY96))*(BY$4&gt;In_COD)</f>
        <v>-0</v>
      </c>
      <c r="BZ97" s="49" t="n">
        <f aca="false">-MIN(BY103+BZ95,In_Sweep*MAX(0,BZ87+BZ96))*(BZ$4&gt;In_COD)</f>
        <v>-0</v>
      </c>
      <c r="CA97" s="49" t="n">
        <f aca="false">-MIN(BZ103+CA95,In_Sweep*MAX(0,CA87+CA96))*(CA$4&gt;In_COD)</f>
        <v>-0</v>
      </c>
      <c r="CB97" s="49" t="n">
        <f aca="false">-MIN(CA103+CB95,In_Sweep*MAX(0,CB87+CB96))*(CB$4&gt;In_COD)</f>
        <v>-0</v>
      </c>
      <c r="CC97" s="49" t="n">
        <f aca="false">-MIN(CB103+CC95,In_Sweep*MAX(0,CC87+CC96))*(CC$4&gt;In_COD)</f>
        <v>-0</v>
      </c>
      <c r="CD97" s="49" t="n">
        <f aca="false">-MIN(CC103+CD95,In_Sweep*MAX(0,CD87+CD96))*(CD$4&gt;In_COD)</f>
        <v>-0</v>
      </c>
      <c r="CE97" s="49" t="n">
        <f aca="false">-MIN(CD103+CE95,In_Sweep*MAX(0,CE87+CE96))*(CE$4&gt;In_COD)</f>
        <v>-0</v>
      </c>
      <c r="CF97" s="49" t="n">
        <f aca="false">-MIN(CE103+CF95,In_Sweep*MAX(0,CF87+CF96))*(CF$4&gt;In_COD)</f>
        <v>-0</v>
      </c>
      <c r="CG97" s="49" t="n">
        <f aca="false">-MIN(CF103+CG95,In_Sweep*MAX(0,CG87+CG96))*(CG$4&gt;In_COD)</f>
        <v>-0</v>
      </c>
      <c r="CH97" s="49" t="n">
        <f aca="false">-MIN(CG103+CH95,In_Sweep*MAX(0,CH87+CH96))*(CH$4&gt;In_COD)</f>
        <v>-0</v>
      </c>
      <c r="CI97" s="49" t="n">
        <f aca="false">-MIN(CH103+CI95,In_Sweep*MAX(0,CI87+CI96))*(CI$4&gt;In_COD)</f>
        <v>-0</v>
      </c>
      <c r="CJ97" s="49" t="n">
        <f aca="false">-MIN(CI103+CJ95,In_Sweep*MAX(0,CJ87+CJ96))*(CJ$4&gt;In_COD)</f>
        <v>-0</v>
      </c>
      <c r="CK97" s="49" t="n">
        <f aca="false">-MIN(CJ103+CK95,In_Sweep*MAX(0,CK87+CK96))*(CK$4&gt;In_COD)</f>
        <v>-0</v>
      </c>
      <c r="CL97" s="49" t="n">
        <f aca="false">-MIN(CK103+CL95,In_Sweep*MAX(0,CL87+CL96))*(CL$4&gt;In_COD)</f>
        <v>-0</v>
      </c>
      <c r="CM97" s="49" t="n">
        <f aca="false">-MIN(CL103+CM95,In_Sweep*MAX(0,CM87+CM96))*(CM$4&gt;In_COD)</f>
        <v>-0</v>
      </c>
      <c r="CN97" s="49" t="n">
        <f aca="false">-MIN(CM103+CN95,In_Sweep*MAX(0,CN87+CN96))*(CN$4&gt;In_COD)</f>
        <v>-0</v>
      </c>
      <c r="CO97" s="49" t="n">
        <f aca="false">-MIN(CN103+CO95,In_Sweep*MAX(0,CO87+CO96))*(CO$4&gt;In_COD)</f>
        <v>-0</v>
      </c>
      <c r="CP97" s="49" t="n">
        <f aca="false">-MIN(CO103+CP95,In_Sweep*MAX(0,CP87+CP96))*(CP$4&gt;In_COD)</f>
        <v>-0</v>
      </c>
      <c r="CQ97" s="49" t="n">
        <f aca="false">-MIN(CP103+CQ95,In_Sweep*MAX(0,CQ87+CQ96))*(CQ$4&gt;In_COD)</f>
        <v>-0</v>
      </c>
      <c r="CR97" s="49" t="n">
        <f aca="false">-MIN(CQ103+CR95,In_Sweep*MAX(0,CR87+CR96))*(CR$4&gt;In_COD)</f>
        <v>-0</v>
      </c>
      <c r="CS97" s="49" t="n">
        <f aca="false">-MIN(CR103+CS95,In_Sweep*MAX(0,CS87+CS96))*(CS$4&gt;In_COD)</f>
        <v>-0</v>
      </c>
      <c r="CT97" s="49" t="n">
        <f aca="false">-MIN(CS103+CT95,In_Sweep*MAX(0,CT87+CT96))*(CT$4&gt;In_COD)</f>
        <v>-0</v>
      </c>
      <c r="CU97" s="49" t="n">
        <f aca="false">-MIN(CT103+CU95,In_Sweep*MAX(0,CU87+CU96))*(CU$4&gt;In_COD)</f>
        <v>-0</v>
      </c>
      <c r="CV97" s="49" t="n">
        <f aca="false">-MIN(CU103+CV95,In_Sweep*MAX(0,CV87+CV96))*(CV$4&gt;In_COD)</f>
        <v>-0</v>
      </c>
      <c r="CW97" s="49" t="n">
        <f aca="false">-MIN(CV103+CW95,In_Sweep*MAX(0,CW87+CW96))*(CW$4&gt;In_COD)</f>
        <v>-0</v>
      </c>
      <c r="CX97" s="49" t="n">
        <f aca="false">-MIN(CW103+CX95,In_Sweep*MAX(0,CX87+CX96))*(CX$4&gt;In_COD)</f>
        <v>-0</v>
      </c>
      <c r="CY97" s="49" t="n">
        <f aca="false">-MIN(CX103+CY95,In_Sweep*MAX(0,CY87+CY96))*(CY$4&gt;In_COD)</f>
        <v>-0</v>
      </c>
      <c r="CZ97" s="49" t="n">
        <f aca="false">-MIN(CY103+CZ95,In_Sweep*MAX(0,CZ87+CZ96))*(CZ$4&gt;In_COD)</f>
        <v>-0</v>
      </c>
      <c r="DA97" s="49" t="n">
        <f aca="false">-MIN(CZ103+DA95,In_Sweep*MAX(0,DA87+DA96))*(DA$4&gt;In_COD)</f>
        <v>-0</v>
      </c>
      <c r="DB97" s="49" t="n">
        <f aca="false">-MIN(DA103+DB95,In_Sweep*MAX(0,DB87+DB96))*(DB$4&gt;In_COD)</f>
        <v>-0</v>
      </c>
      <c r="DC97" s="49" t="n">
        <f aca="false">-MIN(DB103+DC95,In_Sweep*MAX(0,DC87+DC96))*(DC$4&gt;In_COD)</f>
        <v>-0</v>
      </c>
      <c r="DD97" s="49" t="n">
        <f aca="false">-MIN(DC103+DD95,In_Sweep*MAX(0,DD87+DD96))*(DD$4&gt;In_COD)</f>
        <v>-0</v>
      </c>
      <c r="DE97" s="49" t="n">
        <f aca="false">-MIN(DD103+DE95,In_Sweep*MAX(0,DE87+DE96))*(DE$4&gt;In_COD)</f>
        <v>-0</v>
      </c>
      <c r="DF97" s="49" t="n">
        <f aca="false">-MIN(DE103+DF95,In_Sweep*MAX(0,DF87+DF96))*(DF$4&gt;In_COD)</f>
        <v>-0</v>
      </c>
      <c r="DG97" s="49" t="n">
        <f aca="false">-MIN(DF103+DG95,In_Sweep*MAX(0,DG87+DG96))*(DG$4&gt;In_COD)</f>
        <v>-0</v>
      </c>
      <c r="DH97" s="49" t="n">
        <f aca="false">-MIN(DG103+DH95,In_Sweep*MAX(0,DH87+DH96))*(DH$4&gt;In_COD)</f>
        <v>-0</v>
      </c>
      <c r="DI97" s="49" t="n">
        <f aca="false">-MIN(DH103+DI95,In_Sweep*MAX(0,DI87+DI96))*(DI$4&gt;In_COD)</f>
        <v>-0</v>
      </c>
      <c r="DJ97" s="49" t="n">
        <f aca="false">-MIN(DI103+DJ95,In_Sweep*MAX(0,DJ87+DJ96))*(DJ$4&gt;In_COD)</f>
        <v>-0</v>
      </c>
      <c r="DK97" s="49" t="n">
        <f aca="false">-MIN(DJ103+DK95,In_Sweep*MAX(0,DK87+DK96))*(DK$4&gt;In_COD)</f>
        <v>-0</v>
      </c>
      <c r="DL97" s="49" t="n">
        <f aca="false">-MIN(DK103+DL95,In_Sweep*MAX(0,DL87+DL96))*(DL$4&gt;In_COD)</f>
        <v>-0</v>
      </c>
      <c r="DM97" s="49" t="n">
        <f aca="false">-MIN(DL103+DM95,In_Sweep*MAX(0,DM87+DM96))*(DM$4&gt;In_COD)</f>
        <v>-0</v>
      </c>
      <c r="DN97" s="49" t="n">
        <f aca="false">-MIN(DM103+DN95,In_Sweep*MAX(0,DN87+DN96))*(DN$4&gt;In_COD)</f>
        <v>-0</v>
      </c>
      <c r="DO97" s="49" t="n">
        <f aca="false">-MIN(DN103+DO95,In_Sweep*MAX(0,DO87+DO96))*(DO$4&gt;In_COD)</f>
        <v>-0</v>
      </c>
      <c r="DP97" s="49" t="n">
        <f aca="false">-MIN(DO103+DP95,In_Sweep*MAX(0,DP87+DP96))*(DP$4&gt;In_COD)</f>
        <v>-0</v>
      </c>
      <c r="DQ97" s="49" t="n">
        <f aca="false">-MIN(DP103+DQ95,In_Sweep*MAX(0,DQ87+DQ96))*(DQ$4&gt;In_COD)</f>
        <v>-0</v>
      </c>
      <c r="DR97" s="49" t="n">
        <f aca="false">-MIN(DQ103+DR95,In_Sweep*MAX(0,DR87+DR96))*(DR$4&gt;In_COD)</f>
        <v>-0</v>
      </c>
      <c r="DS97" s="49" t="n">
        <f aca="false">-MIN(DR103+DS95,In_Sweep*MAX(0,DS87+DS96))*(DS$4&gt;In_COD)</f>
        <v>-0</v>
      </c>
      <c r="DT97" s="49" t="n">
        <f aca="false">-MIN(DS103+DT95,In_Sweep*MAX(0,DT87+DT96))*(DT$4&gt;In_COD)</f>
        <v>-0</v>
      </c>
      <c r="DU97" s="49" t="n">
        <f aca="false">-MIN(DT103+DU95,In_Sweep*MAX(0,DU87+DU96))*(DU$4&gt;In_COD)</f>
        <v>-0</v>
      </c>
      <c r="DV97" s="49" t="n">
        <f aca="false">-MIN(DU103+DV95,In_Sweep*MAX(0,DV87+DV96))*(DV$4&gt;In_COD)</f>
        <v>-0</v>
      </c>
      <c r="DW97" s="49" t="n">
        <f aca="false">-MIN(DV103+DW95,In_Sweep*MAX(0,DW87+DW96))*(DW$4&gt;In_COD)</f>
        <v>-0</v>
      </c>
      <c r="DX97" s="49" t="n">
        <f aca="false">-MIN(DW103+DX95,In_Sweep*MAX(0,DX87+DX96))*(DX$4&gt;In_COD)</f>
        <v>-0</v>
      </c>
      <c r="DY97" s="49" t="n">
        <f aca="false">-MIN(DX103+DY95,In_Sweep*MAX(0,DY87+DY96))*(DY$4&gt;In_COD)</f>
        <v>-0</v>
      </c>
      <c r="DZ97" s="49" t="n">
        <f aca="false">-MIN(DY103+DZ95,In_Sweep*MAX(0,DZ87+DZ96))*(DZ$4&gt;In_COD)</f>
        <v>-0</v>
      </c>
      <c r="EA97" s="49" t="n">
        <f aca="false">-MIN(DZ103+EA95,In_Sweep*MAX(0,EA87+EA96))*(EA$4&gt;In_COD)</f>
        <v>-0</v>
      </c>
      <c r="EB97" s="49" t="n">
        <f aca="false">-MIN(EA103+EB95,In_Sweep*MAX(0,EB87+EB96))*(EB$4&gt;In_COD)</f>
        <v>-0</v>
      </c>
      <c r="EC97" s="49" t="n">
        <f aca="false">-MIN(EB103+EC95,In_Sweep*MAX(0,EC87+EC96))*(EC$4&gt;In_COD)</f>
        <v>-0</v>
      </c>
      <c r="ED97" s="49" t="n">
        <f aca="false">-MIN(EC103+ED95,In_Sweep*MAX(0,ED87+ED96))*(ED$4&gt;In_COD)</f>
        <v>-0</v>
      </c>
      <c r="EE97" s="49" t="n">
        <f aca="false">-MIN(ED103+EE95,In_Sweep*MAX(0,EE87+EE96))*(EE$4&gt;In_COD)</f>
        <v>-0</v>
      </c>
      <c r="EF97" s="49" t="n">
        <f aca="false">-MIN(EE103+EF95,In_Sweep*MAX(0,EF87+EF96))*(EF$4&gt;In_COD)</f>
        <v>-0</v>
      </c>
      <c r="EG97" s="49" t="n">
        <f aca="false">-MIN(EF103+EG95,In_Sweep*MAX(0,EG87+EG96))*(EG$4&gt;In_COD)</f>
        <v>-0</v>
      </c>
      <c r="EH97" s="49" t="n">
        <f aca="false">-MIN(EG103+EH95,In_Sweep*MAX(0,EH87+EH96))*(EH$4&gt;In_COD)</f>
        <v>-0</v>
      </c>
      <c r="EI97" s="49" t="n">
        <f aca="false">-MIN(EH103+EI95,In_Sweep*MAX(0,EI87+EI96))*(EI$4&gt;In_COD)</f>
        <v>-0</v>
      </c>
      <c r="EJ97" s="49" t="n">
        <f aca="false">-MIN(EI103+EJ95,In_Sweep*MAX(0,EJ87+EJ96))*(EJ$4&gt;In_COD)</f>
        <v>-0</v>
      </c>
      <c r="EK97" s="49" t="n">
        <f aca="false">-MIN(EJ103+EK95,In_Sweep*MAX(0,EK87+EK96))*(EK$4&gt;In_COD)</f>
        <v>-0</v>
      </c>
      <c r="EL97" s="49" t="n">
        <f aca="false">-MIN(EK103+EL95,In_Sweep*MAX(0,EL87+EL96))*(EL$4&gt;In_COD)</f>
        <v>-0</v>
      </c>
      <c r="EM97" s="49" t="n">
        <f aca="false">-MIN(EL103+EM95,In_Sweep*MAX(0,EM87+EM96))*(EM$4&gt;In_COD)</f>
        <v>-0</v>
      </c>
      <c r="EN97" s="49" t="n">
        <f aca="false">-MIN(EM103+EN95,In_Sweep*MAX(0,EN87+EN96))*(EN$4&gt;In_COD)</f>
        <v>-0</v>
      </c>
      <c r="EO97" s="49" t="n">
        <f aca="false">-MIN(EN103+EO95,In_Sweep*MAX(0,EO87+EO96))*(EO$4&gt;In_COD)</f>
        <v>-0</v>
      </c>
    </row>
    <row r="98" customFormat="false" ht="15" hidden="false" customHeight="false" outlineLevel="0" collapsed="false">
      <c r="C98" s="1" t="s">
        <v>486</v>
      </c>
      <c r="D98" s="12" t="s">
        <v>33</v>
      </c>
      <c r="I98" s="49" t="n">
        <f aca="false">SUM(J98:EO98)</f>
        <v>-70656.0923564855</v>
      </c>
      <c r="J98" s="49" t="n">
        <f aca="false">J96+J97</f>
        <v>0</v>
      </c>
      <c r="K98" s="49" t="n">
        <f aca="false">K96+K97</f>
        <v>0</v>
      </c>
      <c r="L98" s="49" t="n">
        <f aca="false">L96+L97</f>
        <v>0</v>
      </c>
      <c r="M98" s="49" t="n">
        <f aca="false">M96+M97</f>
        <v>0</v>
      </c>
      <c r="N98" s="49" t="n">
        <f aca="false">N96+N97</f>
        <v>0</v>
      </c>
      <c r="O98" s="49" t="n">
        <f aca="false">O96+O97</f>
        <v>0</v>
      </c>
      <c r="P98" s="49" t="n">
        <f aca="false">P96+P97</f>
        <v>0</v>
      </c>
      <c r="Q98" s="49" t="n">
        <f aca="false">Q96+Q97</f>
        <v>0</v>
      </c>
      <c r="R98" s="49" t="n">
        <f aca="false">R96+R97</f>
        <v>0</v>
      </c>
      <c r="S98" s="49" t="n">
        <f aca="false">S96+S97</f>
        <v>0</v>
      </c>
      <c r="T98" s="49" t="n">
        <f aca="false">T96+T97</f>
        <v>0</v>
      </c>
      <c r="U98" s="49" t="n">
        <f aca="false">U96+U97</f>
        <v>0</v>
      </c>
      <c r="V98" s="49" t="n">
        <f aca="false">V96+V97</f>
        <v>0</v>
      </c>
      <c r="W98" s="49" t="n">
        <f aca="false">W96+W97</f>
        <v>0</v>
      </c>
      <c r="X98" s="49" t="n">
        <f aca="false">X96+X97</f>
        <v>0</v>
      </c>
      <c r="Y98" s="49" t="n">
        <f aca="false">Y96+Y97</f>
        <v>0</v>
      </c>
      <c r="Z98" s="49" t="n">
        <f aca="false">Z96+Z97</f>
        <v>-1177.60153927476</v>
      </c>
      <c r="AA98" s="49" t="n">
        <f aca="false">AA96+AA97</f>
        <v>-1177.60153927476</v>
      </c>
      <c r="AB98" s="49" t="n">
        <f aca="false">AB96+AB97</f>
        <v>-1177.60153927476</v>
      </c>
      <c r="AC98" s="49" t="n">
        <f aca="false">AC96+AC97</f>
        <v>-1177.60153927476</v>
      </c>
      <c r="AD98" s="49" t="n">
        <f aca="false">AD96+AD97</f>
        <v>-1177.60153927476</v>
      </c>
      <c r="AE98" s="49" t="n">
        <f aca="false">AE96+AE97</f>
        <v>-1177.60153927476</v>
      </c>
      <c r="AF98" s="49" t="n">
        <f aca="false">AF96+AF97</f>
        <v>-1177.60153927476</v>
      </c>
      <c r="AG98" s="49" t="n">
        <f aca="false">AG96+AG97</f>
        <v>-1177.60153927476</v>
      </c>
      <c r="AH98" s="49" t="n">
        <f aca="false">AH96+AH97</f>
        <v>-1177.60153927476</v>
      </c>
      <c r="AI98" s="49" t="n">
        <f aca="false">AI96+AI97</f>
        <v>-1177.60153927476</v>
      </c>
      <c r="AJ98" s="49" t="n">
        <f aca="false">AJ96+AJ97</f>
        <v>-1177.60153927476</v>
      </c>
      <c r="AK98" s="49" t="n">
        <f aca="false">AK96+AK97</f>
        <v>-1177.60153927476</v>
      </c>
      <c r="AL98" s="49" t="n">
        <f aca="false">AL96+AL97</f>
        <v>-1177.60153927476</v>
      </c>
      <c r="AM98" s="49" t="n">
        <f aca="false">AM96+AM97</f>
        <v>-1177.60153927476</v>
      </c>
      <c r="AN98" s="49" t="n">
        <f aca="false">AN96+AN97</f>
        <v>-1177.60153927476</v>
      </c>
      <c r="AO98" s="49" t="n">
        <f aca="false">AO96+AO97</f>
        <v>-1177.60153927476</v>
      </c>
      <c r="AP98" s="49" t="n">
        <f aca="false">AP96+AP97</f>
        <v>-1177.60153927476</v>
      </c>
      <c r="AQ98" s="49" t="n">
        <f aca="false">AQ96+AQ97</f>
        <v>-1177.60153927476</v>
      </c>
      <c r="AR98" s="49" t="n">
        <f aca="false">AR96+AR97</f>
        <v>-1177.60153927476</v>
      </c>
      <c r="AS98" s="49" t="n">
        <f aca="false">AS96+AS97</f>
        <v>-1177.60153927476</v>
      </c>
      <c r="AT98" s="49" t="n">
        <f aca="false">AT96+AT97</f>
        <v>-1177.60153927476</v>
      </c>
      <c r="AU98" s="49" t="n">
        <f aca="false">AU96+AU97</f>
        <v>-1177.60153927476</v>
      </c>
      <c r="AV98" s="49" t="n">
        <f aca="false">AV96+AV97</f>
        <v>-1177.60153927476</v>
      </c>
      <c r="AW98" s="49" t="n">
        <f aca="false">AW96+AW97</f>
        <v>-1177.60153927476</v>
      </c>
      <c r="AX98" s="49" t="n">
        <f aca="false">AX96+AX97</f>
        <v>-1177.60153927476</v>
      </c>
      <c r="AY98" s="49" t="n">
        <f aca="false">AY96+AY97</f>
        <v>-1177.60153927476</v>
      </c>
      <c r="AZ98" s="49" t="n">
        <f aca="false">AZ96+AZ97</f>
        <v>-1177.60153927476</v>
      </c>
      <c r="BA98" s="49" t="n">
        <f aca="false">BA96+BA97</f>
        <v>-1177.60153927476</v>
      </c>
      <c r="BB98" s="49" t="n">
        <f aca="false">BB96+BB97</f>
        <v>-1177.60153927476</v>
      </c>
      <c r="BC98" s="49" t="n">
        <f aca="false">BC96+BC97</f>
        <v>-1177.60153927476</v>
      </c>
      <c r="BD98" s="49" t="n">
        <f aca="false">BD96+BD97</f>
        <v>-1177.60153927476</v>
      </c>
      <c r="BE98" s="49" t="n">
        <f aca="false">BE96+BE97</f>
        <v>-1177.60153927476</v>
      </c>
      <c r="BF98" s="49" t="n">
        <f aca="false">BF96+BF97</f>
        <v>-1177.60153927476</v>
      </c>
      <c r="BG98" s="49" t="n">
        <f aca="false">BG96+BG97</f>
        <v>-1177.60153927476</v>
      </c>
      <c r="BH98" s="49" t="n">
        <f aca="false">BH96+BH97</f>
        <v>-1177.60153927476</v>
      </c>
      <c r="BI98" s="49" t="n">
        <f aca="false">BI96+BI97</f>
        <v>-1177.60153927476</v>
      </c>
      <c r="BJ98" s="49" t="n">
        <f aca="false">BJ96+BJ97</f>
        <v>-1177.60153927476</v>
      </c>
      <c r="BK98" s="49" t="n">
        <f aca="false">BK96+BK97</f>
        <v>-1177.60153927476</v>
      </c>
      <c r="BL98" s="49" t="n">
        <f aca="false">BL96+BL97</f>
        <v>-1177.60153927476</v>
      </c>
      <c r="BM98" s="49" t="n">
        <f aca="false">BM96+BM97</f>
        <v>-1177.60153927476</v>
      </c>
      <c r="BN98" s="49" t="n">
        <f aca="false">BN96+BN97</f>
        <v>-1177.60153927476</v>
      </c>
      <c r="BO98" s="49" t="n">
        <f aca="false">BO96+BO97</f>
        <v>-1177.60153927476</v>
      </c>
      <c r="BP98" s="49" t="n">
        <f aca="false">BP96+BP97</f>
        <v>-1177.60153927476</v>
      </c>
      <c r="BQ98" s="49" t="n">
        <f aca="false">BQ96+BQ97</f>
        <v>-1177.60153927476</v>
      </c>
      <c r="BR98" s="49" t="n">
        <f aca="false">BR96+BR97</f>
        <v>-1177.60153927476</v>
      </c>
      <c r="BS98" s="49" t="n">
        <f aca="false">BS96+BS97</f>
        <v>-1177.60153927476</v>
      </c>
      <c r="BT98" s="49" t="n">
        <f aca="false">BT96+BT97</f>
        <v>-1177.60153927476</v>
      </c>
      <c r="BU98" s="49" t="n">
        <f aca="false">BU96+BU97</f>
        <v>-1177.60153927476</v>
      </c>
      <c r="BV98" s="49" t="n">
        <f aca="false">BV96+BV97</f>
        <v>-1177.60153927476</v>
      </c>
      <c r="BW98" s="49" t="n">
        <f aca="false">BW96+BW97</f>
        <v>-1177.60153927476</v>
      </c>
      <c r="BX98" s="49" t="n">
        <f aca="false">BX96+BX97</f>
        <v>-1177.60153927476</v>
      </c>
      <c r="BY98" s="49" t="n">
        <f aca="false">BY96+BY97</f>
        <v>-1177.60153927476</v>
      </c>
      <c r="BZ98" s="49" t="n">
        <f aca="false">BZ96+BZ97</f>
        <v>-1177.60153927476</v>
      </c>
      <c r="CA98" s="49" t="n">
        <f aca="false">CA96+CA97</f>
        <v>-1177.60153927476</v>
      </c>
      <c r="CB98" s="49" t="n">
        <f aca="false">CB96+CB97</f>
        <v>-1177.60153927476</v>
      </c>
      <c r="CC98" s="49" t="n">
        <f aca="false">CC96+CC97</f>
        <v>-1177.60153927476</v>
      </c>
      <c r="CD98" s="49" t="n">
        <f aca="false">CD96+CD97</f>
        <v>-1177.60153927476</v>
      </c>
      <c r="CE98" s="49" t="n">
        <f aca="false">CE96+CE97</f>
        <v>-1177.60153927476</v>
      </c>
      <c r="CF98" s="49" t="n">
        <f aca="false">CF96+CF97</f>
        <v>-1177.60153927476</v>
      </c>
      <c r="CG98" s="49" t="n">
        <f aca="false">CG96+CG97</f>
        <v>-1177.60153927475</v>
      </c>
      <c r="CH98" s="49" t="n">
        <f aca="false">CH96+CH97</f>
        <v>-0</v>
      </c>
      <c r="CI98" s="49" t="n">
        <f aca="false">CI96+CI97</f>
        <v>-0</v>
      </c>
      <c r="CJ98" s="49" t="n">
        <f aca="false">CJ96+CJ97</f>
        <v>-0</v>
      </c>
      <c r="CK98" s="49" t="n">
        <f aca="false">CK96+CK97</f>
        <v>-0</v>
      </c>
      <c r="CL98" s="49" t="n">
        <f aca="false">CL96+CL97</f>
        <v>-0</v>
      </c>
      <c r="CM98" s="49" t="n">
        <f aca="false">CM96+CM97</f>
        <v>-0</v>
      </c>
      <c r="CN98" s="49" t="n">
        <f aca="false">CN96+CN97</f>
        <v>-0</v>
      </c>
      <c r="CO98" s="49" t="n">
        <f aca="false">CO96+CO97</f>
        <v>-0</v>
      </c>
      <c r="CP98" s="49" t="n">
        <f aca="false">CP96+CP97</f>
        <v>-0</v>
      </c>
      <c r="CQ98" s="49" t="n">
        <f aca="false">CQ96+CQ97</f>
        <v>-0</v>
      </c>
      <c r="CR98" s="49" t="n">
        <f aca="false">CR96+CR97</f>
        <v>-0</v>
      </c>
      <c r="CS98" s="49" t="n">
        <f aca="false">CS96+CS97</f>
        <v>-0</v>
      </c>
      <c r="CT98" s="49" t="n">
        <f aca="false">CT96+CT97</f>
        <v>-0</v>
      </c>
      <c r="CU98" s="49" t="n">
        <f aca="false">CU96+CU97</f>
        <v>-0</v>
      </c>
      <c r="CV98" s="49" t="n">
        <f aca="false">CV96+CV97</f>
        <v>-0</v>
      </c>
      <c r="CW98" s="49" t="n">
        <f aca="false">CW96+CW97</f>
        <v>-0</v>
      </c>
      <c r="CX98" s="49" t="n">
        <f aca="false">CX96+CX97</f>
        <v>-0</v>
      </c>
      <c r="CY98" s="49" t="n">
        <f aca="false">CY96+CY97</f>
        <v>-0</v>
      </c>
      <c r="CZ98" s="49" t="n">
        <f aca="false">CZ96+CZ97</f>
        <v>-0</v>
      </c>
      <c r="DA98" s="49" t="n">
        <f aca="false">DA96+DA97</f>
        <v>-0</v>
      </c>
      <c r="DB98" s="49" t="n">
        <f aca="false">DB96+DB97</f>
        <v>-0</v>
      </c>
      <c r="DC98" s="49" t="n">
        <f aca="false">DC96+DC97</f>
        <v>-0</v>
      </c>
      <c r="DD98" s="49" t="n">
        <f aca="false">DD96+DD97</f>
        <v>-0</v>
      </c>
      <c r="DE98" s="49" t="n">
        <f aca="false">DE96+DE97</f>
        <v>-0</v>
      </c>
      <c r="DF98" s="49" t="n">
        <f aca="false">DF96+DF97</f>
        <v>-0</v>
      </c>
      <c r="DG98" s="49" t="n">
        <f aca="false">DG96+DG97</f>
        <v>-0</v>
      </c>
      <c r="DH98" s="49" t="n">
        <f aca="false">DH96+DH97</f>
        <v>-0</v>
      </c>
      <c r="DI98" s="49" t="n">
        <f aca="false">DI96+DI97</f>
        <v>-0</v>
      </c>
      <c r="DJ98" s="49" t="n">
        <f aca="false">DJ96+DJ97</f>
        <v>-0</v>
      </c>
      <c r="DK98" s="49" t="n">
        <f aca="false">DK96+DK97</f>
        <v>-0</v>
      </c>
      <c r="DL98" s="49" t="n">
        <f aca="false">DL96+DL97</f>
        <v>-0</v>
      </c>
      <c r="DM98" s="49" t="n">
        <f aca="false">DM96+DM97</f>
        <v>-0</v>
      </c>
      <c r="DN98" s="49" t="n">
        <f aca="false">DN96+DN97</f>
        <v>-0</v>
      </c>
      <c r="DO98" s="49" t="n">
        <f aca="false">DO96+DO97</f>
        <v>-0</v>
      </c>
      <c r="DP98" s="49" t="n">
        <f aca="false">DP96+DP97</f>
        <v>-0</v>
      </c>
      <c r="DQ98" s="49" t="n">
        <f aca="false">DQ96+DQ97</f>
        <v>-0</v>
      </c>
      <c r="DR98" s="49" t="n">
        <f aca="false">DR96+DR97</f>
        <v>-0</v>
      </c>
      <c r="DS98" s="49" t="n">
        <f aca="false">DS96+DS97</f>
        <v>-0</v>
      </c>
      <c r="DT98" s="49" t="n">
        <f aca="false">DT96+DT97</f>
        <v>-0</v>
      </c>
      <c r="DU98" s="49" t="n">
        <f aca="false">DU96+DU97</f>
        <v>-0</v>
      </c>
      <c r="DV98" s="49" t="n">
        <f aca="false">DV96+DV97</f>
        <v>-0</v>
      </c>
      <c r="DW98" s="49" t="n">
        <f aca="false">DW96+DW97</f>
        <v>-0</v>
      </c>
      <c r="DX98" s="49" t="n">
        <f aca="false">DX96+DX97</f>
        <v>-0</v>
      </c>
      <c r="DY98" s="49" t="n">
        <f aca="false">DY96+DY97</f>
        <v>-0</v>
      </c>
      <c r="DZ98" s="49" t="n">
        <f aca="false">DZ96+DZ97</f>
        <v>-0</v>
      </c>
      <c r="EA98" s="49" t="n">
        <f aca="false">EA96+EA97</f>
        <v>-0</v>
      </c>
      <c r="EB98" s="49" t="n">
        <f aca="false">EB96+EB97</f>
        <v>-0</v>
      </c>
      <c r="EC98" s="49" t="n">
        <f aca="false">EC96+EC97</f>
        <v>-0</v>
      </c>
      <c r="ED98" s="49" t="n">
        <f aca="false">ED96+ED97</f>
        <v>-0</v>
      </c>
      <c r="EE98" s="49" t="n">
        <f aca="false">EE96+EE97</f>
        <v>-0</v>
      </c>
      <c r="EF98" s="49" t="n">
        <f aca="false">EF96+EF97</f>
        <v>-0</v>
      </c>
      <c r="EG98" s="49" t="n">
        <f aca="false">EG96+EG97</f>
        <v>-0</v>
      </c>
      <c r="EH98" s="49" t="n">
        <f aca="false">EH96+EH97</f>
        <v>-0</v>
      </c>
      <c r="EI98" s="49" t="n">
        <f aca="false">EI96+EI97</f>
        <v>-0</v>
      </c>
      <c r="EJ98" s="49" t="n">
        <f aca="false">EJ96+EJ97</f>
        <v>-0</v>
      </c>
      <c r="EK98" s="49" t="n">
        <f aca="false">EK96+EK97</f>
        <v>-0</v>
      </c>
      <c r="EL98" s="49" t="n">
        <f aca="false">EL96+EL97</f>
        <v>-0</v>
      </c>
      <c r="EM98" s="49" t="n">
        <f aca="false">EM96+EM97</f>
        <v>-0</v>
      </c>
      <c r="EN98" s="49" t="n">
        <f aca="false">EN96+EN97</f>
        <v>-0</v>
      </c>
      <c r="EO98" s="49" t="n">
        <f aca="false">EO96+EO97</f>
        <v>-0</v>
      </c>
    </row>
    <row r="99" customFormat="false" ht="15" hidden="false" customHeight="false" outlineLevel="0" collapsed="false">
      <c r="C99" s="1" t="s">
        <v>487</v>
      </c>
      <c r="D99" s="12" t="s">
        <v>33</v>
      </c>
      <c r="J99" s="19" t="n">
        <f aca="false">I103</f>
        <v>0</v>
      </c>
      <c r="K99" s="19" t="n">
        <f aca="false">J103</f>
        <v>0</v>
      </c>
      <c r="L99" s="19" t="n">
        <f aca="false">K103</f>
        <v>0</v>
      </c>
      <c r="M99" s="19" t="n">
        <f aca="false">L103</f>
        <v>0</v>
      </c>
      <c r="N99" s="19" t="n">
        <f aca="false">M103</f>
        <v>0</v>
      </c>
      <c r="O99" s="19" t="n">
        <f aca="false">N103</f>
        <v>0</v>
      </c>
      <c r="P99" s="19" t="n">
        <f aca="false">O103</f>
        <v>0</v>
      </c>
      <c r="Q99" s="19" t="n">
        <f aca="false">P103</f>
        <v>0</v>
      </c>
      <c r="R99" s="19" t="n">
        <f aca="false">Q103</f>
        <v>0</v>
      </c>
      <c r="S99" s="19" t="n">
        <f aca="false">R103</f>
        <v>5116.61953685185</v>
      </c>
      <c r="T99" s="19" t="n">
        <f aca="false">S103</f>
        <v>15301.8343169001</v>
      </c>
      <c r="U99" s="19" t="n">
        <f aca="false">T103</f>
        <v>20554.1113529648</v>
      </c>
      <c r="V99" s="19" t="n">
        <f aca="false">U103</f>
        <v>25927.6572817287</v>
      </c>
      <c r="W99" s="19" t="n">
        <f aca="false">V103</f>
        <v>31368.3725346022</v>
      </c>
      <c r="X99" s="19" t="n">
        <f aca="false">W103</f>
        <v>36765.8658686398</v>
      </c>
      <c r="Y99" s="19" t="n">
        <f aca="false">X103</f>
        <v>42286.4432991012</v>
      </c>
      <c r="Z99" s="19" t="n">
        <f aca="false">Y103</f>
        <v>49500</v>
      </c>
      <c r="AA99" s="19" t="n">
        <f aca="false">Z103</f>
        <v>48941.1484607253</v>
      </c>
      <c r="AB99" s="19" t="n">
        <f aca="false">AA103</f>
        <v>48375.3112772096</v>
      </c>
      <c r="AC99" s="19" t="n">
        <f aca="false">AB103</f>
        <v>47802.4011288999</v>
      </c>
      <c r="AD99" s="19" t="n">
        <f aca="false">AC103</f>
        <v>47222.3296037364</v>
      </c>
      <c r="AE99" s="19" t="n">
        <f aca="false">AD103</f>
        <v>46635.0071845084</v>
      </c>
      <c r="AF99" s="19" t="n">
        <f aca="false">AE103</f>
        <v>46040.34323504</v>
      </c>
      <c r="AG99" s="19" t="n">
        <f aca="false">AF103</f>
        <v>45438.2459862032</v>
      </c>
      <c r="AH99" s="19" t="n">
        <f aca="false">AG103</f>
        <v>44828.622521756</v>
      </c>
      <c r="AI99" s="19" t="n">
        <f aca="false">AH103</f>
        <v>44211.3787640032</v>
      </c>
      <c r="AJ99" s="19" t="n">
        <f aca="false">AI103</f>
        <v>43586.4194592785</v>
      </c>
      <c r="AK99" s="19" t="n">
        <f aca="false">AJ103</f>
        <v>42953.6481632447</v>
      </c>
      <c r="AL99" s="19" t="n">
        <f aca="false">AK103</f>
        <v>42312.9672260105</v>
      </c>
      <c r="AM99" s="19" t="n">
        <f aca="false">AL103</f>
        <v>41664.2777770609</v>
      </c>
      <c r="AN99" s="19" t="n">
        <f aca="false">AM103</f>
        <v>41007.4797099994</v>
      </c>
      <c r="AO99" s="19" t="n">
        <f aca="false">AN103</f>
        <v>40342.4716670996</v>
      </c>
      <c r="AP99" s="19" t="n">
        <f aca="false">AO103</f>
        <v>39669.1510236636</v>
      </c>
      <c r="AQ99" s="19" t="n">
        <f aca="false">AP103</f>
        <v>38987.4138721846</v>
      </c>
      <c r="AR99" s="19" t="n">
        <f aca="false">AQ103</f>
        <v>38297.1550063122</v>
      </c>
      <c r="AS99" s="19" t="n">
        <f aca="false">AR103</f>
        <v>37598.2679046163</v>
      </c>
      <c r="AT99" s="19" t="n">
        <f aca="false">AS103</f>
        <v>36890.6447141492</v>
      </c>
      <c r="AU99" s="19" t="n">
        <f aca="false">AT103</f>
        <v>36174.1762338014</v>
      </c>
      <c r="AV99" s="19" t="n">
        <f aca="false">AU103</f>
        <v>35448.7518974491</v>
      </c>
      <c r="AW99" s="19" t="n">
        <f aca="false">AV103</f>
        <v>34714.2597568925</v>
      </c>
      <c r="AX99" s="19" t="n">
        <f aca="false">AW103</f>
        <v>33970.5864645789</v>
      </c>
      <c r="AY99" s="19" t="n">
        <f aca="false">AX103</f>
        <v>33217.6172561114</v>
      </c>
      <c r="AZ99" s="19" t="n">
        <f aca="false">AY103</f>
        <v>32455.235932538</v>
      </c>
      <c r="BA99" s="19" t="n">
        <f aca="false">AZ103</f>
        <v>31683.32484242</v>
      </c>
      <c r="BB99" s="19" t="n">
        <f aca="false">BA103</f>
        <v>30901.7648636755</v>
      </c>
      <c r="BC99" s="19" t="n">
        <f aca="false">BB103</f>
        <v>30110.4353851966</v>
      </c>
      <c r="BD99" s="19" t="n">
        <f aca="false">BC103</f>
        <v>29309.2142882368</v>
      </c>
      <c r="BE99" s="19" t="n">
        <f aca="false">BD103</f>
        <v>28497.977927565</v>
      </c>
      <c r="BF99" s="19" t="n">
        <f aca="false">BE103</f>
        <v>27676.6011123848</v>
      </c>
      <c r="BG99" s="19" t="n">
        <f aca="false">BF103</f>
        <v>26844.9570870149</v>
      </c>
      <c r="BH99" s="19" t="n">
        <f aca="false">BG103</f>
        <v>26002.9175113278</v>
      </c>
      <c r="BI99" s="19" t="n">
        <f aca="false">BH103</f>
        <v>25150.3524409447</v>
      </c>
      <c r="BJ99" s="19" t="n">
        <f aca="false">BI103</f>
        <v>24287.1303071817</v>
      </c>
      <c r="BK99" s="19" t="n">
        <f aca="false">BJ103</f>
        <v>23413.1178967467</v>
      </c>
      <c r="BL99" s="19" t="n">
        <f aca="false">BK103</f>
        <v>22528.1803311813</v>
      </c>
      <c r="BM99" s="19" t="n">
        <f aca="false">BL103</f>
        <v>21632.1810460463</v>
      </c>
      <c r="BN99" s="19" t="n">
        <f aca="false">BM103</f>
        <v>20724.9817698471</v>
      </c>
      <c r="BO99" s="19" t="n">
        <f aca="false">BN103</f>
        <v>19806.4425026955</v>
      </c>
      <c r="BP99" s="19" t="n">
        <f aca="false">BO103</f>
        <v>18876.4214947044</v>
      </c>
      <c r="BQ99" s="19" t="n">
        <f aca="false">BP103</f>
        <v>17934.7752241135</v>
      </c>
      <c r="BR99" s="19" t="n">
        <f aca="false">BQ103</f>
        <v>16981.3583751401</v>
      </c>
      <c r="BS99" s="19" t="n">
        <f aca="false">BR103</f>
        <v>16016.0238155546</v>
      </c>
      <c r="BT99" s="19" t="n">
        <f aca="false">BS103</f>
        <v>15038.6225739743</v>
      </c>
      <c r="BU99" s="19" t="n">
        <f aca="false">BT103</f>
        <v>14049.0038168742</v>
      </c>
      <c r="BV99" s="19" t="n">
        <f aca="false">BU103</f>
        <v>13047.0148253104</v>
      </c>
      <c r="BW99" s="19" t="n">
        <f aca="false">BV103</f>
        <v>12032.500971352</v>
      </c>
      <c r="BX99" s="19" t="n">
        <f aca="false">BW103</f>
        <v>11005.3056942191</v>
      </c>
      <c r="BY99" s="19" t="n">
        <f aca="false">BX103</f>
        <v>9965.27047612213</v>
      </c>
      <c r="BZ99" s="19" t="n">
        <f aca="false">BY103</f>
        <v>8912.23481779889</v>
      </c>
      <c r="CA99" s="19" t="n">
        <f aca="false">BZ103</f>
        <v>7846.03621374662</v>
      </c>
      <c r="CB99" s="19" t="n">
        <f aca="false">CA103</f>
        <v>6766.5101271437</v>
      </c>
      <c r="CC99" s="19" t="n">
        <f aca="false">CB103</f>
        <v>5673.48996445824</v>
      </c>
      <c r="CD99" s="19" t="n">
        <f aca="false">CC103</f>
        <v>4566.80704973921</v>
      </c>
      <c r="CE99" s="19" t="n">
        <f aca="false">CD103</f>
        <v>3446.29059858619</v>
      </c>
      <c r="CF99" s="19" t="n">
        <f aca="false">CE103</f>
        <v>2311.76769179376</v>
      </c>
      <c r="CG99" s="19" t="n">
        <f aca="false">CF103</f>
        <v>1163.06324866642</v>
      </c>
      <c r="CH99" s="19" t="n">
        <f aca="false">CG103</f>
        <v>0</v>
      </c>
      <c r="CI99" s="19" t="n">
        <f aca="false">CH103</f>
        <v>0</v>
      </c>
      <c r="CJ99" s="19" t="n">
        <f aca="false">CI103</f>
        <v>0</v>
      </c>
      <c r="CK99" s="19" t="n">
        <f aca="false">CJ103</f>
        <v>0</v>
      </c>
      <c r="CL99" s="19" t="n">
        <f aca="false">CK103</f>
        <v>0</v>
      </c>
      <c r="CM99" s="19" t="n">
        <f aca="false">CL103</f>
        <v>0</v>
      </c>
      <c r="CN99" s="19" t="n">
        <f aca="false">CM103</f>
        <v>0</v>
      </c>
      <c r="CO99" s="19" t="n">
        <f aca="false">CN103</f>
        <v>0</v>
      </c>
      <c r="CP99" s="19" t="n">
        <f aca="false">CO103</f>
        <v>0</v>
      </c>
      <c r="CQ99" s="19" t="n">
        <f aca="false">CP103</f>
        <v>0</v>
      </c>
      <c r="CR99" s="19" t="n">
        <f aca="false">CQ103</f>
        <v>0</v>
      </c>
      <c r="CS99" s="19" t="n">
        <f aca="false">CR103</f>
        <v>0</v>
      </c>
      <c r="CT99" s="19" t="n">
        <f aca="false">CS103</f>
        <v>0</v>
      </c>
      <c r="CU99" s="19" t="n">
        <f aca="false">CT103</f>
        <v>0</v>
      </c>
      <c r="CV99" s="19" t="n">
        <f aca="false">CU103</f>
        <v>0</v>
      </c>
      <c r="CW99" s="19" t="n">
        <f aca="false">CV103</f>
        <v>0</v>
      </c>
      <c r="CX99" s="19" t="n">
        <f aca="false">CW103</f>
        <v>0</v>
      </c>
      <c r="CY99" s="19" t="n">
        <f aca="false">CX103</f>
        <v>0</v>
      </c>
      <c r="CZ99" s="19" t="n">
        <f aca="false">CY103</f>
        <v>0</v>
      </c>
      <c r="DA99" s="19" t="n">
        <f aca="false">CZ103</f>
        <v>0</v>
      </c>
      <c r="DB99" s="19" t="n">
        <f aca="false">DA103</f>
        <v>0</v>
      </c>
      <c r="DC99" s="19" t="n">
        <f aca="false">DB103</f>
        <v>0</v>
      </c>
      <c r="DD99" s="19" t="n">
        <f aca="false">DC103</f>
        <v>0</v>
      </c>
      <c r="DE99" s="19" t="n">
        <f aca="false">DD103</f>
        <v>0</v>
      </c>
      <c r="DF99" s="19" t="n">
        <f aca="false">DE103</f>
        <v>0</v>
      </c>
      <c r="DG99" s="19" t="n">
        <f aca="false">DF103</f>
        <v>0</v>
      </c>
      <c r="DH99" s="19" t="n">
        <f aca="false">DG103</f>
        <v>0</v>
      </c>
      <c r="DI99" s="19" t="n">
        <f aca="false">DH103</f>
        <v>0</v>
      </c>
      <c r="DJ99" s="19" t="n">
        <f aca="false">DI103</f>
        <v>0</v>
      </c>
      <c r="DK99" s="19" t="n">
        <f aca="false">DJ103</f>
        <v>0</v>
      </c>
      <c r="DL99" s="19" t="n">
        <f aca="false">DK103</f>
        <v>0</v>
      </c>
      <c r="DM99" s="19" t="n">
        <f aca="false">DL103</f>
        <v>0</v>
      </c>
      <c r="DN99" s="19" t="n">
        <f aca="false">DM103</f>
        <v>0</v>
      </c>
      <c r="DO99" s="19" t="n">
        <f aca="false">DN103</f>
        <v>0</v>
      </c>
      <c r="DP99" s="19" t="n">
        <f aca="false">DO103</f>
        <v>0</v>
      </c>
      <c r="DQ99" s="19" t="n">
        <f aca="false">DP103</f>
        <v>0</v>
      </c>
      <c r="DR99" s="19" t="n">
        <f aca="false">DQ103</f>
        <v>0</v>
      </c>
      <c r="DS99" s="19" t="n">
        <f aca="false">DR103</f>
        <v>0</v>
      </c>
      <c r="DT99" s="19" t="n">
        <f aca="false">DS103</f>
        <v>0</v>
      </c>
      <c r="DU99" s="19" t="n">
        <f aca="false">DT103</f>
        <v>0</v>
      </c>
      <c r="DV99" s="19" t="n">
        <f aca="false">DU103</f>
        <v>0</v>
      </c>
      <c r="DW99" s="19" t="n">
        <f aca="false">DV103</f>
        <v>0</v>
      </c>
      <c r="DX99" s="19" t="n">
        <f aca="false">DW103</f>
        <v>0</v>
      </c>
      <c r="DY99" s="19" t="n">
        <f aca="false">DX103</f>
        <v>0</v>
      </c>
      <c r="DZ99" s="19" t="n">
        <f aca="false">DY103</f>
        <v>0</v>
      </c>
      <c r="EA99" s="19" t="n">
        <f aca="false">DZ103</f>
        <v>0</v>
      </c>
      <c r="EB99" s="19" t="n">
        <f aca="false">EA103</f>
        <v>0</v>
      </c>
      <c r="EC99" s="19" t="n">
        <f aca="false">EB103</f>
        <v>0</v>
      </c>
      <c r="ED99" s="19" t="n">
        <f aca="false">EC103</f>
        <v>0</v>
      </c>
      <c r="EE99" s="19" t="n">
        <f aca="false">ED103</f>
        <v>0</v>
      </c>
      <c r="EF99" s="19" t="n">
        <f aca="false">EE103</f>
        <v>0</v>
      </c>
      <c r="EG99" s="19" t="n">
        <f aca="false">EF103</f>
        <v>0</v>
      </c>
      <c r="EH99" s="19" t="n">
        <f aca="false">EG103</f>
        <v>0</v>
      </c>
      <c r="EI99" s="19" t="n">
        <f aca="false">EH103</f>
        <v>0</v>
      </c>
      <c r="EJ99" s="19" t="n">
        <f aca="false">EI103</f>
        <v>0</v>
      </c>
      <c r="EK99" s="19" t="n">
        <f aca="false">EJ103</f>
        <v>0</v>
      </c>
      <c r="EL99" s="19" t="n">
        <f aca="false">EK103</f>
        <v>0</v>
      </c>
      <c r="EM99" s="19" t="n">
        <f aca="false">EL103</f>
        <v>0</v>
      </c>
      <c r="EN99" s="19" t="n">
        <f aca="false">EM103</f>
        <v>0</v>
      </c>
      <c r="EO99" s="19" t="n">
        <f aca="false">EN103</f>
        <v>0</v>
      </c>
    </row>
    <row r="100" customFormat="false" ht="15" hidden="false" customHeight="false" outlineLevel="0" collapsed="false">
      <c r="C100" s="1" t="s">
        <v>488</v>
      </c>
      <c r="D100" s="12" t="s">
        <v>33</v>
      </c>
      <c r="I100" s="49" t="n">
        <f aca="false">SUM(J100:EO100)</f>
        <v>47283.4886976152</v>
      </c>
      <c r="J100" s="49" t="n">
        <f aca="false">-$E90*J70</f>
        <v>0</v>
      </c>
      <c r="K100" s="49" t="n">
        <f aca="false">-$E90*K70</f>
        <v>0</v>
      </c>
      <c r="L100" s="49" t="n">
        <f aca="false">-$E90*L70</f>
        <v>0</v>
      </c>
      <c r="M100" s="49" t="n">
        <f aca="false">-$E90*M70</f>
        <v>0</v>
      </c>
      <c r="N100" s="49" t="n">
        <f aca="false">-$E90*N70</f>
        <v>0</v>
      </c>
      <c r="O100" s="49" t="n">
        <f aca="false">-$E90*O70</f>
        <v>0</v>
      </c>
      <c r="P100" s="49" t="n">
        <f aca="false">-$E90*P70</f>
        <v>0</v>
      </c>
      <c r="Q100" s="49" t="n">
        <f aca="false">-$E90*Q70</f>
        <v>0</v>
      </c>
      <c r="R100" s="49" t="n">
        <f aca="false">-$E90*R70</f>
        <v>5116.61953685185</v>
      </c>
      <c r="S100" s="49" t="n">
        <f aca="false">-$E90*S70</f>
        <v>10121.2570358376</v>
      </c>
      <c r="T100" s="49" t="n">
        <f aca="false">-$E90*T70</f>
        <v>5061.00410710346</v>
      </c>
      <c r="U100" s="49" t="n">
        <f aca="false">-$E90*U70</f>
        <v>5116.61953685185</v>
      </c>
      <c r="V100" s="49" t="n">
        <f aca="false">-$E90*V70</f>
        <v>5116.61953685185</v>
      </c>
      <c r="W100" s="49" t="n">
        <f aca="false">-$E90*W70</f>
        <v>5005.38867735507</v>
      </c>
      <c r="X100" s="49" t="n">
        <f aca="false">-$E90*X70</f>
        <v>5061.00410710346</v>
      </c>
      <c r="Y100" s="49" t="n">
        <f aca="false">-$E90*Y70</f>
        <v>6684.97615966005</v>
      </c>
      <c r="Z100" s="49" t="n">
        <f aca="false">-$E90*Z70</f>
        <v>0</v>
      </c>
      <c r="AA100" s="49" t="n">
        <f aca="false">-$E90*AA70</f>
        <v>0</v>
      </c>
      <c r="AB100" s="49" t="n">
        <f aca="false">-$E90*AB70</f>
        <v>0</v>
      </c>
      <c r="AC100" s="49" t="n">
        <f aca="false">-$E90*AC70</f>
        <v>0</v>
      </c>
      <c r="AD100" s="49" t="n">
        <f aca="false">-$E90*AD70</f>
        <v>0</v>
      </c>
      <c r="AE100" s="49" t="n">
        <f aca="false">-$E90*AE70</f>
        <v>0</v>
      </c>
      <c r="AF100" s="49" t="n">
        <f aca="false">-$E90*AF70</f>
        <v>0</v>
      </c>
      <c r="AG100" s="49" t="n">
        <f aca="false">-$E90*AG70</f>
        <v>0</v>
      </c>
      <c r="AH100" s="49" t="n">
        <f aca="false">-$E90*AH70</f>
        <v>0</v>
      </c>
      <c r="AI100" s="49" t="n">
        <f aca="false">-$E90*AI70</f>
        <v>0</v>
      </c>
      <c r="AJ100" s="49" t="n">
        <f aca="false">-$E90*AJ70</f>
        <v>0</v>
      </c>
      <c r="AK100" s="49" t="n">
        <f aca="false">-$E90*AK70</f>
        <v>0</v>
      </c>
      <c r="AL100" s="49" t="n">
        <f aca="false">-$E90*AL70</f>
        <v>0</v>
      </c>
      <c r="AM100" s="49" t="n">
        <f aca="false">-$E90*AM70</f>
        <v>0</v>
      </c>
      <c r="AN100" s="49" t="n">
        <f aca="false">-$E90*AN70</f>
        <v>0</v>
      </c>
      <c r="AO100" s="49" t="n">
        <f aca="false">-$E90*AO70</f>
        <v>0</v>
      </c>
      <c r="AP100" s="49" t="n">
        <f aca="false">-$E90*AP70</f>
        <v>0</v>
      </c>
      <c r="AQ100" s="49" t="n">
        <f aca="false">-$E90*AQ70</f>
        <v>0</v>
      </c>
      <c r="AR100" s="49" t="n">
        <f aca="false">-$E90*AR70</f>
        <v>0</v>
      </c>
      <c r="AS100" s="49" t="n">
        <f aca="false">-$E90*AS70</f>
        <v>0</v>
      </c>
      <c r="AT100" s="49" t="n">
        <f aca="false">-$E90*AT70</f>
        <v>0</v>
      </c>
      <c r="AU100" s="49" t="n">
        <f aca="false">-$E90*AU70</f>
        <v>0</v>
      </c>
      <c r="AV100" s="49" t="n">
        <f aca="false">-$E90*AV70</f>
        <v>0</v>
      </c>
      <c r="AW100" s="49" t="n">
        <f aca="false">-$E90*AW70</f>
        <v>0</v>
      </c>
      <c r="AX100" s="49" t="n">
        <f aca="false">-$E90*AX70</f>
        <v>0</v>
      </c>
      <c r="AY100" s="49" t="n">
        <f aca="false">-$E90*AY70</f>
        <v>0</v>
      </c>
      <c r="AZ100" s="49" t="n">
        <f aca="false">-$E90*AZ70</f>
        <v>0</v>
      </c>
      <c r="BA100" s="49" t="n">
        <f aca="false">-$E90*BA70</f>
        <v>0</v>
      </c>
      <c r="BB100" s="49" t="n">
        <f aca="false">-$E90*BB70</f>
        <v>0</v>
      </c>
      <c r="BC100" s="49" t="n">
        <f aca="false">-$E90*BC70</f>
        <v>0</v>
      </c>
      <c r="BD100" s="49" t="n">
        <f aca="false">-$E90*BD70</f>
        <v>0</v>
      </c>
      <c r="BE100" s="49" t="n">
        <f aca="false">-$E90*BE70</f>
        <v>0</v>
      </c>
      <c r="BF100" s="49" t="n">
        <f aca="false">-$E90*BF70</f>
        <v>0</v>
      </c>
      <c r="BG100" s="49" t="n">
        <f aca="false">-$E90*BG70</f>
        <v>0</v>
      </c>
      <c r="BH100" s="49" t="n">
        <f aca="false">-$E90*BH70</f>
        <v>0</v>
      </c>
      <c r="BI100" s="49" t="n">
        <f aca="false">-$E90*BI70</f>
        <v>0</v>
      </c>
      <c r="BJ100" s="49" t="n">
        <f aca="false">-$E90*BJ70</f>
        <v>0</v>
      </c>
      <c r="BK100" s="49" t="n">
        <f aca="false">-$E90*BK70</f>
        <v>0</v>
      </c>
      <c r="BL100" s="49" t="n">
        <f aca="false">-$E90*BL70</f>
        <v>0</v>
      </c>
      <c r="BM100" s="49" t="n">
        <f aca="false">-$E90*BM70</f>
        <v>0</v>
      </c>
      <c r="BN100" s="49" t="n">
        <f aca="false">-$E90*BN70</f>
        <v>0</v>
      </c>
      <c r="BO100" s="49" t="n">
        <f aca="false">-$E90*BO70</f>
        <v>0</v>
      </c>
      <c r="BP100" s="49" t="n">
        <f aca="false">-$E90*BP70</f>
        <v>0</v>
      </c>
      <c r="BQ100" s="49" t="n">
        <f aca="false">-$E90*BQ70</f>
        <v>0</v>
      </c>
      <c r="BR100" s="49" t="n">
        <f aca="false">-$E90*BR70</f>
        <v>0</v>
      </c>
      <c r="BS100" s="49" t="n">
        <f aca="false">-$E90*BS70</f>
        <v>0</v>
      </c>
      <c r="BT100" s="49" t="n">
        <f aca="false">-$E90*BT70</f>
        <v>0</v>
      </c>
      <c r="BU100" s="49" t="n">
        <f aca="false">-$E90*BU70</f>
        <v>0</v>
      </c>
      <c r="BV100" s="49" t="n">
        <f aca="false">-$E90*BV70</f>
        <v>0</v>
      </c>
      <c r="BW100" s="49" t="n">
        <f aca="false">-$E90*BW70</f>
        <v>0</v>
      </c>
      <c r="BX100" s="49" t="n">
        <f aca="false">-$E90*BX70</f>
        <v>0</v>
      </c>
      <c r="BY100" s="49" t="n">
        <f aca="false">-$E90*BY70</f>
        <v>0</v>
      </c>
      <c r="BZ100" s="49" t="n">
        <f aca="false">-$E90*BZ70</f>
        <v>0</v>
      </c>
      <c r="CA100" s="49" t="n">
        <f aca="false">-$E90*CA70</f>
        <v>0</v>
      </c>
      <c r="CB100" s="49" t="n">
        <f aca="false">-$E90*CB70</f>
        <v>0</v>
      </c>
      <c r="CC100" s="49" t="n">
        <f aca="false">-$E90*CC70</f>
        <v>0</v>
      </c>
      <c r="CD100" s="49" t="n">
        <f aca="false">-$E90*CD70</f>
        <v>0</v>
      </c>
      <c r="CE100" s="49" t="n">
        <f aca="false">-$E90*CE70</f>
        <v>0</v>
      </c>
      <c r="CF100" s="49" t="n">
        <f aca="false">-$E90*CF70</f>
        <v>0</v>
      </c>
      <c r="CG100" s="49" t="n">
        <f aca="false">-$E90*CG70</f>
        <v>0</v>
      </c>
      <c r="CH100" s="49" t="n">
        <f aca="false">-$E90*CH70</f>
        <v>0</v>
      </c>
      <c r="CI100" s="49" t="n">
        <f aca="false">-$E90*CI70</f>
        <v>0</v>
      </c>
      <c r="CJ100" s="49" t="n">
        <f aca="false">-$E90*CJ70</f>
        <v>0</v>
      </c>
      <c r="CK100" s="49" t="n">
        <f aca="false">-$E90*CK70</f>
        <v>0</v>
      </c>
      <c r="CL100" s="49" t="n">
        <f aca="false">-$E90*CL70</f>
        <v>0</v>
      </c>
      <c r="CM100" s="49" t="n">
        <f aca="false">-$E90*CM70</f>
        <v>0</v>
      </c>
      <c r="CN100" s="49" t="n">
        <f aca="false">-$E90*CN70</f>
        <v>0</v>
      </c>
      <c r="CO100" s="49" t="n">
        <f aca="false">-$E90*CO70</f>
        <v>0</v>
      </c>
      <c r="CP100" s="49" t="n">
        <f aca="false">-$E90*CP70</f>
        <v>0</v>
      </c>
      <c r="CQ100" s="49" t="n">
        <f aca="false">-$E90*CQ70</f>
        <v>0</v>
      </c>
      <c r="CR100" s="49" t="n">
        <f aca="false">-$E90*CR70</f>
        <v>0</v>
      </c>
      <c r="CS100" s="49" t="n">
        <f aca="false">-$E90*CS70</f>
        <v>0</v>
      </c>
      <c r="CT100" s="49" t="n">
        <f aca="false">-$E90*CT70</f>
        <v>0</v>
      </c>
      <c r="CU100" s="49" t="n">
        <f aca="false">-$E90*CU70</f>
        <v>0</v>
      </c>
      <c r="CV100" s="49" t="n">
        <f aca="false">-$E90*CV70</f>
        <v>0</v>
      </c>
      <c r="CW100" s="49" t="n">
        <f aca="false">-$E90*CW70</f>
        <v>0</v>
      </c>
      <c r="CX100" s="49" t="n">
        <f aca="false">-$E90*CX70</f>
        <v>0</v>
      </c>
      <c r="CY100" s="49" t="n">
        <f aca="false">-$E90*CY70</f>
        <v>0</v>
      </c>
      <c r="CZ100" s="49" t="n">
        <f aca="false">-$E90*CZ70</f>
        <v>0</v>
      </c>
      <c r="DA100" s="49" t="n">
        <f aca="false">-$E90*DA70</f>
        <v>0</v>
      </c>
      <c r="DB100" s="49" t="n">
        <f aca="false">-$E90*DB70</f>
        <v>0</v>
      </c>
      <c r="DC100" s="49" t="n">
        <f aca="false">-$E90*DC70</f>
        <v>0</v>
      </c>
      <c r="DD100" s="49" t="n">
        <f aca="false">-$E90*DD70</f>
        <v>0</v>
      </c>
      <c r="DE100" s="49" t="n">
        <f aca="false">-$E90*DE70</f>
        <v>0</v>
      </c>
      <c r="DF100" s="49" t="n">
        <f aca="false">-$E90*DF70</f>
        <v>0</v>
      </c>
      <c r="DG100" s="49" t="n">
        <f aca="false">-$E90*DG70</f>
        <v>0</v>
      </c>
      <c r="DH100" s="49" t="n">
        <f aca="false">-$E90*DH70</f>
        <v>0</v>
      </c>
      <c r="DI100" s="49" t="n">
        <f aca="false">-$E90*DI70</f>
        <v>0</v>
      </c>
      <c r="DJ100" s="49" t="n">
        <f aca="false">-$E90*DJ70</f>
        <v>0</v>
      </c>
      <c r="DK100" s="49" t="n">
        <f aca="false">-$E90*DK70</f>
        <v>0</v>
      </c>
      <c r="DL100" s="49" t="n">
        <f aca="false">-$E90*DL70</f>
        <v>0</v>
      </c>
      <c r="DM100" s="49" t="n">
        <f aca="false">-$E90*DM70</f>
        <v>0</v>
      </c>
      <c r="DN100" s="49" t="n">
        <f aca="false">-$E90*DN70</f>
        <v>0</v>
      </c>
      <c r="DO100" s="49" t="n">
        <f aca="false">-$E90*DO70</f>
        <v>0</v>
      </c>
      <c r="DP100" s="49" t="n">
        <f aca="false">-$E90*DP70</f>
        <v>0</v>
      </c>
      <c r="DQ100" s="49" t="n">
        <f aca="false">-$E90*DQ70</f>
        <v>0</v>
      </c>
      <c r="DR100" s="49" t="n">
        <f aca="false">-$E90*DR70</f>
        <v>0</v>
      </c>
      <c r="DS100" s="49" t="n">
        <f aca="false">-$E90*DS70</f>
        <v>0</v>
      </c>
      <c r="DT100" s="49" t="n">
        <f aca="false">-$E90*DT70</f>
        <v>0</v>
      </c>
      <c r="DU100" s="49" t="n">
        <f aca="false">-$E90*DU70</f>
        <v>0</v>
      </c>
      <c r="DV100" s="49" t="n">
        <f aca="false">-$E90*DV70</f>
        <v>0</v>
      </c>
      <c r="DW100" s="49" t="n">
        <f aca="false">-$E90*DW70</f>
        <v>0</v>
      </c>
      <c r="DX100" s="49" t="n">
        <f aca="false">-$E90*DX70</f>
        <v>0</v>
      </c>
      <c r="DY100" s="49" t="n">
        <f aca="false">-$E90*DY70</f>
        <v>0</v>
      </c>
      <c r="DZ100" s="49" t="n">
        <f aca="false">-$E90*DZ70</f>
        <v>0</v>
      </c>
      <c r="EA100" s="49" t="n">
        <f aca="false">-$E90*EA70</f>
        <v>0</v>
      </c>
      <c r="EB100" s="49" t="n">
        <f aca="false">-$E90*EB70</f>
        <v>0</v>
      </c>
      <c r="EC100" s="49" t="n">
        <f aca="false">-$E90*EC70</f>
        <v>0</v>
      </c>
      <c r="ED100" s="49" t="n">
        <f aca="false">-$E90*ED70</f>
        <v>0</v>
      </c>
      <c r="EE100" s="49" t="n">
        <f aca="false">-$E90*EE70</f>
        <v>0</v>
      </c>
      <c r="EF100" s="49" t="n">
        <f aca="false">-$E90*EF70</f>
        <v>0</v>
      </c>
      <c r="EG100" s="49" t="n">
        <f aca="false">-$E90*EG70</f>
        <v>0</v>
      </c>
      <c r="EH100" s="49" t="n">
        <f aca="false">-$E90*EH70</f>
        <v>0</v>
      </c>
      <c r="EI100" s="49" t="n">
        <f aca="false">-$E90*EI70</f>
        <v>0</v>
      </c>
      <c r="EJ100" s="49" t="n">
        <f aca="false">-$E90*EJ70</f>
        <v>0</v>
      </c>
      <c r="EK100" s="49" t="n">
        <f aca="false">-$E90*EK70</f>
        <v>0</v>
      </c>
      <c r="EL100" s="49" t="n">
        <f aca="false">-$E90*EL70</f>
        <v>0</v>
      </c>
      <c r="EM100" s="49" t="n">
        <f aca="false">-$E90*EM70</f>
        <v>0</v>
      </c>
      <c r="EN100" s="49" t="n">
        <f aca="false">-$E90*EN70</f>
        <v>0</v>
      </c>
      <c r="EO100" s="49" t="n">
        <f aca="false">-$E90*EO70</f>
        <v>0</v>
      </c>
    </row>
    <row r="101" customFormat="false" ht="15" hidden="false" customHeight="false" outlineLevel="0" collapsed="false">
      <c r="C101" s="1" t="s">
        <v>489</v>
      </c>
      <c r="D101" s="12" t="s">
        <v>33</v>
      </c>
      <c r="I101" s="49" t="n">
        <f aca="false">SUM(J101:EO101)</f>
        <v>2216.51130238486</v>
      </c>
      <c r="J101" s="49" t="n">
        <f aca="false">J99*$F22*(J$4&lt;=In_COD)</f>
        <v>0</v>
      </c>
      <c r="K101" s="49" t="n">
        <f aca="false">K99*$F22*(K$4&lt;=In_COD)</f>
        <v>0</v>
      </c>
      <c r="L101" s="49" t="n">
        <f aca="false">L99*$F22*(L$4&lt;=In_COD)</f>
        <v>0</v>
      </c>
      <c r="M101" s="49" t="n">
        <f aca="false">M99*$F22*(M$4&lt;=In_COD)</f>
        <v>0</v>
      </c>
      <c r="N101" s="49" t="n">
        <f aca="false">N99*$F22*(N$4&lt;=In_COD)</f>
        <v>0</v>
      </c>
      <c r="O101" s="49" t="n">
        <f aca="false">O99*$F22*(O$4&lt;=In_COD)</f>
        <v>0</v>
      </c>
      <c r="P101" s="49" t="n">
        <f aca="false">P99*$F22*(P$4&lt;=In_COD)</f>
        <v>0</v>
      </c>
      <c r="Q101" s="49" t="n">
        <f aca="false">Q99*$F22*(Q$4&lt;=In_COD)</f>
        <v>0</v>
      </c>
      <c r="R101" s="49" t="n">
        <f aca="false">R99*$F22*(R$4&lt;=In_COD)</f>
        <v>0</v>
      </c>
      <c r="S101" s="49" t="n">
        <f aca="false">S99*$F22*(S$4&lt;=In_COD)</f>
        <v>63.9577442106481</v>
      </c>
      <c r="T101" s="49" t="n">
        <f aca="false">T99*$F22*(T$4&lt;=In_COD)</f>
        <v>191.272928961251</v>
      </c>
      <c r="U101" s="49" t="n">
        <f aca="false">U99*$F22*(U$4&lt;=In_COD)</f>
        <v>256.92639191206</v>
      </c>
      <c r="V101" s="49" t="n">
        <f aca="false">V99*$F22*(V$4&lt;=In_COD)</f>
        <v>324.095716021609</v>
      </c>
      <c r="W101" s="49" t="n">
        <f aca="false">W99*$F22*(W$4&lt;=In_COD)</f>
        <v>392.104656682527</v>
      </c>
      <c r="X101" s="49" t="n">
        <f aca="false">X99*$F22*(X$4&lt;=In_COD)</f>
        <v>459.573323357997</v>
      </c>
      <c r="Y101" s="49" t="n">
        <f aca="false">Y99*$F22*(Y$4&lt;=In_COD)</f>
        <v>528.580541238765</v>
      </c>
      <c r="Z101" s="49" t="n">
        <f aca="false">Z99*$F22*(Z$4&lt;=In_COD)</f>
        <v>0</v>
      </c>
      <c r="AA101" s="49" t="n">
        <f aca="false">AA99*$F22*(AA$4&lt;=In_COD)</f>
        <v>0</v>
      </c>
      <c r="AB101" s="49" t="n">
        <f aca="false">AB99*$F22*(AB$4&lt;=In_COD)</f>
        <v>0</v>
      </c>
      <c r="AC101" s="49" t="n">
        <f aca="false">AC99*$F22*(AC$4&lt;=In_COD)</f>
        <v>0</v>
      </c>
      <c r="AD101" s="49" t="n">
        <f aca="false">AD99*$F22*(AD$4&lt;=In_COD)</f>
        <v>0</v>
      </c>
      <c r="AE101" s="49" t="n">
        <f aca="false">AE99*$F22*(AE$4&lt;=In_COD)</f>
        <v>0</v>
      </c>
      <c r="AF101" s="49" t="n">
        <f aca="false">AF99*$F22*(AF$4&lt;=In_COD)</f>
        <v>0</v>
      </c>
      <c r="AG101" s="49" t="n">
        <f aca="false">AG99*$F22*(AG$4&lt;=In_COD)</f>
        <v>0</v>
      </c>
      <c r="AH101" s="49" t="n">
        <f aca="false">AH99*$F22*(AH$4&lt;=In_COD)</f>
        <v>0</v>
      </c>
      <c r="AI101" s="49" t="n">
        <f aca="false">AI99*$F22*(AI$4&lt;=In_COD)</f>
        <v>0</v>
      </c>
      <c r="AJ101" s="49" t="n">
        <f aca="false">AJ99*$F22*(AJ$4&lt;=In_COD)</f>
        <v>0</v>
      </c>
      <c r="AK101" s="49" t="n">
        <f aca="false">AK99*$F22*(AK$4&lt;=In_COD)</f>
        <v>0</v>
      </c>
      <c r="AL101" s="49" t="n">
        <f aca="false">AL99*$F22*(AL$4&lt;=In_COD)</f>
        <v>0</v>
      </c>
      <c r="AM101" s="49" t="n">
        <f aca="false">AM99*$F22*(AM$4&lt;=In_COD)</f>
        <v>0</v>
      </c>
      <c r="AN101" s="49" t="n">
        <f aca="false">AN99*$F22*(AN$4&lt;=In_COD)</f>
        <v>0</v>
      </c>
      <c r="AO101" s="49" t="n">
        <f aca="false">AO99*$F22*(AO$4&lt;=In_COD)</f>
        <v>0</v>
      </c>
      <c r="AP101" s="49" t="n">
        <f aca="false">AP99*$F22*(AP$4&lt;=In_COD)</f>
        <v>0</v>
      </c>
      <c r="AQ101" s="49" t="n">
        <f aca="false">AQ99*$F22*(AQ$4&lt;=In_COD)</f>
        <v>0</v>
      </c>
      <c r="AR101" s="49" t="n">
        <f aca="false">AR99*$F22*(AR$4&lt;=In_COD)</f>
        <v>0</v>
      </c>
      <c r="AS101" s="49" t="n">
        <f aca="false">AS99*$F22*(AS$4&lt;=In_COD)</f>
        <v>0</v>
      </c>
      <c r="AT101" s="49" t="n">
        <f aca="false">AT99*$F22*(AT$4&lt;=In_COD)</f>
        <v>0</v>
      </c>
      <c r="AU101" s="49" t="n">
        <f aca="false">AU99*$F22*(AU$4&lt;=In_COD)</f>
        <v>0</v>
      </c>
      <c r="AV101" s="49" t="n">
        <f aca="false">AV99*$F22*(AV$4&lt;=In_COD)</f>
        <v>0</v>
      </c>
      <c r="AW101" s="49" t="n">
        <f aca="false">AW99*$F22*(AW$4&lt;=In_COD)</f>
        <v>0</v>
      </c>
      <c r="AX101" s="49" t="n">
        <f aca="false">AX99*$F22*(AX$4&lt;=In_COD)</f>
        <v>0</v>
      </c>
      <c r="AY101" s="49" t="n">
        <f aca="false">AY99*$F22*(AY$4&lt;=In_COD)</f>
        <v>0</v>
      </c>
      <c r="AZ101" s="49" t="n">
        <f aca="false">AZ99*$F22*(AZ$4&lt;=In_COD)</f>
        <v>0</v>
      </c>
      <c r="BA101" s="49" t="n">
        <f aca="false">BA99*$F22*(BA$4&lt;=In_COD)</f>
        <v>0</v>
      </c>
      <c r="BB101" s="49" t="n">
        <f aca="false">BB99*$F22*(BB$4&lt;=In_COD)</f>
        <v>0</v>
      </c>
      <c r="BC101" s="49" t="n">
        <f aca="false">BC99*$F22*(BC$4&lt;=In_COD)</f>
        <v>0</v>
      </c>
      <c r="BD101" s="49" t="n">
        <f aca="false">BD99*$F22*(BD$4&lt;=In_COD)</f>
        <v>0</v>
      </c>
      <c r="BE101" s="49" t="n">
        <f aca="false">BE99*$F22*(BE$4&lt;=In_COD)</f>
        <v>0</v>
      </c>
      <c r="BF101" s="49" t="n">
        <f aca="false">BF99*$F22*(BF$4&lt;=In_COD)</f>
        <v>0</v>
      </c>
      <c r="BG101" s="49" t="n">
        <f aca="false">BG99*$F22*(BG$4&lt;=In_COD)</f>
        <v>0</v>
      </c>
      <c r="BH101" s="49" t="n">
        <f aca="false">BH99*$F22*(BH$4&lt;=In_COD)</f>
        <v>0</v>
      </c>
      <c r="BI101" s="49" t="n">
        <f aca="false">BI99*$F22*(BI$4&lt;=In_COD)</f>
        <v>0</v>
      </c>
      <c r="BJ101" s="49" t="n">
        <f aca="false">BJ99*$F22*(BJ$4&lt;=In_COD)</f>
        <v>0</v>
      </c>
      <c r="BK101" s="49" t="n">
        <f aca="false">BK99*$F22*(BK$4&lt;=In_COD)</f>
        <v>0</v>
      </c>
      <c r="BL101" s="49" t="n">
        <f aca="false">BL99*$F22*(BL$4&lt;=In_COD)</f>
        <v>0</v>
      </c>
      <c r="BM101" s="49" t="n">
        <f aca="false">BM99*$F22*(BM$4&lt;=In_COD)</f>
        <v>0</v>
      </c>
      <c r="BN101" s="49" t="n">
        <f aca="false">BN99*$F22*(BN$4&lt;=In_COD)</f>
        <v>0</v>
      </c>
      <c r="BO101" s="49" t="n">
        <f aca="false">BO99*$F22*(BO$4&lt;=In_COD)</f>
        <v>0</v>
      </c>
      <c r="BP101" s="49" t="n">
        <f aca="false">BP99*$F22*(BP$4&lt;=In_COD)</f>
        <v>0</v>
      </c>
      <c r="BQ101" s="49" t="n">
        <f aca="false">BQ99*$F22*(BQ$4&lt;=In_COD)</f>
        <v>0</v>
      </c>
      <c r="BR101" s="49" t="n">
        <f aca="false">BR99*$F22*(BR$4&lt;=In_COD)</f>
        <v>0</v>
      </c>
      <c r="BS101" s="49" t="n">
        <f aca="false">BS99*$F22*(BS$4&lt;=In_COD)</f>
        <v>0</v>
      </c>
      <c r="BT101" s="49" t="n">
        <f aca="false">BT99*$F22*(BT$4&lt;=In_COD)</f>
        <v>0</v>
      </c>
      <c r="BU101" s="49" t="n">
        <f aca="false">BU99*$F22*(BU$4&lt;=In_COD)</f>
        <v>0</v>
      </c>
      <c r="BV101" s="49" t="n">
        <f aca="false">BV99*$F22*(BV$4&lt;=In_COD)</f>
        <v>0</v>
      </c>
      <c r="BW101" s="49" t="n">
        <f aca="false">BW99*$F22*(BW$4&lt;=In_COD)</f>
        <v>0</v>
      </c>
      <c r="BX101" s="49" t="n">
        <f aca="false">BX99*$F22*(BX$4&lt;=In_COD)</f>
        <v>0</v>
      </c>
      <c r="BY101" s="49" t="n">
        <f aca="false">BY99*$F22*(BY$4&lt;=In_COD)</f>
        <v>0</v>
      </c>
      <c r="BZ101" s="49" t="n">
        <f aca="false">BZ99*$F22*(BZ$4&lt;=In_COD)</f>
        <v>0</v>
      </c>
      <c r="CA101" s="49" t="n">
        <f aca="false">CA99*$F22*(CA$4&lt;=In_COD)</f>
        <v>0</v>
      </c>
      <c r="CB101" s="49" t="n">
        <f aca="false">CB99*$F22*(CB$4&lt;=In_COD)</f>
        <v>0</v>
      </c>
      <c r="CC101" s="49" t="n">
        <f aca="false">CC99*$F22*(CC$4&lt;=In_COD)</f>
        <v>0</v>
      </c>
      <c r="CD101" s="49" t="n">
        <f aca="false">CD99*$F22*(CD$4&lt;=In_COD)</f>
        <v>0</v>
      </c>
      <c r="CE101" s="49" t="n">
        <f aca="false">CE99*$F22*(CE$4&lt;=In_COD)</f>
        <v>0</v>
      </c>
      <c r="CF101" s="49" t="n">
        <f aca="false">CF99*$F22*(CF$4&lt;=In_COD)</f>
        <v>0</v>
      </c>
      <c r="CG101" s="49" t="n">
        <f aca="false">CG99*$F22*(CG$4&lt;=In_COD)</f>
        <v>0</v>
      </c>
      <c r="CH101" s="49" t="n">
        <f aca="false">CH99*$F22*(CH$4&lt;=In_COD)</f>
        <v>0</v>
      </c>
      <c r="CI101" s="49" t="n">
        <f aca="false">CI99*$F22*(CI$4&lt;=In_COD)</f>
        <v>0</v>
      </c>
      <c r="CJ101" s="49" t="n">
        <f aca="false">CJ99*$F22*(CJ$4&lt;=In_COD)</f>
        <v>0</v>
      </c>
      <c r="CK101" s="49" t="n">
        <f aca="false">CK99*$F22*(CK$4&lt;=In_COD)</f>
        <v>0</v>
      </c>
      <c r="CL101" s="49" t="n">
        <f aca="false">CL99*$F22*(CL$4&lt;=In_COD)</f>
        <v>0</v>
      </c>
      <c r="CM101" s="49" t="n">
        <f aca="false">CM99*$F22*(CM$4&lt;=In_COD)</f>
        <v>0</v>
      </c>
      <c r="CN101" s="49" t="n">
        <f aca="false">CN99*$F22*(CN$4&lt;=In_COD)</f>
        <v>0</v>
      </c>
      <c r="CO101" s="49" t="n">
        <f aca="false">CO99*$F22*(CO$4&lt;=In_COD)</f>
        <v>0</v>
      </c>
      <c r="CP101" s="49" t="n">
        <f aca="false">CP99*$F22*(CP$4&lt;=In_COD)</f>
        <v>0</v>
      </c>
      <c r="CQ101" s="49" t="n">
        <f aca="false">CQ99*$F22*(CQ$4&lt;=In_COD)</f>
        <v>0</v>
      </c>
      <c r="CR101" s="49" t="n">
        <f aca="false">CR99*$F22*(CR$4&lt;=In_COD)</f>
        <v>0</v>
      </c>
      <c r="CS101" s="49" t="n">
        <f aca="false">CS99*$F22*(CS$4&lt;=In_COD)</f>
        <v>0</v>
      </c>
      <c r="CT101" s="49" t="n">
        <f aca="false">CT99*$F22*(CT$4&lt;=In_COD)</f>
        <v>0</v>
      </c>
      <c r="CU101" s="49" t="n">
        <f aca="false">CU99*$F22*(CU$4&lt;=In_COD)</f>
        <v>0</v>
      </c>
      <c r="CV101" s="49" t="n">
        <f aca="false">CV99*$F22*(CV$4&lt;=In_COD)</f>
        <v>0</v>
      </c>
      <c r="CW101" s="49" t="n">
        <f aca="false">CW99*$F22*(CW$4&lt;=In_COD)</f>
        <v>0</v>
      </c>
      <c r="CX101" s="49" t="n">
        <f aca="false">CX99*$F22*(CX$4&lt;=In_COD)</f>
        <v>0</v>
      </c>
      <c r="CY101" s="49" t="n">
        <f aca="false">CY99*$F22*(CY$4&lt;=In_COD)</f>
        <v>0</v>
      </c>
      <c r="CZ101" s="49" t="n">
        <f aca="false">CZ99*$F22*(CZ$4&lt;=In_COD)</f>
        <v>0</v>
      </c>
      <c r="DA101" s="49" t="n">
        <f aca="false">DA99*$F22*(DA$4&lt;=In_COD)</f>
        <v>0</v>
      </c>
      <c r="DB101" s="49" t="n">
        <f aca="false">DB99*$F22*(DB$4&lt;=In_COD)</f>
        <v>0</v>
      </c>
      <c r="DC101" s="49" t="n">
        <f aca="false">DC99*$F22*(DC$4&lt;=In_COD)</f>
        <v>0</v>
      </c>
      <c r="DD101" s="49" t="n">
        <f aca="false">DD99*$F22*(DD$4&lt;=In_COD)</f>
        <v>0</v>
      </c>
      <c r="DE101" s="49" t="n">
        <f aca="false">DE99*$F22*(DE$4&lt;=In_COD)</f>
        <v>0</v>
      </c>
      <c r="DF101" s="49" t="n">
        <f aca="false">DF99*$F22*(DF$4&lt;=In_COD)</f>
        <v>0</v>
      </c>
      <c r="DG101" s="49" t="n">
        <f aca="false">DG99*$F22*(DG$4&lt;=In_COD)</f>
        <v>0</v>
      </c>
      <c r="DH101" s="49" t="n">
        <f aca="false">DH99*$F22*(DH$4&lt;=In_COD)</f>
        <v>0</v>
      </c>
      <c r="DI101" s="49" t="n">
        <f aca="false">DI99*$F22*(DI$4&lt;=In_COD)</f>
        <v>0</v>
      </c>
      <c r="DJ101" s="49" t="n">
        <f aca="false">DJ99*$F22*(DJ$4&lt;=In_COD)</f>
        <v>0</v>
      </c>
      <c r="DK101" s="49" t="n">
        <f aca="false">DK99*$F22*(DK$4&lt;=In_COD)</f>
        <v>0</v>
      </c>
      <c r="DL101" s="49" t="n">
        <f aca="false">DL99*$F22*(DL$4&lt;=In_COD)</f>
        <v>0</v>
      </c>
      <c r="DM101" s="49" t="n">
        <f aca="false">DM99*$F22*(DM$4&lt;=In_COD)</f>
        <v>0</v>
      </c>
      <c r="DN101" s="49" t="n">
        <f aca="false">DN99*$F22*(DN$4&lt;=In_COD)</f>
        <v>0</v>
      </c>
      <c r="DO101" s="49" t="n">
        <f aca="false">DO99*$F22*(DO$4&lt;=In_COD)</f>
        <v>0</v>
      </c>
      <c r="DP101" s="49" t="n">
        <f aca="false">DP99*$F22*(DP$4&lt;=In_COD)</f>
        <v>0</v>
      </c>
      <c r="DQ101" s="49" t="n">
        <f aca="false">DQ99*$F22*(DQ$4&lt;=In_COD)</f>
        <v>0</v>
      </c>
      <c r="DR101" s="49" t="n">
        <f aca="false">DR99*$F22*(DR$4&lt;=In_COD)</f>
        <v>0</v>
      </c>
      <c r="DS101" s="49" t="n">
        <f aca="false">DS99*$F22*(DS$4&lt;=In_COD)</f>
        <v>0</v>
      </c>
      <c r="DT101" s="49" t="n">
        <f aca="false">DT99*$F22*(DT$4&lt;=In_COD)</f>
        <v>0</v>
      </c>
      <c r="DU101" s="49" t="n">
        <f aca="false">DU99*$F22*(DU$4&lt;=In_COD)</f>
        <v>0</v>
      </c>
      <c r="DV101" s="49" t="n">
        <f aca="false">DV99*$F22*(DV$4&lt;=In_COD)</f>
        <v>0</v>
      </c>
      <c r="DW101" s="49" t="n">
        <f aca="false">DW99*$F22*(DW$4&lt;=In_COD)</f>
        <v>0</v>
      </c>
      <c r="DX101" s="49" t="n">
        <f aca="false">DX99*$F22*(DX$4&lt;=In_COD)</f>
        <v>0</v>
      </c>
      <c r="DY101" s="49" t="n">
        <f aca="false">DY99*$F22*(DY$4&lt;=In_COD)</f>
        <v>0</v>
      </c>
      <c r="DZ101" s="49" t="n">
        <f aca="false">DZ99*$F22*(DZ$4&lt;=In_COD)</f>
        <v>0</v>
      </c>
      <c r="EA101" s="49" t="n">
        <f aca="false">EA99*$F22*(EA$4&lt;=In_COD)</f>
        <v>0</v>
      </c>
      <c r="EB101" s="49" t="n">
        <f aca="false">EB99*$F22*(EB$4&lt;=In_COD)</f>
        <v>0</v>
      </c>
      <c r="EC101" s="49" t="n">
        <f aca="false">EC99*$F22*(EC$4&lt;=In_COD)</f>
        <v>0</v>
      </c>
      <c r="ED101" s="49" t="n">
        <f aca="false">ED99*$F22*(ED$4&lt;=In_COD)</f>
        <v>0</v>
      </c>
      <c r="EE101" s="49" t="n">
        <f aca="false">EE99*$F22*(EE$4&lt;=In_COD)</f>
        <v>0</v>
      </c>
      <c r="EF101" s="49" t="n">
        <f aca="false">EF99*$F22*(EF$4&lt;=In_COD)</f>
        <v>0</v>
      </c>
      <c r="EG101" s="49" t="n">
        <f aca="false">EG99*$F22*(EG$4&lt;=In_COD)</f>
        <v>0</v>
      </c>
      <c r="EH101" s="49" t="n">
        <f aca="false">EH99*$F22*(EH$4&lt;=In_COD)</f>
        <v>0</v>
      </c>
      <c r="EI101" s="49" t="n">
        <f aca="false">EI99*$F22*(EI$4&lt;=In_COD)</f>
        <v>0</v>
      </c>
      <c r="EJ101" s="49" t="n">
        <f aca="false">EJ99*$F22*(EJ$4&lt;=In_COD)</f>
        <v>0</v>
      </c>
      <c r="EK101" s="49" t="n">
        <f aca="false">EK99*$F22*(EK$4&lt;=In_COD)</f>
        <v>0</v>
      </c>
      <c r="EL101" s="49" t="n">
        <f aca="false">EL99*$F22*(EL$4&lt;=In_COD)</f>
        <v>0</v>
      </c>
      <c r="EM101" s="49" t="n">
        <f aca="false">EM99*$F22*(EM$4&lt;=In_COD)</f>
        <v>0</v>
      </c>
      <c r="EN101" s="49" t="n">
        <f aca="false">EN99*$F22*(EN$4&lt;=In_COD)</f>
        <v>0</v>
      </c>
      <c r="EO101" s="49" t="n">
        <f aca="false">EO99*$F22*(EO$4&lt;=In_COD)</f>
        <v>0</v>
      </c>
    </row>
    <row r="102" customFormat="false" ht="15" hidden="false" customHeight="false" outlineLevel="0" collapsed="false">
      <c r="C102" s="1" t="s">
        <v>490</v>
      </c>
      <c r="D102" s="12" t="s">
        <v>33</v>
      </c>
      <c r="I102" s="49" t="n">
        <f aca="false">SUM(J102:EO102)</f>
        <v>-49500</v>
      </c>
      <c r="J102" s="49" t="n">
        <f aca="false">J95+J97</f>
        <v>0</v>
      </c>
      <c r="K102" s="49" t="n">
        <f aca="false">K95+K97</f>
        <v>0</v>
      </c>
      <c r="L102" s="49" t="n">
        <f aca="false">L95+L97</f>
        <v>0</v>
      </c>
      <c r="M102" s="49" t="n">
        <f aca="false">M95+M97</f>
        <v>0</v>
      </c>
      <c r="N102" s="49" t="n">
        <f aca="false">N95+N97</f>
        <v>0</v>
      </c>
      <c r="O102" s="49" t="n">
        <f aca="false">O95+O97</f>
        <v>0</v>
      </c>
      <c r="P102" s="49" t="n">
        <f aca="false">P95+P97</f>
        <v>0</v>
      </c>
      <c r="Q102" s="49" t="n">
        <f aca="false">Q95+Q97</f>
        <v>0</v>
      </c>
      <c r="R102" s="49" t="n">
        <f aca="false">R95+R97</f>
        <v>0</v>
      </c>
      <c r="S102" s="49" t="n">
        <f aca="false">S95+S97</f>
        <v>0</v>
      </c>
      <c r="T102" s="49" t="n">
        <f aca="false">T95+T97</f>
        <v>0</v>
      </c>
      <c r="U102" s="49" t="n">
        <f aca="false">U95+U97</f>
        <v>0</v>
      </c>
      <c r="V102" s="49" t="n">
        <f aca="false">V95+V97</f>
        <v>0</v>
      </c>
      <c r="W102" s="49" t="n">
        <f aca="false">W95+W97</f>
        <v>0</v>
      </c>
      <c r="X102" s="49" t="n">
        <f aca="false">X95+X97</f>
        <v>0</v>
      </c>
      <c r="Y102" s="49" t="n">
        <f aca="false">Y95+Y97</f>
        <v>0</v>
      </c>
      <c r="Z102" s="49" t="n">
        <f aca="false">Z95+Z97</f>
        <v>-558.851539274757</v>
      </c>
      <c r="AA102" s="49" t="n">
        <f aca="false">AA95+AA97</f>
        <v>-565.837183515692</v>
      </c>
      <c r="AB102" s="49" t="n">
        <f aca="false">AB95+AB97</f>
        <v>-572.910148309638</v>
      </c>
      <c r="AC102" s="49" t="n">
        <f aca="false">AC95+AC97</f>
        <v>-580.071525163509</v>
      </c>
      <c r="AD102" s="49" t="n">
        <f aca="false">AD95+AD97</f>
        <v>-587.322419228052</v>
      </c>
      <c r="AE102" s="49" t="n">
        <f aca="false">AE95+AE97</f>
        <v>-594.663949468403</v>
      </c>
      <c r="AF102" s="49" t="n">
        <f aca="false">AF95+AF97</f>
        <v>-602.097248836758</v>
      </c>
      <c r="AG102" s="49" t="n">
        <f aca="false">AG95+AG97</f>
        <v>-609.623464447218</v>
      </c>
      <c r="AH102" s="49" t="n">
        <f aca="false">AH95+AH97</f>
        <v>-617.243757752808</v>
      </c>
      <c r="AI102" s="49" t="n">
        <f aca="false">AI95+AI97</f>
        <v>-624.959304724718</v>
      </c>
      <c r="AJ102" s="49" t="n">
        <f aca="false">AJ95+AJ97</f>
        <v>-632.771296033777</v>
      </c>
      <c r="AK102" s="49" t="n">
        <f aca="false">AK95+AK97</f>
        <v>-640.680937234199</v>
      </c>
      <c r="AL102" s="49" t="n">
        <f aca="false">AL95+AL97</f>
        <v>-648.689448949627</v>
      </c>
      <c r="AM102" s="49" t="n">
        <f aca="false">AM95+AM97</f>
        <v>-656.798067061497</v>
      </c>
      <c r="AN102" s="49" t="n">
        <f aca="false">AN95+AN97</f>
        <v>-665.008042899766</v>
      </c>
      <c r="AO102" s="49" t="n">
        <f aca="false">AO95+AO97</f>
        <v>-673.320643436013</v>
      </c>
      <c r="AP102" s="49" t="n">
        <f aca="false">AP95+AP97</f>
        <v>-681.737151478963</v>
      </c>
      <c r="AQ102" s="49" t="n">
        <f aca="false">AQ95+AQ97</f>
        <v>-690.25886587245</v>
      </c>
      <c r="AR102" s="49" t="n">
        <f aca="false">AR95+AR97</f>
        <v>-698.887101695856</v>
      </c>
      <c r="AS102" s="49" t="n">
        <f aca="false">AS95+AS97</f>
        <v>-707.623190467054</v>
      </c>
      <c r="AT102" s="49" t="n">
        <f aca="false">AT95+AT97</f>
        <v>-716.468480347892</v>
      </c>
      <c r="AU102" s="49" t="n">
        <f aca="false">AU95+AU97</f>
        <v>-725.424336352241</v>
      </c>
      <c r="AV102" s="49" t="n">
        <f aca="false">AV95+AV97</f>
        <v>-734.492140556644</v>
      </c>
      <c r="AW102" s="49" t="n">
        <f aca="false">AW95+AW97</f>
        <v>-743.673292313602</v>
      </c>
      <c r="AX102" s="49" t="n">
        <f aca="false">AX95+AX97</f>
        <v>-752.969208467522</v>
      </c>
      <c r="AY102" s="49" t="n">
        <f aca="false">AY95+AY97</f>
        <v>-762.381323573366</v>
      </c>
      <c r="AZ102" s="49" t="n">
        <f aca="false">AZ95+AZ97</f>
        <v>-771.911090118033</v>
      </c>
      <c r="BA102" s="49" t="n">
        <f aca="false">BA95+BA97</f>
        <v>-781.559978744508</v>
      </c>
      <c r="BB102" s="49" t="n">
        <f aca="false">BB95+BB97</f>
        <v>-791.329478478815</v>
      </c>
      <c r="BC102" s="49" t="n">
        <f aca="false">BC95+BC97</f>
        <v>-801.2210969598</v>
      </c>
      <c r="BD102" s="49" t="n">
        <f aca="false">BD95+BD97</f>
        <v>-811.236360671797</v>
      </c>
      <c r="BE102" s="49" t="n">
        <f aca="false">BE95+BE97</f>
        <v>-821.376815180195</v>
      </c>
      <c r="BF102" s="49" t="n">
        <f aca="false">BF95+BF97</f>
        <v>-831.644025369947</v>
      </c>
      <c r="BG102" s="49" t="n">
        <f aca="false">BG95+BG97</f>
        <v>-842.039575687071</v>
      </c>
      <c r="BH102" s="49" t="n">
        <f aca="false">BH95+BH97</f>
        <v>-852.56507038316</v>
      </c>
      <c r="BI102" s="49" t="n">
        <f aca="false">BI95+BI97</f>
        <v>-863.222133762949</v>
      </c>
      <c r="BJ102" s="49" t="n">
        <f aca="false">BJ95+BJ97</f>
        <v>-874.012410434986</v>
      </c>
      <c r="BK102" s="49" t="n">
        <f aca="false">BK95+BK97</f>
        <v>-884.937565565424</v>
      </c>
      <c r="BL102" s="49" t="n">
        <f aca="false">BL95+BL97</f>
        <v>-895.999285134991</v>
      </c>
      <c r="BM102" s="49" t="n">
        <f aca="false">BM95+BM97</f>
        <v>-907.199276199179</v>
      </c>
      <c r="BN102" s="49" t="n">
        <f aca="false">BN95+BN97</f>
        <v>-918.539267151668</v>
      </c>
      <c r="BO102" s="49" t="n">
        <f aca="false">BO95+BO97</f>
        <v>-930.021007991064</v>
      </c>
      <c r="BP102" s="49" t="n">
        <f aca="false">BP95+BP97</f>
        <v>-941.646270590953</v>
      </c>
      <c r="BQ102" s="49" t="n">
        <f aca="false">BQ95+BQ97</f>
        <v>-953.416848973339</v>
      </c>
      <c r="BR102" s="49" t="n">
        <f aca="false">BR95+BR97</f>
        <v>-965.334559585506</v>
      </c>
      <c r="BS102" s="49" t="n">
        <f aca="false">BS95+BS97</f>
        <v>-977.401241580325</v>
      </c>
      <c r="BT102" s="49" t="n">
        <f aca="false">BT95+BT97</f>
        <v>-989.618757100079</v>
      </c>
      <c r="BU102" s="49" t="n">
        <f aca="false">BU95+BU97</f>
        <v>-1001.98899156383</v>
      </c>
      <c r="BV102" s="49" t="n">
        <f aca="false">BV95+BV97</f>
        <v>-1014.51385395838</v>
      </c>
      <c r="BW102" s="49" t="n">
        <f aca="false">BW95+BW97</f>
        <v>-1027.19527713286</v>
      </c>
      <c r="BX102" s="49" t="n">
        <f aca="false">BX95+BX97</f>
        <v>-1040.03521809702</v>
      </c>
      <c r="BY102" s="49" t="n">
        <f aca="false">BY95+BY97</f>
        <v>-1053.03565832323</v>
      </c>
      <c r="BZ102" s="49" t="n">
        <f aca="false">BZ95+BZ97</f>
        <v>-1066.19860405227</v>
      </c>
      <c r="CA102" s="49" t="n">
        <f aca="false">CA95+CA97</f>
        <v>-1079.52608660292</v>
      </c>
      <c r="CB102" s="49" t="n">
        <f aca="false">CB95+CB97</f>
        <v>-1093.02016268546</v>
      </c>
      <c r="CC102" s="49" t="n">
        <f aca="false">CC95+CC97</f>
        <v>-1106.68291471903</v>
      </c>
      <c r="CD102" s="49" t="n">
        <f aca="false">CD95+CD97</f>
        <v>-1120.51645115302</v>
      </c>
      <c r="CE102" s="49" t="n">
        <f aca="false">CE95+CE97</f>
        <v>-1134.52290679243</v>
      </c>
      <c r="CF102" s="49" t="n">
        <f aca="false">CF95+CF97</f>
        <v>-1148.70444312734</v>
      </c>
      <c r="CG102" s="49" t="n">
        <f aca="false">CG95+CG97</f>
        <v>-1163.06324866642</v>
      </c>
      <c r="CH102" s="49" t="n">
        <f aca="false">CH95+CH97</f>
        <v>-0</v>
      </c>
      <c r="CI102" s="49" t="n">
        <f aca="false">CI95+CI97</f>
        <v>-0</v>
      </c>
      <c r="CJ102" s="49" t="n">
        <f aca="false">CJ95+CJ97</f>
        <v>-0</v>
      </c>
      <c r="CK102" s="49" t="n">
        <f aca="false">CK95+CK97</f>
        <v>-0</v>
      </c>
      <c r="CL102" s="49" t="n">
        <f aca="false">CL95+CL97</f>
        <v>-0</v>
      </c>
      <c r="CM102" s="49" t="n">
        <f aca="false">CM95+CM97</f>
        <v>-0</v>
      </c>
      <c r="CN102" s="49" t="n">
        <f aca="false">CN95+CN97</f>
        <v>-0</v>
      </c>
      <c r="CO102" s="49" t="n">
        <f aca="false">CO95+CO97</f>
        <v>-0</v>
      </c>
      <c r="CP102" s="49" t="n">
        <f aca="false">CP95+CP97</f>
        <v>-0</v>
      </c>
      <c r="CQ102" s="49" t="n">
        <f aca="false">CQ95+CQ97</f>
        <v>-0</v>
      </c>
      <c r="CR102" s="49" t="n">
        <f aca="false">CR95+CR97</f>
        <v>-0</v>
      </c>
      <c r="CS102" s="49" t="n">
        <f aca="false">CS95+CS97</f>
        <v>-0</v>
      </c>
      <c r="CT102" s="49" t="n">
        <f aca="false">CT95+CT97</f>
        <v>-0</v>
      </c>
      <c r="CU102" s="49" t="n">
        <f aca="false">CU95+CU97</f>
        <v>-0</v>
      </c>
      <c r="CV102" s="49" t="n">
        <f aca="false">CV95+CV97</f>
        <v>-0</v>
      </c>
      <c r="CW102" s="49" t="n">
        <f aca="false">CW95+CW97</f>
        <v>-0</v>
      </c>
      <c r="CX102" s="49" t="n">
        <f aca="false">CX95+CX97</f>
        <v>-0</v>
      </c>
      <c r="CY102" s="49" t="n">
        <f aca="false">CY95+CY97</f>
        <v>-0</v>
      </c>
      <c r="CZ102" s="49" t="n">
        <f aca="false">CZ95+CZ97</f>
        <v>-0</v>
      </c>
      <c r="DA102" s="49" t="n">
        <f aca="false">DA95+DA97</f>
        <v>-0</v>
      </c>
      <c r="DB102" s="49" t="n">
        <f aca="false">DB95+DB97</f>
        <v>-0</v>
      </c>
      <c r="DC102" s="49" t="n">
        <f aca="false">DC95+DC97</f>
        <v>-0</v>
      </c>
      <c r="DD102" s="49" t="n">
        <f aca="false">DD95+DD97</f>
        <v>-0</v>
      </c>
      <c r="DE102" s="49" t="n">
        <f aca="false">DE95+DE97</f>
        <v>-0</v>
      </c>
      <c r="DF102" s="49" t="n">
        <f aca="false">DF95+DF97</f>
        <v>-0</v>
      </c>
      <c r="DG102" s="49" t="n">
        <f aca="false">DG95+DG97</f>
        <v>-0</v>
      </c>
      <c r="DH102" s="49" t="n">
        <f aca="false">DH95+DH97</f>
        <v>-0</v>
      </c>
      <c r="DI102" s="49" t="n">
        <f aca="false">DI95+DI97</f>
        <v>-0</v>
      </c>
      <c r="DJ102" s="49" t="n">
        <f aca="false">DJ95+DJ97</f>
        <v>-0</v>
      </c>
      <c r="DK102" s="49" t="n">
        <f aca="false">DK95+DK97</f>
        <v>-0</v>
      </c>
      <c r="DL102" s="49" t="n">
        <f aca="false">DL95+DL97</f>
        <v>-0</v>
      </c>
      <c r="DM102" s="49" t="n">
        <f aca="false">DM95+DM97</f>
        <v>-0</v>
      </c>
      <c r="DN102" s="49" t="n">
        <f aca="false">DN95+DN97</f>
        <v>-0</v>
      </c>
      <c r="DO102" s="49" t="n">
        <f aca="false">DO95+DO97</f>
        <v>-0</v>
      </c>
      <c r="DP102" s="49" t="n">
        <f aca="false">DP95+DP97</f>
        <v>-0</v>
      </c>
      <c r="DQ102" s="49" t="n">
        <f aca="false">DQ95+DQ97</f>
        <v>-0</v>
      </c>
      <c r="DR102" s="49" t="n">
        <f aca="false">DR95+DR97</f>
        <v>-0</v>
      </c>
      <c r="DS102" s="49" t="n">
        <f aca="false">DS95+DS97</f>
        <v>-0</v>
      </c>
      <c r="DT102" s="49" t="n">
        <f aca="false">DT95+DT97</f>
        <v>-0</v>
      </c>
      <c r="DU102" s="49" t="n">
        <f aca="false">DU95+DU97</f>
        <v>-0</v>
      </c>
      <c r="DV102" s="49" t="n">
        <f aca="false">DV95+DV97</f>
        <v>-0</v>
      </c>
      <c r="DW102" s="49" t="n">
        <f aca="false">DW95+DW97</f>
        <v>-0</v>
      </c>
      <c r="DX102" s="49" t="n">
        <f aca="false">DX95+DX97</f>
        <v>-0</v>
      </c>
      <c r="DY102" s="49" t="n">
        <f aca="false">DY95+DY97</f>
        <v>-0</v>
      </c>
      <c r="DZ102" s="49" t="n">
        <f aca="false">DZ95+DZ97</f>
        <v>-0</v>
      </c>
      <c r="EA102" s="49" t="n">
        <f aca="false">EA95+EA97</f>
        <v>-0</v>
      </c>
      <c r="EB102" s="49" t="n">
        <f aca="false">EB95+EB97</f>
        <v>-0</v>
      </c>
      <c r="EC102" s="49" t="n">
        <f aca="false">EC95+EC97</f>
        <v>-0</v>
      </c>
      <c r="ED102" s="49" t="n">
        <f aca="false">ED95+ED97</f>
        <v>-0</v>
      </c>
      <c r="EE102" s="49" t="n">
        <f aca="false">EE95+EE97</f>
        <v>-0</v>
      </c>
      <c r="EF102" s="49" t="n">
        <f aca="false">EF95+EF97</f>
        <v>-0</v>
      </c>
      <c r="EG102" s="49" t="n">
        <f aca="false">EG95+EG97</f>
        <v>-0</v>
      </c>
      <c r="EH102" s="49" t="n">
        <f aca="false">EH95+EH97</f>
        <v>-0</v>
      </c>
      <c r="EI102" s="49" t="n">
        <f aca="false">EI95+EI97</f>
        <v>-0</v>
      </c>
      <c r="EJ102" s="49" t="n">
        <f aca="false">EJ95+EJ97</f>
        <v>-0</v>
      </c>
      <c r="EK102" s="49" t="n">
        <f aca="false">EK95+EK97</f>
        <v>-0</v>
      </c>
      <c r="EL102" s="49" t="n">
        <f aca="false">EL95+EL97</f>
        <v>-0</v>
      </c>
      <c r="EM102" s="49" t="n">
        <f aca="false">EM95+EM97</f>
        <v>-0</v>
      </c>
      <c r="EN102" s="49" t="n">
        <f aca="false">EN95+EN97</f>
        <v>-0</v>
      </c>
      <c r="EO102" s="49" t="n">
        <f aca="false">EO95+EO97</f>
        <v>-0</v>
      </c>
    </row>
    <row r="103" customFormat="false" ht="15" hidden="false" customHeight="false" outlineLevel="0" collapsed="false">
      <c r="C103" s="26" t="s">
        <v>491</v>
      </c>
      <c r="D103" s="12" t="s">
        <v>33</v>
      </c>
      <c r="E103" s="58" t="n">
        <f aca="false">SUMIF($J$4:$EO$4,In_COD,$J103:$EO103)</f>
        <v>49500</v>
      </c>
      <c r="I103" s="60"/>
      <c r="J103" s="58" t="n">
        <f aca="false">SUM(J99:J102)</f>
        <v>0</v>
      </c>
      <c r="K103" s="58" t="n">
        <f aca="false">SUM(K99:K102)</f>
        <v>0</v>
      </c>
      <c r="L103" s="58" t="n">
        <f aca="false">SUM(L99:L102)</f>
        <v>0</v>
      </c>
      <c r="M103" s="58" t="n">
        <f aca="false">SUM(M99:M102)</f>
        <v>0</v>
      </c>
      <c r="N103" s="58" t="n">
        <f aca="false">SUM(N99:N102)</f>
        <v>0</v>
      </c>
      <c r="O103" s="58" t="n">
        <f aca="false">SUM(O99:O102)</f>
        <v>0</v>
      </c>
      <c r="P103" s="58" t="n">
        <f aca="false">SUM(P99:P102)</f>
        <v>0</v>
      </c>
      <c r="Q103" s="58" t="n">
        <f aca="false">SUM(Q99:Q102)</f>
        <v>0</v>
      </c>
      <c r="R103" s="58" t="n">
        <f aca="false">SUM(R99:R102)</f>
        <v>5116.61953685185</v>
      </c>
      <c r="S103" s="58" t="n">
        <f aca="false">SUM(S99:S102)</f>
        <v>15301.8343169001</v>
      </c>
      <c r="T103" s="58" t="n">
        <f aca="false">SUM(T99:T102)</f>
        <v>20554.1113529648</v>
      </c>
      <c r="U103" s="58" t="n">
        <f aca="false">SUM(U99:U102)</f>
        <v>25927.6572817287</v>
      </c>
      <c r="V103" s="58" t="n">
        <f aca="false">SUM(V99:V102)</f>
        <v>31368.3725346022</v>
      </c>
      <c r="W103" s="58" t="n">
        <f aca="false">SUM(W99:W102)</f>
        <v>36765.8658686398</v>
      </c>
      <c r="X103" s="58" t="n">
        <f aca="false">SUM(X99:X102)</f>
        <v>42286.4432991012</v>
      </c>
      <c r="Y103" s="58" t="n">
        <f aca="false">SUM(Y99:Y102)</f>
        <v>49500</v>
      </c>
      <c r="Z103" s="58" t="n">
        <f aca="false">SUM(Z99:Z102)</f>
        <v>48941.1484607253</v>
      </c>
      <c r="AA103" s="58" t="n">
        <f aca="false">SUM(AA99:AA102)</f>
        <v>48375.3112772096</v>
      </c>
      <c r="AB103" s="58" t="n">
        <f aca="false">SUM(AB99:AB102)</f>
        <v>47802.4011288999</v>
      </c>
      <c r="AC103" s="58" t="n">
        <f aca="false">SUM(AC99:AC102)</f>
        <v>47222.3296037364</v>
      </c>
      <c r="AD103" s="58" t="n">
        <f aca="false">SUM(AD99:AD102)</f>
        <v>46635.0071845084</v>
      </c>
      <c r="AE103" s="58" t="n">
        <f aca="false">SUM(AE99:AE102)</f>
        <v>46040.34323504</v>
      </c>
      <c r="AF103" s="58" t="n">
        <f aca="false">SUM(AF99:AF102)</f>
        <v>45438.2459862032</v>
      </c>
      <c r="AG103" s="58" t="n">
        <f aca="false">SUM(AG99:AG102)</f>
        <v>44828.622521756</v>
      </c>
      <c r="AH103" s="58" t="n">
        <f aca="false">SUM(AH99:AH102)</f>
        <v>44211.3787640032</v>
      </c>
      <c r="AI103" s="58" t="n">
        <f aca="false">SUM(AI99:AI102)</f>
        <v>43586.4194592785</v>
      </c>
      <c r="AJ103" s="58" t="n">
        <f aca="false">SUM(AJ99:AJ102)</f>
        <v>42953.6481632447</v>
      </c>
      <c r="AK103" s="58" t="n">
        <f aca="false">SUM(AK99:AK102)</f>
        <v>42312.9672260105</v>
      </c>
      <c r="AL103" s="58" t="n">
        <f aca="false">SUM(AL99:AL102)</f>
        <v>41664.2777770609</v>
      </c>
      <c r="AM103" s="58" t="n">
        <f aca="false">SUM(AM99:AM102)</f>
        <v>41007.4797099994</v>
      </c>
      <c r="AN103" s="58" t="n">
        <f aca="false">SUM(AN99:AN102)</f>
        <v>40342.4716670996</v>
      </c>
      <c r="AO103" s="58" t="n">
        <f aca="false">SUM(AO99:AO102)</f>
        <v>39669.1510236636</v>
      </c>
      <c r="AP103" s="58" t="n">
        <f aca="false">SUM(AP99:AP102)</f>
        <v>38987.4138721846</v>
      </c>
      <c r="AQ103" s="58" t="n">
        <f aca="false">SUM(AQ99:AQ102)</f>
        <v>38297.1550063122</v>
      </c>
      <c r="AR103" s="58" t="n">
        <f aca="false">SUM(AR99:AR102)</f>
        <v>37598.2679046163</v>
      </c>
      <c r="AS103" s="58" t="n">
        <f aca="false">SUM(AS99:AS102)</f>
        <v>36890.6447141492</v>
      </c>
      <c r="AT103" s="58" t="n">
        <f aca="false">SUM(AT99:AT102)</f>
        <v>36174.1762338014</v>
      </c>
      <c r="AU103" s="58" t="n">
        <f aca="false">SUM(AU99:AU102)</f>
        <v>35448.7518974491</v>
      </c>
      <c r="AV103" s="58" t="n">
        <f aca="false">SUM(AV99:AV102)</f>
        <v>34714.2597568925</v>
      </c>
      <c r="AW103" s="58" t="n">
        <f aca="false">SUM(AW99:AW102)</f>
        <v>33970.5864645789</v>
      </c>
      <c r="AX103" s="58" t="n">
        <f aca="false">SUM(AX99:AX102)</f>
        <v>33217.6172561114</v>
      </c>
      <c r="AY103" s="58" t="n">
        <f aca="false">SUM(AY99:AY102)</f>
        <v>32455.235932538</v>
      </c>
      <c r="AZ103" s="58" t="n">
        <f aca="false">SUM(AZ99:AZ102)</f>
        <v>31683.32484242</v>
      </c>
      <c r="BA103" s="58" t="n">
        <f aca="false">SUM(BA99:BA102)</f>
        <v>30901.7648636755</v>
      </c>
      <c r="BB103" s="58" t="n">
        <f aca="false">SUM(BB99:BB102)</f>
        <v>30110.4353851966</v>
      </c>
      <c r="BC103" s="58" t="n">
        <f aca="false">SUM(BC99:BC102)</f>
        <v>29309.2142882368</v>
      </c>
      <c r="BD103" s="58" t="n">
        <f aca="false">SUM(BD99:BD102)</f>
        <v>28497.977927565</v>
      </c>
      <c r="BE103" s="58" t="n">
        <f aca="false">SUM(BE99:BE102)</f>
        <v>27676.6011123848</v>
      </c>
      <c r="BF103" s="58" t="n">
        <f aca="false">SUM(BF99:BF102)</f>
        <v>26844.9570870149</v>
      </c>
      <c r="BG103" s="58" t="n">
        <f aca="false">SUM(BG99:BG102)</f>
        <v>26002.9175113278</v>
      </c>
      <c r="BH103" s="58" t="n">
        <f aca="false">SUM(BH99:BH102)</f>
        <v>25150.3524409447</v>
      </c>
      <c r="BI103" s="58" t="n">
        <f aca="false">SUM(BI99:BI102)</f>
        <v>24287.1303071817</v>
      </c>
      <c r="BJ103" s="58" t="n">
        <f aca="false">SUM(BJ99:BJ102)</f>
        <v>23413.1178967467</v>
      </c>
      <c r="BK103" s="58" t="n">
        <f aca="false">SUM(BK99:BK102)</f>
        <v>22528.1803311813</v>
      </c>
      <c r="BL103" s="58" t="n">
        <f aca="false">SUM(BL99:BL102)</f>
        <v>21632.1810460463</v>
      </c>
      <c r="BM103" s="58" t="n">
        <f aca="false">SUM(BM99:BM102)</f>
        <v>20724.9817698471</v>
      </c>
      <c r="BN103" s="58" t="n">
        <f aca="false">SUM(BN99:BN102)</f>
        <v>19806.4425026955</v>
      </c>
      <c r="BO103" s="58" t="n">
        <f aca="false">SUM(BO99:BO102)</f>
        <v>18876.4214947044</v>
      </c>
      <c r="BP103" s="58" t="n">
        <f aca="false">SUM(BP99:BP102)</f>
        <v>17934.7752241135</v>
      </c>
      <c r="BQ103" s="58" t="n">
        <f aca="false">SUM(BQ99:BQ102)</f>
        <v>16981.3583751401</v>
      </c>
      <c r="BR103" s="58" t="n">
        <f aca="false">SUM(BR99:BR102)</f>
        <v>16016.0238155546</v>
      </c>
      <c r="BS103" s="58" t="n">
        <f aca="false">SUM(BS99:BS102)</f>
        <v>15038.6225739743</v>
      </c>
      <c r="BT103" s="58" t="n">
        <f aca="false">SUM(BT99:BT102)</f>
        <v>14049.0038168742</v>
      </c>
      <c r="BU103" s="58" t="n">
        <f aca="false">SUM(BU99:BU102)</f>
        <v>13047.0148253104</v>
      </c>
      <c r="BV103" s="58" t="n">
        <f aca="false">SUM(BV99:BV102)</f>
        <v>12032.500971352</v>
      </c>
      <c r="BW103" s="58" t="n">
        <f aca="false">SUM(BW99:BW102)</f>
        <v>11005.3056942191</v>
      </c>
      <c r="BX103" s="58" t="n">
        <f aca="false">SUM(BX99:BX102)</f>
        <v>9965.27047612213</v>
      </c>
      <c r="BY103" s="58" t="n">
        <f aca="false">SUM(BY99:BY102)</f>
        <v>8912.23481779889</v>
      </c>
      <c r="BZ103" s="58" t="n">
        <f aca="false">SUM(BZ99:BZ102)</f>
        <v>7846.03621374662</v>
      </c>
      <c r="CA103" s="58" t="n">
        <f aca="false">SUM(CA99:CA102)</f>
        <v>6766.5101271437</v>
      </c>
      <c r="CB103" s="58" t="n">
        <f aca="false">SUM(CB99:CB102)</f>
        <v>5673.48996445824</v>
      </c>
      <c r="CC103" s="58" t="n">
        <f aca="false">SUM(CC99:CC102)</f>
        <v>4566.80704973921</v>
      </c>
      <c r="CD103" s="58" t="n">
        <f aca="false">SUM(CD99:CD102)</f>
        <v>3446.29059858619</v>
      </c>
      <c r="CE103" s="58" t="n">
        <f aca="false">SUM(CE99:CE102)</f>
        <v>2311.76769179376</v>
      </c>
      <c r="CF103" s="58" t="n">
        <f aca="false">SUM(CF99:CF102)</f>
        <v>1163.06324866642</v>
      </c>
      <c r="CG103" s="58" t="n">
        <f aca="false">SUM(CG99:CG102)</f>
        <v>0</v>
      </c>
      <c r="CH103" s="58" t="n">
        <f aca="false">SUM(CH99:CH102)</f>
        <v>0</v>
      </c>
      <c r="CI103" s="58" t="n">
        <f aca="false">SUM(CI99:CI102)</f>
        <v>0</v>
      </c>
      <c r="CJ103" s="58" t="n">
        <f aca="false">SUM(CJ99:CJ102)</f>
        <v>0</v>
      </c>
      <c r="CK103" s="58" t="n">
        <f aca="false">SUM(CK99:CK102)</f>
        <v>0</v>
      </c>
      <c r="CL103" s="58" t="n">
        <f aca="false">SUM(CL99:CL102)</f>
        <v>0</v>
      </c>
      <c r="CM103" s="58" t="n">
        <f aca="false">SUM(CM99:CM102)</f>
        <v>0</v>
      </c>
      <c r="CN103" s="58" t="n">
        <f aca="false">SUM(CN99:CN102)</f>
        <v>0</v>
      </c>
      <c r="CO103" s="58" t="n">
        <f aca="false">SUM(CO99:CO102)</f>
        <v>0</v>
      </c>
      <c r="CP103" s="58" t="n">
        <f aca="false">SUM(CP99:CP102)</f>
        <v>0</v>
      </c>
      <c r="CQ103" s="58" t="n">
        <f aca="false">SUM(CQ99:CQ102)</f>
        <v>0</v>
      </c>
      <c r="CR103" s="58" t="n">
        <f aca="false">SUM(CR99:CR102)</f>
        <v>0</v>
      </c>
      <c r="CS103" s="58" t="n">
        <f aca="false">SUM(CS99:CS102)</f>
        <v>0</v>
      </c>
      <c r="CT103" s="58" t="n">
        <f aca="false">SUM(CT99:CT102)</f>
        <v>0</v>
      </c>
      <c r="CU103" s="58" t="n">
        <f aca="false">SUM(CU99:CU102)</f>
        <v>0</v>
      </c>
      <c r="CV103" s="58" t="n">
        <f aca="false">SUM(CV99:CV102)</f>
        <v>0</v>
      </c>
      <c r="CW103" s="58" t="n">
        <f aca="false">SUM(CW99:CW102)</f>
        <v>0</v>
      </c>
      <c r="CX103" s="58" t="n">
        <f aca="false">SUM(CX99:CX102)</f>
        <v>0</v>
      </c>
      <c r="CY103" s="58" t="n">
        <f aca="false">SUM(CY99:CY102)</f>
        <v>0</v>
      </c>
      <c r="CZ103" s="58" t="n">
        <f aca="false">SUM(CZ99:CZ102)</f>
        <v>0</v>
      </c>
      <c r="DA103" s="58" t="n">
        <f aca="false">SUM(DA99:DA102)</f>
        <v>0</v>
      </c>
      <c r="DB103" s="58" t="n">
        <f aca="false">SUM(DB99:DB102)</f>
        <v>0</v>
      </c>
      <c r="DC103" s="58" t="n">
        <f aca="false">SUM(DC99:DC102)</f>
        <v>0</v>
      </c>
      <c r="DD103" s="58" t="n">
        <f aca="false">SUM(DD99:DD102)</f>
        <v>0</v>
      </c>
      <c r="DE103" s="58" t="n">
        <f aca="false">SUM(DE99:DE102)</f>
        <v>0</v>
      </c>
      <c r="DF103" s="58" t="n">
        <f aca="false">SUM(DF99:DF102)</f>
        <v>0</v>
      </c>
      <c r="DG103" s="58" t="n">
        <f aca="false">SUM(DG99:DG102)</f>
        <v>0</v>
      </c>
      <c r="DH103" s="58" t="n">
        <f aca="false">SUM(DH99:DH102)</f>
        <v>0</v>
      </c>
      <c r="DI103" s="58" t="n">
        <f aca="false">SUM(DI99:DI102)</f>
        <v>0</v>
      </c>
      <c r="DJ103" s="58" t="n">
        <f aca="false">SUM(DJ99:DJ102)</f>
        <v>0</v>
      </c>
      <c r="DK103" s="58" t="n">
        <f aca="false">SUM(DK99:DK102)</f>
        <v>0</v>
      </c>
      <c r="DL103" s="58" t="n">
        <f aca="false">SUM(DL99:DL102)</f>
        <v>0</v>
      </c>
      <c r="DM103" s="58" t="n">
        <f aca="false">SUM(DM99:DM102)</f>
        <v>0</v>
      </c>
      <c r="DN103" s="58" t="n">
        <f aca="false">SUM(DN99:DN102)</f>
        <v>0</v>
      </c>
      <c r="DO103" s="58" t="n">
        <f aca="false">SUM(DO99:DO102)</f>
        <v>0</v>
      </c>
      <c r="DP103" s="58" t="n">
        <f aca="false">SUM(DP99:DP102)</f>
        <v>0</v>
      </c>
      <c r="DQ103" s="58" t="n">
        <f aca="false">SUM(DQ99:DQ102)</f>
        <v>0</v>
      </c>
      <c r="DR103" s="58" t="n">
        <f aca="false">SUM(DR99:DR102)</f>
        <v>0</v>
      </c>
      <c r="DS103" s="58" t="n">
        <f aca="false">SUM(DS99:DS102)</f>
        <v>0</v>
      </c>
      <c r="DT103" s="58" t="n">
        <f aca="false">SUM(DT99:DT102)</f>
        <v>0</v>
      </c>
      <c r="DU103" s="58" t="n">
        <f aca="false">SUM(DU99:DU102)</f>
        <v>0</v>
      </c>
      <c r="DV103" s="58" t="n">
        <f aca="false">SUM(DV99:DV102)</f>
        <v>0</v>
      </c>
      <c r="DW103" s="58" t="n">
        <f aca="false">SUM(DW99:DW102)</f>
        <v>0</v>
      </c>
      <c r="DX103" s="58" t="n">
        <f aca="false">SUM(DX99:DX102)</f>
        <v>0</v>
      </c>
      <c r="DY103" s="58" t="n">
        <f aca="false">SUM(DY99:DY102)</f>
        <v>0</v>
      </c>
      <c r="DZ103" s="58" t="n">
        <f aca="false">SUM(DZ99:DZ102)</f>
        <v>0</v>
      </c>
      <c r="EA103" s="58" t="n">
        <f aca="false">SUM(EA99:EA102)</f>
        <v>0</v>
      </c>
      <c r="EB103" s="58" t="n">
        <f aca="false">SUM(EB99:EB102)</f>
        <v>0</v>
      </c>
      <c r="EC103" s="58" t="n">
        <f aca="false">SUM(EC99:EC102)</f>
        <v>0</v>
      </c>
      <c r="ED103" s="58" t="n">
        <f aca="false">SUM(ED99:ED102)</f>
        <v>0</v>
      </c>
      <c r="EE103" s="58" t="n">
        <f aca="false">SUM(EE99:EE102)</f>
        <v>0</v>
      </c>
      <c r="EF103" s="58" t="n">
        <f aca="false">SUM(EF99:EF102)</f>
        <v>0</v>
      </c>
      <c r="EG103" s="58" t="n">
        <f aca="false">SUM(EG99:EG102)</f>
        <v>0</v>
      </c>
      <c r="EH103" s="58" t="n">
        <f aca="false">SUM(EH99:EH102)</f>
        <v>0</v>
      </c>
      <c r="EI103" s="58" t="n">
        <f aca="false">SUM(EI99:EI102)</f>
        <v>0</v>
      </c>
      <c r="EJ103" s="58" t="n">
        <f aca="false">SUM(EJ99:EJ102)</f>
        <v>0</v>
      </c>
      <c r="EK103" s="58" t="n">
        <f aca="false">SUM(EK99:EK102)</f>
        <v>0</v>
      </c>
      <c r="EL103" s="58" t="n">
        <f aca="false">SUM(EL99:EL102)</f>
        <v>0</v>
      </c>
      <c r="EM103" s="58" t="n">
        <f aca="false">SUM(EM99:EM102)</f>
        <v>0</v>
      </c>
      <c r="EN103" s="58" t="n">
        <f aca="false">SUM(EN99:EN102)</f>
        <v>0</v>
      </c>
      <c r="EO103" s="58" t="n">
        <f aca="false">SUM(EO99:EO102)</f>
        <v>0</v>
      </c>
    </row>
    <row r="104" customFormat="false" ht="15" hidden="false" customHeight="false" outlineLevel="0" collapsed="false">
      <c r="C104" s="1" t="s">
        <v>492</v>
      </c>
      <c r="D104" s="12" t="s">
        <v>33</v>
      </c>
      <c r="I104" s="49" t="n">
        <f aca="false">SUM(J104:EO104)</f>
        <v>-866.25</v>
      </c>
      <c r="J104" s="49" t="n">
        <f aca="false">-In_Upfront_Fee*$E103*(J99=0)*(J100&gt;0)</f>
        <v>-0</v>
      </c>
      <c r="K104" s="49" t="n">
        <f aca="false">-In_Upfront_Fee*$E103*(K99=0)*(K100&gt;0)</f>
        <v>-0</v>
      </c>
      <c r="L104" s="49" t="n">
        <f aca="false">-In_Upfront_Fee*$E103*(L99=0)*(L100&gt;0)</f>
        <v>-0</v>
      </c>
      <c r="M104" s="49" t="n">
        <f aca="false">-In_Upfront_Fee*$E103*(M99=0)*(M100&gt;0)</f>
        <v>-0</v>
      </c>
      <c r="N104" s="49" t="n">
        <f aca="false">-In_Upfront_Fee*$E103*(N99=0)*(N100&gt;0)</f>
        <v>-0</v>
      </c>
      <c r="O104" s="49" t="n">
        <f aca="false">-In_Upfront_Fee*$E103*(O99=0)*(O100&gt;0)</f>
        <v>-0</v>
      </c>
      <c r="P104" s="49" t="n">
        <f aca="false">-In_Upfront_Fee*$E103*(P99=0)*(P100&gt;0)</f>
        <v>-0</v>
      </c>
      <c r="Q104" s="49" t="n">
        <f aca="false">-In_Upfront_Fee*$E103*(Q99=0)*(Q100&gt;0)</f>
        <v>-0</v>
      </c>
      <c r="R104" s="49" t="n">
        <f aca="false">-In_Upfront_Fee*$E103*(R99=0)*(R100&gt;0)</f>
        <v>-866.25</v>
      </c>
      <c r="S104" s="49" t="n">
        <f aca="false">-In_Upfront_Fee*$E103*(S99=0)*(S100&gt;0)</f>
        <v>-0</v>
      </c>
      <c r="T104" s="49" t="n">
        <f aca="false">-In_Upfront_Fee*$E103*(T99=0)*(T100&gt;0)</f>
        <v>-0</v>
      </c>
      <c r="U104" s="49" t="n">
        <f aca="false">-In_Upfront_Fee*$E103*(U99=0)*(U100&gt;0)</f>
        <v>-0</v>
      </c>
      <c r="V104" s="49" t="n">
        <f aca="false">-In_Upfront_Fee*$E103*(V99=0)*(V100&gt;0)</f>
        <v>-0</v>
      </c>
      <c r="W104" s="49" t="n">
        <f aca="false">-In_Upfront_Fee*$E103*(W99=0)*(W100&gt;0)</f>
        <v>-0</v>
      </c>
      <c r="X104" s="49" t="n">
        <f aca="false">-In_Upfront_Fee*$E103*(X99=0)*(X100&gt;0)</f>
        <v>-0</v>
      </c>
      <c r="Y104" s="49" t="n">
        <f aca="false">-In_Upfront_Fee*$E103*(Y99=0)*(Y100&gt;0)</f>
        <v>-0</v>
      </c>
      <c r="Z104" s="49" t="n">
        <f aca="false">-In_Upfront_Fee*$E103*(Z99=0)*(Z100&gt;0)</f>
        <v>-0</v>
      </c>
      <c r="AA104" s="49" t="n">
        <f aca="false">-In_Upfront_Fee*$E103*(AA99=0)*(AA100&gt;0)</f>
        <v>-0</v>
      </c>
      <c r="AB104" s="49" t="n">
        <f aca="false">-In_Upfront_Fee*$E103*(AB99=0)*(AB100&gt;0)</f>
        <v>-0</v>
      </c>
      <c r="AC104" s="49" t="n">
        <f aca="false">-In_Upfront_Fee*$E103*(AC99=0)*(AC100&gt;0)</f>
        <v>-0</v>
      </c>
      <c r="AD104" s="49" t="n">
        <f aca="false">-In_Upfront_Fee*$E103*(AD99=0)*(AD100&gt;0)</f>
        <v>-0</v>
      </c>
      <c r="AE104" s="49" t="n">
        <f aca="false">-In_Upfront_Fee*$E103*(AE99=0)*(AE100&gt;0)</f>
        <v>-0</v>
      </c>
      <c r="AF104" s="49" t="n">
        <f aca="false">-In_Upfront_Fee*$E103*(AF99=0)*(AF100&gt;0)</f>
        <v>-0</v>
      </c>
      <c r="AG104" s="49" t="n">
        <f aca="false">-In_Upfront_Fee*$E103*(AG99=0)*(AG100&gt;0)</f>
        <v>-0</v>
      </c>
      <c r="AH104" s="49" t="n">
        <f aca="false">-In_Upfront_Fee*$E103*(AH99=0)*(AH100&gt;0)</f>
        <v>-0</v>
      </c>
      <c r="AI104" s="49" t="n">
        <f aca="false">-In_Upfront_Fee*$E103*(AI99=0)*(AI100&gt;0)</f>
        <v>-0</v>
      </c>
      <c r="AJ104" s="49" t="n">
        <f aca="false">-In_Upfront_Fee*$E103*(AJ99=0)*(AJ100&gt;0)</f>
        <v>-0</v>
      </c>
      <c r="AK104" s="49" t="n">
        <f aca="false">-In_Upfront_Fee*$E103*(AK99=0)*(AK100&gt;0)</f>
        <v>-0</v>
      </c>
      <c r="AL104" s="49" t="n">
        <f aca="false">-In_Upfront_Fee*$E103*(AL99=0)*(AL100&gt;0)</f>
        <v>-0</v>
      </c>
      <c r="AM104" s="49" t="n">
        <f aca="false">-In_Upfront_Fee*$E103*(AM99=0)*(AM100&gt;0)</f>
        <v>-0</v>
      </c>
      <c r="AN104" s="49" t="n">
        <f aca="false">-In_Upfront_Fee*$E103*(AN99=0)*(AN100&gt;0)</f>
        <v>-0</v>
      </c>
      <c r="AO104" s="49" t="n">
        <f aca="false">-In_Upfront_Fee*$E103*(AO99=0)*(AO100&gt;0)</f>
        <v>-0</v>
      </c>
      <c r="AP104" s="49" t="n">
        <f aca="false">-In_Upfront_Fee*$E103*(AP99=0)*(AP100&gt;0)</f>
        <v>-0</v>
      </c>
      <c r="AQ104" s="49" t="n">
        <f aca="false">-In_Upfront_Fee*$E103*(AQ99=0)*(AQ100&gt;0)</f>
        <v>-0</v>
      </c>
      <c r="AR104" s="49" t="n">
        <f aca="false">-In_Upfront_Fee*$E103*(AR99=0)*(AR100&gt;0)</f>
        <v>-0</v>
      </c>
      <c r="AS104" s="49" t="n">
        <f aca="false">-In_Upfront_Fee*$E103*(AS99=0)*(AS100&gt;0)</f>
        <v>-0</v>
      </c>
      <c r="AT104" s="49" t="n">
        <f aca="false">-In_Upfront_Fee*$E103*(AT99=0)*(AT100&gt;0)</f>
        <v>-0</v>
      </c>
      <c r="AU104" s="49" t="n">
        <f aca="false">-In_Upfront_Fee*$E103*(AU99=0)*(AU100&gt;0)</f>
        <v>-0</v>
      </c>
      <c r="AV104" s="49" t="n">
        <f aca="false">-In_Upfront_Fee*$E103*(AV99=0)*(AV100&gt;0)</f>
        <v>-0</v>
      </c>
      <c r="AW104" s="49" t="n">
        <f aca="false">-In_Upfront_Fee*$E103*(AW99=0)*(AW100&gt;0)</f>
        <v>-0</v>
      </c>
      <c r="AX104" s="49" t="n">
        <f aca="false">-In_Upfront_Fee*$E103*(AX99=0)*(AX100&gt;0)</f>
        <v>-0</v>
      </c>
      <c r="AY104" s="49" t="n">
        <f aca="false">-In_Upfront_Fee*$E103*(AY99=0)*(AY100&gt;0)</f>
        <v>-0</v>
      </c>
      <c r="AZ104" s="49" t="n">
        <f aca="false">-In_Upfront_Fee*$E103*(AZ99=0)*(AZ100&gt;0)</f>
        <v>-0</v>
      </c>
      <c r="BA104" s="49" t="n">
        <f aca="false">-In_Upfront_Fee*$E103*(BA99=0)*(BA100&gt;0)</f>
        <v>-0</v>
      </c>
      <c r="BB104" s="49" t="n">
        <f aca="false">-In_Upfront_Fee*$E103*(BB99=0)*(BB100&gt;0)</f>
        <v>-0</v>
      </c>
      <c r="BC104" s="49" t="n">
        <f aca="false">-In_Upfront_Fee*$E103*(BC99=0)*(BC100&gt;0)</f>
        <v>-0</v>
      </c>
      <c r="BD104" s="49" t="n">
        <f aca="false">-In_Upfront_Fee*$E103*(BD99=0)*(BD100&gt;0)</f>
        <v>-0</v>
      </c>
      <c r="BE104" s="49" t="n">
        <f aca="false">-In_Upfront_Fee*$E103*(BE99=0)*(BE100&gt;0)</f>
        <v>-0</v>
      </c>
      <c r="BF104" s="49" t="n">
        <f aca="false">-In_Upfront_Fee*$E103*(BF99=0)*(BF100&gt;0)</f>
        <v>-0</v>
      </c>
      <c r="BG104" s="49" t="n">
        <f aca="false">-In_Upfront_Fee*$E103*(BG99=0)*(BG100&gt;0)</f>
        <v>-0</v>
      </c>
      <c r="BH104" s="49" t="n">
        <f aca="false">-In_Upfront_Fee*$E103*(BH99=0)*(BH100&gt;0)</f>
        <v>-0</v>
      </c>
      <c r="BI104" s="49" t="n">
        <f aca="false">-In_Upfront_Fee*$E103*(BI99=0)*(BI100&gt;0)</f>
        <v>-0</v>
      </c>
      <c r="BJ104" s="49" t="n">
        <f aca="false">-In_Upfront_Fee*$E103*(BJ99=0)*(BJ100&gt;0)</f>
        <v>-0</v>
      </c>
      <c r="BK104" s="49" t="n">
        <f aca="false">-In_Upfront_Fee*$E103*(BK99=0)*(BK100&gt;0)</f>
        <v>-0</v>
      </c>
      <c r="BL104" s="49" t="n">
        <f aca="false">-In_Upfront_Fee*$E103*(BL99=0)*(BL100&gt;0)</f>
        <v>-0</v>
      </c>
      <c r="BM104" s="49" t="n">
        <f aca="false">-In_Upfront_Fee*$E103*(BM99=0)*(BM100&gt;0)</f>
        <v>-0</v>
      </c>
      <c r="BN104" s="49" t="n">
        <f aca="false">-In_Upfront_Fee*$E103*(BN99=0)*(BN100&gt;0)</f>
        <v>-0</v>
      </c>
      <c r="BO104" s="49" t="n">
        <f aca="false">-In_Upfront_Fee*$E103*(BO99=0)*(BO100&gt;0)</f>
        <v>-0</v>
      </c>
      <c r="BP104" s="49" t="n">
        <f aca="false">-In_Upfront_Fee*$E103*(BP99=0)*(BP100&gt;0)</f>
        <v>-0</v>
      </c>
      <c r="BQ104" s="49" t="n">
        <f aca="false">-In_Upfront_Fee*$E103*(BQ99=0)*(BQ100&gt;0)</f>
        <v>-0</v>
      </c>
      <c r="BR104" s="49" t="n">
        <f aca="false">-In_Upfront_Fee*$E103*(BR99=0)*(BR100&gt;0)</f>
        <v>-0</v>
      </c>
      <c r="BS104" s="49" t="n">
        <f aca="false">-In_Upfront_Fee*$E103*(BS99=0)*(BS100&gt;0)</f>
        <v>-0</v>
      </c>
      <c r="BT104" s="49" t="n">
        <f aca="false">-In_Upfront_Fee*$E103*(BT99=0)*(BT100&gt;0)</f>
        <v>-0</v>
      </c>
      <c r="BU104" s="49" t="n">
        <f aca="false">-In_Upfront_Fee*$E103*(BU99=0)*(BU100&gt;0)</f>
        <v>-0</v>
      </c>
      <c r="BV104" s="49" t="n">
        <f aca="false">-In_Upfront_Fee*$E103*(BV99=0)*(BV100&gt;0)</f>
        <v>-0</v>
      </c>
      <c r="BW104" s="49" t="n">
        <f aca="false">-In_Upfront_Fee*$E103*(BW99=0)*(BW100&gt;0)</f>
        <v>-0</v>
      </c>
      <c r="BX104" s="49" t="n">
        <f aca="false">-In_Upfront_Fee*$E103*(BX99=0)*(BX100&gt;0)</f>
        <v>-0</v>
      </c>
      <c r="BY104" s="49" t="n">
        <f aca="false">-In_Upfront_Fee*$E103*(BY99=0)*(BY100&gt;0)</f>
        <v>-0</v>
      </c>
      <c r="BZ104" s="49" t="n">
        <f aca="false">-In_Upfront_Fee*$E103*(BZ99=0)*(BZ100&gt;0)</f>
        <v>-0</v>
      </c>
      <c r="CA104" s="49" t="n">
        <f aca="false">-In_Upfront_Fee*$E103*(CA99=0)*(CA100&gt;0)</f>
        <v>-0</v>
      </c>
      <c r="CB104" s="49" t="n">
        <f aca="false">-In_Upfront_Fee*$E103*(CB99=0)*(CB100&gt;0)</f>
        <v>-0</v>
      </c>
      <c r="CC104" s="49" t="n">
        <f aca="false">-In_Upfront_Fee*$E103*(CC99=0)*(CC100&gt;0)</f>
        <v>-0</v>
      </c>
      <c r="CD104" s="49" t="n">
        <f aca="false">-In_Upfront_Fee*$E103*(CD99=0)*(CD100&gt;0)</f>
        <v>-0</v>
      </c>
      <c r="CE104" s="49" t="n">
        <f aca="false">-In_Upfront_Fee*$E103*(CE99=0)*(CE100&gt;0)</f>
        <v>-0</v>
      </c>
      <c r="CF104" s="49" t="n">
        <f aca="false">-In_Upfront_Fee*$E103*(CF99=0)*(CF100&gt;0)</f>
        <v>-0</v>
      </c>
      <c r="CG104" s="49" t="n">
        <f aca="false">-In_Upfront_Fee*$E103*(CG99=0)*(CG100&gt;0)</f>
        <v>-0</v>
      </c>
      <c r="CH104" s="49" t="n">
        <f aca="false">-In_Upfront_Fee*$E103*(CH99=0)*(CH100&gt;0)</f>
        <v>-0</v>
      </c>
      <c r="CI104" s="49" t="n">
        <f aca="false">-In_Upfront_Fee*$E103*(CI99=0)*(CI100&gt;0)</f>
        <v>-0</v>
      </c>
      <c r="CJ104" s="49" t="n">
        <f aca="false">-In_Upfront_Fee*$E103*(CJ99=0)*(CJ100&gt;0)</f>
        <v>-0</v>
      </c>
      <c r="CK104" s="49" t="n">
        <f aca="false">-In_Upfront_Fee*$E103*(CK99=0)*(CK100&gt;0)</f>
        <v>-0</v>
      </c>
      <c r="CL104" s="49" t="n">
        <f aca="false">-In_Upfront_Fee*$E103*(CL99=0)*(CL100&gt;0)</f>
        <v>-0</v>
      </c>
      <c r="CM104" s="49" t="n">
        <f aca="false">-In_Upfront_Fee*$E103*(CM99=0)*(CM100&gt;0)</f>
        <v>-0</v>
      </c>
      <c r="CN104" s="49" t="n">
        <f aca="false">-In_Upfront_Fee*$E103*(CN99=0)*(CN100&gt;0)</f>
        <v>-0</v>
      </c>
      <c r="CO104" s="49" t="n">
        <f aca="false">-In_Upfront_Fee*$E103*(CO99=0)*(CO100&gt;0)</f>
        <v>-0</v>
      </c>
      <c r="CP104" s="49" t="n">
        <f aca="false">-In_Upfront_Fee*$E103*(CP99=0)*(CP100&gt;0)</f>
        <v>-0</v>
      </c>
      <c r="CQ104" s="49" t="n">
        <f aca="false">-In_Upfront_Fee*$E103*(CQ99=0)*(CQ100&gt;0)</f>
        <v>-0</v>
      </c>
      <c r="CR104" s="49" t="n">
        <f aca="false">-In_Upfront_Fee*$E103*(CR99=0)*(CR100&gt;0)</f>
        <v>-0</v>
      </c>
      <c r="CS104" s="49" t="n">
        <f aca="false">-In_Upfront_Fee*$E103*(CS99=0)*(CS100&gt;0)</f>
        <v>-0</v>
      </c>
      <c r="CT104" s="49" t="n">
        <f aca="false">-In_Upfront_Fee*$E103*(CT99=0)*(CT100&gt;0)</f>
        <v>-0</v>
      </c>
      <c r="CU104" s="49" t="n">
        <f aca="false">-In_Upfront_Fee*$E103*(CU99=0)*(CU100&gt;0)</f>
        <v>-0</v>
      </c>
      <c r="CV104" s="49" t="n">
        <f aca="false">-In_Upfront_Fee*$E103*(CV99=0)*(CV100&gt;0)</f>
        <v>-0</v>
      </c>
      <c r="CW104" s="49" t="n">
        <f aca="false">-In_Upfront_Fee*$E103*(CW99=0)*(CW100&gt;0)</f>
        <v>-0</v>
      </c>
      <c r="CX104" s="49" t="n">
        <f aca="false">-In_Upfront_Fee*$E103*(CX99=0)*(CX100&gt;0)</f>
        <v>-0</v>
      </c>
      <c r="CY104" s="49" t="n">
        <f aca="false">-In_Upfront_Fee*$E103*(CY99=0)*(CY100&gt;0)</f>
        <v>-0</v>
      </c>
      <c r="CZ104" s="49" t="n">
        <f aca="false">-In_Upfront_Fee*$E103*(CZ99=0)*(CZ100&gt;0)</f>
        <v>-0</v>
      </c>
      <c r="DA104" s="49" t="n">
        <f aca="false">-In_Upfront_Fee*$E103*(DA99=0)*(DA100&gt;0)</f>
        <v>-0</v>
      </c>
      <c r="DB104" s="49" t="n">
        <f aca="false">-In_Upfront_Fee*$E103*(DB99=0)*(DB100&gt;0)</f>
        <v>-0</v>
      </c>
      <c r="DC104" s="49" t="n">
        <f aca="false">-In_Upfront_Fee*$E103*(DC99=0)*(DC100&gt;0)</f>
        <v>-0</v>
      </c>
      <c r="DD104" s="49" t="n">
        <f aca="false">-In_Upfront_Fee*$E103*(DD99=0)*(DD100&gt;0)</f>
        <v>-0</v>
      </c>
      <c r="DE104" s="49" t="n">
        <f aca="false">-In_Upfront_Fee*$E103*(DE99=0)*(DE100&gt;0)</f>
        <v>-0</v>
      </c>
      <c r="DF104" s="49" t="n">
        <f aca="false">-In_Upfront_Fee*$E103*(DF99=0)*(DF100&gt;0)</f>
        <v>-0</v>
      </c>
      <c r="DG104" s="49" t="n">
        <f aca="false">-In_Upfront_Fee*$E103*(DG99=0)*(DG100&gt;0)</f>
        <v>-0</v>
      </c>
      <c r="DH104" s="49" t="n">
        <f aca="false">-In_Upfront_Fee*$E103*(DH99=0)*(DH100&gt;0)</f>
        <v>-0</v>
      </c>
      <c r="DI104" s="49" t="n">
        <f aca="false">-In_Upfront_Fee*$E103*(DI99=0)*(DI100&gt;0)</f>
        <v>-0</v>
      </c>
      <c r="DJ104" s="49" t="n">
        <f aca="false">-In_Upfront_Fee*$E103*(DJ99=0)*(DJ100&gt;0)</f>
        <v>-0</v>
      </c>
      <c r="DK104" s="49" t="n">
        <f aca="false">-In_Upfront_Fee*$E103*(DK99=0)*(DK100&gt;0)</f>
        <v>-0</v>
      </c>
      <c r="DL104" s="49" t="n">
        <f aca="false">-In_Upfront_Fee*$E103*(DL99=0)*(DL100&gt;0)</f>
        <v>-0</v>
      </c>
      <c r="DM104" s="49" t="n">
        <f aca="false">-In_Upfront_Fee*$E103*(DM99=0)*(DM100&gt;0)</f>
        <v>-0</v>
      </c>
      <c r="DN104" s="49" t="n">
        <f aca="false">-In_Upfront_Fee*$E103*(DN99=0)*(DN100&gt;0)</f>
        <v>-0</v>
      </c>
      <c r="DO104" s="49" t="n">
        <f aca="false">-In_Upfront_Fee*$E103*(DO99=0)*(DO100&gt;0)</f>
        <v>-0</v>
      </c>
      <c r="DP104" s="49" t="n">
        <f aca="false">-In_Upfront_Fee*$E103*(DP99=0)*(DP100&gt;0)</f>
        <v>-0</v>
      </c>
      <c r="DQ104" s="49" t="n">
        <f aca="false">-In_Upfront_Fee*$E103*(DQ99=0)*(DQ100&gt;0)</f>
        <v>-0</v>
      </c>
      <c r="DR104" s="49" t="n">
        <f aca="false">-In_Upfront_Fee*$E103*(DR99=0)*(DR100&gt;0)</f>
        <v>-0</v>
      </c>
      <c r="DS104" s="49" t="n">
        <f aca="false">-In_Upfront_Fee*$E103*(DS99=0)*(DS100&gt;0)</f>
        <v>-0</v>
      </c>
      <c r="DT104" s="49" t="n">
        <f aca="false">-In_Upfront_Fee*$E103*(DT99=0)*(DT100&gt;0)</f>
        <v>-0</v>
      </c>
      <c r="DU104" s="49" t="n">
        <f aca="false">-In_Upfront_Fee*$E103*(DU99=0)*(DU100&gt;0)</f>
        <v>-0</v>
      </c>
      <c r="DV104" s="49" t="n">
        <f aca="false">-In_Upfront_Fee*$E103*(DV99=0)*(DV100&gt;0)</f>
        <v>-0</v>
      </c>
      <c r="DW104" s="49" t="n">
        <f aca="false">-In_Upfront_Fee*$E103*(DW99=0)*(DW100&gt;0)</f>
        <v>-0</v>
      </c>
      <c r="DX104" s="49" t="n">
        <f aca="false">-In_Upfront_Fee*$E103*(DX99=0)*(DX100&gt;0)</f>
        <v>-0</v>
      </c>
      <c r="DY104" s="49" t="n">
        <f aca="false">-In_Upfront_Fee*$E103*(DY99=0)*(DY100&gt;0)</f>
        <v>-0</v>
      </c>
      <c r="DZ104" s="49" t="n">
        <f aca="false">-In_Upfront_Fee*$E103*(DZ99=0)*(DZ100&gt;0)</f>
        <v>-0</v>
      </c>
      <c r="EA104" s="49" t="n">
        <f aca="false">-In_Upfront_Fee*$E103*(EA99=0)*(EA100&gt;0)</f>
        <v>-0</v>
      </c>
      <c r="EB104" s="49" t="n">
        <f aca="false">-In_Upfront_Fee*$E103*(EB99=0)*(EB100&gt;0)</f>
        <v>-0</v>
      </c>
      <c r="EC104" s="49" t="n">
        <f aca="false">-In_Upfront_Fee*$E103*(EC99=0)*(EC100&gt;0)</f>
        <v>-0</v>
      </c>
      <c r="ED104" s="49" t="n">
        <f aca="false">-In_Upfront_Fee*$E103*(ED99=0)*(ED100&gt;0)</f>
        <v>-0</v>
      </c>
      <c r="EE104" s="49" t="n">
        <f aca="false">-In_Upfront_Fee*$E103*(EE99=0)*(EE100&gt;0)</f>
        <v>-0</v>
      </c>
      <c r="EF104" s="49" t="n">
        <f aca="false">-In_Upfront_Fee*$E103*(EF99=0)*(EF100&gt;0)</f>
        <v>-0</v>
      </c>
      <c r="EG104" s="49" t="n">
        <f aca="false">-In_Upfront_Fee*$E103*(EG99=0)*(EG100&gt;0)</f>
        <v>-0</v>
      </c>
      <c r="EH104" s="49" t="n">
        <f aca="false">-In_Upfront_Fee*$E103*(EH99=0)*(EH100&gt;0)</f>
        <v>-0</v>
      </c>
      <c r="EI104" s="49" t="n">
        <f aca="false">-In_Upfront_Fee*$E103*(EI99=0)*(EI100&gt;0)</f>
        <v>-0</v>
      </c>
      <c r="EJ104" s="49" t="n">
        <f aca="false">-In_Upfront_Fee*$E103*(EJ99=0)*(EJ100&gt;0)</f>
        <v>-0</v>
      </c>
      <c r="EK104" s="49" t="n">
        <f aca="false">-In_Upfront_Fee*$E103*(EK99=0)*(EK100&gt;0)</f>
        <v>-0</v>
      </c>
      <c r="EL104" s="49" t="n">
        <f aca="false">-In_Upfront_Fee*$E103*(EL99=0)*(EL100&gt;0)</f>
        <v>-0</v>
      </c>
      <c r="EM104" s="49" t="n">
        <f aca="false">-In_Upfront_Fee*$E103*(EM99=0)*(EM100&gt;0)</f>
        <v>-0</v>
      </c>
      <c r="EN104" s="49" t="n">
        <f aca="false">-In_Upfront_Fee*$E103*(EN99=0)*(EN100&gt;0)</f>
        <v>-0</v>
      </c>
      <c r="EO104" s="49" t="n">
        <f aca="false">-In_Upfront_Fee*$E103*(EO99=0)*(EO100&gt;0)</f>
        <v>-0</v>
      </c>
    </row>
    <row r="105" customFormat="false" ht="15" hidden="false" customHeight="false" outlineLevel="0" collapsed="false">
      <c r="C105" s="1" t="s">
        <v>493</v>
      </c>
      <c r="D105" s="12" t="s">
        <v>33</v>
      </c>
      <c r="I105" s="49" t="n">
        <f aca="false">SUM(J105:EO105)</f>
        <v>-462.260070785129</v>
      </c>
      <c r="J105" s="49" t="n">
        <f aca="false">-In_Commitment_Fee*($I100-SUM($J100:J100)+J100)*J$6*(J12&gt;0)</f>
        <v>-0</v>
      </c>
      <c r="K105" s="49" t="n">
        <f aca="false">-In_Commitment_Fee*($I100-SUM($J100:K100)+K100)*K$6*(K12&gt;0)</f>
        <v>-0</v>
      </c>
      <c r="L105" s="49" t="n">
        <f aca="false">-In_Commitment_Fee*($I100-SUM($J100:L100)+L100)*L$6*(L12&gt;0)</f>
        <v>-0</v>
      </c>
      <c r="M105" s="49" t="n">
        <f aca="false">-In_Commitment_Fee*($I100-SUM($J100:M100)+M100)*M$6*(M12&gt;0)</f>
        <v>-0</v>
      </c>
      <c r="N105" s="49" t="n">
        <f aca="false">-In_Commitment_Fee*($I100-SUM($J100:N100)+N100)*N$6*(N12&gt;0)</f>
        <v>-0</v>
      </c>
      <c r="O105" s="49" t="n">
        <f aca="false">-In_Commitment_Fee*($I100-SUM($J100:O100)+O100)*O$6*(O12&gt;0)</f>
        <v>-0</v>
      </c>
      <c r="P105" s="49" t="n">
        <f aca="false">-In_Commitment_Fee*($I100-SUM($J100:P100)+P100)*P$6*(P12&gt;0)</f>
        <v>-0</v>
      </c>
      <c r="Q105" s="49" t="n">
        <f aca="false">-In_Commitment_Fee*($I100-SUM($J100:Q100)+Q100)*Q$6*(Q12&gt;0)</f>
        <v>-0</v>
      </c>
      <c r="R105" s="49" t="n">
        <f aca="false">-In_Commitment_Fee*($I100-SUM($J100:R100)+R100)*R$6*(R12&gt;0)</f>
        <v>-107.262270251028</v>
      </c>
      <c r="S105" s="49" t="n">
        <f aca="false">-In_Commitment_Fee*($I100-SUM($J100:S100)+S100)*S$6*(S12&gt;0)</f>
        <v>-93.5757918362145</v>
      </c>
      <c r="T105" s="49" t="n">
        <f aca="false">-In_Commitment_Fee*($I100-SUM($J100:T100)+T100)*T$6*(T12&gt;0)</f>
        <v>-71.9050858364772</v>
      </c>
      <c r="U105" s="49" t="n">
        <f aca="false">-In_Commitment_Fee*($I100-SUM($J100:U100)+U100)*U$6*(U12&gt;0)</f>
        <v>-61.2143984623475</v>
      </c>
      <c r="V105" s="49" t="n">
        <f aca="false">-In_Commitment_Fee*($I100-SUM($J100:V100)+V100)*V$6*(V12&gt;0)</f>
        <v>-49.6073820883384</v>
      </c>
      <c r="W105" s="49" t="n">
        <f aca="false">-In_Commitment_Fee*($I100-SUM($J100:W100)+W100)*W$6*(W12&gt;0)</f>
        <v>-37.174270807496</v>
      </c>
      <c r="X105" s="49" t="n">
        <f aca="false">-In_Commitment_Fee*($I100-SUM($J100:X100)+X100)*X$6*(X12&gt;0)</f>
        <v>-26.356048872546</v>
      </c>
      <c r="Y105" s="49" t="n">
        <f aca="false">-In_Commitment_Fee*($I100-SUM($J100:Y100)+Y100)*Y$6*(Y12&gt;0)</f>
        <v>-15.1648226306809</v>
      </c>
      <c r="Z105" s="49" t="n">
        <f aca="false">-In_Commitment_Fee*($I100-SUM($J100:Z100)+Z100)*Z$6*(Z12&gt;0)</f>
        <v>-0</v>
      </c>
      <c r="AA105" s="49" t="n">
        <f aca="false">-In_Commitment_Fee*($I100-SUM($J100:AA100)+AA100)*AA$6*(AA12&gt;0)</f>
        <v>-0</v>
      </c>
      <c r="AB105" s="49" t="n">
        <f aca="false">-In_Commitment_Fee*($I100-SUM($J100:AB100)+AB100)*AB$6*(AB12&gt;0)</f>
        <v>-0</v>
      </c>
      <c r="AC105" s="49" t="n">
        <f aca="false">-In_Commitment_Fee*($I100-SUM($J100:AC100)+AC100)*AC$6*(AC12&gt;0)</f>
        <v>-0</v>
      </c>
      <c r="AD105" s="49" t="n">
        <f aca="false">-In_Commitment_Fee*($I100-SUM($J100:AD100)+AD100)*AD$6*(AD12&gt;0)</f>
        <v>-0</v>
      </c>
      <c r="AE105" s="49" t="n">
        <f aca="false">-In_Commitment_Fee*($I100-SUM($J100:AE100)+AE100)*AE$6*(AE12&gt;0)</f>
        <v>-0</v>
      </c>
      <c r="AF105" s="49" t="n">
        <f aca="false">-In_Commitment_Fee*($I100-SUM($J100:AF100)+AF100)*AF$6*(AF12&gt;0)</f>
        <v>-0</v>
      </c>
      <c r="AG105" s="49" t="n">
        <f aca="false">-In_Commitment_Fee*($I100-SUM($J100:AG100)+AG100)*AG$6*(AG12&gt;0)</f>
        <v>-0</v>
      </c>
      <c r="AH105" s="49" t="n">
        <f aca="false">-In_Commitment_Fee*($I100-SUM($J100:AH100)+AH100)*AH$6*(AH12&gt;0)</f>
        <v>-0</v>
      </c>
      <c r="AI105" s="49" t="n">
        <f aca="false">-In_Commitment_Fee*($I100-SUM($J100:AI100)+AI100)*AI$6*(AI12&gt;0)</f>
        <v>-0</v>
      </c>
      <c r="AJ105" s="49" t="n">
        <f aca="false">-In_Commitment_Fee*($I100-SUM($J100:AJ100)+AJ100)*AJ$6*(AJ12&gt;0)</f>
        <v>-0</v>
      </c>
      <c r="AK105" s="49" t="n">
        <f aca="false">-In_Commitment_Fee*($I100-SUM($J100:AK100)+AK100)*AK$6*(AK12&gt;0)</f>
        <v>-0</v>
      </c>
      <c r="AL105" s="49" t="n">
        <f aca="false">-In_Commitment_Fee*($I100-SUM($J100:AL100)+AL100)*AL$6*(AL12&gt;0)</f>
        <v>-0</v>
      </c>
      <c r="AM105" s="49" t="n">
        <f aca="false">-In_Commitment_Fee*($I100-SUM($J100:AM100)+AM100)*AM$6*(AM12&gt;0)</f>
        <v>-0</v>
      </c>
      <c r="AN105" s="49" t="n">
        <f aca="false">-In_Commitment_Fee*($I100-SUM($J100:AN100)+AN100)*AN$6*(AN12&gt;0)</f>
        <v>-0</v>
      </c>
      <c r="AO105" s="49" t="n">
        <f aca="false">-In_Commitment_Fee*($I100-SUM($J100:AO100)+AO100)*AO$6*(AO12&gt;0)</f>
        <v>-0</v>
      </c>
      <c r="AP105" s="49" t="n">
        <f aca="false">-In_Commitment_Fee*($I100-SUM($J100:AP100)+AP100)*AP$6*(AP12&gt;0)</f>
        <v>-0</v>
      </c>
      <c r="AQ105" s="49" t="n">
        <f aca="false">-In_Commitment_Fee*($I100-SUM($J100:AQ100)+AQ100)*AQ$6*(AQ12&gt;0)</f>
        <v>-0</v>
      </c>
      <c r="AR105" s="49" t="n">
        <f aca="false">-In_Commitment_Fee*($I100-SUM($J100:AR100)+AR100)*AR$6*(AR12&gt;0)</f>
        <v>-0</v>
      </c>
      <c r="AS105" s="49" t="n">
        <f aca="false">-In_Commitment_Fee*($I100-SUM($J100:AS100)+AS100)*AS$6*(AS12&gt;0)</f>
        <v>-0</v>
      </c>
      <c r="AT105" s="49" t="n">
        <f aca="false">-In_Commitment_Fee*($I100-SUM($J100:AT100)+AT100)*AT$6*(AT12&gt;0)</f>
        <v>-0</v>
      </c>
      <c r="AU105" s="49" t="n">
        <f aca="false">-In_Commitment_Fee*($I100-SUM($J100:AU100)+AU100)*AU$6*(AU12&gt;0)</f>
        <v>-0</v>
      </c>
      <c r="AV105" s="49" t="n">
        <f aca="false">-In_Commitment_Fee*($I100-SUM($J100:AV100)+AV100)*AV$6*(AV12&gt;0)</f>
        <v>-0</v>
      </c>
      <c r="AW105" s="49" t="n">
        <f aca="false">-In_Commitment_Fee*($I100-SUM($J100:AW100)+AW100)*AW$6*(AW12&gt;0)</f>
        <v>-0</v>
      </c>
      <c r="AX105" s="49" t="n">
        <f aca="false">-In_Commitment_Fee*($I100-SUM($J100:AX100)+AX100)*AX$6*(AX12&gt;0)</f>
        <v>-0</v>
      </c>
      <c r="AY105" s="49" t="n">
        <f aca="false">-In_Commitment_Fee*($I100-SUM($J100:AY100)+AY100)*AY$6*(AY12&gt;0)</f>
        <v>-0</v>
      </c>
      <c r="AZ105" s="49" t="n">
        <f aca="false">-In_Commitment_Fee*($I100-SUM($J100:AZ100)+AZ100)*AZ$6*(AZ12&gt;0)</f>
        <v>-0</v>
      </c>
      <c r="BA105" s="49" t="n">
        <f aca="false">-In_Commitment_Fee*($I100-SUM($J100:BA100)+BA100)*BA$6*(BA12&gt;0)</f>
        <v>-0</v>
      </c>
      <c r="BB105" s="49" t="n">
        <f aca="false">-In_Commitment_Fee*($I100-SUM($J100:BB100)+BB100)*BB$6*(BB12&gt;0)</f>
        <v>-0</v>
      </c>
      <c r="BC105" s="49" t="n">
        <f aca="false">-In_Commitment_Fee*($I100-SUM($J100:BC100)+BC100)*BC$6*(BC12&gt;0)</f>
        <v>-0</v>
      </c>
      <c r="BD105" s="49" t="n">
        <f aca="false">-In_Commitment_Fee*($I100-SUM($J100:BD100)+BD100)*BD$6*(BD12&gt;0)</f>
        <v>-0</v>
      </c>
      <c r="BE105" s="49" t="n">
        <f aca="false">-In_Commitment_Fee*($I100-SUM($J100:BE100)+BE100)*BE$6*(BE12&gt;0)</f>
        <v>-0</v>
      </c>
      <c r="BF105" s="49" t="n">
        <f aca="false">-In_Commitment_Fee*($I100-SUM($J100:BF100)+BF100)*BF$6*(BF12&gt;0)</f>
        <v>-0</v>
      </c>
      <c r="BG105" s="49" t="n">
        <f aca="false">-In_Commitment_Fee*($I100-SUM($J100:BG100)+BG100)*BG$6*(BG12&gt;0)</f>
        <v>-0</v>
      </c>
      <c r="BH105" s="49" t="n">
        <f aca="false">-In_Commitment_Fee*($I100-SUM($J100:BH100)+BH100)*BH$6*(BH12&gt;0)</f>
        <v>-0</v>
      </c>
      <c r="BI105" s="49" t="n">
        <f aca="false">-In_Commitment_Fee*($I100-SUM($J100:BI100)+BI100)*BI$6*(BI12&gt;0)</f>
        <v>-0</v>
      </c>
      <c r="BJ105" s="49" t="n">
        <f aca="false">-In_Commitment_Fee*($I100-SUM($J100:BJ100)+BJ100)*BJ$6*(BJ12&gt;0)</f>
        <v>-0</v>
      </c>
      <c r="BK105" s="49" t="n">
        <f aca="false">-In_Commitment_Fee*($I100-SUM($J100:BK100)+BK100)*BK$6*(BK12&gt;0)</f>
        <v>-0</v>
      </c>
      <c r="BL105" s="49" t="n">
        <f aca="false">-In_Commitment_Fee*($I100-SUM($J100:BL100)+BL100)*BL$6*(BL12&gt;0)</f>
        <v>-0</v>
      </c>
      <c r="BM105" s="49" t="n">
        <f aca="false">-In_Commitment_Fee*($I100-SUM($J100:BM100)+BM100)*BM$6*(BM12&gt;0)</f>
        <v>-0</v>
      </c>
      <c r="BN105" s="49" t="n">
        <f aca="false">-In_Commitment_Fee*($I100-SUM($J100:BN100)+BN100)*BN$6*(BN12&gt;0)</f>
        <v>-0</v>
      </c>
      <c r="BO105" s="49" t="n">
        <f aca="false">-In_Commitment_Fee*($I100-SUM($J100:BO100)+BO100)*BO$6*(BO12&gt;0)</f>
        <v>-0</v>
      </c>
      <c r="BP105" s="49" t="n">
        <f aca="false">-In_Commitment_Fee*($I100-SUM($J100:BP100)+BP100)*BP$6*(BP12&gt;0)</f>
        <v>-0</v>
      </c>
      <c r="BQ105" s="49" t="n">
        <f aca="false">-In_Commitment_Fee*($I100-SUM($J100:BQ100)+BQ100)*BQ$6*(BQ12&gt;0)</f>
        <v>-0</v>
      </c>
      <c r="BR105" s="49" t="n">
        <f aca="false">-In_Commitment_Fee*($I100-SUM($J100:BR100)+BR100)*BR$6*(BR12&gt;0)</f>
        <v>-0</v>
      </c>
      <c r="BS105" s="49" t="n">
        <f aca="false">-In_Commitment_Fee*($I100-SUM($J100:BS100)+BS100)*BS$6*(BS12&gt;0)</f>
        <v>-0</v>
      </c>
      <c r="BT105" s="49" t="n">
        <f aca="false">-In_Commitment_Fee*($I100-SUM($J100:BT100)+BT100)*BT$6*(BT12&gt;0)</f>
        <v>-0</v>
      </c>
      <c r="BU105" s="49" t="n">
        <f aca="false">-In_Commitment_Fee*($I100-SUM($J100:BU100)+BU100)*BU$6*(BU12&gt;0)</f>
        <v>-0</v>
      </c>
      <c r="BV105" s="49" t="n">
        <f aca="false">-In_Commitment_Fee*($I100-SUM($J100:BV100)+BV100)*BV$6*(BV12&gt;0)</f>
        <v>-0</v>
      </c>
      <c r="BW105" s="49" t="n">
        <f aca="false">-In_Commitment_Fee*($I100-SUM($J100:BW100)+BW100)*BW$6*(BW12&gt;0)</f>
        <v>-0</v>
      </c>
      <c r="BX105" s="49" t="n">
        <f aca="false">-In_Commitment_Fee*($I100-SUM($J100:BX100)+BX100)*BX$6*(BX12&gt;0)</f>
        <v>-0</v>
      </c>
      <c r="BY105" s="49" t="n">
        <f aca="false">-In_Commitment_Fee*($I100-SUM($J100:BY100)+BY100)*BY$6*(BY12&gt;0)</f>
        <v>-0</v>
      </c>
      <c r="BZ105" s="49" t="n">
        <f aca="false">-In_Commitment_Fee*($I100-SUM($J100:BZ100)+BZ100)*BZ$6*(BZ12&gt;0)</f>
        <v>-0</v>
      </c>
      <c r="CA105" s="49" t="n">
        <f aca="false">-In_Commitment_Fee*($I100-SUM($J100:CA100)+CA100)*CA$6*(CA12&gt;0)</f>
        <v>-0</v>
      </c>
      <c r="CB105" s="49" t="n">
        <f aca="false">-In_Commitment_Fee*($I100-SUM($J100:CB100)+CB100)*CB$6*(CB12&gt;0)</f>
        <v>-0</v>
      </c>
      <c r="CC105" s="49" t="n">
        <f aca="false">-In_Commitment_Fee*($I100-SUM($J100:CC100)+CC100)*CC$6*(CC12&gt;0)</f>
        <v>-0</v>
      </c>
      <c r="CD105" s="49" t="n">
        <f aca="false">-In_Commitment_Fee*($I100-SUM($J100:CD100)+CD100)*CD$6*(CD12&gt;0)</f>
        <v>-0</v>
      </c>
      <c r="CE105" s="49" t="n">
        <f aca="false">-In_Commitment_Fee*($I100-SUM($J100:CE100)+CE100)*CE$6*(CE12&gt;0)</f>
        <v>-0</v>
      </c>
      <c r="CF105" s="49" t="n">
        <f aca="false">-In_Commitment_Fee*($I100-SUM($J100:CF100)+CF100)*CF$6*(CF12&gt;0)</f>
        <v>-0</v>
      </c>
      <c r="CG105" s="49" t="n">
        <f aca="false">-In_Commitment_Fee*($I100-SUM($J100:CG100)+CG100)*CG$6*(CG12&gt;0)</f>
        <v>-0</v>
      </c>
      <c r="CH105" s="49" t="n">
        <f aca="false">-In_Commitment_Fee*($I100-SUM($J100:CH100)+CH100)*CH$6*(CH12&gt;0)</f>
        <v>-0</v>
      </c>
      <c r="CI105" s="49" t="n">
        <f aca="false">-In_Commitment_Fee*($I100-SUM($J100:CI100)+CI100)*CI$6*(CI12&gt;0)</f>
        <v>-0</v>
      </c>
      <c r="CJ105" s="49" t="n">
        <f aca="false">-In_Commitment_Fee*($I100-SUM($J100:CJ100)+CJ100)*CJ$6*(CJ12&gt;0)</f>
        <v>-0</v>
      </c>
      <c r="CK105" s="49" t="n">
        <f aca="false">-In_Commitment_Fee*($I100-SUM($J100:CK100)+CK100)*CK$6*(CK12&gt;0)</f>
        <v>-0</v>
      </c>
      <c r="CL105" s="49" t="n">
        <f aca="false">-In_Commitment_Fee*($I100-SUM($J100:CL100)+CL100)*CL$6*(CL12&gt;0)</f>
        <v>-0</v>
      </c>
      <c r="CM105" s="49" t="n">
        <f aca="false">-In_Commitment_Fee*($I100-SUM($J100:CM100)+CM100)*CM$6*(CM12&gt;0)</f>
        <v>-0</v>
      </c>
      <c r="CN105" s="49" t="n">
        <f aca="false">-In_Commitment_Fee*($I100-SUM($J100:CN100)+CN100)*CN$6*(CN12&gt;0)</f>
        <v>-0</v>
      </c>
      <c r="CO105" s="49" t="n">
        <f aca="false">-In_Commitment_Fee*($I100-SUM($J100:CO100)+CO100)*CO$6*(CO12&gt;0)</f>
        <v>-0</v>
      </c>
      <c r="CP105" s="49" t="n">
        <f aca="false">-In_Commitment_Fee*($I100-SUM($J100:CP100)+CP100)*CP$6*(CP12&gt;0)</f>
        <v>-0</v>
      </c>
      <c r="CQ105" s="49" t="n">
        <f aca="false">-In_Commitment_Fee*($I100-SUM($J100:CQ100)+CQ100)*CQ$6*(CQ12&gt;0)</f>
        <v>-0</v>
      </c>
      <c r="CR105" s="49" t="n">
        <f aca="false">-In_Commitment_Fee*($I100-SUM($J100:CR100)+CR100)*CR$6*(CR12&gt;0)</f>
        <v>-0</v>
      </c>
      <c r="CS105" s="49" t="n">
        <f aca="false">-In_Commitment_Fee*($I100-SUM($J100:CS100)+CS100)*CS$6*(CS12&gt;0)</f>
        <v>-0</v>
      </c>
      <c r="CT105" s="49" t="n">
        <f aca="false">-In_Commitment_Fee*($I100-SUM($J100:CT100)+CT100)*CT$6*(CT12&gt;0)</f>
        <v>-0</v>
      </c>
      <c r="CU105" s="49" t="n">
        <f aca="false">-In_Commitment_Fee*($I100-SUM($J100:CU100)+CU100)*CU$6*(CU12&gt;0)</f>
        <v>-0</v>
      </c>
      <c r="CV105" s="49" t="n">
        <f aca="false">-In_Commitment_Fee*($I100-SUM($J100:CV100)+CV100)*CV$6*(CV12&gt;0)</f>
        <v>-0</v>
      </c>
      <c r="CW105" s="49" t="n">
        <f aca="false">-In_Commitment_Fee*($I100-SUM($J100:CW100)+CW100)*CW$6*(CW12&gt;0)</f>
        <v>-0</v>
      </c>
      <c r="CX105" s="49" t="n">
        <f aca="false">-In_Commitment_Fee*($I100-SUM($J100:CX100)+CX100)*CX$6*(CX12&gt;0)</f>
        <v>-0</v>
      </c>
      <c r="CY105" s="49" t="n">
        <f aca="false">-In_Commitment_Fee*($I100-SUM($J100:CY100)+CY100)*CY$6*(CY12&gt;0)</f>
        <v>-0</v>
      </c>
      <c r="CZ105" s="49" t="n">
        <f aca="false">-In_Commitment_Fee*($I100-SUM($J100:CZ100)+CZ100)*CZ$6*(CZ12&gt;0)</f>
        <v>-0</v>
      </c>
      <c r="DA105" s="49" t="n">
        <f aca="false">-In_Commitment_Fee*($I100-SUM($J100:DA100)+DA100)*DA$6*(DA12&gt;0)</f>
        <v>-0</v>
      </c>
      <c r="DB105" s="49" t="n">
        <f aca="false">-In_Commitment_Fee*($I100-SUM($J100:DB100)+DB100)*DB$6*(DB12&gt;0)</f>
        <v>-0</v>
      </c>
      <c r="DC105" s="49" t="n">
        <f aca="false">-In_Commitment_Fee*($I100-SUM($J100:DC100)+DC100)*DC$6*(DC12&gt;0)</f>
        <v>-0</v>
      </c>
      <c r="DD105" s="49" t="n">
        <f aca="false">-In_Commitment_Fee*($I100-SUM($J100:DD100)+DD100)*DD$6*(DD12&gt;0)</f>
        <v>-0</v>
      </c>
      <c r="DE105" s="49" t="n">
        <f aca="false">-In_Commitment_Fee*($I100-SUM($J100:DE100)+DE100)*DE$6*(DE12&gt;0)</f>
        <v>-0</v>
      </c>
      <c r="DF105" s="49" t="n">
        <f aca="false">-In_Commitment_Fee*($I100-SUM($J100:DF100)+DF100)*DF$6*(DF12&gt;0)</f>
        <v>-0</v>
      </c>
      <c r="DG105" s="49" t="n">
        <f aca="false">-In_Commitment_Fee*($I100-SUM($J100:DG100)+DG100)*DG$6*(DG12&gt;0)</f>
        <v>-0</v>
      </c>
      <c r="DH105" s="49" t="n">
        <f aca="false">-In_Commitment_Fee*($I100-SUM($J100:DH100)+DH100)*DH$6*(DH12&gt;0)</f>
        <v>-0</v>
      </c>
      <c r="DI105" s="49" t="n">
        <f aca="false">-In_Commitment_Fee*($I100-SUM($J100:DI100)+DI100)*DI$6*(DI12&gt;0)</f>
        <v>-0</v>
      </c>
      <c r="DJ105" s="49" t="n">
        <f aca="false">-In_Commitment_Fee*($I100-SUM($J100:DJ100)+DJ100)*DJ$6*(DJ12&gt;0)</f>
        <v>-0</v>
      </c>
      <c r="DK105" s="49" t="n">
        <f aca="false">-In_Commitment_Fee*($I100-SUM($J100:DK100)+DK100)*DK$6*(DK12&gt;0)</f>
        <v>-0</v>
      </c>
      <c r="DL105" s="49" t="n">
        <f aca="false">-In_Commitment_Fee*($I100-SUM($J100:DL100)+DL100)*DL$6*(DL12&gt;0)</f>
        <v>-0</v>
      </c>
      <c r="DM105" s="49" t="n">
        <f aca="false">-In_Commitment_Fee*($I100-SUM($J100:DM100)+DM100)*DM$6*(DM12&gt;0)</f>
        <v>-0</v>
      </c>
      <c r="DN105" s="49" t="n">
        <f aca="false">-In_Commitment_Fee*($I100-SUM($J100:DN100)+DN100)*DN$6*(DN12&gt;0)</f>
        <v>-0</v>
      </c>
      <c r="DO105" s="49" t="n">
        <f aca="false">-In_Commitment_Fee*($I100-SUM($J100:DO100)+DO100)*DO$6*(DO12&gt;0)</f>
        <v>-0</v>
      </c>
      <c r="DP105" s="49" t="n">
        <f aca="false">-In_Commitment_Fee*($I100-SUM($J100:DP100)+DP100)*DP$6*(DP12&gt;0)</f>
        <v>-0</v>
      </c>
      <c r="DQ105" s="49" t="n">
        <f aca="false">-In_Commitment_Fee*($I100-SUM($J100:DQ100)+DQ100)*DQ$6*(DQ12&gt;0)</f>
        <v>-0</v>
      </c>
      <c r="DR105" s="49" t="n">
        <f aca="false">-In_Commitment_Fee*($I100-SUM($J100:DR100)+DR100)*DR$6*(DR12&gt;0)</f>
        <v>-0</v>
      </c>
      <c r="DS105" s="49" t="n">
        <f aca="false">-In_Commitment_Fee*($I100-SUM($J100:DS100)+DS100)*DS$6*(DS12&gt;0)</f>
        <v>-0</v>
      </c>
      <c r="DT105" s="49" t="n">
        <f aca="false">-In_Commitment_Fee*($I100-SUM($J100:DT100)+DT100)*DT$6*(DT12&gt;0)</f>
        <v>-0</v>
      </c>
      <c r="DU105" s="49" t="n">
        <f aca="false">-In_Commitment_Fee*($I100-SUM($J100:DU100)+DU100)*DU$6*(DU12&gt;0)</f>
        <v>-0</v>
      </c>
      <c r="DV105" s="49" t="n">
        <f aca="false">-In_Commitment_Fee*($I100-SUM($J100:DV100)+DV100)*DV$6*(DV12&gt;0)</f>
        <v>-0</v>
      </c>
      <c r="DW105" s="49" t="n">
        <f aca="false">-In_Commitment_Fee*($I100-SUM($J100:DW100)+DW100)*DW$6*(DW12&gt;0)</f>
        <v>-0</v>
      </c>
      <c r="DX105" s="49" t="n">
        <f aca="false">-In_Commitment_Fee*($I100-SUM($J100:DX100)+DX100)*DX$6*(DX12&gt;0)</f>
        <v>-0</v>
      </c>
      <c r="DY105" s="49" t="n">
        <f aca="false">-In_Commitment_Fee*($I100-SUM($J100:DY100)+DY100)*DY$6*(DY12&gt;0)</f>
        <v>-0</v>
      </c>
      <c r="DZ105" s="49" t="n">
        <f aca="false">-In_Commitment_Fee*($I100-SUM($J100:DZ100)+DZ100)*DZ$6*(DZ12&gt;0)</f>
        <v>-0</v>
      </c>
      <c r="EA105" s="49" t="n">
        <f aca="false">-In_Commitment_Fee*($I100-SUM($J100:EA100)+EA100)*EA$6*(EA12&gt;0)</f>
        <v>-0</v>
      </c>
      <c r="EB105" s="49" t="n">
        <f aca="false">-In_Commitment_Fee*($I100-SUM($J100:EB100)+EB100)*EB$6*(EB12&gt;0)</f>
        <v>-0</v>
      </c>
      <c r="EC105" s="49" t="n">
        <f aca="false">-In_Commitment_Fee*($I100-SUM($J100:EC100)+EC100)*EC$6*(EC12&gt;0)</f>
        <v>-0</v>
      </c>
      <c r="ED105" s="49" t="n">
        <f aca="false">-In_Commitment_Fee*($I100-SUM($J100:ED100)+ED100)*ED$6*(ED12&gt;0)</f>
        <v>-0</v>
      </c>
      <c r="EE105" s="49" t="n">
        <f aca="false">-In_Commitment_Fee*($I100-SUM($J100:EE100)+EE100)*EE$6*(EE12&gt;0)</f>
        <v>-0</v>
      </c>
      <c r="EF105" s="49" t="n">
        <f aca="false">-In_Commitment_Fee*($I100-SUM($J100:EF100)+EF100)*EF$6*(EF12&gt;0)</f>
        <v>-0</v>
      </c>
      <c r="EG105" s="49" t="n">
        <f aca="false">-In_Commitment_Fee*($I100-SUM($J100:EG100)+EG100)*EG$6*(EG12&gt;0)</f>
        <v>-0</v>
      </c>
      <c r="EH105" s="49" t="n">
        <f aca="false">-In_Commitment_Fee*($I100-SUM($J100:EH100)+EH100)*EH$6*(EH12&gt;0)</f>
        <v>-0</v>
      </c>
      <c r="EI105" s="49" t="n">
        <f aca="false">-In_Commitment_Fee*($I100-SUM($J100:EI100)+EI100)*EI$6*(EI12&gt;0)</f>
        <v>-0</v>
      </c>
      <c r="EJ105" s="49" t="n">
        <f aca="false">-In_Commitment_Fee*($I100-SUM($J100:EJ100)+EJ100)*EJ$6*(EJ12&gt;0)</f>
        <v>-0</v>
      </c>
      <c r="EK105" s="49" t="n">
        <f aca="false">-In_Commitment_Fee*($I100-SUM($J100:EK100)+EK100)*EK$6*(EK12&gt;0)</f>
        <v>-0</v>
      </c>
      <c r="EL105" s="49" t="n">
        <f aca="false">-In_Commitment_Fee*($I100-SUM($J100:EL100)+EL100)*EL$6*(EL12&gt;0)</f>
        <v>-0</v>
      </c>
      <c r="EM105" s="49" t="n">
        <f aca="false">-In_Commitment_Fee*($I100-SUM($J100:EM100)+EM100)*EM$6*(EM12&gt;0)</f>
        <v>-0</v>
      </c>
      <c r="EN105" s="49" t="n">
        <f aca="false">-In_Commitment_Fee*($I100-SUM($J100:EN100)+EN100)*EN$6*(EN12&gt;0)</f>
        <v>-0</v>
      </c>
      <c r="EO105" s="49" t="n">
        <f aca="false">-In_Commitment_Fee*($I100-SUM($J100:EO100)+EO100)*EO$6*(EO12&gt;0)</f>
        <v>-0</v>
      </c>
    </row>
    <row r="106" customFormat="false" ht="15" hidden="false" customHeight="false" outlineLevel="0" collapsed="false">
      <c r="C106" s="1" t="s">
        <v>494</v>
      </c>
      <c r="D106" s="12" t="s">
        <v>33</v>
      </c>
      <c r="E106" s="49" t="n">
        <f aca="false">-SUMIFS($J96:$EO96,$J$4:$EO$4,"&gt;"&amp;In_COD,$J$4:$EO$4,"&lt;="&amp;EDATE(In_COD,In_DSRA_Months))</f>
        <v>1177.60153927476</v>
      </c>
      <c r="I106" s="49" t="n">
        <f aca="false">SUM(J106:EO106)</f>
        <v>0</v>
      </c>
      <c r="J106" s="49" t="n">
        <f aca="false">$E106*(J19-J14)</f>
        <v>0</v>
      </c>
      <c r="K106" s="49" t="n">
        <f aca="false">$E106*(K19-K14)</f>
        <v>0</v>
      </c>
      <c r="L106" s="49" t="n">
        <f aca="false">$E106*(L19-L14)</f>
        <v>0</v>
      </c>
      <c r="M106" s="49" t="n">
        <f aca="false">$E106*(M19-M14)</f>
        <v>0</v>
      </c>
      <c r="N106" s="49" t="n">
        <f aca="false">$E106*(N19-N14)</f>
        <v>0</v>
      </c>
      <c r="O106" s="49" t="n">
        <f aca="false">$E106*(O19-O14)</f>
        <v>0</v>
      </c>
      <c r="P106" s="49" t="n">
        <f aca="false">$E106*(P19-P14)</f>
        <v>0</v>
      </c>
      <c r="Q106" s="49" t="n">
        <f aca="false">$E106*(Q19-Q14)</f>
        <v>0</v>
      </c>
      <c r="R106" s="49" t="n">
        <f aca="false">$E106*(R19-R14)</f>
        <v>0</v>
      </c>
      <c r="S106" s="49" t="n">
        <f aca="false">$E106*(S19-S14)</f>
        <v>0</v>
      </c>
      <c r="T106" s="49" t="n">
        <f aca="false">$E106*(T19-T14)</f>
        <v>0</v>
      </c>
      <c r="U106" s="49" t="n">
        <f aca="false">$E106*(U19-U14)</f>
        <v>0</v>
      </c>
      <c r="V106" s="49" t="n">
        <f aca="false">$E106*(V19-V14)</f>
        <v>0</v>
      </c>
      <c r="W106" s="49" t="n">
        <f aca="false">$E106*(W19-W14)</f>
        <v>0</v>
      </c>
      <c r="X106" s="49" t="n">
        <f aca="false">$E106*(X19-X14)</f>
        <v>0</v>
      </c>
      <c r="Y106" s="49" t="n">
        <f aca="false">$E106*(Y19-Y14)</f>
        <v>-1177.60153927476</v>
      </c>
      <c r="Z106" s="49" t="n">
        <f aca="false">$E106*(Z19-Z14)</f>
        <v>0</v>
      </c>
      <c r="AA106" s="49" t="n">
        <f aca="false">$E106*(AA19-AA14)</f>
        <v>0</v>
      </c>
      <c r="AB106" s="49" t="n">
        <f aca="false">$E106*(AB19-AB14)</f>
        <v>0</v>
      </c>
      <c r="AC106" s="49" t="n">
        <f aca="false">$E106*(AC19-AC14)</f>
        <v>0</v>
      </c>
      <c r="AD106" s="49" t="n">
        <f aca="false">$E106*(AD19-AD14)</f>
        <v>0</v>
      </c>
      <c r="AE106" s="49" t="n">
        <f aca="false">$E106*(AE19-AE14)</f>
        <v>0</v>
      </c>
      <c r="AF106" s="49" t="n">
        <f aca="false">$E106*(AF19-AF14)</f>
        <v>0</v>
      </c>
      <c r="AG106" s="49" t="n">
        <f aca="false">$E106*(AG19-AG14)</f>
        <v>0</v>
      </c>
      <c r="AH106" s="49" t="n">
        <f aca="false">$E106*(AH19-AH14)</f>
        <v>0</v>
      </c>
      <c r="AI106" s="49" t="n">
        <f aca="false">$E106*(AI19-AI14)</f>
        <v>0</v>
      </c>
      <c r="AJ106" s="49" t="n">
        <f aca="false">$E106*(AJ19-AJ14)</f>
        <v>0</v>
      </c>
      <c r="AK106" s="49" t="n">
        <f aca="false">$E106*(AK19-AK14)</f>
        <v>0</v>
      </c>
      <c r="AL106" s="49" t="n">
        <f aca="false">$E106*(AL19-AL14)</f>
        <v>0</v>
      </c>
      <c r="AM106" s="49" t="n">
        <f aca="false">$E106*(AM19-AM14)</f>
        <v>0</v>
      </c>
      <c r="AN106" s="49" t="n">
        <f aca="false">$E106*(AN19-AN14)</f>
        <v>0</v>
      </c>
      <c r="AO106" s="49" t="n">
        <f aca="false">$E106*(AO19-AO14)</f>
        <v>0</v>
      </c>
      <c r="AP106" s="49" t="n">
        <f aca="false">$E106*(AP19-AP14)</f>
        <v>0</v>
      </c>
      <c r="AQ106" s="49" t="n">
        <f aca="false">$E106*(AQ19-AQ14)</f>
        <v>0</v>
      </c>
      <c r="AR106" s="49" t="n">
        <f aca="false">$E106*(AR19-AR14)</f>
        <v>0</v>
      </c>
      <c r="AS106" s="49" t="n">
        <f aca="false">$E106*(AS19-AS14)</f>
        <v>0</v>
      </c>
      <c r="AT106" s="49" t="n">
        <f aca="false">$E106*(AT19-AT14)</f>
        <v>0</v>
      </c>
      <c r="AU106" s="49" t="n">
        <f aca="false">$E106*(AU19-AU14)</f>
        <v>0</v>
      </c>
      <c r="AV106" s="49" t="n">
        <f aca="false">$E106*(AV19-AV14)</f>
        <v>0</v>
      </c>
      <c r="AW106" s="49" t="n">
        <f aca="false">$E106*(AW19-AW14)</f>
        <v>0</v>
      </c>
      <c r="AX106" s="49" t="n">
        <f aca="false">$E106*(AX19-AX14)</f>
        <v>0</v>
      </c>
      <c r="AY106" s="49" t="n">
        <f aca="false">$E106*(AY19-AY14)</f>
        <v>0</v>
      </c>
      <c r="AZ106" s="49" t="n">
        <f aca="false">$E106*(AZ19-AZ14)</f>
        <v>0</v>
      </c>
      <c r="BA106" s="49" t="n">
        <f aca="false">$E106*(BA19-BA14)</f>
        <v>0</v>
      </c>
      <c r="BB106" s="49" t="n">
        <f aca="false">$E106*(BB19-BB14)</f>
        <v>0</v>
      </c>
      <c r="BC106" s="49" t="n">
        <f aca="false">$E106*(BC19-BC14)</f>
        <v>0</v>
      </c>
      <c r="BD106" s="49" t="n">
        <f aca="false">$E106*(BD19-BD14)</f>
        <v>0</v>
      </c>
      <c r="BE106" s="49" t="n">
        <f aca="false">$E106*(BE19-BE14)</f>
        <v>0</v>
      </c>
      <c r="BF106" s="49" t="n">
        <f aca="false">$E106*(BF19-BF14)</f>
        <v>0</v>
      </c>
      <c r="BG106" s="49" t="n">
        <f aca="false">$E106*(BG19-BG14)</f>
        <v>0</v>
      </c>
      <c r="BH106" s="49" t="n">
        <f aca="false">$E106*(BH19-BH14)</f>
        <v>0</v>
      </c>
      <c r="BI106" s="49" t="n">
        <f aca="false">$E106*(BI19-BI14)</f>
        <v>0</v>
      </c>
      <c r="BJ106" s="49" t="n">
        <f aca="false">$E106*(BJ19-BJ14)</f>
        <v>0</v>
      </c>
      <c r="BK106" s="49" t="n">
        <f aca="false">$E106*(BK19-BK14)</f>
        <v>0</v>
      </c>
      <c r="BL106" s="49" t="n">
        <f aca="false">$E106*(BL19-BL14)</f>
        <v>0</v>
      </c>
      <c r="BM106" s="49" t="n">
        <f aca="false">$E106*(BM19-BM14)</f>
        <v>0</v>
      </c>
      <c r="BN106" s="49" t="n">
        <f aca="false">$E106*(BN19-BN14)</f>
        <v>0</v>
      </c>
      <c r="BO106" s="49" t="n">
        <f aca="false">$E106*(BO19-BO14)</f>
        <v>0</v>
      </c>
      <c r="BP106" s="49" t="n">
        <f aca="false">$E106*(BP19-BP14)</f>
        <v>0</v>
      </c>
      <c r="BQ106" s="49" t="n">
        <f aca="false">$E106*(BQ19-BQ14)</f>
        <v>0</v>
      </c>
      <c r="BR106" s="49" t="n">
        <f aca="false">$E106*(BR19-BR14)</f>
        <v>0</v>
      </c>
      <c r="BS106" s="49" t="n">
        <f aca="false">$E106*(BS19-BS14)</f>
        <v>0</v>
      </c>
      <c r="BT106" s="49" t="n">
        <f aca="false">$E106*(BT19-BT14)</f>
        <v>0</v>
      </c>
      <c r="BU106" s="49" t="n">
        <f aca="false">$E106*(BU19-BU14)</f>
        <v>0</v>
      </c>
      <c r="BV106" s="49" t="n">
        <f aca="false">$E106*(BV19-BV14)</f>
        <v>0</v>
      </c>
      <c r="BW106" s="49" t="n">
        <f aca="false">$E106*(BW19-BW14)</f>
        <v>0</v>
      </c>
      <c r="BX106" s="49" t="n">
        <f aca="false">$E106*(BX19-BX14)</f>
        <v>0</v>
      </c>
      <c r="BY106" s="49" t="n">
        <f aca="false">$E106*(BY19-BY14)</f>
        <v>0</v>
      </c>
      <c r="BZ106" s="49" t="n">
        <f aca="false">$E106*(BZ19-BZ14)</f>
        <v>0</v>
      </c>
      <c r="CA106" s="49" t="n">
        <f aca="false">$E106*(CA19-CA14)</f>
        <v>0</v>
      </c>
      <c r="CB106" s="49" t="n">
        <f aca="false">$E106*(CB19-CB14)</f>
        <v>0</v>
      </c>
      <c r="CC106" s="49" t="n">
        <f aca="false">$E106*(CC19-CC14)</f>
        <v>0</v>
      </c>
      <c r="CD106" s="49" t="n">
        <f aca="false">$E106*(CD19-CD14)</f>
        <v>0</v>
      </c>
      <c r="CE106" s="49" t="n">
        <f aca="false">$E106*(CE19-CE14)</f>
        <v>0</v>
      </c>
      <c r="CF106" s="49" t="n">
        <f aca="false">$E106*(CF19-CF14)</f>
        <v>0</v>
      </c>
      <c r="CG106" s="49" t="n">
        <f aca="false">$E106*(CG19-CG14)</f>
        <v>1177.60153927476</v>
      </c>
      <c r="CH106" s="49" t="n">
        <f aca="false">$E106*(CH19-CH14)</f>
        <v>0</v>
      </c>
      <c r="CI106" s="49" t="n">
        <f aca="false">$E106*(CI19-CI14)</f>
        <v>0</v>
      </c>
      <c r="CJ106" s="49" t="n">
        <f aca="false">$E106*(CJ19-CJ14)</f>
        <v>0</v>
      </c>
      <c r="CK106" s="49" t="n">
        <f aca="false">$E106*(CK19-CK14)</f>
        <v>0</v>
      </c>
      <c r="CL106" s="49" t="n">
        <f aca="false">$E106*(CL19-CL14)</f>
        <v>0</v>
      </c>
      <c r="CM106" s="49" t="n">
        <f aca="false">$E106*(CM19-CM14)</f>
        <v>0</v>
      </c>
      <c r="CN106" s="49" t="n">
        <f aca="false">$E106*(CN19-CN14)</f>
        <v>0</v>
      </c>
      <c r="CO106" s="49" t="n">
        <f aca="false">$E106*(CO19-CO14)</f>
        <v>0</v>
      </c>
      <c r="CP106" s="49" t="n">
        <f aca="false">$E106*(CP19-CP14)</f>
        <v>0</v>
      </c>
      <c r="CQ106" s="49" t="n">
        <f aca="false">$E106*(CQ19-CQ14)</f>
        <v>0</v>
      </c>
      <c r="CR106" s="49" t="n">
        <f aca="false">$E106*(CR19-CR14)</f>
        <v>0</v>
      </c>
      <c r="CS106" s="49" t="n">
        <f aca="false">$E106*(CS19-CS14)</f>
        <v>0</v>
      </c>
      <c r="CT106" s="49" t="n">
        <f aca="false">$E106*(CT19-CT14)</f>
        <v>0</v>
      </c>
      <c r="CU106" s="49" t="n">
        <f aca="false">$E106*(CU19-CU14)</f>
        <v>0</v>
      </c>
      <c r="CV106" s="49" t="n">
        <f aca="false">$E106*(CV19-CV14)</f>
        <v>0</v>
      </c>
      <c r="CW106" s="49" t="n">
        <f aca="false">$E106*(CW19-CW14)</f>
        <v>0</v>
      </c>
      <c r="CX106" s="49" t="n">
        <f aca="false">$E106*(CX19-CX14)</f>
        <v>0</v>
      </c>
      <c r="CY106" s="49" t="n">
        <f aca="false">$E106*(CY19-CY14)</f>
        <v>0</v>
      </c>
      <c r="CZ106" s="49" t="n">
        <f aca="false">$E106*(CZ19-CZ14)</f>
        <v>0</v>
      </c>
      <c r="DA106" s="49" t="n">
        <f aca="false">$E106*(DA19-DA14)</f>
        <v>0</v>
      </c>
      <c r="DB106" s="49" t="n">
        <f aca="false">$E106*(DB19-DB14)</f>
        <v>0</v>
      </c>
      <c r="DC106" s="49" t="n">
        <f aca="false">$E106*(DC19-DC14)</f>
        <v>0</v>
      </c>
      <c r="DD106" s="49" t="n">
        <f aca="false">$E106*(DD19-DD14)</f>
        <v>0</v>
      </c>
      <c r="DE106" s="49" t="n">
        <f aca="false">$E106*(DE19-DE14)</f>
        <v>0</v>
      </c>
      <c r="DF106" s="49" t="n">
        <f aca="false">$E106*(DF19-DF14)</f>
        <v>0</v>
      </c>
      <c r="DG106" s="49" t="n">
        <f aca="false">$E106*(DG19-DG14)</f>
        <v>0</v>
      </c>
      <c r="DH106" s="49" t="n">
        <f aca="false">$E106*(DH19-DH14)</f>
        <v>0</v>
      </c>
      <c r="DI106" s="49" t="n">
        <f aca="false">$E106*(DI19-DI14)</f>
        <v>0</v>
      </c>
      <c r="DJ106" s="49" t="n">
        <f aca="false">$E106*(DJ19-DJ14)</f>
        <v>0</v>
      </c>
      <c r="DK106" s="49" t="n">
        <f aca="false">$E106*(DK19-DK14)</f>
        <v>0</v>
      </c>
      <c r="DL106" s="49" t="n">
        <f aca="false">$E106*(DL19-DL14)</f>
        <v>0</v>
      </c>
      <c r="DM106" s="49" t="n">
        <f aca="false">$E106*(DM19-DM14)</f>
        <v>0</v>
      </c>
      <c r="DN106" s="49" t="n">
        <f aca="false">$E106*(DN19-DN14)</f>
        <v>0</v>
      </c>
      <c r="DO106" s="49" t="n">
        <f aca="false">$E106*(DO19-DO14)</f>
        <v>0</v>
      </c>
      <c r="DP106" s="49" t="n">
        <f aca="false">$E106*(DP19-DP14)</f>
        <v>0</v>
      </c>
      <c r="DQ106" s="49" t="n">
        <f aca="false">$E106*(DQ19-DQ14)</f>
        <v>0</v>
      </c>
      <c r="DR106" s="49" t="n">
        <f aca="false">$E106*(DR19-DR14)</f>
        <v>0</v>
      </c>
      <c r="DS106" s="49" t="n">
        <f aca="false">$E106*(DS19-DS14)</f>
        <v>0</v>
      </c>
      <c r="DT106" s="49" t="n">
        <f aca="false">$E106*(DT19-DT14)</f>
        <v>0</v>
      </c>
      <c r="DU106" s="49" t="n">
        <f aca="false">$E106*(DU19-DU14)</f>
        <v>0</v>
      </c>
      <c r="DV106" s="49" t="n">
        <f aca="false">$E106*(DV19-DV14)</f>
        <v>0</v>
      </c>
      <c r="DW106" s="49" t="n">
        <f aca="false">$E106*(DW19-DW14)</f>
        <v>0</v>
      </c>
      <c r="DX106" s="49" t="n">
        <f aca="false">$E106*(DX19-DX14)</f>
        <v>0</v>
      </c>
      <c r="DY106" s="49" t="n">
        <f aca="false">$E106*(DY19-DY14)</f>
        <v>0</v>
      </c>
      <c r="DZ106" s="49" t="n">
        <f aca="false">$E106*(DZ19-DZ14)</f>
        <v>0</v>
      </c>
      <c r="EA106" s="49" t="n">
        <f aca="false">$E106*(EA19-EA14)</f>
        <v>0</v>
      </c>
      <c r="EB106" s="49" t="n">
        <f aca="false">$E106*(EB19-EB14)</f>
        <v>0</v>
      </c>
      <c r="EC106" s="49" t="n">
        <f aca="false">$E106*(EC19-EC14)</f>
        <v>0</v>
      </c>
      <c r="ED106" s="49" t="n">
        <f aca="false">$E106*(ED19-ED14)</f>
        <v>0</v>
      </c>
      <c r="EE106" s="49" t="n">
        <f aca="false">$E106*(EE19-EE14)</f>
        <v>0</v>
      </c>
      <c r="EF106" s="49" t="n">
        <f aca="false">$E106*(EF19-EF14)</f>
        <v>0</v>
      </c>
      <c r="EG106" s="49" t="n">
        <f aca="false">$E106*(EG19-EG14)</f>
        <v>0</v>
      </c>
      <c r="EH106" s="49" t="n">
        <f aca="false">$E106*(EH19-EH14)</f>
        <v>0</v>
      </c>
      <c r="EI106" s="49" t="n">
        <f aca="false">$E106*(EI19-EI14)</f>
        <v>0</v>
      </c>
      <c r="EJ106" s="49" t="n">
        <f aca="false">$E106*(EJ19-EJ14)</f>
        <v>0</v>
      </c>
      <c r="EK106" s="49" t="n">
        <f aca="false">$E106*(EK19-EK14)</f>
        <v>0</v>
      </c>
      <c r="EL106" s="49" t="n">
        <f aca="false">$E106*(EL19-EL14)</f>
        <v>0</v>
      </c>
      <c r="EM106" s="49" t="n">
        <f aca="false">$E106*(EM19-EM14)</f>
        <v>0</v>
      </c>
      <c r="EN106" s="49" t="n">
        <f aca="false">$E106*(EN19-EN14)</f>
        <v>0</v>
      </c>
      <c r="EO106" s="49" t="n">
        <f aca="false">$E106*(EO19-EO14)</f>
        <v>0</v>
      </c>
    </row>
    <row r="107" customFormat="false" ht="15" hidden="false" customHeight="false" outlineLevel="0" collapsed="false">
      <c r="C107" s="1" t="s">
        <v>495</v>
      </c>
      <c r="D107" s="12" t="s">
        <v>13</v>
      </c>
      <c r="E107" s="54" t="n">
        <f aca="false">MIN($J107:$EO107)</f>
        <v>1.89052102074728</v>
      </c>
      <c r="J107" s="54" t="str">
        <f aca="false">IF(J96&lt;0,J87/-J96,"")</f>
        <v/>
      </c>
      <c r="K107" s="54" t="str">
        <f aca="false">IF(K96&lt;0,K87/-K96,"")</f>
        <v/>
      </c>
      <c r="L107" s="54" t="str">
        <f aca="false">IF(L96&lt;0,L87/-L96,"")</f>
        <v/>
      </c>
      <c r="M107" s="54" t="str">
        <f aca="false">IF(M96&lt;0,M87/-M96,"")</f>
        <v/>
      </c>
      <c r="N107" s="54" t="str">
        <f aca="false">IF(N96&lt;0,N87/-N96,"")</f>
        <v/>
      </c>
      <c r="O107" s="54" t="str">
        <f aca="false">IF(O96&lt;0,O87/-O96,"")</f>
        <v/>
      </c>
      <c r="P107" s="54" t="str">
        <f aca="false">IF(P96&lt;0,P87/-P96,"")</f>
        <v/>
      </c>
      <c r="Q107" s="54" t="str">
        <f aca="false">IF(Q96&lt;0,Q87/-Q96,"")</f>
        <v/>
      </c>
      <c r="R107" s="54" t="str">
        <f aca="false">IF(R96&lt;0,R87/-R96,"")</f>
        <v/>
      </c>
      <c r="S107" s="54" t="str">
        <f aca="false">IF(S96&lt;0,S87/-S96,"")</f>
        <v/>
      </c>
      <c r="T107" s="54" t="str">
        <f aca="false">IF(T96&lt;0,T87/-T96,"")</f>
        <v/>
      </c>
      <c r="U107" s="54" t="str">
        <f aca="false">IF(U96&lt;0,U87/-U96,"")</f>
        <v/>
      </c>
      <c r="V107" s="54" t="str">
        <f aca="false">IF(V96&lt;0,V87/-V96,"")</f>
        <v/>
      </c>
      <c r="W107" s="54" t="str">
        <f aca="false">IF(W96&lt;0,W87/-W96,"")</f>
        <v/>
      </c>
      <c r="X107" s="54" t="str">
        <f aca="false">IF(X96&lt;0,X87/-X96,"")</f>
        <v/>
      </c>
      <c r="Y107" s="54" t="str">
        <f aca="false">IF(Y96&lt;0,Y87/-Y96,"")</f>
        <v/>
      </c>
      <c r="Z107" s="54" t="n">
        <f aca="false">IF(Z96&lt;0,Z87/-Z96,"")</f>
        <v>1.96105086512165</v>
      </c>
      <c r="AA107" s="54" t="n">
        <f aca="false">IF(AA96&lt;0,AA87/-AA96,"")</f>
        <v>1.93126406994586</v>
      </c>
      <c r="AB107" s="54" t="n">
        <f aca="false">IF(AB96&lt;0,AB87/-AB96,"")</f>
        <v>1.95183917422676</v>
      </c>
      <c r="AC107" s="54" t="n">
        <f aca="false">IF(AC96&lt;0,AC87/-AC96,"")</f>
        <v>1.97240864765182</v>
      </c>
      <c r="AD107" s="54" t="n">
        <f aca="false">IF(AD96&lt;0,AD87/-AD96,"")</f>
        <v>1.9652905149663</v>
      </c>
      <c r="AE107" s="54" t="n">
        <f aca="false">IF(AE96&lt;0,AE87/-AE96,"")</f>
        <v>1.95633348328688</v>
      </c>
      <c r="AF107" s="54" t="n">
        <f aca="false">IF(AF96&lt;0,AF87/-AF96,"")</f>
        <v>1.91151312896085</v>
      </c>
      <c r="AG107" s="54" t="n">
        <f aca="false">IF(AG96&lt;0,AG87/-AG96,"")</f>
        <v>1.92760289134118</v>
      </c>
      <c r="AH107" s="54" t="n">
        <f aca="false">IF(AH96&lt;0,AH87/-AH96,"")</f>
        <v>1.92047682482442</v>
      </c>
      <c r="AI107" s="54" t="n">
        <f aca="false">IF(AI96&lt;0,AI87/-AI96,"")</f>
        <v>1.89052102074728</v>
      </c>
      <c r="AJ107" s="54" t="n">
        <f aca="false">IF(AJ96&lt;0,AJ87/-AJ96,"")</f>
        <v>1.93368141441848</v>
      </c>
      <c r="AK107" s="54" t="n">
        <f aca="false">IF(AK96&lt;0,AK87/-AK96,"")</f>
        <v>1.95316052207176</v>
      </c>
      <c r="AL107" s="54" t="n">
        <f aca="false">IF(AL96&lt;0,AL87/-AL96,"")</f>
        <v>1.94594609340774</v>
      </c>
      <c r="AM107" s="54" t="n">
        <f aca="false">IF(AM96&lt;0,AM87/-AM96,"")</f>
        <v>1.9151918447991</v>
      </c>
      <c r="AN107" s="54" t="n">
        <f aca="false">IF(AN96&lt;0,AN87/-AN96,"")</f>
        <v>1.93468889122851</v>
      </c>
      <c r="AO107" s="54" t="n">
        <f aca="false">IF(AO96&lt;0,AO87/-AO96,"")</f>
        <v>1.95417286557524</v>
      </c>
      <c r="AP107" s="54" t="n">
        <f aca="false">IF(AP96&lt;0,AP87/-AP96,"")</f>
        <v>1.94686742839045</v>
      </c>
      <c r="AQ107" s="54" t="n">
        <f aca="false">IF(AQ96&lt;0,AQ87/-AQ96,"")</f>
        <v>1.91583615907803</v>
      </c>
      <c r="AR107" s="54" t="n">
        <f aca="false">IF(AR96&lt;0,AR87/-AR96,"")</f>
        <v>1.93533444489582</v>
      </c>
      <c r="AS107" s="54" t="n">
        <f aca="false">IF(AS96&lt;0,AS87/-AS96,"")</f>
        <v>1.95481899266926</v>
      </c>
      <c r="AT107" s="54" t="n">
        <f aca="false">IF(AT96&lt;0,AT87/-AT96,"")</f>
        <v>1.94741977434925</v>
      </c>
      <c r="AU107" s="54" t="n">
        <f aca="false">IF(AU96&lt;0,AU87/-AU96,"")</f>
        <v>1.93675688378731</v>
      </c>
      <c r="AV107" s="54" t="n">
        <f aca="false">IF(AV96&lt;0,AV87/-AV96,"")</f>
        <v>1.93560184909579</v>
      </c>
      <c r="AW107" s="54" t="n">
        <f aca="false">IF(AW96&lt;0,AW87/-AW96,"")</f>
        <v>1.95508248261467</v>
      </c>
      <c r="AX107" s="54" t="n">
        <f aca="false">IF(AX96&lt;0,AX87/-AX96,"")</f>
        <v>1.94758657784622</v>
      </c>
      <c r="AY107" s="54" t="n">
        <f aca="false">IF(AY96&lt;0,AY87/-AY96,"")</f>
        <v>1.91598698383452</v>
      </c>
      <c r="AZ107" s="54" t="n">
        <f aca="false">IF(AZ96&lt;0,AZ87/-AZ96,"")</f>
        <v>1.93547418606346</v>
      </c>
      <c r="BA107" s="54" t="n">
        <f aca="false">IF(BA96&lt;0,BA87/-BA96,"")</f>
        <v>1.95494621481336</v>
      </c>
      <c r="BB107" s="54" t="n">
        <f aca="false">IF(BB96&lt;0,BB87/-BB96,"")</f>
        <v>1.94735057879552</v>
      </c>
      <c r="BC107" s="54" t="n">
        <f aca="false">IF(BC96&lt;0,BC87/-BC96,"")</f>
        <v>1.9154593468997</v>
      </c>
      <c r="BD107" s="54" t="n">
        <f aca="false">IF(BD96&lt;0,BD87/-BD96,"")</f>
        <v>1.9349338152249</v>
      </c>
      <c r="BE107" s="54" t="n">
        <f aca="false">IF(BE96&lt;0,BE87/-BE96,"")</f>
        <v>1.95439233705306</v>
      </c>
      <c r="BF107" s="54" t="n">
        <f aca="false">IF(BF96&lt;0,BF87/-BF96,"")</f>
        <v>1.94669377836022</v>
      </c>
      <c r="BG107" s="54" t="n">
        <f aca="false">IF(BG96&lt;0,BG87/-BG96,"")</f>
        <v>1.91450568952641</v>
      </c>
      <c r="BH107" s="54" t="n">
        <f aca="false">IF(BH96&lt;0,BH87/-BH96,"")</f>
        <v>1.93396234032822</v>
      </c>
      <c r="BI107" s="54" t="n">
        <f aca="false">IF(BI96&lt;0,BI87/-BI96,"")</f>
        <v>1.95340223223333</v>
      </c>
      <c r="BJ107" s="54" t="n">
        <f aca="false">IF(BJ96&lt;0,BJ87/-BJ96,"")</f>
        <v>1.94559740531239</v>
      </c>
      <c r="BK107" s="54" t="n">
        <f aca="false">IF(BK96&lt;0,BK87/-BK96,"")</f>
        <v>1.93394958974763</v>
      </c>
      <c r="BL107" s="54" t="n">
        <f aca="false">IF(BL96&lt;0,BL87/-BL96,"")</f>
        <v>1.9325405750002</v>
      </c>
      <c r="BM107" s="54" t="n">
        <f aca="false">IF(BM96&lt;0,BM87/-BM96,"")</f>
        <v>1.95195648349746</v>
      </c>
      <c r="BN107" s="54" t="n">
        <f aca="false">IF(BN96&lt;0,BN87/-BN96,"")</f>
        <v>1.94404188078059</v>
      </c>
      <c r="BO107" s="54" t="n">
        <f aca="false">IF(BO96&lt;0,BO87/-BO96,"")</f>
        <v>1.91124366564131</v>
      </c>
      <c r="BP107" s="54" t="n">
        <f aca="false">IF(BP96&lt;0,BP87/-BP96,"")</f>
        <v>1.93064850665083</v>
      </c>
      <c r="BQ107" s="54" t="n">
        <f aca="false">IF(BQ96&lt;0,BQ87/-BQ96,"")</f>
        <v>1.95003483769187</v>
      </c>
      <c r="BR107" s="54" t="n">
        <f aca="false">IF(BR96&lt;0,BR87/-BR96,"")</f>
        <v>1.94200678130504</v>
      </c>
      <c r="BS107" s="54" t="n">
        <f aca="false">IF(BS96&lt;0,BS87/-BS96,"")</f>
        <v>1.90889489725292</v>
      </c>
      <c r="BT107" s="54" t="n">
        <f aca="false">IF(BT96&lt;0,BT87/-BT96,"")</f>
        <v>1.92826525864407</v>
      </c>
      <c r="BU107" s="54" t="n">
        <f aca="false">IF(BU96&lt;0,BU87/-BU96,"")</f>
        <v>1.94761616707017</v>
      </c>
      <c r="BV107" s="54" t="n">
        <f aca="false">IF(BV96&lt;0,BV87/-BV96,"")</f>
        <v>1.9394708001169</v>
      </c>
      <c r="BW107" s="54" t="n">
        <f aca="false">IF(BW96&lt;0,BW87/-BW96,"")</f>
        <v>1.90603922814019</v>
      </c>
      <c r="BX107" s="54" t="n">
        <f aca="false">IF(BX96&lt;0,BX87/-BX96,"")</f>
        <v>1.92536905064912</v>
      </c>
      <c r="BY107" s="54" t="n">
        <f aca="false">IF(BY96&lt;0,BY87/-BY96,"")</f>
        <v>1.94467842915514</v>
      </c>
      <c r="BZ107" s="54" t="n">
        <f aca="false">IF(BZ96&lt;0,BZ87/-BZ96,"")</f>
        <v>1.93641170655374</v>
      </c>
      <c r="CA107" s="54" t="n">
        <f aca="false">IF(CA96&lt;0,CA87/-CA96,"")</f>
        <v>1.92365599944511</v>
      </c>
      <c r="CB107" s="54" t="n">
        <f aca="false">IF(CB96&lt;0,CB87/-CB96,"")</f>
        <v>1.92193715708216</v>
      </c>
      <c r="CC107" s="54" t="n">
        <f aca="false">IF(CC96&lt;0,CC87/-CC96,"")</f>
        <v>1.94119862466749</v>
      </c>
      <c r="CD107" s="54" t="n">
        <f aca="false">IF(CD96&lt;0,CD87/-CD96,"")</f>
        <v>1.93280630351894</v>
      </c>
      <c r="CE107" s="54" t="n">
        <f aca="false">IF(CE96&lt;0,CE87/-CE96,"")</f>
        <v>1.89871639354526</v>
      </c>
      <c r="CF107" s="54" t="n">
        <f aca="false">IF(CF96&lt;0,CF87/-CF96,"")</f>
        <v>1.91794586354396</v>
      </c>
      <c r="CG107" s="54" t="n">
        <f aca="false">IF(CG96&lt;0,CG87/-CG96,"")</f>
        <v>1.93715275342559</v>
      </c>
      <c r="CH107" s="54" t="str">
        <f aca="false">IF(CH96&lt;0,CH87/-CH96,"")</f>
        <v/>
      </c>
      <c r="CI107" s="54" t="str">
        <f aca="false">IF(CI96&lt;0,CI87/-CI96,"")</f>
        <v/>
      </c>
      <c r="CJ107" s="54" t="str">
        <f aca="false">IF(CJ96&lt;0,CJ87/-CJ96,"")</f>
        <v/>
      </c>
      <c r="CK107" s="54" t="str">
        <f aca="false">IF(CK96&lt;0,CK87/-CK96,"")</f>
        <v/>
      </c>
      <c r="CL107" s="54" t="str">
        <f aca="false">IF(CL96&lt;0,CL87/-CL96,"")</f>
        <v/>
      </c>
      <c r="CM107" s="54" t="str">
        <f aca="false">IF(CM96&lt;0,CM87/-CM96,"")</f>
        <v/>
      </c>
      <c r="CN107" s="54" t="str">
        <f aca="false">IF(CN96&lt;0,CN87/-CN96,"")</f>
        <v/>
      </c>
      <c r="CO107" s="54" t="str">
        <f aca="false">IF(CO96&lt;0,CO87/-CO96,"")</f>
        <v/>
      </c>
      <c r="CP107" s="54" t="str">
        <f aca="false">IF(CP96&lt;0,CP87/-CP96,"")</f>
        <v/>
      </c>
      <c r="CQ107" s="54" t="str">
        <f aca="false">IF(CQ96&lt;0,CQ87/-CQ96,"")</f>
        <v/>
      </c>
      <c r="CR107" s="54" t="str">
        <f aca="false">IF(CR96&lt;0,CR87/-CR96,"")</f>
        <v/>
      </c>
      <c r="CS107" s="54" t="str">
        <f aca="false">IF(CS96&lt;0,CS87/-CS96,"")</f>
        <v/>
      </c>
      <c r="CT107" s="54" t="str">
        <f aca="false">IF(CT96&lt;0,CT87/-CT96,"")</f>
        <v/>
      </c>
      <c r="CU107" s="54" t="str">
        <f aca="false">IF(CU96&lt;0,CU87/-CU96,"")</f>
        <v/>
      </c>
      <c r="CV107" s="54" t="str">
        <f aca="false">IF(CV96&lt;0,CV87/-CV96,"")</f>
        <v/>
      </c>
      <c r="CW107" s="54" t="str">
        <f aca="false">IF(CW96&lt;0,CW87/-CW96,"")</f>
        <v/>
      </c>
      <c r="CX107" s="54" t="str">
        <f aca="false">IF(CX96&lt;0,CX87/-CX96,"")</f>
        <v/>
      </c>
      <c r="CY107" s="54" t="str">
        <f aca="false">IF(CY96&lt;0,CY87/-CY96,"")</f>
        <v/>
      </c>
      <c r="CZ107" s="54" t="str">
        <f aca="false">IF(CZ96&lt;0,CZ87/-CZ96,"")</f>
        <v/>
      </c>
      <c r="DA107" s="54" t="str">
        <f aca="false">IF(DA96&lt;0,DA87/-DA96,"")</f>
        <v/>
      </c>
      <c r="DB107" s="54" t="str">
        <f aca="false">IF(DB96&lt;0,DB87/-DB96,"")</f>
        <v/>
      </c>
      <c r="DC107" s="54" t="str">
        <f aca="false">IF(DC96&lt;0,DC87/-DC96,"")</f>
        <v/>
      </c>
      <c r="DD107" s="54" t="str">
        <f aca="false">IF(DD96&lt;0,DD87/-DD96,"")</f>
        <v/>
      </c>
      <c r="DE107" s="54" t="str">
        <f aca="false">IF(DE96&lt;0,DE87/-DE96,"")</f>
        <v/>
      </c>
      <c r="DF107" s="54" t="str">
        <f aca="false">IF(DF96&lt;0,DF87/-DF96,"")</f>
        <v/>
      </c>
      <c r="DG107" s="54" t="str">
        <f aca="false">IF(DG96&lt;0,DG87/-DG96,"")</f>
        <v/>
      </c>
      <c r="DH107" s="54" t="str">
        <f aca="false">IF(DH96&lt;0,DH87/-DH96,"")</f>
        <v/>
      </c>
      <c r="DI107" s="54" t="str">
        <f aca="false">IF(DI96&lt;0,DI87/-DI96,"")</f>
        <v/>
      </c>
      <c r="DJ107" s="54" t="str">
        <f aca="false">IF(DJ96&lt;0,DJ87/-DJ96,"")</f>
        <v/>
      </c>
      <c r="DK107" s="54" t="str">
        <f aca="false">IF(DK96&lt;0,DK87/-DK96,"")</f>
        <v/>
      </c>
      <c r="DL107" s="54" t="str">
        <f aca="false">IF(DL96&lt;0,DL87/-DL96,"")</f>
        <v/>
      </c>
      <c r="DM107" s="54" t="str">
        <f aca="false">IF(DM96&lt;0,DM87/-DM96,"")</f>
        <v/>
      </c>
      <c r="DN107" s="54" t="str">
        <f aca="false">IF(DN96&lt;0,DN87/-DN96,"")</f>
        <v/>
      </c>
      <c r="DO107" s="54" t="str">
        <f aca="false">IF(DO96&lt;0,DO87/-DO96,"")</f>
        <v/>
      </c>
      <c r="DP107" s="54" t="str">
        <f aca="false">IF(DP96&lt;0,DP87/-DP96,"")</f>
        <v/>
      </c>
      <c r="DQ107" s="54" t="str">
        <f aca="false">IF(DQ96&lt;0,DQ87/-DQ96,"")</f>
        <v/>
      </c>
      <c r="DR107" s="54" t="str">
        <f aca="false">IF(DR96&lt;0,DR87/-DR96,"")</f>
        <v/>
      </c>
      <c r="DS107" s="54" t="str">
        <f aca="false">IF(DS96&lt;0,DS87/-DS96,"")</f>
        <v/>
      </c>
      <c r="DT107" s="54" t="str">
        <f aca="false">IF(DT96&lt;0,DT87/-DT96,"")</f>
        <v/>
      </c>
      <c r="DU107" s="54" t="str">
        <f aca="false">IF(DU96&lt;0,DU87/-DU96,"")</f>
        <v/>
      </c>
      <c r="DV107" s="54" t="str">
        <f aca="false">IF(DV96&lt;0,DV87/-DV96,"")</f>
        <v/>
      </c>
      <c r="DW107" s="54" t="str">
        <f aca="false">IF(DW96&lt;0,DW87/-DW96,"")</f>
        <v/>
      </c>
      <c r="DX107" s="54" t="str">
        <f aca="false">IF(DX96&lt;0,DX87/-DX96,"")</f>
        <v/>
      </c>
      <c r="DY107" s="54" t="str">
        <f aca="false">IF(DY96&lt;0,DY87/-DY96,"")</f>
        <v/>
      </c>
      <c r="DZ107" s="54" t="str">
        <f aca="false">IF(DZ96&lt;0,DZ87/-DZ96,"")</f>
        <v/>
      </c>
      <c r="EA107" s="54" t="str">
        <f aca="false">IF(EA96&lt;0,EA87/-EA96,"")</f>
        <v/>
      </c>
      <c r="EB107" s="54" t="str">
        <f aca="false">IF(EB96&lt;0,EB87/-EB96,"")</f>
        <v/>
      </c>
      <c r="EC107" s="54" t="str">
        <f aca="false">IF(EC96&lt;0,EC87/-EC96,"")</f>
        <v/>
      </c>
      <c r="ED107" s="54" t="str">
        <f aca="false">IF(ED96&lt;0,ED87/-ED96,"")</f>
        <v/>
      </c>
      <c r="EE107" s="54" t="str">
        <f aca="false">IF(EE96&lt;0,EE87/-EE96,"")</f>
        <v/>
      </c>
      <c r="EF107" s="54" t="str">
        <f aca="false">IF(EF96&lt;0,EF87/-EF96,"")</f>
        <v/>
      </c>
      <c r="EG107" s="54" t="str">
        <f aca="false">IF(EG96&lt;0,EG87/-EG96,"")</f>
        <v/>
      </c>
      <c r="EH107" s="54" t="str">
        <f aca="false">IF(EH96&lt;0,EH87/-EH96,"")</f>
        <v/>
      </c>
      <c r="EI107" s="54" t="str">
        <f aca="false">IF(EI96&lt;0,EI87/-EI96,"")</f>
        <v/>
      </c>
      <c r="EJ107" s="54" t="str">
        <f aca="false">IF(EJ96&lt;0,EJ87/-EJ96,"")</f>
        <v/>
      </c>
      <c r="EK107" s="54" t="str">
        <f aca="false">IF(EK96&lt;0,EK87/-EK96,"")</f>
        <v/>
      </c>
      <c r="EL107" s="54" t="str">
        <f aca="false">IF(EL96&lt;0,EL87/-EL96,"")</f>
        <v/>
      </c>
      <c r="EM107" s="54" t="str">
        <f aca="false">IF(EM96&lt;0,EM87/-EM96,"")</f>
        <v/>
      </c>
      <c r="EN107" s="54" t="str">
        <f aca="false">IF(EN96&lt;0,EN87/-EN96,"")</f>
        <v/>
      </c>
      <c r="EO107" s="54" t="str">
        <f aca="false">IF(EO96&lt;0,EO87/-EO96,"")</f>
        <v/>
      </c>
    </row>
    <row r="109" customFormat="false" ht="15" hidden="false" customHeight="false" outlineLevel="0" collapsed="false">
      <c r="A109" s="10" t="s">
        <v>13</v>
      </c>
      <c r="B109" s="10"/>
      <c r="C109" s="10" t="s">
        <v>496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customFormat="false" ht="15" hidden="false" customHeight="false" outlineLevel="0" collapsed="false">
      <c r="C110" s="1" t="s">
        <v>497</v>
      </c>
      <c r="D110" s="12" t="s">
        <v>33</v>
      </c>
      <c r="E110" s="49" t="n">
        <f aca="false">$I101-($I68+$I58+$I69+$I55+$I48+$I49+$I50)</f>
        <v>83354.0228092342</v>
      </c>
      <c r="I110" s="49" t="n">
        <f aca="false">SUM(J110:EO110)</f>
        <v>-83354.0228092342</v>
      </c>
      <c r="J110" s="49" t="n">
        <f aca="false">-$E110*J20</f>
        <v>-0</v>
      </c>
      <c r="K110" s="49" t="n">
        <f aca="false">-$E110*K20</f>
        <v>-0</v>
      </c>
      <c r="L110" s="49" t="n">
        <f aca="false">-$E110*L20</f>
        <v>-0</v>
      </c>
      <c r="M110" s="49" t="n">
        <f aca="false">-$E110*M20</f>
        <v>-0</v>
      </c>
      <c r="N110" s="49" t="n">
        <f aca="false">-$E110*N20</f>
        <v>-0</v>
      </c>
      <c r="O110" s="49" t="n">
        <f aca="false">-$E110*O20</f>
        <v>-0</v>
      </c>
      <c r="P110" s="49" t="n">
        <f aca="false">-$E110*P20</f>
        <v>-0</v>
      </c>
      <c r="Q110" s="49" t="n">
        <f aca="false">-$E110*Q20</f>
        <v>-0</v>
      </c>
      <c r="R110" s="49" t="n">
        <f aca="false">-$E110*R20</f>
        <v>-0</v>
      </c>
      <c r="S110" s="49" t="n">
        <f aca="false">-$E110*S20</f>
        <v>-0</v>
      </c>
      <c r="T110" s="49" t="n">
        <f aca="false">-$E110*T20</f>
        <v>-0</v>
      </c>
      <c r="U110" s="49" t="n">
        <f aca="false">-$E110*U20</f>
        <v>-0</v>
      </c>
      <c r="V110" s="49" t="n">
        <f aca="false">-$E110*V20</f>
        <v>-0</v>
      </c>
      <c r="W110" s="49" t="n">
        <f aca="false">-$E110*W20</f>
        <v>-0</v>
      </c>
      <c r="X110" s="49" t="n">
        <f aca="false">-$E110*X20</f>
        <v>-0</v>
      </c>
      <c r="Y110" s="49" t="n">
        <f aca="false">-$E110*Y20</f>
        <v>-0</v>
      </c>
      <c r="Z110" s="49" t="n">
        <f aca="false">-$E110*Z20</f>
        <v>-1049.77003401089</v>
      </c>
      <c r="AA110" s="49" t="n">
        <f aca="false">-$E110*AA20</f>
        <v>-1026.948946315</v>
      </c>
      <c r="AB110" s="49" t="n">
        <f aca="false">-$E110*AB20</f>
        <v>-1038.35949016294</v>
      </c>
      <c r="AC110" s="49" t="n">
        <f aca="false">-$E110*AC20</f>
        <v>-1049.77003401089</v>
      </c>
      <c r="AD110" s="49" t="n">
        <f aca="false">-$E110*AD20</f>
        <v>-1049.77003401089</v>
      </c>
      <c r="AE110" s="49" t="n">
        <f aca="false">-$E110*AE20</f>
        <v>-1038.35949016294</v>
      </c>
      <c r="AF110" s="49" t="n">
        <f aca="false">-$E110*AF20</f>
        <v>-1038.35949016294</v>
      </c>
      <c r="AG110" s="49" t="n">
        <f aca="false">-$E110*AG20</f>
        <v>-1049.77003401089</v>
      </c>
      <c r="AH110" s="49" t="n">
        <f aca="false">-$E110*AH20</f>
        <v>-1049.77003401089</v>
      </c>
      <c r="AI110" s="49" t="n">
        <f aca="false">-$E110*AI20</f>
        <v>-1026.948946315</v>
      </c>
      <c r="AJ110" s="49" t="n">
        <f aca="false">-$E110*AJ20</f>
        <v>-1038.35949016294</v>
      </c>
      <c r="AK110" s="49" t="n">
        <f aca="false">-$E110*AK20</f>
        <v>-1049.77003401089</v>
      </c>
      <c r="AL110" s="49" t="n">
        <f aca="false">-$E110*AL20</f>
        <v>-1049.77003401089</v>
      </c>
      <c r="AM110" s="49" t="n">
        <f aca="false">-$E110*AM20</f>
        <v>-1026.948946315</v>
      </c>
      <c r="AN110" s="49" t="n">
        <f aca="false">-$E110*AN20</f>
        <v>-1038.35949016294</v>
      </c>
      <c r="AO110" s="49" t="n">
        <f aca="false">-$E110*AO20</f>
        <v>-1049.77003401089</v>
      </c>
      <c r="AP110" s="49" t="n">
        <f aca="false">-$E110*AP20</f>
        <v>-1049.77003401089</v>
      </c>
      <c r="AQ110" s="49" t="n">
        <f aca="false">-$E110*AQ20</f>
        <v>-1026.948946315</v>
      </c>
      <c r="AR110" s="49" t="n">
        <f aca="false">-$E110*AR20</f>
        <v>-1038.35949016294</v>
      </c>
      <c r="AS110" s="49" t="n">
        <f aca="false">-$E110*AS20</f>
        <v>-1049.77003401089</v>
      </c>
      <c r="AT110" s="49" t="n">
        <f aca="false">-$E110*AT20</f>
        <v>-1049.77003401089</v>
      </c>
      <c r="AU110" s="49" t="n">
        <f aca="false">-$E110*AU20</f>
        <v>-1038.35949016294</v>
      </c>
      <c r="AV110" s="49" t="n">
        <f aca="false">-$E110*AV20</f>
        <v>-1038.35949016294</v>
      </c>
      <c r="AW110" s="49" t="n">
        <f aca="false">-$E110*AW20</f>
        <v>-1049.77003401089</v>
      </c>
      <c r="AX110" s="49" t="n">
        <f aca="false">-$E110*AX20</f>
        <v>-1049.77003401089</v>
      </c>
      <c r="AY110" s="49" t="n">
        <f aca="false">-$E110*AY20</f>
        <v>-1026.948946315</v>
      </c>
      <c r="AZ110" s="49" t="n">
        <f aca="false">-$E110*AZ20</f>
        <v>-1038.35949016294</v>
      </c>
      <c r="BA110" s="49" t="n">
        <f aca="false">-$E110*BA20</f>
        <v>-1049.77003401089</v>
      </c>
      <c r="BB110" s="49" t="n">
        <f aca="false">-$E110*BB20</f>
        <v>-1049.77003401089</v>
      </c>
      <c r="BC110" s="49" t="n">
        <f aca="false">-$E110*BC20</f>
        <v>-1026.948946315</v>
      </c>
      <c r="BD110" s="49" t="n">
        <f aca="false">-$E110*BD20</f>
        <v>-1038.35949016294</v>
      </c>
      <c r="BE110" s="49" t="n">
        <f aca="false">-$E110*BE20</f>
        <v>-1049.77003401089</v>
      </c>
      <c r="BF110" s="49" t="n">
        <f aca="false">-$E110*BF20</f>
        <v>-1049.77003401089</v>
      </c>
      <c r="BG110" s="49" t="n">
        <f aca="false">-$E110*BG20</f>
        <v>-1026.948946315</v>
      </c>
      <c r="BH110" s="49" t="n">
        <f aca="false">-$E110*BH20</f>
        <v>-1038.35949016294</v>
      </c>
      <c r="BI110" s="49" t="n">
        <f aca="false">-$E110*BI20</f>
        <v>-1049.77003401089</v>
      </c>
      <c r="BJ110" s="49" t="n">
        <f aca="false">-$E110*BJ20</f>
        <v>-1049.77003401089</v>
      </c>
      <c r="BK110" s="49" t="n">
        <f aca="false">-$E110*BK20</f>
        <v>-1038.35949016294</v>
      </c>
      <c r="BL110" s="49" t="n">
        <f aca="false">-$E110*BL20</f>
        <v>-1038.35949016294</v>
      </c>
      <c r="BM110" s="49" t="n">
        <f aca="false">-$E110*BM20</f>
        <v>-1049.77003401089</v>
      </c>
      <c r="BN110" s="49" t="n">
        <f aca="false">-$E110*BN20</f>
        <v>-1049.77003401089</v>
      </c>
      <c r="BO110" s="49" t="n">
        <f aca="false">-$E110*BO20</f>
        <v>-1026.948946315</v>
      </c>
      <c r="BP110" s="49" t="n">
        <f aca="false">-$E110*BP20</f>
        <v>-1038.35949016294</v>
      </c>
      <c r="BQ110" s="49" t="n">
        <f aca="false">-$E110*BQ20</f>
        <v>-1049.77003401089</v>
      </c>
      <c r="BR110" s="49" t="n">
        <f aca="false">-$E110*BR20</f>
        <v>-1049.77003401089</v>
      </c>
      <c r="BS110" s="49" t="n">
        <f aca="false">-$E110*BS20</f>
        <v>-1026.948946315</v>
      </c>
      <c r="BT110" s="49" t="n">
        <f aca="false">-$E110*BT20</f>
        <v>-1038.35949016294</v>
      </c>
      <c r="BU110" s="49" t="n">
        <f aca="false">-$E110*BU20</f>
        <v>-1049.77003401089</v>
      </c>
      <c r="BV110" s="49" t="n">
        <f aca="false">-$E110*BV20</f>
        <v>-1049.77003401089</v>
      </c>
      <c r="BW110" s="49" t="n">
        <f aca="false">-$E110*BW20</f>
        <v>-1026.948946315</v>
      </c>
      <c r="BX110" s="49" t="n">
        <f aca="false">-$E110*BX20</f>
        <v>-1038.35949016294</v>
      </c>
      <c r="BY110" s="49" t="n">
        <f aca="false">-$E110*BY20</f>
        <v>-1049.77003401089</v>
      </c>
      <c r="BZ110" s="49" t="n">
        <f aca="false">-$E110*BZ20</f>
        <v>-1049.77003401089</v>
      </c>
      <c r="CA110" s="49" t="n">
        <f aca="false">-$E110*CA20</f>
        <v>-1038.35949016294</v>
      </c>
      <c r="CB110" s="49" t="n">
        <f aca="false">-$E110*CB20</f>
        <v>-1038.35949016294</v>
      </c>
      <c r="CC110" s="49" t="n">
        <f aca="false">-$E110*CC20</f>
        <v>-1049.77003401089</v>
      </c>
      <c r="CD110" s="49" t="n">
        <f aca="false">-$E110*CD20</f>
        <v>-1049.77003401089</v>
      </c>
      <c r="CE110" s="49" t="n">
        <f aca="false">-$E110*CE20</f>
        <v>-1026.948946315</v>
      </c>
      <c r="CF110" s="49" t="n">
        <f aca="false">-$E110*CF20</f>
        <v>-1038.35949016294</v>
      </c>
      <c r="CG110" s="49" t="n">
        <f aca="false">-$E110*CG20</f>
        <v>-1049.77003401089</v>
      </c>
      <c r="CH110" s="49" t="n">
        <f aca="false">-$E110*CH20</f>
        <v>-1049.77003401089</v>
      </c>
      <c r="CI110" s="49" t="n">
        <f aca="false">-$E110*CI20</f>
        <v>-1026.948946315</v>
      </c>
      <c r="CJ110" s="49" t="n">
        <f aca="false">-$E110*CJ20</f>
        <v>-1038.35949016294</v>
      </c>
      <c r="CK110" s="49" t="n">
        <f aca="false">-$E110*CK20</f>
        <v>-1049.77003401089</v>
      </c>
      <c r="CL110" s="49" t="n">
        <f aca="false">-$E110*CL20</f>
        <v>-1049.77003401089</v>
      </c>
      <c r="CM110" s="49" t="n">
        <f aca="false">-$E110*CM20</f>
        <v>-1026.948946315</v>
      </c>
      <c r="CN110" s="49" t="n">
        <f aca="false">-$E110*CN20</f>
        <v>-1038.35949016294</v>
      </c>
      <c r="CO110" s="49" t="n">
        <f aca="false">-$E110*CO20</f>
        <v>-1049.77003401089</v>
      </c>
      <c r="CP110" s="49" t="n">
        <f aca="false">-$E110*CP20</f>
        <v>-1049.77003401089</v>
      </c>
      <c r="CQ110" s="49" t="n">
        <f aca="false">-$E110*CQ20</f>
        <v>-1038.35949016294</v>
      </c>
      <c r="CR110" s="49" t="n">
        <f aca="false">-$E110*CR20</f>
        <v>-1038.35949016294</v>
      </c>
      <c r="CS110" s="49" t="n">
        <f aca="false">-$E110*CS20</f>
        <v>-1049.77003401089</v>
      </c>
      <c r="CT110" s="49" t="n">
        <f aca="false">-$E110*CT20</f>
        <v>-1049.77003401089</v>
      </c>
      <c r="CU110" s="49" t="n">
        <f aca="false">-$E110*CU20</f>
        <v>-1026.948946315</v>
      </c>
      <c r="CV110" s="49" t="n">
        <f aca="false">-$E110*CV20</f>
        <v>-1038.35949016294</v>
      </c>
      <c r="CW110" s="49" t="n">
        <f aca="false">-$E110*CW20</f>
        <v>-1049.77003401089</v>
      </c>
      <c r="CX110" s="49" t="n">
        <f aca="false">-$E110*CX20</f>
        <v>-1049.77003401089</v>
      </c>
      <c r="CY110" s="49" t="n">
        <f aca="false">-$E110*CY20</f>
        <v>-1026.948946315</v>
      </c>
      <c r="CZ110" s="49" t="n">
        <f aca="false">-$E110*CZ20</f>
        <v>-1038.35949016294</v>
      </c>
      <c r="DA110" s="49" t="n">
        <f aca="false">-$E110*DA20</f>
        <v>-1049.77003401089</v>
      </c>
      <c r="DB110" s="49" t="n">
        <f aca="false">-$E110*DB20</f>
        <v>-0</v>
      </c>
      <c r="DC110" s="49" t="n">
        <f aca="false">-$E110*DC20</f>
        <v>-0</v>
      </c>
      <c r="DD110" s="49" t="n">
        <f aca="false">-$E110*DD20</f>
        <v>-0</v>
      </c>
      <c r="DE110" s="49" t="n">
        <f aca="false">-$E110*DE20</f>
        <v>-0</v>
      </c>
      <c r="DF110" s="49" t="n">
        <f aca="false">-$E110*DF20</f>
        <v>-0</v>
      </c>
      <c r="DG110" s="49" t="n">
        <f aca="false">-$E110*DG20</f>
        <v>-0</v>
      </c>
      <c r="DH110" s="49" t="n">
        <f aca="false">-$E110*DH20</f>
        <v>-0</v>
      </c>
      <c r="DI110" s="49" t="n">
        <f aca="false">-$E110*DI20</f>
        <v>-0</v>
      </c>
      <c r="DJ110" s="49" t="n">
        <f aca="false">-$E110*DJ20</f>
        <v>-0</v>
      </c>
      <c r="DK110" s="49" t="n">
        <f aca="false">-$E110*DK20</f>
        <v>-0</v>
      </c>
      <c r="DL110" s="49" t="n">
        <f aca="false">-$E110*DL20</f>
        <v>-0</v>
      </c>
      <c r="DM110" s="49" t="n">
        <f aca="false">-$E110*DM20</f>
        <v>-0</v>
      </c>
      <c r="DN110" s="49" t="n">
        <f aca="false">-$E110*DN20</f>
        <v>-0</v>
      </c>
      <c r="DO110" s="49" t="n">
        <f aca="false">-$E110*DO20</f>
        <v>-0</v>
      </c>
      <c r="DP110" s="49" t="n">
        <f aca="false">-$E110*DP20</f>
        <v>-0</v>
      </c>
      <c r="DQ110" s="49" t="n">
        <f aca="false">-$E110*DQ20</f>
        <v>-0</v>
      </c>
      <c r="DR110" s="49" t="n">
        <f aca="false">-$E110*DR20</f>
        <v>-0</v>
      </c>
      <c r="DS110" s="49" t="n">
        <f aca="false">-$E110*DS20</f>
        <v>-0</v>
      </c>
      <c r="DT110" s="49" t="n">
        <f aca="false">-$E110*DT20</f>
        <v>-0</v>
      </c>
      <c r="DU110" s="49" t="n">
        <f aca="false">-$E110*DU20</f>
        <v>-0</v>
      </c>
      <c r="DV110" s="49" t="n">
        <f aca="false">-$E110*DV20</f>
        <v>-0</v>
      </c>
      <c r="DW110" s="49" t="n">
        <f aca="false">-$E110*DW20</f>
        <v>-0</v>
      </c>
      <c r="DX110" s="49" t="n">
        <f aca="false">-$E110*DX20</f>
        <v>-0</v>
      </c>
      <c r="DY110" s="49" t="n">
        <f aca="false">-$E110*DY20</f>
        <v>-0</v>
      </c>
      <c r="DZ110" s="49" t="n">
        <f aca="false">-$E110*DZ20</f>
        <v>-0</v>
      </c>
      <c r="EA110" s="49" t="n">
        <f aca="false">-$E110*EA20</f>
        <v>-0</v>
      </c>
      <c r="EB110" s="49" t="n">
        <f aca="false">-$E110*EB20</f>
        <v>-0</v>
      </c>
      <c r="EC110" s="49" t="n">
        <f aca="false">-$E110*EC20</f>
        <v>-0</v>
      </c>
      <c r="ED110" s="49" t="n">
        <f aca="false">-$E110*ED20</f>
        <v>-0</v>
      </c>
      <c r="EE110" s="49" t="n">
        <f aca="false">-$E110*EE20</f>
        <v>-0</v>
      </c>
      <c r="EF110" s="49" t="n">
        <f aca="false">-$E110*EF20</f>
        <v>-0</v>
      </c>
      <c r="EG110" s="49" t="n">
        <f aca="false">-$E110*EG20</f>
        <v>-0</v>
      </c>
      <c r="EH110" s="49" t="n">
        <f aca="false">-$E110*EH20</f>
        <v>-0</v>
      </c>
      <c r="EI110" s="49" t="n">
        <f aca="false">-$E110*EI20</f>
        <v>-0</v>
      </c>
      <c r="EJ110" s="49" t="n">
        <f aca="false">-$E110*EJ20</f>
        <v>-0</v>
      </c>
      <c r="EK110" s="49" t="n">
        <f aca="false">-$E110*EK20</f>
        <v>-0</v>
      </c>
      <c r="EL110" s="49" t="n">
        <f aca="false">-$E110*EL20</f>
        <v>-0</v>
      </c>
      <c r="EM110" s="49" t="n">
        <f aca="false">-$E110*EM20</f>
        <v>-0</v>
      </c>
      <c r="EN110" s="49" t="n">
        <f aca="false">-$E110*EN20</f>
        <v>-0</v>
      </c>
      <c r="EO110" s="49" t="n">
        <f aca="false">-$E110*EO20</f>
        <v>-0</v>
      </c>
    </row>
    <row r="111" customFormat="false" ht="15" hidden="false" customHeight="false" outlineLevel="0" collapsed="false">
      <c r="C111" s="1" t="s">
        <v>498</v>
      </c>
      <c r="D111" s="12" t="s">
        <v>33</v>
      </c>
      <c r="I111" s="49" t="n">
        <f aca="false">SUM(J111:EO111)</f>
        <v>188703.571365297</v>
      </c>
      <c r="J111" s="49" t="n">
        <f aca="false">J83+J110+J94+J104+J105+J52+J59</f>
        <v>-12.8099380746857</v>
      </c>
      <c r="K111" s="49" t="n">
        <f aca="false">K83+K110+K94+K104+K105+K52+K59</f>
        <v>-19.6746856821167</v>
      </c>
      <c r="L111" s="49" t="n">
        <f aca="false">L83+L110+L94+L104+L105+L52+L59</f>
        <v>-33.1554888346782</v>
      </c>
      <c r="M111" s="49" t="n">
        <f aca="false">M83+M110+M94+M104+M105+M52+M59</f>
        <v>-33.5198348658285</v>
      </c>
      <c r="N111" s="49" t="n">
        <f aca="false">N83+N110+N94+N104+N105+N52+N59</f>
        <v>-33.5198348658285</v>
      </c>
      <c r="O111" s="49" t="n">
        <f aca="false">O83+O110+O94+O104+O105+O52+O59</f>
        <v>-33.1554888346782</v>
      </c>
      <c r="P111" s="49" t="n">
        <f aca="false">P83+P110+P94+P104+P105+P52+P59</f>
        <v>-33.1554888346782</v>
      </c>
      <c r="Q111" s="49" t="n">
        <f aca="false">Q83+Q110+Q94+Q104+Q105+Q52+Q59</f>
        <v>-33.5198348658285</v>
      </c>
      <c r="R111" s="49" t="n">
        <f aca="false">R83+R110+R94+R104+R105+R52+R59</f>
        <v>-1048.59640555772</v>
      </c>
      <c r="S111" s="49" t="n">
        <f aca="false">S83+S110+S94+S104+S105+S52+S59</f>
        <v>-168.044181549198</v>
      </c>
      <c r="T111" s="49" t="n">
        <f aca="false">T83+T110+T94+T104+T105+T52+T59</f>
        <v>-147.200902101827</v>
      </c>
      <c r="U111" s="49" t="n">
        <f aca="false">U83+U110+U94+U104+U105+U52+U59</f>
        <v>-137.337641280064</v>
      </c>
      <c r="V111" s="49" t="n">
        <f aca="false">V83+V110+V94+V104+V105+V52+V59</f>
        <v>-125.730624906055</v>
      </c>
      <c r="W111" s="49" t="n">
        <f aca="false">W83+W110+W94+W104+W105+W52+W59</f>
        <v>-112.684591693216</v>
      </c>
      <c r="X111" s="49" t="n">
        <f aca="false">X83+X110+X94+X104+X105+X52+X59</f>
        <v>-102.705373323663</v>
      </c>
      <c r="Y111" s="49" t="n">
        <f aca="false">Y83+Y110+Y94+Y104+Y105+Y52+Y59</f>
        <v>-92.3531506471943</v>
      </c>
      <c r="Z111" s="49" t="n">
        <f aca="false">Z83+Z110+Z94+Z104+Z105+Z52+Z59</f>
        <v>692.774576597255</v>
      </c>
      <c r="AA111" s="49" t="n">
        <f aca="false">AA83+AA110+AA94+AA104+AA105+AA52+AA59</f>
        <v>687.077015611037</v>
      </c>
      <c r="AB111" s="49" t="n">
        <f aca="false">AB83+AB110+AB94+AB104+AB105+AB52+AB59</f>
        <v>708.581551197984</v>
      </c>
      <c r="AC111" s="49" t="n">
        <f aca="false">AC83+AC110+AC94+AC104+AC105+AC52+AC59</f>
        <v>730.174498844856</v>
      </c>
      <c r="AD111" s="49" t="n">
        <f aca="false">AD83+AD110+AD94+AD104+AD105+AD52+AD59</f>
        <v>728.951331339244</v>
      </c>
      <c r="AE111" s="49" t="n">
        <f aca="false">AE83+AE110+AE94+AE104+AE105+AE52+AE59</f>
        <v>737.820801388193</v>
      </c>
      <c r="AF111" s="49" t="n">
        <f aca="false">AF83+AF110+AF94+AF104+AF105+AF52+AF59</f>
        <v>745.254100756549</v>
      </c>
      <c r="AG111" s="49" t="n">
        <f aca="false">AG83+AG110+AG94+AG104+AG105+AG52+AG59</f>
        <v>767.294144841673</v>
      </c>
      <c r="AH111" s="49" t="n">
        <f aca="false">AH83+AH110+AH94+AH104+AH105+AH52+AH59</f>
        <v>766.386646496352</v>
      </c>
      <c r="AI111" s="49" t="n">
        <f aca="false">AI83+AI110+AI94+AI104+AI105+AI52+AI59</f>
        <v>760.810921409701</v>
      </c>
      <c r="AJ111" s="49" t="n">
        <f aca="false">AJ83+AJ110+AJ94+AJ104+AJ105+AJ52+AJ59</f>
        <v>816.372325508546</v>
      </c>
      <c r="AK111" s="49" t="n">
        <f aca="false">AK83+AK110+AK94+AK104+AK105+AK52+AK59</f>
        <v>839.240236695228</v>
      </c>
      <c r="AL111" s="49" t="n">
        <f aca="false">AL83+AL110+AL94+AL104+AL105+AL52+AL59</f>
        <v>838.667047772508</v>
      </c>
      <c r="AM111" s="49" t="n">
        <f aca="false">AM83+AM110+AM94+AM104+AM105+AM52+AM59</f>
        <v>832.447583427784</v>
      </c>
      <c r="AN111" s="49" t="n">
        <f aca="false">AN83+AN110+AN94+AN104+AN105+AN52+AN59</f>
        <v>855.693682106509</v>
      </c>
      <c r="AO111" s="49" t="n">
        <f aca="false">AO83+AO110+AO94+AO104+AO105+AO52+AO59</f>
        <v>879.042405483213</v>
      </c>
      <c r="AP111" s="49" t="n">
        <f aca="false">AP83+AP110+AP94+AP104+AP105+AP52+AP59</f>
        <v>878.823127799761</v>
      </c>
      <c r="AQ111" s="49" t="n">
        <f aca="false">AQ83+AQ110+AQ94+AQ104+AQ105+AQ52+AQ59</f>
        <v>872.705870836728</v>
      </c>
      <c r="AR111" s="49" t="n">
        <f aca="false">AR83+AR110+AR94+AR104+AR105+AR52+AR59</f>
        <v>896.445757151678</v>
      </c>
      <c r="AS111" s="49" t="n">
        <f aca="false">AS83+AS110+AS94+AS104+AS105+AS52+AS59</f>
        <v>920.293496414421</v>
      </c>
      <c r="AT111" s="49" t="n">
        <f aca="false">AT83+AT110+AT94+AT104+AT105+AT52+AT59</f>
        <v>920.448742294147</v>
      </c>
      <c r="AU111" s="49" t="n">
        <f aca="false">AU83+AU110+AU94+AU104+AU105+AU52+AU59</f>
        <v>929.636699368779</v>
      </c>
      <c r="AV111" s="49" t="n">
        <f aca="false">AV83+AV110+AV94+AV104+AV105+AV52+AV59</f>
        <v>938.704503573182</v>
      </c>
      <c r="AW111" s="49" t="n">
        <f aca="false">AW83+AW110+AW94+AW104+AW105+AW52+AW59</f>
        <v>963.070423487188</v>
      </c>
      <c r="AX111" s="49" t="n">
        <f aca="false">AX83+AX110+AX94+AX104+AX105+AX52+AX59</f>
        <v>963.621867205231</v>
      </c>
      <c r="AY111" s="49" t="n">
        <f aca="false">AY83+AY110+AY94+AY104+AY105+AY52+AY59</f>
        <v>957.764775738286</v>
      </c>
      <c r="AZ111" s="49" t="n">
        <f aca="false">AZ83+AZ110+AZ94+AZ104+AZ105+AZ52+AZ59</f>
        <v>982.549931076727</v>
      </c>
      <c r="BA111" s="49" t="n">
        <f aca="false">BA83+BA110+BA94+BA104+BA105+BA52+BA59</f>
        <v>1007.45420849698</v>
      </c>
      <c r="BB111" s="49" t="n">
        <f aca="false">BB83+BB110+BB94+BB104+BB105+BB52+BB59</f>
        <v>1008.42464034161</v>
      </c>
      <c r="BC111" s="49" t="n">
        <f aca="false">BC83+BC110+BC94+BC104+BC105+BC52+BC59</f>
        <v>1002.72763140865</v>
      </c>
      <c r="BD111" s="49" t="n">
        <f aca="false">BD83+BD110+BD94+BD104+BD105+BD52+BD59</f>
        <v>1028.06631816202</v>
      </c>
      <c r="BE111" s="49" t="n">
        <f aca="false">BE83+BE110+BE94+BE104+BE105+BE52+BE59</f>
        <v>1053.53019571179</v>
      </c>
      <c r="BF111" s="49" t="n">
        <f aca="false">BF83+BF110+BF94+BF104+BF105+BF52+BF59</f>
        <v>1054.94357879752</v>
      </c>
      <c r="BG111" s="49" t="n">
        <f aca="false">BG83+BG110+BG94+BG104+BG105+BG52+BG59</f>
        <v>1049.42816121634</v>
      </c>
      <c r="BH111" s="49" t="n">
        <f aca="false">BH83+BH110+BH94+BH104+BH105+BH52+BH59</f>
        <v>1075.34243507692</v>
      </c>
      <c r="BI111" s="49" t="n">
        <f aca="false">BI83+BI110+BI94+BI104+BI105+BI52+BI59</f>
        <v>1101.3882776212</v>
      </c>
      <c r="BJ111" s="49" t="n">
        <f aca="false">BJ83+BJ110+BJ94+BJ104+BJ105+BJ52+BJ59</f>
        <v>1103.26980759316</v>
      </c>
      <c r="BK111" s="49" t="n">
        <f aca="false">BK83+BK110+BK94+BK104+BK105+BK52+BK59</f>
        <v>1113.41005869919</v>
      </c>
      <c r="BL111" s="49" t="n">
        <f aca="false">BL83+BL110+BL94+BL104+BL105+BL52+BL59</f>
        <v>1124.47177826876</v>
      </c>
      <c r="BM111" s="49" t="n">
        <f aca="false">BM83+BM110+BM94+BM104+BM105+BM52+BM59</f>
        <v>1151.12313232645</v>
      </c>
      <c r="BN111" s="49" t="n">
        <f aca="false">BN83+BN110+BN94+BN104+BN105+BN52+BN59</f>
        <v>1153.49930010334</v>
      </c>
      <c r="BO111" s="49" t="n">
        <f aca="false">BO83+BO110+BO94+BO104+BO105+BO52+BO59</f>
        <v>1148.4164764584</v>
      </c>
      <c r="BP111" s="49" t="n">
        <f aca="false">BP83+BP110+BP94+BP104+BP105+BP52+BP59</f>
        <v>1175.55281692209</v>
      </c>
      <c r="BQ111" s="49" t="n">
        <f aca="false">BQ83+BQ110+BQ94+BQ104+BQ105+BQ52+BQ59</f>
        <v>1202.83447316828</v>
      </c>
      <c r="BR111" s="49" t="n">
        <f aca="false">BR83+BR110+BR94+BR104+BR105+BR52+BR59</f>
        <v>1205.73313087847</v>
      </c>
      <c r="BS111" s="49" t="n">
        <f aca="false">BS83+BS110+BS94+BS104+BS105+BS52+BS59</f>
        <v>1200.90391212863</v>
      </c>
      <c r="BT111" s="49" t="n">
        <f aca="false">BT83+BT110+BT94+BT104+BT105+BT52+BT59</f>
        <v>1228.68925220197</v>
      </c>
      <c r="BU111" s="49" t="n">
        <f aca="false">BU83+BU110+BU94+BU104+BU105+BU52+BU59</f>
        <v>1256.62731121931</v>
      </c>
      <c r="BV111" s="49" t="n">
        <f aca="false">BV83+BV110+BV94+BV104+BV105+BV52+BV59</f>
        <v>1260.07774149276</v>
      </c>
      <c r="BW111" s="49" t="n">
        <f aca="false">BW83+BW110+BW94+BW104+BW105+BW52+BW59</f>
        <v>1255.52884766948</v>
      </c>
      <c r="BX111" s="49" t="n">
        <f aca="false">BX83+BX110+BX94+BX104+BX105+BX52+BX59</f>
        <v>1283.99028985377</v>
      </c>
      <c r="BY111" s="49" t="n">
        <f aca="false">BY83+BY110+BY94+BY104+BY105+BY52+BY59</f>
        <v>1312.61223130011</v>
      </c>
      <c r="BZ111" s="49" t="n">
        <f aca="false">BZ83+BZ110+BZ94+BZ104+BZ105+BZ52+BZ59</f>
        <v>1316.64522008702</v>
      </c>
      <c r="CA111" s="49" t="n">
        <f aca="false">CA83+CA110+CA94+CA104+CA105+CA52+CA59</f>
        <v>1328.07685076106</v>
      </c>
      <c r="CB111" s="49" t="n">
        <f aca="false">CB83+CB110+CB94+CB104+CB105+CB52+CB59</f>
        <v>1341.5709268436</v>
      </c>
      <c r="CC111" s="49" t="n">
        <f aca="false">CC83+CC110+CC94+CC104+CC105+CC52+CC59</f>
        <v>1370.9056822116</v>
      </c>
      <c r="CD111" s="49" t="n">
        <f aca="false">CD83+CD110+CD94+CD104+CD105+CD52+CD59</f>
        <v>1375.55359530733</v>
      </c>
      <c r="CE111" s="49" t="n">
        <f aca="false">CE83+CE110+CE94+CE104+CE105+CE52+CE59</f>
        <v>1371.65149280917</v>
      </c>
      <c r="CF111" s="49" t="n">
        <f aca="false">CF83+CF110+CF94+CF104+CF105+CF52+CF59</f>
        <v>1401.55225275842</v>
      </c>
      <c r="CG111" s="49" t="n">
        <f aca="false">CG83+CG110+CG94+CG104+CG105+CG52+CG59</f>
        <v>1431.63028191186</v>
      </c>
      <c r="CH111" s="49" t="n">
        <f aca="false">CH83+CH110+CH94+CH104+CH105+CH52+CH59</f>
        <v>1436.92714537679</v>
      </c>
      <c r="CI111" s="49" t="n">
        <f aca="false">CI83+CI110+CI94+CI104+CI105+CI52+CI59</f>
        <v>1418.67467604321</v>
      </c>
      <c r="CJ111" s="49" t="n">
        <f aca="false">CJ83+CJ110+CJ94+CJ104+CJ105+CJ52+CJ59</f>
        <v>1434.43772799925</v>
      </c>
      <c r="CK111" s="49" t="n">
        <f aca="false">CK83+CK110+CK94+CK104+CK105+CK52+CK59</f>
        <v>1450.20077995528</v>
      </c>
      <c r="CL111" s="49" t="n">
        <f aca="false">CL83+CL110+CL94+CL104+CL105+CL52+CL59</f>
        <v>1440.90341590647</v>
      </c>
      <c r="CM111" s="49" t="n">
        <f aca="false">CM83+CM110+CM94+CM104+CM105+CM52+CM59</f>
        <v>1422.30378273012</v>
      </c>
      <c r="CN111" s="49" t="n">
        <f aca="false">CN83+CN110+CN94+CN104+CN105+CN52+CN59</f>
        <v>1438.10715809379</v>
      </c>
      <c r="CO111" s="49" t="n">
        <f aca="false">CO83+CO110+CO94+CO104+CO105+CO52+CO59</f>
        <v>1453.91053345746</v>
      </c>
      <c r="CP111" s="49" t="n">
        <f aca="false">CP83+CP110+CP94+CP104+CP105+CP52+CP59</f>
        <v>1444.55710385797</v>
      </c>
      <c r="CQ111" s="49" t="n">
        <f aca="false">CQ83+CQ110+CQ94+CQ104+CQ105+CQ52+CQ59</f>
        <v>1441.44708685278</v>
      </c>
      <c r="CR111" s="49" t="n">
        <f aca="false">CR83+CR110+CR94+CR104+CR105+CR52+CR59</f>
        <v>1441.44708685278</v>
      </c>
      <c r="CS111" s="49" t="n">
        <f aca="false">CS83+CS110+CS94+CS104+CS105+CS52+CS59</f>
        <v>1457.28716473028</v>
      </c>
      <c r="CT111" s="49" t="n">
        <f aca="false">CT83+CT110+CT94+CT104+CT105+CT52+CT59</f>
        <v>1447.87754553954</v>
      </c>
      <c r="CU111" s="49" t="n">
        <f aca="false">CU83+CU110+CU94+CU104+CU105+CU52+CU59</f>
        <v>1428.57364501191</v>
      </c>
      <c r="CV111" s="49" t="n">
        <f aca="false">CV83+CV110+CV94+CV104+CV105+CV52+CV59</f>
        <v>1444.44668551204</v>
      </c>
      <c r="CW111" s="49" t="n">
        <f aca="false">CW83+CW110+CW94+CW104+CW105+CW52+CW59</f>
        <v>1460.31972601217</v>
      </c>
      <c r="CX111" s="49" t="n">
        <f aca="false">CX83+CX110+CX94+CX104+CX105+CX52+CX59</f>
        <v>1450.85379794773</v>
      </c>
      <c r="CY111" s="49" t="n">
        <f aca="false">CY83+CY110+CY94+CY104+CY105+CY52+CY59</f>
        <v>1431.19270088402</v>
      </c>
      <c r="CZ111" s="49" t="n">
        <f aca="false">CZ83+CZ110+CZ94+CZ104+CZ105+CZ52+CZ59</f>
        <v>1447.09484200495</v>
      </c>
      <c r="DA111" s="49" t="n">
        <f aca="false">DA83+DA110+DA94+DA104+DA105+DA52+DA59</f>
        <v>1462.99698312588</v>
      </c>
      <c r="DB111" s="49" t="n">
        <f aca="false">DB83+DB110+DB94+DB104+DB105+DB52+DB59</f>
        <v>2503.24466583138</v>
      </c>
      <c r="DC111" s="49" t="n">
        <f aca="false">DC83+DC110+DC94+DC104+DC105+DC52+DC59</f>
        <v>2460.4018457948</v>
      </c>
      <c r="DD111" s="49" t="n">
        <f aca="false">DD83+DD110+DD94+DD104+DD105+DD52+DD59</f>
        <v>2487.73964408141</v>
      </c>
      <c r="DE111" s="49" t="n">
        <f aca="false">DE83+DE110+DE94+DE104+DE105+DE52+DE59</f>
        <v>2515.07744236802</v>
      </c>
      <c r="DF111" s="49" t="n">
        <f aca="false">DF83+DF110+DF94+DF104+DF105+DF52+DF59</f>
        <v>2505.49855853058</v>
      </c>
      <c r="DG111" s="49" t="n">
        <f aca="false">DG83+DG110+DG94+DG104+DG105+DG52+DG59</f>
        <v>2489.65041143909</v>
      </c>
      <c r="DH111" s="49" t="n">
        <f aca="false">DH83+DH110+DH94+DH104+DH105+DH52+DH59</f>
        <v>2489.65041143909</v>
      </c>
      <c r="DI111" s="49" t="n">
        <f aca="false">DI83+DI110+DI94+DI104+DI105+DI52+DI59</f>
        <v>2517.00920716919</v>
      </c>
      <c r="DJ111" s="49" t="n">
        <f aca="false">DJ83+DJ110+DJ94+DJ104+DJ105+DJ52+DJ59</f>
        <v>2507.37368674959</v>
      </c>
      <c r="DK111" s="49" t="n">
        <f aca="false">DK83+DK110+DK94+DK104+DK105+DK52+DK59</f>
        <v>2463.79908392978</v>
      </c>
      <c r="DL111" s="49" t="n">
        <f aca="false">DL83+DL110+DL94+DL104+DL105+DL52+DL59</f>
        <v>2491.17462930678</v>
      </c>
      <c r="DM111" s="49" t="n">
        <f aca="false">DM83+DM110+DM94+DM104+DM105+DM52+DM59</f>
        <v>2518.55017468378</v>
      </c>
      <c r="DN111" s="49" t="n">
        <f aca="false">DN83+DN110+DN94+DN104+DN105+DN52+DN59</f>
        <v>2508.85791904168</v>
      </c>
      <c r="DO111" s="49" t="n">
        <f aca="false">DO83+DO110+DO94+DO104+DO105+DO52+DO59</f>
        <v>2464.91206834606</v>
      </c>
      <c r="DP111" s="49" t="n">
        <f aca="false">DP83+DP110+DP94+DP104+DP105+DP52+DP59</f>
        <v>2492.29998021657</v>
      </c>
      <c r="DQ111" s="49" t="n">
        <f aca="false">DQ83+DQ110+DQ94+DQ104+DQ105+DQ52+DQ59</f>
        <v>2519.68789208708</v>
      </c>
      <c r="DR111" s="49" t="n">
        <f aca="false">DR83+DR110+DR94+DR104+DR105+DR52+DR59</f>
        <v>2509.93880816483</v>
      </c>
      <c r="DS111" s="49" t="n">
        <f aca="false">DS83+DS110+DS94+DS104+DS105+DS52+DS59</f>
        <v>2465.61807007059</v>
      </c>
      <c r="DT111" s="49" t="n">
        <f aca="false">DT83+DT110+DT94+DT104+DT105+DT52+DT59</f>
        <v>2493.01382640471</v>
      </c>
      <c r="DU111" s="49" t="n">
        <f aca="false">DU83+DU110+DU94+DU104+DU105+DU52+DU59</f>
        <v>2520.40958273882</v>
      </c>
      <c r="DV111" s="49" t="n">
        <f aca="false">DV83+DV110+DV94+DV104+DV105+DV52+DV59</f>
        <v>2510.60358323846</v>
      </c>
      <c r="DW111" s="49" t="n">
        <f aca="false">DW83+DW110+DW94+DW104+DW105+DW52+DW59</f>
        <v>2493.30320185874</v>
      </c>
      <c r="DX111" s="49" t="n">
        <f aca="false">DX83+DX110+DX94+DX104+DX105+DX52+DX59</f>
        <v>2493.30320185874</v>
      </c>
      <c r="DY111" s="49" t="n">
        <f aca="false">DY83+DY110+DY94+DY104+DY105+DY52+DY59</f>
        <v>2520.70213814291</v>
      </c>
      <c r="DZ111" s="49" t="n">
        <f aca="false">DZ83+DZ110+DZ94+DZ104+DZ105+DZ52+DZ59</f>
        <v>2510.83914170753</v>
      </c>
      <c r="EA111" s="49" t="n">
        <f aca="false">EA83+EA110+EA94+EA104+EA105+EA52+EA59</f>
        <v>2465.75749862902</v>
      </c>
      <c r="EB111" s="49" t="n">
        <f aca="false">EB83+EB110+EB94+EB104+EB105+EB52+EB59</f>
        <v>2493.15480416935</v>
      </c>
      <c r="EC111" s="49" t="n">
        <f aca="false">EC83+EC110+EC94+EC104+EC105+EC52+EC59</f>
        <v>2520.55210970967</v>
      </c>
      <c r="ED111" s="49" t="n">
        <f aca="false">ED83+ED110+ED94+ED104+ED105+ED52+ED59</f>
        <v>2510.63204110907</v>
      </c>
      <c r="EE111" s="49" t="n">
        <f aca="false">EE83+EE110+EE94+EE104+EE105+EE52+EE59</f>
        <v>2465.16427204807</v>
      </c>
      <c r="EF111" s="49" t="n">
        <f aca="false">EF83+EF110+EF94+EF104+EF105+EF52+EF59</f>
        <v>2492.55498618193</v>
      </c>
      <c r="EG111" s="49" t="n">
        <f aca="false">EG83+EG110+EG94+EG104+EG105+EG52+EG59</f>
        <v>2519.9457003158</v>
      </c>
      <c r="EH111" s="49" t="n">
        <f aca="false">EH83+EH110+EH94+EH104+EH105+EH52+EH59</f>
        <v>2509.96849063659</v>
      </c>
      <c r="EI111" s="49" t="n">
        <f aca="false">EI83+EI110+EI94+EI104+EI105+EI52+EI59</f>
        <v>2464.11073922956</v>
      </c>
      <c r="EJ111" s="49" t="n">
        <f aca="false">EJ83+EJ110+EJ94+EJ104+EJ105+EJ52+EJ59</f>
        <v>2491.48974744322</v>
      </c>
      <c r="EK111" s="49" t="n">
        <f aca="false">EK83+EK110+EK94+EK104+EK105+EK52+EK59</f>
        <v>2518.86875565688</v>
      </c>
      <c r="EL111" s="49" t="n">
        <f aca="false">EL83+EL110+EL94+EL104+EL105+EL52+EL59</f>
        <v>2508.8343424972</v>
      </c>
      <c r="EM111" s="49" t="n">
        <f aca="false">EM83+EM110+EM94+EM104+EM105+EM52+EM59</f>
        <v>2489.94472543768</v>
      </c>
      <c r="EN111" s="49" t="n">
        <f aca="false">EN83+EN110+EN94+EN104+EN105+EN52+EN59</f>
        <v>2489.94472543768</v>
      </c>
      <c r="EO111" s="49" t="n">
        <f aca="false">EO83+EO110+EO94+EO104+EO105+EO52+EO59</f>
        <v>2517.30675538755</v>
      </c>
    </row>
    <row r="112" customFormat="false" ht="15" hidden="false" customHeight="false" outlineLevel="0" collapsed="false">
      <c r="C112" s="1" t="s">
        <v>499</v>
      </c>
      <c r="D112" s="12" t="s">
        <v>33</v>
      </c>
      <c r="J112" s="19" t="n">
        <f aca="false">I116</f>
        <v>0</v>
      </c>
      <c r="K112" s="19" t="n">
        <f aca="false">J116</f>
        <v>12.8099380746857</v>
      </c>
      <c r="L112" s="19" t="n">
        <f aca="false">K116</f>
        <v>32.4846237568024</v>
      </c>
      <c r="M112" s="19" t="n">
        <f aca="false">L116</f>
        <v>65.6401125914806</v>
      </c>
      <c r="N112" s="19" t="n">
        <f aca="false">M116</f>
        <v>99.1599474573091</v>
      </c>
      <c r="O112" s="19" t="n">
        <f aca="false">N116</f>
        <v>132.679782323138</v>
      </c>
      <c r="P112" s="19" t="n">
        <f aca="false">O116</f>
        <v>165.835271157816</v>
      </c>
      <c r="Q112" s="19" t="n">
        <f aca="false">P116</f>
        <v>198.990759992494</v>
      </c>
      <c r="R112" s="19" t="n">
        <f aca="false">Q116</f>
        <v>232.510594858322</v>
      </c>
      <c r="S112" s="19" t="n">
        <f aca="false">R116</f>
        <v>1281.10700041605</v>
      </c>
      <c r="T112" s="19" t="n">
        <f aca="false">S116</f>
        <v>1449.15118196524</v>
      </c>
      <c r="U112" s="19" t="n">
        <f aca="false">T116</f>
        <v>1596.35208406707</v>
      </c>
      <c r="V112" s="19" t="n">
        <f aca="false">U116</f>
        <v>1733.68972534713</v>
      </c>
      <c r="W112" s="19" t="n">
        <f aca="false">V116</f>
        <v>1859.42035025319</v>
      </c>
      <c r="X112" s="19" t="n">
        <f aca="false">W116</f>
        <v>1972.1049419464</v>
      </c>
      <c r="Y112" s="19" t="n">
        <f aca="false">X116</f>
        <v>2074.81031527007</v>
      </c>
      <c r="Z112" s="19" t="n">
        <f aca="false">Y116</f>
        <v>2167.16346591726</v>
      </c>
      <c r="AA112" s="19" t="n">
        <f aca="false">Z116</f>
        <v>1820.77617761863</v>
      </c>
      <c r="AB112" s="19" t="n">
        <f aca="false">AA116</f>
        <v>1477.23766981312</v>
      </c>
      <c r="AC112" s="19" t="n">
        <f aca="false">AB116</f>
        <v>1122.94689421412</v>
      </c>
      <c r="AD112" s="19" t="n">
        <f aca="false">AC116</f>
        <v>757.859644791695</v>
      </c>
      <c r="AE112" s="19" t="n">
        <f aca="false">AD116</f>
        <v>393.383979122073</v>
      </c>
      <c r="AF112" s="19" t="n">
        <f aca="false">AE116</f>
        <v>24.4735784279761</v>
      </c>
      <c r="AG112" s="19" t="n">
        <f aca="false">AF116</f>
        <v>0</v>
      </c>
      <c r="AH112" s="19" t="n">
        <f aca="false">AG116</f>
        <v>0</v>
      </c>
      <c r="AI112" s="19" t="n">
        <f aca="false">AH116</f>
        <v>0</v>
      </c>
      <c r="AJ112" s="19" t="n">
        <f aca="false">AI116</f>
        <v>0</v>
      </c>
      <c r="AK112" s="19" t="n">
        <f aca="false">AJ116</f>
        <v>0</v>
      </c>
      <c r="AL112" s="19" t="n">
        <f aca="false">AK116</f>
        <v>0</v>
      </c>
      <c r="AM112" s="19" t="n">
        <f aca="false">AL116</f>
        <v>0</v>
      </c>
      <c r="AN112" s="19" t="n">
        <f aca="false">AM116</f>
        <v>0</v>
      </c>
      <c r="AO112" s="19" t="n">
        <f aca="false">AN116</f>
        <v>0</v>
      </c>
      <c r="AP112" s="19" t="n">
        <f aca="false">AO116</f>
        <v>0</v>
      </c>
      <c r="AQ112" s="19" t="n">
        <f aca="false">AP116</f>
        <v>0</v>
      </c>
      <c r="AR112" s="19" t="n">
        <f aca="false">AQ116</f>
        <v>0</v>
      </c>
      <c r="AS112" s="19" t="n">
        <f aca="false">AR116</f>
        <v>0</v>
      </c>
      <c r="AT112" s="19" t="n">
        <f aca="false">AS116</f>
        <v>0</v>
      </c>
      <c r="AU112" s="19" t="n">
        <f aca="false">AT116</f>
        <v>0</v>
      </c>
      <c r="AV112" s="19" t="n">
        <f aca="false">AU116</f>
        <v>0</v>
      </c>
      <c r="AW112" s="19" t="n">
        <f aca="false">AV116</f>
        <v>0</v>
      </c>
      <c r="AX112" s="19" t="n">
        <f aca="false">AW116</f>
        <v>0</v>
      </c>
      <c r="AY112" s="19" t="n">
        <f aca="false">AX116</f>
        <v>0</v>
      </c>
      <c r="AZ112" s="19" t="n">
        <f aca="false">AY116</f>
        <v>0</v>
      </c>
      <c r="BA112" s="19" t="n">
        <f aca="false">AZ116</f>
        <v>0</v>
      </c>
      <c r="BB112" s="19" t="n">
        <f aca="false">BA116</f>
        <v>0</v>
      </c>
      <c r="BC112" s="19" t="n">
        <f aca="false">BB116</f>
        <v>0</v>
      </c>
      <c r="BD112" s="19" t="n">
        <f aca="false">BC116</f>
        <v>0</v>
      </c>
      <c r="BE112" s="19" t="n">
        <f aca="false">BD116</f>
        <v>0</v>
      </c>
      <c r="BF112" s="19" t="n">
        <f aca="false">BE116</f>
        <v>0</v>
      </c>
      <c r="BG112" s="19" t="n">
        <f aca="false">BF116</f>
        <v>0</v>
      </c>
      <c r="BH112" s="19" t="n">
        <f aca="false">BG116</f>
        <v>0</v>
      </c>
      <c r="BI112" s="19" t="n">
        <f aca="false">BH116</f>
        <v>0</v>
      </c>
      <c r="BJ112" s="19" t="n">
        <f aca="false">BI116</f>
        <v>0</v>
      </c>
      <c r="BK112" s="19" t="n">
        <f aca="false">BJ116</f>
        <v>0</v>
      </c>
      <c r="BL112" s="19" t="n">
        <f aca="false">BK116</f>
        <v>0</v>
      </c>
      <c r="BM112" s="19" t="n">
        <f aca="false">BL116</f>
        <v>0</v>
      </c>
      <c r="BN112" s="19" t="n">
        <f aca="false">BM116</f>
        <v>0</v>
      </c>
      <c r="BO112" s="19" t="n">
        <f aca="false">BN116</f>
        <v>0</v>
      </c>
      <c r="BP112" s="19" t="n">
        <f aca="false">BO116</f>
        <v>0</v>
      </c>
      <c r="BQ112" s="19" t="n">
        <f aca="false">BP116</f>
        <v>0</v>
      </c>
      <c r="BR112" s="19" t="n">
        <f aca="false">BQ116</f>
        <v>0</v>
      </c>
      <c r="BS112" s="19" t="n">
        <f aca="false">BR116</f>
        <v>0</v>
      </c>
      <c r="BT112" s="19" t="n">
        <f aca="false">BS116</f>
        <v>0</v>
      </c>
      <c r="BU112" s="19" t="n">
        <f aca="false">BT116</f>
        <v>0</v>
      </c>
      <c r="BV112" s="19" t="n">
        <f aca="false">BU116</f>
        <v>0</v>
      </c>
      <c r="BW112" s="19" t="n">
        <f aca="false">BV116</f>
        <v>0</v>
      </c>
      <c r="BX112" s="19" t="n">
        <f aca="false">BW116</f>
        <v>0</v>
      </c>
      <c r="BY112" s="19" t="n">
        <f aca="false">BX116</f>
        <v>0</v>
      </c>
      <c r="BZ112" s="19" t="n">
        <f aca="false">BY116</f>
        <v>0</v>
      </c>
      <c r="CA112" s="19" t="n">
        <f aca="false">BZ116</f>
        <v>0</v>
      </c>
      <c r="CB112" s="19" t="n">
        <f aca="false">CA116</f>
        <v>0</v>
      </c>
      <c r="CC112" s="19" t="n">
        <f aca="false">CB116</f>
        <v>0</v>
      </c>
      <c r="CD112" s="19" t="n">
        <f aca="false">CC116</f>
        <v>0</v>
      </c>
      <c r="CE112" s="19" t="n">
        <f aca="false">CD116</f>
        <v>0</v>
      </c>
      <c r="CF112" s="19" t="n">
        <f aca="false">CE116</f>
        <v>0</v>
      </c>
      <c r="CG112" s="19" t="n">
        <f aca="false">CF116</f>
        <v>0</v>
      </c>
      <c r="CH112" s="19" t="n">
        <f aca="false">CG116</f>
        <v>0</v>
      </c>
      <c r="CI112" s="19" t="n">
        <f aca="false">CH116</f>
        <v>0</v>
      </c>
      <c r="CJ112" s="19" t="n">
        <f aca="false">CI116</f>
        <v>0</v>
      </c>
      <c r="CK112" s="19" t="n">
        <f aca="false">CJ116</f>
        <v>0</v>
      </c>
      <c r="CL112" s="19" t="n">
        <f aca="false">CK116</f>
        <v>0</v>
      </c>
      <c r="CM112" s="19" t="n">
        <f aca="false">CL116</f>
        <v>0</v>
      </c>
      <c r="CN112" s="19" t="n">
        <f aca="false">CM116</f>
        <v>0</v>
      </c>
      <c r="CO112" s="19" t="n">
        <f aca="false">CN116</f>
        <v>0</v>
      </c>
      <c r="CP112" s="19" t="n">
        <f aca="false">CO116</f>
        <v>0</v>
      </c>
      <c r="CQ112" s="19" t="n">
        <f aca="false">CP116</f>
        <v>0</v>
      </c>
      <c r="CR112" s="19" t="n">
        <f aca="false">CQ116</f>
        <v>0</v>
      </c>
      <c r="CS112" s="19" t="n">
        <f aca="false">CR116</f>
        <v>0</v>
      </c>
      <c r="CT112" s="19" t="n">
        <f aca="false">CS116</f>
        <v>0</v>
      </c>
      <c r="CU112" s="19" t="n">
        <f aca="false">CT116</f>
        <v>0</v>
      </c>
      <c r="CV112" s="19" t="n">
        <f aca="false">CU116</f>
        <v>0</v>
      </c>
      <c r="CW112" s="19" t="n">
        <f aca="false">CV116</f>
        <v>0</v>
      </c>
      <c r="CX112" s="19" t="n">
        <f aca="false">CW116</f>
        <v>0</v>
      </c>
      <c r="CY112" s="19" t="n">
        <f aca="false">CX116</f>
        <v>0</v>
      </c>
      <c r="CZ112" s="19" t="n">
        <f aca="false">CY116</f>
        <v>0</v>
      </c>
      <c r="DA112" s="19" t="n">
        <f aca="false">CZ116</f>
        <v>0</v>
      </c>
      <c r="DB112" s="19" t="n">
        <f aca="false">DA116</f>
        <v>0</v>
      </c>
      <c r="DC112" s="19" t="n">
        <f aca="false">DB116</f>
        <v>0</v>
      </c>
      <c r="DD112" s="19" t="n">
        <f aca="false">DC116</f>
        <v>0</v>
      </c>
      <c r="DE112" s="19" t="n">
        <f aca="false">DD116</f>
        <v>0</v>
      </c>
      <c r="DF112" s="19" t="n">
        <f aca="false">DE116</f>
        <v>0</v>
      </c>
      <c r="DG112" s="19" t="n">
        <f aca="false">DF116</f>
        <v>0</v>
      </c>
      <c r="DH112" s="19" t="n">
        <f aca="false">DG116</f>
        <v>0</v>
      </c>
      <c r="DI112" s="19" t="n">
        <f aca="false">DH116</f>
        <v>0</v>
      </c>
      <c r="DJ112" s="19" t="n">
        <f aca="false">DI116</f>
        <v>0</v>
      </c>
      <c r="DK112" s="19" t="n">
        <f aca="false">DJ116</f>
        <v>0</v>
      </c>
      <c r="DL112" s="19" t="n">
        <f aca="false">DK116</f>
        <v>0</v>
      </c>
      <c r="DM112" s="19" t="n">
        <f aca="false">DL116</f>
        <v>0</v>
      </c>
      <c r="DN112" s="19" t="n">
        <f aca="false">DM116</f>
        <v>0</v>
      </c>
      <c r="DO112" s="19" t="n">
        <f aca="false">DN116</f>
        <v>0</v>
      </c>
      <c r="DP112" s="19" t="n">
        <f aca="false">DO116</f>
        <v>0</v>
      </c>
      <c r="DQ112" s="19" t="n">
        <f aca="false">DP116</f>
        <v>0</v>
      </c>
      <c r="DR112" s="19" t="n">
        <f aca="false">DQ116</f>
        <v>0</v>
      </c>
      <c r="DS112" s="19" t="n">
        <f aca="false">DR116</f>
        <v>0</v>
      </c>
      <c r="DT112" s="19" t="n">
        <f aca="false">DS116</f>
        <v>0</v>
      </c>
      <c r="DU112" s="19" t="n">
        <f aca="false">DT116</f>
        <v>0</v>
      </c>
      <c r="DV112" s="19" t="n">
        <f aca="false">DU116</f>
        <v>0</v>
      </c>
      <c r="DW112" s="19" t="n">
        <f aca="false">DV116</f>
        <v>0</v>
      </c>
      <c r="DX112" s="19" t="n">
        <f aca="false">DW116</f>
        <v>0</v>
      </c>
      <c r="DY112" s="19" t="n">
        <f aca="false">DX116</f>
        <v>0</v>
      </c>
      <c r="DZ112" s="19" t="n">
        <f aca="false">DY116</f>
        <v>0</v>
      </c>
      <c r="EA112" s="19" t="n">
        <f aca="false">DZ116</f>
        <v>0</v>
      </c>
      <c r="EB112" s="19" t="n">
        <f aca="false">EA116</f>
        <v>0</v>
      </c>
      <c r="EC112" s="19" t="n">
        <f aca="false">EB116</f>
        <v>0</v>
      </c>
      <c r="ED112" s="19" t="n">
        <f aca="false">EC116</f>
        <v>0</v>
      </c>
      <c r="EE112" s="19" t="n">
        <f aca="false">ED116</f>
        <v>0</v>
      </c>
      <c r="EF112" s="19" t="n">
        <f aca="false">EE116</f>
        <v>0</v>
      </c>
      <c r="EG112" s="19" t="n">
        <f aca="false">EF116</f>
        <v>0</v>
      </c>
      <c r="EH112" s="19" t="n">
        <f aca="false">EG116</f>
        <v>0</v>
      </c>
      <c r="EI112" s="19" t="n">
        <f aca="false">EH116</f>
        <v>0</v>
      </c>
      <c r="EJ112" s="19" t="n">
        <f aca="false">EI116</f>
        <v>0</v>
      </c>
      <c r="EK112" s="19" t="n">
        <f aca="false">EJ116</f>
        <v>0</v>
      </c>
      <c r="EL112" s="19" t="n">
        <f aca="false">EK116</f>
        <v>0</v>
      </c>
      <c r="EM112" s="19" t="n">
        <f aca="false">EL116</f>
        <v>0</v>
      </c>
      <c r="EN112" s="19" t="n">
        <f aca="false">EM116</f>
        <v>0</v>
      </c>
      <c r="EO112" s="19" t="n">
        <f aca="false">EN116</f>
        <v>0</v>
      </c>
    </row>
    <row r="113" customFormat="false" ht="15" hidden="false" customHeight="false" outlineLevel="0" collapsed="false">
      <c r="C113" s="1" t="s">
        <v>500</v>
      </c>
      <c r="D113" s="12" t="s">
        <v>33</v>
      </c>
      <c r="I113" s="49" t="n">
        <f aca="false">SUM(J113:EO113)</f>
        <v>2167.16346591726</v>
      </c>
      <c r="J113" s="49" t="n">
        <f aca="false">MAX(0,-J111)</f>
        <v>12.8099380746857</v>
      </c>
      <c r="K113" s="49" t="n">
        <f aca="false">MAX(0,-K111)</f>
        <v>19.6746856821167</v>
      </c>
      <c r="L113" s="49" t="n">
        <f aca="false">MAX(0,-L111)</f>
        <v>33.1554888346782</v>
      </c>
      <c r="M113" s="49" t="n">
        <f aca="false">MAX(0,-M111)</f>
        <v>33.5198348658285</v>
      </c>
      <c r="N113" s="49" t="n">
        <f aca="false">MAX(0,-N111)</f>
        <v>33.5198348658285</v>
      </c>
      <c r="O113" s="49" t="n">
        <f aca="false">MAX(0,-O111)</f>
        <v>33.1554888346782</v>
      </c>
      <c r="P113" s="49" t="n">
        <f aca="false">MAX(0,-P111)</f>
        <v>33.1554888346782</v>
      </c>
      <c r="Q113" s="49" t="n">
        <f aca="false">MAX(0,-Q111)</f>
        <v>33.5198348658285</v>
      </c>
      <c r="R113" s="49" t="n">
        <f aca="false">MAX(0,-R111)</f>
        <v>1048.59640555772</v>
      </c>
      <c r="S113" s="49" t="n">
        <f aca="false">MAX(0,-S111)</f>
        <v>168.044181549198</v>
      </c>
      <c r="T113" s="49" t="n">
        <f aca="false">MAX(0,-T111)</f>
        <v>147.200902101827</v>
      </c>
      <c r="U113" s="49" t="n">
        <f aca="false">MAX(0,-U111)</f>
        <v>137.337641280064</v>
      </c>
      <c r="V113" s="49" t="n">
        <f aca="false">MAX(0,-V111)</f>
        <v>125.730624906055</v>
      </c>
      <c r="W113" s="49" t="n">
        <f aca="false">MAX(0,-W111)</f>
        <v>112.684591693216</v>
      </c>
      <c r="X113" s="49" t="n">
        <f aca="false">MAX(0,-X111)</f>
        <v>102.705373323663</v>
      </c>
      <c r="Y113" s="49" t="n">
        <f aca="false">MAX(0,-Y111)</f>
        <v>92.3531506471943</v>
      </c>
      <c r="Z113" s="49" t="n">
        <f aca="false">MAX(0,-Z111)</f>
        <v>0</v>
      </c>
      <c r="AA113" s="49" t="n">
        <f aca="false">MAX(0,-AA111)</f>
        <v>0</v>
      </c>
      <c r="AB113" s="49" t="n">
        <f aca="false">MAX(0,-AB111)</f>
        <v>0</v>
      </c>
      <c r="AC113" s="49" t="n">
        <f aca="false">MAX(0,-AC111)</f>
        <v>0</v>
      </c>
      <c r="AD113" s="49" t="n">
        <f aca="false">MAX(0,-AD111)</f>
        <v>0</v>
      </c>
      <c r="AE113" s="49" t="n">
        <f aca="false">MAX(0,-AE111)</f>
        <v>0</v>
      </c>
      <c r="AF113" s="49" t="n">
        <f aca="false">MAX(0,-AF111)</f>
        <v>0</v>
      </c>
      <c r="AG113" s="49" t="n">
        <f aca="false">MAX(0,-AG111)</f>
        <v>0</v>
      </c>
      <c r="AH113" s="49" t="n">
        <f aca="false">MAX(0,-AH111)</f>
        <v>0</v>
      </c>
      <c r="AI113" s="49" t="n">
        <f aca="false">MAX(0,-AI111)</f>
        <v>0</v>
      </c>
      <c r="AJ113" s="49" t="n">
        <f aca="false">MAX(0,-AJ111)</f>
        <v>0</v>
      </c>
      <c r="AK113" s="49" t="n">
        <f aca="false">MAX(0,-AK111)</f>
        <v>0</v>
      </c>
      <c r="AL113" s="49" t="n">
        <f aca="false">MAX(0,-AL111)</f>
        <v>0</v>
      </c>
      <c r="AM113" s="49" t="n">
        <f aca="false">MAX(0,-AM111)</f>
        <v>0</v>
      </c>
      <c r="AN113" s="49" t="n">
        <f aca="false">MAX(0,-AN111)</f>
        <v>0</v>
      </c>
      <c r="AO113" s="49" t="n">
        <f aca="false">MAX(0,-AO111)</f>
        <v>0</v>
      </c>
      <c r="AP113" s="49" t="n">
        <f aca="false">MAX(0,-AP111)</f>
        <v>0</v>
      </c>
      <c r="AQ113" s="49" t="n">
        <f aca="false">MAX(0,-AQ111)</f>
        <v>0</v>
      </c>
      <c r="AR113" s="49" t="n">
        <f aca="false">MAX(0,-AR111)</f>
        <v>0</v>
      </c>
      <c r="AS113" s="49" t="n">
        <f aca="false">MAX(0,-AS111)</f>
        <v>0</v>
      </c>
      <c r="AT113" s="49" t="n">
        <f aca="false">MAX(0,-AT111)</f>
        <v>0</v>
      </c>
      <c r="AU113" s="49" t="n">
        <f aca="false">MAX(0,-AU111)</f>
        <v>0</v>
      </c>
      <c r="AV113" s="49" t="n">
        <f aca="false">MAX(0,-AV111)</f>
        <v>0</v>
      </c>
      <c r="AW113" s="49" t="n">
        <f aca="false">MAX(0,-AW111)</f>
        <v>0</v>
      </c>
      <c r="AX113" s="49" t="n">
        <f aca="false">MAX(0,-AX111)</f>
        <v>0</v>
      </c>
      <c r="AY113" s="49" t="n">
        <f aca="false">MAX(0,-AY111)</f>
        <v>0</v>
      </c>
      <c r="AZ113" s="49" t="n">
        <f aca="false">MAX(0,-AZ111)</f>
        <v>0</v>
      </c>
      <c r="BA113" s="49" t="n">
        <f aca="false">MAX(0,-BA111)</f>
        <v>0</v>
      </c>
      <c r="BB113" s="49" t="n">
        <f aca="false">MAX(0,-BB111)</f>
        <v>0</v>
      </c>
      <c r="BC113" s="49" t="n">
        <f aca="false">MAX(0,-BC111)</f>
        <v>0</v>
      </c>
      <c r="BD113" s="49" t="n">
        <f aca="false">MAX(0,-BD111)</f>
        <v>0</v>
      </c>
      <c r="BE113" s="49" t="n">
        <f aca="false">MAX(0,-BE111)</f>
        <v>0</v>
      </c>
      <c r="BF113" s="49" t="n">
        <f aca="false">MAX(0,-BF111)</f>
        <v>0</v>
      </c>
      <c r="BG113" s="49" t="n">
        <f aca="false">MAX(0,-BG111)</f>
        <v>0</v>
      </c>
      <c r="BH113" s="49" t="n">
        <f aca="false">MAX(0,-BH111)</f>
        <v>0</v>
      </c>
      <c r="BI113" s="49" t="n">
        <f aca="false">MAX(0,-BI111)</f>
        <v>0</v>
      </c>
      <c r="BJ113" s="49" t="n">
        <f aca="false">MAX(0,-BJ111)</f>
        <v>0</v>
      </c>
      <c r="BK113" s="49" t="n">
        <f aca="false">MAX(0,-BK111)</f>
        <v>0</v>
      </c>
      <c r="BL113" s="49" t="n">
        <f aca="false">MAX(0,-BL111)</f>
        <v>0</v>
      </c>
      <c r="BM113" s="49" t="n">
        <f aca="false">MAX(0,-BM111)</f>
        <v>0</v>
      </c>
      <c r="BN113" s="49" t="n">
        <f aca="false">MAX(0,-BN111)</f>
        <v>0</v>
      </c>
      <c r="BO113" s="49" t="n">
        <f aca="false">MAX(0,-BO111)</f>
        <v>0</v>
      </c>
      <c r="BP113" s="49" t="n">
        <f aca="false">MAX(0,-BP111)</f>
        <v>0</v>
      </c>
      <c r="BQ113" s="49" t="n">
        <f aca="false">MAX(0,-BQ111)</f>
        <v>0</v>
      </c>
      <c r="BR113" s="49" t="n">
        <f aca="false">MAX(0,-BR111)</f>
        <v>0</v>
      </c>
      <c r="BS113" s="49" t="n">
        <f aca="false">MAX(0,-BS111)</f>
        <v>0</v>
      </c>
      <c r="BT113" s="49" t="n">
        <f aca="false">MAX(0,-BT111)</f>
        <v>0</v>
      </c>
      <c r="BU113" s="49" t="n">
        <f aca="false">MAX(0,-BU111)</f>
        <v>0</v>
      </c>
      <c r="BV113" s="49" t="n">
        <f aca="false">MAX(0,-BV111)</f>
        <v>0</v>
      </c>
      <c r="BW113" s="49" t="n">
        <f aca="false">MAX(0,-BW111)</f>
        <v>0</v>
      </c>
      <c r="BX113" s="49" t="n">
        <f aca="false">MAX(0,-BX111)</f>
        <v>0</v>
      </c>
      <c r="BY113" s="49" t="n">
        <f aca="false">MAX(0,-BY111)</f>
        <v>0</v>
      </c>
      <c r="BZ113" s="49" t="n">
        <f aca="false">MAX(0,-BZ111)</f>
        <v>0</v>
      </c>
      <c r="CA113" s="49" t="n">
        <f aca="false">MAX(0,-CA111)</f>
        <v>0</v>
      </c>
      <c r="CB113" s="49" t="n">
        <f aca="false">MAX(0,-CB111)</f>
        <v>0</v>
      </c>
      <c r="CC113" s="49" t="n">
        <f aca="false">MAX(0,-CC111)</f>
        <v>0</v>
      </c>
      <c r="CD113" s="49" t="n">
        <f aca="false">MAX(0,-CD111)</f>
        <v>0</v>
      </c>
      <c r="CE113" s="49" t="n">
        <f aca="false">MAX(0,-CE111)</f>
        <v>0</v>
      </c>
      <c r="CF113" s="49" t="n">
        <f aca="false">MAX(0,-CF111)</f>
        <v>0</v>
      </c>
      <c r="CG113" s="49" t="n">
        <f aca="false">MAX(0,-CG111)</f>
        <v>0</v>
      </c>
      <c r="CH113" s="49" t="n">
        <f aca="false">MAX(0,-CH111)</f>
        <v>0</v>
      </c>
      <c r="CI113" s="49" t="n">
        <f aca="false">MAX(0,-CI111)</f>
        <v>0</v>
      </c>
      <c r="CJ113" s="49" t="n">
        <f aca="false">MAX(0,-CJ111)</f>
        <v>0</v>
      </c>
      <c r="CK113" s="49" t="n">
        <f aca="false">MAX(0,-CK111)</f>
        <v>0</v>
      </c>
      <c r="CL113" s="49" t="n">
        <f aca="false">MAX(0,-CL111)</f>
        <v>0</v>
      </c>
      <c r="CM113" s="49" t="n">
        <f aca="false">MAX(0,-CM111)</f>
        <v>0</v>
      </c>
      <c r="CN113" s="49" t="n">
        <f aca="false">MAX(0,-CN111)</f>
        <v>0</v>
      </c>
      <c r="CO113" s="49" t="n">
        <f aca="false">MAX(0,-CO111)</f>
        <v>0</v>
      </c>
      <c r="CP113" s="49" t="n">
        <f aca="false">MAX(0,-CP111)</f>
        <v>0</v>
      </c>
      <c r="CQ113" s="49" t="n">
        <f aca="false">MAX(0,-CQ111)</f>
        <v>0</v>
      </c>
      <c r="CR113" s="49" t="n">
        <f aca="false">MAX(0,-CR111)</f>
        <v>0</v>
      </c>
      <c r="CS113" s="49" t="n">
        <f aca="false">MAX(0,-CS111)</f>
        <v>0</v>
      </c>
      <c r="CT113" s="49" t="n">
        <f aca="false">MAX(0,-CT111)</f>
        <v>0</v>
      </c>
      <c r="CU113" s="49" t="n">
        <f aca="false">MAX(0,-CU111)</f>
        <v>0</v>
      </c>
      <c r="CV113" s="49" t="n">
        <f aca="false">MAX(0,-CV111)</f>
        <v>0</v>
      </c>
      <c r="CW113" s="49" t="n">
        <f aca="false">MAX(0,-CW111)</f>
        <v>0</v>
      </c>
      <c r="CX113" s="49" t="n">
        <f aca="false">MAX(0,-CX111)</f>
        <v>0</v>
      </c>
      <c r="CY113" s="49" t="n">
        <f aca="false">MAX(0,-CY111)</f>
        <v>0</v>
      </c>
      <c r="CZ113" s="49" t="n">
        <f aca="false">MAX(0,-CZ111)</f>
        <v>0</v>
      </c>
      <c r="DA113" s="49" t="n">
        <f aca="false">MAX(0,-DA111)</f>
        <v>0</v>
      </c>
      <c r="DB113" s="49" t="n">
        <f aca="false">MAX(0,-DB111)</f>
        <v>0</v>
      </c>
      <c r="DC113" s="49" t="n">
        <f aca="false">MAX(0,-DC111)</f>
        <v>0</v>
      </c>
      <c r="DD113" s="49" t="n">
        <f aca="false">MAX(0,-DD111)</f>
        <v>0</v>
      </c>
      <c r="DE113" s="49" t="n">
        <f aca="false">MAX(0,-DE111)</f>
        <v>0</v>
      </c>
      <c r="DF113" s="49" t="n">
        <f aca="false">MAX(0,-DF111)</f>
        <v>0</v>
      </c>
      <c r="DG113" s="49" t="n">
        <f aca="false">MAX(0,-DG111)</f>
        <v>0</v>
      </c>
      <c r="DH113" s="49" t="n">
        <f aca="false">MAX(0,-DH111)</f>
        <v>0</v>
      </c>
      <c r="DI113" s="49" t="n">
        <f aca="false">MAX(0,-DI111)</f>
        <v>0</v>
      </c>
      <c r="DJ113" s="49" t="n">
        <f aca="false">MAX(0,-DJ111)</f>
        <v>0</v>
      </c>
      <c r="DK113" s="49" t="n">
        <f aca="false">MAX(0,-DK111)</f>
        <v>0</v>
      </c>
      <c r="DL113" s="49" t="n">
        <f aca="false">MAX(0,-DL111)</f>
        <v>0</v>
      </c>
      <c r="DM113" s="49" t="n">
        <f aca="false">MAX(0,-DM111)</f>
        <v>0</v>
      </c>
      <c r="DN113" s="49" t="n">
        <f aca="false">MAX(0,-DN111)</f>
        <v>0</v>
      </c>
      <c r="DO113" s="49" t="n">
        <f aca="false">MAX(0,-DO111)</f>
        <v>0</v>
      </c>
      <c r="DP113" s="49" t="n">
        <f aca="false">MAX(0,-DP111)</f>
        <v>0</v>
      </c>
      <c r="DQ113" s="49" t="n">
        <f aca="false">MAX(0,-DQ111)</f>
        <v>0</v>
      </c>
      <c r="DR113" s="49" t="n">
        <f aca="false">MAX(0,-DR111)</f>
        <v>0</v>
      </c>
      <c r="DS113" s="49" t="n">
        <f aca="false">MAX(0,-DS111)</f>
        <v>0</v>
      </c>
      <c r="DT113" s="49" t="n">
        <f aca="false">MAX(0,-DT111)</f>
        <v>0</v>
      </c>
      <c r="DU113" s="49" t="n">
        <f aca="false">MAX(0,-DU111)</f>
        <v>0</v>
      </c>
      <c r="DV113" s="49" t="n">
        <f aca="false">MAX(0,-DV111)</f>
        <v>0</v>
      </c>
      <c r="DW113" s="49" t="n">
        <f aca="false">MAX(0,-DW111)</f>
        <v>0</v>
      </c>
      <c r="DX113" s="49" t="n">
        <f aca="false">MAX(0,-DX111)</f>
        <v>0</v>
      </c>
      <c r="DY113" s="49" t="n">
        <f aca="false">MAX(0,-DY111)</f>
        <v>0</v>
      </c>
      <c r="DZ113" s="49" t="n">
        <f aca="false">MAX(0,-DZ111)</f>
        <v>0</v>
      </c>
      <c r="EA113" s="49" t="n">
        <f aca="false">MAX(0,-EA111)</f>
        <v>0</v>
      </c>
      <c r="EB113" s="49" t="n">
        <f aca="false">MAX(0,-EB111)</f>
        <v>0</v>
      </c>
      <c r="EC113" s="49" t="n">
        <f aca="false">MAX(0,-EC111)</f>
        <v>0</v>
      </c>
      <c r="ED113" s="49" t="n">
        <f aca="false">MAX(0,-ED111)</f>
        <v>0</v>
      </c>
      <c r="EE113" s="49" t="n">
        <f aca="false">MAX(0,-EE111)</f>
        <v>0</v>
      </c>
      <c r="EF113" s="49" t="n">
        <f aca="false">MAX(0,-EF111)</f>
        <v>0</v>
      </c>
      <c r="EG113" s="49" t="n">
        <f aca="false">MAX(0,-EG111)</f>
        <v>0</v>
      </c>
      <c r="EH113" s="49" t="n">
        <f aca="false">MAX(0,-EH111)</f>
        <v>0</v>
      </c>
      <c r="EI113" s="49" t="n">
        <f aca="false">MAX(0,-EI111)</f>
        <v>0</v>
      </c>
      <c r="EJ113" s="49" t="n">
        <f aca="false">MAX(0,-EJ111)</f>
        <v>0</v>
      </c>
      <c r="EK113" s="49" t="n">
        <f aca="false">MAX(0,-EK111)</f>
        <v>0</v>
      </c>
      <c r="EL113" s="49" t="n">
        <f aca="false">MAX(0,-EL111)</f>
        <v>0</v>
      </c>
      <c r="EM113" s="49" t="n">
        <f aca="false">MAX(0,-EM111)</f>
        <v>0</v>
      </c>
      <c r="EN113" s="49" t="n">
        <f aca="false">MAX(0,-EN111)</f>
        <v>0</v>
      </c>
      <c r="EO113" s="49" t="n">
        <f aca="false">MAX(0,-EO111)</f>
        <v>0</v>
      </c>
    </row>
    <row r="114" customFormat="false" ht="15" hidden="false" customHeight="false" outlineLevel="0" collapsed="false">
      <c r="C114" s="1" t="s">
        <v>501</v>
      </c>
      <c r="D114" s="12" t="s">
        <v>33</v>
      </c>
      <c r="I114" s="49" t="n">
        <f aca="false">SUM(J114:EO114)</f>
        <v>-2167.16346591726</v>
      </c>
      <c r="J114" s="49" t="n">
        <f aca="false">-MIN(J112,In_Loss_Cap*MAX(0,J111))</f>
        <v>-0</v>
      </c>
      <c r="K114" s="49" t="n">
        <f aca="false">-MIN(K112,In_Loss_Cap*MAX(0,K111))</f>
        <v>-0</v>
      </c>
      <c r="L114" s="49" t="n">
        <f aca="false">-MIN(L112,In_Loss_Cap*MAX(0,L111))</f>
        <v>-0</v>
      </c>
      <c r="M114" s="49" t="n">
        <f aca="false">-MIN(M112,In_Loss_Cap*MAX(0,M111))</f>
        <v>-0</v>
      </c>
      <c r="N114" s="49" t="n">
        <f aca="false">-MIN(N112,In_Loss_Cap*MAX(0,N111))</f>
        <v>-0</v>
      </c>
      <c r="O114" s="49" t="n">
        <f aca="false">-MIN(O112,In_Loss_Cap*MAX(0,O111))</f>
        <v>-0</v>
      </c>
      <c r="P114" s="49" t="n">
        <f aca="false">-MIN(P112,In_Loss_Cap*MAX(0,P111))</f>
        <v>-0</v>
      </c>
      <c r="Q114" s="49" t="n">
        <f aca="false">-MIN(Q112,In_Loss_Cap*MAX(0,Q111))</f>
        <v>-0</v>
      </c>
      <c r="R114" s="49" t="n">
        <f aca="false">-MIN(R112,In_Loss_Cap*MAX(0,R111))</f>
        <v>-0</v>
      </c>
      <c r="S114" s="49" t="n">
        <f aca="false">-MIN(S112,In_Loss_Cap*MAX(0,S111))</f>
        <v>-0</v>
      </c>
      <c r="T114" s="49" t="n">
        <f aca="false">-MIN(T112,In_Loss_Cap*MAX(0,T111))</f>
        <v>-0</v>
      </c>
      <c r="U114" s="49" t="n">
        <f aca="false">-MIN(U112,In_Loss_Cap*MAX(0,U111))</f>
        <v>-0</v>
      </c>
      <c r="V114" s="49" t="n">
        <f aca="false">-MIN(V112,In_Loss_Cap*MAX(0,V111))</f>
        <v>-0</v>
      </c>
      <c r="W114" s="49" t="n">
        <f aca="false">-MIN(W112,In_Loss_Cap*MAX(0,W111))</f>
        <v>-0</v>
      </c>
      <c r="X114" s="49" t="n">
        <f aca="false">-MIN(X112,In_Loss_Cap*MAX(0,X111))</f>
        <v>-0</v>
      </c>
      <c r="Y114" s="49" t="n">
        <f aca="false">-MIN(Y112,In_Loss_Cap*MAX(0,Y111))</f>
        <v>-0</v>
      </c>
      <c r="Z114" s="49" t="n">
        <f aca="false">-MIN(Z112,In_Loss_Cap*MAX(0,Z111))</f>
        <v>-346.387288298628</v>
      </c>
      <c r="AA114" s="49" t="n">
        <f aca="false">-MIN(AA112,In_Loss_Cap*MAX(0,AA111))</f>
        <v>-343.538507805519</v>
      </c>
      <c r="AB114" s="49" t="n">
        <f aca="false">-MIN(AB112,In_Loss_Cap*MAX(0,AB111))</f>
        <v>-354.290775598992</v>
      </c>
      <c r="AC114" s="49" t="n">
        <f aca="false">-MIN(AC112,In_Loss_Cap*MAX(0,AC111))</f>
        <v>-365.087249422428</v>
      </c>
      <c r="AD114" s="49" t="n">
        <f aca="false">-MIN(AD112,In_Loss_Cap*MAX(0,AD111))</f>
        <v>-364.475665669622</v>
      </c>
      <c r="AE114" s="49" t="n">
        <f aca="false">-MIN(AE112,In_Loss_Cap*MAX(0,AE111))</f>
        <v>-368.910400694097</v>
      </c>
      <c r="AF114" s="49" t="n">
        <f aca="false">-MIN(AF112,In_Loss_Cap*MAX(0,AF111))</f>
        <v>-24.4735784279761</v>
      </c>
      <c r="AG114" s="49" t="n">
        <f aca="false">-MIN(AG112,In_Loss_Cap*MAX(0,AG111))</f>
        <v>-0</v>
      </c>
      <c r="AH114" s="49" t="n">
        <f aca="false">-MIN(AH112,In_Loss_Cap*MAX(0,AH111))</f>
        <v>-0</v>
      </c>
      <c r="AI114" s="49" t="n">
        <f aca="false">-MIN(AI112,In_Loss_Cap*MAX(0,AI111))</f>
        <v>-0</v>
      </c>
      <c r="AJ114" s="49" t="n">
        <f aca="false">-MIN(AJ112,In_Loss_Cap*MAX(0,AJ111))</f>
        <v>-0</v>
      </c>
      <c r="AK114" s="49" t="n">
        <f aca="false">-MIN(AK112,In_Loss_Cap*MAX(0,AK111))</f>
        <v>-0</v>
      </c>
      <c r="AL114" s="49" t="n">
        <f aca="false">-MIN(AL112,In_Loss_Cap*MAX(0,AL111))</f>
        <v>-0</v>
      </c>
      <c r="AM114" s="49" t="n">
        <f aca="false">-MIN(AM112,In_Loss_Cap*MAX(0,AM111))</f>
        <v>-0</v>
      </c>
      <c r="AN114" s="49" t="n">
        <f aca="false">-MIN(AN112,In_Loss_Cap*MAX(0,AN111))</f>
        <v>-0</v>
      </c>
      <c r="AO114" s="49" t="n">
        <f aca="false">-MIN(AO112,In_Loss_Cap*MAX(0,AO111))</f>
        <v>-0</v>
      </c>
      <c r="AP114" s="49" t="n">
        <f aca="false">-MIN(AP112,In_Loss_Cap*MAX(0,AP111))</f>
        <v>-0</v>
      </c>
      <c r="AQ114" s="49" t="n">
        <f aca="false">-MIN(AQ112,In_Loss_Cap*MAX(0,AQ111))</f>
        <v>-0</v>
      </c>
      <c r="AR114" s="49" t="n">
        <f aca="false">-MIN(AR112,In_Loss_Cap*MAX(0,AR111))</f>
        <v>-0</v>
      </c>
      <c r="AS114" s="49" t="n">
        <f aca="false">-MIN(AS112,In_Loss_Cap*MAX(0,AS111))</f>
        <v>-0</v>
      </c>
      <c r="AT114" s="49" t="n">
        <f aca="false">-MIN(AT112,In_Loss_Cap*MAX(0,AT111))</f>
        <v>-0</v>
      </c>
      <c r="AU114" s="49" t="n">
        <f aca="false">-MIN(AU112,In_Loss_Cap*MAX(0,AU111))</f>
        <v>-0</v>
      </c>
      <c r="AV114" s="49" t="n">
        <f aca="false">-MIN(AV112,In_Loss_Cap*MAX(0,AV111))</f>
        <v>-0</v>
      </c>
      <c r="AW114" s="49" t="n">
        <f aca="false">-MIN(AW112,In_Loss_Cap*MAX(0,AW111))</f>
        <v>-0</v>
      </c>
      <c r="AX114" s="49" t="n">
        <f aca="false">-MIN(AX112,In_Loss_Cap*MAX(0,AX111))</f>
        <v>-0</v>
      </c>
      <c r="AY114" s="49" t="n">
        <f aca="false">-MIN(AY112,In_Loss_Cap*MAX(0,AY111))</f>
        <v>-0</v>
      </c>
      <c r="AZ114" s="49" t="n">
        <f aca="false">-MIN(AZ112,In_Loss_Cap*MAX(0,AZ111))</f>
        <v>-0</v>
      </c>
      <c r="BA114" s="49" t="n">
        <f aca="false">-MIN(BA112,In_Loss_Cap*MAX(0,BA111))</f>
        <v>-0</v>
      </c>
      <c r="BB114" s="49" t="n">
        <f aca="false">-MIN(BB112,In_Loss_Cap*MAX(0,BB111))</f>
        <v>-0</v>
      </c>
      <c r="BC114" s="49" t="n">
        <f aca="false">-MIN(BC112,In_Loss_Cap*MAX(0,BC111))</f>
        <v>-0</v>
      </c>
      <c r="BD114" s="49" t="n">
        <f aca="false">-MIN(BD112,In_Loss_Cap*MAX(0,BD111))</f>
        <v>-0</v>
      </c>
      <c r="BE114" s="49" t="n">
        <f aca="false">-MIN(BE112,In_Loss_Cap*MAX(0,BE111))</f>
        <v>-0</v>
      </c>
      <c r="BF114" s="49" t="n">
        <f aca="false">-MIN(BF112,In_Loss_Cap*MAX(0,BF111))</f>
        <v>-0</v>
      </c>
      <c r="BG114" s="49" t="n">
        <f aca="false">-MIN(BG112,In_Loss_Cap*MAX(0,BG111))</f>
        <v>-0</v>
      </c>
      <c r="BH114" s="49" t="n">
        <f aca="false">-MIN(BH112,In_Loss_Cap*MAX(0,BH111))</f>
        <v>-0</v>
      </c>
      <c r="BI114" s="49" t="n">
        <f aca="false">-MIN(BI112,In_Loss_Cap*MAX(0,BI111))</f>
        <v>-0</v>
      </c>
      <c r="BJ114" s="49" t="n">
        <f aca="false">-MIN(BJ112,In_Loss_Cap*MAX(0,BJ111))</f>
        <v>-0</v>
      </c>
      <c r="BK114" s="49" t="n">
        <f aca="false">-MIN(BK112,In_Loss_Cap*MAX(0,BK111))</f>
        <v>-0</v>
      </c>
      <c r="BL114" s="49" t="n">
        <f aca="false">-MIN(BL112,In_Loss_Cap*MAX(0,BL111))</f>
        <v>-0</v>
      </c>
      <c r="BM114" s="49" t="n">
        <f aca="false">-MIN(BM112,In_Loss_Cap*MAX(0,BM111))</f>
        <v>-0</v>
      </c>
      <c r="BN114" s="49" t="n">
        <f aca="false">-MIN(BN112,In_Loss_Cap*MAX(0,BN111))</f>
        <v>-0</v>
      </c>
      <c r="BO114" s="49" t="n">
        <f aca="false">-MIN(BO112,In_Loss_Cap*MAX(0,BO111))</f>
        <v>-0</v>
      </c>
      <c r="BP114" s="49" t="n">
        <f aca="false">-MIN(BP112,In_Loss_Cap*MAX(0,BP111))</f>
        <v>-0</v>
      </c>
      <c r="BQ114" s="49" t="n">
        <f aca="false">-MIN(BQ112,In_Loss_Cap*MAX(0,BQ111))</f>
        <v>-0</v>
      </c>
      <c r="BR114" s="49" t="n">
        <f aca="false">-MIN(BR112,In_Loss_Cap*MAX(0,BR111))</f>
        <v>-0</v>
      </c>
      <c r="BS114" s="49" t="n">
        <f aca="false">-MIN(BS112,In_Loss_Cap*MAX(0,BS111))</f>
        <v>-0</v>
      </c>
      <c r="BT114" s="49" t="n">
        <f aca="false">-MIN(BT112,In_Loss_Cap*MAX(0,BT111))</f>
        <v>-0</v>
      </c>
      <c r="BU114" s="49" t="n">
        <f aca="false">-MIN(BU112,In_Loss_Cap*MAX(0,BU111))</f>
        <v>-0</v>
      </c>
      <c r="BV114" s="49" t="n">
        <f aca="false">-MIN(BV112,In_Loss_Cap*MAX(0,BV111))</f>
        <v>-0</v>
      </c>
      <c r="BW114" s="49" t="n">
        <f aca="false">-MIN(BW112,In_Loss_Cap*MAX(0,BW111))</f>
        <v>-0</v>
      </c>
      <c r="BX114" s="49" t="n">
        <f aca="false">-MIN(BX112,In_Loss_Cap*MAX(0,BX111))</f>
        <v>-0</v>
      </c>
      <c r="BY114" s="49" t="n">
        <f aca="false">-MIN(BY112,In_Loss_Cap*MAX(0,BY111))</f>
        <v>-0</v>
      </c>
      <c r="BZ114" s="49" t="n">
        <f aca="false">-MIN(BZ112,In_Loss_Cap*MAX(0,BZ111))</f>
        <v>-0</v>
      </c>
      <c r="CA114" s="49" t="n">
        <f aca="false">-MIN(CA112,In_Loss_Cap*MAX(0,CA111))</f>
        <v>-0</v>
      </c>
      <c r="CB114" s="49" t="n">
        <f aca="false">-MIN(CB112,In_Loss_Cap*MAX(0,CB111))</f>
        <v>-0</v>
      </c>
      <c r="CC114" s="49" t="n">
        <f aca="false">-MIN(CC112,In_Loss_Cap*MAX(0,CC111))</f>
        <v>-0</v>
      </c>
      <c r="CD114" s="49" t="n">
        <f aca="false">-MIN(CD112,In_Loss_Cap*MAX(0,CD111))</f>
        <v>-0</v>
      </c>
      <c r="CE114" s="49" t="n">
        <f aca="false">-MIN(CE112,In_Loss_Cap*MAX(0,CE111))</f>
        <v>-0</v>
      </c>
      <c r="CF114" s="49" t="n">
        <f aca="false">-MIN(CF112,In_Loss_Cap*MAX(0,CF111))</f>
        <v>-0</v>
      </c>
      <c r="CG114" s="49" t="n">
        <f aca="false">-MIN(CG112,In_Loss_Cap*MAX(0,CG111))</f>
        <v>-0</v>
      </c>
      <c r="CH114" s="49" t="n">
        <f aca="false">-MIN(CH112,In_Loss_Cap*MAX(0,CH111))</f>
        <v>-0</v>
      </c>
      <c r="CI114" s="49" t="n">
        <f aca="false">-MIN(CI112,In_Loss_Cap*MAX(0,CI111))</f>
        <v>-0</v>
      </c>
      <c r="CJ114" s="49" t="n">
        <f aca="false">-MIN(CJ112,In_Loss_Cap*MAX(0,CJ111))</f>
        <v>-0</v>
      </c>
      <c r="CK114" s="49" t="n">
        <f aca="false">-MIN(CK112,In_Loss_Cap*MAX(0,CK111))</f>
        <v>-0</v>
      </c>
      <c r="CL114" s="49" t="n">
        <f aca="false">-MIN(CL112,In_Loss_Cap*MAX(0,CL111))</f>
        <v>-0</v>
      </c>
      <c r="CM114" s="49" t="n">
        <f aca="false">-MIN(CM112,In_Loss_Cap*MAX(0,CM111))</f>
        <v>-0</v>
      </c>
      <c r="CN114" s="49" t="n">
        <f aca="false">-MIN(CN112,In_Loss_Cap*MAX(0,CN111))</f>
        <v>-0</v>
      </c>
      <c r="CO114" s="49" t="n">
        <f aca="false">-MIN(CO112,In_Loss_Cap*MAX(0,CO111))</f>
        <v>-0</v>
      </c>
      <c r="CP114" s="49" t="n">
        <f aca="false">-MIN(CP112,In_Loss_Cap*MAX(0,CP111))</f>
        <v>-0</v>
      </c>
      <c r="CQ114" s="49" t="n">
        <f aca="false">-MIN(CQ112,In_Loss_Cap*MAX(0,CQ111))</f>
        <v>-0</v>
      </c>
      <c r="CR114" s="49" t="n">
        <f aca="false">-MIN(CR112,In_Loss_Cap*MAX(0,CR111))</f>
        <v>-0</v>
      </c>
      <c r="CS114" s="49" t="n">
        <f aca="false">-MIN(CS112,In_Loss_Cap*MAX(0,CS111))</f>
        <v>-0</v>
      </c>
      <c r="CT114" s="49" t="n">
        <f aca="false">-MIN(CT112,In_Loss_Cap*MAX(0,CT111))</f>
        <v>-0</v>
      </c>
      <c r="CU114" s="49" t="n">
        <f aca="false">-MIN(CU112,In_Loss_Cap*MAX(0,CU111))</f>
        <v>-0</v>
      </c>
      <c r="CV114" s="49" t="n">
        <f aca="false">-MIN(CV112,In_Loss_Cap*MAX(0,CV111))</f>
        <v>-0</v>
      </c>
      <c r="CW114" s="49" t="n">
        <f aca="false">-MIN(CW112,In_Loss_Cap*MAX(0,CW111))</f>
        <v>-0</v>
      </c>
      <c r="CX114" s="49" t="n">
        <f aca="false">-MIN(CX112,In_Loss_Cap*MAX(0,CX111))</f>
        <v>-0</v>
      </c>
      <c r="CY114" s="49" t="n">
        <f aca="false">-MIN(CY112,In_Loss_Cap*MAX(0,CY111))</f>
        <v>-0</v>
      </c>
      <c r="CZ114" s="49" t="n">
        <f aca="false">-MIN(CZ112,In_Loss_Cap*MAX(0,CZ111))</f>
        <v>-0</v>
      </c>
      <c r="DA114" s="49" t="n">
        <f aca="false">-MIN(DA112,In_Loss_Cap*MAX(0,DA111))</f>
        <v>-0</v>
      </c>
      <c r="DB114" s="49" t="n">
        <f aca="false">-MIN(DB112,In_Loss_Cap*MAX(0,DB111))</f>
        <v>-0</v>
      </c>
      <c r="DC114" s="49" t="n">
        <f aca="false">-MIN(DC112,In_Loss_Cap*MAX(0,DC111))</f>
        <v>-0</v>
      </c>
      <c r="DD114" s="49" t="n">
        <f aca="false">-MIN(DD112,In_Loss_Cap*MAX(0,DD111))</f>
        <v>-0</v>
      </c>
      <c r="DE114" s="49" t="n">
        <f aca="false">-MIN(DE112,In_Loss_Cap*MAX(0,DE111))</f>
        <v>-0</v>
      </c>
      <c r="DF114" s="49" t="n">
        <f aca="false">-MIN(DF112,In_Loss_Cap*MAX(0,DF111))</f>
        <v>-0</v>
      </c>
      <c r="DG114" s="49" t="n">
        <f aca="false">-MIN(DG112,In_Loss_Cap*MAX(0,DG111))</f>
        <v>-0</v>
      </c>
      <c r="DH114" s="49" t="n">
        <f aca="false">-MIN(DH112,In_Loss_Cap*MAX(0,DH111))</f>
        <v>-0</v>
      </c>
      <c r="DI114" s="49" t="n">
        <f aca="false">-MIN(DI112,In_Loss_Cap*MAX(0,DI111))</f>
        <v>-0</v>
      </c>
      <c r="DJ114" s="49" t="n">
        <f aca="false">-MIN(DJ112,In_Loss_Cap*MAX(0,DJ111))</f>
        <v>-0</v>
      </c>
      <c r="DK114" s="49" t="n">
        <f aca="false">-MIN(DK112,In_Loss_Cap*MAX(0,DK111))</f>
        <v>-0</v>
      </c>
      <c r="DL114" s="49" t="n">
        <f aca="false">-MIN(DL112,In_Loss_Cap*MAX(0,DL111))</f>
        <v>-0</v>
      </c>
      <c r="DM114" s="49" t="n">
        <f aca="false">-MIN(DM112,In_Loss_Cap*MAX(0,DM111))</f>
        <v>-0</v>
      </c>
      <c r="DN114" s="49" t="n">
        <f aca="false">-MIN(DN112,In_Loss_Cap*MAX(0,DN111))</f>
        <v>-0</v>
      </c>
      <c r="DO114" s="49" t="n">
        <f aca="false">-MIN(DO112,In_Loss_Cap*MAX(0,DO111))</f>
        <v>-0</v>
      </c>
      <c r="DP114" s="49" t="n">
        <f aca="false">-MIN(DP112,In_Loss_Cap*MAX(0,DP111))</f>
        <v>-0</v>
      </c>
      <c r="DQ114" s="49" t="n">
        <f aca="false">-MIN(DQ112,In_Loss_Cap*MAX(0,DQ111))</f>
        <v>-0</v>
      </c>
      <c r="DR114" s="49" t="n">
        <f aca="false">-MIN(DR112,In_Loss_Cap*MAX(0,DR111))</f>
        <v>-0</v>
      </c>
      <c r="DS114" s="49" t="n">
        <f aca="false">-MIN(DS112,In_Loss_Cap*MAX(0,DS111))</f>
        <v>-0</v>
      </c>
      <c r="DT114" s="49" t="n">
        <f aca="false">-MIN(DT112,In_Loss_Cap*MAX(0,DT111))</f>
        <v>-0</v>
      </c>
      <c r="DU114" s="49" t="n">
        <f aca="false">-MIN(DU112,In_Loss_Cap*MAX(0,DU111))</f>
        <v>-0</v>
      </c>
      <c r="DV114" s="49" t="n">
        <f aca="false">-MIN(DV112,In_Loss_Cap*MAX(0,DV111))</f>
        <v>-0</v>
      </c>
      <c r="DW114" s="49" t="n">
        <f aca="false">-MIN(DW112,In_Loss_Cap*MAX(0,DW111))</f>
        <v>-0</v>
      </c>
      <c r="DX114" s="49" t="n">
        <f aca="false">-MIN(DX112,In_Loss_Cap*MAX(0,DX111))</f>
        <v>-0</v>
      </c>
      <c r="DY114" s="49" t="n">
        <f aca="false">-MIN(DY112,In_Loss_Cap*MAX(0,DY111))</f>
        <v>-0</v>
      </c>
      <c r="DZ114" s="49" t="n">
        <f aca="false">-MIN(DZ112,In_Loss_Cap*MAX(0,DZ111))</f>
        <v>-0</v>
      </c>
      <c r="EA114" s="49" t="n">
        <f aca="false">-MIN(EA112,In_Loss_Cap*MAX(0,EA111))</f>
        <v>-0</v>
      </c>
      <c r="EB114" s="49" t="n">
        <f aca="false">-MIN(EB112,In_Loss_Cap*MAX(0,EB111))</f>
        <v>-0</v>
      </c>
      <c r="EC114" s="49" t="n">
        <f aca="false">-MIN(EC112,In_Loss_Cap*MAX(0,EC111))</f>
        <v>-0</v>
      </c>
      <c r="ED114" s="49" t="n">
        <f aca="false">-MIN(ED112,In_Loss_Cap*MAX(0,ED111))</f>
        <v>-0</v>
      </c>
      <c r="EE114" s="49" t="n">
        <f aca="false">-MIN(EE112,In_Loss_Cap*MAX(0,EE111))</f>
        <v>-0</v>
      </c>
      <c r="EF114" s="49" t="n">
        <f aca="false">-MIN(EF112,In_Loss_Cap*MAX(0,EF111))</f>
        <v>-0</v>
      </c>
      <c r="EG114" s="49" t="n">
        <f aca="false">-MIN(EG112,In_Loss_Cap*MAX(0,EG111))</f>
        <v>-0</v>
      </c>
      <c r="EH114" s="49" t="n">
        <f aca="false">-MIN(EH112,In_Loss_Cap*MAX(0,EH111))</f>
        <v>-0</v>
      </c>
      <c r="EI114" s="49" t="n">
        <f aca="false">-MIN(EI112,In_Loss_Cap*MAX(0,EI111))</f>
        <v>-0</v>
      </c>
      <c r="EJ114" s="49" t="n">
        <f aca="false">-MIN(EJ112,In_Loss_Cap*MAX(0,EJ111))</f>
        <v>-0</v>
      </c>
      <c r="EK114" s="49" t="n">
        <f aca="false">-MIN(EK112,In_Loss_Cap*MAX(0,EK111))</f>
        <v>-0</v>
      </c>
      <c r="EL114" s="49" t="n">
        <f aca="false">-MIN(EL112,In_Loss_Cap*MAX(0,EL111))</f>
        <v>-0</v>
      </c>
      <c r="EM114" s="49" t="n">
        <f aca="false">-MIN(EM112,In_Loss_Cap*MAX(0,EM111))</f>
        <v>-0</v>
      </c>
      <c r="EN114" s="49" t="n">
        <f aca="false">-MIN(EN112,In_Loss_Cap*MAX(0,EN111))</f>
        <v>-0</v>
      </c>
      <c r="EO114" s="49" t="n">
        <f aca="false">-MIN(EO112,In_Loss_Cap*MAX(0,EO111))</f>
        <v>-0</v>
      </c>
    </row>
    <row r="115" customFormat="false" ht="15" hidden="false" customHeight="false" outlineLevel="0" collapsed="false">
      <c r="C115" s="1" t="s">
        <v>502</v>
      </c>
      <c r="D115" s="12" t="s">
        <v>33</v>
      </c>
      <c r="E115" s="47" t="n">
        <f aca="false">EDATE(In_NTP,In_Loss_Years*Months_In_Year)</f>
        <v>48852</v>
      </c>
      <c r="I115" s="49" t="n">
        <f aca="false">SUM(J115:EO115)</f>
        <v>0</v>
      </c>
      <c r="J115" s="49" t="n">
        <f aca="false">-(J112+J113+J114)*N(AND(J$3&lt;=$E115,J$4&gt;=$E115))</f>
        <v>-0</v>
      </c>
      <c r="K115" s="49" t="n">
        <f aca="false">-(K112+K113+K114)*N(AND(K$3&lt;=$E115,K$4&gt;=$E115))</f>
        <v>-0</v>
      </c>
      <c r="L115" s="49" t="n">
        <f aca="false">-(L112+L113+L114)*N(AND(L$3&lt;=$E115,L$4&gt;=$E115))</f>
        <v>-0</v>
      </c>
      <c r="M115" s="49" t="n">
        <f aca="false">-(M112+M113+M114)*N(AND(M$3&lt;=$E115,M$4&gt;=$E115))</f>
        <v>-0</v>
      </c>
      <c r="N115" s="49" t="n">
        <f aca="false">-(N112+N113+N114)*N(AND(N$3&lt;=$E115,N$4&gt;=$E115))</f>
        <v>-0</v>
      </c>
      <c r="O115" s="49" t="n">
        <f aca="false">-(O112+O113+O114)*N(AND(O$3&lt;=$E115,O$4&gt;=$E115))</f>
        <v>-0</v>
      </c>
      <c r="P115" s="49" t="n">
        <f aca="false">-(P112+P113+P114)*N(AND(P$3&lt;=$E115,P$4&gt;=$E115))</f>
        <v>-0</v>
      </c>
      <c r="Q115" s="49" t="n">
        <f aca="false">-(Q112+Q113+Q114)*N(AND(Q$3&lt;=$E115,Q$4&gt;=$E115))</f>
        <v>-0</v>
      </c>
      <c r="R115" s="49" t="n">
        <f aca="false">-(R112+R113+R114)*N(AND(R$3&lt;=$E115,R$4&gt;=$E115))</f>
        <v>-0</v>
      </c>
      <c r="S115" s="49" t="n">
        <f aca="false">-(S112+S113+S114)*N(AND(S$3&lt;=$E115,S$4&gt;=$E115))</f>
        <v>-0</v>
      </c>
      <c r="T115" s="49" t="n">
        <f aca="false">-(T112+T113+T114)*N(AND(T$3&lt;=$E115,T$4&gt;=$E115))</f>
        <v>-0</v>
      </c>
      <c r="U115" s="49" t="n">
        <f aca="false">-(U112+U113+U114)*N(AND(U$3&lt;=$E115,U$4&gt;=$E115))</f>
        <v>-0</v>
      </c>
      <c r="V115" s="49" t="n">
        <f aca="false">-(V112+V113+V114)*N(AND(V$3&lt;=$E115,V$4&gt;=$E115))</f>
        <v>-0</v>
      </c>
      <c r="W115" s="49" t="n">
        <f aca="false">-(W112+W113+W114)*N(AND(W$3&lt;=$E115,W$4&gt;=$E115))</f>
        <v>-0</v>
      </c>
      <c r="X115" s="49" t="n">
        <f aca="false">-(X112+X113+X114)*N(AND(X$3&lt;=$E115,X$4&gt;=$E115))</f>
        <v>-0</v>
      </c>
      <c r="Y115" s="49" t="n">
        <f aca="false">-(Y112+Y113+Y114)*N(AND(Y$3&lt;=$E115,Y$4&gt;=$E115))</f>
        <v>-0</v>
      </c>
      <c r="Z115" s="49" t="n">
        <f aca="false">-(Z112+Z113+Z114)*N(AND(Z$3&lt;=$E115,Z$4&gt;=$E115))</f>
        <v>-0</v>
      </c>
      <c r="AA115" s="49" t="n">
        <f aca="false">-(AA112+AA113+AA114)*N(AND(AA$3&lt;=$E115,AA$4&gt;=$E115))</f>
        <v>-0</v>
      </c>
      <c r="AB115" s="49" t="n">
        <f aca="false">-(AB112+AB113+AB114)*N(AND(AB$3&lt;=$E115,AB$4&gt;=$E115))</f>
        <v>-0</v>
      </c>
      <c r="AC115" s="49" t="n">
        <f aca="false">-(AC112+AC113+AC114)*N(AND(AC$3&lt;=$E115,AC$4&gt;=$E115))</f>
        <v>-0</v>
      </c>
      <c r="AD115" s="49" t="n">
        <f aca="false">-(AD112+AD113+AD114)*N(AND(AD$3&lt;=$E115,AD$4&gt;=$E115))</f>
        <v>-0</v>
      </c>
      <c r="AE115" s="49" t="n">
        <f aca="false">-(AE112+AE113+AE114)*N(AND(AE$3&lt;=$E115,AE$4&gt;=$E115))</f>
        <v>-0</v>
      </c>
      <c r="AF115" s="49" t="n">
        <f aca="false">-(AF112+AF113+AF114)*N(AND(AF$3&lt;=$E115,AF$4&gt;=$E115))</f>
        <v>-0</v>
      </c>
      <c r="AG115" s="49" t="n">
        <f aca="false">-(AG112+AG113+AG114)*N(AND(AG$3&lt;=$E115,AG$4&gt;=$E115))</f>
        <v>-0</v>
      </c>
      <c r="AH115" s="49" t="n">
        <f aca="false">-(AH112+AH113+AH114)*N(AND(AH$3&lt;=$E115,AH$4&gt;=$E115))</f>
        <v>-0</v>
      </c>
      <c r="AI115" s="49" t="n">
        <f aca="false">-(AI112+AI113+AI114)*N(AND(AI$3&lt;=$E115,AI$4&gt;=$E115))</f>
        <v>-0</v>
      </c>
      <c r="AJ115" s="49" t="n">
        <f aca="false">-(AJ112+AJ113+AJ114)*N(AND(AJ$3&lt;=$E115,AJ$4&gt;=$E115))</f>
        <v>-0</v>
      </c>
      <c r="AK115" s="49" t="n">
        <f aca="false">-(AK112+AK113+AK114)*N(AND(AK$3&lt;=$E115,AK$4&gt;=$E115))</f>
        <v>-0</v>
      </c>
      <c r="AL115" s="49" t="n">
        <f aca="false">-(AL112+AL113+AL114)*N(AND(AL$3&lt;=$E115,AL$4&gt;=$E115))</f>
        <v>-0</v>
      </c>
      <c r="AM115" s="49" t="n">
        <f aca="false">-(AM112+AM113+AM114)*N(AND(AM$3&lt;=$E115,AM$4&gt;=$E115))</f>
        <v>-0</v>
      </c>
      <c r="AN115" s="49" t="n">
        <f aca="false">-(AN112+AN113+AN114)*N(AND(AN$3&lt;=$E115,AN$4&gt;=$E115))</f>
        <v>-0</v>
      </c>
      <c r="AO115" s="49" t="n">
        <f aca="false">-(AO112+AO113+AO114)*N(AND(AO$3&lt;=$E115,AO$4&gt;=$E115))</f>
        <v>-0</v>
      </c>
      <c r="AP115" s="49" t="n">
        <f aca="false">-(AP112+AP113+AP114)*N(AND(AP$3&lt;=$E115,AP$4&gt;=$E115))</f>
        <v>-0</v>
      </c>
      <c r="AQ115" s="49" t="n">
        <f aca="false">-(AQ112+AQ113+AQ114)*N(AND(AQ$3&lt;=$E115,AQ$4&gt;=$E115))</f>
        <v>-0</v>
      </c>
      <c r="AR115" s="49" t="n">
        <f aca="false">-(AR112+AR113+AR114)*N(AND(AR$3&lt;=$E115,AR$4&gt;=$E115))</f>
        <v>-0</v>
      </c>
      <c r="AS115" s="49" t="n">
        <f aca="false">-(AS112+AS113+AS114)*N(AND(AS$3&lt;=$E115,AS$4&gt;=$E115))</f>
        <v>-0</v>
      </c>
      <c r="AT115" s="49" t="n">
        <f aca="false">-(AT112+AT113+AT114)*N(AND(AT$3&lt;=$E115,AT$4&gt;=$E115))</f>
        <v>-0</v>
      </c>
      <c r="AU115" s="49" t="n">
        <f aca="false">-(AU112+AU113+AU114)*N(AND(AU$3&lt;=$E115,AU$4&gt;=$E115))</f>
        <v>-0</v>
      </c>
      <c r="AV115" s="49" t="n">
        <f aca="false">-(AV112+AV113+AV114)*N(AND(AV$3&lt;=$E115,AV$4&gt;=$E115))</f>
        <v>-0</v>
      </c>
      <c r="AW115" s="49" t="n">
        <f aca="false">-(AW112+AW113+AW114)*N(AND(AW$3&lt;=$E115,AW$4&gt;=$E115))</f>
        <v>-0</v>
      </c>
      <c r="AX115" s="49" t="n">
        <f aca="false">-(AX112+AX113+AX114)*N(AND(AX$3&lt;=$E115,AX$4&gt;=$E115))</f>
        <v>-0</v>
      </c>
      <c r="AY115" s="49" t="n">
        <f aca="false">-(AY112+AY113+AY114)*N(AND(AY$3&lt;=$E115,AY$4&gt;=$E115))</f>
        <v>-0</v>
      </c>
      <c r="AZ115" s="49" t="n">
        <f aca="false">-(AZ112+AZ113+AZ114)*N(AND(AZ$3&lt;=$E115,AZ$4&gt;=$E115))</f>
        <v>-0</v>
      </c>
      <c r="BA115" s="49" t="n">
        <f aca="false">-(BA112+BA113+BA114)*N(AND(BA$3&lt;=$E115,BA$4&gt;=$E115))</f>
        <v>-0</v>
      </c>
      <c r="BB115" s="49" t="n">
        <f aca="false">-(BB112+BB113+BB114)*N(AND(BB$3&lt;=$E115,BB$4&gt;=$E115))</f>
        <v>-0</v>
      </c>
      <c r="BC115" s="49" t="n">
        <f aca="false">-(BC112+BC113+BC114)*N(AND(BC$3&lt;=$E115,BC$4&gt;=$E115))</f>
        <v>-0</v>
      </c>
      <c r="BD115" s="49" t="n">
        <f aca="false">-(BD112+BD113+BD114)*N(AND(BD$3&lt;=$E115,BD$4&gt;=$E115))</f>
        <v>-0</v>
      </c>
      <c r="BE115" s="49" t="n">
        <f aca="false">-(BE112+BE113+BE114)*N(AND(BE$3&lt;=$E115,BE$4&gt;=$E115))</f>
        <v>-0</v>
      </c>
      <c r="BF115" s="49" t="n">
        <f aca="false">-(BF112+BF113+BF114)*N(AND(BF$3&lt;=$E115,BF$4&gt;=$E115))</f>
        <v>-0</v>
      </c>
      <c r="BG115" s="49" t="n">
        <f aca="false">-(BG112+BG113+BG114)*N(AND(BG$3&lt;=$E115,BG$4&gt;=$E115))</f>
        <v>-0</v>
      </c>
      <c r="BH115" s="49" t="n">
        <f aca="false">-(BH112+BH113+BH114)*N(AND(BH$3&lt;=$E115,BH$4&gt;=$E115))</f>
        <v>-0</v>
      </c>
      <c r="BI115" s="49" t="n">
        <f aca="false">-(BI112+BI113+BI114)*N(AND(BI$3&lt;=$E115,BI$4&gt;=$E115))</f>
        <v>-0</v>
      </c>
      <c r="BJ115" s="49" t="n">
        <f aca="false">-(BJ112+BJ113+BJ114)*N(AND(BJ$3&lt;=$E115,BJ$4&gt;=$E115))</f>
        <v>-0</v>
      </c>
      <c r="BK115" s="49" t="n">
        <f aca="false">-(BK112+BK113+BK114)*N(AND(BK$3&lt;=$E115,BK$4&gt;=$E115))</f>
        <v>-0</v>
      </c>
      <c r="BL115" s="49" t="n">
        <f aca="false">-(BL112+BL113+BL114)*N(AND(BL$3&lt;=$E115,BL$4&gt;=$E115))</f>
        <v>-0</v>
      </c>
      <c r="BM115" s="49" t="n">
        <f aca="false">-(BM112+BM113+BM114)*N(AND(BM$3&lt;=$E115,BM$4&gt;=$E115))</f>
        <v>-0</v>
      </c>
      <c r="BN115" s="49" t="n">
        <f aca="false">-(BN112+BN113+BN114)*N(AND(BN$3&lt;=$E115,BN$4&gt;=$E115))</f>
        <v>-0</v>
      </c>
      <c r="BO115" s="49" t="n">
        <f aca="false">-(BO112+BO113+BO114)*N(AND(BO$3&lt;=$E115,BO$4&gt;=$E115))</f>
        <v>-0</v>
      </c>
      <c r="BP115" s="49" t="n">
        <f aca="false">-(BP112+BP113+BP114)*N(AND(BP$3&lt;=$E115,BP$4&gt;=$E115))</f>
        <v>-0</v>
      </c>
      <c r="BQ115" s="49" t="n">
        <f aca="false">-(BQ112+BQ113+BQ114)*N(AND(BQ$3&lt;=$E115,BQ$4&gt;=$E115))</f>
        <v>-0</v>
      </c>
      <c r="BR115" s="49" t="n">
        <f aca="false">-(BR112+BR113+BR114)*N(AND(BR$3&lt;=$E115,BR$4&gt;=$E115))</f>
        <v>-0</v>
      </c>
      <c r="BS115" s="49" t="n">
        <f aca="false">-(BS112+BS113+BS114)*N(AND(BS$3&lt;=$E115,BS$4&gt;=$E115))</f>
        <v>-0</v>
      </c>
      <c r="BT115" s="49" t="n">
        <f aca="false">-(BT112+BT113+BT114)*N(AND(BT$3&lt;=$E115,BT$4&gt;=$E115))</f>
        <v>-0</v>
      </c>
      <c r="BU115" s="49" t="n">
        <f aca="false">-(BU112+BU113+BU114)*N(AND(BU$3&lt;=$E115,BU$4&gt;=$E115))</f>
        <v>-0</v>
      </c>
      <c r="BV115" s="49" t="n">
        <f aca="false">-(BV112+BV113+BV114)*N(AND(BV$3&lt;=$E115,BV$4&gt;=$E115))</f>
        <v>-0</v>
      </c>
      <c r="BW115" s="49" t="n">
        <f aca="false">-(BW112+BW113+BW114)*N(AND(BW$3&lt;=$E115,BW$4&gt;=$E115))</f>
        <v>-0</v>
      </c>
      <c r="BX115" s="49" t="n">
        <f aca="false">-(BX112+BX113+BX114)*N(AND(BX$3&lt;=$E115,BX$4&gt;=$E115))</f>
        <v>-0</v>
      </c>
      <c r="BY115" s="49" t="n">
        <f aca="false">-(BY112+BY113+BY114)*N(AND(BY$3&lt;=$E115,BY$4&gt;=$E115))</f>
        <v>-0</v>
      </c>
      <c r="BZ115" s="49" t="n">
        <f aca="false">-(BZ112+BZ113+BZ114)*N(AND(BZ$3&lt;=$E115,BZ$4&gt;=$E115))</f>
        <v>-0</v>
      </c>
      <c r="CA115" s="49" t="n">
        <f aca="false">-(CA112+CA113+CA114)*N(AND(CA$3&lt;=$E115,CA$4&gt;=$E115))</f>
        <v>-0</v>
      </c>
      <c r="CB115" s="49" t="n">
        <f aca="false">-(CB112+CB113+CB114)*N(AND(CB$3&lt;=$E115,CB$4&gt;=$E115))</f>
        <v>-0</v>
      </c>
      <c r="CC115" s="49" t="n">
        <f aca="false">-(CC112+CC113+CC114)*N(AND(CC$3&lt;=$E115,CC$4&gt;=$E115))</f>
        <v>-0</v>
      </c>
      <c r="CD115" s="49" t="n">
        <f aca="false">-(CD112+CD113+CD114)*N(AND(CD$3&lt;=$E115,CD$4&gt;=$E115))</f>
        <v>-0</v>
      </c>
      <c r="CE115" s="49" t="n">
        <f aca="false">-(CE112+CE113+CE114)*N(AND(CE$3&lt;=$E115,CE$4&gt;=$E115))</f>
        <v>-0</v>
      </c>
      <c r="CF115" s="49" t="n">
        <f aca="false">-(CF112+CF113+CF114)*N(AND(CF$3&lt;=$E115,CF$4&gt;=$E115))</f>
        <v>-0</v>
      </c>
      <c r="CG115" s="49" t="n">
        <f aca="false">-(CG112+CG113+CG114)*N(AND(CG$3&lt;=$E115,CG$4&gt;=$E115))</f>
        <v>-0</v>
      </c>
      <c r="CH115" s="49" t="n">
        <f aca="false">-(CH112+CH113+CH114)*N(AND(CH$3&lt;=$E115,CH$4&gt;=$E115))</f>
        <v>-0</v>
      </c>
      <c r="CI115" s="49" t="n">
        <f aca="false">-(CI112+CI113+CI114)*N(AND(CI$3&lt;=$E115,CI$4&gt;=$E115))</f>
        <v>-0</v>
      </c>
      <c r="CJ115" s="49" t="n">
        <f aca="false">-(CJ112+CJ113+CJ114)*N(AND(CJ$3&lt;=$E115,CJ$4&gt;=$E115))</f>
        <v>-0</v>
      </c>
      <c r="CK115" s="49" t="n">
        <f aca="false">-(CK112+CK113+CK114)*N(AND(CK$3&lt;=$E115,CK$4&gt;=$E115))</f>
        <v>-0</v>
      </c>
      <c r="CL115" s="49" t="n">
        <f aca="false">-(CL112+CL113+CL114)*N(AND(CL$3&lt;=$E115,CL$4&gt;=$E115))</f>
        <v>-0</v>
      </c>
      <c r="CM115" s="49" t="n">
        <f aca="false">-(CM112+CM113+CM114)*N(AND(CM$3&lt;=$E115,CM$4&gt;=$E115))</f>
        <v>-0</v>
      </c>
      <c r="CN115" s="49" t="n">
        <f aca="false">-(CN112+CN113+CN114)*N(AND(CN$3&lt;=$E115,CN$4&gt;=$E115))</f>
        <v>-0</v>
      </c>
      <c r="CO115" s="49" t="n">
        <f aca="false">-(CO112+CO113+CO114)*N(AND(CO$3&lt;=$E115,CO$4&gt;=$E115))</f>
        <v>-0</v>
      </c>
      <c r="CP115" s="49" t="n">
        <f aca="false">-(CP112+CP113+CP114)*N(AND(CP$3&lt;=$E115,CP$4&gt;=$E115))</f>
        <v>-0</v>
      </c>
      <c r="CQ115" s="49" t="n">
        <f aca="false">-(CQ112+CQ113+CQ114)*N(AND(CQ$3&lt;=$E115,CQ$4&gt;=$E115))</f>
        <v>-0</v>
      </c>
      <c r="CR115" s="49" t="n">
        <f aca="false">-(CR112+CR113+CR114)*N(AND(CR$3&lt;=$E115,CR$4&gt;=$E115))</f>
        <v>-0</v>
      </c>
      <c r="CS115" s="49" t="n">
        <f aca="false">-(CS112+CS113+CS114)*N(AND(CS$3&lt;=$E115,CS$4&gt;=$E115))</f>
        <v>-0</v>
      </c>
      <c r="CT115" s="49" t="n">
        <f aca="false">-(CT112+CT113+CT114)*N(AND(CT$3&lt;=$E115,CT$4&gt;=$E115))</f>
        <v>-0</v>
      </c>
      <c r="CU115" s="49" t="n">
        <f aca="false">-(CU112+CU113+CU114)*N(AND(CU$3&lt;=$E115,CU$4&gt;=$E115))</f>
        <v>-0</v>
      </c>
      <c r="CV115" s="49" t="n">
        <f aca="false">-(CV112+CV113+CV114)*N(AND(CV$3&lt;=$E115,CV$4&gt;=$E115))</f>
        <v>-0</v>
      </c>
      <c r="CW115" s="49" t="n">
        <f aca="false">-(CW112+CW113+CW114)*N(AND(CW$3&lt;=$E115,CW$4&gt;=$E115))</f>
        <v>-0</v>
      </c>
      <c r="CX115" s="49" t="n">
        <f aca="false">-(CX112+CX113+CX114)*N(AND(CX$3&lt;=$E115,CX$4&gt;=$E115))</f>
        <v>-0</v>
      </c>
      <c r="CY115" s="49" t="n">
        <f aca="false">-(CY112+CY113+CY114)*N(AND(CY$3&lt;=$E115,CY$4&gt;=$E115))</f>
        <v>-0</v>
      </c>
      <c r="CZ115" s="49" t="n">
        <f aca="false">-(CZ112+CZ113+CZ114)*N(AND(CZ$3&lt;=$E115,CZ$4&gt;=$E115))</f>
        <v>-0</v>
      </c>
      <c r="DA115" s="49" t="n">
        <f aca="false">-(DA112+DA113+DA114)*N(AND(DA$3&lt;=$E115,DA$4&gt;=$E115))</f>
        <v>-0</v>
      </c>
      <c r="DB115" s="49" t="n">
        <f aca="false">-(DB112+DB113+DB114)*N(AND(DB$3&lt;=$E115,DB$4&gt;=$E115))</f>
        <v>-0</v>
      </c>
      <c r="DC115" s="49" t="n">
        <f aca="false">-(DC112+DC113+DC114)*N(AND(DC$3&lt;=$E115,DC$4&gt;=$E115))</f>
        <v>-0</v>
      </c>
      <c r="DD115" s="49" t="n">
        <f aca="false">-(DD112+DD113+DD114)*N(AND(DD$3&lt;=$E115,DD$4&gt;=$E115))</f>
        <v>-0</v>
      </c>
      <c r="DE115" s="49" t="n">
        <f aca="false">-(DE112+DE113+DE114)*N(AND(DE$3&lt;=$E115,DE$4&gt;=$E115))</f>
        <v>-0</v>
      </c>
      <c r="DF115" s="49" t="n">
        <f aca="false">-(DF112+DF113+DF114)*N(AND(DF$3&lt;=$E115,DF$4&gt;=$E115))</f>
        <v>-0</v>
      </c>
      <c r="DG115" s="49" t="n">
        <f aca="false">-(DG112+DG113+DG114)*N(AND(DG$3&lt;=$E115,DG$4&gt;=$E115))</f>
        <v>-0</v>
      </c>
      <c r="DH115" s="49" t="n">
        <f aca="false">-(DH112+DH113+DH114)*N(AND(DH$3&lt;=$E115,DH$4&gt;=$E115))</f>
        <v>-0</v>
      </c>
      <c r="DI115" s="49" t="n">
        <f aca="false">-(DI112+DI113+DI114)*N(AND(DI$3&lt;=$E115,DI$4&gt;=$E115))</f>
        <v>-0</v>
      </c>
      <c r="DJ115" s="49" t="n">
        <f aca="false">-(DJ112+DJ113+DJ114)*N(AND(DJ$3&lt;=$E115,DJ$4&gt;=$E115))</f>
        <v>-0</v>
      </c>
      <c r="DK115" s="49" t="n">
        <f aca="false">-(DK112+DK113+DK114)*N(AND(DK$3&lt;=$E115,DK$4&gt;=$E115))</f>
        <v>-0</v>
      </c>
      <c r="DL115" s="49" t="n">
        <f aca="false">-(DL112+DL113+DL114)*N(AND(DL$3&lt;=$E115,DL$4&gt;=$E115))</f>
        <v>-0</v>
      </c>
      <c r="DM115" s="49" t="n">
        <f aca="false">-(DM112+DM113+DM114)*N(AND(DM$3&lt;=$E115,DM$4&gt;=$E115))</f>
        <v>-0</v>
      </c>
      <c r="DN115" s="49" t="n">
        <f aca="false">-(DN112+DN113+DN114)*N(AND(DN$3&lt;=$E115,DN$4&gt;=$E115))</f>
        <v>-0</v>
      </c>
      <c r="DO115" s="49" t="n">
        <f aca="false">-(DO112+DO113+DO114)*N(AND(DO$3&lt;=$E115,DO$4&gt;=$E115))</f>
        <v>-0</v>
      </c>
      <c r="DP115" s="49" t="n">
        <f aca="false">-(DP112+DP113+DP114)*N(AND(DP$3&lt;=$E115,DP$4&gt;=$E115))</f>
        <v>-0</v>
      </c>
      <c r="DQ115" s="49" t="n">
        <f aca="false">-(DQ112+DQ113+DQ114)*N(AND(DQ$3&lt;=$E115,DQ$4&gt;=$E115))</f>
        <v>-0</v>
      </c>
      <c r="DR115" s="49" t="n">
        <f aca="false">-(DR112+DR113+DR114)*N(AND(DR$3&lt;=$E115,DR$4&gt;=$E115))</f>
        <v>-0</v>
      </c>
      <c r="DS115" s="49" t="n">
        <f aca="false">-(DS112+DS113+DS114)*N(AND(DS$3&lt;=$E115,DS$4&gt;=$E115))</f>
        <v>-0</v>
      </c>
      <c r="DT115" s="49" t="n">
        <f aca="false">-(DT112+DT113+DT114)*N(AND(DT$3&lt;=$E115,DT$4&gt;=$E115))</f>
        <v>-0</v>
      </c>
      <c r="DU115" s="49" t="n">
        <f aca="false">-(DU112+DU113+DU114)*N(AND(DU$3&lt;=$E115,DU$4&gt;=$E115))</f>
        <v>-0</v>
      </c>
      <c r="DV115" s="49" t="n">
        <f aca="false">-(DV112+DV113+DV114)*N(AND(DV$3&lt;=$E115,DV$4&gt;=$E115))</f>
        <v>-0</v>
      </c>
      <c r="DW115" s="49" t="n">
        <f aca="false">-(DW112+DW113+DW114)*N(AND(DW$3&lt;=$E115,DW$4&gt;=$E115))</f>
        <v>-0</v>
      </c>
      <c r="DX115" s="49" t="n">
        <f aca="false">-(DX112+DX113+DX114)*N(AND(DX$3&lt;=$E115,DX$4&gt;=$E115))</f>
        <v>-0</v>
      </c>
      <c r="DY115" s="49" t="n">
        <f aca="false">-(DY112+DY113+DY114)*N(AND(DY$3&lt;=$E115,DY$4&gt;=$E115))</f>
        <v>-0</v>
      </c>
      <c r="DZ115" s="49" t="n">
        <f aca="false">-(DZ112+DZ113+DZ114)*N(AND(DZ$3&lt;=$E115,DZ$4&gt;=$E115))</f>
        <v>-0</v>
      </c>
      <c r="EA115" s="49" t="n">
        <f aca="false">-(EA112+EA113+EA114)*N(AND(EA$3&lt;=$E115,EA$4&gt;=$E115))</f>
        <v>-0</v>
      </c>
      <c r="EB115" s="49" t="n">
        <f aca="false">-(EB112+EB113+EB114)*N(AND(EB$3&lt;=$E115,EB$4&gt;=$E115))</f>
        <v>-0</v>
      </c>
      <c r="EC115" s="49" t="n">
        <f aca="false">-(EC112+EC113+EC114)*N(AND(EC$3&lt;=$E115,EC$4&gt;=$E115))</f>
        <v>-0</v>
      </c>
      <c r="ED115" s="49" t="n">
        <f aca="false">-(ED112+ED113+ED114)*N(AND(ED$3&lt;=$E115,ED$4&gt;=$E115))</f>
        <v>-0</v>
      </c>
      <c r="EE115" s="49" t="n">
        <f aca="false">-(EE112+EE113+EE114)*N(AND(EE$3&lt;=$E115,EE$4&gt;=$E115))</f>
        <v>-0</v>
      </c>
      <c r="EF115" s="49" t="n">
        <f aca="false">-(EF112+EF113+EF114)*N(AND(EF$3&lt;=$E115,EF$4&gt;=$E115))</f>
        <v>-0</v>
      </c>
      <c r="EG115" s="49" t="n">
        <f aca="false">-(EG112+EG113+EG114)*N(AND(EG$3&lt;=$E115,EG$4&gt;=$E115))</f>
        <v>-0</v>
      </c>
      <c r="EH115" s="49" t="n">
        <f aca="false">-(EH112+EH113+EH114)*N(AND(EH$3&lt;=$E115,EH$4&gt;=$E115))</f>
        <v>-0</v>
      </c>
      <c r="EI115" s="49" t="n">
        <f aca="false">-(EI112+EI113+EI114)*N(AND(EI$3&lt;=$E115,EI$4&gt;=$E115))</f>
        <v>-0</v>
      </c>
      <c r="EJ115" s="49" t="n">
        <f aca="false">-(EJ112+EJ113+EJ114)*N(AND(EJ$3&lt;=$E115,EJ$4&gt;=$E115))</f>
        <v>-0</v>
      </c>
      <c r="EK115" s="49" t="n">
        <f aca="false">-(EK112+EK113+EK114)*N(AND(EK$3&lt;=$E115,EK$4&gt;=$E115))</f>
        <v>-0</v>
      </c>
      <c r="EL115" s="49" t="n">
        <f aca="false">-(EL112+EL113+EL114)*N(AND(EL$3&lt;=$E115,EL$4&gt;=$E115))</f>
        <v>-0</v>
      </c>
      <c r="EM115" s="49" t="n">
        <f aca="false">-(EM112+EM113+EM114)*N(AND(EM$3&lt;=$E115,EM$4&gt;=$E115))</f>
        <v>-0</v>
      </c>
      <c r="EN115" s="49" t="n">
        <f aca="false">-(EN112+EN113+EN114)*N(AND(EN$3&lt;=$E115,EN$4&gt;=$E115))</f>
        <v>-0</v>
      </c>
      <c r="EO115" s="49" t="n">
        <f aca="false">-(EO112+EO113+EO114)*N(AND(EO$3&lt;=$E115,EO$4&gt;=$E115))</f>
        <v>-0</v>
      </c>
    </row>
    <row r="116" customFormat="false" ht="15" hidden="false" customHeight="false" outlineLevel="0" collapsed="false">
      <c r="C116" s="1" t="s">
        <v>503</v>
      </c>
      <c r="D116" s="12" t="s">
        <v>33</v>
      </c>
      <c r="I116" s="60"/>
      <c r="J116" s="49" t="n">
        <f aca="false">SUM(J112:J115)</f>
        <v>12.8099380746857</v>
      </c>
      <c r="K116" s="49" t="n">
        <f aca="false">SUM(K112:K115)</f>
        <v>32.4846237568024</v>
      </c>
      <c r="L116" s="49" t="n">
        <f aca="false">SUM(L112:L115)</f>
        <v>65.6401125914806</v>
      </c>
      <c r="M116" s="49" t="n">
        <f aca="false">SUM(M112:M115)</f>
        <v>99.1599474573091</v>
      </c>
      <c r="N116" s="49" t="n">
        <f aca="false">SUM(N112:N115)</f>
        <v>132.679782323138</v>
      </c>
      <c r="O116" s="49" t="n">
        <f aca="false">SUM(O112:O115)</f>
        <v>165.835271157816</v>
      </c>
      <c r="P116" s="49" t="n">
        <f aca="false">SUM(P112:P115)</f>
        <v>198.990759992494</v>
      </c>
      <c r="Q116" s="49" t="n">
        <f aca="false">SUM(Q112:Q115)</f>
        <v>232.510594858322</v>
      </c>
      <c r="R116" s="49" t="n">
        <f aca="false">SUM(R112:R115)</f>
        <v>1281.10700041605</v>
      </c>
      <c r="S116" s="49" t="n">
        <f aca="false">SUM(S112:S115)</f>
        <v>1449.15118196524</v>
      </c>
      <c r="T116" s="49" t="n">
        <f aca="false">SUM(T112:T115)</f>
        <v>1596.35208406707</v>
      </c>
      <c r="U116" s="49" t="n">
        <f aca="false">SUM(U112:U115)</f>
        <v>1733.68972534713</v>
      </c>
      <c r="V116" s="49" t="n">
        <f aca="false">SUM(V112:V115)</f>
        <v>1859.42035025319</v>
      </c>
      <c r="W116" s="49" t="n">
        <f aca="false">SUM(W112:W115)</f>
        <v>1972.1049419464</v>
      </c>
      <c r="X116" s="49" t="n">
        <f aca="false">SUM(X112:X115)</f>
        <v>2074.81031527007</v>
      </c>
      <c r="Y116" s="49" t="n">
        <f aca="false">SUM(Y112:Y115)</f>
        <v>2167.16346591726</v>
      </c>
      <c r="Z116" s="49" t="n">
        <f aca="false">SUM(Z112:Z115)</f>
        <v>1820.77617761863</v>
      </c>
      <c r="AA116" s="49" t="n">
        <f aca="false">SUM(AA112:AA115)</f>
        <v>1477.23766981312</v>
      </c>
      <c r="AB116" s="49" t="n">
        <f aca="false">SUM(AB112:AB115)</f>
        <v>1122.94689421412</v>
      </c>
      <c r="AC116" s="49" t="n">
        <f aca="false">SUM(AC112:AC115)</f>
        <v>757.859644791695</v>
      </c>
      <c r="AD116" s="49" t="n">
        <f aca="false">SUM(AD112:AD115)</f>
        <v>393.383979122073</v>
      </c>
      <c r="AE116" s="49" t="n">
        <f aca="false">SUM(AE112:AE115)</f>
        <v>24.4735784279761</v>
      </c>
      <c r="AF116" s="49" t="n">
        <f aca="false">SUM(AF112:AF115)</f>
        <v>0</v>
      </c>
      <c r="AG116" s="49" t="n">
        <f aca="false">SUM(AG112:AG115)</f>
        <v>0</v>
      </c>
      <c r="AH116" s="49" t="n">
        <f aca="false">SUM(AH112:AH115)</f>
        <v>0</v>
      </c>
      <c r="AI116" s="49" t="n">
        <f aca="false">SUM(AI112:AI115)</f>
        <v>0</v>
      </c>
      <c r="AJ116" s="49" t="n">
        <f aca="false">SUM(AJ112:AJ115)</f>
        <v>0</v>
      </c>
      <c r="AK116" s="49" t="n">
        <f aca="false">SUM(AK112:AK115)</f>
        <v>0</v>
      </c>
      <c r="AL116" s="49" t="n">
        <f aca="false">SUM(AL112:AL115)</f>
        <v>0</v>
      </c>
      <c r="AM116" s="49" t="n">
        <f aca="false">SUM(AM112:AM115)</f>
        <v>0</v>
      </c>
      <c r="AN116" s="49" t="n">
        <f aca="false">SUM(AN112:AN115)</f>
        <v>0</v>
      </c>
      <c r="AO116" s="49" t="n">
        <f aca="false">SUM(AO112:AO115)</f>
        <v>0</v>
      </c>
      <c r="AP116" s="49" t="n">
        <f aca="false">SUM(AP112:AP115)</f>
        <v>0</v>
      </c>
      <c r="AQ116" s="49" t="n">
        <f aca="false">SUM(AQ112:AQ115)</f>
        <v>0</v>
      </c>
      <c r="AR116" s="49" t="n">
        <f aca="false">SUM(AR112:AR115)</f>
        <v>0</v>
      </c>
      <c r="AS116" s="49" t="n">
        <f aca="false">SUM(AS112:AS115)</f>
        <v>0</v>
      </c>
      <c r="AT116" s="49" t="n">
        <f aca="false">SUM(AT112:AT115)</f>
        <v>0</v>
      </c>
      <c r="AU116" s="49" t="n">
        <f aca="false">SUM(AU112:AU115)</f>
        <v>0</v>
      </c>
      <c r="AV116" s="49" t="n">
        <f aca="false">SUM(AV112:AV115)</f>
        <v>0</v>
      </c>
      <c r="AW116" s="49" t="n">
        <f aca="false">SUM(AW112:AW115)</f>
        <v>0</v>
      </c>
      <c r="AX116" s="49" t="n">
        <f aca="false">SUM(AX112:AX115)</f>
        <v>0</v>
      </c>
      <c r="AY116" s="49" t="n">
        <f aca="false">SUM(AY112:AY115)</f>
        <v>0</v>
      </c>
      <c r="AZ116" s="49" t="n">
        <f aca="false">SUM(AZ112:AZ115)</f>
        <v>0</v>
      </c>
      <c r="BA116" s="49" t="n">
        <f aca="false">SUM(BA112:BA115)</f>
        <v>0</v>
      </c>
      <c r="BB116" s="49" t="n">
        <f aca="false">SUM(BB112:BB115)</f>
        <v>0</v>
      </c>
      <c r="BC116" s="49" t="n">
        <f aca="false">SUM(BC112:BC115)</f>
        <v>0</v>
      </c>
      <c r="BD116" s="49" t="n">
        <f aca="false">SUM(BD112:BD115)</f>
        <v>0</v>
      </c>
      <c r="BE116" s="49" t="n">
        <f aca="false">SUM(BE112:BE115)</f>
        <v>0</v>
      </c>
      <c r="BF116" s="49" t="n">
        <f aca="false">SUM(BF112:BF115)</f>
        <v>0</v>
      </c>
      <c r="BG116" s="49" t="n">
        <f aca="false">SUM(BG112:BG115)</f>
        <v>0</v>
      </c>
      <c r="BH116" s="49" t="n">
        <f aca="false">SUM(BH112:BH115)</f>
        <v>0</v>
      </c>
      <c r="BI116" s="49" t="n">
        <f aca="false">SUM(BI112:BI115)</f>
        <v>0</v>
      </c>
      <c r="BJ116" s="49" t="n">
        <f aca="false">SUM(BJ112:BJ115)</f>
        <v>0</v>
      </c>
      <c r="BK116" s="49" t="n">
        <f aca="false">SUM(BK112:BK115)</f>
        <v>0</v>
      </c>
      <c r="BL116" s="49" t="n">
        <f aca="false">SUM(BL112:BL115)</f>
        <v>0</v>
      </c>
      <c r="BM116" s="49" t="n">
        <f aca="false">SUM(BM112:BM115)</f>
        <v>0</v>
      </c>
      <c r="BN116" s="49" t="n">
        <f aca="false">SUM(BN112:BN115)</f>
        <v>0</v>
      </c>
      <c r="BO116" s="49" t="n">
        <f aca="false">SUM(BO112:BO115)</f>
        <v>0</v>
      </c>
      <c r="BP116" s="49" t="n">
        <f aca="false">SUM(BP112:BP115)</f>
        <v>0</v>
      </c>
      <c r="BQ116" s="49" t="n">
        <f aca="false">SUM(BQ112:BQ115)</f>
        <v>0</v>
      </c>
      <c r="BR116" s="49" t="n">
        <f aca="false">SUM(BR112:BR115)</f>
        <v>0</v>
      </c>
      <c r="BS116" s="49" t="n">
        <f aca="false">SUM(BS112:BS115)</f>
        <v>0</v>
      </c>
      <c r="BT116" s="49" t="n">
        <f aca="false">SUM(BT112:BT115)</f>
        <v>0</v>
      </c>
      <c r="BU116" s="49" t="n">
        <f aca="false">SUM(BU112:BU115)</f>
        <v>0</v>
      </c>
      <c r="BV116" s="49" t="n">
        <f aca="false">SUM(BV112:BV115)</f>
        <v>0</v>
      </c>
      <c r="BW116" s="49" t="n">
        <f aca="false">SUM(BW112:BW115)</f>
        <v>0</v>
      </c>
      <c r="BX116" s="49" t="n">
        <f aca="false">SUM(BX112:BX115)</f>
        <v>0</v>
      </c>
      <c r="BY116" s="49" t="n">
        <f aca="false">SUM(BY112:BY115)</f>
        <v>0</v>
      </c>
      <c r="BZ116" s="49" t="n">
        <f aca="false">SUM(BZ112:BZ115)</f>
        <v>0</v>
      </c>
      <c r="CA116" s="49" t="n">
        <f aca="false">SUM(CA112:CA115)</f>
        <v>0</v>
      </c>
      <c r="CB116" s="49" t="n">
        <f aca="false">SUM(CB112:CB115)</f>
        <v>0</v>
      </c>
      <c r="CC116" s="49" t="n">
        <f aca="false">SUM(CC112:CC115)</f>
        <v>0</v>
      </c>
      <c r="CD116" s="49" t="n">
        <f aca="false">SUM(CD112:CD115)</f>
        <v>0</v>
      </c>
      <c r="CE116" s="49" t="n">
        <f aca="false">SUM(CE112:CE115)</f>
        <v>0</v>
      </c>
      <c r="CF116" s="49" t="n">
        <f aca="false">SUM(CF112:CF115)</f>
        <v>0</v>
      </c>
      <c r="CG116" s="49" t="n">
        <f aca="false">SUM(CG112:CG115)</f>
        <v>0</v>
      </c>
      <c r="CH116" s="49" t="n">
        <f aca="false">SUM(CH112:CH115)</f>
        <v>0</v>
      </c>
      <c r="CI116" s="49" t="n">
        <f aca="false">SUM(CI112:CI115)</f>
        <v>0</v>
      </c>
      <c r="CJ116" s="49" t="n">
        <f aca="false">SUM(CJ112:CJ115)</f>
        <v>0</v>
      </c>
      <c r="CK116" s="49" t="n">
        <f aca="false">SUM(CK112:CK115)</f>
        <v>0</v>
      </c>
      <c r="CL116" s="49" t="n">
        <f aca="false">SUM(CL112:CL115)</f>
        <v>0</v>
      </c>
      <c r="CM116" s="49" t="n">
        <f aca="false">SUM(CM112:CM115)</f>
        <v>0</v>
      </c>
      <c r="CN116" s="49" t="n">
        <f aca="false">SUM(CN112:CN115)</f>
        <v>0</v>
      </c>
      <c r="CO116" s="49" t="n">
        <f aca="false">SUM(CO112:CO115)</f>
        <v>0</v>
      </c>
      <c r="CP116" s="49" t="n">
        <f aca="false">SUM(CP112:CP115)</f>
        <v>0</v>
      </c>
      <c r="CQ116" s="49" t="n">
        <f aca="false">SUM(CQ112:CQ115)</f>
        <v>0</v>
      </c>
      <c r="CR116" s="49" t="n">
        <f aca="false">SUM(CR112:CR115)</f>
        <v>0</v>
      </c>
      <c r="CS116" s="49" t="n">
        <f aca="false">SUM(CS112:CS115)</f>
        <v>0</v>
      </c>
      <c r="CT116" s="49" t="n">
        <f aca="false">SUM(CT112:CT115)</f>
        <v>0</v>
      </c>
      <c r="CU116" s="49" t="n">
        <f aca="false">SUM(CU112:CU115)</f>
        <v>0</v>
      </c>
      <c r="CV116" s="49" t="n">
        <f aca="false">SUM(CV112:CV115)</f>
        <v>0</v>
      </c>
      <c r="CW116" s="49" t="n">
        <f aca="false">SUM(CW112:CW115)</f>
        <v>0</v>
      </c>
      <c r="CX116" s="49" t="n">
        <f aca="false">SUM(CX112:CX115)</f>
        <v>0</v>
      </c>
      <c r="CY116" s="49" t="n">
        <f aca="false">SUM(CY112:CY115)</f>
        <v>0</v>
      </c>
      <c r="CZ116" s="49" t="n">
        <f aca="false">SUM(CZ112:CZ115)</f>
        <v>0</v>
      </c>
      <c r="DA116" s="49" t="n">
        <f aca="false">SUM(DA112:DA115)</f>
        <v>0</v>
      </c>
      <c r="DB116" s="49" t="n">
        <f aca="false">SUM(DB112:DB115)</f>
        <v>0</v>
      </c>
      <c r="DC116" s="49" t="n">
        <f aca="false">SUM(DC112:DC115)</f>
        <v>0</v>
      </c>
      <c r="DD116" s="49" t="n">
        <f aca="false">SUM(DD112:DD115)</f>
        <v>0</v>
      </c>
      <c r="DE116" s="49" t="n">
        <f aca="false">SUM(DE112:DE115)</f>
        <v>0</v>
      </c>
      <c r="DF116" s="49" t="n">
        <f aca="false">SUM(DF112:DF115)</f>
        <v>0</v>
      </c>
      <c r="DG116" s="49" t="n">
        <f aca="false">SUM(DG112:DG115)</f>
        <v>0</v>
      </c>
      <c r="DH116" s="49" t="n">
        <f aca="false">SUM(DH112:DH115)</f>
        <v>0</v>
      </c>
      <c r="DI116" s="49" t="n">
        <f aca="false">SUM(DI112:DI115)</f>
        <v>0</v>
      </c>
      <c r="DJ116" s="49" t="n">
        <f aca="false">SUM(DJ112:DJ115)</f>
        <v>0</v>
      </c>
      <c r="DK116" s="49" t="n">
        <f aca="false">SUM(DK112:DK115)</f>
        <v>0</v>
      </c>
      <c r="DL116" s="49" t="n">
        <f aca="false">SUM(DL112:DL115)</f>
        <v>0</v>
      </c>
      <c r="DM116" s="49" t="n">
        <f aca="false">SUM(DM112:DM115)</f>
        <v>0</v>
      </c>
      <c r="DN116" s="49" t="n">
        <f aca="false">SUM(DN112:DN115)</f>
        <v>0</v>
      </c>
      <c r="DO116" s="49" t="n">
        <f aca="false">SUM(DO112:DO115)</f>
        <v>0</v>
      </c>
      <c r="DP116" s="49" t="n">
        <f aca="false">SUM(DP112:DP115)</f>
        <v>0</v>
      </c>
      <c r="DQ116" s="49" t="n">
        <f aca="false">SUM(DQ112:DQ115)</f>
        <v>0</v>
      </c>
      <c r="DR116" s="49" t="n">
        <f aca="false">SUM(DR112:DR115)</f>
        <v>0</v>
      </c>
      <c r="DS116" s="49" t="n">
        <f aca="false">SUM(DS112:DS115)</f>
        <v>0</v>
      </c>
      <c r="DT116" s="49" t="n">
        <f aca="false">SUM(DT112:DT115)</f>
        <v>0</v>
      </c>
      <c r="DU116" s="49" t="n">
        <f aca="false">SUM(DU112:DU115)</f>
        <v>0</v>
      </c>
      <c r="DV116" s="49" t="n">
        <f aca="false">SUM(DV112:DV115)</f>
        <v>0</v>
      </c>
      <c r="DW116" s="49" t="n">
        <f aca="false">SUM(DW112:DW115)</f>
        <v>0</v>
      </c>
      <c r="DX116" s="49" t="n">
        <f aca="false">SUM(DX112:DX115)</f>
        <v>0</v>
      </c>
      <c r="DY116" s="49" t="n">
        <f aca="false">SUM(DY112:DY115)</f>
        <v>0</v>
      </c>
      <c r="DZ116" s="49" t="n">
        <f aca="false">SUM(DZ112:DZ115)</f>
        <v>0</v>
      </c>
      <c r="EA116" s="49" t="n">
        <f aca="false">SUM(EA112:EA115)</f>
        <v>0</v>
      </c>
      <c r="EB116" s="49" t="n">
        <f aca="false">SUM(EB112:EB115)</f>
        <v>0</v>
      </c>
      <c r="EC116" s="49" t="n">
        <f aca="false">SUM(EC112:EC115)</f>
        <v>0</v>
      </c>
      <c r="ED116" s="49" t="n">
        <f aca="false">SUM(ED112:ED115)</f>
        <v>0</v>
      </c>
      <c r="EE116" s="49" t="n">
        <f aca="false">SUM(EE112:EE115)</f>
        <v>0</v>
      </c>
      <c r="EF116" s="49" t="n">
        <f aca="false">SUM(EF112:EF115)</f>
        <v>0</v>
      </c>
      <c r="EG116" s="49" t="n">
        <f aca="false">SUM(EG112:EG115)</f>
        <v>0</v>
      </c>
      <c r="EH116" s="49" t="n">
        <f aca="false">SUM(EH112:EH115)</f>
        <v>0</v>
      </c>
      <c r="EI116" s="49" t="n">
        <f aca="false">SUM(EI112:EI115)</f>
        <v>0</v>
      </c>
      <c r="EJ116" s="49" t="n">
        <f aca="false">SUM(EJ112:EJ115)</f>
        <v>0</v>
      </c>
      <c r="EK116" s="49" t="n">
        <f aca="false">SUM(EK112:EK115)</f>
        <v>0</v>
      </c>
      <c r="EL116" s="49" t="n">
        <f aca="false">SUM(EL112:EL115)</f>
        <v>0</v>
      </c>
      <c r="EM116" s="49" t="n">
        <f aca="false">SUM(EM112:EM115)</f>
        <v>0</v>
      </c>
      <c r="EN116" s="49" t="n">
        <f aca="false">SUM(EN112:EN115)</f>
        <v>0</v>
      </c>
      <c r="EO116" s="49" t="n">
        <f aca="false">SUM(EO112:EO115)</f>
        <v>0</v>
      </c>
    </row>
    <row r="117" customFormat="false" ht="15" hidden="false" customHeight="false" outlineLevel="0" collapsed="false">
      <c r="C117" s="1" t="s">
        <v>504</v>
      </c>
      <c r="D117" s="12" t="s">
        <v>33</v>
      </c>
      <c r="J117" s="49" t="n">
        <f aca="false">-In_CIT*(MAX(0,J111)+J114)-In_RH_On*In_RH_Rate*MAX(0,J111)</f>
        <v>-0</v>
      </c>
      <c r="K117" s="49" t="n">
        <f aca="false">-In_CIT*(MAX(0,K111)+K114)-In_RH_On*In_RH_Rate*MAX(0,K111)</f>
        <v>-0</v>
      </c>
      <c r="L117" s="49" t="n">
        <f aca="false">-In_CIT*(MAX(0,L111)+L114)-In_RH_On*In_RH_Rate*MAX(0,L111)</f>
        <v>-0</v>
      </c>
      <c r="M117" s="49" t="n">
        <f aca="false">-In_CIT*(MAX(0,M111)+M114)-In_RH_On*In_RH_Rate*MAX(0,M111)</f>
        <v>-0</v>
      </c>
      <c r="N117" s="49" t="n">
        <f aca="false">-In_CIT*(MAX(0,N111)+N114)-In_RH_On*In_RH_Rate*MAX(0,N111)</f>
        <v>-0</v>
      </c>
      <c r="O117" s="49" t="n">
        <f aca="false">-In_CIT*(MAX(0,O111)+O114)-In_RH_On*In_RH_Rate*MAX(0,O111)</f>
        <v>-0</v>
      </c>
      <c r="P117" s="49" t="n">
        <f aca="false">-In_CIT*(MAX(0,P111)+P114)-In_RH_On*In_RH_Rate*MAX(0,P111)</f>
        <v>-0</v>
      </c>
      <c r="Q117" s="49" t="n">
        <f aca="false">-In_CIT*(MAX(0,Q111)+Q114)-In_RH_On*In_RH_Rate*MAX(0,Q111)</f>
        <v>-0</v>
      </c>
      <c r="R117" s="49" t="n">
        <f aca="false">-In_CIT*(MAX(0,R111)+R114)-In_RH_On*In_RH_Rate*MAX(0,R111)</f>
        <v>-0</v>
      </c>
      <c r="S117" s="49" t="n">
        <f aca="false">-In_CIT*(MAX(0,S111)+S114)-In_RH_On*In_RH_Rate*MAX(0,S111)</f>
        <v>-0</v>
      </c>
      <c r="T117" s="49" t="n">
        <f aca="false">-In_CIT*(MAX(0,T111)+T114)-In_RH_On*In_RH_Rate*MAX(0,T111)</f>
        <v>-0</v>
      </c>
      <c r="U117" s="49" t="n">
        <f aca="false">-In_CIT*(MAX(0,U111)+U114)-In_RH_On*In_RH_Rate*MAX(0,U111)</f>
        <v>-0</v>
      </c>
      <c r="V117" s="49" t="n">
        <f aca="false">-In_CIT*(MAX(0,V111)+V114)-In_RH_On*In_RH_Rate*MAX(0,V111)</f>
        <v>-0</v>
      </c>
      <c r="W117" s="49" t="n">
        <f aca="false">-In_CIT*(MAX(0,W111)+W114)-In_RH_On*In_RH_Rate*MAX(0,W111)</f>
        <v>-0</v>
      </c>
      <c r="X117" s="49" t="n">
        <f aca="false">-In_CIT*(MAX(0,X111)+X114)-In_RH_On*In_RH_Rate*MAX(0,X111)</f>
        <v>-0</v>
      </c>
      <c r="Y117" s="49" t="n">
        <f aca="false">-In_CIT*(MAX(0,Y111)+Y114)-In_RH_On*In_RH_Rate*MAX(0,Y111)</f>
        <v>-0</v>
      </c>
      <c r="Z117" s="49" t="n">
        <f aca="false">-In_CIT*(MAX(0,Z111)+Z114)-In_RH_On*In_RH_Rate*MAX(0,Z111)</f>
        <v>-51.9580932447942</v>
      </c>
      <c r="AA117" s="49" t="n">
        <f aca="false">-In_CIT*(MAX(0,AA111)+AA114)-In_RH_On*In_RH_Rate*MAX(0,AA111)</f>
        <v>-51.5307761708278</v>
      </c>
      <c r="AB117" s="49" t="n">
        <f aca="false">-In_CIT*(MAX(0,AB111)+AB114)-In_RH_On*In_RH_Rate*MAX(0,AB111)</f>
        <v>-53.1436163398488</v>
      </c>
      <c r="AC117" s="49" t="n">
        <f aca="false">-In_CIT*(MAX(0,AC111)+AC114)-In_RH_On*In_RH_Rate*MAX(0,AC111)</f>
        <v>-54.7630874133642</v>
      </c>
      <c r="AD117" s="49" t="n">
        <f aca="false">-In_CIT*(MAX(0,AD111)+AD114)-In_RH_On*In_RH_Rate*MAX(0,AD111)</f>
        <v>-54.6713498504433</v>
      </c>
      <c r="AE117" s="49" t="n">
        <f aca="false">-In_CIT*(MAX(0,AE111)+AE114)-In_RH_On*In_RH_Rate*MAX(0,AE111)</f>
        <v>-55.3365601041145</v>
      </c>
      <c r="AF117" s="49" t="n">
        <f aca="false">-In_CIT*(MAX(0,AF111)+AF114)-In_RH_On*In_RH_Rate*MAX(0,AF111)</f>
        <v>-108.117078349286</v>
      </c>
      <c r="AG117" s="49" t="n">
        <f aca="false">-In_CIT*(MAX(0,AG111)+AG114)-In_RH_On*In_RH_Rate*MAX(0,AG111)</f>
        <v>-115.094121726251</v>
      </c>
      <c r="AH117" s="49" t="n">
        <f aca="false">-In_CIT*(MAX(0,AH111)+AH114)-In_RH_On*In_RH_Rate*MAX(0,AH111)</f>
        <v>-114.957996974453</v>
      </c>
      <c r="AI117" s="49" t="n">
        <f aca="false">-In_CIT*(MAX(0,AI111)+AI114)-In_RH_On*In_RH_Rate*MAX(0,AI111)</f>
        <v>-114.121638211455</v>
      </c>
      <c r="AJ117" s="49" t="n">
        <f aca="false">-In_CIT*(MAX(0,AJ111)+AJ114)-In_RH_On*In_RH_Rate*MAX(0,AJ111)</f>
        <v>-122.455848826282</v>
      </c>
      <c r="AK117" s="49" t="n">
        <f aca="false">-In_CIT*(MAX(0,AK111)+AK114)-In_RH_On*In_RH_Rate*MAX(0,AK111)</f>
        <v>-125.886035504284</v>
      </c>
      <c r="AL117" s="49" t="n">
        <f aca="false">-In_CIT*(MAX(0,AL111)+AL114)-In_RH_On*In_RH_Rate*MAX(0,AL111)</f>
        <v>-125.800057165876</v>
      </c>
      <c r="AM117" s="49" t="n">
        <f aca="false">-In_CIT*(MAX(0,AM111)+AM114)-In_RH_On*In_RH_Rate*MAX(0,AM111)</f>
        <v>-124.867137514168</v>
      </c>
      <c r="AN117" s="49" t="n">
        <f aca="false">-In_CIT*(MAX(0,AN111)+AN114)-In_RH_On*In_RH_Rate*MAX(0,AN111)</f>
        <v>-128.354052315976</v>
      </c>
      <c r="AO117" s="49" t="n">
        <f aca="false">-In_CIT*(MAX(0,AO111)+AO114)-In_RH_On*In_RH_Rate*MAX(0,AO111)</f>
        <v>-131.856360822482</v>
      </c>
      <c r="AP117" s="49" t="n">
        <f aca="false">-In_CIT*(MAX(0,AP111)+AP114)-In_RH_On*In_RH_Rate*MAX(0,AP111)</f>
        <v>-131.823469169964</v>
      </c>
      <c r="AQ117" s="49" t="n">
        <f aca="false">-In_CIT*(MAX(0,AQ111)+AQ114)-In_RH_On*In_RH_Rate*MAX(0,AQ111)</f>
        <v>-130.905880625509</v>
      </c>
      <c r="AR117" s="49" t="n">
        <f aca="false">-In_CIT*(MAX(0,AR111)+AR114)-In_RH_On*In_RH_Rate*MAX(0,AR111)</f>
        <v>-134.466863572752</v>
      </c>
      <c r="AS117" s="49" t="n">
        <f aca="false">-In_CIT*(MAX(0,AS111)+AS114)-In_RH_On*In_RH_Rate*MAX(0,AS111)</f>
        <v>-138.044024462163</v>
      </c>
      <c r="AT117" s="49" t="n">
        <f aca="false">-In_CIT*(MAX(0,AT111)+AT114)-In_RH_On*In_RH_Rate*MAX(0,AT111)</f>
        <v>-138.067311344122</v>
      </c>
      <c r="AU117" s="49" t="n">
        <f aca="false">-In_CIT*(MAX(0,AU111)+AU114)-In_RH_On*In_RH_Rate*MAX(0,AU111)</f>
        <v>-139.445504905317</v>
      </c>
      <c r="AV117" s="49" t="n">
        <f aca="false">-In_CIT*(MAX(0,AV111)+AV114)-In_RH_On*In_RH_Rate*MAX(0,AV111)</f>
        <v>-140.805675535977</v>
      </c>
      <c r="AW117" s="49" t="n">
        <f aca="false">-In_CIT*(MAX(0,AW111)+AW114)-In_RH_On*In_RH_Rate*MAX(0,AW111)</f>
        <v>-144.460563523078</v>
      </c>
      <c r="AX117" s="49" t="n">
        <f aca="false">-In_CIT*(MAX(0,AX111)+AX114)-In_RH_On*In_RH_Rate*MAX(0,AX111)</f>
        <v>-144.543280080785</v>
      </c>
      <c r="AY117" s="49" t="n">
        <f aca="false">-In_CIT*(MAX(0,AY111)+AY114)-In_RH_On*In_RH_Rate*MAX(0,AY111)</f>
        <v>-143.664716360743</v>
      </c>
      <c r="AZ117" s="49" t="n">
        <f aca="false">-In_CIT*(MAX(0,AZ111)+AZ114)-In_RH_On*In_RH_Rate*MAX(0,AZ111)</f>
        <v>-147.382489661509</v>
      </c>
      <c r="BA117" s="49" t="n">
        <f aca="false">-In_CIT*(MAX(0,BA111)+BA114)-In_RH_On*In_RH_Rate*MAX(0,BA111)</f>
        <v>-151.118131274546</v>
      </c>
      <c r="BB117" s="49" t="n">
        <f aca="false">-In_CIT*(MAX(0,BB111)+BB114)-In_RH_On*In_RH_Rate*MAX(0,BB111)</f>
        <v>-151.263696051241</v>
      </c>
      <c r="BC117" s="49" t="n">
        <f aca="false">-In_CIT*(MAX(0,BC111)+BC114)-In_RH_On*In_RH_Rate*MAX(0,BC111)</f>
        <v>-150.409144711298</v>
      </c>
      <c r="BD117" s="49" t="n">
        <f aca="false">-In_CIT*(MAX(0,BD111)+BD114)-In_RH_On*In_RH_Rate*MAX(0,BD111)</f>
        <v>-154.209947724303</v>
      </c>
      <c r="BE117" s="49" t="n">
        <f aca="false">-In_CIT*(MAX(0,BE111)+BE114)-In_RH_On*In_RH_Rate*MAX(0,BE111)</f>
        <v>-158.029529356769</v>
      </c>
      <c r="BF117" s="49" t="n">
        <f aca="false">-In_CIT*(MAX(0,BF111)+BF114)-In_RH_On*In_RH_Rate*MAX(0,BF111)</f>
        <v>-158.241536819628</v>
      </c>
      <c r="BG117" s="49" t="n">
        <f aca="false">-In_CIT*(MAX(0,BG111)+BG114)-In_RH_On*In_RH_Rate*MAX(0,BG111)</f>
        <v>-157.414224182451</v>
      </c>
      <c r="BH117" s="49" t="n">
        <f aca="false">-In_CIT*(MAX(0,BH111)+BH114)-In_RH_On*In_RH_Rate*MAX(0,BH111)</f>
        <v>-161.301365261538</v>
      </c>
      <c r="BI117" s="49" t="n">
        <f aca="false">-In_CIT*(MAX(0,BI111)+BI114)-In_RH_On*In_RH_Rate*MAX(0,BI111)</f>
        <v>-165.20824164318</v>
      </c>
      <c r="BJ117" s="49" t="n">
        <f aca="false">-In_CIT*(MAX(0,BJ111)+BJ114)-In_RH_On*In_RH_Rate*MAX(0,BJ111)</f>
        <v>-165.490471138974</v>
      </c>
      <c r="BK117" s="49" t="n">
        <f aca="false">-In_CIT*(MAX(0,BK111)+BK114)-In_RH_On*In_RH_Rate*MAX(0,BK111)</f>
        <v>-167.011508804879</v>
      </c>
      <c r="BL117" s="49" t="n">
        <f aca="false">-In_CIT*(MAX(0,BL111)+BL114)-In_RH_On*In_RH_Rate*MAX(0,BL111)</f>
        <v>-168.670766740314</v>
      </c>
      <c r="BM117" s="49" t="n">
        <f aca="false">-In_CIT*(MAX(0,BM111)+BM114)-In_RH_On*In_RH_Rate*MAX(0,BM111)</f>
        <v>-172.668469848968</v>
      </c>
      <c r="BN117" s="49" t="n">
        <f aca="false">-In_CIT*(MAX(0,BN111)+BN114)-In_RH_On*In_RH_Rate*MAX(0,BN111)</f>
        <v>-173.024895015502</v>
      </c>
      <c r="BO117" s="49" t="n">
        <f aca="false">-In_CIT*(MAX(0,BO111)+BO114)-In_RH_On*In_RH_Rate*MAX(0,BO111)</f>
        <v>-172.26247146876</v>
      </c>
      <c r="BP117" s="49" t="n">
        <f aca="false">-In_CIT*(MAX(0,BP111)+BP114)-In_RH_On*In_RH_Rate*MAX(0,BP111)</f>
        <v>-176.332922538314</v>
      </c>
      <c r="BQ117" s="49" t="n">
        <f aca="false">-In_CIT*(MAX(0,BQ111)+BQ114)-In_RH_On*In_RH_Rate*MAX(0,BQ111)</f>
        <v>-180.425170975242</v>
      </c>
      <c r="BR117" s="49" t="n">
        <f aca="false">-In_CIT*(MAX(0,BR111)+BR114)-In_RH_On*In_RH_Rate*MAX(0,BR111)</f>
        <v>-180.85996963177</v>
      </c>
      <c r="BS117" s="49" t="n">
        <f aca="false">-In_CIT*(MAX(0,BS111)+BS114)-In_RH_On*In_RH_Rate*MAX(0,BS111)</f>
        <v>-180.135586819294</v>
      </c>
      <c r="BT117" s="49" t="n">
        <f aca="false">-In_CIT*(MAX(0,BT111)+BT114)-In_RH_On*In_RH_Rate*MAX(0,BT111)</f>
        <v>-184.303387830296</v>
      </c>
      <c r="BU117" s="49" t="n">
        <f aca="false">-In_CIT*(MAX(0,BU111)+BU114)-In_RH_On*In_RH_Rate*MAX(0,BU111)</f>
        <v>-188.494096682897</v>
      </c>
      <c r="BV117" s="49" t="n">
        <f aca="false">-In_CIT*(MAX(0,BV111)+BV114)-In_RH_On*In_RH_Rate*MAX(0,BV111)</f>
        <v>-189.011661223913</v>
      </c>
      <c r="BW117" s="49" t="n">
        <f aca="false">-In_CIT*(MAX(0,BW111)+BW114)-In_RH_On*In_RH_Rate*MAX(0,BW111)</f>
        <v>-188.329327150422</v>
      </c>
      <c r="BX117" s="49" t="n">
        <f aca="false">-In_CIT*(MAX(0,BX111)+BX114)-In_RH_On*In_RH_Rate*MAX(0,BX111)</f>
        <v>-192.598543478065</v>
      </c>
      <c r="BY117" s="49" t="n">
        <f aca="false">-In_CIT*(MAX(0,BY111)+BY114)-In_RH_On*In_RH_Rate*MAX(0,BY111)</f>
        <v>-196.891834695016</v>
      </c>
      <c r="BZ117" s="49" t="n">
        <f aca="false">-In_CIT*(MAX(0,BZ111)+BZ114)-In_RH_On*In_RH_Rate*MAX(0,BZ111)</f>
        <v>-197.496783013054</v>
      </c>
      <c r="CA117" s="49" t="n">
        <f aca="false">-In_CIT*(MAX(0,CA111)+CA114)-In_RH_On*In_RH_Rate*MAX(0,CA111)</f>
        <v>-199.211527614159</v>
      </c>
      <c r="CB117" s="49" t="n">
        <f aca="false">-In_CIT*(MAX(0,CB111)+CB114)-In_RH_On*In_RH_Rate*MAX(0,CB111)</f>
        <v>-201.23563902654</v>
      </c>
      <c r="CC117" s="49" t="n">
        <f aca="false">-In_CIT*(MAX(0,CC111)+CC114)-In_RH_On*In_RH_Rate*MAX(0,CC111)</f>
        <v>-205.635852331739</v>
      </c>
      <c r="CD117" s="49" t="n">
        <f aca="false">-In_CIT*(MAX(0,CD111)+CD114)-In_RH_On*In_RH_Rate*MAX(0,CD111)</f>
        <v>-206.333039296099</v>
      </c>
      <c r="CE117" s="49" t="n">
        <f aca="false">-In_CIT*(MAX(0,CE111)+CE114)-In_RH_On*In_RH_Rate*MAX(0,CE111)</f>
        <v>-205.747723921375</v>
      </c>
      <c r="CF117" s="49" t="n">
        <f aca="false">-In_CIT*(MAX(0,CF111)+CF114)-In_RH_On*In_RH_Rate*MAX(0,CF111)</f>
        <v>-210.232837913763</v>
      </c>
      <c r="CG117" s="49" t="n">
        <f aca="false">-In_CIT*(MAX(0,CG111)+CG114)-In_RH_On*In_RH_Rate*MAX(0,CG111)</f>
        <v>-214.74454228678</v>
      </c>
      <c r="CH117" s="49" t="n">
        <f aca="false">-In_CIT*(MAX(0,CH111)+CH114)-In_RH_On*In_RH_Rate*MAX(0,CH111)</f>
        <v>-215.539071806518</v>
      </c>
      <c r="CI117" s="49" t="n">
        <f aca="false">-In_CIT*(MAX(0,CI111)+CI114)-In_RH_On*In_RH_Rate*MAX(0,CI111)</f>
        <v>-212.801201406482</v>
      </c>
      <c r="CJ117" s="49" t="n">
        <f aca="false">-In_CIT*(MAX(0,CJ111)+CJ114)-In_RH_On*In_RH_Rate*MAX(0,CJ111)</f>
        <v>-215.165659199887</v>
      </c>
      <c r="CK117" s="49" t="n">
        <f aca="false">-In_CIT*(MAX(0,CK111)+CK114)-In_RH_On*In_RH_Rate*MAX(0,CK111)</f>
        <v>-217.530116993293</v>
      </c>
      <c r="CL117" s="49" t="n">
        <f aca="false">-In_CIT*(MAX(0,CL111)+CL114)-In_RH_On*In_RH_Rate*MAX(0,CL111)</f>
        <v>-216.135512385971</v>
      </c>
      <c r="CM117" s="49" t="n">
        <f aca="false">-In_CIT*(MAX(0,CM111)+CM114)-In_RH_On*In_RH_Rate*MAX(0,CM111)</f>
        <v>-213.345567409518</v>
      </c>
      <c r="CN117" s="49" t="n">
        <f aca="false">-In_CIT*(MAX(0,CN111)+CN114)-In_RH_On*In_RH_Rate*MAX(0,CN111)</f>
        <v>-215.716073714068</v>
      </c>
      <c r="CO117" s="49" t="n">
        <f aca="false">-In_CIT*(MAX(0,CO111)+CO114)-In_RH_On*In_RH_Rate*MAX(0,CO111)</f>
        <v>-218.086580018619</v>
      </c>
      <c r="CP117" s="49" t="n">
        <f aca="false">-In_CIT*(MAX(0,CP111)+CP114)-In_RH_On*In_RH_Rate*MAX(0,CP111)</f>
        <v>-216.683565578695</v>
      </c>
      <c r="CQ117" s="49" t="n">
        <f aca="false">-In_CIT*(MAX(0,CQ111)+CQ114)-In_RH_On*In_RH_Rate*MAX(0,CQ111)</f>
        <v>-216.217063027917</v>
      </c>
      <c r="CR117" s="49" t="n">
        <f aca="false">-In_CIT*(MAX(0,CR111)+CR114)-In_RH_On*In_RH_Rate*MAX(0,CR111)</f>
        <v>-216.217063027917</v>
      </c>
      <c r="CS117" s="49" t="n">
        <f aca="false">-In_CIT*(MAX(0,CS111)+CS114)-In_RH_On*In_RH_Rate*MAX(0,CS111)</f>
        <v>-218.593074709542</v>
      </c>
      <c r="CT117" s="49" t="n">
        <f aca="false">-In_CIT*(MAX(0,CT111)+CT114)-In_RH_On*In_RH_Rate*MAX(0,CT111)</f>
        <v>-217.181631830932</v>
      </c>
      <c r="CU117" s="49" t="n">
        <f aca="false">-In_CIT*(MAX(0,CU111)+CU114)-In_RH_On*In_RH_Rate*MAX(0,CU111)</f>
        <v>-214.286046751786</v>
      </c>
      <c r="CV117" s="49" t="n">
        <f aca="false">-In_CIT*(MAX(0,CV111)+CV114)-In_RH_On*In_RH_Rate*MAX(0,CV111)</f>
        <v>-216.667002826806</v>
      </c>
      <c r="CW117" s="49" t="n">
        <f aca="false">-In_CIT*(MAX(0,CW111)+CW114)-In_RH_On*In_RH_Rate*MAX(0,CW111)</f>
        <v>-219.047958901826</v>
      </c>
      <c r="CX117" s="49" t="n">
        <f aca="false">-In_CIT*(MAX(0,CX111)+CX114)-In_RH_On*In_RH_Rate*MAX(0,CX111)</f>
        <v>-217.62806969216</v>
      </c>
      <c r="CY117" s="49" t="n">
        <f aca="false">-In_CIT*(MAX(0,CY111)+CY114)-In_RH_On*In_RH_Rate*MAX(0,CY111)</f>
        <v>-214.678905132602</v>
      </c>
      <c r="CZ117" s="49" t="n">
        <f aca="false">-In_CIT*(MAX(0,CZ111)+CZ114)-In_RH_On*In_RH_Rate*MAX(0,CZ111)</f>
        <v>-217.064226300742</v>
      </c>
      <c r="DA117" s="49" t="n">
        <f aca="false">-In_CIT*(MAX(0,DA111)+DA114)-In_RH_On*In_RH_Rate*MAX(0,DA111)</f>
        <v>-219.449547468883</v>
      </c>
      <c r="DB117" s="49" t="n">
        <f aca="false">-In_CIT*(MAX(0,DB111)+DB114)-In_RH_On*In_RH_Rate*MAX(0,DB111)</f>
        <v>-375.486699874707</v>
      </c>
      <c r="DC117" s="49" t="n">
        <f aca="false">-In_CIT*(MAX(0,DC111)+DC114)-In_RH_On*In_RH_Rate*MAX(0,DC111)</f>
        <v>-369.06027686922</v>
      </c>
      <c r="DD117" s="49" t="n">
        <f aca="false">-In_CIT*(MAX(0,DD111)+DD114)-In_RH_On*In_RH_Rate*MAX(0,DD111)</f>
        <v>-373.160946612211</v>
      </c>
      <c r="DE117" s="49" t="n">
        <f aca="false">-In_CIT*(MAX(0,DE111)+DE114)-In_RH_On*In_RH_Rate*MAX(0,DE111)</f>
        <v>-377.261616355202</v>
      </c>
      <c r="DF117" s="49" t="n">
        <f aca="false">-In_CIT*(MAX(0,DF111)+DF114)-In_RH_On*In_RH_Rate*MAX(0,DF111)</f>
        <v>-375.824783779587</v>
      </c>
      <c r="DG117" s="49" t="n">
        <f aca="false">-In_CIT*(MAX(0,DG111)+DG114)-In_RH_On*In_RH_Rate*MAX(0,DG111)</f>
        <v>-373.447561715864</v>
      </c>
      <c r="DH117" s="49" t="n">
        <f aca="false">-In_CIT*(MAX(0,DH111)+DH114)-In_RH_On*In_RH_Rate*MAX(0,DH111)</f>
        <v>-373.447561715864</v>
      </c>
      <c r="DI117" s="49" t="n">
        <f aca="false">-In_CIT*(MAX(0,DI111)+DI114)-In_RH_On*In_RH_Rate*MAX(0,DI111)</f>
        <v>-377.551381075379</v>
      </c>
      <c r="DJ117" s="49" t="n">
        <f aca="false">-In_CIT*(MAX(0,DJ111)+DJ114)-In_RH_On*In_RH_Rate*MAX(0,DJ111)</f>
        <v>-376.106053012439</v>
      </c>
      <c r="DK117" s="49" t="n">
        <f aca="false">-In_CIT*(MAX(0,DK111)+DK114)-In_RH_On*In_RH_Rate*MAX(0,DK111)</f>
        <v>-369.569862589467</v>
      </c>
      <c r="DL117" s="49" t="n">
        <f aca="false">-In_CIT*(MAX(0,DL111)+DL114)-In_RH_On*In_RH_Rate*MAX(0,DL111)</f>
        <v>-373.676194396017</v>
      </c>
      <c r="DM117" s="49" t="n">
        <f aca="false">-In_CIT*(MAX(0,DM111)+DM114)-In_RH_On*In_RH_Rate*MAX(0,DM111)</f>
        <v>-377.782526202566</v>
      </c>
      <c r="DN117" s="49" t="n">
        <f aca="false">-In_CIT*(MAX(0,DN111)+DN114)-In_RH_On*In_RH_Rate*MAX(0,DN111)</f>
        <v>-376.328687856252</v>
      </c>
      <c r="DO117" s="49" t="n">
        <f aca="false">-In_CIT*(MAX(0,DO111)+DO114)-In_RH_On*In_RH_Rate*MAX(0,DO111)</f>
        <v>-369.736810251909</v>
      </c>
      <c r="DP117" s="49" t="n">
        <f aca="false">-In_CIT*(MAX(0,DP111)+DP114)-In_RH_On*In_RH_Rate*MAX(0,DP111)</f>
        <v>-373.844997032485</v>
      </c>
      <c r="DQ117" s="49" t="n">
        <f aca="false">-In_CIT*(MAX(0,DQ111)+DQ114)-In_RH_On*In_RH_Rate*MAX(0,DQ111)</f>
        <v>-377.953183813062</v>
      </c>
      <c r="DR117" s="49" t="n">
        <f aca="false">-In_CIT*(MAX(0,DR111)+DR114)-In_RH_On*In_RH_Rate*MAX(0,DR111)</f>
        <v>-376.490821224724</v>
      </c>
      <c r="DS117" s="49" t="n">
        <f aca="false">-In_CIT*(MAX(0,DS111)+DS114)-In_RH_On*In_RH_Rate*MAX(0,DS111)</f>
        <v>-369.842710510588</v>
      </c>
      <c r="DT117" s="49" t="n">
        <f aca="false">-In_CIT*(MAX(0,DT111)+DT114)-In_RH_On*In_RH_Rate*MAX(0,DT111)</f>
        <v>-373.952073960706</v>
      </c>
      <c r="DU117" s="49" t="n">
        <f aca="false">-In_CIT*(MAX(0,DU111)+DU114)-In_RH_On*In_RH_Rate*MAX(0,DU111)</f>
        <v>-378.061437410824</v>
      </c>
      <c r="DV117" s="49" t="n">
        <f aca="false">-In_CIT*(MAX(0,DV111)+DV114)-In_RH_On*In_RH_Rate*MAX(0,DV111)</f>
        <v>-376.590537485769</v>
      </c>
      <c r="DW117" s="49" t="n">
        <f aca="false">-In_CIT*(MAX(0,DW111)+DW114)-In_RH_On*In_RH_Rate*MAX(0,DW111)</f>
        <v>-373.995480278812</v>
      </c>
      <c r="DX117" s="49" t="n">
        <f aca="false">-In_CIT*(MAX(0,DX111)+DX114)-In_RH_On*In_RH_Rate*MAX(0,DX111)</f>
        <v>-373.995480278812</v>
      </c>
      <c r="DY117" s="49" t="n">
        <f aca="false">-In_CIT*(MAX(0,DY111)+DY114)-In_RH_On*In_RH_Rate*MAX(0,DY111)</f>
        <v>-378.105320721436</v>
      </c>
      <c r="DZ117" s="49" t="n">
        <f aca="false">-In_CIT*(MAX(0,DZ111)+DZ114)-In_RH_On*In_RH_Rate*MAX(0,DZ111)</f>
        <v>-376.625871256129</v>
      </c>
      <c r="EA117" s="49" t="n">
        <f aca="false">-In_CIT*(MAX(0,EA111)+EA114)-In_RH_On*In_RH_Rate*MAX(0,EA111)</f>
        <v>-369.863624794354</v>
      </c>
      <c r="EB117" s="49" t="n">
        <f aca="false">-In_CIT*(MAX(0,EB111)+EB114)-In_RH_On*In_RH_Rate*MAX(0,EB111)</f>
        <v>-373.973220625402</v>
      </c>
      <c r="EC117" s="49" t="n">
        <f aca="false">-In_CIT*(MAX(0,EC111)+EC114)-In_RH_On*In_RH_Rate*MAX(0,EC111)</f>
        <v>-378.082816456451</v>
      </c>
      <c r="ED117" s="49" t="n">
        <f aca="false">-In_CIT*(MAX(0,ED111)+ED114)-In_RH_On*In_RH_Rate*MAX(0,ED111)</f>
        <v>-376.59480616636</v>
      </c>
      <c r="EE117" s="49" t="n">
        <f aca="false">-In_CIT*(MAX(0,EE111)+EE114)-In_RH_On*In_RH_Rate*MAX(0,EE111)</f>
        <v>-369.77464080721</v>
      </c>
      <c r="EF117" s="49" t="n">
        <f aca="false">-In_CIT*(MAX(0,EF111)+EF114)-In_RH_On*In_RH_Rate*MAX(0,EF111)</f>
        <v>-373.88324792729</v>
      </c>
      <c r="EG117" s="49" t="n">
        <f aca="false">-In_CIT*(MAX(0,EG111)+EG114)-In_RH_On*In_RH_Rate*MAX(0,EG111)</f>
        <v>-377.99185504737</v>
      </c>
      <c r="EH117" s="49" t="n">
        <f aca="false">-In_CIT*(MAX(0,EH111)+EH114)-In_RH_On*In_RH_Rate*MAX(0,EH111)</f>
        <v>-376.495273595489</v>
      </c>
      <c r="EI117" s="49" t="n">
        <f aca="false">-In_CIT*(MAX(0,EI111)+EI114)-In_RH_On*In_RH_Rate*MAX(0,EI111)</f>
        <v>-369.616610884434</v>
      </c>
      <c r="EJ117" s="49" t="n">
        <f aca="false">-In_CIT*(MAX(0,EJ111)+EJ114)-In_RH_On*In_RH_Rate*MAX(0,EJ111)</f>
        <v>-373.723462116483</v>
      </c>
      <c r="EK117" s="49" t="n">
        <f aca="false">-In_CIT*(MAX(0,EK111)+EK114)-In_RH_On*In_RH_Rate*MAX(0,EK111)</f>
        <v>-377.830313348532</v>
      </c>
      <c r="EL117" s="49" t="n">
        <f aca="false">-In_CIT*(MAX(0,EL111)+EL114)-In_RH_On*In_RH_Rate*MAX(0,EL111)</f>
        <v>-376.325151374579</v>
      </c>
      <c r="EM117" s="49" t="n">
        <f aca="false">-In_CIT*(MAX(0,EM111)+EM114)-In_RH_On*In_RH_Rate*MAX(0,EM111)</f>
        <v>-373.491708815652</v>
      </c>
      <c r="EN117" s="49" t="n">
        <f aca="false">-In_CIT*(MAX(0,EN111)+EN114)-In_RH_On*In_RH_Rate*MAX(0,EN111)</f>
        <v>-373.491708815652</v>
      </c>
      <c r="EO117" s="49" t="n">
        <f aca="false">-In_CIT*(MAX(0,EO111)+EO114)-In_RH_On*In_RH_Rate*MAX(0,EO111)</f>
        <v>-377.596013308132</v>
      </c>
    </row>
    <row r="118" customFormat="false" ht="15" hidden="false" customHeight="false" outlineLevel="0" collapsed="false">
      <c r="C118" s="1" t="s">
        <v>505</v>
      </c>
      <c r="D118" s="12" t="s">
        <v>33</v>
      </c>
      <c r="I118" s="49" t="n">
        <f aca="false">SUM(J118:EO118)</f>
        <v>0</v>
      </c>
      <c r="J118" s="49" t="n">
        <f aca="false">ABS(J117-J86)</f>
        <v>0</v>
      </c>
      <c r="K118" s="49" t="n">
        <f aca="false">ABS(K117-K86)</f>
        <v>0</v>
      </c>
      <c r="L118" s="49" t="n">
        <f aca="false">ABS(L117-L86)</f>
        <v>0</v>
      </c>
      <c r="M118" s="49" t="n">
        <f aca="false">ABS(M117-M86)</f>
        <v>0</v>
      </c>
      <c r="N118" s="49" t="n">
        <f aca="false">ABS(N117-N86)</f>
        <v>0</v>
      </c>
      <c r="O118" s="49" t="n">
        <f aca="false">ABS(O117-O86)</f>
        <v>0</v>
      </c>
      <c r="P118" s="49" t="n">
        <f aca="false">ABS(P117-P86)</f>
        <v>0</v>
      </c>
      <c r="Q118" s="49" t="n">
        <f aca="false">ABS(Q117-Q86)</f>
        <v>0</v>
      </c>
      <c r="R118" s="49" t="n">
        <f aca="false">ABS(R117-R86)</f>
        <v>0</v>
      </c>
      <c r="S118" s="49" t="n">
        <f aca="false">ABS(S117-S86)</f>
        <v>0</v>
      </c>
      <c r="T118" s="49" t="n">
        <f aca="false">ABS(T117-T86)</f>
        <v>0</v>
      </c>
      <c r="U118" s="49" t="n">
        <f aca="false">ABS(U117-U86)</f>
        <v>0</v>
      </c>
      <c r="V118" s="49" t="n">
        <f aca="false">ABS(V117-V86)</f>
        <v>0</v>
      </c>
      <c r="W118" s="49" t="n">
        <f aca="false">ABS(W117-W86)</f>
        <v>0</v>
      </c>
      <c r="X118" s="49" t="n">
        <f aca="false">ABS(X117-X86)</f>
        <v>0</v>
      </c>
      <c r="Y118" s="49" t="n">
        <f aca="false">ABS(Y117-Y86)</f>
        <v>0</v>
      </c>
      <c r="Z118" s="49" t="n">
        <f aca="false">ABS(Z117-Z86)</f>
        <v>0</v>
      </c>
      <c r="AA118" s="49" t="n">
        <f aca="false">ABS(AA117-AA86)</f>
        <v>0</v>
      </c>
      <c r="AB118" s="49" t="n">
        <f aca="false">ABS(AB117-AB86)</f>
        <v>0</v>
      </c>
      <c r="AC118" s="49" t="n">
        <f aca="false">ABS(AC117-AC86)</f>
        <v>0</v>
      </c>
      <c r="AD118" s="49" t="n">
        <f aca="false">ABS(AD117-AD86)</f>
        <v>0</v>
      </c>
      <c r="AE118" s="49" t="n">
        <f aca="false">ABS(AE117-AE86)</f>
        <v>0</v>
      </c>
      <c r="AF118" s="49" t="n">
        <f aca="false">ABS(AF117-AF86)</f>
        <v>0</v>
      </c>
      <c r="AG118" s="49" t="n">
        <f aca="false">ABS(AG117-AG86)</f>
        <v>0</v>
      </c>
      <c r="AH118" s="49" t="n">
        <f aca="false">ABS(AH117-AH86)</f>
        <v>0</v>
      </c>
      <c r="AI118" s="49" t="n">
        <f aca="false">ABS(AI117-AI86)</f>
        <v>0</v>
      </c>
      <c r="AJ118" s="49" t="n">
        <f aca="false">ABS(AJ117-AJ86)</f>
        <v>0</v>
      </c>
      <c r="AK118" s="49" t="n">
        <f aca="false">ABS(AK117-AK86)</f>
        <v>0</v>
      </c>
      <c r="AL118" s="49" t="n">
        <f aca="false">ABS(AL117-AL86)</f>
        <v>0</v>
      </c>
      <c r="AM118" s="49" t="n">
        <f aca="false">ABS(AM117-AM86)</f>
        <v>0</v>
      </c>
      <c r="AN118" s="49" t="n">
        <f aca="false">ABS(AN117-AN86)</f>
        <v>0</v>
      </c>
      <c r="AO118" s="49" t="n">
        <f aca="false">ABS(AO117-AO86)</f>
        <v>0</v>
      </c>
      <c r="AP118" s="49" t="n">
        <f aca="false">ABS(AP117-AP86)</f>
        <v>0</v>
      </c>
      <c r="AQ118" s="49" t="n">
        <f aca="false">ABS(AQ117-AQ86)</f>
        <v>0</v>
      </c>
      <c r="AR118" s="49" t="n">
        <f aca="false">ABS(AR117-AR86)</f>
        <v>0</v>
      </c>
      <c r="AS118" s="49" t="n">
        <f aca="false">ABS(AS117-AS86)</f>
        <v>0</v>
      </c>
      <c r="AT118" s="49" t="n">
        <f aca="false">ABS(AT117-AT86)</f>
        <v>0</v>
      </c>
      <c r="AU118" s="49" t="n">
        <f aca="false">ABS(AU117-AU86)</f>
        <v>0</v>
      </c>
      <c r="AV118" s="49" t="n">
        <f aca="false">ABS(AV117-AV86)</f>
        <v>0</v>
      </c>
      <c r="AW118" s="49" t="n">
        <f aca="false">ABS(AW117-AW86)</f>
        <v>0</v>
      </c>
      <c r="AX118" s="49" t="n">
        <f aca="false">ABS(AX117-AX86)</f>
        <v>0</v>
      </c>
      <c r="AY118" s="49" t="n">
        <f aca="false">ABS(AY117-AY86)</f>
        <v>0</v>
      </c>
      <c r="AZ118" s="49" t="n">
        <f aca="false">ABS(AZ117-AZ86)</f>
        <v>0</v>
      </c>
      <c r="BA118" s="49" t="n">
        <f aca="false">ABS(BA117-BA86)</f>
        <v>0</v>
      </c>
      <c r="BB118" s="49" t="n">
        <f aca="false">ABS(BB117-BB86)</f>
        <v>0</v>
      </c>
      <c r="BC118" s="49" t="n">
        <f aca="false">ABS(BC117-BC86)</f>
        <v>0</v>
      </c>
      <c r="BD118" s="49" t="n">
        <f aca="false">ABS(BD117-BD86)</f>
        <v>0</v>
      </c>
      <c r="BE118" s="49" t="n">
        <f aca="false">ABS(BE117-BE86)</f>
        <v>0</v>
      </c>
      <c r="BF118" s="49" t="n">
        <f aca="false">ABS(BF117-BF86)</f>
        <v>0</v>
      </c>
      <c r="BG118" s="49" t="n">
        <f aca="false">ABS(BG117-BG86)</f>
        <v>0</v>
      </c>
      <c r="BH118" s="49" t="n">
        <f aca="false">ABS(BH117-BH86)</f>
        <v>0</v>
      </c>
      <c r="BI118" s="49" t="n">
        <f aca="false">ABS(BI117-BI86)</f>
        <v>0</v>
      </c>
      <c r="BJ118" s="49" t="n">
        <f aca="false">ABS(BJ117-BJ86)</f>
        <v>0</v>
      </c>
      <c r="BK118" s="49" t="n">
        <f aca="false">ABS(BK117-BK86)</f>
        <v>0</v>
      </c>
      <c r="BL118" s="49" t="n">
        <f aca="false">ABS(BL117-BL86)</f>
        <v>0</v>
      </c>
      <c r="BM118" s="49" t="n">
        <f aca="false">ABS(BM117-BM86)</f>
        <v>0</v>
      </c>
      <c r="BN118" s="49" t="n">
        <f aca="false">ABS(BN117-BN86)</f>
        <v>0</v>
      </c>
      <c r="BO118" s="49" t="n">
        <f aca="false">ABS(BO117-BO86)</f>
        <v>0</v>
      </c>
      <c r="BP118" s="49" t="n">
        <f aca="false">ABS(BP117-BP86)</f>
        <v>0</v>
      </c>
      <c r="BQ118" s="49" t="n">
        <f aca="false">ABS(BQ117-BQ86)</f>
        <v>0</v>
      </c>
      <c r="BR118" s="49" t="n">
        <f aca="false">ABS(BR117-BR86)</f>
        <v>0</v>
      </c>
      <c r="BS118" s="49" t="n">
        <f aca="false">ABS(BS117-BS86)</f>
        <v>0</v>
      </c>
      <c r="BT118" s="49" t="n">
        <f aca="false">ABS(BT117-BT86)</f>
        <v>0</v>
      </c>
      <c r="BU118" s="49" t="n">
        <f aca="false">ABS(BU117-BU86)</f>
        <v>0</v>
      </c>
      <c r="BV118" s="49" t="n">
        <f aca="false">ABS(BV117-BV86)</f>
        <v>0</v>
      </c>
      <c r="BW118" s="49" t="n">
        <f aca="false">ABS(BW117-BW86)</f>
        <v>0</v>
      </c>
      <c r="BX118" s="49" t="n">
        <f aca="false">ABS(BX117-BX86)</f>
        <v>0</v>
      </c>
      <c r="BY118" s="49" t="n">
        <f aca="false">ABS(BY117-BY86)</f>
        <v>0</v>
      </c>
      <c r="BZ118" s="49" t="n">
        <f aca="false">ABS(BZ117-BZ86)</f>
        <v>0</v>
      </c>
      <c r="CA118" s="49" t="n">
        <f aca="false">ABS(CA117-CA86)</f>
        <v>0</v>
      </c>
      <c r="CB118" s="49" t="n">
        <f aca="false">ABS(CB117-CB86)</f>
        <v>0</v>
      </c>
      <c r="CC118" s="49" t="n">
        <f aca="false">ABS(CC117-CC86)</f>
        <v>0</v>
      </c>
      <c r="CD118" s="49" t="n">
        <f aca="false">ABS(CD117-CD86)</f>
        <v>0</v>
      </c>
      <c r="CE118" s="49" t="n">
        <f aca="false">ABS(CE117-CE86)</f>
        <v>0</v>
      </c>
      <c r="CF118" s="49" t="n">
        <f aca="false">ABS(CF117-CF86)</f>
        <v>0</v>
      </c>
      <c r="CG118" s="49" t="n">
        <f aca="false">ABS(CG117-CG86)</f>
        <v>0</v>
      </c>
      <c r="CH118" s="49" t="n">
        <f aca="false">ABS(CH117-CH86)</f>
        <v>0</v>
      </c>
      <c r="CI118" s="49" t="n">
        <f aca="false">ABS(CI117-CI86)</f>
        <v>0</v>
      </c>
      <c r="CJ118" s="49" t="n">
        <f aca="false">ABS(CJ117-CJ86)</f>
        <v>0</v>
      </c>
      <c r="CK118" s="49" t="n">
        <f aca="false">ABS(CK117-CK86)</f>
        <v>0</v>
      </c>
      <c r="CL118" s="49" t="n">
        <f aca="false">ABS(CL117-CL86)</f>
        <v>0</v>
      </c>
      <c r="CM118" s="49" t="n">
        <f aca="false">ABS(CM117-CM86)</f>
        <v>0</v>
      </c>
      <c r="CN118" s="49" t="n">
        <f aca="false">ABS(CN117-CN86)</f>
        <v>0</v>
      </c>
      <c r="CO118" s="49" t="n">
        <f aca="false">ABS(CO117-CO86)</f>
        <v>0</v>
      </c>
      <c r="CP118" s="49" t="n">
        <f aca="false">ABS(CP117-CP86)</f>
        <v>0</v>
      </c>
      <c r="CQ118" s="49" t="n">
        <f aca="false">ABS(CQ117-CQ86)</f>
        <v>0</v>
      </c>
      <c r="CR118" s="49" t="n">
        <f aca="false">ABS(CR117-CR86)</f>
        <v>0</v>
      </c>
      <c r="CS118" s="49" t="n">
        <f aca="false">ABS(CS117-CS86)</f>
        <v>0</v>
      </c>
      <c r="CT118" s="49" t="n">
        <f aca="false">ABS(CT117-CT86)</f>
        <v>0</v>
      </c>
      <c r="CU118" s="49" t="n">
        <f aca="false">ABS(CU117-CU86)</f>
        <v>0</v>
      </c>
      <c r="CV118" s="49" t="n">
        <f aca="false">ABS(CV117-CV86)</f>
        <v>0</v>
      </c>
      <c r="CW118" s="49" t="n">
        <f aca="false">ABS(CW117-CW86)</f>
        <v>0</v>
      </c>
      <c r="CX118" s="49" t="n">
        <f aca="false">ABS(CX117-CX86)</f>
        <v>0</v>
      </c>
      <c r="CY118" s="49" t="n">
        <f aca="false">ABS(CY117-CY86)</f>
        <v>0</v>
      </c>
      <c r="CZ118" s="49" t="n">
        <f aca="false">ABS(CZ117-CZ86)</f>
        <v>0</v>
      </c>
      <c r="DA118" s="49" t="n">
        <f aca="false">ABS(DA117-DA86)</f>
        <v>0</v>
      </c>
      <c r="DB118" s="49" t="n">
        <f aca="false">ABS(DB117-DB86)</f>
        <v>0</v>
      </c>
      <c r="DC118" s="49" t="n">
        <f aca="false">ABS(DC117-DC86)</f>
        <v>0</v>
      </c>
      <c r="DD118" s="49" t="n">
        <f aca="false">ABS(DD117-DD86)</f>
        <v>0</v>
      </c>
      <c r="DE118" s="49" t="n">
        <f aca="false">ABS(DE117-DE86)</f>
        <v>0</v>
      </c>
      <c r="DF118" s="49" t="n">
        <f aca="false">ABS(DF117-DF86)</f>
        <v>0</v>
      </c>
      <c r="DG118" s="49" t="n">
        <f aca="false">ABS(DG117-DG86)</f>
        <v>0</v>
      </c>
      <c r="DH118" s="49" t="n">
        <f aca="false">ABS(DH117-DH86)</f>
        <v>0</v>
      </c>
      <c r="DI118" s="49" t="n">
        <f aca="false">ABS(DI117-DI86)</f>
        <v>0</v>
      </c>
      <c r="DJ118" s="49" t="n">
        <f aca="false">ABS(DJ117-DJ86)</f>
        <v>0</v>
      </c>
      <c r="DK118" s="49" t="n">
        <f aca="false">ABS(DK117-DK86)</f>
        <v>0</v>
      </c>
      <c r="DL118" s="49" t="n">
        <f aca="false">ABS(DL117-DL86)</f>
        <v>0</v>
      </c>
      <c r="DM118" s="49" t="n">
        <f aca="false">ABS(DM117-DM86)</f>
        <v>0</v>
      </c>
      <c r="DN118" s="49" t="n">
        <f aca="false">ABS(DN117-DN86)</f>
        <v>0</v>
      </c>
      <c r="DO118" s="49" t="n">
        <f aca="false">ABS(DO117-DO86)</f>
        <v>0</v>
      </c>
      <c r="DP118" s="49" t="n">
        <f aca="false">ABS(DP117-DP86)</f>
        <v>0</v>
      </c>
      <c r="DQ118" s="49" t="n">
        <f aca="false">ABS(DQ117-DQ86)</f>
        <v>0</v>
      </c>
      <c r="DR118" s="49" t="n">
        <f aca="false">ABS(DR117-DR86)</f>
        <v>0</v>
      </c>
      <c r="DS118" s="49" t="n">
        <f aca="false">ABS(DS117-DS86)</f>
        <v>0</v>
      </c>
      <c r="DT118" s="49" t="n">
        <f aca="false">ABS(DT117-DT86)</f>
        <v>0</v>
      </c>
      <c r="DU118" s="49" t="n">
        <f aca="false">ABS(DU117-DU86)</f>
        <v>0</v>
      </c>
      <c r="DV118" s="49" t="n">
        <f aca="false">ABS(DV117-DV86)</f>
        <v>0</v>
      </c>
      <c r="DW118" s="49" t="n">
        <f aca="false">ABS(DW117-DW86)</f>
        <v>0</v>
      </c>
      <c r="DX118" s="49" t="n">
        <f aca="false">ABS(DX117-DX86)</f>
        <v>0</v>
      </c>
      <c r="DY118" s="49" t="n">
        <f aca="false">ABS(DY117-DY86)</f>
        <v>0</v>
      </c>
      <c r="DZ118" s="49" t="n">
        <f aca="false">ABS(DZ117-DZ86)</f>
        <v>0</v>
      </c>
      <c r="EA118" s="49" t="n">
        <f aca="false">ABS(EA117-EA86)</f>
        <v>0</v>
      </c>
      <c r="EB118" s="49" t="n">
        <f aca="false">ABS(EB117-EB86)</f>
        <v>0</v>
      </c>
      <c r="EC118" s="49" t="n">
        <f aca="false">ABS(EC117-EC86)</f>
        <v>0</v>
      </c>
      <c r="ED118" s="49" t="n">
        <f aca="false">ABS(ED117-ED86)</f>
        <v>0</v>
      </c>
      <c r="EE118" s="49" t="n">
        <f aca="false">ABS(EE117-EE86)</f>
        <v>0</v>
      </c>
      <c r="EF118" s="49" t="n">
        <f aca="false">ABS(EF117-EF86)</f>
        <v>0</v>
      </c>
      <c r="EG118" s="49" t="n">
        <f aca="false">ABS(EG117-EG86)</f>
        <v>0</v>
      </c>
      <c r="EH118" s="49" t="n">
        <f aca="false">ABS(EH117-EH86)</f>
        <v>0</v>
      </c>
      <c r="EI118" s="49" t="n">
        <f aca="false">ABS(EI117-EI86)</f>
        <v>0</v>
      </c>
      <c r="EJ118" s="49" t="n">
        <f aca="false">ABS(EJ117-EJ86)</f>
        <v>0</v>
      </c>
      <c r="EK118" s="49" t="n">
        <f aca="false">ABS(EK117-EK86)</f>
        <v>0</v>
      </c>
      <c r="EL118" s="49" t="n">
        <f aca="false">ABS(EL117-EL86)</f>
        <v>0</v>
      </c>
      <c r="EM118" s="49" t="n">
        <f aca="false">ABS(EM117-EM86)</f>
        <v>0</v>
      </c>
      <c r="EN118" s="49" t="n">
        <f aca="false">ABS(EN117-EN86)</f>
        <v>0</v>
      </c>
      <c r="EO118" s="49" t="n">
        <f aca="false">ABS(EO117-EO86)</f>
        <v>0</v>
      </c>
    </row>
    <row r="120" customFormat="false" ht="15" hidden="false" customHeight="false" outlineLevel="0" collapsed="false">
      <c r="A120" s="10" t="s">
        <v>13</v>
      </c>
      <c r="B120" s="10"/>
      <c r="C120" s="10" t="s">
        <v>506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customFormat="false" ht="15" hidden="false" customHeight="false" outlineLevel="0" collapsed="false">
      <c r="C121" s="1" t="s">
        <v>96</v>
      </c>
      <c r="D121" s="12" t="s">
        <v>33</v>
      </c>
      <c r="E121" s="49" t="n">
        <f aca="false">-($I48+$I49+$I50)</f>
        <v>5150</v>
      </c>
    </row>
    <row r="122" customFormat="false" ht="15" hidden="false" customHeight="false" outlineLevel="0" collapsed="false">
      <c r="C122" s="1" t="s">
        <v>97</v>
      </c>
      <c r="D122" s="12" t="s">
        <v>33</v>
      </c>
      <c r="E122" s="49" t="n">
        <f aca="false">-($I52+$I55+$E59)</f>
        <v>1114.92155376243</v>
      </c>
    </row>
    <row r="123" customFormat="false" ht="15" hidden="false" customHeight="false" outlineLevel="0" collapsed="false">
      <c r="C123" s="1" t="s">
        <v>98</v>
      </c>
      <c r="D123" s="12" t="s">
        <v>33</v>
      </c>
      <c r="E123" s="49" t="n">
        <f aca="false">-$I68</f>
        <v>64716.25</v>
      </c>
    </row>
    <row r="124" customFormat="false" ht="15" hidden="false" customHeight="false" outlineLevel="0" collapsed="false">
      <c r="C124" s="1" t="s">
        <v>99</v>
      </c>
      <c r="D124" s="12" t="s">
        <v>33</v>
      </c>
      <c r="E124" s="49" t="n">
        <f aca="false">-$I58</f>
        <v>8154.82315068493</v>
      </c>
    </row>
    <row r="125" customFormat="false" ht="15" hidden="false" customHeight="false" outlineLevel="0" collapsed="false">
      <c r="C125" s="1" t="s">
        <v>100</v>
      </c>
      <c r="D125" s="12" t="s">
        <v>33</v>
      </c>
      <c r="E125" s="49" t="n">
        <f aca="false">-$I69</f>
        <v>2500</v>
      </c>
    </row>
    <row r="126" customFormat="false" ht="15" hidden="false" customHeight="false" outlineLevel="0" collapsed="false">
      <c r="C126" s="1" t="s">
        <v>101</v>
      </c>
      <c r="D126" s="12" t="s">
        <v>33</v>
      </c>
      <c r="E126" s="49" t="n">
        <f aca="false">$I101-$I104-$I105</f>
        <v>3545.02137316999</v>
      </c>
    </row>
    <row r="127" customFormat="false" ht="15" hidden="false" customHeight="false" outlineLevel="0" collapsed="false">
      <c r="C127" s="1" t="s">
        <v>102</v>
      </c>
      <c r="D127" s="12" t="s">
        <v>33</v>
      </c>
      <c r="E127" s="49" t="n">
        <f aca="false">-SUMIF($J$4:$EO$4,"&lt;="&amp;In_COD,$J83:$EO83)</f>
        <v>340.170197534084</v>
      </c>
    </row>
    <row r="128" customFormat="false" ht="15" hidden="false" customHeight="false" outlineLevel="0" collapsed="false">
      <c r="C128" s="26" t="s">
        <v>103</v>
      </c>
      <c r="D128" s="12" t="s">
        <v>33</v>
      </c>
      <c r="E128" s="58" t="n">
        <f aca="false">SUM($E121:$E127)</f>
        <v>85521.1862751514</v>
      </c>
    </row>
    <row r="129" customFormat="false" ht="15" hidden="false" customHeight="false" outlineLevel="0" collapsed="false">
      <c r="C129" s="1" t="s">
        <v>507</v>
      </c>
      <c r="D129" s="12" t="s">
        <v>33</v>
      </c>
      <c r="E129" s="49" t="n">
        <f aca="false">$E128-$E103</f>
        <v>36021.1862751514</v>
      </c>
      <c r="F129" s="49" t="n">
        <f aca="false">$E129+$E106</f>
        <v>37198.7878144262</v>
      </c>
    </row>
    <row r="130" customFormat="false" ht="15" hidden="false" customHeight="false" outlineLevel="0" collapsed="false">
      <c r="C130" s="1" t="s">
        <v>107</v>
      </c>
      <c r="D130" s="12" t="s">
        <v>27</v>
      </c>
      <c r="E130" s="50" t="n">
        <f aca="false">$E103/$E128</f>
        <v>0.578803945033471</v>
      </c>
    </row>
    <row r="131" customFormat="false" ht="15" hidden="false" customHeight="false" outlineLevel="0" collapsed="false">
      <c r="C131" s="1" t="s">
        <v>508</v>
      </c>
      <c r="D131" s="12" t="s">
        <v>33</v>
      </c>
      <c r="E131" s="49" t="n">
        <f aca="false">$E88*In_DSCR/In_DSCR_Max_Low</f>
        <v>85073.4459336275</v>
      </c>
      <c r="F131" s="49" t="n">
        <f aca="false">$E88*In_DSCR/In_DSCR_Max_High</f>
        <v>77983.9921058252</v>
      </c>
    </row>
    <row r="132" customFormat="false" ht="15" hidden="false" customHeight="false" outlineLevel="0" collapsed="false">
      <c r="C132" s="1" t="s">
        <v>509</v>
      </c>
      <c r="D132" s="12" t="s">
        <v>27</v>
      </c>
      <c r="E132" s="50" t="n">
        <f aca="false">$E131/$E128</f>
        <v>0.994764568161118</v>
      </c>
      <c r="F132" s="50" t="n">
        <f aca="false">$F131/$E128</f>
        <v>0.911867520814358</v>
      </c>
    </row>
    <row r="134" customFormat="false" ht="15" hidden="false" customHeight="false" outlineLevel="0" collapsed="false">
      <c r="A134" s="10" t="s">
        <v>13</v>
      </c>
      <c r="B134" s="10"/>
      <c r="C134" s="10" t="s">
        <v>123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</row>
    <row r="135" customFormat="false" ht="15" hidden="false" customHeight="false" outlineLevel="0" collapsed="false">
      <c r="C135" s="1" t="s">
        <v>510</v>
      </c>
      <c r="D135" s="12" t="s">
        <v>33</v>
      </c>
      <c r="I135" s="49" t="n">
        <f aca="false">SUM(J135:EO135)</f>
        <v>-36021.1862751514</v>
      </c>
      <c r="J135" s="49" t="n">
        <f aca="false">(J63+J70+J100+J104+J105+J83)*(J$4&lt;=In_COD)</f>
        <v>-4662.80993807469</v>
      </c>
      <c r="K135" s="49" t="n">
        <f aca="false">(K63+K70+K100+K104+K105+K83)*(K$4&lt;=In_COD)</f>
        <v>-706.535577057768</v>
      </c>
      <c r="L135" s="49" t="n">
        <f aca="false">(L63+L70+L100+L104+L105+L83)*(L$4&lt;=In_COD)</f>
        <v>-104.360496659404</v>
      </c>
      <c r="M135" s="49" t="n">
        <f aca="false">(M63+M70+M100+M104+M105+M83)*(M$4&lt;=In_COD)</f>
        <v>-105.507315304013</v>
      </c>
      <c r="N135" s="49" t="n">
        <f aca="false">(N63+N70+N100+N104+N105+N83)*(N$4&lt;=In_COD)</f>
        <v>-105.507315304013</v>
      </c>
      <c r="O135" s="49" t="n">
        <f aca="false">(O63+O70+O100+O104+O105+O83)*(O$4&lt;=In_COD)</f>
        <v>-104.360496659404</v>
      </c>
      <c r="P135" s="49" t="n">
        <f aca="false">(P63+P70+P100+P104+P105+P83)*(P$4&lt;=In_COD)</f>
        <v>-104.360496659404</v>
      </c>
      <c r="Q135" s="49" t="n">
        <f aca="false">(Q63+Q70+Q100+Q104+Q105+Q83)*(Q$4&lt;=In_COD)</f>
        <v>-105.507315304013</v>
      </c>
      <c r="R135" s="49" t="n">
        <f aca="false">(R63+R70+R100+R104+R105+R83)*(R$4&lt;=In_COD)</f>
        <v>-4087.99741665108</v>
      </c>
      <c r="S135" s="49" t="n">
        <f aca="false">(S63+S70+S100+S104+S105+S83)*(S$4&lt;=In_COD)</f>
        <v>-6180.32604982119</v>
      </c>
      <c r="T135" s="49" t="n">
        <f aca="false">(T63+T70+T100+T104+T105+T83)*(T$4&lt;=In_COD)</f>
        <v>-3153.5649456833</v>
      </c>
      <c r="U135" s="49" t="n">
        <f aca="false">(U63+U70+U100+U104+U105+U83)*(U$4&lt;=In_COD)</f>
        <v>-3176.73865237342</v>
      </c>
      <c r="V135" s="49" t="n">
        <f aca="false">(V63+V70+V100+V104+V105+V83)*(V$4&lt;=In_COD)</f>
        <v>-3165.13163599942</v>
      </c>
      <c r="W135" s="49" t="n">
        <f aca="false">(W63+W70+W100+W104+W105+W83)*(W$4&lt;=In_COD)</f>
        <v>-3086.01166776281</v>
      </c>
      <c r="X135" s="49" t="n">
        <f aca="false">(X63+X70+X100+X104+X105+X83)*(X$4&lt;=In_COD)</f>
        <v>-3109.06941690514</v>
      </c>
      <c r="Y135" s="49" t="n">
        <f aca="false">(Y63+Y70+Y100+Y104+Y105+Y83)*(Y$4&lt;=In_COD)</f>
        <v>-4063.39753893236</v>
      </c>
      <c r="Z135" s="49" t="n">
        <f aca="false">(Z63+Z70+Z100+Z104+Z105+Z83)*(Z$4&lt;=In_COD)</f>
        <v>0</v>
      </c>
      <c r="AA135" s="49" t="n">
        <f aca="false">(AA63+AA70+AA100+AA104+AA105+AA83)*(AA$4&lt;=In_COD)</f>
        <v>0</v>
      </c>
      <c r="AB135" s="49" t="n">
        <f aca="false">(AB63+AB70+AB100+AB104+AB105+AB83)*(AB$4&lt;=In_COD)</f>
        <v>0</v>
      </c>
      <c r="AC135" s="49" t="n">
        <f aca="false">(AC63+AC70+AC100+AC104+AC105+AC83)*(AC$4&lt;=In_COD)</f>
        <v>0</v>
      </c>
      <c r="AD135" s="49" t="n">
        <f aca="false">(AD63+AD70+AD100+AD104+AD105+AD83)*(AD$4&lt;=In_COD)</f>
        <v>0</v>
      </c>
      <c r="AE135" s="49" t="n">
        <f aca="false">(AE63+AE70+AE100+AE104+AE105+AE83)*(AE$4&lt;=In_COD)</f>
        <v>0</v>
      </c>
      <c r="AF135" s="49" t="n">
        <f aca="false">(AF63+AF70+AF100+AF104+AF105+AF83)*(AF$4&lt;=In_COD)</f>
        <v>0</v>
      </c>
      <c r="AG135" s="49" t="n">
        <f aca="false">(AG63+AG70+AG100+AG104+AG105+AG83)*(AG$4&lt;=In_COD)</f>
        <v>0</v>
      </c>
      <c r="AH135" s="49" t="n">
        <f aca="false">(AH63+AH70+AH100+AH104+AH105+AH83)*(AH$4&lt;=In_COD)</f>
        <v>0</v>
      </c>
      <c r="AI135" s="49" t="n">
        <f aca="false">(AI63+AI70+AI100+AI104+AI105+AI83)*(AI$4&lt;=In_COD)</f>
        <v>0</v>
      </c>
      <c r="AJ135" s="49" t="n">
        <f aca="false">(AJ63+AJ70+AJ100+AJ104+AJ105+AJ83)*(AJ$4&lt;=In_COD)</f>
        <v>0</v>
      </c>
      <c r="AK135" s="49" t="n">
        <f aca="false">(AK63+AK70+AK100+AK104+AK105+AK83)*(AK$4&lt;=In_COD)</f>
        <v>0</v>
      </c>
      <c r="AL135" s="49" t="n">
        <f aca="false">(AL63+AL70+AL100+AL104+AL105+AL83)*(AL$4&lt;=In_COD)</f>
        <v>0</v>
      </c>
      <c r="AM135" s="49" t="n">
        <f aca="false">(AM63+AM70+AM100+AM104+AM105+AM83)*(AM$4&lt;=In_COD)</f>
        <v>0</v>
      </c>
      <c r="AN135" s="49" t="n">
        <f aca="false">(AN63+AN70+AN100+AN104+AN105+AN83)*(AN$4&lt;=In_COD)</f>
        <v>0</v>
      </c>
      <c r="AO135" s="49" t="n">
        <f aca="false">(AO63+AO70+AO100+AO104+AO105+AO83)*(AO$4&lt;=In_COD)</f>
        <v>0</v>
      </c>
      <c r="AP135" s="49" t="n">
        <f aca="false">(AP63+AP70+AP100+AP104+AP105+AP83)*(AP$4&lt;=In_COD)</f>
        <v>0</v>
      </c>
      <c r="AQ135" s="49" t="n">
        <f aca="false">(AQ63+AQ70+AQ100+AQ104+AQ105+AQ83)*(AQ$4&lt;=In_COD)</f>
        <v>0</v>
      </c>
      <c r="AR135" s="49" t="n">
        <f aca="false">(AR63+AR70+AR100+AR104+AR105+AR83)*(AR$4&lt;=In_COD)</f>
        <v>0</v>
      </c>
      <c r="AS135" s="49" t="n">
        <f aca="false">(AS63+AS70+AS100+AS104+AS105+AS83)*(AS$4&lt;=In_COD)</f>
        <v>0</v>
      </c>
      <c r="AT135" s="49" t="n">
        <f aca="false">(AT63+AT70+AT100+AT104+AT105+AT83)*(AT$4&lt;=In_COD)</f>
        <v>0</v>
      </c>
      <c r="AU135" s="49" t="n">
        <f aca="false">(AU63+AU70+AU100+AU104+AU105+AU83)*(AU$4&lt;=In_COD)</f>
        <v>0</v>
      </c>
      <c r="AV135" s="49" t="n">
        <f aca="false">(AV63+AV70+AV100+AV104+AV105+AV83)*(AV$4&lt;=In_COD)</f>
        <v>0</v>
      </c>
      <c r="AW135" s="49" t="n">
        <f aca="false">(AW63+AW70+AW100+AW104+AW105+AW83)*(AW$4&lt;=In_COD)</f>
        <v>0</v>
      </c>
      <c r="AX135" s="49" t="n">
        <f aca="false">(AX63+AX70+AX100+AX104+AX105+AX83)*(AX$4&lt;=In_COD)</f>
        <v>0</v>
      </c>
      <c r="AY135" s="49" t="n">
        <f aca="false">(AY63+AY70+AY100+AY104+AY105+AY83)*(AY$4&lt;=In_COD)</f>
        <v>0</v>
      </c>
      <c r="AZ135" s="49" t="n">
        <f aca="false">(AZ63+AZ70+AZ100+AZ104+AZ105+AZ83)*(AZ$4&lt;=In_COD)</f>
        <v>0</v>
      </c>
      <c r="BA135" s="49" t="n">
        <f aca="false">(BA63+BA70+BA100+BA104+BA105+BA83)*(BA$4&lt;=In_COD)</f>
        <v>0</v>
      </c>
      <c r="BB135" s="49" t="n">
        <f aca="false">(BB63+BB70+BB100+BB104+BB105+BB83)*(BB$4&lt;=In_COD)</f>
        <v>0</v>
      </c>
      <c r="BC135" s="49" t="n">
        <f aca="false">(BC63+BC70+BC100+BC104+BC105+BC83)*(BC$4&lt;=In_COD)</f>
        <v>0</v>
      </c>
      <c r="BD135" s="49" t="n">
        <f aca="false">(BD63+BD70+BD100+BD104+BD105+BD83)*(BD$4&lt;=In_COD)</f>
        <v>0</v>
      </c>
      <c r="BE135" s="49" t="n">
        <f aca="false">(BE63+BE70+BE100+BE104+BE105+BE83)*(BE$4&lt;=In_COD)</f>
        <v>0</v>
      </c>
      <c r="BF135" s="49" t="n">
        <f aca="false">(BF63+BF70+BF100+BF104+BF105+BF83)*(BF$4&lt;=In_COD)</f>
        <v>0</v>
      </c>
      <c r="BG135" s="49" t="n">
        <f aca="false">(BG63+BG70+BG100+BG104+BG105+BG83)*(BG$4&lt;=In_COD)</f>
        <v>0</v>
      </c>
      <c r="BH135" s="49" t="n">
        <f aca="false">(BH63+BH70+BH100+BH104+BH105+BH83)*(BH$4&lt;=In_COD)</f>
        <v>0</v>
      </c>
      <c r="BI135" s="49" t="n">
        <f aca="false">(BI63+BI70+BI100+BI104+BI105+BI83)*(BI$4&lt;=In_COD)</f>
        <v>0</v>
      </c>
      <c r="BJ135" s="49" t="n">
        <f aca="false">(BJ63+BJ70+BJ100+BJ104+BJ105+BJ83)*(BJ$4&lt;=In_COD)</f>
        <v>0</v>
      </c>
      <c r="BK135" s="49" t="n">
        <f aca="false">(BK63+BK70+BK100+BK104+BK105+BK83)*(BK$4&lt;=In_COD)</f>
        <v>0</v>
      </c>
      <c r="BL135" s="49" t="n">
        <f aca="false">(BL63+BL70+BL100+BL104+BL105+BL83)*(BL$4&lt;=In_COD)</f>
        <v>0</v>
      </c>
      <c r="BM135" s="49" t="n">
        <f aca="false">(BM63+BM70+BM100+BM104+BM105+BM83)*(BM$4&lt;=In_COD)</f>
        <v>0</v>
      </c>
      <c r="BN135" s="49" t="n">
        <f aca="false">(BN63+BN70+BN100+BN104+BN105+BN83)*(BN$4&lt;=In_COD)</f>
        <v>0</v>
      </c>
      <c r="BO135" s="49" t="n">
        <f aca="false">(BO63+BO70+BO100+BO104+BO105+BO83)*(BO$4&lt;=In_COD)</f>
        <v>0</v>
      </c>
      <c r="BP135" s="49" t="n">
        <f aca="false">(BP63+BP70+BP100+BP104+BP105+BP83)*(BP$4&lt;=In_COD)</f>
        <v>0</v>
      </c>
      <c r="BQ135" s="49" t="n">
        <f aca="false">(BQ63+BQ70+BQ100+BQ104+BQ105+BQ83)*(BQ$4&lt;=In_COD)</f>
        <v>0</v>
      </c>
      <c r="BR135" s="49" t="n">
        <f aca="false">(BR63+BR70+BR100+BR104+BR105+BR83)*(BR$4&lt;=In_COD)</f>
        <v>0</v>
      </c>
      <c r="BS135" s="49" t="n">
        <f aca="false">(BS63+BS70+BS100+BS104+BS105+BS83)*(BS$4&lt;=In_COD)</f>
        <v>0</v>
      </c>
      <c r="BT135" s="49" t="n">
        <f aca="false">(BT63+BT70+BT100+BT104+BT105+BT83)*(BT$4&lt;=In_COD)</f>
        <v>0</v>
      </c>
      <c r="BU135" s="49" t="n">
        <f aca="false">(BU63+BU70+BU100+BU104+BU105+BU83)*(BU$4&lt;=In_COD)</f>
        <v>0</v>
      </c>
      <c r="BV135" s="49" t="n">
        <f aca="false">(BV63+BV70+BV100+BV104+BV105+BV83)*(BV$4&lt;=In_COD)</f>
        <v>0</v>
      </c>
      <c r="BW135" s="49" t="n">
        <f aca="false">(BW63+BW70+BW100+BW104+BW105+BW83)*(BW$4&lt;=In_COD)</f>
        <v>0</v>
      </c>
      <c r="BX135" s="49" t="n">
        <f aca="false">(BX63+BX70+BX100+BX104+BX105+BX83)*(BX$4&lt;=In_COD)</f>
        <v>0</v>
      </c>
      <c r="BY135" s="49" t="n">
        <f aca="false">(BY63+BY70+BY100+BY104+BY105+BY83)*(BY$4&lt;=In_COD)</f>
        <v>0</v>
      </c>
      <c r="BZ135" s="49" t="n">
        <f aca="false">(BZ63+BZ70+BZ100+BZ104+BZ105+BZ83)*(BZ$4&lt;=In_COD)</f>
        <v>0</v>
      </c>
      <c r="CA135" s="49" t="n">
        <f aca="false">(CA63+CA70+CA100+CA104+CA105+CA83)*(CA$4&lt;=In_COD)</f>
        <v>0</v>
      </c>
      <c r="CB135" s="49" t="n">
        <f aca="false">(CB63+CB70+CB100+CB104+CB105+CB83)*(CB$4&lt;=In_COD)</f>
        <v>0</v>
      </c>
      <c r="CC135" s="49" t="n">
        <f aca="false">(CC63+CC70+CC100+CC104+CC105+CC83)*(CC$4&lt;=In_COD)</f>
        <v>0</v>
      </c>
      <c r="CD135" s="49" t="n">
        <f aca="false">(CD63+CD70+CD100+CD104+CD105+CD83)*(CD$4&lt;=In_COD)</f>
        <v>0</v>
      </c>
      <c r="CE135" s="49" t="n">
        <f aca="false">(CE63+CE70+CE100+CE104+CE105+CE83)*(CE$4&lt;=In_COD)</f>
        <v>0</v>
      </c>
      <c r="CF135" s="49" t="n">
        <f aca="false">(CF63+CF70+CF100+CF104+CF105+CF83)*(CF$4&lt;=In_COD)</f>
        <v>0</v>
      </c>
      <c r="CG135" s="49" t="n">
        <f aca="false">(CG63+CG70+CG100+CG104+CG105+CG83)*(CG$4&lt;=In_COD)</f>
        <v>0</v>
      </c>
      <c r="CH135" s="49" t="n">
        <f aca="false">(CH63+CH70+CH100+CH104+CH105+CH83)*(CH$4&lt;=In_COD)</f>
        <v>0</v>
      </c>
      <c r="CI135" s="49" t="n">
        <f aca="false">(CI63+CI70+CI100+CI104+CI105+CI83)*(CI$4&lt;=In_COD)</f>
        <v>0</v>
      </c>
      <c r="CJ135" s="49" t="n">
        <f aca="false">(CJ63+CJ70+CJ100+CJ104+CJ105+CJ83)*(CJ$4&lt;=In_COD)</f>
        <v>0</v>
      </c>
      <c r="CK135" s="49" t="n">
        <f aca="false">(CK63+CK70+CK100+CK104+CK105+CK83)*(CK$4&lt;=In_COD)</f>
        <v>0</v>
      </c>
      <c r="CL135" s="49" t="n">
        <f aca="false">(CL63+CL70+CL100+CL104+CL105+CL83)*(CL$4&lt;=In_COD)</f>
        <v>0</v>
      </c>
      <c r="CM135" s="49" t="n">
        <f aca="false">(CM63+CM70+CM100+CM104+CM105+CM83)*(CM$4&lt;=In_COD)</f>
        <v>0</v>
      </c>
      <c r="CN135" s="49" t="n">
        <f aca="false">(CN63+CN70+CN100+CN104+CN105+CN83)*(CN$4&lt;=In_COD)</f>
        <v>0</v>
      </c>
      <c r="CO135" s="49" t="n">
        <f aca="false">(CO63+CO70+CO100+CO104+CO105+CO83)*(CO$4&lt;=In_COD)</f>
        <v>0</v>
      </c>
      <c r="CP135" s="49" t="n">
        <f aca="false">(CP63+CP70+CP100+CP104+CP105+CP83)*(CP$4&lt;=In_COD)</f>
        <v>0</v>
      </c>
      <c r="CQ135" s="49" t="n">
        <f aca="false">(CQ63+CQ70+CQ100+CQ104+CQ105+CQ83)*(CQ$4&lt;=In_COD)</f>
        <v>0</v>
      </c>
      <c r="CR135" s="49" t="n">
        <f aca="false">(CR63+CR70+CR100+CR104+CR105+CR83)*(CR$4&lt;=In_COD)</f>
        <v>0</v>
      </c>
      <c r="CS135" s="49" t="n">
        <f aca="false">(CS63+CS70+CS100+CS104+CS105+CS83)*(CS$4&lt;=In_COD)</f>
        <v>0</v>
      </c>
      <c r="CT135" s="49" t="n">
        <f aca="false">(CT63+CT70+CT100+CT104+CT105+CT83)*(CT$4&lt;=In_COD)</f>
        <v>0</v>
      </c>
      <c r="CU135" s="49" t="n">
        <f aca="false">(CU63+CU70+CU100+CU104+CU105+CU83)*(CU$4&lt;=In_COD)</f>
        <v>0</v>
      </c>
      <c r="CV135" s="49" t="n">
        <f aca="false">(CV63+CV70+CV100+CV104+CV105+CV83)*(CV$4&lt;=In_COD)</f>
        <v>0</v>
      </c>
      <c r="CW135" s="49" t="n">
        <f aca="false">(CW63+CW70+CW100+CW104+CW105+CW83)*(CW$4&lt;=In_COD)</f>
        <v>0</v>
      </c>
      <c r="CX135" s="49" t="n">
        <f aca="false">(CX63+CX70+CX100+CX104+CX105+CX83)*(CX$4&lt;=In_COD)</f>
        <v>0</v>
      </c>
      <c r="CY135" s="49" t="n">
        <f aca="false">(CY63+CY70+CY100+CY104+CY105+CY83)*(CY$4&lt;=In_COD)</f>
        <v>0</v>
      </c>
      <c r="CZ135" s="49" t="n">
        <f aca="false">(CZ63+CZ70+CZ100+CZ104+CZ105+CZ83)*(CZ$4&lt;=In_COD)</f>
        <v>0</v>
      </c>
      <c r="DA135" s="49" t="n">
        <f aca="false">(DA63+DA70+DA100+DA104+DA105+DA83)*(DA$4&lt;=In_COD)</f>
        <v>0</v>
      </c>
      <c r="DB135" s="49" t="n">
        <f aca="false">(DB63+DB70+DB100+DB104+DB105+DB83)*(DB$4&lt;=In_COD)</f>
        <v>0</v>
      </c>
      <c r="DC135" s="49" t="n">
        <f aca="false">(DC63+DC70+DC100+DC104+DC105+DC83)*(DC$4&lt;=In_COD)</f>
        <v>0</v>
      </c>
      <c r="DD135" s="49" t="n">
        <f aca="false">(DD63+DD70+DD100+DD104+DD105+DD83)*(DD$4&lt;=In_COD)</f>
        <v>0</v>
      </c>
      <c r="DE135" s="49" t="n">
        <f aca="false">(DE63+DE70+DE100+DE104+DE105+DE83)*(DE$4&lt;=In_COD)</f>
        <v>0</v>
      </c>
      <c r="DF135" s="49" t="n">
        <f aca="false">(DF63+DF70+DF100+DF104+DF105+DF83)*(DF$4&lt;=In_COD)</f>
        <v>0</v>
      </c>
      <c r="DG135" s="49" t="n">
        <f aca="false">(DG63+DG70+DG100+DG104+DG105+DG83)*(DG$4&lt;=In_COD)</f>
        <v>0</v>
      </c>
      <c r="DH135" s="49" t="n">
        <f aca="false">(DH63+DH70+DH100+DH104+DH105+DH83)*(DH$4&lt;=In_COD)</f>
        <v>0</v>
      </c>
      <c r="DI135" s="49" t="n">
        <f aca="false">(DI63+DI70+DI100+DI104+DI105+DI83)*(DI$4&lt;=In_COD)</f>
        <v>0</v>
      </c>
      <c r="DJ135" s="49" t="n">
        <f aca="false">(DJ63+DJ70+DJ100+DJ104+DJ105+DJ83)*(DJ$4&lt;=In_COD)</f>
        <v>0</v>
      </c>
      <c r="DK135" s="49" t="n">
        <f aca="false">(DK63+DK70+DK100+DK104+DK105+DK83)*(DK$4&lt;=In_COD)</f>
        <v>0</v>
      </c>
      <c r="DL135" s="49" t="n">
        <f aca="false">(DL63+DL70+DL100+DL104+DL105+DL83)*(DL$4&lt;=In_COD)</f>
        <v>0</v>
      </c>
      <c r="DM135" s="49" t="n">
        <f aca="false">(DM63+DM70+DM100+DM104+DM105+DM83)*(DM$4&lt;=In_COD)</f>
        <v>0</v>
      </c>
      <c r="DN135" s="49" t="n">
        <f aca="false">(DN63+DN70+DN100+DN104+DN105+DN83)*(DN$4&lt;=In_COD)</f>
        <v>0</v>
      </c>
      <c r="DO135" s="49" t="n">
        <f aca="false">(DO63+DO70+DO100+DO104+DO105+DO83)*(DO$4&lt;=In_COD)</f>
        <v>0</v>
      </c>
      <c r="DP135" s="49" t="n">
        <f aca="false">(DP63+DP70+DP100+DP104+DP105+DP83)*(DP$4&lt;=In_COD)</f>
        <v>0</v>
      </c>
      <c r="DQ135" s="49" t="n">
        <f aca="false">(DQ63+DQ70+DQ100+DQ104+DQ105+DQ83)*(DQ$4&lt;=In_COD)</f>
        <v>0</v>
      </c>
      <c r="DR135" s="49" t="n">
        <f aca="false">(DR63+DR70+DR100+DR104+DR105+DR83)*(DR$4&lt;=In_COD)</f>
        <v>0</v>
      </c>
      <c r="DS135" s="49" t="n">
        <f aca="false">(DS63+DS70+DS100+DS104+DS105+DS83)*(DS$4&lt;=In_COD)</f>
        <v>0</v>
      </c>
      <c r="DT135" s="49" t="n">
        <f aca="false">(DT63+DT70+DT100+DT104+DT105+DT83)*(DT$4&lt;=In_COD)</f>
        <v>0</v>
      </c>
      <c r="DU135" s="49" t="n">
        <f aca="false">(DU63+DU70+DU100+DU104+DU105+DU83)*(DU$4&lt;=In_COD)</f>
        <v>0</v>
      </c>
      <c r="DV135" s="49" t="n">
        <f aca="false">(DV63+DV70+DV100+DV104+DV105+DV83)*(DV$4&lt;=In_COD)</f>
        <v>0</v>
      </c>
      <c r="DW135" s="49" t="n">
        <f aca="false">(DW63+DW70+DW100+DW104+DW105+DW83)*(DW$4&lt;=In_COD)</f>
        <v>0</v>
      </c>
      <c r="DX135" s="49" t="n">
        <f aca="false">(DX63+DX70+DX100+DX104+DX105+DX83)*(DX$4&lt;=In_COD)</f>
        <v>0</v>
      </c>
      <c r="DY135" s="49" t="n">
        <f aca="false">(DY63+DY70+DY100+DY104+DY105+DY83)*(DY$4&lt;=In_COD)</f>
        <v>0</v>
      </c>
      <c r="DZ135" s="49" t="n">
        <f aca="false">(DZ63+DZ70+DZ100+DZ104+DZ105+DZ83)*(DZ$4&lt;=In_COD)</f>
        <v>0</v>
      </c>
      <c r="EA135" s="49" t="n">
        <f aca="false">(EA63+EA70+EA100+EA104+EA105+EA83)*(EA$4&lt;=In_COD)</f>
        <v>0</v>
      </c>
      <c r="EB135" s="49" t="n">
        <f aca="false">(EB63+EB70+EB100+EB104+EB105+EB83)*(EB$4&lt;=In_COD)</f>
        <v>0</v>
      </c>
      <c r="EC135" s="49" t="n">
        <f aca="false">(EC63+EC70+EC100+EC104+EC105+EC83)*(EC$4&lt;=In_COD)</f>
        <v>0</v>
      </c>
      <c r="ED135" s="49" t="n">
        <f aca="false">(ED63+ED70+ED100+ED104+ED105+ED83)*(ED$4&lt;=In_COD)</f>
        <v>0</v>
      </c>
      <c r="EE135" s="49" t="n">
        <f aca="false">(EE63+EE70+EE100+EE104+EE105+EE83)*(EE$4&lt;=In_COD)</f>
        <v>0</v>
      </c>
      <c r="EF135" s="49" t="n">
        <f aca="false">(EF63+EF70+EF100+EF104+EF105+EF83)*(EF$4&lt;=In_COD)</f>
        <v>0</v>
      </c>
      <c r="EG135" s="49" t="n">
        <f aca="false">(EG63+EG70+EG100+EG104+EG105+EG83)*(EG$4&lt;=In_COD)</f>
        <v>0</v>
      </c>
      <c r="EH135" s="49" t="n">
        <f aca="false">(EH63+EH70+EH100+EH104+EH105+EH83)*(EH$4&lt;=In_COD)</f>
        <v>0</v>
      </c>
      <c r="EI135" s="49" t="n">
        <f aca="false">(EI63+EI70+EI100+EI104+EI105+EI83)*(EI$4&lt;=In_COD)</f>
        <v>0</v>
      </c>
      <c r="EJ135" s="49" t="n">
        <f aca="false">(EJ63+EJ70+EJ100+EJ104+EJ105+EJ83)*(EJ$4&lt;=In_COD)</f>
        <v>0</v>
      </c>
      <c r="EK135" s="49" t="n">
        <f aca="false">(EK63+EK70+EK100+EK104+EK105+EK83)*(EK$4&lt;=In_COD)</f>
        <v>0</v>
      </c>
      <c r="EL135" s="49" t="n">
        <f aca="false">(EL63+EL70+EL100+EL104+EL105+EL83)*(EL$4&lt;=In_COD)</f>
        <v>0</v>
      </c>
      <c r="EM135" s="49" t="n">
        <f aca="false">(EM63+EM70+EM100+EM104+EM105+EM83)*(EM$4&lt;=In_COD)</f>
        <v>0</v>
      </c>
      <c r="EN135" s="49" t="n">
        <f aca="false">(EN63+EN70+EN100+EN104+EN105+EN83)*(EN$4&lt;=In_COD)</f>
        <v>0</v>
      </c>
      <c r="EO135" s="49" t="n">
        <f aca="false">(EO63+EO70+EO100+EO104+EO105+EO83)*(EO$4&lt;=In_COD)</f>
        <v>0</v>
      </c>
    </row>
    <row r="136" customFormat="false" ht="15" hidden="false" customHeight="false" outlineLevel="0" collapsed="false">
      <c r="C136" s="1" t="s">
        <v>511</v>
      </c>
      <c r="D136" s="12" t="s">
        <v>33</v>
      </c>
      <c r="E136" s="49" t="n">
        <f aca="false">IF($E44=1,In_COD_Price,In_COD_Price_CN)*$F25*(1-$E29)</f>
        <v>114975</v>
      </c>
    </row>
    <row r="137" customFormat="false" ht="15" hidden="false" customHeight="false" outlineLevel="0" collapsed="false">
      <c r="C137" s="1" t="s">
        <v>512</v>
      </c>
      <c r="D137" s="12" t="s">
        <v>33</v>
      </c>
      <c r="E137" s="49" t="n">
        <f aca="false">$E136+$I62-$E103-In_Sale_Costs</f>
        <v>64975</v>
      </c>
    </row>
    <row r="138" customFormat="false" ht="15" hidden="false" customHeight="false" outlineLevel="0" collapsed="false">
      <c r="C138" s="1" t="s">
        <v>126</v>
      </c>
      <c r="D138" s="12" t="s">
        <v>33</v>
      </c>
      <c r="E138" s="49" t="n">
        <f aca="false">-In_CIT*In_Sale_Gain_Taxed*MAX(0,$E137+$I135)</f>
        <v>-0</v>
      </c>
    </row>
    <row r="139" customFormat="false" ht="15" hidden="false" customHeight="false" outlineLevel="0" collapsed="false">
      <c r="C139" s="26" t="s">
        <v>513</v>
      </c>
      <c r="D139" s="12" t="s">
        <v>33</v>
      </c>
      <c r="I139" s="58" t="n">
        <f aca="false">SUM(J139:EO139)</f>
        <v>28953.8137248486</v>
      </c>
      <c r="J139" s="58" t="n">
        <f aca="false">J135+($E137+$E138)*J14</f>
        <v>-4662.80993807469</v>
      </c>
      <c r="K139" s="58" t="n">
        <f aca="false">K135+($E137+$E138)*K14</f>
        <v>-706.535577057768</v>
      </c>
      <c r="L139" s="58" t="n">
        <f aca="false">L135+($E137+$E138)*L14</f>
        <v>-104.360496659404</v>
      </c>
      <c r="M139" s="58" t="n">
        <f aca="false">M135+($E137+$E138)*M14</f>
        <v>-105.507315304013</v>
      </c>
      <c r="N139" s="58" t="n">
        <f aca="false">N135+($E137+$E138)*N14</f>
        <v>-105.507315304013</v>
      </c>
      <c r="O139" s="58" t="n">
        <f aca="false">O135+($E137+$E138)*O14</f>
        <v>-104.360496659404</v>
      </c>
      <c r="P139" s="58" t="n">
        <f aca="false">P135+($E137+$E138)*P14</f>
        <v>-104.360496659404</v>
      </c>
      <c r="Q139" s="58" t="n">
        <f aca="false">Q135+($E137+$E138)*Q14</f>
        <v>-105.507315304013</v>
      </c>
      <c r="R139" s="58" t="n">
        <f aca="false">R135+($E137+$E138)*R14</f>
        <v>-4087.99741665108</v>
      </c>
      <c r="S139" s="58" t="n">
        <f aca="false">S135+($E137+$E138)*S14</f>
        <v>-6180.32604982119</v>
      </c>
      <c r="T139" s="58" t="n">
        <f aca="false">T135+($E137+$E138)*T14</f>
        <v>-3153.5649456833</v>
      </c>
      <c r="U139" s="58" t="n">
        <f aca="false">U135+($E137+$E138)*U14</f>
        <v>-3176.73865237342</v>
      </c>
      <c r="V139" s="58" t="n">
        <f aca="false">V135+($E137+$E138)*V14</f>
        <v>-3165.13163599942</v>
      </c>
      <c r="W139" s="58" t="n">
        <f aca="false">W135+($E137+$E138)*W14</f>
        <v>-3086.01166776281</v>
      </c>
      <c r="X139" s="58" t="n">
        <f aca="false">X135+($E137+$E138)*X14</f>
        <v>-3109.06941690514</v>
      </c>
      <c r="Y139" s="58" t="n">
        <f aca="false">Y135+($E137+$E138)*Y14</f>
        <v>60911.6024610677</v>
      </c>
      <c r="Z139" s="58" t="n">
        <f aca="false">Z135+($E137+$E138)*Z14</f>
        <v>0</v>
      </c>
      <c r="AA139" s="58" t="n">
        <f aca="false">AA135+($E137+$E138)*AA14</f>
        <v>0</v>
      </c>
      <c r="AB139" s="58" t="n">
        <f aca="false">AB135+($E137+$E138)*AB14</f>
        <v>0</v>
      </c>
      <c r="AC139" s="58" t="n">
        <f aca="false">AC135+($E137+$E138)*AC14</f>
        <v>0</v>
      </c>
      <c r="AD139" s="58" t="n">
        <f aca="false">AD135+($E137+$E138)*AD14</f>
        <v>0</v>
      </c>
      <c r="AE139" s="58" t="n">
        <f aca="false">AE135+($E137+$E138)*AE14</f>
        <v>0</v>
      </c>
      <c r="AF139" s="58" t="n">
        <f aca="false">AF135+($E137+$E138)*AF14</f>
        <v>0</v>
      </c>
      <c r="AG139" s="58" t="n">
        <f aca="false">AG135+($E137+$E138)*AG14</f>
        <v>0</v>
      </c>
      <c r="AH139" s="58" t="n">
        <f aca="false">AH135+($E137+$E138)*AH14</f>
        <v>0</v>
      </c>
      <c r="AI139" s="58" t="n">
        <f aca="false">AI135+($E137+$E138)*AI14</f>
        <v>0</v>
      </c>
      <c r="AJ139" s="58" t="n">
        <f aca="false">AJ135+($E137+$E138)*AJ14</f>
        <v>0</v>
      </c>
      <c r="AK139" s="58" t="n">
        <f aca="false">AK135+($E137+$E138)*AK14</f>
        <v>0</v>
      </c>
      <c r="AL139" s="58" t="n">
        <f aca="false">AL135+($E137+$E138)*AL14</f>
        <v>0</v>
      </c>
      <c r="AM139" s="58" t="n">
        <f aca="false">AM135+($E137+$E138)*AM14</f>
        <v>0</v>
      </c>
      <c r="AN139" s="58" t="n">
        <f aca="false">AN135+($E137+$E138)*AN14</f>
        <v>0</v>
      </c>
      <c r="AO139" s="58" t="n">
        <f aca="false">AO135+($E137+$E138)*AO14</f>
        <v>0</v>
      </c>
      <c r="AP139" s="58" t="n">
        <f aca="false">AP135+($E137+$E138)*AP14</f>
        <v>0</v>
      </c>
      <c r="AQ139" s="58" t="n">
        <f aca="false">AQ135+($E137+$E138)*AQ14</f>
        <v>0</v>
      </c>
      <c r="AR139" s="58" t="n">
        <f aca="false">AR135+($E137+$E138)*AR14</f>
        <v>0</v>
      </c>
      <c r="AS139" s="58" t="n">
        <f aca="false">AS135+($E137+$E138)*AS14</f>
        <v>0</v>
      </c>
      <c r="AT139" s="58" t="n">
        <f aca="false">AT135+($E137+$E138)*AT14</f>
        <v>0</v>
      </c>
      <c r="AU139" s="58" t="n">
        <f aca="false">AU135+($E137+$E138)*AU14</f>
        <v>0</v>
      </c>
      <c r="AV139" s="58" t="n">
        <f aca="false">AV135+($E137+$E138)*AV14</f>
        <v>0</v>
      </c>
      <c r="AW139" s="58" t="n">
        <f aca="false">AW135+($E137+$E138)*AW14</f>
        <v>0</v>
      </c>
      <c r="AX139" s="58" t="n">
        <f aca="false">AX135+($E137+$E138)*AX14</f>
        <v>0</v>
      </c>
      <c r="AY139" s="58" t="n">
        <f aca="false">AY135+($E137+$E138)*AY14</f>
        <v>0</v>
      </c>
      <c r="AZ139" s="58" t="n">
        <f aca="false">AZ135+($E137+$E138)*AZ14</f>
        <v>0</v>
      </c>
      <c r="BA139" s="58" t="n">
        <f aca="false">BA135+($E137+$E138)*BA14</f>
        <v>0</v>
      </c>
      <c r="BB139" s="58" t="n">
        <f aca="false">BB135+($E137+$E138)*BB14</f>
        <v>0</v>
      </c>
      <c r="BC139" s="58" t="n">
        <f aca="false">BC135+($E137+$E138)*BC14</f>
        <v>0</v>
      </c>
      <c r="BD139" s="58" t="n">
        <f aca="false">BD135+($E137+$E138)*BD14</f>
        <v>0</v>
      </c>
      <c r="BE139" s="58" t="n">
        <f aca="false">BE135+($E137+$E138)*BE14</f>
        <v>0</v>
      </c>
      <c r="BF139" s="58" t="n">
        <f aca="false">BF135+($E137+$E138)*BF14</f>
        <v>0</v>
      </c>
      <c r="BG139" s="58" t="n">
        <f aca="false">BG135+($E137+$E138)*BG14</f>
        <v>0</v>
      </c>
      <c r="BH139" s="58" t="n">
        <f aca="false">BH135+($E137+$E138)*BH14</f>
        <v>0</v>
      </c>
      <c r="BI139" s="58" t="n">
        <f aca="false">BI135+($E137+$E138)*BI14</f>
        <v>0</v>
      </c>
      <c r="BJ139" s="58" t="n">
        <f aca="false">BJ135+($E137+$E138)*BJ14</f>
        <v>0</v>
      </c>
      <c r="BK139" s="58" t="n">
        <f aca="false">BK135+($E137+$E138)*BK14</f>
        <v>0</v>
      </c>
      <c r="BL139" s="58" t="n">
        <f aca="false">BL135+($E137+$E138)*BL14</f>
        <v>0</v>
      </c>
      <c r="BM139" s="58" t="n">
        <f aca="false">BM135+($E137+$E138)*BM14</f>
        <v>0</v>
      </c>
      <c r="BN139" s="58" t="n">
        <f aca="false">BN135+($E137+$E138)*BN14</f>
        <v>0</v>
      </c>
      <c r="BO139" s="58" t="n">
        <f aca="false">BO135+($E137+$E138)*BO14</f>
        <v>0</v>
      </c>
      <c r="BP139" s="58" t="n">
        <f aca="false">BP135+($E137+$E138)*BP14</f>
        <v>0</v>
      </c>
      <c r="BQ139" s="58" t="n">
        <f aca="false">BQ135+($E137+$E138)*BQ14</f>
        <v>0</v>
      </c>
      <c r="BR139" s="58" t="n">
        <f aca="false">BR135+($E137+$E138)*BR14</f>
        <v>0</v>
      </c>
      <c r="BS139" s="58" t="n">
        <f aca="false">BS135+($E137+$E138)*BS14</f>
        <v>0</v>
      </c>
      <c r="BT139" s="58" t="n">
        <f aca="false">BT135+($E137+$E138)*BT14</f>
        <v>0</v>
      </c>
      <c r="BU139" s="58" t="n">
        <f aca="false">BU135+($E137+$E138)*BU14</f>
        <v>0</v>
      </c>
      <c r="BV139" s="58" t="n">
        <f aca="false">BV135+($E137+$E138)*BV14</f>
        <v>0</v>
      </c>
      <c r="BW139" s="58" t="n">
        <f aca="false">BW135+($E137+$E138)*BW14</f>
        <v>0</v>
      </c>
      <c r="BX139" s="58" t="n">
        <f aca="false">BX135+($E137+$E138)*BX14</f>
        <v>0</v>
      </c>
      <c r="BY139" s="58" t="n">
        <f aca="false">BY135+($E137+$E138)*BY14</f>
        <v>0</v>
      </c>
      <c r="BZ139" s="58" t="n">
        <f aca="false">BZ135+($E137+$E138)*BZ14</f>
        <v>0</v>
      </c>
      <c r="CA139" s="58" t="n">
        <f aca="false">CA135+($E137+$E138)*CA14</f>
        <v>0</v>
      </c>
      <c r="CB139" s="58" t="n">
        <f aca="false">CB135+($E137+$E138)*CB14</f>
        <v>0</v>
      </c>
      <c r="CC139" s="58" t="n">
        <f aca="false">CC135+($E137+$E138)*CC14</f>
        <v>0</v>
      </c>
      <c r="CD139" s="58" t="n">
        <f aca="false">CD135+($E137+$E138)*CD14</f>
        <v>0</v>
      </c>
      <c r="CE139" s="58" t="n">
        <f aca="false">CE135+($E137+$E138)*CE14</f>
        <v>0</v>
      </c>
      <c r="CF139" s="58" t="n">
        <f aca="false">CF135+($E137+$E138)*CF14</f>
        <v>0</v>
      </c>
      <c r="CG139" s="58" t="n">
        <f aca="false">CG135+($E137+$E138)*CG14</f>
        <v>0</v>
      </c>
      <c r="CH139" s="58" t="n">
        <f aca="false">CH135+($E137+$E138)*CH14</f>
        <v>0</v>
      </c>
      <c r="CI139" s="58" t="n">
        <f aca="false">CI135+($E137+$E138)*CI14</f>
        <v>0</v>
      </c>
      <c r="CJ139" s="58" t="n">
        <f aca="false">CJ135+($E137+$E138)*CJ14</f>
        <v>0</v>
      </c>
      <c r="CK139" s="58" t="n">
        <f aca="false">CK135+($E137+$E138)*CK14</f>
        <v>0</v>
      </c>
      <c r="CL139" s="58" t="n">
        <f aca="false">CL135+($E137+$E138)*CL14</f>
        <v>0</v>
      </c>
      <c r="CM139" s="58" t="n">
        <f aca="false">CM135+($E137+$E138)*CM14</f>
        <v>0</v>
      </c>
      <c r="CN139" s="58" t="n">
        <f aca="false">CN135+($E137+$E138)*CN14</f>
        <v>0</v>
      </c>
      <c r="CO139" s="58" t="n">
        <f aca="false">CO135+($E137+$E138)*CO14</f>
        <v>0</v>
      </c>
      <c r="CP139" s="58" t="n">
        <f aca="false">CP135+($E137+$E138)*CP14</f>
        <v>0</v>
      </c>
      <c r="CQ139" s="58" t="n">
        <f aca="false">CQ135+($E137+$E138)*CQ14</f>
        <v>0</v>
      </c>
      <c r="CR139" s="58" t="n">
        <f aca="false">CR135+($E137+$E138)*CR14</f>
        <v>0</v>
      </c>
      <c r="CS139" s="58" t="n">
        <f aca="false">CS135+($E137+$E138)*CS14</f>
        <v>0</v>
      </c>
      <c r="CT139" s="58" t="n">
        <f aca="false">CT135+($E137+$E138)*CT14</f>
        <v>0</v>
      </c>
      <c r="CU139" s="58" t="n">
        <f aca="false">CU135+($E137+$E138)*CU14</f>
        <v>0</v>
      </c>
      <c r="CV139" s="58" t="n">
        <f aca="false">CV135+($E137+$E138)*CV14</f>
        <v>0</v>
      </c>
      <c r="CW139" s="58" t="n">
        <f aca="false">CW135+($E137+$E138)*CW14</f>
        <v>0</v>
      </c>
      <c r="CX139" s="58" t="n">
        <f aca="false">CX135+($E137+$E138)*CX14</f>
        <v>0</v>
      </c>
      <c r="CY139" s="58" t="n">
        <f aca="false">CY135+($E137+$E138)*CY14</f>
        <v>0</v>
      </c>
      <c r="CZ139" s="58" t="n">
        <f aca="false">CZ135+($E137+$E138)*CZ14</f>
        <v>0</v>
      </c>
      <c r="DA139" s="58" t="n">
        <f aca="false">DA135+($E137+$E138)*DA14</f>
        <v>0</v>
      </c>
      <c r="DB139" s="58" t="n">
        <f aca="false">DB135+($E137+$E138)*DB14</f>
        <v>0</v>
      </c>
      <c r="DC139" s="58" t="n">
        <f aca="false">DC135+($E137+$E138)*DC14</f>
        <v>0</v>
      </c>
      <c r="DD139" s="58" t="n">
        <f aca="false">DD135+($E137+$E138)*DD14</f>
        <v>0</v>
      </c>
      <c r="DE139" s="58" t="n">
        <f aca="false">DE135+($E137+$E138)*DE14</f>
        <v>0</v>
      </c>
      <c r="DF139" s="58" t="n">
        <f aca="false">DF135+($E137+$E138)*DF14</f>
        <v>0</v>
      </c>
      <c r="DG139" s="58" t="n">
        <f aca="false">DG135+($E137+$E138)*DG14</f>
        <v>0</v>
      </c>
      <c r="DH139" s="58" t="n">
        <f aca="false">DH135+($E137+$E138)*DH14</f>
        <v>0</v>
      </c>
      <c r="DI139" s="58" t="n">
        <f aca="false">DI135+($E137+$E138)*DI14</f>
        <v>0</v>
      </c>
      <c r="DJ139" s="58" t="n">
        <f aca="false">DJ135+($E137+$E138)*DJ14</f>
        <v>0</v>
      </c>
      <c r="DK139" s="58" t="n">
        <f aca="false">DK135+($E137+$E138)*DK14</f>
        <v>0</v>
      </c>
      <c r="DL139" s="58" t="n">
        <f aca="false">DL135+($E137+$E138)*DL14</f>
        <v>0</v>
      </c>
      <c r="DM139" s="58" t="n">
        <f aca="false">DM135+($E137+$E138)*DM14</f>
        <v>0</v>
      </c>
      <c r="DN139" s="58" t="n">
        <f aca="false">DN135+($E137+$E138)*DN14</f>
        <v>0</v>
      </c>
      <c r="DO139" s="58" t="n">
        <f aca="false">DO135+($E137+$E138)*DO14</f>
        <v>0</v>
      </c>
      <c r="DP139" s="58" t="n">
        <f aca="false">DP135+($E137+$E138)*DP14</f>
        <v>0</v>
      </c>
      <c r="DQ139" s="58" t="n">
        <f aca="false">DQ135+($E137+$E138)*DQ14</f>
        <v>0</v>
      </c>
      <c r="DR139" s="58" t="n">
        <f aca="false">DR135+($E137+$E138)*DR14</f>
        <v>0</v>
      </c>
      <c r="DS139" s="58" t="n">
        <f aca="false">DS135+($E137+$E138)*DS14</f>
        <v>0</v>
      </c>
      <c r="DT139" s="58" t="n">
        <f aca="false">DT135+($E137+$E138)*DT14</f>
        <v>0</v>
      </c>
      <c r="DU139" s="58" t="n">
        <f aca="false">DU135+($E137+$E138)*DU14</f>
        <v>0</v>
      </c>
      <c r="DV139" s="58" t="n">
        <f aca="false">DV135+($E137+$E138)*DV14</f>
        <v>0</v>
      </c>
      <c r="DW139" s="58" t="n">
        <f aca="false">DW135+($E137+$E138)*DW14</f>
        <v>0</v>
      </c>
      <c r="DX139" s="58" t="n">
        <f aca="false">DX135+($E137+$E138)*DX14</f>
        <v>0</v>
      </c>
      <c r="DY139" s="58" t="n">
        <f aca="false">DY135+($E137+$E138)*DY14</f>
        <v>0</v>
      </c>
      <c r="DZ139" s="58" t="n">
        <f aca="false">DZ135+($E137+$E138)*DZ14</f>
        <v>0</v>
      </c>
      <c r="EA139" s="58" t="n">
        <f aca="false">EA135+($E137+$E138)*EA14</f>
        <v>0</v>
      </c>
      <c r="EB139" s="58" t="n">
        <f aca="false">EB135+($E137+$E138)*EB14</f>
        <v>0</v>
      </c>
      <c r="EC139" s="58" t="n">
        <f aca="false">EC135+($E137+$E138)*EC14</f>
        <v>0</v>
      </c>
      <c r="ED139" s="58" t="n">
        <f aca="false">ED135+($E137+$E138)*ED14</f>
        <v>0</v>
      </c>
      <c r="EE139" s="58" t="n">
        <f aca="false">EE135+($E137+$E138)*EE14</f>
        <v>0</v>
      </c>
      <c r="EF139" s="58" t="n">
        <f aca="false">EF135+($E137+$E138)*EF14</f>
        <v>0</v>
      </c>
      <c r="EG139" s="58" t="n">
        <f aca="false">EG135+($E137+$E138)*EG14</f>
        <v>0</v>
      </c>
      <c r="EH139" s="58" t="n">
        <f aca="false">EH135+($E137+$E138)*EH14</f>
        <v>0</v>
      </c>
      <c r="EI139" s="58" t="n">
        <f aca="false">EI135+($E137+$E138)*EI14</f>
        <v>0</v>
      </c>
      <c r="EJ139" s="58" t="n">
        <f aca="false">EJ135+($E137+$E138)*EJ14</f>
        <v>0</v>
      </c>
      <c r="EK139" s="58" t="n">
        <f aca="false">EK135+($E137+$E138)*EK14</f>
        <v>0</v>
      </c>
      <c r="EL139" s="58" t="n">
        <f aca="false">EL135+($E137+$E138)*EL14</f>
        <v>0</v>
      </c>
      <c r="EM139" s="58" t="n">
        <f aca="false">EM135+($E137+$E138)*EM14</f>
        <v>0</v>
      </c>
      <c r="EN139" s="58" t="n">
        <f aca="false">EN135+($E137+$E138)*EN14</f>
        <v>0</v>
      </c>
      <c r="EO139" s="58" t="n">
        <f aca="false">EO135+($E137+$E138)*EO14</f>
        <v>0</v>
      </c>
    </row>
    <row r="140" customFormat="false" ht="15" hidden="false" customHeight="false" outlineLevel="0" collapsed="false">
      <c r="C140" s="26" t="s">
        <v>87</v>
      </c>
      <c r="D140" s="12" t="s">
        <v>27</v>
      </c>
      <c r="E140" s="34" t="n">
        <f aca="false">XIRR($J139:$EO139,$J$4:$EO$4)</f>
        <v>0.430590128449621</v>
      </c>
    </row>
    <row r="141" customFormat="false" ht="15" hidden="false" customHeight="false" outlineLevel="0" collapsed="false">
      <c r="C141" s="26" t="s">
        <v>88</v>
      </c>
      <c r="D141" s="12" t="s">
        <v>13</v>
      </c>
      <c r="E141" s="61" t="n">
        <f aca="false">($E137+$E138)/-$I135</f>
        <v>1.80379956128269</v>
      </c>
    </row>
    <row r="142" customFormat="false" ht="15" hidden="false" customHeight="false" outlineLevel="0" collapsed="false">
      <c r="C142" s="26" t="s">
        <v>89</v>
      </c>
      <c r="D142" s="12" t="s">
        <v>33</v>
      </c>
      <c r="E142" s="58" t="n">
        <f aca="false">XNPV(In_Discount_Rate,$J139:$EO139,$J$4:$EO$4)</f>
        <v>18540.4291372498</v>
      </c>
    </row>
    <row r="143" customFormat="false" ht="15" hidden="false" customHeight="false" outlineLevel="0" collapsed="false">
      <c r="A143" s="62"/>
      <c r="B143" s="62"/>
      <c r="C143" s="62" t="s">
        <v>514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62"/>
      <c r="EK143" s="62"/>
      <c r="EL143" s="62"/>
      <c r="EM143" s="62"/>
      <c r="EN143" s="62"/>
      <c r="EO143" s="62"/>
    </row>
    <row r="144" customFormat="false" ht="15" hidden="false" customHeight="false" outlineLevel="0" collapsed="false">
      <c r="C144" s="1" t="s">
        <v>515</v>
      </c>
      <c r="D144" s="12" t="s">
        <v>33</v>
      </c>
      <c r="I144" s="49" t="n">
        <f aca="false">SUM(J144:EO144)</f>
        <v>152100.314292139</v>
      </c>
      <c r="J144" s="49" t="n">
        <f aca="false">(J83+J59+J62+J117)*(J$4&gt;In_COD)-($E136+$I62)*J14</f>
        <v>-0</v>
      </c>
      <c r="K144" s="49" t="n">
        <f aca="false">(K83+K59+K62+K117)*(K$4&gt;In_COD)-($E136+$I62)*K14</f>
        <v>-0</v>
      </c>
      <c r="L144" s="49" t="n">
        <f aca="false">(L83+L59+L62+L117)*(L$4&gt;In_COD)-($E136+$I62)*L14</f>
        <v>-0</v>
      </c>
      <c r="M144" s="49" t="n">
        <f aca="false">(M83+M59+M62+M117)*(M$4&gt;In_COD)-($E136+$I62)*M14</f>
        <v>-0</v>
      </c>
      <c r="N144" s="49" t="n">
        <f aca="false">(N83+N59+N62+N117)*(N$4&gt;In_COD)-($E136+$I62)*N14</f>
        <v>-0</v>
      </c>
      <c r="O144" s="49" t="n">
        <f aca="false">(O83+O59+O62+O117)*(O$4&gt;In_COD)-($E136+$I62)*O14</f>
        <v>-0</v>
      </c>
      <c r="P144" s="49" t="n">
        <f aca="false">(P83+P59+P62+P117)*(P$4&gt;In_COD)-($E136+$I62)*P14</f>
        <v>-0</v>
      </c>
      <c r="Q144" s="49" t="n">
        <f aca="false">(Q83+Q59+Q62+Q117)*(Q$4&gt;In_COD)-($E136+$I62)*Q14</f>
        <v>-0</v>
      </c>
      <c r="R144" s="49" t="n">
        <f aca="false">(R83+R59+R62+R117)*(R$4&gt;In_COD)-($E136+$I62)*R14</f>
        <v>-0</v>
      </c>
      <c r="S144" s="49" t="n">
        <f aca="false">(S83+S59+S62+S117)*(S$4&gt;In_COD)-($E136+$I62)*S14</f>
        <v>-0</v>
      </c>
      <c r="T144" s="49" t="n">
        <f aca="false">(T83+T59+T62+T117)*(T$4&gt;In_COD)-($E136+$I62)*T14</f>
        <v>-0</v>
      </c>
      <c r="U144" s="49" t="n">
        <f aca="false">(U83+U59+U62+U117)*(U$4&gt;In_COD)-($E136+$I62)*U14</f>
        <v>-0</v>
      </c>
      <c r="V144" s="49" t="n">
        <f aca="false">(V83+V59+V62+V117)*(V$4&gt;In_COD)-($E136+$I62)*V14</f>
        <v>-0</v>
      </c>
      <c r="W144" s="49" t="n">
        <f aca="false">(W83+W59+W62+W117)*(W$4&gt;In_COD)-($E136+$I62)*W14</f>
        <v>-0</v>
      </c>
      <c r="X144" s="49" t="n">
        <f aca="false">(X83+X59+X62+X117)*(X$4&gt;In_COD)-($E136+$I62)*X14</f>
        <v>-0</v>
      </c>
      <c r="Y144" s="49" t="n">
        <f aca="false">(Y83+Y59+Y62+Y117)*(Y$4&gt;In_COD)-($E136+$I62)*Y14</f>
        <v>-114975</v>
      </c>
      <c r="Z144" s="49" t="n">
        <f aca="false">(Z83+Z59+Z62+Z117)*(Z$4&gt;In_COD)-($E136+$I62)*Z14</f>
        <v>2309.33651736335</v>
      </c>
      <c r="AA144" s="49" t="n">
        <f aca="false">(AA83+AA59+AA62+AA117)*(AA$4&gt;In_COD)-($E136+$I62)*AA14</f>
        <v>2274.25954151428</v>
      </c>
      <c r="AB144" s="49" t="n">
        <f aca="false">(AB83+AB59+AB62+AB117)*(AB$4&gt;In_COD)-($E136+$I62)*AB14</f>
        <v>2298.4888159862</v>
      </c>
      <c r="AC144" s="49" t="n">
        <f aca="false">(AC83+AC59+AC62+AC117)*(AC$4&gt;In_COD)-($E136+$I62)*AC14</f>
        <v>2322.71145955363</v>
      </c>
      <c r="AD144" s="49" t="n">
        <f aca="false">(AD83+AD59+AD62+AD117)*(AD$4&gt;In_COD)-($E136+$I62)*AD14</f>
        <v>2314.3291355464</v>
      </c>
      <c r="AE144" s="49" t="n">
        <f aca="false">(AE83+AE59+AE62+AE117)*(AE$4&gt;In_COD)-($E136+$I62)*AE14</f>
        <v>2303.78132125338</v>
      </c>
      <c r="AF144" s="49" t="n">
        <f aca="false">(AF83+AF59+AF62+AF117)*(AF$4&gt;In_COD)-($E136+$I62)*AF14</f>
        <v>2251.00080300821</v>
      </c>
      <c r="AG144" s="49" t="n">
        <f aca="false">(AG83+AG59+AG62+AG117)*(AG$4&gt;In_COD)-($E136+$I62)*AG14</f>
        <v>2269.94813195385</v>
      </c>
      <c r="AH144" s="49" t="n">
        <f aca="false">(AH83+AH59+AH62+AH117)*(AH$4&gt;In_COD)-($E136+$I62)*AH14</f>
        <v>2261.55646505474</v>
      </c>
      <c r="AI144" s="49" t="n">
        <f aca="false">(AI83+AI59+AI62+AI117)*(AI$4&gt;In_COD)-($E136+$I62)*AI14</f>
        <v>2226.28046406329</v>
      </c>
      <c r="AJ144" s="49" t="n">
        <f aca="false">(AJ83+AJ59+AJ62+AJ117)*(AJ$4&gt;In_COD)-($E136+$I62)*AJ14</f>
        <v>2277.10621008619</v>
      </c>
      <c r="AK144" s="49" t="n">
        <f aca="false">(AK83+AK59+AK62+AK117)*(AK$4&gt;In_COD)-($E136+$I62)*AK14</f>
        <v>2300.04483724239</v>
      </c>
      <c r="AL144" s="49" t="n">
        <f aca="false">(AL83+AL59+AL62+AL117)*(AL$4&gt;In_COD)-($E136+$I62)*AL14</f>
        <v>2291.54911494265</v>
      </c>
      <c r="AM144" s="49" t="n">
        <f aca="false">(AM83+AM59+AM62+AM117)*(AM$4&gt;In_COD)-($E136+$I62)*AM14</f>
        <v>2255.33286444188</v>
      </c>
      <c r="AN144" s="49" t="n">
        <f aca="false">(AN83+AN59+AN62+AN117)*(AN$4&gt;In_COD)-($E136+$I62)*AN14</f>
        <v>2278.29261632847</v>
      </c>
      <c r="AO144" s="49" t="n">
        <f aca="false">(AO83+AO59+AO62+AO117)*(AO$4&gt;In_COD)-($E136+$I62)*AO14</f>
        <v>2301.23697451037</v>
      </c>
      <c r="AP144" s="49" t="n">
        <f aca="false">(AP83+AP59+AP62+AP117)*(AP$4&gt;In_COD)-($E136+$I62)*AP14</f>
        <v>2292.63408043648</v>
      </c>
      <c r="AQ144" s="49" t="n">
        <f aca="false">(AQ83+AQ59+AQ62+AQ117)*(AQ$4&gt;In_COD)-($E136+$I62)*AQ14</f>
        <v>2256.09160992853</v>
      </c>
      <c r="AR144" s="49" t="n">
        <f aca="false">(AR83+AR59+AR62+AR117)*(AR$4&gt;In_COD)-($E136+$I62)*AR14</f>
        <v>2279.05282132077</v>
      </c>
      <c r="AS144" s="49" t="n">
        <f aca="false">(AS83+AS59+AS62+AS117)*(AS$4&gt;In_COD)-($E136+$I62)*AS14</f>
        <v>2301.99785477085</v>
      </c>
      <c r="AT144" s="49" t="n">
        <f aca="false">(AT83+AT59+AT62+AT117)*(AT$4&gt;In_COD)-($E136+$I62)*AT14</f>
        <v>2293.28452388778</v>
      </c>
      <c r="AU144" s="49" t="n">
        <f aca="false">(AU83+AU59+AU62+AU117)*(AU$4&gt;In_COD)-($E136+$I62)*AU14</f>
        <v>2280.72788754892</v>
      </c>
      <c r="AV144" s="49" t="n">
        <f aca="false">(AV83+AV59+AV62+AV117)*(AV$4&gt;In_COD)-($E136+$I62)*AV14</f>
        <v>2279.36771691826</v>
      </c>
      <c r="AW144" s="49" t="n">
        <f aca="false">(AW83+AW59+AW62+AW117)*(AW$4&gt;In_COD)-($E136+$I62)*AW14</f>
        <v>2302.30814093616</v>
      </c>
      <c r="AX144" s="49" t="n">
        <f aca="false">(AX83+AX59+AX62+AX117)*(AX$4&gt;In_COD)-($E136+$I62)*AX14</f>
        <v>2293.48095194257</v>
      </c>
      <c r="AY144" s="49" t="n">
        <f aca="false">(AY83+AY59+AY62+AY117)*(AY$4&gt;In_COD)-($E136+$I62)*AY14</f>
        <v>2256.26922139394</v>
      </c>
      <c r="AZ144" s="49" t="n">
        <f aca="false">(AZ83+AZ59+AZ62+AZ117)*(AZ$4&gt;In_COD)-($E136+$I62)*AZ14</f>
        <v>2279.21738073489</v>
      </c>
      <c r="BA144" s="49" t="n">
        <f aca="false">(BA83+BA59+BA62+BA117)*(BA$4&gt;In_COD)-($E136+$I62)*BA14</f>
        <v>2302.14767176357</v>
      </c>
      <c r="BB144" s="49" t="n">
        <f aca="false">(BB83+BB59+BB62+BB117)*(BB$4&gt;In_COD)-($E136+$I62)*BB14</f>
        <v>2293.2030390972</v>
      </c>
      <c r="BC144" s="49" t="n">
        <f aca="false">(BC83+BC59+BC62+BC117)*(BC$4&gt;In_COD)-($E136+$I62)*BC14</f>
        <v>2255.64787532731</v>
      </c>
      <c r="BD144" s="49" t="n">
        <f aca="false">(BD83+BD59+BD62+BD117)*(BD$4&gt;In_COD)-($E136+$I62)*BD14</f>
        <v>2278.58103920362</v>
      </c>
      <c r="BE144" s="49" t="n">
        <f aca="false">(BE83+BE59+BE62+BE117)*(BE$4&gt;In_COD)-($E136+$I62)*BE14</f>
        <v>2301.49542446047</v>
      </c>
      <c r="BF144" s="49" t="n">
        <f aca="false">(BF83+BF59+BF62+BF117)*(BF$4&gt;In_COD)-($E136+$I62)*BF14</f>
        <v>2292.42958989359</v>
      </c>
      <c r="BG144" s="49" t="n">
        <f aca="false">(BG83+BG59+BG62+BG117)*(BG$4&gt;In_COD)-($E136+$I62)*BG14</f>
        <v>2254.52484693658</v>
      </c>
      <c r="BH144" s="49" t="n">
        <f aca="false">(BH83+BH59+BH62+BH117)*(BH$4&gt;In_COD)-($E136+$I62)*BH14</f>
        <v>2277.43702886992</v>
      </c>
      <c r="BI144" s="49" t="n">
        <f aca="false">(BI83+BI59+BI62+BI117)*(BI$4&gt;In_COD)-($E136+$I62)*BI14</f>
        <v>2300.32947550072</v>
      </c>
      <c r="BJ144" s="49" t="n">
        <f aca="false">(BJ83+BJ59+BJ62+BJ117)*(BJ$4&gt;In_COD)-($E136+$I62)*BJ14</f>
        <v>2291.13849930485</v>
      </c>
      <c r="BK144" s="49" t="n">
        <f aca="false">(BK83+BK59+BK62+BK117)*(BK$4&gt;In_COD)-($E136+$I62)*BK14</f>
        <v>2277.42201376659</v>
      </c>
      <c r="BL144" s="49" t="n">
        <f aca="false">(BL83+BL59+BL62+BL117)*(BL$4&gt;In_COD)-($E136+$I62)*BL14</f>
        <v>2275.76275583116</v>
      </c>
      <c r="BM144" s="49" t="n">
        <f aca="false">(BM83+BM59+BM62+BM117)*(BM$4&gt;In_COD)-($E136+$I62)*BM14</f>
        <v>2298.62695956395</v>
      </c>
      <c r="BN144" s="49" t="n">
        <f aca="false">(BN83+BN59+BN62+BN117)*(BN$4&gt;In_COD)-($E136+$I62)*BN14</f>
        <v>2289.30671122182</v>
      </c>
      <c r="BO144" s="49" t="n">
        <f aca="false">(BO83+BO59+BO62+BO117)*(BO$4&gt;In_COD)-($E136+$I62)*BO14</f>
        <v>2250.68348258834</v>
      </c>
      <c r="BP144" s="49" t="n">
        <f aca="false">(BP83+BP59+BP62+BP117)*(BP$4&gt;In_COD)-($E136+$I62)*BP14</f>
        <v>2273.53465323053</v>
      </c>
      <c r="BQ144" s="49" t="n">
        <f aca="false">(BQ83+BQ59+BQ62+BQ117)*(BQ$4&gt;In_COD)-($E136+$I62)*BQ14</f>
        <v>2296.36402650535</v>
      </c>
      <c r="BR144" s="49" t="n">
        <f aca="false">(BR83+BR59+BR62+BR117)*(BR$4&gt;In_COD)-($E136+$I62)*BR14</f>
        <v>2286.91017494684</v>
      </c>
      <c r="BS144" s="49" t="n">
        <f aca="false">(BS83+BS59+BS62+BS117)*(BS$4&gt;In_COD)-($E136+$I62)*BS14</f>
        <v>2247.91756931877</v>
      </c>
      <c r="BT144" s="49" t="n">
        <f aca="false">(BT83+BT59+BT62+BT117)*(BT$4&gt;In_COD)-($E136+$I62)*BT14</f>
        <v>2270.7281367093</v>
      </c>
      <c r="BU144" s="49" t="n">
        <f aca="false">(BU83+BU59+BU62+BU117)*(BU$4&gt;In_COD)-($E136+$I62)*BU14</f>
        <v>2293.51579625823</v>
      </c>
      <c r="BV144" s="49" t="n">
        <f aca="false">(BV83+BV59+BV62+BV117)*(BV$4&gt;In_COD)-($E136+$I62)*BV14</f>
        <v>2283.92379959611</v>
      </c>
      <c r="BW144" s="49" t="n">
        <f aca="false">(BW83+BW59+BW62+BW117)*(BW$4&gt;In_COD)-($E136+$I62)*BW14</f>
        <v>2244.55472897596</v>
      </c>
      <c r="BX144" s="49" t="n">
        <f aca="false">(BX83+BX59+BX62+BX117)*(BX$4&gt;In_COD)-($E136+$I62)*BX14</f>
        <v>2267.31755771639</v>
      </c>
      <c r="BY144" s="49" t="n">
        <f aca="false">(BY83+BY59+BY62+BY117)*(BY$4&gt;In_COD)-($E136+$I62)*BY14</f>
        <v>2290.05631156751</v>
      </c>
      <c r="BZ144" s="49" t="n">
        <f aca="false">(BZ83+BZ59+BZ62+BZ117)*(BZ$4&gt;In_COD)-($E136+$I62)*BZ14</f>
        <v>2280.32140630735</v>
      </c>
      <c r="CA144" s="49" t="n">
        <f aca="false">(CA83+CA59+CA62+CA117)*(CA$4&gt;In_COD)-($E136+$I62)*CA14</f>
        <v>2265.30026598168</v>
      </c>
      <c r="CB144" s="49" t="n">
        <f aca="false">(CB83+CB59+CB62+CB117)*(CB$4&gt;In_COD)-($E136+$I62)*CB14</f>
        <v>2263.2761545693</v>
      </c>
      <c r="CC144" s="49" t="n">
        <f aca="false">(CC83+CC59+CC62+CC117)*(CC$4&gt;In_COD)-($E136+$I62)*CC14</f>
        <v>2285.95848844647</v>
      </c>
      <c r="CD144" s="49" t="n">
        <f aca="false">(CD83+CD59+CD62+CD117)*(CD$4&gt;In_COD)-($E136+$I62)*CD14</f>
        <v>2276.07567814386</v>
      </c>
      <c r="CE144" s="49" t="n">
        <f aca="false">(CE83+CE59+CE62+CE117)*(CE$4&gt;In_COD)-($E136+$I62)*CE14</f>
        <v>2235.93134768512</v>
      </c>
      <c r="CF144" s="49" t="n">
        <f aca="false">(CF83+CF59+CF62+CF117)*(CF$4&gt;In_COD)-($E136+$I62)*CF14</f>
        <v>2258.57600115503</v>
      </c>
      <c r="CG144" s="49" t="n">
        <f aca="false">(CG83+CG59+CG62+CG117)*(CG$4&gt;In_COD)-($E136+$I62)*CG14</f>
        <v>2281.1940642443</v>
      </c>
      <c r="CH144" s="49" t="n">
        <f aca="false">(CH83+CH59+CH62+CH117)*(CH$4&gt;In_COD)-($E136+$I62)*CH14</f>
        <v>2271.15810758116</v>
      </c>
      <c r="CI144" s="49" t="n">
        <f aca="false">(CI83+CI59+CI62+CI117)*(CI$4&gt;In_COD)-($E136+$I62)*CI14</f>
        <v>2232.82242095173</v>
      </c>
      <c r="CJ144" s="49" t="n">
        <f aca="false">(CJ83+CJ59+CJ62+CJ117)*(CJ$4&gt;In_COD)-($E136+$I62)*CJ14</f>
        <v>2257.63155896231</v>
      </c>
      <c r="CK144" s="49" t="n">
        <f aca="false">(CK83+CK59+CK62+CK117)*(CK$4&gt;In_COD)-($E136+$I62)*CK14</f>
        <v>2282.44069697288</v>
      </c>
      <c r="CL144" s="49" t="n">
        <f aca="false">(CL83+CL59+CL62+CL117)*(CL$4&gt;In_COD)-($E136+$I62)*CL14</f>
        <v>2274.53793753139</v>
      </c>
      <c r="CM144" s="49" t="n">
        <f aca="false">(CM83+CM59+CM62+CM117)*(CM$4&gt;In_COD)-($E136+$I62)*CM14</f>
        <v>2235.9071616356</v>
      </c>
      <c r="CN144" s="49" t="n">
        <f aca="false">(CN83+CN59+CN62+CN117)*(CN$4&gt;In_COD)-($E136+$I62)*CN14</f>
        <v>2260.75057454267</v>
      </c>
      <c r="CO144" s="49" t="n">
        <f aca="false">(CO83+CO59+CO62+CO117)*(CO$4&gt;In_COD)-($E136+$I62)*CO14</f>
        <v>2285.59398744973</v>
      </c>
      <c r="CP144" s="49" t="n">
        <f aca="false">(CP83+CP59+CP62+CP117)*(CP$4&gt;In_COD)-($E136+$I62)*CP14</f>
        <v>2277.64357229016</v>
      </c>
      <c r="CQ144" s="49" t="n">
        <f aca="false">(CQ83+CQ59+CQ62+CQ117)*(CQ$4&gt;In_COD)-($E136+$I62)*CQ14</f>
        <v>2263.58951398781</v>
      </c>
      <c r="CR144" s="49" t="n">
        <f aca="false">(CR83+CR59+CR62+CR117)*(CR$4&gt;In_COD)-($E136+$I62)*CR14</f>
        <v>2263.58951398781</v>
      </c>
      <c r="CS144" s="49" t="n">
        <f aca="false">(CS83+CS59+CS62+CS117)*(CS$4&gt;In_COD)-($E136+$I62)*CS14</f>
        <v>2288.46412403163</v>
      </c>
      <c r="CT144" s="49" t="n">
        <f aca="false">(CT83+CT59+CT62+CT117)*(CT$4&gt;In_COD)-($E136+$I62)*CT14</f>
        <v>2280.4659477195</v>
      </c>
      <c r="CU144" s="49" t="n">
        <f aca="false">(CU83+CU59+CU62+CU117)*(CU$4&gt;In_COD)-($E136+$I62)*CU14</f>
        <v>2241.23654457512</v>
      </c>
      <c r="CV144" s="49" t="n">
        <f aca="false">(CV83+CV59+CV62+CV117)*(CV$4&gt;In_COD)-($E136+$I62)*CV14</f>
        <v>2266.13917284818</v>
      </c>
      <c r="CW144" s="49" t="n">
        <f aca="false">(CW83+CW59+CW62+CW117)*(CW$4&gt;In_COD)-($E136+$I62)*CW14</f>
        <v>2291.04180112124</v>
      </c>
      <c r="CX144" s="49" t="n">
        <f aca="false">(CX83+CX59+CX62+CX117)*(CX$4&gt;In_COD)-($E136+$I62)*CX14</f>
        <v>2282.99576226646</v>
      </c>
      <c r="CY144" s="49" t="n">
        <f aca="false">(CY83+CY59+CY62+CY117)*(CY$4&gt;In_COD)-($E136+$I62)*CY14</f>
        <v>2243.46274206641</v>
      </c>
      <c r="CZ144" s="49" t="n">
        <f aca="false">(CZ83+CZ59+CZ62+CZ117)*(CZ$4&gt;In_COD)-($E136+$I62)*CZ14</f>
        <v>2268.39010586715</v>
      </c>
      <c r="DA144" s="49" t="n">
        <f aca="false">(DA83+DA59+DA62+DA117)*(DA$4&gt;In_COD)-($E136+$I62)*DA14</f>
        <v>2293.31746966789</v>
      </c>
      <c r="DB144" s="49" t="n">
        <f aca="false">(DB83+DB59+DB62+DB117)*(DB$4&gt;In_COD)-($E136+$I62)*DB14</f>
        <v>2127.75796595667</v>
      </c>
      <c r="DC144" s="49" t="n">
        <f aca="false">(DC83+DC59+DC62+DC117)*(DC$4&gt;In_COD)-($E136+$I62)*DC14</f>
        <v>2091.34156892558</v>
      </c>
      <c r="DD144" s="49" t="n">
        <f aca="false">(DD83+DD59+DD62+DD117)*(DD$4&gt;In_COD)-($E136+$I62)*DD14</f>
        <v>2114.5786974692</v>
      </c>
      <c r="DE144" s="49" t="n">
        <f aca="false">(DE83+DE59+DE62+DE117)*(DE$4&gt;In_COD)-($E136+$I62)*DE14</f>
        <v>2137.81582601281</v>
      </c>
      <c r="DF144" s="49" t="n">
        <f aca="false">(DF83+DF59+DF62+DF117)*(DF$4&gt;In_COD)-($E136+$I62)*DF14</f>
        <v>2129.67377475099</v>
      </c>
      <c r="DG144" s="49" t="n">
        <f aca="false">(DG83+DG59+DG62+DG117)*(DG$4&gt;In_COD)-($E136+$I62)*DG14</f>
        <v>2116.20284972323</v>
      </c>
      <c r="DH144" s="49" t="n">
        <f aca="false">(DH83+DH59+DH62+DH117)*(DH$4&gt;In_COD)-($E136+$I62)*DH14</f>
        <v>2116.20284972323</v>
      </c>
      <c r="DI144" s="49" t="n">
        <f aca="false">(DI83+DI59+DI62+DI117)*(DI$4&gt;In_COD)-($E136+$I62)*DI14</f>
        <v>2139.45782609381</v>
      </c>
      <c r="DJ144" s="49" t="n">
        <f aca="false">(DJ83+DJ59+DJ62+DJ117)*(DJ$4&gt;In_COD)-($E136+$I62)*DJ14</f>
        <v>2131.26763373715</v>
      </c>
      <c r="DK144" s="49" t="n">
        <f aca="false">(DK83+DK59+DK62+DK117)*(DK$4&gt;In_COD)-($E136+$I62)*DK14</f>
        <v>2094.22922134031</v>
      </c>
      <c r="DL144" s="49" t="n">
        <f aca="false">(DL83+DL59+DL62+DL117)*(DL$4&gt;In_COD)-($E136+$I62)*DL14</f>
        <v>2117.49843491076</v>
      </c>
      <c r="DM144" s="49" t="n">
        <f aca="false">(DM83+DM59+DM62+DM117)*(DM$4&gt;In_COD)-($E136+$I62)*DM14</f>
        <v>2140.76764848121</v>
      </c>
      <c r="DN144" s="49" t="n">
        <f aca="false">(DN83+DN59+DN62+DN117)*(DN$4&gt;In_COD)-($E136+$I62)*DN14</f>
        <v>2132.52923118543</v>
      </c>
      <c r="DO144" s="49" t="n">
        <f aca="false">(DO83+DO59+DO62+DO117)*(DO$4&gt;In_COD)-($E136+$I62)*DO14</f>
        <v>2095.17525809415</v>
      </c>
      <c r="DP144" s="49" t="n">
        <f aca="false">(DP83+DP59+DP62+DP117)*(DP$4&gt;In_COD)-($E136+$I62)*DP14</f>
        <v>2118.45498318408</v>
      </c>
      <c r="DQ144" s="49" t="n">
        <f aca="false">(DQ83+DQ59+DQ62+DQ117)*(DQ$4&gt;In_COD)-($E136+$I62)*DQ14</f>
        <v>2141.73470827402</v>
      </c>
      <c r="DR144" s="49" t="n">
        <f aca="false">(DR83+DR59+DR62+DR117)*(DR$4&gt;In_COD)-($E136+$I62)*DR14</f>
        <v>2133.4479869401</v>
      </c>
      <c r="DS144" s="49" t="n">
        <f aca="false">(DS83+DS59+DS62+DS117)*(DS$4&gt;In_COD)-($E136+$I62)*DS14</f>
        <v>2095.77535956</v>
      </c>
      <c r="DT144" s="49" t="n">
        <f aca="false">(DT83+DT59+DT62+DT117)*(DT$4&gt;In_COD)-($E136+$I62)*DT14</f>
        <v>2119.061752444</v>
      </c>
      <c r="DU144" s="49" t="n">
        <f aca="false">(DU83+DU59+DU62+DU117)*(DU$4&gt;In_COD)-($E136+$I62)*DU14</f>
        <v>2142.348145328</v>
      </c>
      <c r="DV144" s="49" t="n">
        <f aca="false">(DV83+DV59+DV62+DV117)*(DV$4&gt;In_COD)-($E136+$I62)*DV14</f>
        <v>2134.01304575269</v>
      </c>
      <c r="DW144" s="49" t="n">
        <f aca="false">(DW83+DW59+DW62+DW117)*(DW$4&gt;In_COD)-($E136+$I62)*DW14</f>
        <v>2119.30772157993</v>
      </c>
      <c r="DX144" s="49" t="n">
        <f aca="false">(DX83+DX59+DX62+DX117)*(DX$4&gt;In_COD)-($E136+$I62)*DX14</f>
        <v>2119.30772157993</v>
      </c>
      <c r="DY144" s="49" t="n">
        <f aca="false">(DY83+DY59+DY62+DY117)*(DY$4&gt;In_COD)-($E136+$I62)*DY14</f>
        <v>2142.59681742147</v>
      </c>
      <c r="DZ144" s="49" t="n">
        <f aca="false">(DZ83+DZ59+DZ62+DZ117)*(DZ$4&gt;In_COD)-($E136+$I62)*DZ14</f>
        <v>2134.2132704514</v>
      </c>
      <c r="EA144" s="49" t="n">
        <f aca="false">(EA83+EA59+EA62+EA117)*(EA$4&gt;In_COD)-($E136+$I62)*EA14</f>
        <v>2095.89387383467</v>
      </c>
      <c r="EB144" s="49" t="n">
        <f aca="false">(EB83+EB59+EB62+EB117)*(EB$4&gt;In_COD)-($E136+$I62)*EB14</f>
        <v>2119.18158354395</v>
      </c>
      <c r="EC144" s="49" t="n">
        <f aca="false">(EC83+EC59+EC62+EC117)*(EC$4&gt;In_COD)-($E136+$I62)*EC14</f>
        <v>2142.46929325322</v>
      </c>
      <c r="ED144" s="49" t="n">
        <f aca="false">(ED83+ED59+ED62+ED117)*(ED$4&gt;In_COD)-($E136+$I62)*ED14</f>
        <v>2134.03723494271</v>
      </c>
      <c r="EE144" s="49" t="n">
        <f aca="false">(EE83+EE59+EE62+EE117)*(EE$4&gt;In_COD)-($E136+$I62)*EE14</f>
        <v>2095.38963124086</v>
      </c>
      <c r="EF144" s="49" t="n">
        <f aca="false">(EF83+EF59+EF62+EF117)*(EF$4&gt;In_COD)-($E136+$I62)*EF14</f>
        <v>2118.67173825464</v>
      </c>
      <c r="EG144" s="49" t="n">
        <f aca="false">(EG83+EG59+EG62+EG117)*(EG$4&gt;In_COD)-($E136+$I62)*EG14</f>
        <v>2141.95384526843</v>
      </c>
      <c r="EH144" s="49" t="n">
        <f aca="false">(EH83+EH59+EH62+EH117)*(EH$4&gt;In_COD)-($E136+$I62)*EH14</f>
        <v>2133.4732170411</v>
      </c>
      <c r="EI144" s="49" t="n">
        <f aca="false">(EI83+EI59+EI62+EI117)*(EI$4&gt;In_COD)-($E136+$I62)*EI14</f>
        <v>2094.49412834513</v>
      </c>
      <c r="EJ144" s="49" t="n">
        <f aca="false">(EJ83+EJ59+EJ62+EJ117)*(EJ$4&gt;In_COD)-($E136+$I62)*EJ14</f>
        <v>2117.76628532674</v>
      </c>
      <c r="EK144" s="49" t="n">
        <f aca="false">(EK83+EK59+EK62+EK117)*(EK$4&gt;In_COD)-($E136+$I62)*EK14</f>
        <v>2141.03844230835</v>
      </c>
      <c r="EL144" s="49" t="n">
        <f aca="false">(EL83+EL59+EL62+EL117)*(EL$4&gt;In_COD)-($E136+$I62)*EL14</f>
        <v>2132.50919112262</v>
      </c>
      <c r="EM144" s="49" t="n">
        <f aca="false">(EM83+EM59+EM62+EM117)*(EM$4&gt;In_COD)-($E136+$I62)*EM14</f>
        <v>2116.45301662203</v>
      </c>
      <c r="EN144" s="49" t="n">
        <f aca="false">(EN83+EN59+EN62+EN117)*(EN$4&gt;In_COD)-($E136+$I62)*EN14</f>
        <v>2116.45301662203</v>
      </c>
      <c r="EO144" s="49" t="n">
        <f aca="false">(EO83+EO59+EO62+EO117)*(EO$4&gt;In_COD)-($E136+$I62)*EO14</f>
        <v>2139.71074207941</v>
      </c>
    </row>
    <row r="145" customFormat="false" ht="15" hidden="false" customHeight="false" outlineLevel="0" collapsed="false">
      <c r="C145" s="26" t="s">
        <v>127</v>
      </c>
      <c r="D145" s="12" t="s">
        <v>27</v>
      </c>
      <c r="E145" s="34" t="n">
        <f aca="false">XIRR(INDEX($J144:$EO144,$E15):$EO144,INDEX($J$4:$EO$4,$E15):$EO$4)</f>
        <v>0.0698829968732872</v>
      </c>
    </row>
    <row r="146" customFormat="false" ht="15" hidden="false" customHeight="false" outlineLevel="0" collapsed="false">
      <c r="C146" s="1" t="s">
        <v>516</v>
      </c>
      <c r="D146" s="12" t="s">
        <v>33</v>
      </c>
      <c r="I146" s="49" t="n">
        <f aca="false">SUM(J146:EO146)</f>
        <v>130944.221935654</v>
      </c>
      <c r="J146" s="49" t="n">
        <f aca="false">J144+J98+J106+$E103*J14</f>
        <v>0</v>
      </c>
      <c r="K146" s="49" t="n">
        <f aca="false">K144+K98+K106+$E103*K14</f>
        <v>0</v>
      </c>
      <c r="L146" s="49" t="n">
        <f aca="false">L144+L98+L106+$E103*L14</f>
        <v>0</v>
      </c>
      <c r="M146" s="49" t="n">
        <f aca="false">M144+M98+M106+$E103*M14</f>
        <v>0</v>
      </c>
      <c r="N146" s="49" t="n">
        <f aca="false">N144+N98+N106+$E103*N14</f>
        <v>0</v>
      </c>
      <c r="O146" s="49" t="n">
        <f aca="false">O144+O98+O106+$E103*O14</f>
        <v>0</v>
      </c>
      <c r="P146" s="49" t="n">
        <f aca="false">P144+P98+P106+$E103*P14</f>
        <v>0</v>
      </c>
      <c r="Q146" s="49" t="n">
        <f aca="false">Q144+Q98+Q106+$E103*Q14</f>
        <v>0</v>
      </c>
      <c r="R146" s="49" t="n">
        <f aca="false">R144+R98+R106+$E103*R14</f>
        <v>0</v>
      </c>
      <c r="S146" s="49" t="n">
        <f aca="false">S144+S98+S106+$E103*S14</f>
        <v>0</v>
      </c>
      <c r="T146" s="49" t="n">
        <f aca="false">T144+T98+T106+$E103*T14</f>
        <v>0</v>
      </c>
      <c r="U146" s="49" t="n">
        <f aca="false">U144+U98+U106+$E103*U14</f>
        <v>0</v>
      </c>
      <c r="V146" s="49" t="n">
        <f aca="false">V144+V98+V106+$E103*V14</f>
        <v>0</v>
      </c>
      <c r="W146" s="49" t="n">
        <f aca="false">W144+W98+W106+$E103*W14</f>
        <v>0</v>
      </c>
      <c r="X146" s="49" t="n">
        <f aca="false">X144+X98+X106+$E103*X14</f>
        <v>0</v>
      </c>
      <c r="Y146" s="49" t="n">
        <f aca="false">Y144+Y98+Y106+$E103*Y14</f>
        <v>-66652.6015392748</v>
      </c>
      <c r="Z146" s="49" t="n">
        <f aca="false">Z144+Z98+Z106+$E103*Z14</f>
        <v>1131.73497808859</v>
      </c>
      <c r="AA146" s="49" t="n">
        <f aca="false">AA144+AA98+AA106+$E103*AA14</f>
        <v>1096.65800223952</v>
      </c>
      <c r="AB146" s="49" t="n">
        <f aca="false">AB144+AB98+AB106+$E103*AB14</f>
        <v>1120.88727671144</v>
      </c>
      <c r="AC146" s="49" t="n">
        <f aca="false">AC144+AC98+AC106+$E103*AC14</f>
        <v>1145.10992027887</v>
      </c>
      <c r="AD146" s="49" t="n">
        <f aca="false">AD144+AD98+AD106+$E103*AD14</f>
        <v>1136.72759627164</v>
      </c>
      <c r="AE146" s="49" t="n">
        <f aca="false">AE144+AE98+AE106+$E103*AE14</f>
        <v>1126.17978197862</v>
      </c>
      <c r="AF146" s="49" t="n">
        <f aca="false">AF144+AF98+AF106+$E103*AF14</f>
        <v>1073.39926373345</v>
      </c>
      <c r="AG146" s="49" t="n">
        <f aca="false">AG144+AG98+AG106+$E103*AG14</f>
        <v>1092.34659267909</v>
      </c>
      <c r="AH146" s="49" t="n">
        <f aca="false">AH144+AH98+AH106+$E103*AH14</f>
        <v>1083.95492577998</v>
      </c>
      <c r="AI146" s="49" t="n">
        <f aca="false">AI144+AI98+AI106+$E103*AI14</f>
        <v>1048.67892478853</v>
      </c>
      <c r="AJ146" s="49" t="n">
        <f aca="false">AJ144+AJ98+AJ106+$E103*AJ14</f>
        <v>1099.50467081143</v>
      </c>
      <c r="AK146" s="49" t="n">
        <f aca="false">AK144+AK98+AK106+$E103*AK14</f>
        <v>1122.44329796763</v>
      </c>
      <c r="AL146" s="49" t="n">
        <f aca="false">AL144+AL98+AL106+$E103*AL14</f>
        <v>1113.94757566789</v>
      </c>
      <c r="AM146" s="49" t="n">
        <f aca="false">AM144+AM98+AM106+$E103*AM14</f>
        <v>1077.73132516712</v>
      </c>
      <c r="AN146" s="49" t="n">
        <f aca="false">AN144+AN98+AN106+$E103*AN14</f>
        <v>1100.69107705371</v>
      </c>
      <c r="AO146" s="49" t="n">
        <f aca="false">AO144+AO98+AO106+$E103*AO14</f>
        <v>1123.63543523561</v>
      </c>
      <c r="AP146" s="49" t="n">
        <f aca="false">AP144+AP98+AP106+$E103*AP14</f>
        <v>1115.03254116172</v>
      </c>
      <c r="AQ146" s="49" t="n">
        <f aca="false">AQ144+AQ98+AQ106+$E103*AQ14</f>
        <v>1078.49007065377</v>
      </c>
      <c r="AR146" s="49" t="n">
        <f aca="false">AR144+AR98+AR106+$E103*AR14</f>
        <v>1101.45128204602</v>
      </c>
      <c r="AS146" s="49" t="n">
        <f aca="false">AS144+AS98+AS106+$E103*AS14</f>
        <v>1124.39631549609</v>
      </c>
      <c r="AT146" s="49" t="n">
        <f aca="false">AT144+AT98+AT106+$E103*AT14</f>
        <v>1115.68298461302</v>
      </c>
      <c r="AU146" s="49" t="n">
        <f aca="false">AU144+AU98+AU106+$E103*AU14</f>
        <v>1103.12634827417</v>
      </c>
      <c r="AV146" s="49" t="n">
        <f aca="false">AV144+AV98+AV106+$E103*AV14</f>
        <v>1101.76617764351</v>
      </c>
      <c r="AW146" s="49" t="n">
        <f aca="false">AW144+AW98+AW106+$E103*AW14</f>
        <v>1124.7066016614</v>
      </c>
      <c r="AX146" s="49" t="n">
        <f aca="false">AX144+AX98+AX106+$E103*AX14</f>
        <v>1115.87941266781</v>
      </c>
      <c r="AY146" s="49" t="n">
        <f aca="false">AY144+AY98+AY106+$E103*AY14</f>
        <v>1078.66768211918</v>
      </c>
      <c r="AZ146" s="49" t="n">
        <f aca="false">AZ144+AZ98+AZ106+$E103*AZ14</f>
        <v>1101.61584146013</v>
      </c>
      <c r="BA146" s="49" t="n">
        <f aca="false">BA144+BA98+BA106+$E103*BA14</f>
        <v>1124.54613248881</v>
      </c>
      <c r="BB146" s="49" t="n">
        <f aca="false">BB144+BB98+BB106+$E103*BB14</f>
        <v>1115.60149982244</v>
      </c>
      <c r="BC146" s="49" t="n">
        <f aca="false">BC144+BC98+BC106+$E103*BC14</f>
        <v>1078.04633605255</v>
      </c>
      <c r="BD146" s="49" t="n">
        <f aca="false">BD144+BD98+BD106+$E103*BD14</f>
        <v>1100.97949992887</v>
      </c>
      <c r="BE146" s="49" t="n">
        <f aca="false">BE144+BE98+BE106+$E103*BE14</f>
        <v>1123.89388518572</v>
      </c>
      <c r="BF146" s="49" t="n">
        <f aca="false">BF144+BF98+BF106+$E103*BF14</f>
        <v>1114.82805061883</v>
      </c>
      <c r="BG146" s="49" t="n">
        <f aca="false">BG144+BG98+BG106+$E103*BG14</f>
        <v>1076.92330766182</v>
      </c>
      <c r="BH146" s="49" t="n">
        <f aca="false">BH144+BH98+BH106+$E103*BH14</f>
        <v>1099.83548959517</v>
      </c>
      <c r="BI146" s="49" t="n">
        <f aca="false">BI144+BI98+BI106+$E103*BI14</f>
        <v>1122.72793622596</v>
      </c>
      <c r="BJ146" s="49" t="n">
        <f aca="false">BJ144+BJ98+BJ106+$E103*BJ14</f>
        <v>1113.53696003009</v>
      </c>
      <c r="BK146" s="49" t="n">
        <f aca="false">BK144+BK98+BK106+$E103*BK14</f>
        <v>1099.82047449184</v>
      </c>
      <c r="BL146" s="49" t="n">
        <f aca="false">BL144+BL98+BL106+$E103*BL14</f>
        <v>1098.1612165564</v>
      </c>
      <c r="BM146" s="49" t="n">
        <f aca="false">BM144+BM98+BM106+$E103*BM14</f>
        <v>1121.02542028919</v>
      </c>
      <c r="BN146" s="49" t="n">
        <f aca="false">BN144+BN98+BN106+$E103*BN14</f>
        <v>1111.70517194706</v>
      </c>
      <c r="BO146" s="49" t="n">
        <f aca="false">BO144+BO98+BO106+$E103*BO14</f>
        <v>1073.08194331358</v>
      </c>
      <c r="BP146" s="49" t="n">
        <f aca="false">BP144+BP98+BP106+$E103*BP14</f>
        <v>1095.93311395577</v>
      </c>
      <c r="BQ146" s="49" t="n">
        <f aca="false">BQ144+BQ98+BQ106+$E103*BQ14</f>
        <v>1118.76248723059</v>
      </c>
      <c r="BR146" s="49" t="n">
        <f aca="false">BR144+BR98+BR106+$E103*BR14</f>
        <v>1109.30863567208</v>
      </c>
      <c r="BS146" s="49" t="n">
        <f aca="false">BS144+BS98+BS106+$E103*BS14</f>
        <v>1070.31603004401</v>
      </c>
      <c r="BT146" s="49" t="n">
        <f aca="false">BT144+BT98+BT106+$E103*BT14</f>
        <v>1093.12659743454</v>
      </c>
      <c r="BU146" s="49" t="n">
        <f aca="false">BU144+BU98+BU106+$E103*BU14</f>
        <v>1115.91425698347</v>
      </c>
      <c r="BV146" s="49" t="n">
        <f aca="false">BV144+BV98+BV106+$E103*BV14</f>
        <v>1106.32226032135</v>
      </c>
      <c r="BW146" s="49" t="n">
        <f aca="false">BW144+BW98+BW106+$E103*BW14</f>
        <v>1066.9531897012</v>
      </c>
      <c r="BX146" s="49" t="n">
        <f aca="false">BX144+BX98+BX106+$E103*BX14</f>
        <v>1089.71601844163</v>
      </c>
      <c r="BY146" s="49" t="n">
        <f aca="false">BY144+BY98+BY106+$E103*BY14</f>
        <v>1112.45477229275</v>
      </c>
      <c r="BZ146" s="49" t="n">
        <f aca="false">BZ144+BZ98+BZ106+$E103*BZ14</f>
        <v>1102.71986703259</v>
      </c>
      <c r="CA146" s="49" t="n">
        <f aca="false">CA144+CA98+CA106+$E103*CA14</f>
        <v>1087.69872670692</v>
      </c>
      <c r="CB146" s="49" t="n">
        <f aca="false">CB144+CB98+CB106+$E103*CB14</f>
        <v>1085.67461529454</v>
      </c>
      <c r="CC146" s="49" t="n">
        <f aca="false">CC144+CC98+CC106+$E103*CC14</f>
        <v>1108.35694917172</v>
      </c>
      <c r="CD146" s="49" t="n">
        <f aca="false">CD144+CD98+CD106+$E103*CD14</f>
        <v>1098.4741388691</v>
      </c>
      <c r="CE146" s="49" t="n">
        <f aca="false">CE144+CE98+CE106+$E103*CE14</f>
        <v>1058.32980841036</v>
      </c>
      <c r="CF146" s="49" t="n">
        <f aca="false">CF144+CF98+CF106+$E103*CF14</f>
        <v>1080.97446188027</v>
      </c>
      <c r="CG146" s="49" t="n">
        <f aca="false">CG144+CG98+CG106+$E103*CG14</f>
        <v>2281.19406424431</v>
      </c>
      <c r="CH146" s="49" t="n">
        <f aca="false">CH144+CH98+CH106+$E103*CH14</f>
        <v>2271.15810758116</v>
      </c>
      <c r="CI146" s="49" t="n">
        <f aca="false">CI144+CI98+CI106+$E103*CI14</f>
        <v>2232.82242095173</v>
      </c>
      <c r="CJ146" s="49" t="n">
        <f aca="false">CJ144+CJ98+CJ106+$E103*CJ14</f>
        <v>2257.63155896231</v>
      </c>
      <c r="CK146" s="49" t="n">
        <f aca="false">CK144+CK98+CK106+$E103*CK14</f>
        <v>2282.44069697288</v>
      </c>
      <c r="CL146" s="49" t="n">
        <f aca="false">CL144+CL98+CL106+$E103*CL14</f>
        <v>2274.53793753139</v>
      </c>
      <c r="CM146" s="49" t="n">
        <f aca="false">CM144+CM98+CM106+$E103*CM14</f>
        <v>2235.9071616356</v>
      </c>
      <c r="CN146" s="49" t="n">
        <f aca="false">CN144+CN98+CN106+$E103*CN14</f>
        <v>2260.75057454267</v>
      </c>
      <c r="CO146" s="49" t="n">
        <f aca="false">CO144+CO98+CO106+$E103*CO14</f>
        <v>2285.59398744973</v>
      </c>
      <c r="CP146" s="49" t="n">
        <f aca="false">CP144+CP98+CP106+$E103*CP14</f>
        <v>2277.64357229016</v>
      </c>
      <c r="CQ146" s="49" t="n">
        <f aca="false">CQ144+CQ98+CQ106+$E103*CQ14</f>
        <v>2263.58951398781</v>
      </c>
      <c r="CR146" s="49" t="n">
        <f aca="false">CR144+CR98+CR106+$E103*CR14</f>
        <v>2263.58951398781</v>
      </c>
      <c r="CS146" s="49" t="n">
        <f aca="false">CS144+CS98+CS106+$E103*CS14</f>
        <v>2288.46412403163</v>
      </c>
      <c r="CT146" s="49" t="n">
        <f aca="false">CT144+CT98+CT106+$E103*CT14</f>
        <v>2280.4659477195</v>
      </c>
      <c r="CU146" s="49" t="n">
        <f aca="false">CU144+CU98+CU106+$E103*CU14</f>
        <v>2241.23654457512</v>
      </c>
      <c r="CV146" s="49" t="n">
        <f aca="false">CV144+CV98+CV106+$E103*CV14</f>
        <v>2266.13917284818</v>
      </c>
      <c r="CW146" s="49" t="n">
        <f aca="false">CW144+CW98+CW106+$E103*CW14</f>
        <v>2291.04180112124</v>
      </c>
      <c r="CX146" s="49" t="n">
        <f aca="false">CX144+CX98+CX106+$E103*CX14</f>
        <v>2282.99576226646</v>
      </c>
      <c r="CY146" s="49" t="n">
        <f aca="false">CY144+CY98+CY106+$E103*CY14</f>
        <v>2243.46274206641</v>
      </c>
      <c r="CZ146" s="49" t="n">
        <f aca="false">CZ144+CZ98+CZ106+$E103*CZ14</f>
        <v>2268.39010586715</v>
      </c>
      <c r="DA146" s="49" t="n">
        <f aca="false">DA144+DA98+DA106+$E103*DA14</f>
        <v>2293.31746966789</v>
      </c>
      <c r="DB146" s="49" t="n">
        <f aca="false">DB144+DB98+DB106+$E103*DB14</f>
        <v>2127.75796595667</v>
      </c>
      <c r="DC146" s="49" t="n">
        <f aca="false">DC144+DC98+DC106+$E103*DC14</f>
        <v>2091.34156892558</v>
      </c>
      <c r="DD146" s="49" t="n">
        <f aca="false">DD144+DD98+DD106+$E103*DD14</f>
        <v>2114.5786974692</v>
      </c>
      <c r="DE146" s="49" t="n">
        <f aca="false">DE144+DE98+DE106+$E103*DE14</f>
        <v>2137.81582601281</v>
      </c>
      <c r="DF146" s="49" t="n">
        <f aca="false">DF144+DF98+DF106+$E103*DF14</f>
        <v>2129.67377475099</v>
      </c>
      <c r="DG146" s="49" t="n">
        <f aca="false">DG144+DG98+DG106+$E103*DG14</f>
        <v>2116.20284972323</v>
      </c>
      <c r="DH146" s="49" t="n">
        <f aca="false">DH144+DH98+DH106+$E103*DH14</f>
        <v>2116.20284972323</v>
      </c>
      <c r="DI146" s="49" t="n">
        <f aca="false">DI144+DI98+DI106+$E103*DI14</f>
        <v>2139.45782609381</v>
      </c>
      <c r="DJ146" s="49" t="n">
        <f aca="false">DJ144+DJ98+DJ106+$E103*DJ14</f>
        <v>2131.26763373715</v>
      </c>
      <c r="DK146" s="49" t="n">
        <f aca="false">DK144+DK98+DK106+$E103*DK14</f>
        <v>2094.22922134031</v>
      </c>
      <c r="DL146" s="49" t="n">
        <f aca="false">DL144+DL98+DL106+$E103*DL14</f>
        <v>2117.49843491076</v>
      </c>
      <c r="DM146" s="49" t="n">
        <f aca="false">DM144+DM98+DM106+$E103*DM14</f>
        <v>2140.76764848121</v>
      </c>
      <c r="DN146" s="49" t="n">
        <f aca="false">DN144+DN98+DN106+$E103*DN14</f>
        <v>2132.52923118543</v>
      </c>
      <c r="DO146" s="49" t="n">
        <f aca="false">DO144+DO98+DO106+$E103*DO14</f>
        <v>2095.17525809415</v>
      </c>
      <c r="DP146" s="49" t="n">
        <f aca="false">DP144+DP98+DP106+$E103*DP14</f>
        <v>2118.45498318408</v>
      </c>
      <c r="DQ146" s="49" t="n">
        <f aca="false">DQ144+DQ98+DQ106+$E103*DQ14</f>
        <v>2141.73470827402</v>
      </c>
      <c r="DR146" s="49" t="n">
        <f aca="false">DR144+DR98+DR106+$E103*DR14</f>
        <v>2133.4479869401</v>
      </c>
      <c r="DS146" s="49" t="n">
        <f aca="false">DS144+DS98+DS106+$E103*DS14</f>
        <v>2095.77535956</v>
      </c>
      <c r="DT146" s="49" t="n">
        <f aca="false">DT144+DT98+DT106+$E103*DT14</f>
        <v>2119.061752444</v>
      </c>
      <c r="DU146" s="49" t="n">
        <f aca="false">DU144+DU98+DU106+$E103*DU14</f>
        <v>2142.348145328</v>
      </c>
      <c r="DV146" s="49" t="n">
        <f aca="false">DV144+DV98+DV106+$E103*DV14</f>
        <v>2134.01304575269</v>
      </c>
      <c r="DW146" s="49" t="n">
        <f aca="false">DW144+DW98+DW106+$E103*DW14</f>
        <v>2119.30772157993</v>
      </c>
      <c r="DX146" s="49" t="n">
        <f aca="false">DX144+DX98+DX106+$E103*DX14</f>
        <v>2119.30772157993</v>
      </c>
      <c r="DY146" s="49" t="n">
        <f aca="false">DY144+DY98+DY106+$E103*DY14</f>
        <v>2142.59681742147</v>
      </c>
      <c r="DZ146" s="49" t="n">
        <f aca="false">DZ144+DZ98+DZ106+$E103*DZ14</f>
        <v>2134.2132704514</v>
      </c>
      <c r="EA146" s="49" t="n">
        <f aca="false">EA144+EA98+EA106+$E103*EA14</f>
        <v>2095.89387383467</v>
      </c>
      <c r="EB146" s="49" t="n">
        <f aca="false">EB144+EB98+EB106+$E103*EB14</f>
        <v>2119.18158354395</v>
      </c>
      <c r="EC146" s="49" t="n">
        <f aca="false">EC144+EC98+EC106+$E103*EC14</f>
        <v>2142.46929325322</v>
      </c>
      <c r="ED146" s="49" t="n">
        <f aca="false">ED144+ED98+ED106+$E103*ED14</f>
        <v>2134.03723494271</v>
      </c>
      <c r="EE146" s="49" t="n">
        <f aca="false">EE144+EE98+EE106+$E103*EE14</f>
        <v>2095.38963124086</v>
      </c>
      <c r="EF146" s="49" t="n">
        <f aca="false">EF144+EF98+EF106+$E103*EF14</f>
        <v>2118.67173825464</v>
      </c>
      <c r="EG146" s="49" t="n">
        <f aca="false">EG144+EG98+EG106+$E103*EG14</f>
        <v>2141.95384526843</v>
      </c>
      <c r="EH146" s="49" t="n">
        <f aca="false">EH144+EH98+EH106+$E103*EH14</f>
        <v>2133.4732170411</v>
      </c>
      <c r="EI146" s="49" t="n">
        <f aca="false">EI144+EI98+EI106+$E103*EI14</f>
        <v>2094.49412834513</v>
      </c>
      <c r="EJ146" s="49" t="n">
        <f aca="false">EJ144+EJ98+EJ106+$E103*EJ14</f>
        <v>2117.76628532674</v>
      </c>
      <c r="EK146" s="49" t="n">
        <f aca="false">EK144+EK98+EK106+$E103*EK14</f>
        <v>2141.03844230835</v>
      </c>
      <c r="EL146" s="49" t="n">
        <f aca="false">EL144+EL98+EL106+$E103*EL14</f>
        <v>2132.50919112262</v>
      </c>
      <c r="EM146" s="49" t="n">
        <f aca="false">EM144+EM98+EM106+$E103*EM14</f>
        <v>2116.45301662203</v>
      </c>
      <c r="EN146" s="49" t="n">
        <f aca="false">EN144+EN98+EN106+$E103*EN14</f>
        <v>2116.45301662203</v>
      </c>
      <c r="EO146" s="49" t="n">
        <f aca="false">EO144+EO98+EO106+$E103*EO14</f>
        <v>2139.71074207941</v>
      </c>
    </row>
    <row r="147" customFormat="false" ht="15" hidden="false" customHeight="false" outlineLevel="0" collapsed="false">
      <c r="C147" s="26" t="s">
        <v>517</v>
      </c>
      <c r="D147" s="12" t="s">
        <v>27</v>
      </c>
      <c r="E147" s="34" t="n">
        <f aca="false">XIRR(INDEX($J146:$EO146,$E15):$EO146,INDEX($J$4:$EO$4,$E15):$EO$4)</f>
        <v>0.0757916899883517</v>
      </c>
    </row>
    <row r="149" customFormat="false" ht="15" hidden="false" customHeight="false" outlineLevel="0" collapsed="false">
      <c r="A149" s="10" t="s">
        <v>13</v>
      </c>
      <c r="B149" s="10"/>
      <c r="C149" s="10" t="s">
        <v>518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</row>
    <row r="150" customFormat="false" ht="15" hidden="false" customHeight="false" outlineLevel="0" collapsed="false">
      <c r="C150" s="1" t="s">
        <v>519</v>
      </c>
      <c r="D150" s="12" t="s">
        <v>33</v>
      </c>
      <c r="I150" s="49" t="n">
        <f aca="false">SUM(J150:EO150)</f>
        <v>185099.149390158</v>
      </c>
      <c r="J150" s="49" t="n">
        <f aca="false">J63+J70+J83+J62+J117</f>
        <v>-4662.80993807469</v>
      </c>
      <c r="K150" s="49" t="n">
        <f aca="false">K63+K70+K83+K62+K117</f>
        <v>-706.535577057768</v>
      </c>
      <c r="L150" s="49" t="n">
        <f aca="false">L63+L70+L83+L62+L117</f>
        <v>-104.360496659404</v>
      </c>
      <c r="M150" s="49" t="n">
        <f aca="false">M63+M70+M83+M62+M117</f>
        <v>-105.507315304013</v>
      </c>
      <c r="N150" s="49" t="n">
        <f aca="false">N63+N70+N83+N62+N117</f>
        <v>-105.507315304013</v>
      </c>
      <c r="O150" s="49" t="n">
        <f aca="false">O63+O70+O83+O62+O117</f>
        <v>-104.360496659404</v>
      </c>
      <c r="P150" s="49" t="n">
        <f aca="false">P63+P70+P83+P62+P117</f>
        <v>-104.360496659404</v>
      </c>
      <c r="Q150" s="49" t="n">
        <f aca="false">Q63+Q70+Q83+Q62+Q117</f>
        <v>-105.507315304013</v>
      </c>
      <c r="R150" s="49" t="n">
        <f aca="false">R63+R70+R83+R62+R117</f>
        <v>-8231.1046832519</v>
      </c>
      <c r="S150" s="49" t="n">
        <f aca="false">S63+S70+S83+S62+S117</f>
        <v>-16208.0072938226</v>
      </c>
      <c r="T150" s="49" t="n">
        <f aca="false">T63+T70+T83+T62+T117</f>
        <v>-8142.66396695028</v>
      </c>
      <c r="U150" s="49" t="n">
        <f aca="false">U63+U70+U83+U62+U117</f>
        <v>-8232.14379076292</v>
      </c>
      <c r="V150" s="49" t="n">
        <f aca="false">V63+V70+V83+V62+V117</f>
        <v>-8232.14379076292</v>
      </c>
      <c r="W150" s="49" t="n">
        <f aca="false">W63+W70+W83+W62+W117</f>
        <v>-8054.22607431038</v>
      </c>
      <c r="X150" s="49" t="n">
        <f aca="false">X63+X70+X83+X62+X117</f>
        <v>-8143.71747513605</v>
      </c>
      <c r="Y150" s="49" t="n">
        <f aca="false">Y63+Y70+Y83+Y62+Y117</f>
        <v>-10733.2088759617</v>
      </c>
      <c r="Z150" s="49" t="n">
        <f aca="false">Z63+Z70+Z83+Z62+Z117</f>
        <v>2309.33651736335</v>
      </c>
      <c r="AA150" s="49" t="n">
        <f aca="false">AA63+AA70+AA83+AA62+AA117</f>
        <v>2274.25954151428</v>
      </c>
      <c r="AB150" s="49" t="n">
        <f aca="false">AB63+AB70+AB83+AB62+AB117</f>
        <v>2298.4888159862</v>
      </c>
      <c r="AC150" s="49" t="n">
        <f aca="false">AC63+AC70+AC83+AC62+AC117</f>
        <v>2322.71145955363</v>
      </c>
      <c r="AD150" s="49" t="n">
        <f aca="false">AD63+AD70+AD83+AD62+AD117</f>
        <v>2314.3291355464</v>
      </c>
      <c r="AE150" s="49" t="n">
        <f aca="false">AE63+AE70+AE83+AE62+AE117</f>
        <v>2303.78132125338</v>
      </c>
      <c r="AF150" s="49" t="n">
        <f aca="false">AF63+AF70+AF83+AF62+AF117</f>
        <v>2251.00080300821</v>
      </c>
      <c r="AG150" s="49" t="n">
        <f aca="false">AG63+AG70+AG83+AG62+AG117</f>
        <v>2269.94813195385</v>
      </c>
      <c r="AH150" s="49" t="n">
        <f aca="false">AH63+AH70+AH83+AH62+AH117</f>
        <v>2261.55646505474</v>
      </c>
      <c r="AI150" s="49" t="n">
        <f aca="false">AI63+AI70+AI83+AI62+AI117</f>
        <v>2226.28046406329</v>
      </c>
      <c r="AJ150" s="49" t="n">
        <f aca="false">AJ63+AJ70+AJ83+AJ62+AJ117</f>
        <v>2277.10621008619</v>
      </c>
      <c r="AK150" s="49" t="n">
        <f aca="false">AK63+AK70+AK83+AK62+AK117</f>
        <v>2300.04483724239</v>
      </c>
      <c r="AL150" s="49" t="n">
        <f aca="false">AL63+AL70+AL83+AL62+AL117</f>
        <v>2291.54911494265</v>
      </c>
      <c r="AM150" s="49" t="n">
        <f aca="false">AM63+AM70+AM83+AM62+AM117</f>
        <v>2255.33286444188</v>
      </c>
      <c r="AN150" s="49" t="n">
        <f aca="false">AN63+AN70+AN83+AN62+AN117</f>
        <v>2278.29261632847</v>
      </c>
      <c r="AO150" s="49" t="n">
        <f aca="false">AO63+AO70+AO83+AO62+AO117</f>
        <v>2301.23697451037</v>
      </c>
      <c r="AP150" s="49" t="n">
        <f aca="false">AP63+AP70+AP83+AP62+AP117</f>
        <v>2292.63408043648</v>
      </c>
      <c r="AQ150" s="49" t="n">
        <f aca="false">AQ63+AQ70+AQ83+AQ62+AQ117</f>
        <v>2256.09160992853</v>
      </c>
      <c r="AR150" s="49" t="n">
        <f aca="false">AR63+AR70+AR83+AR62+AR117</f>
        <v>2279.05282132077</v>
      </c>
      <c r="AS150" s="49" t="n">
        <f aca="false">AS63+AS70+AS83+AS62+AS117</f>
        <v>2301.99785477085</v>
      </c>
      <c r="AT150" s="49" t="n">
        <f aca="false">AT63+AT70+AT83+AT62+AT117</f>
        <v>2293.28452388778</v>
      </c>
      <c r="AU150" s="49" t="n">
        <f aca="false">AU63+AU70+AU83+AU62+AU117</f>
        <v>2280.72788754892</v>
      </c>
      <c r="AV150" s="49" t="n">
        <f aca="false">AV63+AV70+AV83+AV62+AV117</f>
        <v>2279.36771691826</v>
      </c>
      <c r="AW150" s="49" t="n">
        <f aca="false">AW63+AW70+AW83+AW62+AW117</f>
        <v>2302.30814093616</v>
      </c>
      <c r="AX150" s="49" t="n">
        <f aca="false">AX63+AX70+AX83+AX62+AX117</f>
        <v>2293.48095194257</v>
      </c>
      <c r="AY150" s="49" t="n">
        <f aca="false">AY63+AY70+AY83+AY62+AY117</f>
        <v>2256.26922139394</v>
      </c>
      <c r="AZ150" s="49" t="n">
        <f aca="false">AZ63+AZ70+AZ83+AZ62+AZ117</f>
        <v>2279.21738073489</v>
      </c>
      <c r="BA150" s="49" t="n">
        <f aca="false">BA63+BA70+BA83+BA62+BA117</f>
        <v>2302.14767176357</v>
      </c>
      <c r="BB150" s="49" t="n">
        <f aca="false">BB63+BB70+BB83+BB62+BB117</f>
        <v>2293.2030390972</v>
      </c>
      <c r="BC150" s="49" t="n">
        <f aca="false">BC63+BC70+BC83+BC62+BC117</f>
        <v>2255.64787532731</v>
      </c>
      <c r="BD150" s="49" t="n">
        <f aca="false">BD63+BD70+BD83+BD62+BD117</f>
        <v>2278.58103920362</v>
      </c>
      <c r="BE150" s="49" t="n">
        <f aca="false">BE63+BE70+BE83+BE62+BE117</f>
        <v>2301.49542446047</v>
      </c>
      <c r="BF150" s="49" t="n">
        <f aca="false">BF63+BF70+BF83+BF62+BF117</f>
        <v>2292.42958989359</v>
      </c>
      <c r="BG150" s="49" t="n">
        <f aca="false">BG63+BG70+BG83+BG62+BG117</f>
        <v>2254.52484693658</v>
      </c>
      <c r="BH150" s="49" t="n">
        <f aca="false">BH63+BH70+BH83+BH62+BH117</f>
        <v>2277.43702886992</v>
      </c>
      <c r="BI150" s="49" t="n">
        <f aca="false">BI63+BI70+BI83+BI62+BI117</f>
        <v>2300.32947550072</v>
      </c>
      <c r="BJ150" s="49" t="n">
        <f aca="false">BJ63+BJ70+BJ83+BJ62+BJ117</f>
        <v>2291.13849930485</v>
      </c>
      <c r="BK150" s="49" t="n">
        <f aca="false">BK63+BK70+BK83+BK62+BK117</f>
        <v>2277.42201376659</v>
      </c>
      <c r="BL150" s="49" t="n">
        <f aca="false">BL63+BL70+BL83+BL62+BL117</f>
        <v>2275.76275583116</v>
      </c>
      <c r="BM150" s="49" t="n">
        <f aca="false">BM63+BM70+BM83+BM62+BM117</f>
        <v>2298.62695956395</v>
      </c>
      <c r="BN150" s="49" t="n">
        <f aca="false">BN63+BN70+BN83+BN62+BN117</f>
        <v>2289.30671122182</v>
      </c>
      <c r="BO150" s="49" t="n">
        <f aca="false">BO63+BO70+BO83+BO62+BO117</f>
        <v>2250.68348258834</v>
      </c>
      <c r="BP150" s="49" t="n">
        <f aca="false">BP63+BP70+BP83+BP62+BP117</f>
        <v>2273.53465323053</v>
      </c>
      <c r="BQ150" s="49" t="n">
        <f aca="false">BQ63+BQ70+BQ83+BQ62+BQ117</f>
        <v>2296.36402650535</v>
      </c>
      <c r="BR150" s="49" t="n">
        <f aca="false">BR63+BR70+BR83+BR62+BR117</f>
        <v>2286.91017494684</v>
      </c>
      <c r="BS150" s="49" t="n">
        <f aca="false">BS63+BS70+BS83+BS62+BS117</f>
        <v>2247.91756931877</v>
      </c>
      <c r="BT150" s="49" t="n">
        <f aca="false">BT63+BT70+BT83+BT62+BT117</f>
        <v>2270.7281367093</v>
      </c>
      <c r="BU150" s="49" t="n">
        <f aca="false">BU63+BU70+BU83+BU62+BU117</f>
        <v>2293.51579625823</v>
      </c>
      <c r="BV150" s="49" t="n">
        <f aca="false">BV63+BV70+BV83+BV62+BV117</f>
        <v>2283.92379959611</v>
      </c>
      <c r="BW150" s="49" t="n">
        <f aca="false">BW63+BW70+BW83+BW62+BW117</f>
        <v>2244.55472897596</v>
      </c>
      <c r="BX150" s="49" t="n">
        <f aca="false">BX63+BX70+BX83+BX62+BX117</f>
        <v>2267.31755771639</v>
      </c>
      <c r="BY150" s="49" t="n">
        <f aca="false">BY63+BY70+BY83+BY62+BY117</f>
        <v>2290.05631156751</v>
      </c>
      <c r="BZ150" s="49" t="n">
        <f aca="false">BZ63+BZ70+BZ83+BZ62+BZ117</f>
        <v>2280.32140630735</v>
      </c>
      <c r="CA150" s="49" t="n">
        <f aca="false">CA63+CA70+CA83+CA62+CA117</f>
        <v>2265.30026598168</v>
      </c>
      <c r="CB150" s="49" t="n">
        <f aca="false">CB63+CB70+CB83+CB62+CB117</f>
        <v>2263.2761545693</v>
      </c>
      <c r="CC150" s="49" t="n">
        <f aca="false">CC63+CC70+CC83+CC62+CC117</f>
        <v>2285.95848844647</v>
      </c>
      <c r="CD150" s="49" t="n">
        <f aca="false">CD63+CD70+CD83+CD62+CD117</f>
        <v>2276.07567814386</v>
      </c>
      <c r="CE150" s="49" t="n">
        <f aca="false">CE63+CE70+CE83+CE62+CE117</f>
        <v>2235.93134768512</v>
      </c>
      <c r="CF150" s="49" t="n">
        <f aca="false">CF63+CF70+CF83+CF62+CF117</f>
        <v>2258.57600115503</v>
      </c>
      <c r="CG150" s="49" t="n">
        <f aca="false">CG63+CG70+CG83+CG62+CG117</f>
        <v>2281.1940642443</v>
      </c>
      <c r="CH150" s="49" t="n">
        <f aca="false">CH63+CH70+CH83+CH62+CH117</f>
        <v>2271.15810758116</v>
      </c>
      <c r="CI150" s="49" t="n">
        <f aca="false">CI63+CI70+CI83+CI62+CI117</f>
        <v>2232.82242095173</v>
      </c>
      <c r="CJ150" s="49" t="n">
        <f aca="false">CJ63+CJ70+CJ83+CJ62+CJ117</f>
        <v>2257.63155896231</v>
      </c>
      <c r="CK150" s="49" t="n">
        <f aca="false">CK63+CK70+CK83+CK62+CK117</f>
        <v>2282.44069697288</v>
      </c>
      <c r="CL150" s="49" t="n">
        <f aca="false">CL63+CL70+CL83+CL62+CL117</f>
        <v>2274.53793753139</v>
      </c>
      <c r="CM150" s="49" t="n">
        <f aca="false">CM63+CM70+CM83+CM62+CM117</f>
        <v>2235.9071616356</v>
      </c>
      <c r="CN150" s="49" t="n">
        <f aca="false">CN63+CN70+CN83+CN62+CN117</f>
        <v>2260.75057454267</v>
      </c>
      <c r="CO150" s="49" t="n">
        <f aca="false">CO63+CO70+CO83+CO62+CO117</f>
        <v>2285.59398744973</v>
      </c>
      <c r="CP150" s="49" t="n">
        <f aca="false">CP63+CP70+CP83+CP62+CP117</f>
        <v>2277.64357229016</v>
      </c>
      <c r="CQ150" s="49" t="n">
        <f aca="false">CQ63+CQ70+CQ83+CQ62+CQ117</f>
        <v>2263.58951398781</v>
      </c>
      <c r="CR150" s="49" t="n">
        <f aca="false">CR63+CR70+CR83+CR62+CR117</f>
        <v>2263.58951398781</v>
      </c>
      <c r="CS150" s="49" t="n">
        <f aca="false">CS63+CS70+CS83+CS62+CS117</f>
        <v>2288.46412403163</v>
      </c>
      <c r="CT150" s="49" t="n">
        <f aca="false">CT63+CT70+CT83+CT62+CT117</f>
        <v>2280.4659477195</v>
      </c>
      <c r="CU150" s="49" t="n">
        <f aca="false">CU63+CU70+CU83+CU62+CU117</f>
        <v>2241.23654457512</v>
      </c>
      <c r="CV150" s="49" t="n">
        <f aca="false">CV63+CV70+CV83+CV62+CV117</f>
        <v>2266.13917284818</v>
      </c>
      <c r="CW150" s="49" t="n">
        <f aca="false">CW63+CW70+CW83+CW62+CW117</f>
        <v>2291.04180112124</v>
      </c>
      <c r="CX150" s="49" t="n">
        <f aca="false">CX63+CX70+CX83+CX62+CX117</f>
        <v>2282.99576226646</v>
      </c>
      <c r="CY150" s="49" t="n">
        <f aca="false">CY63+CY70+CY83+CY62+CY117</f>
        <v>2243.46274206641</v>
      </c>
      <c r="CZ150" s="49" t="n">
        <f aca="false">CZ63+CZ70+CZ83+CZ62+CZ117</f>
        <v>2268.39010586715</v>
      </c>
      <c r="DA150" s="49" t="n">
        <f aca="false">DA63+DA70+DA83+DA62+DA117</f>
        <v>2293.31746966789</v>
      </c>
      <c r="DB150" s="49" t="n">
        <f aca="false">DB63+DB70+DB83+DB62+DB117</f>
        <v>2127.75796595667</v>
      </c>
      <c r="DC150" s="49" t="n">
        <f aca="false">DC63+DC70+DC83+DC62+DC117</f>
        <v>2091.34156892558</v>
      </c>
      <c r="DD150" s="49" t="n">
        <f aca="false">DD63+DD70+DD83+DD62+DD117</f>
        <v>2114.5786974692</v>
      </c>
      <c r="DE150" s="49" t="n">
        <f aca="false">DE63+DE70+DE83+DE62+DE117</f>
        <v>2137.81582601281</v>
      </c>
      <c r="DF150" s="49" t="n">
        <f aca="false">DF63+DF70+DF83+DF62+DF117</f>
        <v>2129.67377475099</v>
      </c>
      <c r="DG150" s="49" t="n">
        <f aca="false">DG63+DG70+DG83+DG62+DG117</f>
        <v>2116.20284972323</v>
      </c>
      <c r="DH150" s="49" t="n">
        <f aca="false">DH63+DH70+DH83+DH62+DH117</f>
        <v>2116.20284972323</v>
      </c>
      <c r="DI150" s="49" t="n">
        <f aca="false">DI63+DI70+DI83+DI62+DI117</f>
        <v>2139.45782609381</v>
      </c>
      <c r="DJ150" s="49" t="n">
        <f aca="false">DJ63+DJ70+DJ83+DJ62+DJ117</f>
        <v>2131.26763373715</v>
      </c>
      <c r="DK150" s="49" t="n">
        <f aca="false">DK63+DK70+DK83+DK62+DK117</f>
        <v>2094.22922134031</v>
      </c>
      <c r="DL150" s="49" t="n">
        <f aca="false">DL63+DL70+DL83+DL62+DL117</f>
        <v>2117.49843491076</v>
      </c>
      <c r="DM150" s="49" t="n">
        <f aca="false">DM63+DM70+DM83+DM62+DM117</f>
        <v>2140.76764848121</v>
      </c>
      <c r="DN150" s="49" t="n">
        <f aca="false">DN63+DN70+DN83+DN62+DN117</f>
        <v>2132.52923118543</v>
      </c>
      <c r="DO150" s="49" t="n">
        <f aca="false">DO63+DO70+DO83+DO62+DO117</f>
        <v>2095.17525809415</v>
      </c>
      <c r="DP150" s="49" t="n">
        <f aca="false">DP63+DP70+DP83+DP62+DP117</f>
        <v>2118.45498318408</v>
      </c>
      <c r="DQ150" s="49" t="n">
        <f aca="false">DQ63+DQ70+DQ83+DQ62+DQ117</f>
        <v>2141.73470827402</v>
      </c>
      <c r="DR150" s="49" t="n">
        <f aca="false">DR63+DR70+DR83+DR62+DR117</f>
        <v>2133.4479869401</v>
      </c>
      <c r="DS150" s="49" t="n">
        <f aca="false">DS63+DS70+DS83+DS62+DS117</f>
        <v>2095.77535956</v>
      </c>
      <c r="DT150" s="49" t="n">
        <f aca="false">DT63+DT70+DT83+DT62+DT117</f>
        <v>2119.061752444</v>
      </c>
      <c r="DU150" s="49" t="n">
        <f aca="false">DU63+DU70+DU83+DU62+DU117</f>
        <v>2142.348145328</v>
      </c>
      <c r="DV150" s="49" t="n">
        <f aca="false">DV63+DV70+DV83+DV62+DV117</f>
        <v>2134.01304575269</v>
      </c>
      <c r="DW150" s="49" t="n">
        <f aca="false">DW63+DW70+DW83+DW62+DW117</f>
        <v>2119.30772157993</v>
      </c>
      <c r="DX150" s="49" t="n">
        <f aca="false">DX63+DX70+DX83+DX62+DX117</f>
        <v>2119.30772157993</v>
      </c>
      <c r="DY150" s="49" t="n">
        <f aca="false">DY63+DY70+DY83+DY62+DY117</f>
        <v>2142.59681742147</v>
      </c>
      <c r="DZ150" s="49" t="n">
        <f aca="false">DZ63+DZ70+DZ83+DZ62+DZ117</f>
        <v>2134.2132704514</v>
      </c>
      <c r="EA150" s="49" t="n">
        <f aca="false">EA63+EA70+EA83+EA62+EA117</f>
        <v>2095.89387383467</v>
      </c>
      <c r="EB150" s="49" t="n">
        <f aca="false">EB63+EB70+EB83+EB62+EB117</f>
        <v>2119.18158354395</v>
      </c>
      <c r="EC150" s="49" t="n">
        <f aca="false">EC63+EC70+EC83+EC62+EC117</f>
        <v>2142.46929325322</v>
      </c>
      <c r="ED150" s="49" t="n">
        <f aca="false">ED63+ED70+ED83+ED62+ED117</f>
        <v>2134.03723494271</v>
      </c>
      <c r="EE150" s="49" t="n">
        <f aca="false">EE63+EE70+EE83+EE62+EE117</f>
        <v>2095.38963124086</v>
      </c>
      <c r="EF150" s="49" t="n">
        <f aca="false">EF63+EF70+EF83+EF62+EF117</f>
        <v>2118.67173825464</v>
      </c>
      <c r="EG150" s="49" t="n">
        <f aca="false">EG63+EG70+EG83+EG62+EG117</f>
        <v>2141.95384526843</v>
      </c>
      <c r="EH150" s="49" t="n">
        <f aca="false">EH63+EH70+EH83+EH62+EH117</f>
        <v>2133.4732170411</v>
      </c>
      <c r="EI150" s="49" t="n">
        <f aca="false">EI63+EI70+EI83+EI62+EI117</f>
        <v>2094.49412834513</v>
      </c>
      <c r="EJ150" s="49" t="n">
        <f aca="false">EJ63+EJ70+EJ83+EJ62+EJ117</f>
        <v>2117.76628532674</v>
      </c>
      <c r="EK150" s="49" t="n">
        <f aca="false">EK63+EK70+EK83+EK62+EK117</f>
        <v>2141.03844230835</v>
      </c>
      <c r="EL150" s="49" t="n">
        <f aca="false">EL63+EL70+EL83+EL62+EL117</f>
        <v>2132.50919112262</v>
      </c>
      <c r="EM150" s="49" t="n">
        <f aca="false">EM63+EM70+EM83+EM62+EM117</f>
        <v>2116.45301662203</v>
      </c>
      <c r="EN150" s="49" t="n">
        <f aca="false">EN63+EN70+EN83+EN62+EN117</f>
        <v>2116.45301662203</v>
      </c>
      <c r="EO150" s="49" t="n">
        <f aca="false">EO63+EO70+EO83+EO62+EO117</f>
        <v>2139.71074207941</v>
      </c>
    </row>
    <row r="151" customFormat="false" ht="15" hidden="false" customHeight="false" outlineLevel="0" collapsed="false">
      <c r="C151" s="26" t="s">
        <v>94</v>
      </c>
      <c r="D151" s="12" t="s">
        <v>27</v>
      </c>
      <c r="E151" s="34" t="n">
        <f aca="false">XIRR($J150:$EO150,$J$4:$EO$4)</f>
        <v>0.0963433191717315</v>
      </c>
    </row>
    <row r="152" customFormat="false" ht="15" hidden="false" customHeight="false" outlineLevel="0" collapsed="false">
      <c r="C152" s="26" t="s">
        <v>520</v>
      </c>
      <c r="D152" s="12" t="s">
        <v>33</v>
      </c>
      <c r="I152" s="58" t="n">
        <f aca="false">SUM(J152:EO152)</f>
        <v>160398.035660502</v>
      </c>
      <c r="J152" s="58" t="n">
        <f aca="false">J63+J70+J100+J104+J105+J83+J98+J106+J62+J117</f>
        <v>-4662.80993807469</v>
      </c>
      <c r="K152" s="58" t="n">
        <f aca="false">K63+K70+K100+K104+K105+K83+K98+K106+K62+K117</f>
        <v>-706.535577057768</v>
      </c>
      <c r="L152" s="58" t="n">
        <f aca="false">L63+L70+L100+L104+L105+L83+L98+L106+L62+L117</f>
        <v>-104.360496659404</v>
      </c>
      <c r="M152" s="58" t="n">
        <f aca="false">M63+M70+M100+M104+M105+M83+M98+M106+M62+M117</f>
        <v>-105.507315304013</v>
      </c>
      <c r="N152" s="58" t="n">
        <f aca="false">N63+N70+N100+N104+N105+N83+N98+N106+N62+N117</f>
        <v>-105.507315304013</v>
      </c>
      <c r="O152" s="58" t="n">
        <f aca="false">O63+O70+O100+O104+O105+O83+O98+O106+O62+O117</f>
        <v>-104.360496659404</v>
      </c>
      <c r="P152" s="58" t="n">
        <f aca="false">P63+P70+P100+P104+P105+P83+P98+P106+P62+P117</f>
        <v>-104.360496659404</v>
      </c>
      <c r="Q152" s="58" t="n">
        <f aca="false">Q63+Q70+Q100+Q104+Q105+Q83+Q98+Q106+Q62+Q117</f>
        <v>-105.507315304013</v>
      </c>
      <c r="R152" s="58" t="n">
        <f aca="false">R63+R70+R100+R104+R105+R83+R98+R106+R62+R117</f>
        <v>-4087.99741665108</v>
      </c>
      <c r="S152" s="58" t="n">
        <f aca="false">S63+S70+S100+S104+S105+S83+S98+S106+S62+S117</f>
        <v>-6180.32604982119</v>
      </c>
      <c r="T152" s="58" t="n">
        <f aca="false">T63+T70+T100+T104+T105+T83+T98+T106+T62+T117</f>
        <v>-3153.5649456833</v>
      </c>
      <c r="U152" s="58" t="n">
        <f aca="false">U63+U70+U100+U104+U105+U83+U98+U106+U62+U117</f>
        <v>-3176.73865237342</v>
      </c>
      <c r="V152" s="58" t="n">
        <f aca="false">V63+V70+V100+V104+V105+V83+V98+V106+V62+V117</f>
        <v>-3165.13163599942</v>
      </c>
      <c r="W152" s="58" t="n">
        <f aca="false">W63+W70+W100+W104+W105+W83+W98+W106+W62+W117</f>
        <v>-3086.01166776281</v>
      </c>
      <c r="X152" s="58" t="n">
        <f aca="false">X63+X70+X100+X104+X105+X83+X98+X106+X62+X117</f>
        <v>-3109.06941690514</v>
      </c>
      <c r="Y152" s="58" t="n">
        <f aca="false">Y63+Y70+Y100+Y104+Y105+Y83+Y98+Y106+Y62+Y117</f>
        <v>-5240.99907820711</v>
      </c>
      <c r="Z152" s="58" t="n">
        <f aca="false">Z63+Z70+Z100+Z104+Z105+Z83+Z98+Z106+Z62+Z117</f>
        <v>1131.73497808859</v>
      </c>
      <c r="AA152" s="58" t="n">
        <f aca="false">AA63+AA70+AA100+AA104+AA105+AA83+AA98+AA106+AA62+AA117</f>
        <v>1096.65800223952</v>
      </c>
      <c r="AB152" s="58" t="n">
        <f aca="false">AB63+AB70+AB100+AB104+AB105+AB83+AB98+AB106+AB62+AB117</f>
        <v>1120.88727671144</v>
      </c>
      <c r="AC152" s="58" t="n">
        <f aca="false">AC63+AC70+AC100+AC104+AC105+AC83+AC98+AC106+AC62+AC117</f>
        <v>1145.10992027887</v>
      </c>
      <c r="AD152" s="58" t="n">
        <f aca="false">AD63+AD70+AD100+AD104+AD105+AD83+AD98+AD106+AD62+AD117</f>
        <v>1136.72759627164</v>
      </c>
      <c r="AE152" s="58" t="n">
        <f aca="false">AE63+AE70+AE100+AE104+AE105+AE83+AE98+AE106+AE62+AE117</f>
        <v>1126.17978197862</v>
      </c>
      <c r="AF152" s="58" t="n">
        <f aca="false">AF63+AF70+AF100+AF104+AF105+AF83+AF98+AF106+AF62+AF117</f>
        <v>1073.39926373345</v>
      </c>
      <c r="AG152" s="58" t="n">
        <f aca="false">AG63+AG70+AG100+AG104+AG105+AG83+AG98+AG106+AG62+AG117</f>
        <v>1092.34659267909</v>
      </c>
      <c r="AH152" s="58" t="n">
        <f aca="false">AH63+AH70+AH100+AH104+AH105+AH83+AH98+AH106+AH62+AH117</f>
        <v>1083.95492577998</v>
      </c>
      <c r="AI152" s="58" t="n">
        <f aca="false">AI63+AI70+AI100+AI104+AI105+AI83+AI98+AI106+AI62+AI117</f>
        <v>1048.67892478853</v>
      </c>
      <c r="AJ152" s="58" t="n">
        <f aca="false">AJ63+AJ70+AJ100+AJ104+AJ105+AJ83+AJ98+AJ106+AJ62+AJ117</f>
        <v>1099.50467081143</v>
      </c>
      <c r="AK152" s="58" t="n">
        <f aca="false">AK63+AK70+AK100+AK104+AK105+AK83+AK98+AK106+AK62+AK117</f>
        <v>1122.44329796763</v>
      </c>
      <c r="AL152" s="58" t="n">
        <f aca="false">AL63+AL70+AL100+AL104+AL105+AL83+AL98+AL106+AL62+AL117</f>
        <v>1113.94757566789</v>
      </c>
      <c r="AM152" s="58" t="n">
        <f aca="false">AM63+AM70+AM100+AM104+AM105+AM83+AM98+AM106+AM62+AM117</f>
        <v>1077.73132516712</v>
      </c>
      <c r="AN152" s="58" t="n">
        <f aca="false">AN63+AN70+AN100+AN104+AN105+AN83+AN98+AN106+AN62+AN117</f>
        <v>1100.69107705371</v>
      </c>
      <c r="AO152" s="58" t="n">
        <f aca="false">AO63+AO70+AO100+AO104+AO105+AO83+AO98+AO106+AO62+AO117</f>
        <v>1123.63543523561</v>
      </c>
      <c r="AP152" s="58" t="n">
        <f aca="false">AP63+AP70+AP100+AP104+AP105+AP83+AP98+AP106+AP62+AP117</f>
        <v>1115.03254116172</v>
      </c>
      <c r="AQ152" s="58" t="n">
        <f aca="false">AQ63+AQ70+AQ100+AQ104+AQ105+AQ83+AQ98+AQ106+AQ62+AQ117</f>
        <v>1078.49007065377</v>
      </c>
      <c r="AR152" s="58" t="n">
        <f aca="false">AR63+AR70+AR100+AR104+AR105+AR83+AR98+AR106+AR62+AR117</f>
        <v>1101.45128204602</v>
      </c>
      <c r="AS152" s="58" t="n">
        <f aca="false">AS63+AS70+AS100+AS104+AS105+AS83+AS98+AS106+AS62+AS117</f>
        <v>1124.39631549609</v>
      </c>
      <c r="AT152" s="58" t="n">
        <f aca="false">AT63+AT70+AT100+AT104+AT105+AT83+AT98+AT106+AT62+AT117</f>
        <v>1115.68298461302</v>
      </c>
      <c r="AU152" s="58" t="n">
        <f aca="false">AU63+AU70+AU100+AU104+AU105+AU83+AU98+AU106+AU62+AU117</f>
        <v>1103.12634827417</v>
      </c>
      <c r="AV152" s="58" t="n">
        <f aca="false">AV63+AV70+AV100+AV104+AV105+AV83+AV98+AV106+AV62+AV117</f>
        <v>1101.76617764351</v>
      </c>
      <c r="AW152" s="58" t="n">
        <f aca="false">AW63+AW70+AW100+AW104+AW105+AW83+AW98+AW106+AW62+AW117</f>
        <v>1124.7066016614</v>
      </c>
      <c r="AX152" s="58" t="n">
        <f aca="false">AX63+AX70+AX100+AX104+AX105+AX83+AX98+AX106+AX62+AX117</f>
        <v>1115.87941266781</v>
      </c>
      <c r="AY152" s="58" t="n">
        <f aca="false">AY63+AY70+AY100+AY104+AY105+AY83+AY98+AY106+AY62+AY117</f>
        <v>1078.66768211918</v>
      </c>
      <c r="AZ152" s="58" t="n">
        <f aca="false">AZ63+AZ70+AZ100+AZ104+AZ105+AZ83+AZ98+AZ106+AZ62+AZ117</f>
        <v>1101.61584146013</v>
      </c>
      <c r="BA152" s="58" t="n">
        <f aca="false">BA63+BA70+BA100+BA104+BA105+BA83+BA98+BA106+BA62+BA117</f>
        <v>1124.54613248881</v>
      </c>
      <c r="BB152" s="58" t="n">
        <f aca="false">BB63+BB70+BB100+BB104+BB105+BB83+BB98+BB106+BB62+BB117</f>
        <v>1115.60149982244</v>
      </c>
      <c r="BC152" s="58" t="n">
        <f aca="false">BC63+BC70+BC100+BC104+BC105+BC83+BC98+BC106+BC62+BC117</f>
        <v>1078.04633605255</v>
      </c>
      <c r="BD152" s="58" t="n">
        <f aca="false">BD63+BD70+BD100+BD104+BD105+BD83+BD98+BD106+BD62+BD117</f>
        <v>1100.97949992887</v>
      </c>
      <c r="BE152" s="58" t="n">
        <f aca="false">BE63+BE70+BE100+BE104+BE105+BE83+BE98+BE106+BE62+BE117</f>
        <v>1123.89388518572</v>
      </c>
      <c r="BF152" s="58" t="n">
        <f aca="false">BF63+BF70+BF100+BF104+BF105+BF83+BF98+BF106+BF62+BF117</f>
        <v>1114.82805061883</v>
      </c>
      <c r="BG152" s="58" t="n">
        <f aca="false">BG63+BG70+BG100+BG104+BG105+BG83+BG98+BG106+BG62+BG117</f>
        <v>1076.92330766182</v>
      </c>
      <c r="BH152" s="58" t="n">
        <f aca="false">BH63+BH70+BH100+BH104+BH105+BH83+BH98+BH106+BH62+BH117</f>
        <v>1099.83548959517</v>
      </c>
      <c r="BI152" s="58" t="n">
        <f aca="false">BI63+BI70+BI100+BI104+BI105+BI83+BI98+BI106+BI62+BI117</f>
        <v>1122.72793622596</v>
      </c>
      <c r="BJ152" s="58" t="n">
        <f aca="false">BJ63+BJ70+BJ100+BJ104+BJ105+BJ83+BJ98+BJ106+BJ62+BJ117</f>
        <v>1113.53696003009</v>
      </c>
      <c r="BK152" s="58" t="n">
        <f aca="false">BK63+BK70+BK100+BK104+BK105+BK83+BK98+BK106+BK62+BK117</f>
        <v>1099.82047449184</v>
      </c>
      <c r="BL152" s="58" t="n">
        <f aca="false">BL63+BL70+BL100+BL104+BL105+BL83+BL98+BL106+BL62+BL117</f>
        <v>1098.1612165564</v>
      </c>
      <c r="BM152" s="58" t="n">
        <f aca="false">BM63+BM70+BM100+BM104+BM105+BM83+BM98+BM106+BM62+BM117</f>
        <v>1121.02542028919</v>
      </c>
      <c r="BN152" s="58" t="n">
        <f aca="false">BN63+BN70+BN100+BN104+BN105+BN83+BN98+BN106+BN62+BN117</f>
        <v>1111.70517194706</v>
      </c>
      <c r="BO152" s="58" t="n">
        <f aca="false">BO63+BO70+BO100+BO104+BO105+BO83+BO98+BO106+BO62+BO117</f>
        <v>1073.08194331358</v>
      </c>
      <c r="BP152" s="58" t="n">
        <f aca="false">BP63+BP70+BP100+BP104+BP105+BP83+BP98+BP106+BP62+BP117</f>
        <v>1095.93311395577</v>
      </c>
      <c r="BQ152" s="58" t="n">
        <f aca="false">BQ63+BQ70+BQ100+BQ104+BQ105+BQ83+BQ98+BQ106+BQ62+BQ117</f>
        <v>1118.76248723059</v>
      </c>
      <c r="BR152" s="58" t="n">
        <f aca="false">BR63+BR70+BR100+BR104+BR105+BR83+BR98+BR106+BR62+BR117</f>
        <v>1109.30863567208</v>
      </c>
      <c r="BS152" s="58" t="n">
        <f aca="false">BS63+BS70+BS100+BS104+BS105+BS83+BS98+BS106+BS62+BS117</f>
        <v>1070.31603004401</v>
      </c>
      <c r="BT152" s="58" t="n">
        <f aca="false">BT63+BT70+BT100+BT104+BT105+BT83+BT98+BT106+BT62+BT117</f>
        <v>1093.12659743454</v>
      </c>
      <c r="BU152" s="58" t="n">
        <f aca="false">BU63+BU70+BU100+BU104+BU105+BU83+BU98+BU106+BU62+BU117</f>
        <v>1115.91425698347</v>
      </c>
      <c r="BV152" s="58" t="n">
        <f aca="false">BV63+BV70+BV100+BV104+BV105+BV83+BV98+BV106+BV62+BV117</f>
        <v>1106.32226032135</v>
      </c>
      <c r="BW152" s="58" t="n">
        <f aca="false">BW63+BW70+BW100+BW104+BW105+BW83+BW98+BW106+BW62+BW117</f>
        <v>1066.9531897012</v>
      </c>
      <c r="BX152" s="58" t="n">
        <f aca="false">BX63+BX70+BX100+BX104+BX105+BX83+BX98+BX106+BX62+BX117</f>
        <v>1089.71601844163</v>
      </c>
      <c r="BY152" s="58" t="n">
        <f aca="false">BY63+BY70+BY100+BY104+BY105+BY83+BY98+BY106+BY62+BY117</f>
        <v>1112.45477229275</v>
      </c>
      <c r="BZ152" s="58" t="n">
        <f aca="false">BZ63+BZ70+BZ100+BZ104+BZ105+BZ83+BZ98+BZ106+BZ62+BZ117</f>
        <v>1102.71986703259</v>
      </c>
      <c r="CA152" s="58" t="n">
        <f aca="false">CA63+CA70+CA100+CA104+CA105+CA83+CA98+CA106+CA62+CA117</f>
        <v>1087.69872670692</v>
      </c>
      <c r="CB152" s="58" t="n">
        <f aca="false">CB63+CB70+CB100+CB104+CB105+CB83+CB98+CB106+CB62+CB117</f>
        <v>1085.67461529454</v>
      </c>
      <c r="CC152" s="58" t="n">
        <f aca="false">CC63+CC70+CC100+CC104+CC105+CC83+CC98+CC106+CC62+CC117</f>
        <v>1108.35694917172</v>
      </c>
      <c r="CD152" s="58" t="n">
        <f aca="false">CD63+CD70+CD100+CD104+CD105+CD83+CD98+CD106+CD62+CD117</f>
        <v>1098.4741388691</v>
      </c>
      <c r="CE152" s="58" t="n">
        <f aca="false">CE63+CE70+CE100+CE104+CE105+CE83+CE98+CE106+CE62+CE117</f>
        <v>1058.32980841036</v>
      </c>
      <c r="CF152" s="58" t="n">
        <f aca="false">CF63+CF70+CF100+CF104+CF105+CF83+CF98+CF106+CF62+CF117</f>
        <v>1080.97446188027</v>
      </c>
      <c r="CG152" s="58" t="n">
        <f aca="false">CG63+CG70+CG100+CG104+CG105+CG83+CG98+CG106+CG62+CG117</f>
        <v>2281.19406424431</v>
      </c>
      <c r="CH152" s="58" t="n">
        <f aca="false">CH63+CH70+CH100+CH104+CH105+CH83+CH98+CH106+CH62+CH117</f>
        <v>2271.15810758116</v>
      </c>
      <c r="CI152" s="58" t="n">
        <f aca="false">CI63+CI70+CI100+CI104+CI105+CI83+CI98+CI106+CI62+CI117</f>
        <v>2232.82242095173</v>
      </c>
      <c r="CJ152" s="58" t="n">
        <f aca="false">CJ63+CJ70+CJ100+CJ104+CJ105+CJ83+CJ98+CJ106+CJ62+CJ117</f>
        <v>2257.63155896231</v>
      </c>
      <c r="CK152" s="58" t="n">
        <f aca="false">CK63+CK70+CK100+CK104+CK105+CK83+CK98+CK106+CK62+CK117</f>
        <v>2282.44069697288</v>
      </c>
      <c r="CL152" s="58" t="n">
        <f aca="false">CL63+CL70+CL100+CL104+CL105+CL83+CL98+CL106+CL62+CL117</f>
        <v>2274.53793753139</v>
      </c>
      <c r="CM152" s="58" t="n">
        <f aca="false">CM63+CM70+CM100+CM104+CM105+CM83+CM98+CM106+CM62+CM117</f>
        <v>2235.9071616356</v>
      </c>
      <c r="CN152" s="58" t="n">
        <f aca="false">CN63+CN70+CN100+CN104+CN105+CN83+CN98+CN106+CN62+CN117</f>
        <v>2260.75057454267</v>
      </c>
      <c r="CO152" s="58" t="n">
        <f aca="false">CO63+CO70+CO100+CO104+CO105+CO83+CO98+CO106+CO62+CO117</f>
        <v>2285.59398744973</v>
      </c>
      <c r="CP152" s="58" t="n">
        <f aca="false">CP63+CP70+CP100+CP104+CP105+CP83+CP98+CP106+CP62+CP117</f>
        <v>2277.64357229016</v>
      </c>
      <c r="CQ152" s="58" t="n">
        <f aca="false">CQ63+CQ70+CQ100+CQ104+CQ105+CQ83+CQ98+CQ106+CQ62+CQ117</f>
        <v>2263.58951398781</v>
      </c>
      <c r="CR152" s="58" t="n">
        <f aca="false">CR63+CR70+CR100+CR104+CR105+CR83+CR98+CR106+CR62+CR117</f>
        <v>2263.58951398781</v>
      </c>
      <c r="CS152" s="58" t="n">
        <f aca="false">CS63+CS70+CS100+CS104+CS105+CS83+CS98+CS106+CS62+CS117</f>
        <v>2288.46412403163</v>
      </c>
      <c r="CT152" s="58" t="n">
        <f aca="false">CT63+CT70+CT100+CT104+CT105+CT83+CT98+CT106+CT62+CT117</f>
        <v>2280.4659477195</v>
      </c>
      <c r="CU152" s="58" t="n">
        <f aca="false">CU63+CU70+CU100+CU104+CU105+CU83+CU98+CU106+CU62+CU117</f>
        <v>2241.23654457512</v>
      </c>
      <c r="CV152" s="58" t="n">
        <f aca="false">CV63+CV70+CV100+CV104+CV105+CV83+CV98+CV106+CV62+CV117</f>
        <v>2266.13917284818</v>
      </c>
      <c r="CW152" s="58" t="n">
        <f aca="false">CW63+CW70+CW100+CW104+CW105+CW83+CW98+CW106+CW62+CW117</f>
        <v>2291.04180112124</v>
      </c>
      <c r="CX152" s="58" t="n">
        <f aca="false">CX63+CX70+CX100+CX104+CX105+CX83+CX98+CX106+CX62+CX117</f>
        <v>2282.99576226646</v>
      </c>
      <c r="CY152" s="58" t="n">
        <f aca="false">CY63+CY70+CY100+CY104+CY105+CY83+CY98+CY106+CY62+CY117</f>
        <v>2243.46274206641</v>
      </c>
      <c r="CZ152" s="58" t="n">
        <f aca="false">CZ63+CZ70+CZ100+CZ104+CZ105+CZ83+CZ98+CZ106+CZ62+CZ117</f>
        <v>2268.39010586715</v>
      </c>
      <c r="DA152" s="58" t="n">
        <f aca="false">DA63+DA70+DA100+DA104+DA105+DA83+DA98+DA106+DA62+DA117</f>
        <v>2293.31746966789</v>
      </c>
      <c r="DB152" s="58" t="n">
        <f aca="false">DB63+DB70+DB100+DB104+DB105+DB83+DB98+DB106+DB62+DB117</f>
        <v>2127.75796595667</v>
      </c>
      <c r="DC152" s="58" t="n">
        <f aca="false">DC63+DC70+DC100+DC104+DC105+DC83+DC98+DC106+DC62+DC117</f>
        <v>2091.34156892558</v>
      </c>
      <c r="DD152" s="58" t="n">
        <f aca="false">DD63+DD70+DD100+DD104+DD105+DD83+DD98+DD106+DD62+DD117</f>
        <v>2114.5786974692</v>
      </c>
      <c r="DE152" s="58" t="n">
        <f aca="false">DE63+DE70+DE100+DE104+DE105+DE83+DE98+DE106+DE62+DE117</f>
        <v>2137.81582601281</v>
      </c>
      <c r="DF152" s="58" t="n">
        <f aca="false">DF63+DF70+DF100+DF104+DF105+DF83+DF98+DF106+DF62+DF117</f>
        <v>2129.67377475099</v>
      </c>
      <c r="DG152" s="58" t="n">
        <f aca="false">DG63+DG70+DG100+DG104+DG105+DG83+DG98+DG106+DG62+DG117</f>
        <v>2116.20284972323</v>
      </c>
      <c r="DH152" s="58" t="n">
        <f aca="false">DH63+DH70+DH100+DH104+DH105+DH83+DH98+DH106+DH62+DH117</f>
        <v>2116.20284972323</v>
      </c>
      <c r="DI152" s="58" t="n">
        <f aca="false">DI63+DI70+DI100+DI104+DI105+DI83+DI98+DI106+DI62+DI117</f>
        <v>2139.45782609381</v>
      </c>
      <c r="DJ152" s="58" t="n">
        <f aca="false">DJ63+DJ70+DJ100+DJ104+DJ105+DJ83+DJ98+DJ106+DJ62+DJ117</f>
        <v>2131.26763373715</v>
      </c>
      <c r="DK152" s="58" t="n">
        <f aca="false">DK63+DK70+DK100+DK104+DK105+DK83+DK98+DK106+DK62+DK117</f>
        <v>2094.22922134031</v>
      </c>
      <c r="DL152" s="58" t="n">
        <f aca="false">DL63+DL70+DL100+DL104+DL105+DL83+DL98+DL106+DL62+DL117</f>
        <v>2117.49843491076</v>
      </c>
      <c r="DM152" s="58" t="n">
        <f aca="false">DM63+DM70+DM100+DM104+DM105+DM83+DM98+DM106+DM62+DM117</f>
        <v>2140.76764848121</v>
      </c>
      <c r="DN152" s="58" t="n">
        <f aca="false">DN63+DN70+DN100+DN104+DN105+DN83+DN98+DN106+DN62+DN117</f>
        <v>2132.52923118543</v>
      </c>
      <c r="DO152" s="58" t="n">
        <f aca="false">DO63+DO70+DO100+DO104+DO105+DO83+DO98+DO106+DO62+DO117</f>
        <v>2095.17525809415</v>
      </c>
      <c r="DP152" s="58" t="n">
        <f aca="false">DP63+DP70+DP100+DP104+DP105+DP83+DP98+DP106+DP62+DP117</f>
        <v>2118.45498318408</v>
      </c>
      <c r="DQ152" s="58" t="n">
        <f aca="false">DQ63+DQ70+DQ100+DQ104+DQ105+DQ83+DQ98+DQ106+DQ62+DQ117</f>
        <v>2141.73470827402</v>
      </c>
      <c r="DR152" s="58" t="n">
        <f aca="false">DR63+DR70+DR100+DR104+DR105+DR83+DR98+DR106+DR62+DR117</f>
        <v>2133.4479869401</v>
      </c>
      <c r="DS152" s="58" t="n">
        <f aca="false">DS63+DS70+DS100+DS104+DS105+DS83+DS98+DS106+DS62+DS117</f>
        <v>2095.77535956</v>
      </c>
      <c r="DT152" s="58" t="n">
        <f aca="false">DT63+DT70+DT100+DT104+DT105+DT83+DT98+DT106+DT62+DT117</f>
        <v>2119.061752444</v>
      </c>
      <c r="DU152" s="58" t="n">
        <f aca="false">DU63+DU70+DU100+DU104+DU105+DU83+DU98+DU106+DU62+DU117</f>
        <v>2142.348145328</v>
      </c>
      <c r="DV152" s="58" t="n">
        <f aca="false">DV63+DV70+DV100+DV104+DV105+DV83+DV98+DV106+DV62+DV117</f>
        <v>2134.01304575269</v>
      </c>
      <c r="DW152" s="58" t="n">
        <f aca="false">DW63+DW70+DW100+DW104+DW105+DW83+DW98+DW106+DW62+DW117</f>
        <v>2119.30772157993</v>
      </c>
      <c r="DX152" s="58" t="n">
        <f aca="false">DX63+DX70+DX100+DX104+DX105+DX83+DX98+DX106+DX62+DX117</f>
        <v>2119.30772157993</v>
      </c>
      <c r="DY152" s="58" t="n">
        <f aca="false">DY63+DY70+DY100+DY104+DY105+DY83+DY98+DY106+DY62+DY117</f>
        <v>2142.59681742147</v>
      </c>
      <c r="DZ152" s="58" t="n">
        <f aca="false">DZ63+DZ70+DZ100+DZ104+DZ105+DZ83+DZ98+DZ106+DZ62+DZ117</f>
        <v>2134.2132704514</v>
      </c>
      <c r="EA152" s="58" t="n">
        <f aca="false">EA63+EA70+EA100+EA104+EA105+EA83+EA98+EA106+EA62+EA117</f>
        <v>2095.89387383467</v>
      </c>
      <c r="EB152" s="58" t="n">
        <f aca="false">EB63+EB70+EB100+EB104+EB105+EB83+EB98+EB106+EB62+EB117</f>
        <v>2119.18158354395</v>
      </c>
      <c r="EC152" s="58" t="n">
        <f aca="false">EC63+EC70+EC100+EC104+EC105+EC83+EC98+EC106+EC62+EC117</f>
        <v>2142.46929325322</v>
      </c>
      <c r="ED152" s="58" t="n">
        <f aca="false">ED63+ED70+ED100+ED104+ED105+ED83+ED98+ED106+ED62+ED117</f>
        <v>2134.03723494271</v>
      </c>
      <c r="EE152" s="58" t="n">
        <f aca="false">EE63+EE70+EE100+EE104+EE105+EE83+EE98+EE106+EE62+EE117</f>
        <v>2095.38963124086</v>
      </c>
      <c r="EF152" s="58" t="n">
        <f aca="false">EF63+EF70+EF100+EF104+EF105+EF83+EF98+EF106+EF62+EF117</f>
        <v>2118.67173825464</v>
      </c>
      <c r="EG152" s="58" t="n">
        <f aca="false">EG63+EG70+EG100+EG104+EG105+EG83+EG98+EG106+EG62+EG117</f>
        <v>2141.95384526843</v>
      </c>
      <c r="EH152" s="58" t="n">
        <f aca="false">EH63+EH70+EH100+EH104+EH105+EH83+EH98+EH106+EH62+EH117</f>
        <v>2133.4732170411</v>
      </c>
      <c r="EI152" s="58" t="n">
        <f aca="false">EI63+EI70+EI100+EI104+EI105+EI83+EI98+EI106+EI62+EI117</f>
        <v>2094.49412834513</v>
      </c>
      <c r="EJ152" s="58" t="n">
        <f aca="false">EJ63+EJ70+EJ100+EJ104+EJ105+EJ83+EJ98+EJ106+EJ62+EJ117</f>
        <v>2117.76628532674</v>
      </c>
      <c r="EK152" s="58" t="n">
        <f aca="false">EK63+EK70+EK100+EK104+EK105+EK83+EK98+EK106+EK62+EK117</f>
        <v>2141.03844230835</v>
      </c>
      <c r="EL152" s="58" t="n">
        <f aca="false">EL63+EL70+EL100+EL104+EL105+EL83+EL98+EL106+EL62+EL117</f>
        <v>2132.50919112262</v>
      </c>
      <c r="EM152" s="58" t="n">
        <f aca="false">EM63+EM70+EM100+EM104+EM105+EM83+EM98+EM106+EM62+EM117</f>
        <v>2116.45301662203</v>
      </c>
      <c r="EN152" s="58" t="n">
        <f aca="false">EN63+EN70+EN100+EN104+EN105+EN83+EN98+EN106+EN62+EN117</f>
        <v>2116.45301662203</v>
      </c>
      <c r="EO152" s="58" t="n">
        <f aca="false">EO63+EO70+EO100+EO104+EO105+EO83+EO98+EO106+EO62+EO117</f>
        <v>2139.71074207941</v>
      </c>
    </row>
    <row r="153" customFormat="false" ht="15" hidden="false" customHeight="false" outlineLevel="0" collapsed="false">
      <c r="C153" s="26" t="s">
        <v>91</v>
      </c>
      <c r="D153" s="12" t="s">
        <v>27</v>
      </c>
      <c r="E153" s="34" t="n">
        <f aca="false">XIRR($J152:$EO152,$J$4:$EO$4)</f>
        <v>0.118465201099218</v>
      </c>
    </row>
    <row r="154" customFormat="false" ht="15" hidden="false" customHeight="false" outlineLevel="0" collapsed="false">
      <c r="C154" s="26" t="s">
        <v>92</v>
      </c>
      <c r="D154" s="12" t="s">
        <v>13</v>
      </c>
      <c r="E154" s="61" t="n">
        <f aca="false">SUMIF($J152:$EO152,"&gt;0")/-SUMIF($J152:$EO152,"&lt;0")</f>
        <v>5.31191565866826</v>
      </c>
    </row>
    <row r="155" customFormat="false" ht="15" hidden="false" customHeight="false" outlineLevel="0" collapsed="false">
      <c r="C155" s="26" t="s">
        <v>93</v>
      </c>
      <c r="D155" s="12" t="s">
        <v>33</v>
      </c>
      <c r="E155" s="58" t="n">
        <f aca="false">XNPV(In_Discount_Rate,$J152:$EO152,$J$4:$EO$4)</f>
        <v>16612.5621146329</v>
      </c>
    </row>
    <row r="157" customFormat="false" ht="15" hidden="false" customHeight="false" outlineLevel="0" collapsed="false">
      <c r="C157" s="4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9" min="7" style="1" width="2"/>
    <col collapsed="false" customWidth="true" hidden="false" outlineLevel="0" max="145" min="10" style="1" width="11"/>
    <col collapsed="false" customWidth="false" hidden="true" outlineLevel="1" max="16384" min="146" style="1" width="13"/>
  </cols>
  <sheetData>
    <row r="2" customFormat="false" ht="15" hidden="false" customHeight="false" outlineLevel="0" collapsed="false">
      <c r="A2" s="2"/>
      <c r="B2" s="2" t="str">
        <f aca="false">Dashboard!$C$3&amp;" – Checks"</f>
        <v>Project Bana – Checks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</row>
    <row r="4" customFormat="false" ht="15" hidden="false" customHeight="false" outlineLevel="0" collapsed="false">
      <c r="C4" s="1" t="s">
        <v>408</v>
      </c>
      <c r="J4" s="21" t="n">
        <f aca="false">Calc_1!J$4</f>
        <v>46387</v>
      </c>
      <c r="K4" s="21" t="n">
        <f aca="false">Calc_1!K$4</f>
        <v>46477</v>
      </c>
      <c r="L4" s="21" t="n">
        <f aca="false">Calc_1!L$4</f>
        <v>46568</v>
      </c>
      <c r="M4" s="21" t="n">
        <f aca="false">Calc_1!M$4</f>
        <v>46660</v>
      </c>
      <c r="N4" s="21" t="n">
        <f aca="false">Calc_1!N$4</f>
        <v>46752</v>
      </c>
      <c r="O4" s="21" t="n">
        <f aca="false">Calc_1!O$4</f>
        <v>46843</v>
      </c>
      <c r="P4" s="21" t="n">
        <f aca="false">Calc_1!P$4</f>
        <v>46934</v>
      </c>
      <c r="Q4" s="21" t="n">
        <f aca="false">Calc_1!Q$4</f>
        <v>47026</v>
      </c>
      <c r="R4" s="21" t="n">
        <f aca="false">Calc_1!R$4</f>
        <v>47118</v>
      </c>
      <c r="S4" s="21" t="n">
        <f aca="false">Calc_1!S$4</f>
        <v>47208</v>
      </c>
      <c r="T4" s="21" t="n">
        <f aca="false">Calc_1!T$4</f>
        <v>47299</v>
      </c>
      <c r="U4" s="21" t="n">
        <f aca="false">Calc_1!U$4</f>
        <v>47391</v>
      </c>
      <c r="V4" s="21" t="n">
        <f aca="false">Calc_1!V$4</f>
        <v>47483</v>
      </c>
      <c r="W4" s="21" t="n">
        <f aca="false">Calc_1!W$4</f>
        <v>47573</v>
      </c>
      <c r="X4" s="21" t="n">
        <f aca="false">Calc_1!X$4</f>
        <v>47664</v>
      </c>
      <c r="Y4" s="21" t="n">
        <f aca="false">Calc_1!Y$4</f>
        <v>47756</v>
      </c>
      <c r="Z4" s="21" t="n">
        <f aca="false">Calc_1!Z$4</f>
        <v>47848</v>
      </c>
      <c r="AA4" s="21" t="n">
        <f aca="false">Calc_1!AA$4</f>
        <v>47938</v>
      </c>
      <c r="AB4" s="21" t="n">
        <f aca="false">Calc_1!AB$4</f>
        <v>48029</v>
      </c>
      <c r="AC4" s="21" t="n">
        <f aca="false">Calc_1!AC$4</f>
        <v>48121</v>
      </c>
      <c r="AD4" s="21" t="n">
        <f aca="false">Calc_1!AD$4</f>
        <v>48213</v>
      </c>
      <c r="AE4" s="21" t="n">
        <f aca="false">Calc_1!AE$4</f>
        <v>48304</v>
      </c>
      <c r="AF4" s="21" t="n">
        <f aca="false">Calc_1!AF$4</f>
        <v>48395</v>
      </c>
      <c r="AG4" s="21" t="n">
        <f aca="false">Calc_1!AG$4</f>
        <v>48487</v>
      </c>
      <c r="AH4" s="21" t="n">
        <f aca="false">Calc_1!AH$4</f>
        <v>48579</v>
      </c>
      <c r="AI4" s="21" t="n">
        <f aca="false">Calc_1!AI$4</f>
        <v>48669</v>
      </c>
      <c r="AJ4" s="21" t="n">
        <f aca="false">Calc_1!AJ$4</f>
        <v>48760</v>
      </c>
      <c r="AK4" s="21" t="n">
        <f aca="false">Calc_1!AK$4</f>
        <v>48852</v>
      </c>
      <c r="AL4" s="21" t="n">
        <f aca="false">Calc_1!AL$4</f>
        <v>48944</v>
      </c>
      <c r="AM4" s="21" t="n">
        <f aca="false">Calc_1!AM$4</f>
        <v>49034</v>
      </c>
      <c r="AN4" s="21" t="n">
        <f aca="false">Calc_1!AN$4</f>
        <v>49125</v>
      </c>
      <c r="AO4" s="21" t="n">
        <f aca="false">Calc_1!AO$4</f>
        <v>49217</v>
      </c>
      <c r="AP4" s="21" t="n">
        <f aca="false">Calc_1!AP$4</f>
        <v>49309</v>
      </c>
      <c r="AQ4" s="21" t="n">
        <f aca="false">Calc_1!AQ$4</f>
        <v>49399</v>
      </c>
      <c r="AR4" s="21" t="n">
        <f aca="false">Calc_1!AR$4</f>
        <v>49490</v>
      </c>
      <c r="AS4" s="21" t="n">
        <f aca="false">Calc_1!AS$4</f>
        <v>49582</v>
      </c>
      <c r="AT4" s="21" t="n">
        <f aca="false">Calc_1!AT$4</f>
        <v>49674</v>
      </c>
      <c r="AU4" s="21" t="n">
        <f aca="false">Calc_1!AU$4</f>
        <v>49765</v>
      </c>
      <c r="AV4" s="21" t="n">
        <f aca="false">Calc_1!AV$4</f>
        <v>49856</v>
      </c>
      <c r="AW4" s="21" t="n">
        <f aca="false">Calc_1!AW$4</f>
        <v>49948</v>
      </c>
      <c r="AX4" s="21" t="n">
        <f aca="false">Calc_1!AX$4</f>
        <v>50040</v>
      </c>
      <c r="AY4" s="21" t="n">
        <f aca="false">Calc_1!AY$4</f>
        <v>50130</v>
      </c>
      <c r="AZ4" s="21" t="n">
        <f aca="false">Calc_1!AZ$4</f>
        <v>50221</v>
      </c>
      <c r="BA4" s="21" t="n">
        <f aca="false">Calc_1!BA$4</f>
        <v>50313</v>
      </c>
      <c r="BB4" s="21" t="n">
        <f aca="false">Calc_1!BB$4</f>
        <v>50405</v>
      </c>
      <c r="BC4" s="21" t="n">
        <f aca="false">Calc_1!BC$4</f>
        <v>50495</v>
      </c>
      <c r="BD4" s="21" t="n">
        <f aca="false">Calc_1!BD$4</f>
        <v>50586</v>
      </c>
      <c r="BE4" s="21" t="n">
        <f aca="false">Calc_1!BE$4</f>
        <v>50678</v>
      </c>
      <c r="BF4" s="21" t="n">
        <f aca="false">Calc_1!BF$4</f>
        <v>50770</v>
      </c>
      <c r="BG4" s="21" t="n">
        <f aca="false">Calc_1!BG$4</f>
        <v>50860</v>
      </c>
      <c r="BH4" s="21" t="n">
        <f aca="false">Calc_1!BH$4</f>
        <v>50951</v>
      </c>
      <c r="BI4" s="21" t="n">
        <f aca="false">Calc_1!BI$4</f>
        <v>51043</v>
      </c>
      <c r="BJ4" s="21" t="n">
        <f aca="false">Calc_1!BJ$4</f>
        <v>51135</v>
      </c>
      <c r="BK4" s="21" t="n">
        <f aca="false">Calc_1!BK$4</f>
        <v>51226</v>
      </c>
      <c r="BL4" s="21" t="n">
        <f aca="false">Calc_1!BL$4</f>
        <v>51317</v>
      </c>
      <c r="BM4" s="21" t="n">
        <f aca="false">Calc_1!BM$4</f>
        <v>51409</v>
      </c>
      <c r="BN4" s="21" t="n">
        <f aca="false">Calc_1!BN$4</f>
        <v>51501</v>
      </c>
      <c r="BO4" s="21" t="n">
        <f aca="false">Calc_1!BO$4</f>
        <v>51591</v>
      </c>
      <c r="BP4" s="21" t="n">
        <f aca="false">Calc_1!BP$4</f>
        <v>51682</v>
      </c>
      <c r="BQ4" s="21" t="n">
        <f aca="false">Calc_1!BQ$4</f>
        <v>51774</v>
      </c>
      <c r="BR4" s="21" t="n">
        <f aca="false">Calc_1!BR$4</f>
        <v>51866</v>
      </c>
      <c r="BS4" s="21" t="n">
        <f aca="false">Calc_1!BS$4</f>
        <v>51956</v>
      </c>
      <c r="BT4" s="21" t="n">
        <f aca="false">Calc_1!BT$4</f>
        <v>52047</v>
      </c>
      <c r="BU4" s="21" t="n">
        <f aca="false">Calc_1!BU$4</f>
        <v>52139</v>
      </c>
      <c r="BV4" s="21" t="n">
        <f aca="false">Calc_1!BV$4</f>
        <v>52231</v>
      </c>
      <c r="BW4" s="21" t="n">
        <f aca="false">Calc_1!BW$4</f>
        <v>52321</v>
      </c>
      <c r="BX4" s="21" t="n">
        <f aca="false">Calc_1!BX$4</f>
        <v>52412</v>
      </c>
      <c r="BY4" s="21" t="n">
        <f aca="false">Calc_1!BY$4</f>
        <v>52504</v>
      </c>
      <c r="BZ4" s="21" t="n">
        <f aca="false">Calc_1!BZ$4</f>
        <v>52596</v>
      </c>
      <c r="CA4" s="21" t="n">
        <f aca="false">Calc_1!CA$4</f>
        <v>52687</v>
      </c>
      <c r="CB4" s="21" t="n">
        <f aca="false">Calc_1!CB$4</f>
        <v>52778</v>
      </c>
      <c r="CC4" s="21" t="n">
        <f aca="false">Calc_1!CC$4</f>
        <v>52870</v>
      </c>
      <c r="CD4" s="21" t="n">
        <f aca="false">Calc_1!CD$4</f>
        <v>52962</v>
      </c>
      <c r="CE4" s="21" t="n">
        <f aca="false">Calc_1!CE$4</f>
        <v>53052</v>
      </c>
      <c r="CF4" s="21" t="n">
        <f aca="false">Calc_1!CF$4</f>
        <v>53143</v>
      </c>
      <c r="CG4" s="21" t="n">
        <f aca="false">Calc_1!CG$4</f>
        <v>53235</v>
      </c>
      <c r="CH4" s="21" t="n">
        <f aca="false">Calc_1!CH$4</f>
        <v>53327</v>
      </c>
      <c r="CI4" s="21" t="n">
        <f aca="false">Calc_1!CI$4</f>
        <v>53417</v>
      </c>
      <c r="CJ4" s="21" t="n">
        <f aca="false">Calc_1!CJ$4</f>
        <v>53508</v>
      </c>
      <c r="CK4" s="21" t="n">
        <f aca="false">Calc_1!CK$4</f>
        <v>53600</v>
      </c>
      <c r="CL4" s="21" t="n">
        <f aca="false">Calc_1!CL$4</f>
        <v>53692</v>
      </c>
      <c r="CM4" s="21" t="n">
        <f aca="false">Calc_1!CM$4</f>
        <v>53782</v>
      </c>
      <c r="CN4" s="21" t="n">
        <f aca="false">Calc_1!CN$4</f>
        <v>53873</v>
      </c>
      <c r="CO4" s="21" t="n">
        <f aca="false">Calc_1!CO$4</f>
        <v>53965</v>
      </c>
      <c r="CP4" s="21" t="n">
        <f aca="false">Calc_1!CP$4</f>
        <v>54057</v>
      </c>
      <c r="CQ4" s="21" t="n">
        <f aca="false">Calc_1!CQ$4</f>
        <v>54148</v>
      </c>
      <c r="CR4" s="21" t="n">
        <f aca="false">Calc_1!CR$4</f>
        <v>54239</v>
      </c>
      <c r="CS4" s="21" t="n">
        <f aca="false">Calc_1!CS$4</f>
        <v>54331</v>
      </c>
      <c r="CT4" s="21" t="n">
        <f aca="false">Calc_1!CT$4</f>
        <v>54423</v>
      </c>
      <c r="CU4" s="21" t="n">
        <f aca="false">Calc_1!CU$4</f>
        <v>54513</v>
      </c>
      <c r="CV4" s="21" t="n">
        <f aca="false">Calc_1!CV$4</f>
        <v>54604</v>
      </c>
      <c r="CW4" s="21" t="n">
        <f aca="false">Calc_1!CW$4</f>
        <v>54696</v>
      </c>
      <c r="CX4" s="21" t="n">
        <f aca="false">Calc_1!CX$4</f>
        <v>54788</v>
      </c>
      <c r="CY4" s="21" t="n">
        <f aca="false">Calc_1!CY$4</f>
        <v>54878</v>
      </c>
      <c r="CZ4" s="21" t="n">
        <f aca="false">Calc_1!CZ$4</f>
        <v>54969</v>
      </c>
      <c r="DA4" s="21" t="n">
        <f aca="false">Calc_1!DA$4</f>
        <v>55061</v>
      </c>
      <c r="DB4" s="21" t="n">
        <f aca="false">Calc_1!DB$4</f>
        <v>55153</v>
      </c>
      <c r="DC4" s="21" t="n">
        <f aca="false">Calc_1!DC$4</f>
        <v>55243</v>
      </c>
      <c r="DD4" s="21" t="n">
        <f aca="false">Calc_1!DD$4</f>
        <v>55334</v>
      </c>
      <c r="DE4" s="21" t="n">
        <f aca="false">Calc_1!DE$4</f>
        <v>55426</v>
      </c>
      <c r="DF4" s="21" t="n">
        <f aca="false">Calc_1!DF$4</f>
        <v>55518</v>
      </c>
      <c r="DG4" s="21" t="n">
        <f aca="false">Calc_1!DG$4</f>
        <v>55609</v>
      </c>
      <c r="DH4" s="21" t="n">
        <f aca="false">Calc_1!DH$4</f>
        <v>55700</v>
      </c>
      <c r="DI4" s="21" t="n">
        <f aca="false">Calc_1!DI$4</f>
        <v>55792</v>
      </c>
      <c r="DJ4" s="21" t="n">
        <f aca="false">Calc_1!DJ$4</f>
        <v>55884</v>
      </c>
      <c r="DK4" s="21" t="n">
        <f aca="false">Calc_1!DK$4</f>
        <v>55974</v>
      </c>
      <c r="DL4" s="21" t="n">
        <f aca="false">Calc_1!DL$4</f>
        <v>56065</v>
      </c>
      <c r="DM4" s="21" t="n">
        <f aca="false">Calc_1!DM$4</f>
        <v>56157</v>
      </c>
      <c r="DN4" s="21" t="n">
        <f aca="false">Calc_1!DN$4</f>
        <v>56249</v>
      </c>
      <c r="DO4" s="21" t="n">
        <f aca="false">Calc_1!DO$4</f>
        <v>56339</v>
      </c>
      <c r="DP4" s="21" t="n">
        <f aca="false">Calc_1!DP$4</f>
        <v>56430</v>
      </c>
      <c r="DQ4" s="21" t="n">
        <f aca="false">Calc_1!DQ$4</f>
        <v>56522</v>
      </c>
      <c r="DR4" s="21" t="n">
        <f aca="false">Calc_1!DR$4</f>
        <v>56614</v>
      </c>
      <c r="DS4" s="21" t="n">
        <f aca="false">Calc_1!DS$4</f>
        <v>56704</v>
      </c>
      <c r="DT4" s="21" t="n">
        <f aca="false">Calc_1!DT$4</f>
        <v>56795</v>
      </c>
      <c r="DU4" s="21" t="n">
        <f aca="false">Calc_1!DU$4</f>
        <v>56887</v>
      </c>
      <c r="DV4" s="21" t="n">
        <f aca="false">Calc_1!DV$4</f>
        <v>56979</v>
      </c>
      <c r="DW4" s="21" t="n">
        <f aca="false">Calc_1!DW$4</f>
        <v>57070</v>
      </c>
      <c r="DX4" s="21" t="n">
        <f aca="false">Calc_1!DX$4</f>
        <v>57161</v>
      </c>
      <c r="DY4" s="21" t="n">
        <f aca="false">Calc_1!DY$4</f>
        <v>57253</v>
      </c>
      <c r="DZ4" s="21" t="n">
        <f aca="false">Calc_1!DZ$4</f>
        <v>57345</v>
      </c>
      <c r="EA4" s="21" t="n">
        <f aca="false">Calc_1!EA$4</f>
        <v>57435</v>
      </c>
      <c r="EB4" s="21" t="n">
        <f aca="false">Calc_1!EB$4</f>
        <v>57526</v>
      </c>
      <c r="EC4" s="21" t="n">
        <f aca="false">Calc_1!EC$4</f>
        <v>57618</v>
      </c>
      <c r="ED4" s="21" t="n">
        <f aca="false">Calc_1!ED$4</f>
        <v>57710</v>
      </c>
      <c r="EE4" s="21" t="n">
        <f aca="false">Calc_1!EE$4</f>
        <v>57800</v>
      </c>
      <c r="EF4" s="21" t="n">
        <f aca="false">Calc_1!EF$4</f>
        <v>57891</v>
      </c>
      <c r="EG4" s="21" t="n">
        <f aca="false">Calc_1!EG$4</f>
        <v>57983</v>
      </c>
      <c r="EH4" s="21" t="n">
        <f aca="false">Calc_1!EH$4</f>
        <v>58075</v>
      </c>
      <c r="EI4" s="21" t="n">
        <f aca="false">Calc_1!EI$4</f>
        <v>58165</v>
      </c>
      <c r="EJ4" s="21" t="n">
        <f aca="false">Calc_1!EJ$4</f>
        <v>58256</v>
      </c>
      <c r="EK4" s="21" t="n">
        <f aca="false">Calc_1!EK$4</f>
        <v>58348</v>
      </c>
      <c r="EL4" s="21" t="n">
        <f aca="false">Calc_1!EL$4</f>
        <v>58440</v>
      </c>
      <c r="EM4" s="21" t="n">
        <f aca="false">Calc_1!EM$4</f>
        <v>58531</v>
      </c>
      <c r="EN4" s="21" t="n">
        <f aca="false">Calc_1!EN$4</f>
        <v>58622</v>
      </c>
      <c r="EO4" s="21" t="n">
        <f aca="false">Calc_1!EO$4</f>
        <v>58714</v>
      </c>
    </row>
    <row r="9" customFormat="false" ht="15" hidden="false" customHeight="false" outlineLevel="0" collapsed="false">
      <c r="E9" s="9" t="s">
        <v>521</v>
      </c>
      <c r="F9" s="9" t="s">
        <v>522</v>
      </c>
    </row>
    <row r="11" customFormat="false" ht="15" hidden="false" customHeight="false" outlineLevel="0" collapsed="false">
      <c r="A11" s="10" t="s">
        <v>13</v>
      </c>
      <c r="B11" s="10"/>
      <c r="C11" s="10" t="s">
        <v>523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customFormat="false" ht="15" hidden="false" customHeight="false" outlineLevel="0" collapsed="false">
      <c r="C12" s="1" t="s">
        <v>524</v>
      </c>
      <c r="D12" s="12" t="s">
        <v>43</v>
      </c>
      <c r="E12" s="28" t="str">
        <f aca="false">IF(F12=0,"OK","CHECK")</f>
        <v>OK</v>
      </c>
      <c r="F12" s="51" t="n">
        <f aca="false">N(Tax_1_Delta&gt;Tolerance)</f>
        <v>0</v>
      </c>
    </row>
    <row r="13" customFormat="false" ht="15" hidden="false" customHeight="false" outlineLevel="0" collapsed="false">
      <c r="C13" s="1" t="s">
        <v>525</v>
      </c>
      <c r="D13" s="12" t="s">
        <v>43</v>
      </c>
      <c r="E13" s="28" t="str">
        <f aca="false">IF(F13=0,"OK","CHECK")</f>
        <v>OK</v>
      </c>
      <c r="F13" s="51" t="n">
        <f aca="false">N(Tax_2_Delta&gt;Tolerance)</f>
        <v>0</v>
      </c>
    </row>
    <row r="14" customFormat="false" ht="15" hidden="false" customHeight="false" outlineLevel="0" collapsed="false">
      <c r="C14" s="1" t="s">
        <v>526</v>
      </c>
      <c r="D14" s="12" t="s">
        <v>43</v>
      </c>
      <c r="E14" s="28" t="str">
        <f aca="false">IF(F14=0,"OK","CHECK")</f>
        <v>OK</v>
      </c>
      <c r="F14" s="51" t="n">
        <f aca="false">N(Calc_1!$E45+Calc_1!$F45&gt;0)</f>
        <v>0</v>
      </c>
    </row>
    <row r="15" customFormat="false" ht="15" hidden="false" customHeight="false" outlineLevel="0" collapsed="false">
      <c r="C15" s="1" t="s">
        <v>527</v>
      </c>
      <c r="D15" s="12" t="s">
        <v>43</v>
      </c>
      <c r="E15" s="28" t="str">
        <f aca="false">IF(F15=0,"OK","CHECK")</f>
        <v>OK</v>
      </c>
      <c r="F15" s="51" t="n">
        <f aca="false">N(Calc_2!$E45+Calc_2!$F45&gt;0)</f>
        <v>0</v>
      </c>
    </row>
    <row r="16" customFormat="false" ht="15" hidden="false" customHeight="false" outlineLevel="0" collapsed="false">
      <c r="C16" s="1" t="s">
        <v>528</v>
      </c>
      <c r="D16" s="12" t="s">
        <v>43</v>
      </c>
      <c r="E16" s="28" t="str">
        <f aca="false">IF(F16=0,"OK","CHECK")</f>
        <v>OK</v>
      </c>
      <c r="F16" s="51" t="n">
        <f aca="false">N(COUNTIF(Calc_1!$J$4:$EO$4,In_COD)=0)</f>
        <v>0</v>
      </c>
    </row>
    <row r="17" customFormat="false" ht="15" hidden="false" customHeight="false" outlineLevel="0" collapsed="false">
      <c r="C17" s="1" t="s">
        <v>529</v>
      </c>
      <c r="D17" s="12" t="s">
        <v>43</v>
      </c>
      <c r="E17" s="28" t="str">
        <f aca="false">IF(F17=0,"OK","CHECK")</f>
        <v>OK</v>
      </c>
      <c r="F17" s="51" t="n">
        <f aca="false">N(COUNTIF(Calc_2!$J$4:$EO$4,In_COD)=0)</f>
        <v>0</v>
      </c>
    </row>
    <row r="18" customFormat="false" ht="15" hidden="false" customHeight="false" outlineLevel="0" collapsed="false">
      <c r="C18" s="1" t="s">
        <v>530</v>
      </c>
      <c r="D18" s="12" t="s">
        <v>43</v>
      </c>
      <c r="E18" s="28" t="str">
        <f aca="false">IF(F18=0,"OK","CHECK")</f>
        <v>OK</v>
      </c>
      <c r="F18" s="51" t="n">
        <f aca="false">N(Calc_1!$F90&gt;1+Tolerance)</f>
        <v>0</v>
      </c>
    </row>
    <row r="19" customFormat="false" ht="15" hidden="false" customHeight="false" outlineLevel="0" collapsed="false">
      <c r="C19" s="1" t="s">
        <v>531</v>
      </c>
      <c r="D19" s="12" t="s">
        <v>43</v>
      </c>
      <c r="E19" s="28" t="str">
        <f aca="false">IF(F19=0,"OK","CHECK")</f>
        <v>OK</v>
      </c>
      <c r="F19" s="51" t="n">
        <f aca="false">N(Calc_2!$F90&gt;1+Tolerance)</f>
        <v>0</v>
      </c>
    </row>
    <row r="20" customFormat="false" ht="15" hidden="false" customHeight="false" outlineLevel="0" collapsed="false">
      <c r="C20" s="1" t="s">
        <v>532</v>
      </c>
      <c r="D20" s="12" t="s">
        <v>43</v>
      </c>
      <c r="E20" s="28" t="str">
        <f aca="false">IF(F20=0,"OK","CHECK")</f>
        <v>OK</v>
      </c>
      <c r="F20" s="51" t="n">
        <f aca="false">SUM(J20:EO20)</f>
        <v>0</v>
      </c>
      <c r="J20" s="51" t="n">
        <f aca="false">N((Calc_1!J$4&gt;=Calc_1!$F18)*ABS(Calc_1!J103)&gt;Tolerance)</f>
        <v>0</v>
      </c>
      <c r="K20" s="51" t="n">
        <f aca="false">N((Calc_1!K$4&gt;=Calc_1!$F18)*ABS(Calc_1!K103)&gt;Tolerance)</f>
        <v>0</v>
      </c>
      <c r="L20" s="51" t="n">
        <f aca="false">N((Calc_1!L$4&gt;=Calc_1!$F18)*ABS(Calc_1!L103)&gt;Tolerance)</f>
        <v>0</v>
      </c>
      <c r="M20" s="51" t="n">
        <f aca="false">N((Calc_1!M$4&gt;=Calc_1!$F18)*ABS(Calc_1!M103)&gt;Tolerance)</f>
        <v>0</v>
      </c>
      <c r="N20" s="51" t="n">
        <f aca="false">N((Calc_1!N$4&gt;=Calc_1!$F18)*ABS(Calc_1!N103)&gt;Tolerance)</f>
        <v>0</v>
      </c>
      <c r="O20" s="51" t="n">
        <f aca="false">N((Calc_1!O$4&gt;=Calc_1!$F18)*ABS(Calc_1!O103)&gt;Tolerance)</f>
        <v>0</v>
      </c>
      <c r="P20" s="51" t="n">
        <f aca="false">N((Calc_1!P$4&gt;=Calc_1!$F18)*ABS(Calc_1!P103)&gt;Tolerance)</f>
        <v>0</v>
      </c>
      <c r="Q20" s="51" t="n">
        <f aca="false">N((Calc_1!Q$4&gt;=Calc_1!$F18)*ABS(Calc_1!Q103)&gt;Tolerance)</f>
        <v>0</v>
      </c>
      <c r="R20" s="51" t="n">
        <f aca="false">N((Calc_1!R$4&gt;=Calc_1!$F18)*ABS(Calc_1!R103)&gt;Tolerance)</f>
        <v>0</v>
      </c>
      <c r="S20" s="51" t="n">
        <f aca="false">N((Calc_1!S$4&gt;=Calc_1!$F18)*ABS(Calc_1!S103)&gt;Tolerance)</f>
        <v>0</v>
      </c>
      <c r="T20" s="51" t="n">
        <f aca="false">N((Calc_1!T$4&gt;=Calc_1!$F18)*ABS(Calc_1!T103)&gt;Tolerance)</f>
        <v>0</v>
      </c>
      <c r="U20" s="51" t="n">
        <f aca="false">N((Calc_1!U$4&gt;=Calc_1!$F18)*ABS(Calc_1!U103)&gt;Tolerance)</f>
        <v>0</v>
      </c>
      <c r="V20" s="51" t="n">
        <f aca="false">N((Calc_1!V$4&gt;=Calc_1!$F18)*ABS(Calc_1!V103)&gt;Tolerance)</f>
        <v>0</v>
      </c>
      <c r="W20" s="51" t="n">
        <f aca="false">N((Calc_1!W$4&gt;=Calc_1!$F18)*ABS(Calc_1!W103)&gt;Tolerance)</f>
        <v>0</v>
      </c>
      <c r="X20" s="51" t="n">
        <f aca="false">N((Calc_1!X$4&gt;=Calc_1!$F18)*ABS(Calc_1!X103)&gt;Tolerance)</f>
        <v>0</v>
      </c>
      <c r="Y20" s="51" t="n">
        <f aca="false">N((Calc_1!Y$4&gt;=Calc_1!$F18)*ABS(Calc_1!Y103)&gt;Tolerance)</f>
        <v>0</v>
      </c>
      <c r="Z20" s="51" t="n">
        <f aca="false">N((Calc_1!Z$4&gt;=Calc_1!$F18)*ABS(Calc_1!Z103)&gt;Tolerance)</f>
        <v>0</v>
      </c>
      <c r="AA20" s="51" t="n">
        <f aca="false">N((Calc_1!AA$4&gt;=Calc_1!$F18)*ABS(Calc_1!AA103)&gt;Tolerance)</f>
        <v>0</v>
      </c>
      <c r="AB20" s="51" t="n">
        <f aca="false">N((Calc_1!AB$4&gt;=Calc_1!$F18)*ABS(Calc_1!AB103)&gt;Tolerance)</f>
        <v>0</v>
      </c>
      <c r="AC20" s="51" t="n">
        <f aca="false">N((Calc_1!AC$4&gt;=Calc_1!$F18)*ABS(Calc_1!AC103)&gt;Tolerance)</f>
        <v>0</v>
      </c>
      <c r="AD20" s="51" t="n">
        <f aca="false">N((Calc_1!AD$4&gt;=Calc_1!$F18)*ABS(Calc_1!AD103)&gt;Tolerance)</f>
        <v>0</v>
      </c>
      <c r="AE20" s="51" t="n">
        <f aca="false">N((Calc_1!AE$4&gt;=Calc_1!$F18)*ABS(Calc_1!AE103)&gt;Tolerance)</f>
        <v>0</v>
      </c>
      <c r="AF20" s="51" t="n">
        <f aca="false">N((Calc_1!AF$4&gt;=Calc_1!$F18)*ABS(Calc_1!AF103)&gt;Tolerance)</f>
        <v>0</v>
      </c>
      <c r="AG20" s="51" t="n">
        <f aca="false">N((Calc_1!AG$4&gt;=Calc_1!$F18)*ABS(Calc_1!AG103)&gt;Tolerance)</f>
        <v>0</v>
      </c>
      <c r="AH20" s="51" t="n">
        <f aca="false">N((Calc_1!AH$4&gt;=Calc_1!$F18)*ABS(Calc_1!AH103)&gt;Tolerance)</f>
        <v>0</v>
      </c>
      <c r="AI20" s="51" t="n">
        <f aca="false">N((Calc_1!AI$4&gt;=Calc_1!$F18)*ABS(Calc_1!AI103)&gt;Tolerance)</f>
        <v>0</v>
      </c>
      <c r="AJ20" s="51" t="n">
        <f aca="false">N((Calc_1!AJ$4&gt;=Calc_1!$F18)*ABS(Calc_1!AJ103)&gt;Tolerance)</f>
        <v>0</v>
      </c>
      <c r="AK20" s="51" t="n">
        <f aca="false">N((Calc_1!AK$4&gt;=Calc_1!$F18)*ABS(Calc_1!AK103)&gt;Tolerance)</f>
        <v>0</v>
      </c>
      <c r="AL20" s="51" t="n">
        <f aca="false">N((Calc_1!AL$4&gt;=Calc_1!$F18)*ABS(Calc_1!AL103)&gt;Tolerance)</f>
        <v>0</v>
      </c>
      <c r="AM20" s="51" t="n">
        <f aca="false">N((Calc_1!AM$4&gt;=Calc_1!$F18)*ABS(Calc_1!AM103)&gt;Tolerance)</f>
        <v>0</v>
      </c>
      <c r="AN20" s="51" t="n">
        <f aca="false">N((Calc_1!AN$4&gt;=Calc_1!$F18)*ABS(Calc_1!AN103)&gt;Tolerance)</f>
        <v>0</v>
      </c>
      <c r="AO20" s="51" t="n">
        <f aca="false">N((Calc_1!AO$4&gt;=Calc_1!$F18)*ABS(Calc_1!AO103)&gt;Tolerance)</f>
        <v>0</v>
      </c>
      <c r="AP20" s="51" t="n">
        <f aca="false">N((Calc_1!AP$4&gt;=Calc_1!$F18)*ABS(Calc_1!AP103)&gt;Tolerance)</f>
        <v>0</v>
      </c>
      <c r="AQ20" s="51" t="n">
        <f aca="false">N((Calc_1!AQ$4&gt;=Calc_1!$F18)*ABS(Calc_1!AQ103)&gt;Tolerance)</f>
        <v>0</v>
      </c>
      <c r="AR20" s="51" t="n">
        <f aca="false">N((Calc_1!AR$4&gt;=Calc_1!$F18)*ABS(Calc_1!AR103)&gt;Tolerance)</f>
        <v>0</v>
      </c>
      <c r="AS20" s="51" t="n">
        <f aca="false">N((Calc_1!AS$4&gt;=Calc_1!$F18)*ABS(Calc_1!AS103)&gt;Tolerance)</f>
        <v>0</v>
      </c>
      <c r="AT20" s="51" t="n">
        <f aca="false">N((Calc_1!AT$4&gt;=Calc_1!$F18)*ABS(Calc_1!AT103)&gt;Tolerance)</f>
        <v>0</v>
      </c>
      <c r="AU20" s="51" t="n">
        <f aca="false">N((Calc_1!AU$4&gt;=Calc_1!$F18)*ABS(Calc_1!AU103)&gt;Tolerance)</f>
        <v>0</v>
      </c>
      <c r="AV20" s="51" t="n">
        <f aca="false">N((Calc_1!AV$4&gt;=Calc_1!$F18)*ABS(Calc_1!AV103)&gt;Tolerance)</f>
        <v>0</v>
      </c>
      <c r="AW20" s="51" t="n">
        <f aca="false">N((Calc_1!AW$4&gt;=Calc_1!$F18)*ABS(Calc_1!AW103)&gt;Tolerance)</f>
        <v>0</v>
      </c>
      <c r="AX20" s="51" t="n">
        <f aca="false">N((Calc_1!AX$4&gt;=Calc_1!$F18)*ABS(Calc_1!AX103)&gt;Tolerance)</f>
        <v>0</v>
      </c>
      <c r="AY20" s="51" t="n">
        <f aca="false">N((Calc_1!AY$4&gt;=Calc_1!$F18)*ABS(Calc_1!AY103)&gt;Tolerance)</f>
        <v>0</v>
      </c>
      <c r="AZ20" s="51" t="n">
        <f aca="false">N((Calc_1!AZ$4&gt;=Calc_1!$F18)*ABS(Calc_1!AZ103)&gt;Tolerance)</f>
        <v>0</v>
      </c>
      <c r="BA20" s="51" t="n">
        <f aca="false">N((Calc_1!BA$4&gt;=Calc_1!$F18)*ABS(Calc_1!BA103)&gt;Tolerance)</f>
        <v>0</v>
      </c>
      <c r="BB20" s="51" t="n">
        <f aca="false">N((Calc_1!BB$4&gt;=Calc_1!$F18)*ABS(Calc_1!BB103)&gt;Tolerance)</f>
        <v>0</v>
      </c>
      <c r="BC20" s="51" t="n">
        <f aca="false">N((Calc_1!BC$4&gt;=Calc_1!$F18)*ABS(Calc_1!BC103)&gt;Tolerance)</f>
        <v>0</v>
      </c>
      <c r="BD20" s="51" t="n">
        <f aca="false">N((Calc_1!BD$4&gt;=Calc_1!$F18)*ABS(Calc_1!BD103)&gt;Tolerance)</f>
        <v>0</v>
      </c>
      <c r="BE20" s="51" t="n">
        <f aca="false">N((Calc_1!BE$4&gt;=Calc_1!$F18)*ABS(Calc_1!BE103)&gt;Tolerance)</f>
        <v>0</v>
      </c>
      <c r="BF20" s="51" t="n">
        <f aca="false">N((Calc_1!BF$4&gt;=Calc_1!$F18)*ABS(Calc_1!BF103)&gt;Tolerance)</f>
        <v>0</v>
      </c>
      <c r="BG20" s="51" t="n">
        <f aca="false">N((Calc_1!BG$4&gt;=Calc_1!$F18)*ABS(Calc_1!BG103)&gt;Tolerance)</f>
        <v>0</v>
      </c>
      <c r="BH20" s="51" t="n">
        <f aca="false">N((Calc_1!BH$4&gt;=Calc_1!$F18)*ABS(Calc_1!BH103)&gt;Tolerance)</f>
        <v>0</v>
      </c>
      <c r="BI20" s="51" t="n">
        <f aca="false">N((Calc_1!BI$4&gt;=Calc_1!$F18)*ABS(Calc_1!BI103)&gt;Tolerance)</f>
        <v>0</v>
      </c>
      <c r="BJ20" s="51" t="n">
        <f aca="false">N((Calc_1!BJ$4&gt;=Calc_1!$F18)*ABS(Calc_1!BJ103)&gt;Tolerance)</f>
        <v>0</v>
      </c>
      <c r="BK20" s="51" t="n">
        <f aca="false">N((Calc_1!BK$4&gt;=Calc_1!$F18)*ABS(Calc_1!BK103)&gt;Tolerance)</f>
        <v>0</v>
      </c>
      <c r="BL20" s="51" t="n">
        <f aca="false">N((Calc_1!BL$4&gt;=Calc_1!$F18)*ABS(Calc_1!BL103)&gt;Tolerance)</f>
        <v>0</v>
      </c>
      <c r="BM20" s="51" t="n">
        <f aca="false">N((Calc_1!BM$4&gt;=Calc_1!$F18)*ABS(Calc_1!BM103)&gt;Tolerance)</f>
        <v>0</v>
      </c>
      <c r="BN20" s="51" t="n">
        <f aca="false">N((Calc_1!BN$4&gt;=Calc_1!$F18)*ABS(Calc_1!BN103)&gt;Tolerance)</f>
        <v>0</v>
      </c>
      <c r="BO20" s="51" t="n">
        <f aca="false">N((Calc_1!BO$4&gt;=Calc_1!$F18)*ABS(Calc_1!BO103)&gt;Tolerance)</f>
        <v>0</v>
      </c>
      <c r="BP20" s="51" t="n">
        <f aca="false">N((Calc_1!BP$4&gt;=Calc_1!$F18)*ABS(Calc_1!BP103)&gt;Tolerance)</f>
        <v>0</v>
      </c>
      <c r="BQ20" s="51" t="n">
        <f aca="false">N((Calc_1!BQ$4&gt;=Calc_1!$F18)*ABS(Calc_1!BQ103)&gt;Tolerance)</f>
        <v>0</v>
      </c>
      <c r="BR20" s="51" t="n">
        <f aca="false">N((Calc_1!BR$4&gt;=Calc_1!$F18)*ABS(Calc_1!BR103)&gt;Tolerance)</f>
        <v>0</v>
      </c>
      <c r="BS20" s="51" t="n">
        <f aca="false">N((Calc_1!BS$4&gt;=Calc_1!$F18)*ABS(Calc_1!BS103)&gt;Tolerance)</f>
        <v>0</v>
      </c>
      <c r="BT20" s="51" t="n">
        <f aca="false">N((Calc_1!BT$4&gt;=Calc_1!$F18)*ABS(Calc_1!BT103)&gt;Tolerance)</f>
        <v>0</v>
      </c>
      <c r="BU20" s="51" t="n">
        <f aca="false">N((Calc_1!BU$4&gt;=Calc_1!$F18)*ABS(Calc_1!BU103)&gt;Tolerance)</f>
        <v>0</v>
      </c>
      <c r="BV20" s="51" t="n">
        <f aca="false">N((Calc_1!BV$4&gt;=Calc_1!$F18)*ABS(Calc_1!BV103)&gt;Tolerance)</f>
        <v>0</v>
      </c>
      <c r="BW20" s="51" t="n">
        <f aca="false">N((Calc_1!BW$4&gt;=Calc_1!$F18)*ABS(Calc_1!BW103)&gt;Tolerance)</f>
        <v>0</v>
      </c>
      <c r="BX20" s="51" t="n">
        <f aca="false">N((Calc_1!BX$4&gt;=Calc_1!$F18)*ABS(Calc_1!BX103)&gt;Tolerance)</f>
        <v>0</v>
      </c>
      <c r="BY20" s="51" t="n">
        <f aca="false">N((Calc_1!BY$4&gt;=Calc_1!$F18)*ABS(Calc_1!BY103)&gt;Tolerance)</f>
        <v>0</v>
      </c>
      <c r="BZ20" s="51" t="n">
        <f aca="false">N((Calc_1!BZ$4&gt;=Calc_1!$F18)*ABS(Calc_1!BZ103)&gt;Tolerance)</f>
        <v>0</v>
      </c>
      <c r="CA20" s="51" t="n">
        <f aca="false">N((Calc_1!CA$4&gt;=Calc_1!$F18)*ABS(Calc_1!CA103)&gt;Tolerance)</f>
        <v>0</v>
      </c>
      <c r="CB20" s="51" t="n">
        <f aca="false">N((Calc_1!CB$4&gt;=Calc_1!$F18)*ABS(Calc_1!CB103)&gt;Tolerance)</f>
        <v>0</v>
      </c>
      <c r="CC20" s="51" t="n">
        <f aca="false">N((Calc_1!CC$4&gt;=Calc_1!$F18)*ABS(Calc_1!CC103)&gt;Tolerance)</f>
        <v>0</v>
      </c>
      <c r="CD20" s="51" t="n">
        <f aca="false">N((Calc_1!CD$4&gt;=Calc_1!$F18)*ABS(Calc_1!CD103)&gt;Tolerance)</f>
        <v>0</v>
      </c>
      <c r="CE20" s="51" t="n">
        <f aca="false">N((Calc_1!CE$4&gt;=Calc_1!$F18)*ABS(Calc_1!CE103)&gt;Tolerance)</f>
        <v>0</v>
      </c>
      <c r="CF20" s="51" t="n">
        <f aca="false">N((Calc_1!CF$4&gt;=Calc_1!$F18)*ABS(Calc_1!CF103)&gt;Tolerance)</f>
        <v>0</v>
      </c>
      <c r="CG20" s="51" t="n">
        <f aca="false">N((Calc_1!CG$4&gt;=Calc_1!$F18)*ABS(Calc_1!CG103)&gt;Tolerance)</f>
        <v>0</v>
      </c>
      <c r="CH20" s="51" t="n">
        <f aca="false">N((Calc_1!CH$4&gt;=Calc_1!$F18)*ABS(Calc_1!CH103)&gt;Tolerance)</f>
        <v>0</v>
      </c>
      <c r="CI20" s="51" t="n">
        <f aca="false">N((Calc_1!CI$4&gt;=Calc_1!$F18)*ABS(Calc_1!CI103)&gt;Tolerance)</f>
        <v>0</v>
      </c>
      <c r="CJ20" s="51" t="n">
        <f aca="false">N((Calc_1!CJ$4&gt;=Calc_1!$F18)*ABS(Calc_1!CJ103)&gt;Tolerance)</f>
        <v>0</v>
      </c>
      <c r="CK20" s="51" t="n">
        <f aca="false">N((Calc_1!CK$4&gt;=Calc_1!$F18)*ABS(Calc_1!CK103)&gt;Tolerance)</f>
        <v>0</v>
      </c>
      <c r="CL20" s="51" t="n">
        <f aca="false">N((Calc_1!CL$4&gt;=Calc_1!$F18)*ABS(Calc_1!CL103)&gt;Tolerance)</f>
        <v>0</v>
      </c>
      <c r="CM20" s="51" t="n">
        <f aca="false">N((Calc_1!CM$4&gt;=Calc_1!$F18)*ABS(Calc_1!CM103)&gt;Tolerance)</f>
        <v>0</v>
      </c>
      <c r="CN20" s="51" t="n">
        <f aca="false">N((Calc_1!CN$4&gt;=Calc_1!$F18)*ABS(Calc_1!CN103)&gt;Tolerance)</f>
        <v>0</v>
      </c>
      <c r="CO20" s="51" t="n">
        <f aca="false">N((Calc_1!CO$4&gt;=Calc_1!$F18)*ABS(Calc_1!CO103)&gt;Tolerance)</f>
        <v>0</v>
      </c>
      <c r="CP20" s="51" t="n">
        <f aca="false">N((Calc_1!CP$4&gt;=Calc_1!$F18)*ABS(Calc_1!CP103)&gt;Tolerance)</f>
        <v>0</v>
      </c>
      <c r="CQ20" s="51" t="n">
        <f aca="false">N((Calc_1!CQ$4&gt;=Calc_1!$F18)*ABS(Calc_1!CQ103)&gt;Tolerance)</f>
        <v>0</v>
      </c>
      <c r="CR20" s="51" t="n">
        <f aca="false">N((Calc_1!CR$4&gt;=Calc_1!$F18)*ABS(Calc_1!CR103)&gt;Tolerance)</f>
        <v>0</v>
      </c>
      <c r="CS20" s="51" t="n">
        <f aca="false">N((Calc_1!CS$4&gt;=Calc_1!$F18)*ABS(Calc_1!CS103)&gt;Tolerance)</f>
        <v>0</v>
      </c>
      <c r="CT20" s="51" t="n">
        <f aca="false">N((Calc_1!CT$4&gt;=Calc_1!$F18)*ABS(Calc_1!CT103)&gt;Tolerance)</f>
        <v>0</v>
      </c>
      <c r="CU20" s="51" t="n">
        <f aca="false">N((Calc_1!CU$4&gt;=Calc_1!$F18)*ABS(Calc_1!CU103)&gt;Tolerance)</f>
        <v>0</v>
      </c>
      <c r="CV20" s="51" t="n">
        <f aca="false">N((Calc_1!CV$4&gt;=Calc_1!$F18)*ABS(Calc_1!CV103)&gt;Tolerance)</f>
        <v>0</v>
      </c>
      <c r="CW20" s="51" t="n">
        <f aca="false">N((Calc_1!CW$4&gt;=Calc_1!$F18)*ABS(Calc_1!CW103)&gt;Tolerance)</f>
        <v>0</v>
      </c>
      <c r="CX20" s="51" t="n">
        <f aca="false">N((Calc_1!CX$4&gt;=Calc_1!$F18)*ABS(Calc_1!CX103)&gt;Tolerance)</f>
        <v>0</v>
      </c>
      <c r="CY20" s="51" t="n">
        <f aca="false">N((Calc_1!CY$4&gt;=Calc_1!$F18)*ABS(Calc_1!CY103)&gt;Tolerance)</f>
        <v>0</v>
      </c>
      <c r="CZ20" s="51" t="n">
        <f aca="false">N((Calc_1!CZ$4&gt;=Calc_1!$F18)*ABS(Calc_1!CZ103)&gt;Tolerance)</f>
        <v>0</v>
      </c>
      <c r="DA20" s="51" t="n">
        <f aca="false">N((Calc_1!DA$4&gt;=Calc_1!$F18)*ABS(Calc_1!DA103)&gt;Tolerance)</f>
        <v>0</v>
      </c>
      <c r="DB20" s="51" t="n">
        <f aca="false">N((Calc_1!DB$4&gt;=Calc_1!$F18)*ABS(Calc_1!DB103)&gt;Tolerance)</f>
        <v>0</v>
      </c>
      <c r="DC20" s="51" t="n">
        <f aca="false">N((Calc_1!DC$4&gt;=Calc_1!$F18)*ABS(Calc_1!DC103)&gt;Tolerance)</f>
        <v>0</v>
      </c>
      <c r="DD20" s="51" t="n">
        <f aca="false">N((Calc_1!DD$4&gt;=Calc_1!$F18)*ABS(Calc_1!DD103)&gt;Tolerance)</f>
        <v>0</v>
      </c>
      <c r="DE20" s="51" t="n">
        <f aca="false">N((Calc_1!DE$4&gt;=Calc_1!$F18)*ABS(Calc_1!DE103)&gt;Tolerance)</f>
        <v>0</v>
      </c>
      <c r="DF20" s="51" t="n">
        <f aca="false">N((Calc_1!DF$4&gt;=Calc_1!$F18)*ABS(Calc_1!DF103)&gt;Tolerance)</f>
        <v>0</v>
      </c>
      <c r="DG20" s="51" t="n">
        <f aca="false">N((Calc_1!DG$4&gt;=Calc_1!$F18)*ABS(Calc_1!DG103)&gt;Tolerance)</f>
        <v>0</v>
      </c>
      <c r="DH20" s="51" t="n">
        <f aca="false">N((Calc_1!DH$4&gt;=Calc_1!$F18)*ABS(Calc_1!DH103)&gt;Tolerance)</f>
        <v>0</v>
      </c>
      <c r="DI20" s="51" t="n">
        <f aca="false">N((Calc_1!DI$4&gt;=Calc_1!$F18)*ABS(Calc_1!DI103)&gt;Tolerance)</f>
        <v>0</v>
      </c>
      <c r="DJ20" s="51" t="n">
        <f aca="false">N((Calc_1!DJ$4&gt;=Calc_1!$F18)*ABS(Calc_1!DJ103)&gt;Tolerance)</f>
        <v>0</v>
      </c>
      <c r="DK20" s="51" t="n">
        <f aca="false">N((Calc_1!DK$4&gt;=Calc_1!$F18)*ABS(Calc_1!DK103)&gt;Tolerance)</f>
        <v>0</v>
      </c>
      <c r="DL20" s="51" t="n">
        <f aca="false">N((Calc_1!DL$4&gt;=Calc_1!$F18)*ABS(Calc_1!DL103)&gt;Tolerance)</f>
        <v>0</v>
      </c>
      <c r="DM20" s="51" t="n">
        <f aca="false">N((Calc_1!DM$4&gt;=Calc_1!$F18)*ABS(Calc_1!DM103)&gt;Tolerance)</f>
        <v>0</v>
      </c>
      <c r="DN20" s="51" t="n">
        <f aca="false">N((Calc_1!DN$4&gt;=Calc_1!$F18)*ABS(Calc_1!DN103)&gt;Tolerance)</f>
        <v>0</v>
      </c>
      <c r="DO20" s="51" t="n">
        <f aca="false">N((Calc_1!DO$4&gt;=Calc_1!$F18)*ABS(Calc_1!DO103)&gt;Tolerance)</f>
        <v>0</v>
      </c>
      <c r="DP20" s="51" t="n">
        <f aca="false">N((Calc_1!DP$4&gt;=Calc_1!$F18)*ABS(Calc_1!DP103)&gt;Tolerance)</f>
        <v>0</v>
      </c>
      <c r="DQ20" s="51" t="n">
        <f aca="false">N((Calc_1!DQ$4&gt;=Calc_1!$F18)*ABS(Calc_1!DQ103)&gt;Tolerance)</f>
        <v>0</v>
      </c>
      <c r="DR20" s="51" t="n">
        <f aca="false">N((Calc_1!DR$4&gt;=Calc_1!$F18)*ABS(Calc_1!DR103)&gt;Tolerance)</f>
        <v>0</v>
      </c>
      <c r="DS20" s="51" t="n">
        <f aca="false">N((Calc_1!DS$4&gt;=Calc_1!$F18)*ABS(Calc_1!DS103)&gt;Tolerance)</f>
        <v>0</v>
      </c>
      <c r="DT20" s="51" t="n">
        <f aca="false">N((Calc_1!DT$4&gt;=Calc_1!$F18)*ABS(Calc_1!DT103)&gt;Tolerance)</f>
        <v>0</v>
      </c>
      <c r="DU20" s="51" t="n">
        <f aca="false">N((Calc_1!DU$4&gt;=Calc_1!$F18)*ABS(Calc_1!DU103)&gt;Tolerance)</f>
        <v>0</v>
      </c>
      <c r="DV20" s="51" t="n">
        <f aca="false">N((Calc_1!DV$4&gt;=Calc_1!$F18)*ABS(Calc_1!DV103)&gt;Tolerance)</f>
        <v>0</v>
      </c>
      <c r="DW20" s="51" t="n">
        <f aca="false">N((Calc_1!DW$4&gt;=Calc_1!$F18)*ABS(Calc_1!DW103)&gt;Tolerance)</f>
        <v>0</v>
      </c>
      <c r="DX20" s="51" t="n">
        <f aca="false">N((Calc_1!DX$4&gt;=Calc_1!$F18)*ABS(Calc_1!DX103)&gt;Tolerance)</f>
        <v>0</v>
      </c>
      <c r="DY20" s="51" t="n">
        <f aca="false">N((Calc_1!DY$4&gt;=Calc_1!$F18)*ABS(Calc_1!DY103)&gt;Tolerance)</f>
        <v>0</v>
      </c>
      <c r="DZ20" s="51" t="n">
        <f aca="false">N((Calc_1!DZ$4&gt;=Calc_1!$F18)*ABS(Calc_1!DZ103)&gt;Tolerance)</f>
        <v>0</v>
      </c>
      <c r="EA20" s="51" t="n">
        <f aca="false">N((Calc_1!EA$4&gt;=Calc_1!$F18)*ABS(Calc_1!EA103)&gt;Tolerance)</f>
        <v>0</v>
      </c>
      <c r="EB20" s="51" t="n">
        <f aca="false">N((Calc_1!EB$4&gt;=Calc_1!$F18)*ABS(Calc_1!EB103)&gt;Tolerance)</f>
        <v>0</v>
      </c>
      <c r="EC20" s="51" t="n">
        <f aca="false">N((Calc_1!EC$4&gt;=Calc_1!$F18)*ABS(Calc_1!EC103)&gt;Tolerance)</f>
        <v>0</v>
      </c>
      <c r="ED20" s="51" t="n">
        <f aca="false">N((Calc_1!ED$4&gt;=Calc_1!$F18)*ABS(Calc_1!ED103)&gt;Tolerance)</f>
        <v>0</v>
      </c>
      <c r="EE20" s="51" t="n">
        <f aca="false">N((Calc_1!EE$4&gt;=Calc_1!$F18)*ABS(Calc_1!EE103)&gt;Tolerance)</f>
        <v>0</v>
      </c>
      <c r="EF20" s="51" t="n">
        <f aca="false">N((Calc_1!EF$4&gt;=Calc_1!$F18)*ABS(Calc_1!EF103)&gt;Tolerance)</f>
        <v>0</v>
      </c>
      <c r="EG20" s="51" t="n">
        <f aca="false">N((Calc_1!EG$4&gt;=Calc_1!$F18)*ABS(Calc_1!EG103)&gt;Tolerance)</f>
        <v>0</v>
      </c>
      <c r="EH20" s="51" t="n">
        <f aca="false">N((Calc_1!EH$4&gt;=Calc_1!$F18)*ABS(Calc_1!EH103)&gt;Tolerance)</f>
        <v>0</v>
      </c>
      <c r="EI20" s="51" t="n">
        <f aca="false">N((Calc_1!EI$4&gt;=Calc_1!$F18)*ABS(Calc_1!EI103)&gt;Tolerance)</f>
        <v>0</v>
      </c>
      <c r="EJ20" s="51" t="n">
        <f aca="false">N((Calc_1!EJ$4&gt;=Calc_1!$F18)*ABS(Calc_1!EJ103)&gt;Tolerance)</f>
        <v>0</v>
      </c>
      <c r="EK20" s="51" t="n">
        <f aca="false">N((Calc_1!EK$4&gt;=Calc_1!$F18)*ABS(Calc_1!EK103)&gt;Tolerance)</f>
        <v>0</v>
      </c>
      <c r="EL20" s="51" t="n">
        <f aca="false">N((Calc_1!EL$4&gt;=Calc_1!$F18)*ABS(Calc_1!EL103)&gt;Tolerance)</f>
        <v>0</v>
      </c>
      <c r="EM20" s="51" t="n">
        <f aca="false">N((Calc_1!EM$4&gt;=Calc_1!$F18)*ABS(Calc_1!EM103)&gt;Tolerance)</f>
        <v>0</v>
      </c>
      <c r="EN20" s="51" t="n">
        <f aca="false">N((Calc_1!EN$4&gt;=Calc_1!$F18)*ABS(Calc_1!EN103)&gt;Tolerance)</f>
        <v>0</v>
      </c>
      <c r="EO20" s="51" t="n">
        <f aca="false">N((Calc_1!EO$4&gt;=Calc_1!$F18)*ABS(Calc_1!EO103)&gt;Tolerance)</f>
        <v>0</v>
      </c>
    </row>
    <row r="21" customFormat="false" ht="15" hidden="false" customHeight="false" outlineLevel="0" collapsed="false">
      <c r="C21" s="1" t="s">
        <v>533</v>
      </c>
      <c r="D21" s="12" t="s">
        <v>43</v>
      </c>
      <c r="E21" s="28" t="str">
        <f aca="false">IF(F21=0,"OK","CHECK")</f>
        <v>OK</v>
      </c>
      <c r="F21" s="51" t="n">
        <f aca="false">SUM(J21:EO21)</f>
        <v>0</v>
      </c>
      <c r="J21" s="51" t="n">
        <f aca="false">N((Calc_2!J$4&gt;=Calc_2!$F18)*ABS(Calc_2!J103)&gt;Tolerance)</f>
        <v>0</v>
      </c>
      <c r="K21" s="51" t="n">
        <f aca="false">N((Calc_2!K$4&gt;=Calc_2!$F18)*ABS(Calc_2!K103)&gt;Tolerance)</f>
        <v>0</v>
      </c>
      <c r="L21" s="51" t="n">
        <f aca="false">N((Calc_2!L$4&gt;=Calc_2!$F18)*ABS(Calc_2!L103)&gt;Tolerance)</f>
        <v>0</v>
      </c>
      <c r="M21" s="51" t="n">
        <f aca="false">N((Calc_2!M$4&gt;=Calc_2!$F18)*ABS(Calc_2!M103)&gt;Tolerance)</f>
        <v>0</v>
      </c>
      <c r="N21" s="51" t="n">
        <f aca="false">N((Calc_2!N$4&gt;=Calc_2!$F18)*ABS(Calc_2!N103)&gt;Tolerance)</f>
        <v>0</v>
      </c>
      <c r="O21" s="51" t="n">
        <f aca="false">N((Calc_2!O$4&gt;=Calc_2!$F18)*ABS(Calc_2!O103)&gt;Tolerance)</f>
        <v>0</v>
      </c>
      <c r="P21" s="51" t="n">
        <f aca="false">N((Calc_2!P$4&gt;=Calc_2!$F18)*ABS(Calc_2!P103)&gt;Tolerance)</f>
        <v>0</v>
      </c>
      <c r="Q21" s="51" t="n">
        <f aca="false">N((Calc_2!Q$4&gt;=Calc_2!$F18)*ABS(Calc_2!Q103)&gt;Tolerance)</f>
        <v>0</v>
      </c>
      <c r="R21" s="51" t="n">
        <f aca="false">N((Calc_2!R$4&gt;=Calc_2!$F18)*ABS(Calc_2!R103)&gt;Tolerance)</f>
        <v>0</v>
      </c>
      <c r="S21" s="51" t="n">
        <f aca="false">N((Calc_2!S$4&gt;=Calc_2!$F18)*ABS(Calc_2!S103)&gt;Tolerance)</f>
        <v>0</v>
      </c>
      <c r="T21" s="51" t="n">
        <f aca="false">N((Calc_2!T$4&gt;=Calc_2!$F18)*ABS(Calc_2!T103)&gt;Tolerance)</f>
        <v>0</v>
      </c>
      <c r="U21" s="51" t="n">
        <f aca="false">N((Calc_2!U$4&gt;=Calc_2!$F18)*ABS(Calc_2!U103)&gt;Tolerance)</f>
        <v>0</v>
      </c>
      <c r="V21" s="51" t="n">
        <f aca="false">N((Calc_2!V$4&gt;=Calc_2!$F18)*ABS(Calc_2!V103)&gt;Tolerance)</f>
        <v>0</v>
      </c>
      <c r="W21" s="51" t="n">
        <f aca="false">N((Calc_2!W$4&gt;=Calc_2!$F18)*ABS(Calc_2!W103)&gt;Tolerance)</f>
        <v>0</v>
      </c>
      <c r="X21" s="51" t="n">
        <f aca="false">N((Calc_2!X$4&gt;=Calc_2!$F18)*ABS(Calc_2!X103)&gt;Tolerance)</f>
        <v>0</v>
      </c>
      <c r="Y21" s="51" t="n">
        <f aca="false">N((Calc_2!Y$4&gt;=Calc_2!$F18)*ABS(Calc_2!Y103)&gt;Tolerance)</f>
        <v>0</v>
      </c>
      <c r="Z21" s="51" t="n">
        <f aca="false">N((Calc_2!Z$4&gt;=Calc_2!$F18)*ABS(Calc_2!Z103)&gt;Tolerance)</f>
        <v>0</v>
      </c>
      <c r="AA21" s="51" t="n">
        <f aca="false">N((Calc_2!AA$4&gt;=Calc_2!$F18)*ABS(Calc_2!AA103)&gt;Tolerance)</f>
        <v>0</v>
      </c>
      <c r="AB21" s="51" t="n">
        <f aca="false">N((Calc_2!AB$4&gt;=Calc_2!$F18)*ABS(Calc_2!AB103)&gt;Tolerance)</f>
        <v>0</v>
      </c>
      <c r="AC21" s="51" t="n">
        <f aca="false">N((Calc_2!AC$4&gt;=Calc_2!$F18)*ABS(Calc_2!AC103)&gt;Tolerance)</f>
        <v>0</v>
      </c>
      <c r="AD21" s="51" t="n">
        <f aca="false">N((Calc_2!AD$4&gt;=Calc_2!$F18)*ABS(Calc_2!AD103)&gt;Tolerance)</f>
        <v>0</v>
      </c>
      <c r="AE21" s="51" t="n">
        <f aca="false">N((Calc_2!AE$4&gt;=Calc_2!$F18)*ABS(Calc_2!AE103)&gt;Tolerance)</f>
        <v>0</v>
      </c>
      <c r="AF21" s="51" t="n">
        <f aca="false">N((Calc_2!AF$4&gt;=Calc_2!$F18)*ABS(Calc_2!AF103)&gt;Tolerance)</f>
        <v>0</v>
      </c>
      <c r="AG21" s="51" t="n">
        <f aca="false">N((Calc_2!AG$4&gt;=Calc_2!$F18)*ABS(Calc_2!AG103)&gt;Tolerance)</f>
        <v>0</v>
      </c>
      <c r="AH21" s="51" t="n">
        <f aca="false">N((Calc_2!AH$4&gt;=Calc_2!$F18)*ABS(Calc_2!AH103)&gt;Tolerance)</f>
        <v>0</v>
      </c>
      <c r="AI21" s="51" t="n">
        <f aca="false">N((Calc_2!AI$4&gt;=Calc_2!$F18)*ABS(Calc_2!AI103)&gt;Tolerance)</f>
        <v>0</v>
      </c>
      <c r="AJ21" s="51" t="n">
        <f aca="false">N((Calc_2!AJ$4&gt;=Calc_2!$F18)*ABS(Calc_2!AJ103)&gt;Tolerance)</f>
        <v>0</v>
      </c>
      <c r="AK21" s="51" t="n">
        <f aca="false">N((Calc_2!AK$4&gt;=Calc_2!$F18)*ABS(Calc_2!AK103)&gt;Tolerance)</f>
        <v>0</v>
      </c>
      <c r="AL21" s="51" t="n">
        <f aca="false">N((Calc_2!AL$4&gt;=Calc_2!$F18)*ABS(Calc_2!AL103)&gt;Tolerance)</f>
        <v>0</v>
      </c>
      <c r="AM21" s="51" t="n">
        <f aca="false">N((Calc_2!AM$4&gt;=Calc_2!$F18)*ABS(Calc_2!AM103)&gt;Tolerance)</f>
        <v>0</v>
      </c>
      <c r="AN21" s="51" t="n">
        <f aca="false">N((Calc_2!AN$4&gt;=Calc_2!$F18)*ABS(Calc_2!AN103)&gt;Tolerance)</f>
        <v>0</v>
      </c>
      <c r="AO21" s="51" t="n">
        <f aca="false">N((Calc_2!AO$4&gt;=Calc_2!$F18)*ABS(Calc_2!AO103)&gt;Tolerance)</f>
        <v>0</v>
      </c>
      <c r="AP21" s="51" t="n">
        <f aca="false">N((Calc_2!AP$4&gt;=Calc_2!$F18)*ABS(Calc_2!AP103)&gt;Tolerance)</f>
        <v>0</v>
      </c>
      <c r="AQ21" s="51" t="n">
        <f aca="false">N((Calc_2!AQ$4&gt;=Calc_2!$F18)*ABS(Calc_2!AQ103)&gt;Tolerance)</f>
        <v>0</v>
      </c>
      <c r="AR21" s="51" t="n">
        <f aca="false">N((Calc_2!AR$4&gt;=Calc_2!$F18)*ABS(Calc_2!AR103)&gt;Tolerance)</f>
        <v>0</v>
      </c>
      <c r="AS21" s="51" t="n">
        <f aca="false">N((Calc_2!AS$4&gt;=Calc_2!$F18)*ABS(Calc_2!AS103)&gt;Tolerance)</f>
        <v>0</v>
      </c>
      <c r="AT21" s="51" t="n">
        <f aca="false">N((Calc_2!AT$4&gt;=Calc_2!$F18)*ABS(Calc_2!AT103)&gt;Tolerance)</f>
        <v>0</v>
      </c>
      <c r="AU21" s="51" t="n">
        <f aca="false">N((Calc_2!AU$4&gt;=Calc_2!$F18)*ABS(Calc_2!AU103)&gt;Tolerance)</f>
        <v>0</v>
      </c>
      <c r="AV21" s="51" t="n">
        <f aca="false">N((Calc_2!AV$4&gt;=Calc_2!$F18)*ABS(Calc_2!AV103)&gt;Tolerance)</f>
        <v>0</v>
      </c>
      <c r="AW21" s="51" t="n">
        <f aca="false">N((Calc_2!AW$4&gt;=Calc_2!$F18)*ABS(Calc_2!AW103)&gt;Tolerance)</f>
        <v>0</v>
      </c>
      <c r="AX21" s="51" t="n">
        <f aca="false">N((Calc_2!AX$4&gt;=Calc_2!$F18)*ABS(Calc_2!AX103)&gt;Tolerance)</f>
        <v>0</v>
      </c>
      <c r="AY21" s="51" t="n">
        <f aca="false">N((Calc_2!AY$4&gt;=Calc_2!$F18)*ABS(Calc_2!AY103)&gt;Tolerance)</f>
        <v>0</v>
      </c>
      <c r="AZ21" s="51" t="n">
        <f aca="false">N((Calc_2!AZ$4&gt;=Calc_2!$F18)*ABS(Calc_2!AZ103)&gt;Tolerance)</f>
        <v>0</v>
      </c>
      <c r="BA21" s="51" t="n">
        <f aca="false">N((Calc_2!BA$4&gt;=Calc_2!$F18)*ABS(Calc_2!BA103)&gt;Tolerance)</f>
        <v>0</v>
      </c>
      <c r="BB21" s="51" t="n">
        <f aca="false">N((Calc_2!BB$4&gt;=Calc_2!$F18)*ABS(Calc_2!BB103)&gt;Tolerance)</f>
        <v>0</v>
      </c>
      <c r="BC21" s="51" t="n">
        <f aca="false">N((Calc_2!BC$4&gt;=Calc_2!$F18)*ABS(Calc_2!BC103)&gt;Tolerance)</f>
        <v>0</v>
      </c>
      <c r="BD21" s="51" t="n">
        <f aca="false">N((Calc_2!BD$4&gt;=Calc_2!$F18)*ABS(Calc_2!BD103)&gt;Tolerance)</f>
        <v>0</v>
      </c>
      <c r="BE21" s="51" t="n">
        <f aca="false">N((Calc_2!BE$4&gt;=Calc_2!$F18)*ABS(Calc_2!BE103)&gt;Tolerance)</f>
        <v>0</v>
      </c>
      <c r="BF21" s="51" t="n">
        <f aca="false">N((Calc_2!BF$4&gt;=Calc_2!$F18)*ABS(Calc_2!BF103)&gt;Tolerance)</f>
        <v>0</v>
      </c>
      <c r="BG21" s="51" t="n">
        <f aca="false">N((Calc_2!BG$4&gt;=Calc_2!$F18)*ABS(Calc_2!BG103)&gt;Tolerance)</f>
        <v>0</v>
      </c>
      <c r="BH21" s="51" t="n">
        <f aca="false">N((Calc_2!BH$4&gt;=Calc_2!$F18)*ABS(Calc_2!BH103)&gt;Tolerance)</f>
        <v>0</v>
      </c>
      <c r="BI21" s="51" t="n">
        <f aca="false">N((Calc_2!BI$4&gt;=Calc_2!$F18)*ABS(Calc_2!BI103)&gt;Tolerance)</f>
        <v>0</v>
      </c>
      <c r="BJ21" s="51" t="n">
        <f aca="false">N((Calc_2!BJ$4&gt;=Calc_2!$F18)*ABS(Calc_2!BJ103)&gt;Tolerance)</f>
        <v>0</v>
      </c>
      <c r="BK21" s="51" t="n">
        <f aca="false">N((Calc_2!BK$4&gt;=Calc_2!$F18)*ABS(Calc_2!BK103)&gt;Tolerance)</f>
        <v>0</v>
      </c>
      <c r="BL21" s="51" t="n">
        <f aca="false">N((Calc_2!BL$4&gt;=Calc_2!$F18)*ABS(Calc_2!BL103)&gt;Tolerance)</f>
        <v>0</v>
      </c>
      <c r="BM21" s="51" t="n">
        <f aca="false">N((Calc_2!BM$4&gt;=Calc_2!$F18)*ABS(Calc_2!BM103)&gt;Tolerance)</f>
        <v>0</v>
      </c>
      <c r="BN21" s="51" t="n">
        <f aca="false">N((Calc_2!BN$4&gt;=Calc_2!$F18)*ABS(Calc_2!BN103)&gt;Tolerance)</f>
        <v>0</v>
      </c>
      <c r="BO21" s="51" t="n">
        <f aca="false">N((Calc_2!BO$4&gt;=Calc_2!$F18)*ABS(Calc_2!BO103)&gt;Tolerance)</f>
        <v>0</v>
      </c>
      <c r="BP21" s="51" t="n">
        <f aca="false">N((Calc_2!BP$4&gt;=Calc_2!$F18)*ABS(Calc_2!BP103)&gt;Tolerance)</f>
        <v>0</v>
      </c>
      <c r="BQ21" s="51" t="n">
        <f aca="false">N((Calc_2!BQ$4&gt;=Calc_2!$F18)*ABS(Calc_2!BQ103)&gt;Tolerance)</f>
        <v>0</v>
      </c>
      <c r="BR21" s="51" t="n">
        <f aca="false">N((Calc_2!BR$4&gt;=Calc_2!$F18)*ABS(Calc_2!BR103)&gt;Tolerance)</f>
        <v>0</v>
      </c>
      <c r="BS21" s="51" t="n">
        <f aca="false">N((Calc_2!BS$4&gt;=Calc_2!$F18)*ABS(Calc_2!BS103)&gt;Tolerance)</f>
        <v>0</v>
      </c>
      <c r="BT21" s="51" t="n">
        <f aca="false">N((Calc_2!BT$4&gt;=Calc_2!$F18)*ABS(Calc_2!BT103)&gt;Tolerance)</f>
        <v>0</v>
      </c>
      <c r="BU21" s="51" t="n">
        <f aca="false">N((Calc_2!BU$4&gt;=Calc_2!$F18)*ABS(Calc_2!BU103)&gt;Tolerance)</f>
        <v>0</v>
      </c>
      <c r="BV21" s="51" t="n">
        <f aca="false">N((Calc_2!BV$4&gt;=Calc_2!$F18)*ABS(Calc_2!BV103)&gt;Tolerance)</f>
        <v>0</v>
      </c>
      <c r="BW21" s="51" t="n">
        <f aca="false">N((Calc_2!BW$4&gt;=Calc_2!$F18)*ABS(Calc_2!BW103)&gt;Tolerance)</f>
        <v>0</v>
      </c>
      <c r="BX21" s="51" t="n">
        <f aca="false">N((Calc_2!BX$4&gt;=Calc_2!$F18)*ABS(Calc_2!BX103)&gt;Tolerance)</f>
        <v>0</v>
      </c>
      <c r="BY21" s="51" t="n">
        <f aca="false">N((Calc_2!BY$4&gt;=Calc_2!$F18)*ABS(Calc_2!BY103)&gt;Tolerance)</f>
        <v>0</v>
      </c>
      <c r="BZ21" s="51" t="n">
        <f aca="false">N((Calc_2!BZ$4&gt;=Calc_2!$F18)*ABS(Calc_2!BZ103)&gt;Tolerance)</f>
        <v>0</v>
      </c>
      <c r="CA21" s="51" t="n">
        <f aca="false">N((Calc_2!CA$4&gt;=Calc_2!$F18)*ABS(Calc_2!CA103)&gt;Tolerance)</f>
        <v>0</v>
      </c>
      <c r="CB21" s="51" t="n">
        <f aca="false">N((Calc_2!CB$4&gt;=Calc_2!$F18)*ABS(Calc_2!CB103)&gt;Tolerance)</f>
        <v>0</v>
      </c>
      <c r="CC21" s="51" t="n">
        <f aca="false">N((Calc_2!CC$4&gt;=Calc_2!$F18)*ABS(Calc_2!CC103)&gt;Tolerance)</f>
        <v>0</v>
      </c>
      <c r="CD21" s="51" t="n">
        <f aca="false">N((Calc_2!CD$4&gt;=Calc_2!$F18)*ABS(Calc_2!CD103)&gt;Tolerance)</f>
        <v>0</v>
      </c>
      <c r="CE21" s="51" t="n">
        <f aca="false">N((Calc_2!CE$4&gt;=Calc_2!$F18)*ABS(Calc_2!CE103)&gt;Tolerance)</f>
        <v>0</v>
      </c>
      <c r="CF21" s="51" t="n">
        <f aca="false">N((Calc_2!CF$4&gt;=Calc_2!$F18)*ABS(Calc_2!CF103)&gt;Tolerance)</f>
        <v>0</v>
      </c>
      <c r="CG21" s="51" t="n">
        <f aca="false">N((Calc_2!CG$4&gt;=Calc_2!$F18)*ABS(Calc_2!CG103)&gt;Tolerance)</f>
        <v>0</v>
      </c>
      <c r="CH21" s="51" t="n">
        <f aca="false">N((Calc_2!CH$4&gt;=Calc_2!$F18)*ABS(Calc_2!CH103)&gt;Tolerance)</f>
        <v>0</v>
      </c>
      <c r="CI21" s="51" t="n">
        <f aca="false">N((Calc_2!CI$4&gt;=Calc_2!$F18)*ABS(Calc_2!CI103)&gt;Tolerance)</f>
        <v>0</v>
      </c>
      <c r="CJ21" s="51" t="n">
        <f aca="false">N((Calc_2!CJ$4&gt;=Calc_2!$F18)*ABS(Calc_2!CJ103)&gt;Tolerance)</f>
        <v>0</v>
      </c>
      <c r="CK21" s="51" t="n">
        <f aca="false">N((Calc_2!CK$4&gt;=Calc_2!$F18)*ABS(Calc_2!CK103)&gt;Tolerance)</f>
        <v>0</v>
      </c>
      <c r="CL21" s="51" t="n">
        <f aca="false">N((Calc_2!CL$4&gt;=Calc_2!$F18)*ABS(Calc_2!CL103)&gt;Tolerance)</f>
        <v>0</v>
      </c>
      <c r="CM21" s="51" t="n">
        <f aca="false">N((Calc_2!CM$4&gt;=Calc_2!$F18)*ABS(Calc_2!CM103)&gt;Tolerance)</f>
        <v>0</v>
      </c>
      <c r="CN21" s="51" t="n">
        <f aca="false">N((Calc_2!CN$4&gt;=Calc_2!$F18)*ABS(Calc_2!CN103)&gt;Tolerance)</f>
        <v>0</v>
      </c>
      <c r="CO21" s="51" t="n">
        <f aca="false">N((Calc_2!CO$4&gt;=Calc_2!$F18)*ABS(Calc_2!CO103)&gt;Tolerance)</f>
        <v>0</v>
      </c>
      <c r="CP21" s="51" t="n">
        <f aca="false">N((Calc_2!CP$4&gt;=Calc_2!$F18)*ABS(Calc_2!CP103)&gt;Tolerance)</f>
        <v>0</v>
      </c>
      <c r="CQ21" s="51" t="n">
        <f aca="false">N((Calc_2!CQ$4&gt;=Calc_2!$F18)*ABS(Calc_2!CQ103)&gt;Tolerance)</f>
        <v>0</v>
      </c>
      <c r="CR21" s="51" t="n">
        <f aca="false">N((Calc_2!CR$4&gt;=Calc_2!$F18)*ABS(Calc_2!CR103)&gt;Tolerance)</f>
        <v>0</v>
      </c>
      <c r="CS21" s="51" t="n">
        <f aca="false">N((Calc_2!CS$4&gt;=Calc_2!$F18)*ABS(Calc_2!CS103)&gt;Tolerance)</f>
        <v>0</v>
      </c>
      <c r="CT21" s="51" t="n">
        <f aca="false">N((Calc_2!CT$4&gt;=Calc_2!$F18)*ABS(Calc_2!CT103)&gt;Tolerance)</f>
        <v>0</v>
      </c>
      <c r="CU21" s="51" t="n">
        <f aca="false">N((Calc_2!CU$4&gt;=Calc_2!$F18)*ABS(Calc_2!CU103)&gt;Tolerance)</f>
        <v>0</v>
      </c>
      <c r="CV21" s="51" t="n">
        <f aca="false">N((Calc_2!CV$4&gt;=Calc_2!$F18)*ABS(Calc_2!CV103)&gt;Tolerance)</f>
        <v>0</v>
      </c>
      <c r="CW21" s="51" t="n">
        <f aca="false">N((Calc_2!CW$4&gt;=Calc_2!$F18)*ABS(Calc_2!CW103)&gt;Tolerance)</f>
        <v>0</v>
      </c>
      <c r="CX21" s="51" t="n">
        <f aca="false">N((Calc_2!CX$4&gt;=Calc_2!$F18)*ABS(Calc_2!CX103)&gt;Tolerance)</f>
        <v>0</v>
      </c>
      <c r="CY21" s="51" t="n">
        <f aca="false">N((Calc_2!CY$4&gt;=Calc_2!$F18)*ABS(Calc_2!CY103)&gt;Tolerance)</f>
        <v>0</v>
      </c>
      <c r="CZ21" s="51" t="n">
        <f aca="false">N((Calc_2!CZ$4&gt;=Calc_2!$F18)*ABS(Calc_2!CZ103)&gt;Tolerance)</f>
        <v>0</v>
      </c>
      <c r="DA21" s="51" t="n">
        <f aca="false">N((Calc_2!DA$4&gt;=Calc_2!$F18)*ABS(Calc_2!DA103)&gt;Tolerance)</f>
        <v>0</v>
      </c>
      <c r="DB21" s="51" t="n">
        <f aca="false">N((Calc_2!DB$4&gt;=Calc_2!$F18)*ABS(Calc_2!DB103)&gt;Tolerance)</f>
        <v>0</v>
      </c>
      <c r="DC21" s="51" t="n">
        <f aca="false">N((Calc_2!DC$4&gt;=Calc_2!$F18)*ABS(Calc_2!DC103)&gt;Tolerance)</f>
        <v>0</v>
      </c>
      <c r="DD21" s="51" t="n">
        <f aca="false">N((Calc_2!DD$4&gt;=Calc_2!$F18)*ABS(Calc_2!DD103)&gt;Tolerance)</f>
        <v>0</v>
      </c>
      <c r="DE21" s="51" t="n">
        <f aca="false">N((Calc_2!DE$4&gt;=Calc_2!$F18)*ABS(Calc_2!DE103)&gt;Tolerance)</f>
        <v>0</v>
      </c>
      <c r="DF21" s="51" t="n">
        <f aca="false">N((Calc_2!DF$4&gt;=Calc_2!$F18)*ABS(Calc_2!DF103)&gt;Tolerance)</f>
        <v>0</v>
      </c>
      <c r="DG21" s="51" t="n">
        <f aca="false">N((Calc_2!DG$4&gt;=Calc_2!$F18)*ABS(Calc_2!DG103)&gt;Tolerance)</f>
        <v>0</v>
      </c>
      <c r="DH21" s="51" t="n">
        <f aca="false">N((Calc_2!DH$4&gt;=Calc_2!$F18)*ABS(Calc_2!DH103)&gt;Tolerance)</f>
        <v>0</v>
      </c>
      <c r="DI21" s="51" t="n">
        <f aca="false">N((Calc_2!DI$4&gt;=Calc_2!$F18)*ABS(Calc_2!DI103)&gt;Tolerance)</f>
        <v>0</v>
      </c>
      <c r="DJ21" s="51" t="n">
        <f aca="false">N((Calc_2!DJ$4&gt;=Calc_2!$F18)*ABS(Calc_2!DJ103)&gt;Tolerance)</f>
        <v>0</v>
      </c>
      <c r="DK21" s="51" t="n">
        <f aca="false">N((Calc_2!DK$4&gt;=Calc_2!$F18)*ABS(Calc_2!DK103)&gt;Tolerance)</f>
        <v>0</v>
      </c>
      <c r="DL21" s="51" t="n">
        <f aca="false">N((Calc_2!DL$4&gt;=Calc_2!$F18)*ABS(Calc_2!DL103)&gt;Tolerance)</f>
        <v>0</v>
      </c>
      <c r="DM21" s="51" t="n">
        <f aca="false">N((Calc_2!DM$4&gt;=Calc_2!$F18)*ABS(Calc_2!DM103)&gt;Tolerance)</f>
        <v>0</v>
      </c>
      <c r="DN21" s="51" t="n">
        <f aca="false">N((Calc_2!DN$4&gt;=Calc_2!$F18)*ABS(Calc_2!DN103)&gt;Tolerance)</f>
        <v>0</v>
      </c>
      <c r="DO21" s="51" t="n">
        <f aca="false">N((Calc_2!DO$4&gt;=Calc_2!$F18)*ABS(Calc_2!DO103)&gt;Tolerance)</f>
        <v>0</v>
      </c>
      <c r="DP21" s="51" t="n">
        <f aca="false">N((Calc_2!DP$4&gt;=Calc_2!$F18)*ABS(Calc_2!DP103)&gt;Tolerance)</f>
        <v>0</v>
      </c>
      <c r="DQ21" s="51" t="n">
        <f aca="false">N((Calc_2!DQ$4&gt;=Calc_2!$F18)*ABS(Calc_2!DQ103)&gt;Tolerance)</f>
        <v>0</v>
      </c>
      <c r="DR21" s="51" t="n">
        <f aca="false">N((Calc_2!DR$4&gt;=Calc_2!$F18)*ABS(Calc_2!DR103)&gt;Tolerance)</f>
        <v>0</v>
      </c>
      <c r="DS21" s="51" t="n">
        <f aca="false">N((Calc_2!DS$4&gt;=Calc_2!$F18)*ABS(Calc_2!DS103)&gt;Tolerance)</f>
        <v>0</v>
      </c>
      <c r="DT21" s="51" t="n">
        <f aca="false">N((Calc_2!DT$4&gt;=Calc_2!$F18)*ABS(Calc_2!DT103)&gt;Tolerance)</f>
        <v>0</v>
      </c>
      <c r="DU21" s="51" t="n">
        <f aca="false">N((Calc_2!DU$4&gt;=Calc_2!$F18)*ABS(Calc_2!DU103)&gt;Tolerance)</f>
        <v>0</v>
      </c>
      <c r="DV21" s="51" t="n">
        <f aca="false">N((Calc_2!DV$4&gt;=Calc_2!$F18)*ABS(Calc_2!DV103)&gt;Tolerance)</f>
        <v>0</v>
      </c>
      <c r="DW21" s="51" t="n">
        <f aca="false">N((Calc_2!DW$4&gt;=Calc_2!$F18)*ABS(Calc_2!DW103)&gt;Tolerance)</f>
        <v>0</v>
      </c>
      <c r="DX21" s="51" t="n">
        <f aca="false">N((Calc_2!DX$4&gt;=Calc_2!$F18)*ABS(Calc_2!DX103)&gt;Tolerance)</f>
        <v>0</v>
      </c>
      <c r="DY21" s="51" t="n">
        <f aca="false">N((Calc_2!DY$4&gt;=Calc_2!$F18)*ABS(Calc_2!DY103)&gt;Tolerance)</f>
        <v>0</v>
      </c>
      <c r="DZ21" s="51" t="n">
        <f aca="false">N((Calc_2!DZ$4&gt;=Calc_2!$F18)*ABS(Calc_2!DZ103)&gt;Tolerance)</f>
        <v>0</v>
      </c>
      <c r="EA21" s="51" t="n">
        <f aca="false">N((Calc_2!EA$4&gt;=Calc_2!$F18)*ABS(Calc_2!EA103)&gt;Tolerance)</f>
        <v>0</v>
      </c>
      <c r="EB21" s="51" t="n">
        <f aca="false">N((Calc_2!EB$4&gt;=Calc_2!$F18)*ABS(Calc_2!EB103)&gt;Tolerance)</f>
        <v>0</v>
      </c>
      <c r="EC21" s="51" t="n">
        <f aca="false">N((Calc_2!EC$4&gt;=Calc_2!$F18)*ABS(Calc_2!EC103)&gt;Tolerance)</f>
        <v>0</v>
      </c>
      <c r="ED21" s="51" t="n">
        <f aca="false">N((Calc_2!ED$4&gt;=Calc_2!$F18)*ABS(Calc_2!ED103)&gt;Tolerance)</f>
        <v>0</v>
      </c>
      <c r="EE21" s="51" t="n">
        <f aca="false">N((Calc_2!EE$4&gt;=Calc_2!$F18)*ABS(Calc_2!EE103)&gt;Tolerance)</f>
        <v>0</v>
      </c>
      <c r="EF21" s="51" t="n">
        <f aca="false">N((Calc_2!EF$4&gt;=Calc_2!$F18)*ABS(Calc_2!EF103)&gt;Tolerance)</f>
        <v>0</v>
      </c>
      <c r="EG21" s="51" t="n">
        <f aca="false">N((Calc_2!EG$4&gt;=Calc_2!$F18)*ABS(Calc_2!EG103)&gt;Tolerance)</f>
        <v>0</v>
      </c>
      <c r="EH21" s="51" t="n">
        <f aca="false">N((Calc_2!EH$4&gt;=Calc_2!$F18)*ABS(Calc_2!EH103)&gt;Tolerance)</f>
        <v>0</v>
      </c>
      <c r="EI21" s="51" t="n">
        <f aca="false">N((Calc_2!EI$4&gt;=Calc_2!$F18)*ABS(Calc_2!EI103)&gt;Tolerance)</f>
        <v>0</v>
      </c>
      <c r="EJ21" s="51" t="n">
        <f aca="false">N((Calc_2!EJ$4&gt;=Calc_2!$F18)*ABS(Calc_2!EJ103)&gt;Tolerance)</f>
        <v>0</v>
      </c>
      <c r="EK21" s="51" t="n">
        <f aca="false">N((Calc_2!EK$4&gt;=Calc_2!$F18)*ABS(Calc_2!EK103)&gt;Tolerance)</f>
        <v>0</v>
      </c>
      <c r="EL21" s="51" t="n">
        <f aca="false">N((Calc_2!EL$4&gt;=Calc_2!$F18)*ABS(Calc_2!EL103)&gt;Tolerance)</f>
        <v>0</v>
      </c>
      <c r="EM21" s="51" t="n">
        <f aca="false">N((Calc_2!EM$4&gt;=Calc_2!$F18)*ABS(Calc_2!EM103)&gt;Tolerance)</f>
        <v>0</v>
      </c>
      <c r="EN21" s="51" t="n">
        <f aca="false">N((Calc_2!EN$4&gt;=Calc_2!$F18)*ABS(Calc_2!EN103)&gt;Tolerance)</f>
        <v>0</v>
      </c>
      <c r="EO21" s="51" t="n">
        <f aca="false">N((Calc_2!EO$4&gt;=Calc_2!$F18)*ABS(Calc_2!EO103)&gt;Tolerance)</f>
        <v>0</v>
      </c>
    </row>
    <row r="22" customFormat="false" ht="15" hidden="false" customHeight="false" outlineLevel="0" collapsed="false">
      <c r="C22" s="1" t="s">
        <v>534</v>
      </c>
      <c r="D22" s="12" t="s">
        <v>43</v>
      </c>
      <c r="E22" s="28" t="str">
        <f aca="false">IF(F22=0,"OK","CHECK")</f>
        <v>OK</v>
      </c>
      <c r="F22" s="51" t="n">
        <f aca="false">N(Calc_1!$E107&lt;In_DSCR-Tolerance)</f>
        <v>0</v>
      </c>
    </row>
    <row r="23" customFormat="false" ht="15" hidden="false" customHeight="false" outlineLevel="0" collapsed="false">
      <c r="C23" s="1" t="s">
        <v>535</v>
      </c>
      <c r="D23" s="12" t="s">
        <v>43</v>
      </c>
      <c r="E23" s="28" t="str">
        <f aca="false">IF(F23=0,"OK","CHECK")</f>
        <v>OK</v>
      </c>
      <c r="F23" s="51" t="n">
        <f aca="false">N(Calc_2!$E107&lt;In_DSCR-Tolerance)</f>
        <v>0</v>
      </c>
    </row>
    <row r="24" customFormat="false" ht="15" hidden="false" customHeight="false" outlineLevel="0" collapsed="false">
      <c r="C24" s="1" t="s">
        <v>536</v>
      </c>
      <c r="D24" s="12" t="s">
        <v>43</v>
      </c>
      <c r="E24" s="28" t="str">
        <f aca="false">IF(F24=0,"OK","CHECK")</f>
        <v>OK</v>
      </c>
      <c r="F24" s="51" t="n">
        <f aca="false">N(ABS(Calc_1!$E128+Calc_1!$I135-Calc_1!$E103)&gt;Tolerance)</f>
        <v>0</v>
      </c>
    </row>
    <row r="25" customFormat="false" ht="15" hidden="false" customHeight="false" outlineLevel="0" collapsed="false">
      <c r="C25" s="1" t="s">
        <v>537</v>
      </c>
      <c r="D25" s="12" t="s">
        <v>43</v>
      </c>
      <c r="E25" s="28" t="str">
        <f aca="false">IF(F25=0,"OK","CHECK")</f>
        <v>OK</v>
      </c>
      <c r="F25" s="51" t="n">
        <f aca="false">N(ABS(Calc_2!$E128+Calc_2!$I135-Calc_2!$E103)&gt;Tolerance)</f>
        <v>0</v>
      </c>
    </row>
    <row r="26" customFormat="false" ht="15" hidden="false" customHeight="false" outlineLevel="0" collapsed="false">
      <c r="C26" s="1" t="s">
        <v>538</v>
      </c>
      <c r="D26" s="12" t="s">
        <v>43</v>
      </c>
      <c r="E26" s="28" t="str">
        <f aca="false">IF(F26=0,"OK","CHECK")</f>
        <v>OK</v>
      </c>
      <c r="F26" s="51" t="n">
        <f aca="false">N(ISERROR(Calc_1!$E140))+N(ISERROR(Calc_1!$E153))+N(ISERROR(Calc_1!$E151))+N(ISERROR(Calc_1!$E147))</f>
        <v>0</v>
      </c>
    </row>
    <row r="27" customFormat="false" ht="15" hidden="false" customHeight="false" outlineLevel="0" collapsed="false">
      <c r="C27" s="1" t="s">
        <v>539</v>
      </c>
      <c r="D27" s="12" t="s">
        <v>43</v>
      </c>
      <c r="E27" s="28" t="str">
        <f aca="false">IF(F27=0,"OK","CHECK")</f>
        <v>OK</v>
      </c>
      <c r="F27" s="51" t="n">
        <f aca="false">N(ISERROR(Calc_2!$E140))+N(ISERROR(Calc_2!$E153))+N(ISERROR(Calc_2!$E151))+N(ISERROR(Calc_2!$E147))</f>
        <v>0</v>
      </c>
    </row>
    <row r="28" customFormat="false" ht="15" hidden="false" customHeight="false" outlineLevel="0" collapsed="false">
      <c r="C28" s="1" t="s">
        <v>540</v>
      </c>
      <c r="D28" s="12" t="s">
        <v>43</v>
      </c>
      <c r="E28" s="28" t="str">
        <f aca="false">IF(F28=0,"OK","CHECK")</f>
        <v>OK</v>
      </c>
      <c r="F28" s="51" t="n">
        <f aca="false">--(SUMPRODUCT(ABS(Stored_Results-Live_Results)*(Scenario_Names=Scenario_Name))&gt;Tolerance)</f>
        <v>0</v>
      </c>
    </row>
    <row r="30" customFormat="false" ht="15" hidden="false" customHeight="false" outlineLevel="0" collapsed="false">
      <c r="C30" s="1" t="s">
        <v>541</v>
      </c>
      <c r="F30" s="63" t="n">
        <f aca="false">SUMPRODUCT(ABS(F12:F27))</f>
        <v>0</v>
      </c>
    </row>
    <row r="32" customFormat="false" ht="15" hidden="false" customHeight="false" outlineLevel="0" collapsed="false">
      <c r="C32" s="26" t="s">
        <v>6</v>
      </c>
      <c r="E32" s="64" t="str">
        <f aca="false">IF(F32=0,"OK","CHECK")</f>
        <v>OK</v>
      </c>
      <c r="F32" s="63" t="n">
        <f aca="false">SUMPRODUCT(ABS(F12:F28))</f>
        <v>0</v>
      </c>
    </row>
    <row r="34" customFormat="false" ht="15" hidden="false" customHeight="false" outlineLevel="0" collapsed="false">
      <c r="C34" s="43" t="s">
        <v>184</v>
      </c>
    </row>
  </sheetData>
  <conditionalFormatting sqref="E12:E3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2026-10-15T09:22:28Z</dcterms:created>
  <dc:creator>openpyxl</dc:creator>
  <dc:description/>
  <dc:language>en-US</dc:language>
  <cp:lastModifiedBy/>
  <dcterms:modified xsi:type="dcterms:W3CDTF">2026-10-15T09:22:34Z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