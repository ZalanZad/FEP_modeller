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Dashboard!$H$128:$Y$128</definedName>
    <definedName function="false" hidden="false" name="Buyer_IRR_L_2_Stored" vbProcedure="false">Dashboard!$H$129:$Y$129</definedName>
    <definedName function="false" hidden="false" name="Buyer_IRR_U_1_Stored" vbProcedure="false">Dashboard!$H$126:$Y$126</definedName>
    <definedName function="false" hidden="false" name="Buyer_IRR_U_2_Stored" vbProcedure="false">Dashboard!$H$127:$Y$127</definedName>
    <definedName function="false" hidden="false" name="Checks_1_Stored" vbProcedure="false">Dashboard!$H$134:$Y$134</definedName>
    <definedName function="false" hidden="false" name="Checks_2_Stored" vbProcedure="false">Dashboard!$H$135:$Y$135</definedName>
    <definedName function="false" hidden="false" name="COD_IRR_1_Stored" vbProcedure="false">Dashboard!$H$110:$Y$110</definedName>
    <definedName function="false" hidden="false" name="COD_IRR_2_Stored" vbProcedure="false">Dashboard!$H$111:$Y$111</definedName>
    <definedName function="false" hidden="false" name="COD_MOIC_1_Stored" vbProcedure="false">Dashboard!$H$112:$Y$112</definedName>
    <definedName function="false" hidden="false" name="COD_MOIC_2_Stored" vbProcedure="false">Dashboard!$H$113:$Y$113</definedName>
    <definedName function="false" hidden="false" name="COD_Profit_1_Stored" vbProcedure="false">Dashboard!$H$108:$Y$108</definedName>
    <definedName function="false" hidden="false" name="COD_Profit_2_Stored" vbProcedure="false">Dashboard!$H$109:$Y$109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Dashboard!$H$122:$Y$122</definedName>
    <definedName function="false" hidden="false" name="Debt_COD_2_Stored" vbProcedure="false">Dashboard!$H$123:$Y$123</definedName>
    <definedName function="false" hidden="false" name="Debt_Share_1_Stored" vbProcedure="false">Dashboard!$H$130:$Y$130</definedName>
    <definedName function="false" hidden="false" name="Debt_Share_2_Stored" vbProcedure="false">Dashboard!$H$131:$Y$131</definedName>
    <definedName function="false" hidden="false" name="Equity_COD_1_Stored" vbProcedure="false">Dashboard!$H$124:$Y$124</definedName>
    <definedName function="false" hidden="false" name="Equity_COD_2_Stored" vbProcedure="false">Dashboard!$H$125:$Y$125</definedName>
    <definedName function="false" hidden="false" name="GoalSeek_Topics" vbProcedure="false">Inputs!$F$112</definedName>
    <definedName function="false" hidden="false" name="HTM_IRR_1_Stored" vbProcedure="false">Dashboard!$H$114:$Y$114</definedName>
    <definedName function="false" hidden="false" name="HTM_IRR_2_Stored" vbProcedure="false">Dashboard!$H$115:$Y$115</definedName>
    <definedName function="false" hidden="false" name="HTM_MOIC_1_Stored" vbProcedure="false">Dashboard!$H$116:$Y$116</definedName>
    <definedName function="false" hidden="false" name="HTM_MOIC_2_Stored" vbProcedure="false">Dashboard!$H$117:$Y$117</definedName>
    <definedName function="false" hidden="false" name="HTM_NPV_1_Stored" vbProcedure="false">Dashboard!$H$118:$Y$118</definedName>
    <definedName function="false" hidden="false" name="HTM_NPV_2_Stored" vbProcedure="false">Dashboard!$H$119:$Y$119</definedName>
    <definedName function="false" hidden="false" name="In_Admin" vbProcedure="false">Inputs!$F$90</definedName>
    <definedName function="false" hidden="false" name="In_Award_Date" vbProcedure="false">Inputs!$F$22</definedName>
    <definedName function="false" hidden="false" name="In_Bench_BESS" vbProcedure="false">Inputs!$F$62</definedName>
    <definedName function="false" hidden="false" name="In_Bench_Wind" vbProcedure="false">Inputs!$F$63</definedName>
    <definedName function="false" hidden="false" name="In_BESS_Built" vbProcedure="false">Inputs!$F$57</definedName>
    <definedName function="false" hidden="false" name="In_BESS_Capex" vbProcedure="false">Inputs!$F$79</definedName>
    <definedName function="false" hidden="false" name="In_BESS_Set" vbProcedure="false">Inputs!$F$55</definedName>
    <definedName function="false" hidden="false" name="In_Bid_Date" vbProcedure="false">Inputs!$F$21</definedName>
    <definedName function="false" hidden="false" name="In_Bid_Rate" vbProcedure="false">Inputs!$F$65</definedName>
    <definedName function="false" hidden="false" name="In_Bottleneck_Loss" vbProcedure="false">Inputs!$F$56</definedName>
    <definedName function="false" hidden="false" name="In_Capex_Contingency" vbProcedure="false">Inputs!$F$78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Inputs!$F$107</definedName>
    <definedName function="false" hidden="false" name="In_Curtailment" vbProcedure="false">Inputs!$F$83</definedName>
    <definedName function="false" hidden="false" name="In_DD" vbProcedure="false">Inputs!$F$35</definedName>
    <definedName function="false" hidden="false" name="In_Debt_Per_MW" vbProcedure="false">Inputs!$F$99</definedName>
    <definedName function="false" hidden="false" name="In_Debt_Rate" vbProcedure="false">Inputs!$F$105</definedName>
    <definedName function="false" hidden="false" name="In_Debt_Tenor" vbProcedure="false">Inputs!$F$104</definedName>
    <definedName function="false" hidden="false" name="In_Decision_Date" vbProcedure="false">Inputs!$F$23</definedName>
    <definedName function="false" hidden="false" name="In_Degradation" vbProcedure="false">Inputs!$F$84</definedName>
    <definedName function="false" hidden="false" name="In_Deliver" vbProcedure="false">Inputs!$F$54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Inputs!$F$68</definedName>
    <definedName function="false" hidden="false" name="In_Discount_Rate" vbProcedure="false">Inputs!$F$40</definedName>
    <definedName function="false" hidden="false" name="In_DSCR" vbProcedure="false">Inputs!$F$103</definedName>
    <definedName function="false" hidden="false" name="In_DSCR_Max_High" vbProcedure="false">Inputs!$F$102</definedName>
    <definedName function="false" hidden="false" name="In_DSCR_Max_Low" vbProcedure="false">Inputs!$F$101</definedName>
    <definedName function="false" hidden="false" name="In_DSRA_Months" vbProcedure="false">Inputs!$F$108</definedName>
    <definedName function="false" hidden="false" name="In_Fixed_Opex" vbProcedure="false">Inputs!$F$88</definedName>
    <definedName function="false" hidden="false" name="In_FX" vbProcedure="false">Inputs!$F$33</definedName>
    <definedName function="false" hidden="false" name="In_Gearing" vbProcedure="false">Inputs!$F$98</definedName>
    <definedName function="false" hidden="false" name="In_Guarantee_Fee" vbProcedure="false">Inputs!$F$70</definedName>
    <definedName function="false" hidden="false" name="In_HCSSZ_Date" vbProcedure="false">Inputs!$F$27</definedName>
    <definedName function="false" hidden="false" name="In_HIPA" vbProcedure="false">Inputs!$F$94</definedName>
    <definedName function="false" hidden="false" name="In_Indirect_Fee" vbProcedure="false">Inputs!$F$69</definedName>
    <definedName function="false" hidden="false" name="In_Innovation" vbProcedure="false">Inputs!$F$95</definedName>
    <definedName function="false" hidden="false" name="In_Lease" vbProcedure="false">Inputs!$F$89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Inputs!$F$93</definedName>
    <definedName function="false" hidden="false" name="In_Min_Hours" vbProcedure="false">Inputs!$F$58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Inputs!$F$91</definedName>
    <definedName function="false" hidden="false" name="In_Opex_Esc" vbProcedure="false">Inputs!$F$92</definedName>
    <definedName function="false" hidden="false" name="In_Other_Wind" vbProcedure="false">Inputs!$F$75</definedName>
    <definedName function="false" hidden="false" name="In_Overbuild_Built" vbProcedure="false">Inputs!$F$52</definedName>
    <definedName function="false" hidden="false" name="In_P50_Hours" vbProcedure="false">Inputs!$F$82</definedName>
    <definedName function="false" hidden="false" name="In_Part_Fee" vbProcedure="false">Inputs!$F$64</definedName>
    <definedName function="false" hidden="false" name="In_PB_Days" vbProcedure="false">Inputs!$F$24</definedName>
    <definedName function="false" hidden="false" name="In_PB_Rate" vbProcedure="false">Inputs!$F$66</definedName>
    <definedName function="false" hidden="false" name="In_PB_Release" vbProcedure="false">Inputs!$F$30</definedName>
    <definedName function="false" hidden="false" name="In_PPA_Esc" vbProcedure="false">Inputs!$F$86</definedName>
    <definedName function="false" hidden="false" name="In_PPA_Price" vbProcedure="false">Inputs!$F$85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Inputs!$F$61</definedName>
    <definedName function="false" hidden="false" name="In_Sanction_Regime" vbProcedure="false">Inputs!$F$60</definedName>
    <definedName function="false" hidden="false" name="In_Substation" vbProcedure="false">Inputs!$F$76</definedName>
    <definedName function="false" hidden="false" name="In_Substation_CN" vbProcedure="false">Inputs!$F$77</definedName>
    <definedName function="false" hidden="false" name="In_Sweep" vbProcedure="false">Inputs!$F$100</definedName>
    <definedName function="false" hidden="false" name="In_Tolerance_Cap" vbProcedure="false">Inputs!$F$59</definedName>
    <definedName function="false" hidden="false" name="In_TSO_Security" vbProcedure="false">Inputs!$F$67</definedName>
    <definedName function="false" hidden="false" name="In_Turbine" vbProcedure="false">Inputs!$F$73</definedName>
    <definedName function="false" hidden="false" name="In_Turbine_CN" vbProcedure="false">Inputs!$F$74</definedName>
    <definedName function="false" hidden="false" name="In_Upfront_Fee" vbProcedure="false">Inputs!$F$106</definedName>
    <definedName function="false" hidden="false" name="In_Var_Opex" vbProcedure="false">Inputs!$F$87</definedName>
    <definedName function="false" hidden="false" name="In_Zero_Bid" vbProcedure="false">Inputs!$F$53</definedName>
    <definedName function="false" hidden="false" name="Live_Results" vbProcedure="false">Dashboard!$E$102:$E$135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Dashboard!$H$132:$Y$132</definedName>
    <definedName function="false" hidden="false" name="Min_DSCR_2_Stored" vbProcedure="false">Dashboard!$H$133:$Y$133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MVA_At_Risk_1_Stored" vbProcedure="false">Dashboard!$H$104:$Y$104</definedName>
    <definedName function="false" hidden="false" name="MVA_At_Risk_2_Stored" vbProcedure="false">Dashboard!$H$105:$Y$105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Dashboard!$E$33</definedName>
    <definedName function="false" hidden="false" name="Out_Bottleneck_Loss_2" vbProcedure="false">Dashboard!$F$33</definedName>
    <definedName function="false" hidden="false" name="Out_Buyer_IRR_L_1" vbProcedure="false">Dashboard!$E$78</definedName>
    <definedName function="false" hidden="false" name="Out_Buyer_IRR_L_2" vbProcedure="false">Dashboard!$F$78</definedName>
    <definedName function="false" hidden="false" name="Out_Buyer_IRR_U_1" vbProcedure="false">Dashboard!$E$77</definedName>
    <definedName function="false" hidden="false" name="Out_Buyer_IRR_U_2" vbProcedure="false">Dashboard!$F$77</definedName>
    <definedName function="false" hidden="false" name="Out_Capacity_Used_1" vbProcedure="false">Dashboard!$E$83</definedName>
    <definedName function="false" hidden="false" name="Out_Capacity_Used_2" vbProcedure="false">Dashboard!$F$83</definedName>
    <definedName function="false" hidden="false" name="Out_Checks_1" vbProcedure="false">Dashboard!$E$99</definedName>
    <definedName function="false" hidden="false" name="Out_Checks_2" vbProcedure="false">Dashboard!$F$99</definedName>
    <definedName function="false" hidden="false" name="Out_COD_IRR_1" vbProcedure="false">Dashboard!$E$40</definedName>
    <definedName function="false" hidden="false" name="Out_COD_IRR_2" vbProcedure="false">Dashboard!$F$40</definedName>
    <definedName function="false" hidden="false" name="Out_COD_MOIC_1" vbProcedure="false">Dashboard!$E$41</definedName>
    <definedName function="false" hidden="false" name="Out_COD_MOIC_2" vbProcedure="false">Dashboard!$F$41</definedName>
    <definedName function="false" hidden="false" name="Out_COD_NPV_1" vbProcedure="false">Dashboard!$E$42</definedName>
    <definedName function="false" hidden="false" name="Out_COD_NPV_2" vbProcedure="false">Dashboard!$F$42</definedName>
    <definedName function="false" hidden="false" name="Out_COD_Price_1" vbProcedure="false">Dashboard!$E$74</definedName>
    <definedName function="false" hidden="false" name="Out_COD_Price_2" vbProcedure="false">Dashboard!$F$74</definedName>
    <definedName function="false" hidden="false" name="Out_COD_Proceeds_1" vbProcedure="false">Dashboard!$E$75</definedName>
    <definedName function="false" hidden="false" name="Out_COD_Proceeds_2" vbProcedure="false">Dashboard!$F$75</definedName>
    <definedName function="false" hidden="false" name="Out_COD_Profit_1" vbProcedure="false">Dashboard!$E$39</definedName>
    <definedName function="false" hidden="false" name="Out_COD_Profit_2" vbProcedure="false">Dashboard!$F$39</definedName>
    <definedName function="false" hidden="false" name="Out_COD_Tax_1" vbProcedure="false">Dashboard!$E$76</definedName>
    <definedName function="false" hidden="false" name="Out_COD_Tax_2" vbProcedure="false">Dashboard!$F$76</definedName>
    <definedName function="false" hidden="false" name="Out_Debt_Capacity_1" vbProcedure="false">Dashboard!$E$81</definedName>
    <definedName function="false" hidden="false" name="Out_Debt_Capacity_2" vbProcedure="false">Dashboard!$F$81</definedName>
    <definedName function="false" hidden="false" name="Out_Debt_COD_1" vbProcedure="false">Dashboard!$E$58</definedName>
    <definedName function="false" hidden="false" name="Out_Debt_COD_2" vbProcedure="false">Dashboard!$F$58</definedName>
    <definedName function="false" hidden="false" name="Out_Debt_Max_High_1" vbProcedure="false">Dashboard!$E$88</definedName>
    <definedName function="false" hidden="false" name="Out_Debt_Max_High_2" vbProcedure="false">Dashboard!$F$88</definedName>
    <definedName function="false" hidden="false" name="Out_Debt_Max_High_Pct_1" vbProcedure="false">Dashboard!$E$89</definedName>
    <definedName function="false" hidden="false" name="Out_Debt_Max_High_Pct_2" vbProcedure="false">Dashboard!$F$89</definedName>
    <definedName function="false" hidden="false" name="Out_Debt_Max_Low_1" vbProcedure="false">Dashboard!$E$85</definedName>
    <definedName function="false" hidden="false" name="Out_Debt_Max_Low_2" vbProcedure="false">Dashboard!$F$85</definedName>
    <definedName function="false" hidden="false" name="Out_Debt_Max_Low_Pct_1" vbProcedure="false">Dashboard!$E$86</definedName>
    <definedName function="false" hidden="false" name="Out_Debt_Max_Low_Pct_2" vbProcedure="false">Dashboard!$F$86</definedName>
    <definedName function="false" hidden="false" name="Out_Debt_Per_MW_1" vbProcedure="false">Dashboard!$E$62</definedName>
    <definedName function="false" hidden="false" name="Out_Debt_Per_MW_2" vbProcedure="false">Dashboard!$F$62</definedName>
    <definedName function="false" hidden="false" name="Out_Debt_Share_1" vbProcedure="false">Dashboard!$E$82</definedName>
    <definedName function="false" hidden="false" name="Out_Debt_Share_2" vbProcedure="false">Dashboard!$F$82</definedName>
    <definedName function="false" hidden="false" name="Out_DSCR_Max_High_1" vbProcedure="false">Dashboard!$E$87</definedName>
    <definedName function="false" hidden="false" name="Out_DSCR_Max_High_2" vbProcedure="false">Dashboard!$F$87</definedName>
    <definedName function="false" hidden="false" name="Out_DSCR_Max_Low_1" vbProcedure="false">Dashboard!$E$84</definedName>
    <definedName function="false" hidden="false" name="Out_DSCR_Max_Low_2" vbProcedure="false">Dashboard!$F$84</definedName>
    <definedName function="false" hidden="false" name="Out_DSRA_1" vbProcedure="false">Dashboard!$E$90</definedName>
    <definedName function="false" hidden="false" name="Out_DSRA_2" vbProcedure="false">Dashboard!$F$90</definedName>
    <definedName function="false" hidden="false" name="Out_EBITDA_Life_1" vbProcedure="false">Dashboard!$E$96</definedName>
    <definedName function="false" hidden="false" name="Out_EBITDA_Life_2" vbProcedure="false">Dashboard!$F$96</definedName>
    <definedName function="false" hidden="false" name="Out_EBITDA_Year1_1" vbProcedure="false">Dashboard!$E$94</definedName>
    <definedName function="false" hidden="false" name="Out_EBITDA_Year1_2" vbProcedure="false">Dashboard!$F$94</definedName>
    <definedName function="false" hidden="false" name="Out_Equity_COD_1" vbProcedure="false">Dashboard!$E$59</definedName>
    <definedName function="false" hidden="false" name="Out_Equity_COD_2" vbProcedure="false">Dashboard!$F$59</definedName>
    <definedName function="false" hidden="false" name="Out_Equity_Peak_HTM_1" vbProcedure="false">Dashboard!$E$60</definedName>
    <definedName function="false" hidden="false" name="Out_Equity_Peak_HTM_2" vbProcedure="false">Dashboard!$F$60</definedName>
    <definedName function="false" hidden="false" name="Out_Gearing_Uses_1" vbProcedure="false">Dashboard!$E$61</definedName>
    <definedName function="false" hidden="false" name="Out_Gearing_Uses_2" vbProcedure="false">Dashboard!$F$61</definedName>
    <definedName function="false" hidden="false" name="Out_Gen_Year1_1" vbProcedure="false">Dashboard!$E$92</definedName>
    <definedName function="false" hidden="false" name="Out_Gen_Year1_2" vbProcedure="false">Dashboard!$F$92</definedName>
    <definedName function="false" hidden="false" name="Out_Guarantee_Fees_COD_1" vbProcedure="false">Dashboard!$E$71</definedName>
    <definedName function="false" hidden="false" name="Out_Guarantee_Fees_COD_2" vbProcedure="false">Dashboard!$F$71</definedName>
    <definedName function="false" hidden="false" name="Out_HTM_IRR_1" vbProcedure="false">Dashboard!$E$44</definedName>
    <definedName function="false" hidden="false" name="Out_HTM_IRR_2" vbProcedure="false">Dashboard!$F$44</definedName>
    <definedName function="false" hidden="false" name="Out_HTM_MOIC_1" vbProcedure="false">Dashboard!$E$45</definedName>
    <definedName function="false" hidden="false" name="Out_HTM_MOIC_2" vbProcedure="false">Dashboard!$F$45</definedName>
    <definedName function="false" hidden="false" name="Out_HTM_NPV_1" vbProcedure="false">Dashboard!$E$46</definedName>
    <definedName function="false" hidden="false" name="Out_HTM_NPV_2" vbProcedure="false">Dashboard!$F$46</definedName>
    <definedName function="false" hidden="false" name="Out_HTM_Profit_1" vbProcedure="false">Dashboard!$E$43</definedName>
    <definedName function="false" hidden="false" name="Out_HTM_Profit_2" vbProcedure="false">Dashboard!$F$43</definedName>
    <definedName function="false" hidden="false" name="Out_Min_DSCR_1" vbProcedure="false">Dashboard!$E$91</definedName>
    <definedName function="false" hidden="false" name="Out_Min_DSCR_2" vbProcedure="false">Dashboard!$F$91</definedName>
    <definedName function="false" hidden="false" name="Out_MVA_At_Risk_1" vbProcedure="false">Dashboard!$E$32</definedName>
    <definedName function="false" hidden="false" name="Out_MVA_At_Risk_2" vbProcedure="false">Dashboard!$F$32</definedName>
    <definedName function="false" hidden="false" name="Out_PB_Call_Applied_1" vbProcedure="false">Dashboard!$E$36</definedName>
    <definedName function="false" hidden="false" name="Out_PB_Call_Applied_2" vbProcedure="false">Dashboard!$F$36</definedName>
    <definedName function="false" hidden="false" name="Out_PB_Call_Full_1" vbProcedure="false">Dashboard!$E$35</definedName>
    <definedName function="false" hidden="false" name="Out_PB_Call_Full_2" vbProcedure="false">Dashboard!$F$35</definedName>
    <definedName function="false" hidden="false" name="Out_PB_Call_ProRata_1" vbProcedure="false">Dashboard!$E$34</definedName>
    <definedName function="false" hidden="false" name="Out_PB_Call_ProRata_2" vbProcedure="false">Dashboard!$F$34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Dashboard!$E$47</definedName>
    <definedName function="false" hidden="false" name="Out_Project_IRR_2" vbProcedure="false">Dashboard!$F$47</definedName>
    <definedName function="false" hidden="false" name="Out_Revenue_Life_1" vbProcedure="false">Dashboard!$E$95</definedName>
    <definedName function="false" hidden="false" name="Out_Revenue_Life_2" vbProcedure="false">Dashboard!$F$95</definedName>
    <definedName function="false" hidden="false" name="Out_Revenue_Year1_1" vbProcedure="false">Dashboard!$E$93</definedName>
    <definedName function="false" hidden="false" name="Out_Revenue_Year1_2" vbProcedure="false">Dashboard!$F$93</definedName>
    <definedName function="false" hidden="false" name="Out_Sec_bid_1" vbProcedure="false">Dashboard!$E$66</definedName>
    <definedName function="false" hidden="false" name="Out_Sec_bid_2" vbProcedure="false">Dashboard!$F$66</definedName>
    <definedName function="false" hidden="false" name="Out_Sec_direct_1" vbProcedure="false">Dashboard!$E$69</definedName>
    <definedName function="false" hidden="false" name="Out_Sec_direct_2" vbProcedure="false">Dashboard!$F$69</definedName>
    <definedName function="false" hidden="false" name="Out_Sec_fee_1" vbProcedure="false">Dashboard!$E$65</definedName>
    <definedName function="false" hidden="false" name="Out_Sec_fee_2" vbProcedure="false">Dashboard!$F$65</definedName>
    <definedName function="false" hidden="false" name="Out_Sec_indirect_1" vbProcedure="false">Dashboard!$E$70</definedName>
    <definedName function="false" hidden="false" name="Out_Sec_indirect_2" vbProcedure="false">Dashboard!$F$70</definedName>
    <definedName function="false" hidden="false" name="Out_Sec_pb_1" vbProcedure="false">Dashboard!$E$67</definedName>
    <definedName function="false" hidden="false" name="Out_Sec_pb_2" vbProcedure="false">Dashboard!$F$67</definedName>
    <definedName function="false" hidden="false" name="Out_Sec_tso_1" vbProcedure="false">Dashboard!$E$68</definedName>
    <definedName function="false" hidden="false" name="Out_Sec_tso_2" vbProcedure="false">Dashboard!$F$68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Dashboard!$E$97</definedName>
    <definedName function="false" hidden="false" name="Out_Tax_Life_2" vbProcedure="false">Dashboard!$F$97</definedName>
    <definedName function="false" hidden="false" name="Out_Tax_Losses_Lapsed_1" vbProcedure="false">Dashboard!$E$98</definedName>
    <definedName function="false" hidden="false" name="Out_Tax_Losses_Lapsed_2" vbProcedure="false">Dashboard!$F$98</definedName>
    <definedName function="false" hidden="false" name="Out_Uses_Capex_1" vbProcedure="false">Dashboard!$E$52</definedName>
    <definedName function="false" hidden="false" name="Out_Uses_Capex_2" vbProcedure="false">Dashboard!$F$52</definedName>
    <definedName function="false" hidden="false" name="Out_Uses_Connection_1" vbProcedure="false">Dashboard!$E$53</definedName>
    <definedName function="false" hidden="false" name="Out_Uses_Connection_2" vbProcedure="false">Dashboard!$F$53</definedName>
    <definedName function="false" hidden="false" name="Out_Uses_Development_1" vbProcedure="false">Dashboard!$E$50</definedName>
    <definedName function="false" hidden="false" name="Out_Uses_Development_2" vbProcedure="false">Dashboard!$F$50</definedName>
    <definedName function="false" hidden="false" name="Out_Uses_Financing_1" vbProcedure="false">Dashboard!$E$55</definedName>
    <definedName function="false" hidden="false" name="Out_Uses_Financing_2" vbProcedure="false">Dashboard!$F$55</definedName>
    <definedName function="false" hidden="false" name="Out_Uses_Lease_1" vbProcedure="false">Dashboard!$E$56</definedName>
    <definedName function="false" hidden="false" name="Out_Uses_Lease_2" vbProcedure="false">Dashboard!$F$56</definedName>
    <definedName function="false" hidden="false" name="Out_Uses_Municipal_1" vbProcedure="false">Dashboard!$E$54</definedName>
    <definedName function="false" hidden="false" name="Out_Uses_Municipal_2" vbProcedure="false">Dashboard!$F$54</definedName>
    <definedName function="false" hidden="false" name="Out_Uses_Securities_1" vbProcedure="false">Dashboard!$E$51</definedName>
    <definedName function="false" hidden="false" name="Out_Uses_Securities_2" vbProcedure="false">Dashboard!$F$51</definedName>
    <definedName function="false" hidden="false" name="Out_Uses_Total_1" vbProcedure="false">Dashboard!$E$57</definedName>
    <definedName function="false" hidden="false" name="Out_Uses_Total_2" vbProcedure="false">Dashboard!$F$57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B_Call_Applied_1_Stored" vbProcedure="false">Dashboard!$H$106:$Y$106</definedName>
    <definedName function="false" hidden="false" name="PB_Call_Applied_2_Stored" vbProcedure="false">Dashboard!$H$107:$Y$107</definedName>
    <definedName function="false" hidden="false" name="Points_1_Stored" vbProcedure="false">Dashboard!$H$102:$Y$102</definedName>
    <definedName function="false" hidden="false" name="Points_2_Stored" vbProcedure="false">Dashboard!$H$103:$Y$103</definedName>
    <definedName function="false" hidden="false" name="Points_Decimals" vbProcedure="false">Inputs!$F$50</definedName>
    <definedName function="false" hidden="false" name="Scenario_Name" vbProcedure="false">Dashboard!$AC$12</definedName>
    <definedName function="false" hidden="false" name="Scenario_Names" vbProcedure="false">Inputs!$H$7:$Y$7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Inputs!$F$111</definedName>
    <definedName function="false" hidden="false" name="Stored_Results" vbProcedure="false">Dashboard!$H$102:$Y$135</definedName>
    <definedName function="false" hidden="false" name="Tax_1_Copy" vbProcedure="false">Calc_1!$J$117:$EO$117</definedName>
    <definedName function="false" hidden="false" name="Tax_1_Delta" vbProcedure="false">Calc_1!$I$118</definedName>
    <definedName function="false" hidden="false" name="Tax_1_Paste" vbProcedure="false">Calc_1!$J$86:$EO$86</definedName>
    <definedName function="false" hidden="false" name="Tax_2_Copy" vbProcedure="false">Calc_2!$J$117:$EO$117</definedName>
    <definedName function="false" hidden="false" name="Tax_2_Delta" vbProcedure="false">Calc_2!$I$118</definedName>
    <definedName function="false" hidden="false" name="Tax_2_Paste" vbProcedure="false">Calc_2!$J$86:$EO$86</definedName>
    <definedName function="false" hidden="false" name="Thousand" vbProcedure="false">Inputs!$F$11</definedName>
    <definedName function="false" hidden="false" name="Tolerance" vbProcedure="false">Inputs!$F$16</definedName>
    <definedName function="false" hidden="false" name="Uses_Total_1_Stored" vbProcedure="false">Dashboard!$H$120:$Y$120</definedName>
    <definedName function="false" hidden="false" name="Uses_Total_2_Stored" vbProcedure="false">Dashboard!$H$121:$Y$121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<sst xmlns="http://schemas.openxmlformats.org/spreadsheetml/2006/main" count="1288" uniqueCount="552">
  <si>
    <t xml:space="preserve">Project Bana</t>
  </si>
  <si>
    <t xml:space="preserve">50 MVA onshore wind, Ács Katódgyár – sale at COD vs hold to maturity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</si>
  <si>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</si>
  <si>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</si>
  <si>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</si>
  <si>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</si>
  <si>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</si>
  <si>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</si>
  <si>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</si>
  <si>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</si>
  <si>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</si>
  <si>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</si>
  <si>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</si>
  <si>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</si>
  <si>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</si>
  <si>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</si>
  <si>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</si>
  <si>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</si>
  <si>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</si>
  <si>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</si>
  <si>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</si>
  <si>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</si>
  <si>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</si>
  <si>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</si>
  <si>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</si>
  <si>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</si>
  <si>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</si>
  <si>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</si>
  <si>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</si>
  <si>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</si>
  <si>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</si>
  <si>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</si>
  <si>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</si>
  <si>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</si>
  <si>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</si>
  <si>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</si>
  <si>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</si>
  <si>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</si>
  <si>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</si>
  <si>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</si>
  <si>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</si>
  <si>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</si>
  <si>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</si>
  <si>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</si>
  <si>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</si>
  <si>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</si>
  <si>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</si>
  <si>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</si>
  <si>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</si>
  <si>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</si>
  <si>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</si>
  <si>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</si>
  <si>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</si>
  <si>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</si>
  <si>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</si>
  <si>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</si>
  <si>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</si>
  <si>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</si>
  <si>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</si>
  <si>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</si>
  <si>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</si>
  <si>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</si>
  <si>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</si>
  <si>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</si>
  <si>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</si>
  <si>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</si>
  <si>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</si>
  <si>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</si>
  <si>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</si>
  <si>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</si>
  <si>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</si>
  <si>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</si>
  <si>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</si>
  <si>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</si>
  <si>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</si>
  <si>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</si>
  <si>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Memo: connection right lost pro rata</t>
  </si>
  <si>
    <t xml:space="preserve">MVA</t>
  </si>
  <si>
    <t xml:space="preserve">FX</t>
  </si>
  <si>
    <t xml:space="preserve">HUF/EUR</t>
  </si>
  <si>
    <t xml:space="preserve">Grid-bottleneck energy loss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</si>
  <si>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</si>
  <si>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</si>
  <si>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</si>
  <si>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PB call paid, selected regime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</si>
  <si>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</si>
  <si>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</si>
  <si>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</si>
  <si>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</si>
  <si>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</si>
  <si>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</si>
  <si>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</si>
  <si>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</si>
  <si>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</si>
  <si>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</si>
  <si>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</si>
  <si>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</si>
  <si>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</si>
  <si>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</si>
  <si>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</si>
  <si>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</si>
  <si>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</si>
  <si>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</si>
  <si>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</si>
  <si>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</si>
  <si>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</si>
  <si>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</si>
  <si>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</si>
  <si>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Senior debt per built wind MW</t>
  </si>
  <si>
    <t xml:space="preserve">EUR m/MW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</si>
  <si>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</si>
  <si>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</si>
  <si>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</si>
  <si>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</si>
  <si>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</si>
  <si>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</si>
  <si>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</si>
  <si>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</si>
  <si>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</si>
  <si>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</si>
  <si>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</si>
  <si>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</si>
  <si>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</si>
  <si>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</si>
  <si>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</si>
  <si>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</si>
  <si>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</si>
  <si>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</si>
  <si>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</si>
  <si>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at the SPV's actual 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</si>
  <si>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</si>
  <si>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</si>
  <si>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</si>
  <si>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</si>
  <si>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</si>
  <si>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Info: DSCR for maximum debt, low</t>
  </si>
  <si>
    <t xml:space="preserve">Info: maximum debt at COD, low DSCR, no cap</t>
  </si>
  <si>
    <t xml:space="preserve">Info: maximum debt, share of total uses, low DSCR</t>
  </si>
  <si>
    <t xml:space="preserve">Info: DSCR for maximum debt, high</t>
  </si>
  <si>
    <t xml:space="preserve">Info: maximum debt at COD, high DSCR, no cap</t>
  </si>
  <si>
    <t xml:space="preserve">Info: maximum debt, share of total uses, high DSCR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</si>
  <si>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</si>
  <si>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</si>
  <si>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</si>
  <si>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</si>
  <si>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</si>
  <si>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</si>
  <si>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</si>
  <si>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</si>
  <si>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</si>
  <si>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</si>
  <si>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</si>
  <si>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</si>
  <si>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</si>
  <si>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Points total – European turbine</t>
  </si>
  <si>
    <t xml:space="preserve">Points total – Chinese turbine</t>
  </si>
  <si>
    <t xml:space="preserve">Memo: connection right lost pro rata – European turbine</t>
  </si>
  <si>
    <t xml:space="preserve">Memo: connection right lost pro rata – Chinese turbine</t>
  </si>
  <si>
    <t xml:space="preserve">PB call paid, selected regime – European turbine</t>
  </si>
  <si>
    <t xml:space="preserve">PB call paid, selected regime – Chinese turbine</t>
  </si>
  <si>
    <t xml:space="preserve">FEP profit – sale at COD – European turbine</t>
  </si>
  <si>
    <t xml:space="preserve">FEP profit – sale at COD – Chinese turbine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</si>
  <si>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</si>
  <si>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</si>
  <si>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</si>
  <si>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</si>
  <si>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</si>
  <si>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</si>
  <si>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</si>
  <si>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</si>
  <si>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FEP NPV – hold to maturity – European turbine</t>
  </si>
  <si>
    <t xml:space="preserve">FEP NPV – hold to maturity – Chinese turbine</t>
  </si>
  <si>
    <t xml:space="preserve">Total uses – European turbine</t>
  </si>
  <si>
    <t xml:space="preserve">Total uses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</si>
  <si>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</si>
  <si>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</si>
  <si>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</si>
  <si>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</si>
  <si>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at the SPV's actual tax – European turbine</t>
  </si>
  <si>
    <t xml:space="preserve">Buyer IRR, unlevered, at the SPV's actual 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</si>
  <si>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</si>
  <si>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</si>
  <si>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Debt share of construction cost, sized – European turbine</t>
  </si>
  <si>
    <t xml:space="preserve">Debt share of construction cost, sized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</si>
  <si>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</si>
  <si>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</si>
  <si>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</si>
  <si>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</si>
  <si>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</si>
  <si>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</si>
  <si>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</si>
  <si>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</si>
  <si>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</si>
  <si>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</si>
  <si>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</si>
  <si>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</si>
  <si>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</si>
  <si>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</si>
  <si>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</si>
  <si>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</si>
  <si>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</si>
  <si>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</si>
  <si>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Robin Hood 31%</t>
  </si>
  <si>
    <t xml:space="preserve">CIT 9%</t>
  </si>
  <si>
    <t xml:space="preserve">BESS 100 MWh</t>
  </si>
  <si>
    <t xml:space="preserve">Promise all, deliver nothing</t>
  </si>
  <si>
    <t xml:space="preserve">Full cash sweep</t>
  </si>
  <si>
    <t xml:space="preserve">Raiffeisen terms</t>
  </si>
  <si>
    <t xml:space="preserve">UniCredit terms</t>
  </si>
  <si>
    <t xml:space="preserve">Upside: PPA 100</t>
  </si>
  <si>
    <t xml:space="preserve">Upside: PPA 105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</si>
  <si>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</si>
  <si>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</si>
  <si>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</si>
  <si>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</si>
  <si>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</si>
  <si>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</si>
  <si>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</si>
  <si>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</si>
  <si>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</si>
  <si>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</si>
  <si>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</si>
  <si>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</si>
  <si>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</si>
  <si>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</si>
  <si>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</si>
  <si>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</si>
  <si>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</si>
  <si>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</si>
  <si>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</si>
  <si>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</si>
  <si>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</si>
  <si>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</si>
  <si>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</si>
  <si>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</si>
  <si>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</si>
  <si>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</si>
  <si>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</si>
  <si>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</si>
  <si>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</si>
  <si>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</si>
  <si>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</si>
  <si>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</si>
  <si>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</si>
  <si>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</si>
  <si>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</si>
  <si>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</si>
  <si>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</si>
  <si>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</si>
  <si>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</si>
  <si>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</si>
  <si>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</si>
  <si>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</si>
  <si>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</si>
  <si>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</si>
  <si>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</si>
  <si>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</si>
  <si>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</si>
  <si>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</si>
  <si>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</si>
  <si>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</si>
  <si>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</si>
  <si>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</si>
  <si>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</si>
  <si>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</si>
  <si>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</si>
  <si>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tax: 9 % + possible Pillar Two top-up (proxy)</t>
  </si>
  <si>
    <t xml:space="preserve">User 14-Oct-26; set 11: Tao. 19. §</t>
  </si>
  <si>
    <t xml:space="preserve">Robin Hood tax applies (1 = yes)</t>
  </si>
  <si>
    <t xml:space="preserve">User 14-Oct-26: sensitivity only (Thtv.)</t>
  </si>
  <si>
    <t xml:space="preserve">Robin Hood tax on positive pre-tax profit</t>
  </si>
  <si>
    <t xml:space="preserve">Thtv.; 41 % to 2025, 31 % from 2026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</si>
  <si>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</si>
  <si>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</si>
  <si>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</si>
  <si>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</si>
  <si>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</si>
  <si>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</si>
  <si>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</si>
  <si>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</si>
  <si>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</si>
  <si>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</si>
  <si>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</si>
  <si>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</si>
  <si>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MEKH Annex 1; Bana v3 Inputs E281</t>
  </si>
  <si>
    <t xml:space="preserve">Overbuild built, share of MVA (bid: Dashboard)</t>
  </si>
  <si>
    <t xml:space="preserve">Zero bid: no overbuild or BESS, minimum ÖSZ-1/2 (1 = yes)</t>
  </si>
  <si>
    <t xml:space="preserve">Kiírás fn 1: 10 k€/MW, 2 €/MWh may be mandatory</t>
  </si>
  <si>
    <t xml:space="preserve">Commitments delivered (0 = none: no municipal, community, EU kit)</t>
  </si>
  <si>
    <t xml:space="preserve">User 15-Oct-26</t>
  </si>
  <si>
    <t xml:space="preserve">BESS commitment, share of MVA (0 = Dashboard bid)</t>
  </si>
  <si>
    <t xml:space="preserve">User 15-Oct-26: 100 MWh = 25 MW x 4 h</t>
  </si>
  <si>
    <t xml:space="preserve">Energy lost on overbuilt MW</t>
  </si>
  <si>
    <t xml:space="preserve">Bora!N18 (as Bora)</t>
  </si>
  <si>
    <t xml:space="preserve">BESS built (1 = yes)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</si>
  <si>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</si>
  <si>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</si>
  <si>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</si>
  <si>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</si>
  <si>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</si>
  <si>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</si>
  <si>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</si>
  <si>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</si>
  <si>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</si>
  <si>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</si>
  <si>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</si>
  <si>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</si>
  <si>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</si>
  <si>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</si>
  <si>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</si>
  <si>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</si>
  <si>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</si>
  <si>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</si>
  <si>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</si>
  <si>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</si>
  <si>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</si>
  <si>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</si>
  <si>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</si>
  <si>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</si>
  <si>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</si>
  <si>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</si>
  <si>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</si>
  <si>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</si>
  <si>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</si>
  <si>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</si>
  <si>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</si>
  <si>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</si>
  <si>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</si>
  <si>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</si>
  <si>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</si>
  <si>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</si>
  <si>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</si>
  <si>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</si>
  <si>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</si>
  <si>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</si>
  <si>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</si>
  <si>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</si>
  <si>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</si>
  <si>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EUR k/MWh</t>
  </si>
  <si>
    <t xml:space="preserve">Operations</t>
  </si>
  <si>
    <t xml:space="preserve">User 13-Oct-26; upside 2,850 h (EYA not in data room)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</si>
  <si>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</si>
  <si>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</si>
  <si>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</si>
  <si>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</si>
  <si>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</si>
  <si>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</si>
  <si>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</si>
  <si>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</si>
  <si>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</si>
  <si>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</si>
  <si>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</si>
  <si>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</si>
  <si>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</si>
  <si>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</si>
  <si>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</si>
  <si>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</si>
  <si>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</si>
  <si>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</si>
  <si>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</si>
  <si>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</si>
  <si>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</si>
  <si>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</si>
  <si>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</si>
  <si>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</si>
  <si>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</si>
  <si>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</si>
  <si>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of construction cost (LTC), both routes</t>
  </si>
  <si>
    <t xml:space="preserve">User 14-Oct-26; bank sets 70 % cap; upside 60 %</t>
  </si>
  <si>
    <t xml:space="preserve">Debt per built wind MW (0 = gearing only)</t>
  </si>
  <si>
    <t xml:space="preserve">Raiffeisen 0.9 M€/MW; UniCredit pro rata 12y/1.30x</t>
  </si>
  <si>
    <t xml:space="preserve">Cash sweep, share of cash after debt service</t>
  </si>
  <si>
    <t xml:space="preserve">Raiffeisen: significant, up to full</t>
  </si>
  <si>
    <t xml:space="preserve">User 14-Oct-26</t>
  </si>
  <si>
    <t xml:space="preserve">Minimum DSCR on PPA revenue (sizing)</t>
  </si>
  <si>
    <t xml:space="preserve">Raiffeisen 1.20x; UniCredit 1.30x</t>
  </si>
  <si>
    <t xml:space="preserve">Annuity tenor from COD</t>
  </si>
  <si>
    <t xml:space="preserve">Raiffeisen 15 y; UniCredit 12 y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</si>
  <si>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</si>
  <si>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</si>
  <si>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</si>
  <si>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</si>
  <si>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</si>
  <si>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</si>
  <si>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</si>
  <si>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</si>
  <si>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</si>
  <si>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</si>
  <si>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</si>
  <si>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</si>
  <si>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</si>
  <si>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</si>
  <si>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</si>
  <si>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</si>
  <si>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</si>
  <si>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</si>
  <si>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</si>
  <si>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</si>
  <si>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</si>
  <si>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</si>
  <si>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</si>
  <si>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</si>
  <si>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</si>
  <si>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</si>
  <si>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</si>
  <si>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</si>
  <si>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</si>
  <si>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</si>
  <si>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</si>
  <si>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</si>
  <si>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</si>
  <si>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</si>
  <si>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</si>
  <si>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</si>
  <si>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</si>
  <si>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</si>
  <si>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</si>
  <si>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</si>
  <si>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</si>
  <si>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</si>
  <si>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</si>
  <si>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</si>
  <si>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</si>
  <si>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</si>
  <si>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</si>
  <si>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</si>
  <si>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</si>
  <si>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</si>
  <si>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COD column on the timeline (buyer IRR start)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</si>
  <si>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</si>
  <si>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</si>
  <si>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</si>
  <si>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</si>
  <si>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</si>
  <si>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</si>
  <si>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</si>
  <si>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</si>
  <si>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power, share of MVA (bid, or the set's commitment)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</si>
  <si>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</si>
  <si>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</si>
  <si>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</si>
  <si>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</si>
  <si>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Memo: connection right lost pro rata (GYIK 28/30)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</si>
  <si>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</si>
  <si>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</si>
  <si>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</si>
  <si>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</si>
  <si>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</si>
  <si>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</si>
  <si>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</si>
  <si>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</si>
  <si>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</si>
  <si>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</si>
  <si>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European turbines installed (bid and delivered)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</si>
  <si>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</si>
  <si>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</si>
  <si>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</si>
  <si>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</si>
  <si>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</si>
  <si>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</si>
  <si>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</si>
  <si>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</si>
  <si>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</si>
  <si>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</si>
  <si>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</si>
  <si>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</si>
  <si>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</si>
  <si>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</si>
  <si>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</si>
  <si>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</si>
  <si>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</si>
  <si>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</si>
  <si>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</si>
  <si>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</si>
  <si>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</si>
  <si>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</si>
  <si>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</si>
  <si>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</si>
  <si>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</si>
  <si>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</si>
  <si>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</si>
  <si>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</si>
  <si>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</si>
  <si>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</si>
  <si>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</si>
  <si>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</si>
  <si>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</si>
  <si>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</si>
  <si>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CFADS ÷ target DSCR (E: annuity debt capacity, F: lowest quarter)</t>
  </si>
  <si>
    <t xml:space="preserve">Debt quantum: per built wind MW (off: whole cost)</t>
  </si>
  <si>
    <t xml:space="preserve">Debt share of construction cost (E), share of capacity used (F)</t>
  </si>
  <si>
    <t xml:space="preserve">Debt at COD (E) and level annuity per quarter (F)</t>
  </si>
  <si>
    <t xml:space="preserve">Interest paid</t>
  </si>
  <si>
    <t xml:space="preserve">Scheduled repayment (annuity)</t>
  </si>
  <si>
    <t xml:space="preserve">Scheduled debt service</t>
  </si>
  <si>
    <t xml:space="preserve">Cash sweep</t>
  </si>
  <si>
    <t xml:space="preserve">Debt service incl. sweep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</si>
  <si>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</si>
  <si>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</si>
  <si>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</si>
  <si>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</si>
  <si>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</si>
  <si>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</si>
  <si>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</si>
  <si>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</si>
  <si>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on scheduled debt service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</si>
  <si>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</si>
  <si>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</si>
  <si>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</si>
  <si>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</si>
  <si>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</si>
  <si>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</si>
  <si>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</si>
  <si>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</si>
  <si>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</si>
  <si>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</si>
  <si>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</si>
  <si>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</si>
  <si>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Info: maximum debt at COD, no cap (E: low, F: high DSCR)</t>
  </si>
  <si>
    <t xml:space="preserve">Info: maximum debt, share of total uses (E: low, F: high)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</si>
  <si>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</si>
  <si>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</si>
  <si>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</si>
  <si>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</si>
  <si>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</si>
  <si>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price net of any PB call,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</si>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</sst>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1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25" min="8" style="1" width="12"/>
    <col collapsed="false" customWidth="true" hidden="false" outlineLevel="0" max="26" min="26" style="1" width="3"/>
    <col collapsed="false" customWidth="true" hidden="false" outlineLevel="0" max="27" min="27" style="1" width="34"/>
    <col collapsed="false" customWidth="true" hidden="false" outlineLevel="0" max="28" min="28" style="1" width="10"/>
    <col collapsed="false" customWidth="true" hidden="false" outlineLevel="0" max="29" min="29" style="1" width="12"/>
    <col collapsed="false" customWidth="false" hidden="true" outlineLevel="1" max="16384" min="30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46313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AA9" s="8" t="s">
        <v>11</v>
      </c>
      <c r="AB9" s="8" t="s">
        <v>8</v>
      </c>
      <c r="AC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AA11" s="10" t="s">
        <v>5</v>
      </c>
      <c r="AB11" s="10"/>
      <c r="AC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Calc_1!$F$34</f>
        <v>20</v>
      </c>
      <c r="J12" s="15" t="n">
        <f aca="false">Calc_2!$F$34</f>
        <v>20</v>
      </c>
      <c r="AA12" s="14" t="s">
        <v>5</v>
      </c>
      <c r="AB12" s="12" t="s">
        <v>21</v>
      </c>
      <c r="AC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Calc_1!$F$35</f>
        <v>15</v>
      </c>
      <c r="J13" s="15" t="n">
        <f aca="false">Calc_2!$F$35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Calc_1!$F$36</f>
        <v>5</v>
      </c>
      <c r="J14" s="15" t="n">
        <f aca="false">Calc_2!$F$36</f>
        <v>5</v>
      </c>
      <c r="AA14" s="10" t="s">
        <v>29</v>
      </c>
      <c r="AB14" s="10"/>
      <c r="AC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Calc_1!$F$37</f>
        <v>7.5</v>
      </c>
      <c r="J15" s="15" t="n">
        <f aca="false">Calc_2!$F$37</f>
        <v>7.5</v>
      </c>
      <c r="AA15" s="14" t="s">
        <v>32</v>
      </c>
      <c r="AB15" s="12" t="s">
        <v>33</v>
      </c>
      <c r="AC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AA16" s="14" t="s">
        <v>37</v>
      </c>
      <c r="AB16" s="12" t="s">
        <v>38</v>
      </c>
      <c r="AC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Calc_1!$F$39</f>
        <v>0</v>
      </c>
      <c r="J17" s="15" t="n">
        <f aca="false">Calc_2!$F$39</f>
        <v>0</v>
      </c>
      <c r="AA17" s="14" t="s">
        <v>41</v>
      </c>
      <c r="AB17" s="12" t="s">
        <v>27</v>
      </c>
      <c r="AC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Calc_1!$F$38</f>
        <v>0</v>
      </c>
      <c r="J18" s="15" t="n">
        <f aca="false">Calc_2!$F$38</f>
        <v>0</v>
      </c>
      <c r="AA18" s="14" t="s">
        <v>45</v>
      </c>
      <c r="AB18" s="12" t="s">
        <v>43</v>
      </c>
      <c r="AC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Calc_1!$F$40</f>
        <v>0</v>
      </c>
      <c r="J19" s="15" t="n">
        <f aca="false">Calc_2!$F$40</f>
        <v>0</v>
      </c>
      <c r="AA19" s="14" t="s">
        <v>47</v>
      </c>
      <c r="AB19" s="12" t="s">
        <v>19</v>
      </c>
      <c r="AC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Calc_1!$F$41</f>
        <v>12</v>
      </c>
      <c r="J20" s="15" t="n">
        <f aca="false">Calc_2!$F$41</f>
        <v>0</v>
      </c>
      <c r="AA20" s="14" t="s">
        <v>49</v>
      </c>
      <c r="AB20" s="12" t="s">
        <v>19</v>
      </c>
      <c r="AC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Calc_1!$F$42</f>
        <v>0</v>
      </c>
      <c r="J21" s="15" t="n">
        <f aca="false">Calc_2!$F$42</f>
        <v>0</v>
      </c>
      <c r="AA21" s="14" t="s">
        <v>51</v>
      </c>
      <c r="AB21" s="12" t="s">
        <v>19</v>
      </c>
      <c r="AC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Calc_1!$E43</f>
        <v>59.5</v>
      </c>
      <c r="F22" s="27" t="n">
        <f aca="false">Calc_2!$E43</f>
        <v>47.5</v>
      </c>
      <c r="AA22" s="14" t="s">
        <v>54</v>
      </c>
      <c r="AB22" s="12" t="s">
        <v>19</v>
      </c>
      <c r="AC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IF(Calc_1!$E45+Calc_1!$F45=0,"OK","CHECK")</f>
        <v>OK</v>
      </c>
      <c r="F23" s="28" t="str">
        <f aca="false">IF(Calc_2!$E45+Calc_2!$F45=0,"OK","CHECK")</f>
        <v>OK</v>
      </c>
      <c r="AA23" s="14" t="s">
        <v>56</v>
      </c>
      <c r="AB23" s="12" t="s">
        <v>57</v>
      </c>
      <c r="AC23" s="19" t="n">
        <f aca="false">In_P50_Hours</f>
        <v>2600</v>
      </c>
    </row>
    <row r="24" customFormat="false" ht="15" hidden="false" customHeight="false" outlineLevel="0" collapsed="false">
      <c r="AA24" s="1" t="s">
        <v>58</v>
      </c>
      <c r="AB24" s="12" t="s">
        <v>24</v>
      </c>
      <c r="AC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AA25" s="14" t="s">
        <v>60</v>
      </c>
      <c r="AB25" s="12" t="s">
        <v>27</v>
      </c>
      <c r="AC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Calc_1!$E25</f>
        <v>60</v>
      </c>
      <c r="F26" s="29" t="n">
        <f aca="false">Calc_2!$E25</f>
        <v>60</v>
      </c>
      <c r="AA26" s="14" t="s">
        <v>63</v>
      </c>
      <c r="AB26" s="12" t="s">
        <v>13</v>
      </c>
      <c r="AC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Calc_1!$F25</f>
        <v>55</v>
      </c>
      <c r="F27" s="29" t="n">
        <f aca="false">Calc_2!$F25</f>
        <v>55</v>
      </c>
      <c r="AA27" s="14" t="s">
        <v>65</v>
      </c>
      <c r="AB27" s="12" t="s">
        <v>66</v>
      </c>
      <c r="AC27" s="31" t="n">
        <f aca="false">In_Debt_Tenor</f>
        <v>15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Calc_1!$E27</f>
        <v>10</v>
      </c>
      <c r="F28" s="29" t="n">
        <f aca="false">Calc_2!$E27</f>
        <v>10</v>
      </c>
      <c r="AA28" s="14" t="s">
        <v>68</v>
      </c>
      <c r="AB28" s="12" t="s">
        <v>27</v>
      </c>
      <c r="AC28" s="23" t="n">
        <f aca="false">In_Gearing</f>
        <v>0.55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Calc_1!$E28</f>
        <v>40</v>
      </c>
      <c r="F29" s="29" t="n">
        <f aca="false">Calc_2!$E28</f>
        <v>40</v>
      </c>
      <c r="AA29" s="14" t="s">
        <v>71</v>
      </c>
      <c r="AB29" s="12" t="s">
        <v>27</v>
      </c>
      <c r="AC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Calc_1!$F27</f>
        <v>10</v>
      </c>
      <c r="F30" s="29" t="n">
        <f aca="false">Calc_2!$F27</f>
        <v>10</v>
      </c>
      <c r="AA30" s="14" t="s">
        <v>73</v>
      </c>
      <c r="AB30" s="12" t="s">
        <v>43</v>
      </c>
      <c r="AC30" s="25" t="n">
        <f aca="false">In_RH_On</f>
        <v>0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Calc_1!$E30</f>
        <v>0.0833333333333333</v>
      </c>
      <c r="F31" s="23" t="n">
        <f aca="false">Calc_2!$E30</f>
        <v>0.0833333333333333</v>
      </c>
      <c r="AA31" s="14" t="s">
        <v>75</v>
      </c>
      <c r="AB31" s="12" t="s">
        <v>27</v>
      </c>
      <c r="AC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77</v>
      </c>
      <c r="E32" s="29" t="n">
        <f aca="false">Calc_1!$E31</f>
        <v>0</v>
      </c>
      <c r="F32" s="29" t="n">
        <f aca="false">Calc_2!$E31</f>
        <v>0</v>
      </c>
      <c r="AA32" s="14" t="s">
        <v>78</v>
      </c>
      <c r="AB32" s="12" t="s">
        <v>79</v>
      </c>
      <c r="AC32" s="19" t="n">
        <f aca="false">In_FX</f>
        <v>365</v>
      </c>
    </row>
    <row r="33" customFormat="false" ht="15" hidden="false" customHeight="false" outlineLevel="0" collapsed="false">
      <c r="C33" s="1" t="s">
        <v>80</v>
      </c>
      <c r="D33" s="12" t="s">
        <v>27</v>
      </c>
      <c r="E33" s="32" t="n">
        <f aca="false">Calc_1!$E29</f>
        <v>0.00454545454545455</v>
      </c>
      <c r="F33" s="32" t="n">
        <f aca="false">Calc_2!$E29</f>
        <v>0.00454545454545455</v>
      </c>
    </row>
    <row r="34" customFormat="false" ht="15" hidden="false" customHeight="false" outlineLevel="0" collapsed="false">
      <c r="C34" s="1" t="s">
        <v>81</v>
      </c>
      <c r="D34" s="12" t="s">
        <v>82</v>
      </c>
      <c r="E34" s="33" t="n">
        <f aca="false">Calc_1!$E61/Thousand</f>
        <v>0</v>
      </c>
      <c r="F34" s="33" t="n">
        <f aca="false">Calc_2!$E61/Thousand</f>
        <v>0</v>
      </c>
    </row>
    <row r="35" customFormat="false" ht="15" hidden="false" customHeight="false" outlineLevel="0" collapsed="false">
      <c r="C35" s="1" t="s">
        <v>83</v>
      </c>
      <c r="D35" s="12" t="s">
        <v>82</v>
      </c>
      <c r="E35" s="33" t="n">
        <f aca="false">Calc_1!$F61/Thousand</f>
        <v>2.21643835616438</v>
      </c>
      <c r="F35" s="33" t="n">
        <f aca="false">Calc_2!$F61/Thousand</f>
        <v>2.21643835616438</v>
      </c>
    </row>
    <row r="36" customFormat="false" ht="15" hidden="false" customHeight="false" outlineLevel="0" collapsed="false">
      <c r="C36" s="1" t="s">
        <v>84</v>
      </c>
      <c r="D36" s="12" t="s">
        <v>82</v>
      </c>
      <c r="E36" s="33" t="n">
        <f aca="false">(-Calc_1!$I62)/Thousand</f>
        <v>-0</v>
      </c>
      <c r="F36" s="33" t="n">
        <f aca="false">(-Calc_2!$I62)/Thousand</f>
        <v>-0</v>
      </c>
    </row>
    <row r="38" customFormat="false" ht="15" hidden="false" customHeight="false" outlineLevel="0" collapsed="false">
      <c r="A38" s="10" t="s">
        <v>13</v>
      </c>
      <c r="B38" s="10"/>
      <c r="C38" s="10" t="s">
        <v>85</v>
      </c>
      <c r="D38" s="10"/>
      <c r="E38" s="11" t="s">
        <v>9</v>
      </c>
      <c r="F38" s="11" t="s">
        <v>10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customFormat="false" ht="15" hidden="false" customHeight="false" outlineLevel="0" collapsed="false">
      <c r="C39" s="1" t="s">
        <v>86</v>
      </c>
      <c r="D39" s="12" t="s">
        <v>82</v>
      </c>
      <c r="E39" s="33" t="n">
        <f aca="false">Calc_1!$I139/Thousand</f>
        <v>20.2080757486889</v>
      </c>
      <c r="F39" s="33" t="n">
        <f aca="false">Calc_2!$I139/Thousand</f>
        <v>29.3908657004839</v>
      </c>
    </row>
    <row r="40" customFormat="false" ht="15" hidden="false" customHeight="false" outlineLevel="0" collapsed="false">
      <c r="C40" s="26" t="s">
        <v>87</v>
      </c>
      <c r="D40" s="12" t="s">
        <v>27</v>
      </c>
      <c r="E40" s="34" t="n">
        <f aca="false">Calc_1!$E140</f>
        <v>0.2632612602034</v>
      </c>
      <c r="F40" s="34" t="n">
        <f aca="false">Calc_2!$E140</f>
        <v>0.410318082809979</v>
      </c>
    </row>
    <row r="41" customFormat="false" ht="15" hidden="false" customHeight="false" outlineLevel="0" collapsed="false">
      <c r="C41" s="1" t="s">
        <v>88</v>
      </c>
      <c r="D41" s="12" t="s">
        <v>13</v>
      </c>
      <c r="E41" s="30" t="n">
        <f aca="false">Calc_1!$E141</f>
        <v>1.37165010901922</v>
      </c>
      <c r="F41" s="30" t="n">
        <f aca="false">Calc_2!$E141</f>
        <v>1.70504013744302</v>
      </c>
    </row>
    <row r="42" customFormat="false" ht="15" hidden="false" customHeight="false" outlineLevel="0" collapsed="false">
      <c r="C42" s="1" t="s">
        <v>89</v>
      </c>
      <c r="D42" s="12" t="s">
        <v>82</v>
      </c>
      <c r="E42" s="33" t="n">
        <f aca="false">Calc_1!$E142/Thousand</f>
        <v>10.9902192290749</v>
      </c>
      <c r="F42" s="33" t="n">
        <f aca="false">Calc_2!$E142/Thousand</f>
        <v>18.5604545699145</v>
      </c>
    </row>
    <row r="43" customFormat="false" ht="15" hidden="false" customHeight="false" outlineLevel="0" collapsed="false">
      <c r="C43" s="1" t="s">
        <v>90</v>
      </c>
      <c r="D43" s="12" t="s">
        <v>82</v>
      </c>
      <c r="E43" s="33" t="n">
        <f aca="false">Calc_1!$I152/Thousand</f>
        <v>133.102206905504</v>
      </c>
      <c r="F43" s="33" t="n">
        <f aca="false">Calc_2!$I152/Thousand</f>
        <v>162.986544729022</v>
      </c>
    </row>
    <row r="44" customFormat="false" ht="15" hidden="false" customHeight="false" outlineLevel="0" collapsed="false">
      <c r="C44" s="26" t="s">
        <v>91</v>
      </c>
      <c r="D44" s="12" t="s">
        <v>27</v>
      </c>
      <c r="E44" s="34" t="n">
        <f aca="false">Calc_1!$E153</f>
        <v>0.0758104971930004</v>
      </c>
      <c r="F44" s="34" t="n">
        <f aca="false">Calc_2!$E153</f>
        <v>0.113692971306157</v>
      </c>
    </row>
    <row r="45" customFormat="false" ht="15" hidden="false" customHeight="false" outlineLevel="0" collapsed="false">
      <c r="C45" s="1" t="s">
        <v>92</v>
      </c>
      <c r="D45" s="12" t="s">
        <v>13</v>
      </c>
      <c r="E45" s="30" t="n">
        <f aca="false">Calc_1!$E154</f>
        <v>3.3862485569113</v>
      </c>
      <c r="F45" s="30" t="n">
        <f aca="false">Calc_2!$E154</f>
        <v>4.8152979942002</v>
      </c>
    </row>
    <row r="46" customFormat="false" ht="15" hidden="false" customHeight="false" outlineLevel="0" collapsed="false">
      <c r="C46" s="1" t="s">
        <v>93</v>
      </c>
      <c r="D46" s="12" t="s">
        <v>82</v>
      </c>
      <c r="E46" s="33" t="n">
        <f aca="false">Calc_1!$E155/Thousand</f>
        <v>-2.42756798606144</v>
      </c>
      <c r="F46" s="33" t="n">
        <f aca="false">Calc_2!$E155/Thousand</f>
        <v>15.7371730773708</v>
      </c>
    </row>
    <row r="47" customFormat="false" ht="15" hidden="false" customHeight="false" outlineLevel="0" collapsed="false">
      <c r="C47" s="1" t="s">
        <v>94</v>
      </c>
      <c r="D47" s="12" t="s">
        <v>27</v>
      </c>
      <c r="E47" s="23" t="n">
        <f aca="false">Calc_1!$E151</f>
        <v>0.0699903583029334</v>
      </c>
      <c r="F47" s="23" t="n">
        <f aca="false">Calc_2!$E151</f>
        <v>0.0959991268999354</v>
      </c>
    </row>
    <row r="49" customFormat="false" ht="15" hidden="false" customHeight="false" outlineLevel="0" collapsed="false">
      <c r="A49" s="10" t="s">
        <v>13</v>
      </c>
      <c r="B49" s="10"/>
      <c r="C49" s="10" t="s">
        <v>95</v>
      </c>
      <c r="D49" s="10"/>
      <c r="E49" s="11" t="s">
        <v>9</v>
      </c>
      <c r="F49" s="11" t="s">
        <v>10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customFormat="false" ht="15" hidden="false" customHeight="false" outlineLevel="0" collapsed="false">
      <c r="C50" s="1" t="s">
        <v>96</v>
      </c>
      <c r="D50" s="12" t="s">
        <v>82</v>
      </c>
      <c r="E50" s="33" t="n">
        <f aca="false">Calc_1!$E121/Thousand</f>
        <v>5.15</v>
      </c>
      <c r="F50" s="33" t="n">
        <f aca="false">Calc_2!$E121/Thousand</f>
        <v>5.15</v>
      </c>
    </row>
    <row r="51" customFormat="false" ht="15" hidden="false" customHeight="false" outlineLevel="0" collapsed="false">
      <c r="C51" s="1" t="s">
        <v>97</v>
      </c>
      <c r="D51" s="12" t="s">
        <v>82</v>
      </c>
      <c r="E51" s="33" t="n">
        <f aca="false">Calc_1!$E122/Thousand</f>
        <v>1.11492155376243</v>
      </c>
      <c r="F51" s="33" t="n">
        <f aca="false">Calc_2!$E122/Thousand</f>
        <v>1.11492155376243</v>
      </c>
    </row>
    <row r="52" customFormat="false" ht="15" hidden="false" customHeight="false" outlineLevel="0" collapsed="false">
      <c r="C52" s="1" t="s">
        <v>98</v>
      </c>
      <c r="D52" s="12" t="s">
        <v>82</v>
      </c>
      <c r="E52" s="33" t="n">
        <f aca="false">Calc_1!$E123/Thousand</f>
        <v>91.96375</v>
      </c>
      <c r="F52" s="33" t="n">
        <f aca="false">Calc_2!$E123/Thousand</f>
        <v>64.71625</v>
      </c>
    </row>
    <row r="53" customFormat="false" ht="15" hidden="false" customHeight="false" outlineLevel="0" collapsed="false">
      <c r="C53" s="1" t="s">
        <v>99</v>
      </c>
      <c r="D53" s="12" t="s">
        <v>82</v>
      </c>
      <c r="E53" s="33" t="n">
        <f aca="false">Calc_1!$E124/Thousand</f>
        <v>8.15482315068493</v>
      </c>
      <c r="F53" s="33" t="n">
        <f aca="false">Calc_2!$E124/Thousand</f>
        <v>8.15482315068493</v>
      </c>
    </row>
    <row r="54" customFormat="false" ht="15" hidden="false" customHeight="false" outlineLevel="0" collapsed="false">
      <c r="C54" s="1" t="s">
        <v>100</v>
      </c>
      <c r="D54" s="12" t="s">
        <v>82</v>
      </c>
      <c r="E54" s="33" t="n">
        <f aca="false">Calc_1!$E125/Thousand</f>
        <v>2.5</v>
      </c>
      <c r="F54" s="33" t="n">
        <f aca="false">Calc_2!$E125/Thousand</f>
        <v>2.5</v>
      </c>
    </row>
    <row r="55" customFormat="false" ht="15" hidden="false" customHeight="false" outlineLevel="0" collapsed="false">
      <c r="C55" s="1" t="s">
        <v>101</v>
      </c>
      <c r="D55" s="12" t="s">
        <v>82</v>
      </c>
      <c r="E55" s="33" t="n">
        <f aca="false">Calc_1!$E126/Thousand</f>
        <v>4.20575934932964</v>
      </c>
      <c r="F55" s="33" t="n">
        <f aca="false">Calc_2!$E126/Thousand</f>
        <v>3.10796939753469</v>
      </c>
    </row>
    <row r="56" customFormat="false" ht="15" hidden="false" customHeight="false" outlineLevel="0" collapsed="false">
      <c r="C56" s="1" t="s">
        <v>102</v>
      </c>
      <c r="D56" s="12" t="s">
        <v>82</v>
      </c>
      <c r="E56" s="33" t="n">
        <f aca="false">Calc_1!$E127/Thousand</f>
        <v>0.340170197534084</v>
      </c>
      <c r="F56" s="33" t="n">
        <f aca="false">Calc_2!$E127/Thousand</f>
        <v>0.340170197534084</v>
      </c>
    </row>
    <row r="57" customFormat="false" ht="15" hidden="false" customHeight="false" outlineLevel="0" collapsed="false">
      <c r="C57" s="26" t="s">
        <v>103</v>
      </c>
      <c r="D57" s="12" t="s">
        <v>82</v>
      </c>
      <c r="E57" s="27" t="n">
        <f aca="false">Calc_1!$E128/Thousand</f>
        <v>113.429424251311</v>
      </c>
      <c r="F57" s="27" t="n">
        <f aca="false">Calc_2!$E128/Thousand</f>
        <v>85.0841342995161</v>
      </c>
    </row>
    <row r="58" customFormat="false" ht="15" hidden="false" customHeight="false" outlineLevel="0" collapsed="false">
      <c r="C58" s="1" t="s">
        <v>104</v>
      </c>
      <c r="D58" s="12" t="s">
        <v>82</v>
      </c>
      <c r="E58" s="33" t="n">
        <f aca="false">Calc_1!$E103/Thousand</f>
        <v>59.0554976513219</v>
      </c>
      <c r="F58" s="33" t="n">
        <f aca="false">Calc_2!$E103/Thousand</f>
        <v>43.3973364285807</v>
      </c>
    </row>
    <row r="59" customFormat="false" ht="15" hidden="false" customHeight="false" outlineLevel="0" collapsed="false">
      <c r="C59" s="26" t="s">
        <v>105</v>
      </c>
      <c r="D59" s="12" t="s">
        <v>82</v>
      </c>
      <c r="E59" s="27" t="n">
        <f aca="false">Calc_1!$E129/Thousand</f>
        <v>54.3739265999892</v>
      </c>
      <c r="F59" s="27" t="n">
        <f aca="false">Calc_2!$E129/Thousand</f>
        <v>41.6867978709354</v>
      </c>
    </row>
    <row r="60" customFormat="false" ht="15" hidden="false" customHeight="false" outlineLevel="0" collapsed="false">
      <c r="C60" s="1" t="s">
        <v>106</v>
      </c>
      <c r="D60" s="12" t="s">
        <v>82</v>
      </c>
      <c r="E60" s="33" t="n">
        <f aca="false">Calc_1!$F129/Thousand</f>
        <v>55.7788527603293</v>
      </c>
      <c r="F60" s="33" t="n">
        <f aca="false">Calc_2!$F129/Thousand</f>
        <v>42.7192174705056</v>
      </c>
    </row>
    <row r="61" customFormat="false" ht="15" hidden="false" customHeight="false" outlineLevel="0" collapsed="false">
      <c r="C61" s="1" t="s">
        <v>107</v>
      </c>
      <c r="D61" s="12" t="s">
        <v>27</v>
      </c>
      <c r="E61" s="23" t="n">
        <f aca="false">Calc_1!$E130</f>
        <v>0.520636493053868</v>
      </c>
      <c r="F61" s="23" t="n">
        <f aca="false">Calc_2!$E130</f>
        <v>0.510052041850856</v>
      </c>
    </row>
    <row r="62" customFormat="false" ht="15" hidden="false" customHeight="false" outlineLevel="0" collapsed="false">
      <c r="C62" s="1" t="s">
        <v>108</v>
      </c>
      <c r="D62" s="12" t="s">
        <v>109</v>
      </c>
      <c r="E62" s="33" t="n">
        <f aca="false">(Calc_1!$E103/Calc_1!$F25)/Thousand</f>
        <v>1.07373632093313</v>
      </c>
      <c r="F62" s="33" t="n">
        <f aca="false">(Calc_2!$E103/Calc_2!$F25)/Thousand</f>
        <v>0.789042480519649</v>
      </c>
    </row>
    <row r="64" customFormat="false" ht="15" hidden="false" customHeight="false" outlineLevel="0" collapsed="false">
      <c r="A64" s="10" t="s">
        <v>13</v>
      </c>
      <c r="B64" s="10"/>
      <c r="C64" s="10" t="s">
        <v>110</v>
      </c>
      <c r="D64" s="10"/>
      <c r="E64" s="11" t="s">
        <v>9</v>
      </c>
      <c r="F64" s="11" t="s">
        <v>10</v>
      </c>
      <c r="G64" s="10"/>
      <c r="H64" s="11" t="s">
        <v>111</v>
      </c>
      <c r="I64" s="11" t="s">
        <v>112</v>
      </c>
      <c r="J64" s="11" t="s">
        <v>113</v>
      </c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customFormat="false" ht="15" hidden="false" customHeight="false" outlineLevel="0" collapsed="false">
      <c r="C65" s="1" t="s">
        <v>114</v>
      </c>
      <c r="D65" s="12" t="s">
        <v>82</v>
      </c>
      <c r="E65" s="35" t="n">
        <f aca="false">Calc_1!$E52/Thousand</f>
        <v>0.00821917808219178</v>
      </c>
      <c r="F65" s="35" t="n">
        <f aca="false">Calc_2!$E52/Thousand</f>
        <v>0.00821917808219178</v>
      </c>
      <c r="H65" s="14" t="s">
        <v>115</v>
      </c>
      <c r="I65" s="21" t="n">
        <f aca="false">In_Bid_Date</f>
        <v>46325</v>
      </c>
      <c r="J65" s="36" t="s">
        <v>116</v>
      </c>
    </row>
    <row r="66" customFormat="false" ht="15" hidden="false" customHeight="false" outlineLevel="0" collapsed="false">
      <c r="C66" s="1" t="s">
        <v>117</v>
      </c>
      <c r="D66" s="12" t="s">
        <v>82</v>
      </c>
      <c r="E66" s="35" t="n">
        <f aca="false">Calc_1!$E53/Thousand</f>
        <v>0.443287671232877</v>
      </c>
      <c r="F66" s="35" t="n">
        <f aca="false">Calc_2!$E53/Thousand</f>
        <v>0.443287671232877</v>
      </c>
      <c r="H66" s="14" t="s">
        <v>118</v>
      </c>
      <c r="I66" s="21" t="n">
        <f aca="false">In_Bid_Date</f>
        <v>46325</v>
      </c>
      <c r="J66" s="21" t="n">
        <f aca="false">Calc_1!$F$54</f>
        <v>46433</v>
      </c>
    </row>
    <row r="67" customFormat="false" ht="15" hidden="false" customHeight="false" outlineLevel="0" collapsed="false">
      <c r="C67" s="1" t="s">
        <v>119</v>
      </c>
      <c r="D67" s="12" t="s">
        <v>82</v>
      </c>
      <c r="E67" s="35" t="n">
        <f aca="false">Calc_1!$E54/Thousand</f>
        <v>2.21643835616438</v>
      </c>
      <c r="F67" s="35" t="n">
        <f aca="false">Calc_2!$E54/Thousand</f>
        <v>2.21643835616438</v>
      </c>
      <c r="H67" s="14" t="s">
        <v>118</v>
      </c>
      <c r="I67" s="21" t="n">
        <f aca="false">Calc_1!$F$54</f>
        <v>46433</v>
      </c>
      <c r="J67" s="21" t="n">
        <f aca="false">In_PB_Release</f>
        <v>48669</v>
      </c>
    </row>
    <row r="68" customFormat="false" ht="15" hidden="false" customHeight="false" outlineLevel="0" collapsed="false">
      <c r="C68" s="1" t="s">
        <v>120</v>
      </c>
      <c r="D68" s="12" t="s">
        <v>82</v>
      </c>
      <c r="E68" s="35" t="n">
        <f aca="false">Calc_1!$E55/Thousand</f>
        <v>0.616438356164384</v>
      </c>
      <c r="F68" s="35" t="n">
        <f aca="false">Calc_2!$E55/Thousand</f>
        <v>0.616438356164384</v>
      </c>
      <c r="H68" s="14" t="s">
        <v>115</v>
      </c>
      <c r="I68" s="21" t="n">
        <f aca="false">Calc_1!$F$54</f>
        <v>46433</v>
      </c>
      <c r="J68" s="36" t="s">
        <v>121</v>
      </c>
    </row>
    <row r="69" customFormat="false" ht="15" hidden="false" customHeight="false" outlineLevel="0" collapsed="false">
      <c r="C69" s="1" t="s">
        <v>122</v>
      </c>
      <c r="D69" s="12" t="s">
        <v>82</v>
      </c>
      <c r="E69" s="35" t="n">
        <f aca="false">Calc_1!$E56/Thousand</f>
        <v>1.26027397260274</v>
      </c>
      <c r="F69" s="35" t="n">
        <f aca="false">Calc_2!$E56/Thousand</f>
        <v>1.26027397260274</v>
      </c>
      <c r="H69" s="14" t="s">
        <v>115</v>
      </c>
      <c r="I69" s="21" t="n">
        <f aca="false">In_HCSSZ_Date</f>
        <v>47126</v>
      </c>
      <c r="J69" s="36" t="s">
        <v>116</v>
      </c>
    </row>
    <row r="70" customFormat="false" ht="15" hidden="false" customHeight="false" outlineLevel="0" collapsed="false">
      <c r="C70" s="1" t="s">
        <v>123</v>
      </c>
      <c r="D70" s="12" t="s">
        <v>82</v>
      </c>
      <c r="E70" s="35" t="n">
        <f aca="false">Calc_1!$E57/Thousand</f>
        <v>6.89454917808219</v>
      </c>
      <c r="F70" s="35" t="n">
        <f aca="false">Calc_2!$E57/Thousand</f>
        <v>6.89454917808219</v>
      </c>
      <c r="H70" s="14" t="s">
        <v>115</v>
      </c>
      <c r="I70" s="21" t="n">
        <f aca="false">In_HCSSZ_Date</f>
        <v>47126</v>
      </c>
      <c r="J70" s="36" t="s">
        <v>116</v>
      </c>
    </row>
    <row r="71" customFormat="false" ht="15" hidden="false" customHeight="false" outlineLevel="0" collapsed="false">
      <c r="C71" s="1" t="s">
        <v>124</v>
      </c>
      <c r="D71" s="12" t="s">
        <v>82</v>
      </c>
      <c r="E71" s="35" t="n">
        <f aca="false">(-Calc_1!$E59)/Thousand</f>
        <v>0.490264019515857</v>
      </c>
      <c r="F71" s="35" t="n">
        <f aca="false">(-Calc_2!$E59)/Thousand</f>
        <v>0.490264019515857</v>
      </c>
    </row>
    <row r="73" customFormat="false" ht="15" hidden="false" customHeight="false" outlineLevel="0" collapsed="false">
      <c r="A73" s="10" t="s">
        <v>13</v>
      </c>
      <c r="B73" s="10"/>
      <c r="C73" s="10" t="s">
        <v>125</v>
      </c>
      <c r="D73" s="10"/>
      <c r="E73" s="11" t="s">
        <v>9</v>
      </c>
      <c r="F73" s="11" t="s">
        <v>10</v>
      </c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customFormat="false" ht="15" hidden="false" customHeight="false" outlineLevel="0" collapsed="false">
      <c r="C74" s="1" t="s">
        <v>126</v>
      </c>
      <c r="D74" s="12" t="s">
        <v>82</v>
      </c>
      <c r="E74" s="33" t="n">
        <f aca="false">Calc_1!$E136/Thousand</f>
        <v>134.1375</v>
      </c>
      <c r="F74" s="33" t="n">
        <f aca="false">Calc_2!$E136/Thousand</f>
        <v>114.975</v>
      </c>
    </row>
    <row r="75" customFormat="false" ht="15" hidden="false" customHeight="false" outlineLevel="0" collapsed="false">
      <c r="C75" s="1" t="s">
        <v>127</v>
      </c>
      <c r="D75" s="12" t="s">
        <v>82</v>
      </c>
      <c r="E75" s="33" t="n">
        <f aca="false">Calc_1!$E137/Thousand</f>
        <v>74.5820023486781</v>
      </c>
      <c r="F75" s="33" t="n">
        <f aca="false">Calc_2!$E137/Thousand</f>
        <v>71.0776635714193</v>
      </c>
    </row>
    <row r="76" customFormat="false" ht="15" hidden="false" customHeight="false" outlineLevel="0" collapsed="false">
      <c r="C76" s="1" t="s">
        <v>128</v>
      </c>
      <c r="D76" s="12" t="s">
        <v>82</v>
      </c>
      <c r="E76" s="33" t="n">
        <f aca="false">Calc_1!$E138/Thousand</f>
        <v>-0</v>
      </c>
      <c r="F76" s="33" t="n">
        <f aca="false">Calc_2!$E138/Thousand</f>
        <v>-0</v>
      </c>
    </row>
    <row r="77" customFormat="false" ht="15" hidden="false" customHeight="false" outlineLevel="0" collapsed="false">
      <c r="C77" s="26" t="s">
        <v>129</v>
      </c>
      <c r="D77" s="12" t="s">
        <v>27</v>
      </c>
      <c r="E77" s="34" t="n">
        <f aca="false">Calc_1!$E145</f>
        <v>0.0566120049273495</v>
      </c>
      <c r="F77" s="34" t="n">
        <f aca="false">Calc_2!$E145</f>
        <v>0.0695907325382153</v>
      </c>
    </row>
    <row r="78" customFormat="false" ht="15" hidden="false" customHeight="false" outlineLevel="0" collapsed="false">
      <c r="C78" s="1" t="s">
        <v>130</v>
      </c>
      <c r="D78" s="12" t="s">
        <v>27</v>
      </c>
      <c r="E78" s="23" t="n">
        <f aca="false">Calc_1!$E147</f>
        <v>0.0578758717662863</v>
      </c>
      <c r="F78" s="23" t="n">
        <f aca="false">Calc_2!$E147</f>
        <v>0.0744377625136832</v>
      </c>
    </row>
    <row r="80" customFormat="false" ht="15" hidden="false" customHeight="false" outlineLevel="0" collapsed="false">
      <c r="A80" s="10" t="s">
        <v>13</v>
      </c>
      <c r="B80" s="10"/>
      <c r="C80" s="10" t="s">
        <v>131</v>
      </c>
      <c r="D80" s="10"/>
      <c r="E80" s="11" t="s">
        <v>9</v>
      </c>
      <c r="F80" s="11" t="s">
        <v>10</v>
      </c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customFormat="false" ht="15" hidden="false" customHeight="false" outlineLevel="0" collapsed="false">
      <c r="C81" s="1" t="s">
        <v>132</v>
      </c>
      <c r="D81" s="12" t="s">
        <v>82</v>
      </c>
      <c r="E81" s="33" t="n">
        <f aca="false">Calc_1!$E88/Thousand</f>
        <v>80.1554270382471</v>
      </c>
      <c r="F81" s="33" t="n">
        <f aca="false">Calc_2!$E88/Thousand</f>
        <v>77.608308783464</v>
      </c>
    </row>
    <row r="82" customFormat="false" ht="15" hidden="false" customHeight="false" outlineLevel="0" collapsed="false">
      <c r="C82" s="1" t="s">
        <v>133</v>
      </c>
      <c r="D82" s="12" t="s">
        <v>27</v>
      </c>
      <c r="E82" s="23" t="n">
        <f aca="false">Calc_1!$E90</f>
        <v>0.55</v>
      </c>
      <c r="F82" s="23" t="n">
        <f aca="false">Calc_2!$E90</f>
        <v>0.55</v>
      </c>
    </row>
    <row r="83" customFormat="false" ht="15" hidden="false" customHeight="false" outlineLevel="0" collapsed="false">
      <c r="C83" s="1" t="s">
        <v>134</v>
      </c>
      <c r="D83" s="12" t="s">
        <v>27</v>
      </c>
      <c r="E83" s="23" t="n">
        <f aca="false">Calc_1!$F90</f>
        <v>0.736762310843194</v>
      </c>
      <c r="F83" s="23" t="n">
        <f aca="false">Calc_2!$F90</f>
        <v>0.559184153202774</v>
      </c>
    </row>
    <row r="84" customFormat="false" ht="15" hidden="false" customHeight="false" outlineLevel="0" collapsed="false">
      <c r="C84" s="1" t="s">
        <v>135</v>
      </c>
      <c r="D84" s="12" t="s">
        <v>13</v>
      </c>
      <c r="E84" s="30" t="n">
        <f aca="false">In_DSCR_Max_Low</f>
        <v>1.1</v>
      </c>
      <c r="F84" s="30" t="n">
        <f aca="false">In_DSCR_Max_Low</f>
        <v>1.1</v>
      </c>
    </row>
    <row r="85" customFormat="false" ht="15" hidden="false" customHeight="false" outlineLevel="0" collapsed="false">
      <c r="C85" s="1" t="s">
        <v>136</v>
      </c>
      <c r="D85" s="12" t="s">
        <v>82</v>
      </c>
      <c r="E85" s="33" t="n">
        <f aca="false">Calc_1!$E131/Thousand</f>
        <v>87.4422840417241</v>
      </c>
      <c r="F85" s="33" t="n">
        <f aca="false">Calc_2!$E131/Thousand</f>
        <v>84.6636095819607</v>
      </c>
    </row>
    <row r="86" customFormat="false" ht="15" hidden="false" customHeight="false" outlineLevel="0" collapsed="false">
      <c r="C86" s="1" t="s">
        <v>137</v>
      </c>
      <c r="D86" s="12" t="s">
        <v>27</v>
      </c>
      <c r="E86" s="23" t="n">
        <f aca="false">Calc_1!$E132</f>
        <v>0.770895952429322</v>
      </c>
      <c r="F86" s="23" t="n">
        <f aca="false">Calc_2!$E132</f>
        <v>0.995057542501695</v>
      </c>
    </row>
    <row r="87" customFormat="false" ht="15" hidden="false" customHeight="false" outlineLevel="0" collapsed="false">
      <c r="C87" s="1" t="s">
        <v>138</v>
      </c>
      <c r="D87" s="12" t="s">
        <v>13</v>
      </c>
      <c r="E87" s="30" t="n">
        <f aca="false">In_DSCR_Max_High</f>
        <v>1.2</v>
      </c>
      <c r="F87" s="30" t="n">
        <f aca="false">In_DSCR_Max_High</f>
        <v>1.2</v>
      </c>
    </row>
    <row r="88" customFormat="false" ht="15" hidden="false" customHeight="false" outlineLevel="0" collapsed="false">
      <c r="C88" s="1" t="s">
        <v>139</v>
      </c>
      <c r="D88" s="12" t="s">
        <v>82</v>
      </c>
      <c r="E88" s="33" t="n">
        <f aca="false">Calc_1!$F131/Thousand</f>
        <v>80.1554270382471</v>
      </c>
      <c r="F88" s="33" t="n">
        <f aca="false">Calc_2!$F131/Thousand</f>
        <v>77.608308783464</v>
      </c>
    </row>
    <row r="89" customFormat="false" ht="15" hidden="false" customHeight="false" outlineLevel="0" collapsed="false">
      <c r="C89" s="1" t="s">
        <v>140</v>
      </c>
      <c r="D89" s="12" t="s">
        <v>27</v>
      </c>
      <c r="E89" s="23" t="n">
        <f aca="false">Calc_1!$F132</f>
        <v>0.706654623060211</v>
      </c>
      <c r="F89" s="23" t="n">
        <f aca="false">Calc_2!$F132</f>
        <v>0.912136080626554</v>
      </c>
    </row>
    <row r="90" customFormat="false" ht="15" hidden="false" customHeight="false" outlineLevel="0" collapsed="false">
      <c r="C90" s="1" t="s">
        <v>141</v>
      </c>
      <c r="D90" s="12" t="s">
        <v>82</v>
      </c>
      <c r="E90" s="33" t="n">
        <f aca="false">Calc_1!$E106/Thousand</f>
        <v>1.40492616034007</v>
      </c>
      <c r="F90" s="33" t="n">
        <f aca="false">Calc_2!$E106/Thousand</f>
        <v>1.03241959957012</v>
      </c>
    </row>
    <row r="91" customFormat="false" ht="15" hidden="false" customHeight="false" outlineLevel="0" collapsed="false">
      <c r="C91" s="1" t="s">
        <v>142</v>
      </c>
      <c r="D91" s="12" t="s">
        <v>13</v>
      </c>
      <c r="E91" s="30" t="n">
        <f aca="false">Calc_1!$E107</f>
        <v>1.62874780962486</v>
      </c>
      <c r="F91" s="30" t="n">
        <f aca="false">Calc_2!$E107</f>
        <v>2.14598356038329</v>
      </c>
    </row>
    <row r="92" customFormat="false" ht="15" hidden="false" customHeight="false" outlineLevel="0" collapsed="false">
      <c r="C92" s="1" t="s">
        <v>143</v>
      </c>
      <c r="D92" s="12" t="s">
        <v>144</v>
      </c>
      <c r="E92" s="37" t="n">
        <f aca="false">Calc_1!$E75/Thousand</f>
        <v>139.3975128</v>
      </c>
      <c r="F92" s="37" t="n">
        <f aca="false">Calc_2!$E75/Thousand</f>
        <v>139.3975128</v>
      </c>
    </row>
    <row r="93" customFormat="false" ht="15" hidden="false" customHeight="false" outlineLevel="0" collapsed="false">
      <c r="C93" s="1" t="s">
        <v>145</v>
      </c>
      <c r="D93" s="12" t="s">
        <v>82</v>
      </c>
      <c r="E93" s="33" t="n">
        <f aca="false">Calc_1!$E76/Thousand</f>
        <v>12.67123391352</v>
      </c>
      <c r="F93" s="33" t="n">
        <f aca="false">Calc_2!$E76/Thousand</f>
        <v>12.67123391352</v>
      </c>
    </row>
    <row r="94" customFormat="false" ht="15" hidden="false" customHeight="false" outlineLevel="0" collapsed="false">
      <c r="C94" s="1" t="s">
        <v>146</v>
      </c>
      <c r="D94" s="12" t="s">
        <v>82</v>
      </c>
      <c r="E94" s="33" t="n">
        <f aca="false">Calc_1!$E83/Thousand</f>
        <v>9.55688408374485</v>
      </c>
      <c r="F94" s="33" t="n">
        <f aca="false">Calc_2!$E83/Thousand</f>
        <v>9.55688408374485</v>
      </c>
    </row>
    <row r="95" customFormat="false" ht="15" hidden="false" customHeight="false" outlineLevel="0" collapsed="false">
      <c r="C95" s="1" t="s">
        <v>147</v>
      </c>
      <c r="D95" s="12" t="s">
        <v>82</v>
      </c>
      <c r="E95" s="33" t="n">
        <f aca="false">Calc_1!$I76/Thousand</f>
        <v>420.752711777652</v>
      </c>
      <c r="F95" s="33" t="n">
        <f aca="false">Calc_2!$I76/Thousand</f>
        <v>420.752711777652</v>
      </c>
    </row>
    <row r="96" customFormat="false" ht="15" hidden="false" customHeight="false" outlineLevel="0" collapsed="false">
      <c r="C96" s="1" t="s">
        <v>148</v>
      </c>
      <c r="D96" s="12" t="s">
        <v>82</v>
      </c>
      <c r="E96" s="33" t="n">
        <f aca="false">Calc_1!$I83/Thousand</f>
        <v>295.37332772584</v>
      </c>
      <c r="F96" s="33" t="n">
        <f aca="false">Calc_2!$I83/Thousand</f>
        <v>295.37332772584</v>
      </c>
    </row>
    <row r="97" customFormat="false" ht="15" hidden="false" customHeight="false" outlineLevel="0" collapsed="false">
      <c r="C97" s="1" t="s">
        <v>149</v>
      </c>
      <c r="D97" s="12" t="s">
        <v>82</v>
      </c>
      <c r="E97" s="33" t="n">
        <f aca="false">(SUM(Calc_1!$J117:$EO117))/Thousand</f>
        <v>-23.6091468710364</v>
      </c>
      <c r="F97" s="33" t="n">
        <f aca="false">(SUM(Calc_2!$J117:$EO117))/Thousand</f>
        <v>-28.7623314227686</v>
      </c>
    </row>
    <row r="98" customFormat="false" ht="15" hidden="false" customHeight="false" outlineLevel="0" collapsed="false">
      <c r="C98" s="1" t="s">
        <v>150</v>
      </c>
      <c r="D98" s="12" t="s">
        <v>82</v>
      </c>
      <c r="E98" s="33" t="n">
        <f aca="false">(-Calc_1!$I115)/Thousand</f>
        <v>0.682958697035797</v>
      </c>
      <c r="F98" s="33" t="n">
        <f aca="false">(-Calc_2!$I115)/Thousand</f>
        <v>-0</v>
      </c>
    </row>
    <row r="99" customFormat="false" ht="15" hidden="false" customHeight="false" outlineLevel="0" collapsed="false">
      <c r="C99" s="1" t="s">
        <v>151</v>
      </c>
      <c r="D99" s="12" t="s">
        <v>152</v>
      </c>
      <c r="E99" s="31" t="n">
        <f aca="false">Model_Checks</f>
        <v>0</v>
      </c>
      <c r="F99" s="31" t="n">
        <f aca="false">Model_Checks</f>
        <v>0</v>
      </c>
    </row>
    <row r="101" customFormat="false" ht="15" hidden="false" customHeight="false" outlineLevel="0" collapsed="false">
      <c r="A101" s="10" t="s">
        <v>13</v>
      </c>
      <c r="B101" s="10"/>
      <c r="C101" s="10" t="s">
        <v>153</v>
      </c>
      <c r="D101" s="10"/>
      <c r="E101" s="11" t="s">
        <v>12</v>
      </c>
      <c r="F101" s="11"/>
      <c r="G101" s="10"/>
      <c r="H101" s="11" t="str">
        <f aca="false">Inputs!H$7</f>
        <v>Base</v>
      </c>
      <c r="I101" s="11" t="str">
        <f aca="false">Inputs!I$7</f>
        <v>COD price −10%</v>
      </c>
      <c r="J101" s="11" t="str">
        <f aca="false">Inputs!J$7</f>
        <v>COD price +10%</v>
      </c>
      <c r="K101" s="11" t="str">
        <f aca="false">Inputs!K$7</f>
        <v>Turbine +10%</v>
      </c>
      <c r="L101" s="11" t="str">
        <f aca="false">Inputs!L$7</f>
        <v>Yield −10%</v>
      </c>
      <c r="M101" s="11" t="str">
        <f aca="false">Inputs!M$7</f>
        <v>PPA +10%</v>
      </c>
      <c r="N101" s="11" t="str">
        <f aca="false">Inputs!N$7</f>
        <v>Full PB call</v>
      </c>
      <c r="O101" s="11" t="str">
        <f aca="false">Inputs!O$7</f>
        <v>Rate +1 pp</v>
      </c>
      <c r="P101" s="11" t="str">
        <f aca="false">Inputs!P$7</f>
        <v>Tenor 10 years</v>
      </c>
      <c r="Q101" s="11" t="str">
        <f aca="false">Inputs!Q$7</f>
        <v>Robin Hood 31%</v>
      </c>
      <c r="R101" s="11" t="str">
        <f aca="false">Inputs!R$7</f>
        <v>CIT 9%</v>
      </c>
      <c r="S101" s="11" t="str">
        <f aca="false">Inputs!S$7</f>
        <v>BESS 100 MWh</v>
      </c>
      <c r="T101" s="11" t="str">
        <f aca="false">Inputs!T$7</f>
        <v>Promise all, deliver nothing</v>
      </c>
      <c r="U101" s="11" t="str">
        <f aca="false">Inputs!U$7</f>
        <v>Full cash sweep</v>
      </c>
      <c r="V101" s="11" t="str">
        <f aca="false">Inputs!V$7</f>
        <v>Raiffeisen terms</v>
      </c>
      <c r="W101" s="11" t="str">
        <f aca="false">Inputs!W$7</f>
        <v>UniCredit terms</v>
      </c>
      <c r="X101" s="11" t="str">
        <f aca="false">Inputs!X$7</f>
        <v>Upside: PPA 100</v>
      </c>
      <c r="Y101" s="11" t="str">
        <f aca="false">Inputs!Y$7</f>
        <v>Upside: PPA 105</v>
      </c>
    </row>
    <row r="102" customFormat="false" ht="15" hidden="false" customHeight="false" outlineLevel="0" collapsed="false">
      <c r="C102" s="1" t="s">
        <v>154</v>
      </c>
      <c r="D102" s="12" t="s">
        <v>53</v>
      </c>
      <c r="E102" s="15" t="n">
        <f aca="false">Calc_1!$E43</f>
        <v>59.5</v>
      </c>
      <c r="H102" s="38" t="n">
        <v>59.5</v>
      </c>
      <c r="I102" s="38" t="n">
        <v>59.5</v>
      </c>
      <c r="J102" s="38" t="n">
        <v>59.5</v>
      </c>
      <c r="K102" s="38" t="n">
        <v>59.5</v>
      </c>
      <c r="L102" s="38" t="n">
        <v>59.5</v>
      </c>
      <c r="M102" s="38" t="n">
        <v>59.5</v>
      </c>
      <c r="N102" s="38" t="n">
        <v>59.5</v>
      </c>
      <c r="O102" s="38" t="n">
        <v>59.5</v>
      </c>
      <c r="P102" s="38" t="n">
        <v>59.5</v>
      </c>
      <c r="Q102" s="38" t="n">
        <v>59.5</v>
      </c>
      <c r="R102" s="38" t="n">
        <v>59.5</v>
      </c>
      <c r="S102" s="38" t="n">
        <v>65.5</v>
      </c>
      <c r="T102" s="38" t="n">
        <v>59.5</v>
      </c>
      <c r="U102" s="38" t="n">
        <v>59.5</v>
      </c>
      <c r="V102" s="38" t="n">
        <v>59.5</v>
      </c>
      <c r="W102" s="38" t="n">
        <v>59.5</v>
      </c>
      <c r="X102" s="38" t="n">
        <v>12</v>
      </c>
      <c r="Y102" s="38" t="n">
        <v>12</v>
      </c>
    </row>
    <row r="103" customFormat="false" ht="15" hidden="false" customHeight="false" outlineLevel="0" collapsed="false">
      <c r="C103" s="1" t="s">
        <v>155</v>
      </c>
      <c r="D103" s="12" t="s">
        <v>53</v>
      </c>
      <c r="E103" s="15" t="n">
        <f aca="false">Calc_2!$E43</f>
        <v>47.5</v>
      </c>
      <c r="H103" s="38" t="n">
        <v>47.5</v>
      </c>
      <c r="I103" s="38" t="n">
        <v>47.5</v>
      </c>
      <c r="J103" s="38" t="n">
        <v>47.5</v>
      </c>
      <c r="K103" s="38" t="n">
        <v>47.5</v>
      </c>
      <c r="L103" s="38" t="n">
        <v>47.5</v>
      </c>
      <c r="M103" s="38" t="n">
        <v>47.5</v>
      </c>
      <c r="N103" s="38" t="n">
        <v>47.5</v>
      </c>
      <c r="O103" s="38" t="n">
        <v>47.5</v>
      </c>
      <c r="P103" s="38" t="n">
        <v>47.5</v>
      </c>
      <c r="Q103" s="38" t="n">
        <v>47.5</v>
      </c>
      <c r="R103" s="38" t="n">
        <v>47.5</v>
      </c>
      <c r="S103" s="38" t="n">
        <v>53.5</v>
      </c>
      <c r="T103" s="38" t="n">
        <v>47.5</v>
      </c>
      <c r="U103" s="38" t="n">
        <v>47.5</v>
      </c>
      <c r="V103" s="38" t="n">
        <v>47.5</v>
      </c>
      <c r="W103" s="38" t="n">
        <v>47.5</v>
      </c>
      <c r="X103" s="38" t="n">
        <v>0</v>
      </c>
      <c r="Y103" s="38" t="n">
        <v>0</v>
      </c>
    </row>
    <row r="104" customFormat="false" ht="15" hidden="false" customHeight="false" outlineLevel="0" collapsed="false">
      <c r="C104" s="1" t="s">
        <v>156</v>
      </c>
      <c r="D104" s="12" t="s">
        <v>77</v>
      </c>
      <c r="E104" s="29" t="n">
        <f aca="false">Calc_1!$E31</f>
        <v>0</v>
      </c>
      <c r="H104" s="39" t="n">
        <v>0</v>
      </c>
      <c r="I104" s="39" t="n">
        <v>0</v>
      </c>
      <c r="J104" s="39" t="n">
        <v>0</v>
      </c>
      <c r="K104" s="39" t="n">
        <v>0</v>
      </c>
      <c r="L104" s="39" t="n">
        <v>0</v>
      </c>
      <c r="M104" s="39" t="n">
        <v>0</v>
      </c>
      <c r="N104" s="39" t="n">
        <v>0</v>
      </c>
      <c r="O104" s="39" t="n">
        <v>0</v>
      </c>
      <c r="P104" s="39" t="n">
        <v>0</v>
      </c>
      <c r="Q104" s="39" t="n">
        <v>0</v>
      </c>
      <c r="R104" s="39" t="n">
        <v>0</v>
      </c>
      <c r="S104" s="39" t="n">
        <v>0</v>
      </c>
      <c r="T104" s="39" t="n">
        <v>0</v>
      </c>
      <c r="U104" s="39" t="n">
        <v>0</v>
      </c>
      <c r="V104" s="39" t="n">
        <v>0</v>
      </c>
      <c r="W104" s="39" t="n">
        <v>0</v>
      </c>
      <c r="X104" s="39" t="n">
        <v>0</v>
      </c>
      <c r="Y104" s="39" t="n">
        <v>0</v>
      </c>
    </row>
    <row r="105" customFormat="false" ht="15" hidden="false" customHeight="false" outlineLevel="0" collapsed="false">
      <c r="C105" s="1" t="s">
        <v>157</v>
      </c>
      <c r="D105" s="12" t="s">
        <v>77</v>
      </c>
      <c r="E105" s="29" t="n">
        <f aca="false">Calc_2!$E31</f>
        <v>0</v>
      </c>
      <c r="H105" s="39" t="n">
        <v>0</v>
      </c>
      <c r="I105" s="39" t="n">
        <v>0</v>
      </c>
      <c r="J105" s="39" t="n">
        <v>0</v>
      </c>
      <c r="K105" s="39" t="n">
        <v>0</v>
      </c>
      <c r="L105" s="39" t="n">
        <v>0</v>
      </c>
      <c r="M105" s="39" t="n">
        <v>0</v>
      </c>
      <c r="N105" s="39" t="n">
        <v>0</v>
      </c>
      <c r="O105" s="39" t="n">
        <v>0</v>
      </c>
      <c r="P105" s="39" t="n">
        <v>0</v>
      </c>
      <c r="Q105" s="39" t="n">
        <v>0</v>
      </c>
      <c r="R105" s="39" t="n">
        <v>0</v>
      </c>
      <c r="S105" s="39" t="n">
        <v>0</v>
      </c>
      <c r="T105" s="39" t="n">
        <v>0</v>
      </c>
      <c r="U105" s="39" t="n">
        <v>0</v>
      </c>
      <c r="V105" s="39" t="n">
        <v>0</v>
      </c>
      <c r="W105" s="39" t="n">
        <v>0</v>
      </c>
      <c r="X105" s="39" t="n">
        <v>0</v>
      </c>
      <c r="Y105" s="39" t="n">
        <v>0</v>
      </c>
    </row>
    <row r="106" customFormat="false" ht="15" hidden="false" customHeight="false" outlineLevel="0" collapsed="false">
      <c r="C106" s="1" t="s">
        <v>158</v>
      </c>
      <c r="D106" s="12" t="s">
        <v>82</v>
      </c>
      <c r="E106" s="33" t="n">
        <f aca="false">(-Calc_1!$I62)/Thousand</f>
        <v>-0</v>
      </c>
      <c r="H106" s="38" t="n">
        <v>0</v>
      </c>
      <c r="I106" s="38" t="n">
        <v>0</v>
      </c>
      <c r="J106" s="38" t="n">
        <v>0</v>
      </c>
      <c r="K106" s="38" t="n">
        <v>0</v>
      </c>
      <c r="L106" s="38" t="n">
        <v>0</v>
      </c>
      <c r="M106" s="38" t="n">
        <v>0</v>
      </c>
      <c r="N106" s="38" t="n">
        <v>2.21643835616438</v>
      </c>
      <c r="O106" s="38" t="n">
        <v>0</v>
      </c>
      <c r="P106" s="38" t="n">
        <v>0</v>
      </c>
      <c r="Q106" s="38" t="n">
        <v>0</v>
      </c>
      <c r="R106" s="38" t="n">
        <v>0</v>
      </c>
      <c r="S106" s="38" t="n">
        <v>0</v>
      </c>
      <c r="T106" s="38" t="n">
        <v>2.21643835616438</v>
      </c>
      <c r="U106" s="38" t="n">
        <v>0</v>
      </c>
      <c r="V106" s="38" t="n">
        <v>0</v>
      </c>
      <c r="W106" s="38" t="n">
        <v>0</v>
      </c>
      <c r="X106" s="38" t="n">
        <v>0</v>
      </c>
      <c r="Y106" s="38" t="n">
        <v>0</v>
      </c>
    </row>
    <row r="107" customFormat="false" ht="15" hidden="false" customHeight="false" outlineLevel="0" collapsed="false">
      <c r="C107" s="1" t="s">
        <v>159</v>
      </c>
      <c r="D107" s="12" t="s">
        <v>82</v>
      </c>
      <c r="E107" s="33" t="n">
        <f aca="false">(-Calc_2!$I62)/Thousand</f>
        <v>-0</v>
      </c>
      <c r="H107" s="38" t="n">
        <v>0</v>
      </c>
      <c r="I107" s="38" t="n">
        <v>0</v>
      </c>
      <c r="J107" s="38" t="n">
        <v>0</v>
      </c>
      <c r="K107" s="38" t="n">
        <v>0</v>
      </c>
      <c r="L107" s="38" t="n">
        <v>0</v>
      </c>
      <c r="M107" s="38" t="n">
        <v>0</v>
      </c>
      <c r="N107" s="38" t="n">
        <v>2.21643835616438</v>
      </c>
      <c r="O107" s="38" t="n">
        <v>0</v>
      </c>
      <c r="P107" s="38" t="n">
        <v>0</v>
      </c>
      <c r="Q107" s="38" t="n">
        <v>0</v>
      </c>
      <c r="R107" s="38" t="n">
        <v>0</v>
      </c>
      <c r="S107" s="38" t="n">
        <v>0</v>
      </c>
      <c r="T107" s="38" t="n">
        <v>2.21643835616438</v>
      </c>
      <c r="U107" s="38" t="n">
        <v>0</v>
      </c>
      <c r="V107" s="38" t="n">
        <v>0</v>
      </c>
      <c r="W107" s="38" t="n">
        <v>0</v>
      </c>
      <c r="X107" s="38" t="n">
        <v>0</v>
      </c>
      <c r="Y107" s="38" t="n">
        <v>0</v>
      </c>
    </row>
    <row r="108" customFormat="false" ht="15" hidden="false" customHeight="false" outlineLevel="0" collapsed="false">
      <c r="C108" s="1" t="s">
        <v>160</v>
      </c>
      <c r="D108" s="12" t="s">
        <v>82</v>
      </c>
      <c r="E108" s="33" t="n">
        <f aca="false">Calc_1!$I139/Thousand</f>
        <v>20.2080757486889</v>
      </c>
      <c r="H108" s="38" t="n">
        <v>20.2080757486889</v>
      </c>
      <c r="I108" s="38" t="n">
        <v>6.7943257486889</v>
      </c>
      <c r="J108" s="38" t="n">
        <v>33.6218257486889</v>
      </c>
      <c r="K108" s="38" t="n">
        <v>14.5007871167764</v>
      </c>
      <c r="L108" s="38" t="n">
        <v>20.2080757486889</v>
      </c>
      <c r="M108" s="38" t="n">
        <v>20.2080757486889</v>
      </c>
      <c r="N108" s="38" t="n">
        <v>17.9916373925245</v>
      </c>
      <c r="O108" s="38" t="n">
        <v>19.6592211724788</v>
      </c>
      <c r="P108" s="38" t="n">
        <v>20.2080757486889</v>
      </c>
      <c r="Q108" s="38" t="n">
        <v>20.2080757486889</v>
      </c>
      <c r="R108" s="38" t="n">
        <v>20.2080757486889</v>
      </c>
      <c r="S108" s="38" t="n">
        <v>13.7845346366834</v>
      </c>
      <c r="T108" s="38" t="n">
        <v>28.6099224618027</v>
      </c>
      <c r="U108" s="38" t="n">
        <v>20.2080757486889</v>
      </c>
      <c r="V108" s="38" t="n">
        <v>20.8885902677913</v>
      </c>
      <c r="W108" s="38" t="n">
        <v>21.6328086208393</v>
      </c>
      <c r="X108" s="38" t="n">
        <v>21.7726581823722</v>
      </c>
      <c r="Y108" s="38" t="n">
        <v>21.7726581823722</v>
      </c>
    </row>
    <row r="109" customFormat="false" ht="15" hidden="false" customHeight="false" outlineLevel="0" collapsed="false">
      <c r="C109" s="1" t="s">
        <v>161</v>
      </c>
      <c r="D109" s="12" t="s">
        <v>82</v>
      </c>
      <c r="E109" s="33" t="n">
        <f aca="false">Calc_2!$I139/Thousand</f>
        <v>29.3908657004839</v>
      </c>
      <c r="H109" s="38" t="n">
        <v>29.3908657004839</v>
      </c>
      <c r="I109" s="38" t="n">
        <v>17.8933657004839</v>
      </c>
      <c r="J109" s="38" t="n">
        <v>40.8883657004839</v>
      </c>
      <c r="K109" s="38" t="n">
        <v>26.3870295784247</v>
      </c>
      <c r="L109" s="38" t="n">
        <v>29.3908657004839</v>
      </c>
      <c r="M109" s="38" t="n">
        <v>29.3908657004839</v>
      </c>
      <c r="N109" s="38" t="n">
        <v>27.1744273443195</v>
      </c>
      <c r="O109" s="38" t="n">
        <v>28.9829131434095</v>
      </c>
      <c r="P109" s="38" t="n">
        <v>29.3908657004839</v>
      </c>
      <c r="Q109" s="38" t="n">
        <v>29.3908657004839</v>
      </c>
      <c r="R109" s="38" t="n">
        <v>29.3908657004839</v>
      </c>
      <c r="S109" s="38" t="n">
        <v>22.9673245884784</v>
      </c>
      <c r="T109" s="38" t="n">
        <v>28.6099224618027</v>
      </c>
      <c r="U109" s="38" t="n">
        <v>29.3908657004839</v>
      </c>
      <c r="V109" s="38" t="n">
        <v>28.9538137248486</v>
      </c>
      <c r="W109" s="38" t="n">
        <v>29.7022071258511</v>
      </c>
      <c r="X109" s="38" t="n">
        <v>30.2514100208395</v>
      </c>
      <c r="Y109" s="38" t="n">
        <v>30.2514100208395</v>
      </c>
    </row>
    <row r="110" customFormat="false" ht="15" hidden="false" customHeight="false" outlineLevel="0" collapsed="false">
      <c r="C110" s="1" t="s">
        <v>162</v>
      </c>
      <c r="D110" s="12" t="s">
        <v>27</v>
      </c>
      <c r="E110" s="23" t="n">
        <f aca="false">Calc_1!$E140</f>
        <v>0.2632612602034</v>
      </c>
      <c r="H110" s="40" t="n">
        <v>0.2632612602034</v>
      </c>
      <c r="I110" s="40" t="n">
        <v>0.0971893034559214</v>
      </c>
      <c r="J110" s="40" t="n">
        <v>0.403564977303025</v>
      </c>
      <c r="K110" s="40" t="n">
        <v>0.190786177934972</v>
      </c>
      <c r="L110" s="40" t="n">
        <v>0.2632612602034</v>
      </c>
      <c r="M110" s="40" t="n">
        <v>0.2632612602034</v>
      </c>
      <c r="N110" s="40" t="n">
        <v>0.237829411719297</v>
      </c>
      <c r="O110" s="40" t="n">
        <v>0.25697697435903</v>
      </c>
      <c r="P110" s="40" t="n">
        <v>0.2632612602034</v>
      </c>
      <c r="Q110" s="40" t="n">
        <v>0.2632612602034</v>
      </c>
      <c r="R110" s="40" t="n">
        <v>0.2632612602034</v>
      </c>
      <c r="S110" s="40" t="n">
        <v>0.180970451878692</v>
      </c>
      <c r="T110" s="40" t="n">
        <v>0.419382679913985</v>
      </c>
      <c r="U110" s="40" t="n">
        <v>0.2632612602034</v>
      </c>
      <c r="V110" s="40" t="n">
        <v>0.248075895436541</v>
      </c>
      <c r="W110" s="40" t="n">
        <v>0.23404236710695</v>
      </c>
      <c r="X110" s="40" t="n">
        <v>0.312588279917967</v>
      </c>
      <c r="Y110" s="40" t="n">
        <v>0.312588279917967</v>
      </c>
    </row>
    <row r="111" customFormat="false" ht="15" hidden="false" customHeight="false" outlineLevel="0" collapsed="false">
      <c r="C111" s="1" t="s">
        <v>163</v>
      </c>
      <c r="D111" s="12" t="s">
        <v>27</v>
      </c>
      <c r="E111" s="23" t="n">
        <f aca="false">Calc_2!$E140</f>
        <v>0.410318082809979</v>
      </c>
      <c r="H111" s="40" t="n">
        <v>0.410318082809979</v>
      </c>
      <c r="I111" s="40" t="n">
        <v>0.273558608993453</v>
      </c>
      <c r="J111" s="40" t="n">
        <v>0.527449012156222</v>
      </c>
      <c r="K111" s="40" t="n">
        <v>0.371364553097074</v>
      </c>
      <c r="L111" s="40" t="n">
        <v>0.410318082809979</v>
      </c>
      <c r="M111" s="40" t="n">
        <v>0.410318082809979</v>
      </c>
      <c r="N111" s="40" t="n">
        <v>0.385684120479278</v>
      </c>
      <c r="O111" s="40" t="n">
        <v>0.405776603823075</v>
      </c>
      <c r="P111" s="40" t="n">
        <v>0.410318082809979</v>
      </c>
      <c r="Q111" s="40" t="n">
        <v>0.410318082809979</v>
      </c>
      <c r="R111" s="40" t="n">
        <v>0.410318082809979</v>
      </c>
      <c r="S111" s="40" t="n">
        <v>0.324971457742521</v>
      </c>
      <c r="T111" s="40" t="n">
        <v>0.419382679913985</v>
      </c>
      <c r="U111" s="40" t="n">
        <v>0.410318082809979</v>
      </c>
      <c r="V111" s="40" t="n">
        <v>0.430590128449621</v>
      </c>
      <c r="W111" s="40" t="n">
        <v>0.397063407929472</v>
      </c>
      <c r="X111" s="40" t="n">
        <v>0.455341012239166</v>
      </c>
      <c r="Y111" s="40" t="n">
        <v>0.455341012239166</v>
      </c>
    </row>
    <row r="112" customFormat="false" ht="15" hidden="false" customHeight="false" outlineLevel="0" collapsed="false">
      <c r="C112" s="1" t="s">
        <v>164</v>
      </c>
      <c r="D112" s="12" t="s">
        <v>13</v>
      </c>
      <c r="E112" s="30" t="n">
        <f aca="false">Calc_1!$E141</f>
        <v>1.37165010901922</v>
      </c>
      <c r="H112" s="41" t="n">
        <v>1.37165010901922</v>
      </c>
      <c r="I112" s="41" t="n">
        <v>1.1249555839267</v>
      </c>
      <c r="J112" s="41" t="n">
        <v>1.61834463411174</v>
      </c>
      <c r="K112" s="41" t="n">
        <v>1.25471945100028</v>
      </c>
      <c r="L112" s="41" t="n">
        <v>1.37165010901922</v>
      </c>
      <c r="M112" s="41" t="n">
        <v>1.37165010901922</v>
      </c>
      <c r="N112" s="41" t="n">
        <v>1.33088721962059</v>
      </c>
      <c r="O112" s="41" t="n">
        <v>1.3614932742964</v>
      </c>
      <c r="P112" s="41" t="n">
        <v>1.37165010901922</v>
      </c>
      <c r="Q112" s="41" t="n">
        <v>1.37165010901922</v>
      </c>
      <c r="R112" s="41" t="n">
        <v>1.37165010901922</v>
      </c>
      <c r="S112" s="41" t="n">
        <v>1.24036022558485</v>
      </c>
      <c r="T112" s="41" t="n">
        <v>1.78320085907633</v>
      </c>
      <c r="U112" s="41" t="n">
        <v>1.37165010901922</v>
      </c>
      <c r="V112" s="41" t="n">
        <v>1.33026008442252</v>
      </c>
      <c r="W112" s="41" t="n">
        <v>1.29652388642711</v>
      </c>
      <c r="X112" s="41" t="n">
        <v>1.4970259290592</v>
      </c>
      <c r="Y112" s="41" t="n">
        <v>1.4970259290592</v>
      </c>
    </row>
    <row r="113" customFormat="false" ht="15" hidden="false" customHeight="false" outlineLevel="0" collapsed="false">
      <c r="C113" s="1" t="s">
        <v>165</v>
      </c>
      <c r="D113" s="12" t="s">
        <v>13</v>
      </c>
      <c r="E113" s="30" t="n">
        <f aca="false">Calc_2!$E141</f>
        <v>1.70504013744302</v>
      </c>
      <c r="H113" s="41" t="n">
        <v>1.70504013744302</v>
      </c>
      <c r="I113" s="41" t="n">
        <v>1.42923339316881</v>
      </c>
      <c r="J113" s="41" t="n">
        <v>1.98084688171724</v>
      </c>
      <c r="K113" s="41" t="n">
        <v>1.61320561834386</v>
      </c>
      <c r="L113" s="41" t="n">
        <v>1.70504013744302</v>
      </c>
      <c r="M113" s="41" t="n">
        <v>1.70504013744302</v>
      </c>
      <c r="N113" s="41" t="n">
        <v>1.65187130535795</v>
      </c>
      <c r="O113" s="41" t="n">
        <v>1.69513700442128</v>
      </c>
      <c r="P113" s="41" t="n">
        <v>1.70504013744302</v>
      </c>
      <c r="Q113" s="41" t="n">
        <v>1.70504013744302</v>
      </c>
      <c r="R113" s="41" t="n">
        <v>1.70504013744302</v>
      </c>
      <c r="S113" s="41" t="n">
        <v>1.51424348395704</v>
      </c>
      <c r="T113" s="41" t="n">
        <v>1.78320085907633</v>
      </c>
      <c r="U113" s="41" t="n">
        <v>1.70504013744302</v>
      </c>
      <c r="V113" s="41" t="n">
        <v>1.80379956128269</v>
      </c>
      <c r="W113" s="41" t="n">
        <v>1.64961489136514</v>
      </c>
      <c r="X113" s="41" t="n">
        <v>1.90498050935155</v>
      </c>
      <c r="Y113" s="41" t="n">
        <v>1.90498050935155</v>
      </c>
    </row>
    <row r="114" customFormat="false" ht="15" hidden="false" customHeight="false" outlineLevel="0" collapsed="false">
      <c r="C114" s="1" t="s">
        <v>166</v>
      </c>
      <c r="D114" s="12" t="s">
        <v>27</v>
      </c>
      <c r="E114" s="23" t="n">
        <f aca="false">Calc_1!$E153</f>
        <v>0.0758104971930004</v>
      </c>
      <c r="H114" s="40" t="n">
        <v>0.0758104971930004</v>
      </c>
      <c r="I114" s="40" t="n">
        <v>0.0758104971930004</v>
      </c>
      <c r="J114" s="40" t="n">
        <v>0.0758104971930004</v>
      </c>
      <c r="K114" s="40" t="n">
        <v>0.0698007446340053</v>
      </c>
      <c r="L114" s="40" t="n">
        <v>0.0599640287033192</v>
      </c>
      <c r="M114" s="40" t="n">
        <v>0.0924461510750482</v>
      </c>
      <c r="N114" s="40" t="n">
        <v>0.0731925154994445</v>
      </c>
      <c r="O114" s="40" t="n">
        <v>0.0715192222296241</v>
      </c>
      <c r="P114" s="40" t="n">
        <v>0.072445462939454</v>
      </c>
      <c r="Q114" s="40" t="n">
        <v>0.0573531991393652</v>
      </c>
      <c r="R114" s="40" t="n">
        <v>0.0787870642948158</v>
      </c>
      <c r="S114" s="40" t="n">
        <v>0.0689114700288455</v>
      </c>
      <c r="T114" s="40" t="n">
        <v>0.12128083270735</v>
      </c>
      <c r="U114" s="40" t="n">
        <v>0.0710122133722594</v>
      </c>
      <c r="V114" s="40" t="n">
        <v>0.0740585134078263</v>
      </c>
      <c r="W114" s="40" t="n">
        <v>0.0712462533399166</v>
      </c>
      <c r="X114" s="40" t="n">
        <v>0.119202363881007</v>
      </c>
      <c r="Y114" s="40" t="n">
        <v>0.129195840383615</v>
      </c>
    </row>
    <row r="115" customFormat="false" ht="15" hidden="false" customHeight="false" outlineLevel="0" collapsed="false">
      <c r="C115" s="1" t="s">
        <v>167</v>
      </c>
      <c r="D115" s="12" t="s">
        <v>27</v>
      </c>
      <c r="E115" s="23" t="n">
        <f aca="false">Calc_2!$E153</f>
        <v>0.113692971306157</v>
      </c>
      <c r="H115" s="40" t="n">
        <v>0.113692971306157</v>
      </c>
      <c r="I115" s="40" t="n">
        <v>0.113692971306157</v>
      </c>
      <c r="J115" s="40" t="n">
        <v>0.113692971306157</v>
      </c>
      <c r="K115" s="40" t="n">
        <v>0.108852199184703</v>
      </c>
      <c r="L115" s="40" t="n">
        <v>0.095332960449999</v>
      </c>
      <c r="M115" s="40" t="n">
        <v>0.133205412421519</v>
      </c>
      <c r="N115" s="40" t="n">
        <v>0.109504322145821</v>
      </c>
      <c r="O115" s="40" t="n">
        <v>0.109606167699749</v>
      </c>
      <c r="P115" s="40" t="n">
        <v>0.10692053599281</v>
      </c>
      <c r="Q115" s="40" t="n">
        <v>0.0853021823000894</v>
      </c>
      <c r="R115" s="40" t="n">
        <v>0.11837992836179</v>
      </c>
      <c r="S115" s="40" t="n">
        <v>0.103378757151849</v>
      </c>
      <c r="T115" s="40" t="n">
        <v>0.12128083270735</v>
      </c>
      <c r="U115" s="40" t="n">
        <v>0.100923053294043</v>
      </c>
      <c r="V115" s="40" t="n">
        <v>0.118465201099218</v>
      </c>
      <c r="W115" s="40" t="n">
        <v>0.107429706179022</v>
      </c>
      <c r="X115" s="40" t="n">
        <v>0.167717453493738</v>
      </c>
      <c r="Y115" s="40" t="n">
        <v>0.179471720407959</v>
      </c>
    </row>
    <row r="116" customFormat="false" ht="15" hidden="false" customHeight="false" outlineLevel="0" collapsed="false">
      <c r="C116" s="1" t="s">
        <v>168</v>
      </c>
      <c r="D116" s="12" t="s">
        <v>13</v>
      </c>
      <c r="E116" s="30" t="n">
        <f aca="false">Calc_1!$E154</f>
        <v>3.3862485569113</v>
      </c>
      <c r="H116" s="41" t="n">
        <v>3.3862485569113</v>
      </c>
      <c r="I116" s="41" t="n">
        <v>3.3862485569113</v>
      </c>
      <c r="J116" s="41" t="n">
        <v>3.3862485569113</v>
      </c>
      <c r="K116" s="41" t="n">
        <v>3.17428290343663</v>
      </c>
      <c r="L116" s="41" t="n">
        <v>2.82164113482565</v>
      </c>
      <c r="M116" s="41" t="n">
        <v>4.01383945995514</v>
      </c>
      <c r="N116" s="41" t="n">
        <v>3.29255919027108</v>
      </c>
      <c r="O116" s="41" t="n">
        <v>3.27963155630265</v>
      </c>
      <c r="P116" s="41" t="n">
        <v>3.50074981963238</v>
      </c>
      <c r="Q116" s="41" t="n">
        <v>2.50179956539531</v>
      </c>
      <c r="R116" s="41" t="n">
        <v>3.55555391693712</v>
      </c>
      <c r="S116" s="41" t="n">
        <v>3.14371744973553</v>
      </c>
      <c r="T116" s="41" t="n">
        <v>5.17001408441604</v>
      </c>
      <c r="U116" s="41" t="n">
        <v>3.58302153738787</v>
      </c>
      <c r="V116" s="41" t="n">
        <v>3.130403587176</v>
      </c>
      <c r="W116" s="41" t="n">
        <v>2.95459584754917</v>
      </c>
      <c r="X116" s="41" t="n">
        <v>5.27585256122039</v>
      </c>
      <c r="Y116" s="41" t="n">
        <v>5.70580302091375</v>
      </c>
    </row>
    <row r="117" customFormat="false" ht="15" hidden="false" customHeight="false" outlineLevel="0" collapsed="false">
      <c r="C117" s="1" t="s">
        <v>169</v>
      </c>
      <c r="D117" s="12" t="s">
        <v>13</v>
      </c>
      <c r="E117" s="30" t="n">
        <f aca="false">Calc_2!$E154</f>
        <v>4.8152979942002</v>
      </c>
      <c r="H117" s="41" t="n">
        <v>4.8152979942002</v>
      </c>
      <c r="I117" s="41" t="n">
        <v>4.8152979942002</v>
      </c>
      <c r="J117" s="41" t="n">
        <v>4.8152979942002</v>
      </c>
      <c r="K117" s="41" t="n">
        <v>4.62401177579296</v>
      </c>
      <c r="L117" s="41" t="n">
        <v>4.08430719824939</v>
      </c>
      <c r="M117" s="41" t="n">
        <v>5.63235080641867</v>
      </c>
      <c r="N117" s="41" t="n">
        <v>4.67897295039107</v>
      </c>
      <c r="O117" s="41" t="n">
        <v>4.71238541245439</v>
      </c>
      <c r="P117" s="41" t="n">
        <v>4.91296426564616</v>
      </c>
      <c r="Q117" s="41" t="n">
        <v>3.40929849541297</v>
      </c>
      <c r="R117" s="41" t="n">
        <v>5.08461314673198</v>
      </c>
      <c r="S117" s="41" t="n">
        <v>4.41153320347352</v>
      </c>
      <c r="T117" s="41" t="n">
        <v>5.17001408441604</v>
      </c>
      <c r="U117" s="41" t="n">
        <v>5.05403715538021</v>
      </c>
      <c r="V117" s="41" t="n">
        <v>5.31191565866826</v>
      </c>
      <c r="W117" s="41" t="n">
        <v>4.58619484083524</v>
      </c>
      <c r="X117" s="41" t="n">
        <v>7.41871501349124</v>
      </c>
      <c r="Y117" s="41" t="n">
        <v>7.98302115650446</v>
      </c>
    </row>
    <row r="118" customFormat="false" ht="15" hidden="false" customHeight="false" outlineLevel="0" collapsed="false">
      <c r="C118" s="1" t="s">
        <v>170</v>
      </c>
      <c r="D118" s="12" t="s">
        <v>82</v>
      </c>
      <c r="E118" s="33" t="n">
        <f aca="false">Calc_1!$E155/Thousand</f>
        <v>-2.42756798606144</v>
      </c>
      <c r="H118" s="38" t="n">
        <v>-2.42756798606144</v>
      </c>
      <c r="I118" s="38" t="n">
        <v>-2.42756798606144</v>
      </c>
      <c r="J118" s="38" t="n">
        <v>-2.42756798606144</v>
      </c>
      <c r="K118" s="38" t="n">
        <v>-6.14080247793174</v>
      </c>
      <c r="L118" s="38" t="n">
        <v>-11.3495668100594</v>
      </c>
      <c r="M118" s="38" t="n">
        <v>7.37741696502265</v>
      </c>
      <c r="N118" s="38" t="n">
        <v>-4.02575496994389</v>
      </c>
      <c r="O118" s="38" t="n">
        <v>-4.96846933081241</v>
      </c>
      <c r="P118" s="38" t="n">
        <v>-4.89468917476368</v>
      </c>
      <c r="Q118" s="38" t="n">
        <v>-11.6187025743664</v>
      </c>
      <c r="R118" s="38" t="n">
        <v>-0.717325491365851</v>
      </c>
      <c r="S118" s="38" t="n">
        <v>-6.72159613562962</v>
      </c>
      <c r="T118" s="38" t="n">
        <v>17.7865149599227</v>
      </c>
      <c r="U118" s="38" t="n">
        <v>-6.14772602532464</v>
      </c>
      <c r="V118" s="38" t="n">
        <v>-3.72609993839986</v>
      </c>
      <c r="W118" s="38" t="n">
        <v>-6.16682786743725</v>
      </c>
      <c r="X118" s="38" t="n">
        <v>20.2007419304316</v>
      </c>
      <c r="Y118" s="38" t="n">
        <v>25.6124933837638</v>
      </c>
    </row>
    <row r="119" customFormat="false" ht="15" hidden="false" customHeight="false" outlineLevel="0" collapsed="false">
      <c r="C119" s="1" t="s">
        <v>171</v>
      </c>
      <c r="D119" s="12" t="s">
        <v>82</v>
      </c>
      <c r="E119" s="33" t="n">
        <f aca="false">Calc_2!$E155/Thousand</f>
        <v>15.7371730773708</v>
      </c>
      <c r="H119" s="38" t="n">
        <v>15.7371730773708</v>
      </c>
      <c r="I119" s="38" t="n">
        <v>15.7371730773708</v>
      </c>
      <c r="J119" s="38" t="n">
        <v>15.7371730773708</v>
      </c>
      <c r="K119" s="38" t="n">
        <v>13.8201570816997</v>
      </c>
      <c r="L119" s="38" t="n">
        <v>6.98643524879082</v>
      </c>
      <c r="M119" s="38" t="n">
        <v>25.467779368533</v>
      </c>
      <c r="N119" s="38" t="n">
        <v>14.1389860934883</v>
      </c>
      <c r="O119" s="38" t="n">
        <v>13.9348747124058</v>
      </c>
      <c r="P119" s="38" t="n">
        <v>13.9098346235766</v>
      </c>
      <c r="Q119" s="38" t="n">
        <v>2.21052968021362</v>
      </c>
      <c r="R119" s="38" t="n">
        <v>18.2703166072689</v>
      </c>
      <c r="S119" s="38" t="n">
        <v>11.5443871780731</v>
      </c>
      <c r="T119" s="38" t="n">
        <v>17.7865149599227</v>
      </c>
      <c r="U119" s="38" t="n">
        <v>12.0263591846603</v>
      </c>
      <c r="V119" s="38" t="n">
        <v>16.6125621146329</v>
      </c>
      <c r="W119" s="38" t="n">
        <v>14.1630576927205</v>
      </c>
      <c r="X119" s="38" t="n">
        <v>36.530935855646</v>
      </c>
      <c r="Y119" s="38" t="n">
        <v>41.9414780901027</v>
      </c>
    </row>
    <row r="120" customFormat="false" ht="15" hidden="false" customHeight="false" outlineLevel="0" collapsed="false">
      <c r="C120" s="1" t="s">
        <v>172</v>
      </c>
      <c r="D120" s="12" t="s">
        <v>82</v>
      </c>
      <c r="E120" s="33" t="n">
        <f aca="false">Calc_1!$E128/Thousand</f>
        <v>113.429424251311</v>
      </c>
      <c r="H120" s="38" t="n">
        <v>113.429424251311</v>
      </c>
      <c r="I120" s="38" t="n">
        <v>113.429424251311</v>
      </c>
      <c r="J120" s="38" t="n">
        <v>113.429424251311</v>
      </c>
      <c r="K120" s="38" t="n">
        <v>119.136712883224</v>
      </c>
      <c r="L120" s="38" t="n">
        <v>113.429424251311</v>
      </c>
      <c r="M120" s="38" t="n">
        <v>113.429424251311</v>
      </c>
      <c r="N120" s="38" t="n">
        <v>113.429424251311</v>
      </c>
      <c r="O120" s="38" t="n">
        <v>113.978278827521</v>
      </c>
      <c r="P120" s="38" t="n">
        <v>113.429424251311</v>
      </c>
      <c r="Q120" s="38" t="n">
        <v>113.429424251311</v>
      </c>
      <c r="R120" s="38" t="n">
        <v>113.429424251311</v>
      </c>
      <c r="S120" s="38" t="n">
        <v>119.852965363317</v>
      </c>
      <c r="T120" s="38" t="n">
        <v>73.6736391820329</v>
      </c>
      <c r="U120" s="38" t="n">
        <v>113.429424251311</v>
      </c>
      <c r="V120" s="38" t="n">
        <v>112.748909732209</v>
      </c>
      <c r="W120" s="38" t="n">
        <v>112.004691379161</v>
      </c>
      <c r="X120" s="38" t="n">
        <v>100.227341817628</v>
      </c>
      <c r="Y120" s="38" t="n">
        <v>100.227341817628</v>
      </c>
    </row>
    <row r="121" customFormat="false" ht="15" hidden="false" customHeight="false" outlineLevel="0" collapsed="false">
      <c r="C121" s="1" t="s">
        <v>173</v>
      </c>
      <c r="D121" s="12" t="s">
        <v>82</v>
      </c>
      <c r="E121" s="33" t="n">
        <f aca="false">Calc_2!$E128/Thousand</f>
        <v>85.0841342995161</v>
      </c>
      <c r="H121" s="38" t="n">
        <v>85.0841342995161</v>
      </c>
      <c r="I121" s="38" t="n">
        <v>85.0841342995161</v>
      </c>
      <c r="J121" s="38" t="n">
        <v>85.0841342995161</v>
      </c>
      <c r="K121" s="38" t="n">
        <v>88.0879704215753</v>
      </c>
      <c r="L121" s="38" t="n">
        <v>85.0841342995161</v>
      </c>
      <c r="M121" s="38" t="n">
        <v>85.0841342995161</v>
      </c>
      <c r="N121" s="38" t="n">
        <v>85.0841342995161</v>
      </c>
      <c r="O121" s="38" t="n">
        <v>85.4920868565905</v>
      </c>
      <c r="P121" s="38" t="n">
        <v>85.0841342995161</v>
      </c>
      <c r="Q121" s="38" t="n">
        <v>85.0841342995161</v>
      </c>
      <c r="R121" s="38" t="n">
        <v>85.0841342995161</v>
      </c>
      <c r="S121" s="38" t="n">
        <v>91.5076754115216</v>
      </c>
      <c r="T121" s="38" t="n">
        <v>73.6736391820329</v>
      </c>
      <c r="U121" s="38" t="n">
        <v>85.0841342995161</v>
      </c>
      <c r="V121" s="38" t="n">
        <v>85.5211862751514</v>
      </c>
      <c r="W121" s="38" t="n">
        <v>84.7727928741489</v>
      </c>
      <c r="X121" s="38" t="n">
        <v>74.2485899791605</v>
      </c>
      <c r="Y121" s="38" t="n">
        <v>74.2485899791605</v>
      </c>
    </row>
    <row r="122" customFormat="false" ht="15" hidden="false" customHeight="false" outlineLevel="0" collapsed="false">
      <c r="C122" s="1" t="s">
        <v>174</v>
      </c>
      <c r="D122" s="12" t="s">
        <v>82</v>
      </c>
      <c r="E122" s="33" t="n">
        <f aca="false">Calc_1!$E103/Thousand</f>
        <v>59.0554976513219</v>
      </c>
      <c r="H122" s="38" t="n">
        <v>59.0554976513219</v>
      </c>
      <c r="I122" s="38" t="n">
        <v>59.0554976513219</v>
      </c>
      <c r="J122" s="38" t="n">
        <v>59.0554976513219</v>
      </c>
      <c r="K122" s="38" t="n">
        <v>62.208248803107</v>
      </c>
      <c r="L122" s="38" t="n">
        <v>59.0554976513219</v>
      </c>
      <c r="M122" s="38" t="n">
        <v>59.0554976513219</v>
      </c>
      <c r="N122" s="38" t="n">
        <v>59.0554976513219</v>
      </c>
      <c r="O122" s="38" t="n">
        <v>59.594912468236</v>
      </c>
      <c r="P122" s="38" t="n">
        <v>59.0554976513219</v>
      </c>
      <c r="Q122" s="38" t="n">
        <v>59.0554976513219</v>
      </c>
      <c r="R122" s="38" t="n">
        <v>59.0554976513219</v>
      </c>
      <c r="S122" s="38" t="n">
        <v>62.5034825063159</v>
      </c>
      <c r="T122" s="38" t="n">
        <v>37.1441561889424</v>
      </c>
      <c r="U122" s="38" t="n">
        <v>59.0554976513219</v>
      </c>
      <c r="V122" s="38" t="n">
        <v>49.5</v>
      </c>
      <c r="W122" s="38" t="n">
        <v>39.05</v>
      </c>
      <c r="X122" s="38" t="n">
        <v>56.4214618636688</v>
      </c>
      <c r="Y122" s="38" t="n">
        <v>56.4214618636688</v>
      </c>
    </row>
    <row r="123" customFormat="false" ht="15" hidden="false" customHeight="false" outlineLevel="0" collapsed="false">
      <c r="C123" s="1" t="s">
        <v>175</v>
      </c>
      <c r="D123" s="12" t="s">
        <v>82</v>
      </c>
      <c r="E123" s="33" t="n">
        <f aca="false">Calc_2!$E103/Thousand</f>
        <v>43.3973364285807</v>
      </c>
      <c r="H123" s="38" t="n">
        <v>43.3973364285807</v>
      </c>
      <c r="I123" s="38" t="n">
        <v>43.3973364285807</v>
      </c>
      <c r="J123" s="38" t="n">
        <v>43.3973364285807</v>
      </c>
      <c r="K123" s="38" t="n">
        <v>45.0566791400465</v>
      </c>
      <c r="L123" s="38" t="n">
        <v>43.3973364285807</v>
      </c>
      <c r="M123" s="38" t="n">
        <v>43.3973364285807</v>
      </c>
      <c r="N123" s="38" t="n">
        <v>43.3973364285807</v>
      </c>
      <c r="O123" s="38" t="n">
        <v>43.7982726026096</v>
      </c>
      <c r="P123" s="38" t="n">
        <v>43.3973364285807</v>
      </c>
      <c r="Q123" s="38" t="n">
        <v>43.3973364285807</v>
      </c>
      <c r="R123" s="38" t="n">
        <v>43.3973364285807</v>
      </c>
      <c r="S123" s="38" t="n">
        <v>46.8453212835746</v>
      </c>
      <c r="T123" s="38" t="n">
        <v>37.1441561889424</v>
      </c>
      <c r="U123" s="38" t="n">
        <v>43.3973364285807</v>
      </c>
      <c r="V123" s="38" t="n">
        <v>49.5</v>
      </c>
      <c r="W123" s="38" t="n">
        <v>39.05</v>
      </c>
      <c r="X123" s="38" t="n">
        <v>40.8208976606644</v>
      </c>
      <c r="Y123" s="38" t="n">
        <v>40.8208976606644</v>
      </c>
    </row>
    <row r="124" customFormat="false" ht="15" hidden="false" customHeight="false" outlineLevel="0" collapsed="false">
      <c r="C124" s="1" t="s">
        <v>176</v>
      </c>
      <c r="D124" s="12" t="s">
        <v>82</v>
      </c>
      <c r="E124" s="33" t="n">
        <f aca="false">Calc_1!$E129/Thousand</f>
        <v>54.3739265999892</v>
      </c>
      <c r="H124" s="38" t="n">
        <v>54.3739265999892</v>
      </c>
      <c r="I124" s="38" t="n">
        <v>54.3739265999892</v>
      </c>
      <c r="J124" s="38" t="n">
        <v>54.3739265999892</v>
      </c>
      <c r="K124" s="38" t="n">
        <v>56.9284640801166</v>
      </c>
      <c r="L124" s="38" t="n">
        <v>54.3739265999892</v>
      </c>
      <c r="M124" s="38" t="n">
        <v>54.3739265999892</v>
      </c>
      <c r="N124" s="38" t="n">
        <v>54.3739265999892</v>
      </c>
      <c r="O124" s="38" t="n">
        <v>54.3833663592852</v>
      </c>
      <c r="P124" s="38" t="n">
        <v>54.3739265999892</v>
      </c>
      <c r="Q124" s="38" t="n">
        <v>54.3739265999892</v>
      </c>
      <c r="R124" s="38" t="n">
        <v>54.3739265999892</v>
      </c>
      <c r="S124" s="38" t="n">
        <v>57.3494828570007</v>
      </c>
      <c r="T124" s="38" t="n">
        <v>36.5294829930906</v>
      </c>
      <c r="U124" s="38" t="n">
        <v>54.3739265999892</v>
      </c>
      <c r="V124" s="38" t="n">
        <v>63.2489097322087</v>
      </c>
      <c r="W124" s="38" t="n">
        <v>72.9546913791607</v>
      </c>
      <c r="X124" s="38" t="n">
        <v>43.8058799539589</v>
      </c>
      <c r="Y124" s="38" t="n">
        <v>43.8058799539589</v>
      </c>
    </row>
    <row r="125" customFormat="false" ht="15" hidden="false" customHeight="false" outlineLevel="0" collapsed="false">
      <c r="C125" s="1" t="s">
        <v>177</v>
      </c>
      <c r="D125" s="12" t="s">
        <v>82</v>
      </c>
      <c r="E125" s="33" t="n">
        <f aca="false">Calc_2!$E129/Thousand</f>
        <v>41.6867978709354</v>
      </c>
      <c r="H125" s="38" t="n">
        <v>41.6867978709354</v>
      </c>
      <c r="I125" s="38" t="n">
        <v>41.6867978709354</v>
      </c>
      <c r="J125" s="38" t="n">
        <v>41.6867978709354</v>
      </c>
      <c r="K125" s="38" t="n">
        <v>43.0312912815288</v>
      </c>
      <c r="L125" s="38" t="n">
        <v>41.6867978709354</v>
      </c>
      <c r="M125" s="38" t="n">
        <v>41.6867978709354</v>
      </c>
      <c r="N125" s="38" t="n">
        <v>41.6867978709354</v>
      </c>
      <c r="O125" s="38" t="n">
        <v>41.6938142539809</v>
      </c>
      <c r="P125" s="38" t="n">
        <v>41.6867978709354</v>
      </c>
      <c r="Q125" s="38" t="n">
        <v>41.6867978709354</v>
      </c>
      <c r="R125" s="38" t="n">
        <v>41.6867978709354</v>
      </c>
      <c r="S125" s="38" t="n">
        <v>44.662354127947</v>
      </c>
      <c r="T125" s="38" t="n">
        <v>36.5294829930906</v>
      </c>
      <c r="U125" s="38" t="n">
        <v>41.6867978709354</v>
      </c>
      <c r="V125" s="38" t="n">
        <v>36.0211862751514</v>
      </c>
      <c r="W125" s="38" t="n">
        <v>45.7227928741489</v>
      </c>
      <c r="X125" s="38" t="n">
        <v>33.427692318496</v>
      </c>
      <c r="Y125" s="38" t="n">
        <v>33.427692318496</v>
      </c>
    </row>
    <row r="126" customFormat="false" ht="15" hidden="false" customHeight="false" outlineLevel="0" collapsed="false">
      <c r="C126" s="1" t="s">
        <v>178</v>
      </c>
      <c r="D126" s="12" t="s">
        <v>27</v>
      </c>
      <c r="E126" s="23" t="n">
        <f aca="false">Calc_1!$E145</f>
        <v>0.0566120049273495</v>
      </c>
      <c r="H126" s="40" t="n">
        <v>0.0566120049273495</v>
      </c>
      <c r="I126" s="40" t="n">
        <v>0.0671411805789411</v>
      </c>
      <c r="J126" s="40" t="n">
        <v>0.0476677547804962</v>
      </c>
      <c r="K126" s="40" t="n">
        <v>0.0570237800580346</v>
      </c>
      <c r="L126" s="40" t="n">
        <v>0.0454605237208489</v>
      </c>
      <c r="M126" s="40" t="n">
        <v>0.0682349889163248</v>
      </c>
      <c r="N126" s="40" t="n">
        <v>0.0566552895652623</v>
      </c>
      <c r="O126" s="40" t="n">
        <v>0.0570334039740257</v>
      </c>
      <c r="P126" s="40" t="n">
        <v>0.0560328167333232</v>
      </c>
      <c r="Q126" s="40" t="n">
        <v>0.0424945120908968</v>
      </c>
      <c r="R126" s="40" t="n">
        <v>0.0589422098144807</v>
      </c>
      <c r="S126" s="40" t="n">
        <v>0.0569858840117009</v>
      </c>
      <c r="T126" s="40" t="n">
        <v>0.07308242150111</v>
      </c>
      <c r="U126" s="40" t="n">
        <v>0.0557472712009901</v>
      </c>
      <c r="V126" s="40" t="n">
        <v>0.0562961227328924</v>
      </c>
      <c r="W126" s="40" t="n">
        <v>0.0556490264108512</v>
      </c>
      <c r="X126" s="40" t="n">
        <v>0.0811799783838213</v>
      </c>
      <c r="Y126" s="40" t="n">
        <v>0.0876381955544282</v>
      </c>
    </row>
    <row r="127" customFormat="false" ht="15" hidden="false" customHeight="false" outlineLevel="0" collapsed="false">
      <c r="C127" s="1" t="s">
        <v>179</v>
      </c>
      <c r="D127" s="12" t="s">
        <v>27</v>
      </c>
      <c r="E127" s="23" t="n">
        <f aca="false">Calc_2!$E145</f>
        <v>0.0695907325382153</v>
      </c>
      <c r="H127" s="40" t="n">
        <v>0.0695907325382153</v>
      </c>
      <c r="I127" s="40" t="n">
        <v>0.0809887219405661</v>
      </c>
      <c r="J127" s="40" t="n">
        <v>0.0599553467726889</v>
      </c>
      <c r="K127" s="40" t="n">
        <v>0.0698836141417252</v>
      </c>
      <c r="L127" s="40" t="n">
        <v>0.0575531558303616</v>
      </c>
      <c r="M127" s="40" t="n">
        <v>0.0823144155251495</v>
      </c>
      <c r="N127" s="40" t="n">
        <v>0.0696571641395579</v>
      </c>
      <c r="O127" s="40" t="n">
        <v>0.0700374945791859</v>
      </c>
      <c r="P127" s="40" t="n">
        <v>0.069089421152699</v>
      </c>
      <c r="Q127" s="40" t="n">
        <v>0.0490112141118185</v>
      </c>
      <c r="R127" s="40" t="n">
        <v>0.0730285854119197</v>
      </c>
      <c r="S127" s="40" t="n">
        <v>0.0701340184552324</v>
      </c>
      <c r="T127" s="40" t="n">
        <v>0.07308242150111</v>
      </c>
      <c r="U127" s="40" t="n">
        <v>0.0685735885512311</v>
      </c>
      <c r="V127" s="40" t="n">
        <v>0.0698829968732872</v>
      </c>
      <c r="W127" s="40" t="n">
        <v>0.0691202696015077</v>
      </c>
      <c r="X127" s="40" t="n">
        <v>0.0966232871177792</v>
      </c>
      <c r="Y127" s="40" t="n">
        <v>0.103825501075917</v>
      </c>
    </row>
    <row r="128" customFormat="false" ht="15" hidden="false" customHeight="false" outlineLevel="0" collapsed="false">
      <c r="C128" s="1" t="s">
        <v>180</v>
      </c>
      <c r="D128" s="12" t="s">
        <v>27</v>
      </c>
      <c r="E128" s="23" t="n">
        <f aca="false">Calc_1!$E147</f>
        <v>0.0578758717662863</v>
      </c>
      <c r="H128" s="40" t="n">
        <v>0.0578758717662863</v>
      </c>
      <c r="I128" s="40" t="n">
        <v>0.0730555367613808</v>
      </c>
      <c r="J128" s="40" t="n">
        <v>0.0461194197362587</v>
      </c>
      <c r="K128" s="40" t="n">
        <v>0.0585372571513242</v>
      </c>
      <c r="L128" s="40" t="n">
        <v>0.0429746380006849</v>
      </c>
      <c r="M128" s="40" t="n">
        <v>0.0736968781722819</v>
      </c>
      <c r="N128" s="40" t="n">
        <v>0.0579363196871536</v>
      </c>
      <c r="O128" s="40" t="n">
        <v>0.0546522867041186</v>
      </c>
      <c r="P128" s="40" t="n">
        <v>0.0565051088027426</v>
      </c>
      <c r="Q128" s="40" t="n">
        <v>0.038648723865113</v>
      </c>
      <c r="R128" s="40" t="n">
        <v>0.0609869435446431</v>
      </c>
      <c r="S128" s="40" t="n">
        <v>0.0584936795101323</v>
      </c>
      <c r="T128" s="40" t="n">
        <v>0.078539537997737</v>
      </c>
      <c r="U128" s="40" t="n">
        <v>0.0559250693034413</v>
      </c>
      <c r="V128" s="40" t="n">
        <v>0.0572094471619621</v>
      </c>
      <c r="W128" s="40" t="n">
        <v>0.0560106672310367</v>
      </c>
      <c r="X128" s="40" t="n">
        <v>0.092451675171372</v>
      </c>
      <c r="Y128" s="40" t="n">
        <v>0.101817209917856</v>
      </c>
    </row>
    <row r="129" customFormat="false" ht="15" hidden="false" customHeight="false" outlineLevel="0" collapsed="false">
      <c r="C129" s="1" t="s">
        <v>181</v>
      </c>
      <c r="D129" s="12" t="s">
        <v>27</v>
      </c>
      <c r="E129" s="23" t="n">
        <f aca="false">Calc_2!$E147</f>
        <v>0.0744377625136832</v>
      </c>
      <c r="H129" s="40" t="n">
        <v>0.0744377625136832</v>
      </c>
      <c r="I129" s="40" t="n">
        <v>0.090817377458001</v>
      </c>
      <c r="J129" s="40" t="n">
        <v>0.0617041981705023</v>
      </c>
      <c r="K129" s="40" t="n">
        <v>0.0750788395867508</v>
      </c>
      <c r="L129" s="40" t="n">
        <v>0.0588519904848703</v>
      </c>
      <c r="M129" s="40" t="n">
        <v>0.0911917758807902</v>
      </c>
      <c r="N129" s="40" t="n">
        <v>0.0745348031586085</v>
      </c>
      <c r="O129" s="40" t="n">
        <v>0.0718726125802269</v>
      </c>
      <c r="P129" s="40" t="n">
        <v>0.0719729667193003</v>
      </c>
      <c r="Q129" s="40" t="n">
        <v>0.0478411016410151</v>
      </c>
      <c r="R129" s="40" t="n">
        <v>0.0788625315119085</v>
      </c>
      <c r="S129" s="40" t="n">
        <v>0.0756971969563188</v>
      </c>
      <c r="T129" s="40" t="n">
        <v>0.078539537997737</v>
      </c>
      <c r="U129" s="40" t="n">
        <v>0.0698612221421724</v>
      </c>
      <c r="V129" s="40" t="n">
        <v>0.0757916899883517</v>
      </c>
      <c r="W129" s="40" t="n">
        <v>0.0722883003226288</v>
      </c>
      <c r="X129" s="40" t="n">
        <v>0.111031377685719</v>
      </c>
      <c r="Y129" s="40" t="n">
        <v>0.121005010489533</v>
      </c>
    </row>
    <row r="130" customFormat="false" ht="15" hidden="false" customHeight="false" outlineLevel="0" collapsed="false">
      <c r="C130" s="1" t="s">
        <v>182</v>
      </c>
      <c r="D130" s="12" t="s">
        <v>27</v>
      </c>
      <c r="E130" s="23" t="n">
        <f aca="false">Calc_1!$E90</f>
        <v>0.55</v>
      </c>
      <c r="H130" s="40" t="n">
        <v>0.55</v>
      </c>
      <c r="I130" s="40" t="n">
        <v>0.55</v>
      </c>
      <c r="J130" s="40" t="n">
        <v>0.55</v>
      </c>
      <c r="K130" s="40" t="n">
        <v>0.55</v>
      </c>
      <c r="L130" s="40" t="n">
        <v>0.55</v>
      </c>
      <c r="M130" s="40" t="n">
        <v>0.55</v>
      </c>
      <c r="N130" s="40" t="n">
        <v>0.55</v>
      </c>
      <c r="O130" s="40" t="n">
        <v>0.55</v>
      </c>
      <c r="P130" s="40" t="n">
        <v>0.55</v>
      </c>
      <c r="Q130" s="40" t="n">
        <v>0.55</v>
      </c>
      <c r="R130" s="40" t="n">
        <v>0.55</v>
      </c>
      <c r="S130" s="40" t="n">
        <v>0.55</v>
      </c>
      <c r="T130" s="40" t="n">
        <v>0.55</v>
      </c>
      <c r="U130" s="40" t="n">
        <v>0.55</v>
      </c>
      <c r="V130" s="40" t="n">
        <v>0.461007037155847</v>
      </c>
      <c r="W130" s="40" t="n">
        <v>0.363683329311835</v>
      </c>
      <c r="X130" s="40" t="n">
        <v>0.6</v>
      </c>
      <c r="Y130" s="40" t="n">
        <v>0.6</v>
      </c>
    </row>
    <row r="131" customFormat="false" ht="15" hidden="false" customHeight="false" outlineLevel="0" collapsed="false">
      <c r="C131" s="1" t="s">
        <v>183</v>
      </c>
      <c r="D131" s="12" t="s">
        <v>27</v>
      </c>
      <c r="E131" s="23" t="n">
        <f aca="false">Calc_2!$E90</f>
        <v>0.55</v>
      </c>
      <c r="H131" s="40" t="n">
        <v>0.55</v>
      </c>
      <c r="I131" s="40" t="n">
        <v>0.55</v>
      </c>
      <c r="J131" s="40" t="n">
        <v>0.55</v>
      </c>
      <c r="K131" s="40" t="n">
        <v>0.55</v>
      </c>
      <c r="L131" s="40" t="n">
        <v>0.55</v>
      </c>
      <c r="M131" s="40" t="n">
        <v>0.55</v>
      </c>
      <c r="N131" s="40" t="n">
        <v>0.55</v>
      </c>
      <c r="O131" s="40" t="n">
        <v>0.55</v>
      </c>
      <c r="P131" s="40" t="n">
        <v>0.55</v>
      </c>
      <c r="Q131" s="40" t="n">
        <v>0.55</v>
      </c>
      <c r="R131" s="40" t="n">
        <v>0.55</v>
      </c>
      <c r="S131" s="40" t="n">
        <v>0.55</v>
      </c>
      <c r="T131" s="40" t="n">
        <v>0.55</v>
      </c>
      <c r="U131" s="40" t="n">
        <v>0.55</v>
      </c>
      <c r="V131" s="40" t="n">
        <v>0.627342649123279</v>
      </c>
      <c r="W131" s="40" t="n">
        <v>0.494903645419476</v>
      </c>
      <c r="X131" s="40" t="n">
        <v>0.6</v>
      </c>
      <c r="Y131" s="40" t="n">
        <v>0.6</v>
      </c>
    </row>
    <row r="132" customFormat="false" ht="15" hidden="false" customHeight="false" outlineLevel="0" collapsed="false">
      <c r="C132" s="1" t="s">
        <v>184</v>
      </c>
      <c r="D132" s="12" t="s">
        <v>13</v>
      </c>
      <c r="E132" s="30" t="n">
        <f aca="false">Calc_1!$E107</f>
        <v>1.62874780962486</v>
      </c>
      <c r="H132" s="41" t="n">
        <v>1.62874780962486</v>
      </c>
      <c r="I132" s="41" t="n">
        <v>1.62874780962486</v>
      </c>
      <c r="J132" s="41" t="n">
        <v>1.62874780962486</v>
      </c>
      <c r="K132" s="41" t="n">
        <v>1.55349987393714</v>
      </c>
      <c r="L132" s="41" t="n">
        <v>1.44642630435621</v>
      </c>
      <c r="M132" s="41" t="n">
        <v>1.81958824154493</v>
      </c>
      <c r="N132" s="41" t="n">
        <v>1.62874780962486</v>
      </c>
      <c r="O132" s="41" t="n">
        <v>1.51420415002885</v>
      </c>
      <c r="P132" s="41" t="n">
        <v>1.20884313380793</v>
      </c>
      <c r="Q132" s="41" t="n">
        <v>1.40308144804873</v>
      </c>
      <c r="R132" s="41" t="n">
        <v>1.64813902908934</v>
      </c>
      <c r="S132" s="41" t="n">
        <v>1.5468421321238</v>
      </c>
      <c r="T132" s="41" t="n">
        <v>2.36208528993736</v>
      </c>
      <c r="U132" s="41" t="n">
        <v>1.60704797923433</v>
      </c>
      <c r="V132" s="41" t="n">
        <v>1.94143851704669</v>
      </c>
      <c r="W132" s="41" t="n">
        <v>2.07531644800964</v>
      </c>
      <c r="X132" s="41" t="n">
        <v>1.95883357105057</v>
      </c>
      <c r="Y132" s="41" t="n">
        <v>2.06780785431518</v>
      </c>
    </row>
    <row r="133" customFormat="false" ht="15" hidden="false" customHeight="false" outlineLevel="0" collapsed="false">
      <c r="C133" s="1" t="s">
        <v>185</v>
      </c>
      <c r="D133" s="12" t="s">
        <v>13</v>
      </c>
      <c r="E133" s="30" t="n">
        <f aca="false">Calc_2!$E107</f>
        <v>2.14598356038329</v>
      </c>
      <c r="H133" s="41" t="n">
        <v>2.14598356038329</v>
      </c>
      <c r="I133" s="41" t="n">
        <v>2.14598356038329</v>
      </c>
      <c r="J133" s="41" t="n">
        <v>2.14598356038329</v>
      </c>
      <c r="K133" s="41" t="n">
        <v>2.07464508152011</v>
      </c>
      <c r="L133" s="41" t="n">
        <v>1.91559045786635</v>
      </c>
      <c r="M133" s="41" t="n">
        <v>2.40073719744035</v>
      </c>
      <c r="N133" s="41" t="n">
        <v>2.14598356038329</v>
      </c>
      <c r="O133" s="41" t="n">
        <v>2.00719185698247</v>
      </c>
      <c r="P133" s="41" t="n">
        <v>1.59480765403155</v>
      </c>
      <c r="Q133" s="41" t="n">
        <v>1.74999354649422</v>
      </c>
      <c r="R133" s="41" t="n">
        <v>2.19435405402046</v>
      </c>
      <c r="S133" s="41" t="n">
        <v>1.99413321667496</v>
      </c>
      <c r="T133" s="41" t="n">
        <v>2.36208528993736</v>
      </c>
      <c r="U133" s="41" t="n">
        <v>2.12477393005491</v>
      </c>
      <c r="V133" s="41" t="n">
        <v>1.89052102074728</v>
      </c>
      <c r="W133" s="41" t="n">
        <v>2.02901576168952</v>
      </c>
      <c r="X133" s="41" t="n">
        <v>2.63191014257128</v>
      </c>
      <c r="Y133" s="41" t="n">
        <v>2.78253123910977</v>
      </c>
    </row>
    <row r="134" customFormat="false" ht="15" hidden="false" customHeight="false" outlineLevel="0" collapsed="false">
      <c r="C134" s="1" t="s">
        <v>186</v>
      </c>
      <c r="D134" s="12" t="s">
        <v>152</v>
      </c>
      <c r="E134" s="31" t="n">
        <f aca="false">Model_Checks</f>
        <v>0</v>
      </c>
      <c r="H134" s="42" t="n">
        <v>0</v>
      </c>
      <c r="I134" s="42" t="n">
        <v>0</v>
      </c>
      <c r="J134" s="42" t="n">
        <v>0</v>
      </c>
      <c r="K134" s="42" t="n">
        <v>0</v>
      </c>
      <c r="L134" s="42" t="n">
        <v>0</v>
      </c>
      <c r="M134" s="42" t="n">
        <v>0</v>
      </c>
      <c r="N134" s="42" t="n">
        <v>0</v>
      </c>
      <c r="O134" s="42" t="n">
        <v>0</v>
      </c>
      <c r="P134" s="42" t="n">
        <v>0</v>
      </c>
      <c r="Q134" s="42" t="n">
        <v>0</v>
      </c>
      <c r="R134" s="42" t="n">
        <v>0</v>
      </c>
      <c r="S134" s="42" t="n">
        <v>0</v>
      </c>
      <c r="T134" s="42" t="n">
        <v>0</v>
      </c>
      <c r="U134" s="42" t="n">
        <v>0</v>
      </c>
      <c r="V134" s="42" t="n">
        <v>0</v>
      </c>
      <c r="W134" s="42" t="n">
        <v>0</v>
      </c>
      <c r="X134" s="42" t="n">
        <v>0</v>
      </c>
      <c r="Y134" s="42" t="n">
        <v>0</v>
      </c>
    </row>
    <row r="135" customFormat="false" ht="15" hidden="false" customHeight="false" outlineLevel="0" collapsed="false">
      <c r="C135" s="1" t="s">
        <v>187</v>
      </c>
      <c r="D135" s="12" t="s">
        <v>152</v>
      </c>
      <c r="E135" s="31" t="n">
        <f aca="false">Model_Checks</f>
        <v>0</v>
      </c>
      <c r="H135" s="42" t="n">
        <v>0</v>
      </c>
      <c r="I135" s="42" t="n">
        <v>0</v>
      </c>
      <c r="J135" s="42" t="n">
        <v>0</v>
      </c>
      <c r="K135" s="42" t="n">
        <v>0</v>
      </c>
      <c r="L135" s="42" t="n">
        <v>0</v>
      </c>
      <c r="M135" s="42" t="n">
        <v>0</v>
      </c>
      <c r="N135" s="42" t="n">
        <v>0</v>
      </c>
      <c r="O135" s="42" t="n">
        <v>0</v>
      </c>
      <c r="P135" s="42" t="n">
        <v>0</v>
      </c>
      <c r="Q135" s="42" t="n">
        <v>0</v>
      </c>
      <c r="R135" s="42" t="n">
        <v>0</v>
      </c>
      <c r="S135" s="42" t="n">
        <v>0</v>
      </c>
      <c r="T135" s="42" t="n">
        <v>0</v>
      </c>
      <c r="U135" s="42" t="n">
        <v>0</v>
      </c>
      <c r="V135" s="42" t="n">
        <v>0</v>
      </c>
      <c r="W135" s="42" t="n">
        <v>0</v>
      </c>
      <c r="X135" s="42" t="n">
        <v>0</v>
      </c>
      <c r="Y135" s="42" t="n">
        <v>0</v>
      </c>
    </row>
    <row r="137" customFormat="false" ht="15" hidden="false" customHeight="false" outlineLevel="0" collapsed="false">
      <c r="C137" s="43" t="s">
        <v>188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AC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Z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25" min="8" style="1" width="12"/>
    <col collapsed="false" customWidth="true" hidden="false" outlineLevel="0" max="26" min="26" style="1" width="2"/>
    <col collapsed="false" customWidth="false" hidden="true" outlineLevel="1" max="16384" min="2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false" outlineLevel="0" collapsed="false">
      <c r="B4" s="1" t="s">
        <v>189</v>
      </c>
      <c r="D4" s="1" t="s">
        <v>190</v>
      </c>
      <c r="F4" s="44" t="str">
        <f aca="false">Scenario_Name</f>
        <v>Base</v>
      </c>
    </row>
    <row r="5" customFormat="false" ht="15" hidden="false" customHeight="false" outlineLevel="0" collapsed="false">
      <c r="B5" s="1" t="s">
        <v>191</v>
      </c>
      <c r="F5" s="45" t="n">
        <f aca="false">MATCH(Scenario_Name,Scenario_Names,0)</f>
        <v>1</v>
      </c>
    </row>
    <row r="7" customFormat="false" ht="15" hidden="false" customHeight="false" outlineLevel="0" collapsed="false">
      <c r="B7" s="8" t="s">
        <v>192</v>
      </c>
      <c r="C7" s="8" t="s">
        <v>8</v>
      </c>
      <c r="D7" s="8" t="s">
        <v>193</v>
      </c>
      <c r="F7" s="9" t="s">
        <v>12</v>
      </c>
      <c r="H7" s="46" t="s">
        <v>22</v>
      </c>
      <c r="I7" s="46" t="s">
        <v>194</v>
      </c>
      <c r="J7" s="46" t="s">
        <v>195</v>
      </c>
      <c r="K7" s="46" t="s">
        <v>196</v>
      </c>
      <c r="L7" s="46" t="s">
        <v>197</v>
      </c>
      <c r="M7" s="46" t="s">
        <v>198</v>
      </c>
      <c r="N7" s="46" t="s">
        <v>199</v>
      </c>
      <c r="O7" s="46" t="s">
        <v>200</v>
      </c>
      <c r="P7" s="46" t="s">
        <v>201</v>
      </c>
      <c r="Q7" s="46" t="s">
        <v>202</v>
      </c>
      <c r="R7" s="46" t="s">
        <v>203</v>
      </c>
      <c r="S7" s="46" t="s">
        <v>204</v>
      </c>
      <c r="T7" s="46" t="s">
        <v>205</v>
      </c>
      <c r="U7" s="46" t="s">
        <v>206</v>
      </c>
      <c r="V7" s="46" t="s">
        <v>207</v>
      </c>
      <c r="W7" s="46" t="s">
        <v>208</v>
      </c>
      <c r="X7" s="46" t="s">
        <v>209</v>
      </c>
      <c r="Y7" s="46" t="s">
        <v>210</v>
      </c>
    </row>
    <row r="10" customFormat="false" ht="15" hidden="false" customHeight="false" outlineLevel="0" collapsed="false">
      <c r="A10" s="10" t="s">
        <v>13</v>
      </c>
      <c r="B10" s="10"/>
      <c r="C10" s="10" t="s">
        <v>211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customFormat="false" ht="15" hidden="false" customHeight="false" outlineLevel="0" collapsed="false">
      <c r="B11" s="1" t="s">
        <v>212</v>
      </c>
      <c r="C11" s="12" t="s">
        <v>152</v>
      </c>
      <c r="D11" s="14" t="s">
        <v>213</v>
      </c>
      <c r="F11" s="46" t="n">
        <v>1000</v>
      </c>
    </row>
    <row r="12" customFormat="false" ht="15" hidden="false" customHeight="false" outlineLevel="0" collapsed="false">
      <c r="B12" s="1" t="s">
        <v>214</v>
      </c>
      <c r="C12" s="12" t="s">
        <v>152</v>
      </c>
      <c r="D12" s="14" t="s">
        <v>213</v>
      </c>
      <c r="F12" s="46" t="n">
        <v>1000000</v>
      </c>
    </row>
    <row r="13" customFormat="false" ht="15" hidden="false" customHeight="false" outlineLevel="0" collapsed="false">
      <c r="B13" s="1" t="s">
        <v>215</v>
      </c>
      <c r="C13" s="12" t="s">
        <v>216</v>
      </c>
      <c r="D13" s="14" t="s">
        <v>217</v>
      </c>
      <c r="F13" s="46" t="n">
        <v>365</v>
      </c>
    </row>
    <row r="14" customFormat="false" ht="15" hidden="false" customHeight="false" outlineLevel="0" collapsed="false">
      <c r="B14" s="1" t="s">
        <v>218</v>
      </c>
      <c r="C14" s="12" t="s">
        <v>219</v>
      </c>
      <c r="F14" s="46" t="n">
        <v>12</v>
      </c>
    </row>
    <row r="15" customFormat="false" ht="15" hidden="false" customHeight="false" outlineLevel="0" collapsed="false">
      <c r="B15" s="1" t="s">
        <v>220</v>
      </c>
      <c r="C15" s="12" t="s">
        <v>219</v>
      </c>
      <c r="D15" s="14" t="s">
        <v>221</v>
      </c>
      <c r="F15" s="46" t="n">
        <v>3</v>
      </c>
    </row>
    <row r="16" customFormat="false" ht="15" hidden="false" customHeight="false" outlineLevel="0" collapsed="false">
      <c r="B16" s="1" t="s">
        <v>222</v>
      </c>
      <c r="C16" s="12" t="s">
        <v>152</v>
      </c>
      <c r="D16" s="14" t="s">
        <v>223</v>
      </c>
      <c r="F16" s="46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224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customFormat="false" ht="15" hidden="false" customHeight="false" outlineLevel="0" collapsed="false">
      <c r="B19" s="1" t="s">
        <v>225</v>
      </c>
      <c r="C19" s="12" t="s">
        <v>38</v>
      </c>
      <c r="D19" s="14" t="s">
        <v>226</v>
      </c>
      <c r="F19" s="47" t="n">
        <f aca="false">IF(INDEX($H19:$Y19,1,Scenario_Selected)="",$H19,INDEX($H19:$Y19,1,Scenario_Selected))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customFormat="false" ht="15" hidden="false" customHeight="false" outlineLevel="0" collapsed="false">
      <c r="B20" s="1" t="s">
        <v>227</v>
      </c>
      <c r="C20" s="12" t="s">
        <v>27</v>
      </c>
      <c r="D20" s="14" t="s">
        <v>228</v>
      </c>
      <c r="F20" s="46" t="n">
        <v>0.1</v>
      </c>
    </row>
    <row r="21" customFormat="false" ht="15" hidden="false" customHeight="false" outlineLevel="0" collapsed="false">
      <c r="B21" s="1" t="s">
        <v>229</v>
      </c>
      <c r="C21" s="12" t="s">
        <v>38</v>
      </c>
      <c r="D21" s="14" t="s">
        <v>230</v>
      </c>
      <c r="F21" s="47" t="n">
        <f aca="false">IF(INDEX($H21:$Y21,1,Scenario_Selected)="",$H21,INDEX($H21:$Y21,1,Scenario_Selected))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customFormat="false" ht="15" hidden="false" customHeight="false" outlineLevel="0" collapsed="false">
      <c r="B22" s="1" t="s">
        <v>231</v>
      </c>
      <c r="C22" s="12" t="s">
        <v>38</v>
      </c>
      <c r="D22" s="14" t="s">
        <v>232</v>
      </c>
      <c r="F22" s="47" t="n">
        <f aca="false">IF(INDEX($H22:$Y22,1,Scenario_Selected)="",$H22,INDEX($H22:$Y22,1,Scenario_Selected))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customFormat="false" ht="15" hidden="false" customHeight="false" outlineLevel="0" collapsed="false">
      <c r="B23" s="1" t="s">
        <v>233</v>
      </c>
      <c r="C23" s="12" t="s">
        <v>38</v>
      </c>
      <c r="D23" s="14" t="s">
        <v>234</v>
      </c>
      <c r="F23" s="47" t="n">
        <f aca="false">IF(INDEX($H23:$Y23,1,Scenario_Selected)="",$H23,INDEX($H23:$Y23,1,Scenario_Selected))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customFormat="false" ht="15" hidden="false" customHeight="false" outlineLevel="0" collapsed="false">
      <c r="B24" s="1" t="s">
        <v>235</v>
      </c>
      <c r="C24" s="12" t="s">
        <v>216</v>
      </c>
      <c r="D24" s="14" t="s">
        <v>236</v>
      </c>
      <c r="F24" s="45" t="n">
        <f aca="false">IF(INDEX($H24:$Y24,1,Scenario_Selected)="",$H24,INDEX($H24:$Y24,1,Scenario_Selected))</f>
        <v>15</v>
      </c>
      <c r="H24" s="48" t="n">
        <v>15</v>
      </c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</row>
    <row r="25" customFormat="false" ht="15" hidden="false" customHeight="false" outlineLevel="0" collapsed="false">
      <c r="B25" s="1" t="s">
        <v>237</v>
      </c>
      <c r="C25" s="12" t="s">
        <v>38</v>
      </c>
      <c r="D25" s="14" t="s">
        <v>238</v>
      </c>
      <c r="F25" s="47" t="n">
        <f aca="false">IF(INDEX($H25:$Y25,1,Scenario_Selected)="",$H25,INDEX($H25:$Y25,1,Scenario_Selected))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customFormat="false" ht="15" hidden="false" customHeight="false" outlineLevel="0" collapsed="false">
      <c r="B26" s="1" t="s">
        <v>239</v>
      </c>
      <c r="C26" s="12" t="s">
        <v>38</v>
      </c>
      <c r="D26" s="14" t="s">
        <v>240</v>
      </c>
      <c r="F26" s="47" t="n">
        <f aca="false">IF(INDEX($H26:$Y26,1,Scenario_Selected)="",$H26,INDEX($H26:$Y26,1,Scenario_Selected))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customFormat="false" ht="15" hidden="false" customHeight="false" outlineLevel="0" collapsed="false">
      <c r="B27" s="1" t="s">
        <v>241</v>
      </c>
      <c r="C27" s="12" t="s">
        <v>38</v>
      </c>
      <c r="D27" s="14" t="s">
        <v>242</v>
      </c>
      <c r="F27" s="47" t="n">
        <f aca="false">IF(INDEX($H27:$Y27,1,Scenario_Selected)="",$H27,INDEX($H27:$Y27,1,Scenario_Selected))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customFormat="false" ht="15" hidden="false" customHeight="false" outlineLevel="0" collapsed="false">
      <c r="B28" s="1" t="s">
        <v>243</v>
      </c>
      <c r="C28" s="12" t="s">
        <v>38</v>
      </c>
      <c r="D28" s="14" t="s">
        <v>244</v>
      </c>
      <c r="F28" s="47" t="n">
        <f aca="false">IF(INDEX($H28:$Y28,1,Scenario_Selected)="",$H28,INDEX($H28:$Y28,1,Scenario_Selected))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customFormat="false" ht="15" hidden="false" customHeight="false" outlineLevel="0" collapsed="false">
      <c r="B29" s="1" t="s">
        <v>245</v>
      </c>
      <c r="C29" s="12" t="s">
        <v>66</v>
      </c>
      <c r="D29" s="14" t="s">
        <v>246</v>
      </c>
      <c r="F29" s="45" t="n">
        <f aca="false">IF(INDEX($H29:$Y29,1,Scenario_Selected)="",$H29,INDEX($H29:$Y29,1,Scenario_Selected))</f>
        <v>30</v>
      </c>
      <c r="H29" s="48" t="n">
        <v>30</v>
      </c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</row>
    <row r="30" customFormat="false" ht="15" hidden="false" customHeight="false" outlineLevel="0" collapsed="false">
      <c r="B30" s="1" t="s">
        <v>247</v>
      </c>
      <c r="C30" s="12" t="s">
        <v>38</v>
      </c>
      <c r="D30" s="14" t="s">
        <v>248</v>
      </c>
      <c r="F30" s="47" t="n">
        <f aca="false">IF(INDEX($H30:$Y30,1,Scenario_Selected)="",$H30,INDEX($H30:$Y30,1,Scenario_Selected))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2" customFormat="false" ht="15" hidden="false" customHeight="false" outlineLevel="0" collapsed="false">
      <c r="A32" s="10" t="s">
        <v>13</v>
      </c>
      <c r="B32" s="10"/>
      <c r="C32" s="10" t="s">
        <v>249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customFormat="false" ht="15" hidden="false" customHeight="false" outlineLevel="0" collapsed="false">
      <c r="B33" s="1" t="s">
        <v>250</v>
      </c>
      <c r="C33" s="12" t="s">
        <v>79</v>
      </c>
      <c r="D33" s="14" t="s">
        <v>251</v>
      </c>
      <c r="F33" s="49" t="n">
        <f aca="false">IF(INDEX($H33:$Y33,1,Scenario_Selected)="",$H33,INDEX($H33:$Y33,1,Scenario_Selected))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customFormat="false" ht="15" hidden="false" customHeight="false" outlineLevel="0" collapsed="false">
      <c r="B34" s="1" t="s">
        <v>252</v>
      </c>
      <c r="C34" s="12" t="s">
        <v>33</v>
      </c>
      <c r="D34" s="14" t="s">
        <v>253</v>
      </c>
      <c r="F34" s="49" t="n">
        <f aca="false">IF(INDEX($H34:$Y34,1,Scenario_Selected)="",$H34,INDEX($H34:$Y34,1,Scenario_Selected))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customFormat="false" ht="15" hidden="false" customHeight="false" outlineLevel="0" collapsed="false">
      <c r="B35" s="1" t="s">
        <v>254</v>
      </c>
      <c r="C35" s="12" t="s">
        <v>33</v>
      </c>
      <c r="D35" s="14" t="s">
        <v>255</v>
      </c>
      <c r="F35" s="49" t="n">
        <f aca="false">IF(INDEX($H35:$Y35,1,Scenario_Selected)="",$H35,INDEX($H35:$Y35,1,Scenario_Selected))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customFormat="false" ht="15" hidden="false" customHeight="false" outlineLevel="0" collapsed="false">
      <c r="B36" s="1" t="s">
        <v>256</v>
      </c>
      <c r="C36" s="12" t="s">
        <v>33</v>
      </c>
      <c r="D36" s="14" t="s">
        <v>257</v>
      </c>
      <c r="F36" s="49" t="n">
        <f aca="false">IF(INDEX($H36:$Y36,1,Scenario_Selected)="",$H36,INDEX($H36:$Y36,1,Scenario_Selected))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customFormat="false" ht="15" hidden="false" customHeight="false" outlineLevel="0" collapsed="false">
      <c r="B37" s="1" t="s">
        <v>258</v>
      </c>
      <c r="C37" s="12" t="s">
        <v>19</v>
      </c>
      <c r="D37" s="14" t="s">
        <v>259</v>
      </c>
      <c r="F37" s="49" t="n">
        <f aca="false">IF(INDEX($H37:$Y37,1,Scenario_Selected)="",$H37,INDEX($H37:$Y37,1,Scenario_Selected))</f>
        <v>2450</v>
      </c>
      <c r="H37" s="13" t="n">
        <v>2450</v>
      </c>
      <c r="I37" s="13" t="n">
        <f aca="false">H37*(1-Sens_Step)</f>
        <v>2205</v>
      </c>
      <c r="J37" s="13" t="n">
        <f aca="false">H37*(1+Sens_Step)</f>
        <v>2695</v>
      </c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customFormat="false" ht="15" hidden="false" customHeight="false" outlineLevel="0" collapsed="false">
      <c r="B38" s="1" t="s">
        <v>260</v>
      </c>
      <c r="C38" s="12" t="s">
        <v>19</v>
      </c>
      <c r="D38" s="14" t="s">
        <v>261</v>
      </c>
      <c r="F38" s="49" t="n">
        <f aca="false">IF(INDEX($H38:$Y38,1,Scenario_Selected)="",$H38,INDEX($H38:$Y38,1,Scenario_Selected))</f>
        <v>2100</v>
      </c>
      <c r="H38" s="13" t="n">
        <v>2100</v>
      </c>
      <c r="I38" s="13" t="n">
        <f aca="false">H38*(1-Sens_Step)</f>
        <v>1890</v>
      </c>
      <c r="J38" s="13" t="n">
        <f aca="false">H38*(1+Sens_Step)</f>
        <v>2310</v>
      </c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customFormat="false" ht="15" hidden="false" customHeight="false" outlineLevel="0" collapsed="false">
      <c r="B39" s="1" t="s">
        <v>262</v>
      </c>
      <c r="C39" s="12" t="s">
        <v>33</v>
      </c>
      <c r="D39" s="14" t="s">
        <v>263</v>
      </c>
      <c r="F39" s="49" t="n">
        <f aca="false">IF(INDEX($H39:$Y39,1,Scenario_Selected)="",$H39,INDEX($H39:$Y39,1,Scenario_Selected))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customFormat="false" ht="15" hidden="false" customHeight="false" outlineLevel="0" collapsed="false">
      <c r="B40" s="1" t="s">
        <v>264</v>
      </c>
      <c r="C40" s="12" t="s">
        <v>27</v>
      </c>
      <c r="D40" s="14" t="s">
        <v>265</v>
      </c>
      <c r="F40" s="50" t="n">
        <f aca="false">IF(INDEX($H40:$Y40,1,Scenario_Selected)="",$H40,INDEX($H40:$Y40,1,Scenario_Selected))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</row>
    <row r="41" customFormat="false" ht="15" hidden="false" customHeight="false" outlineLevel="0" collapsed="false">
      <c r="B41" s="1" t="s">
        <v>266</v>
      </c>
      <c r="C41" s="12" t="s">
        <v>27</v>
      </c>
      <c r="D41" s="14" t="s">
        <v>267</v>
      </c>
      <c r="F41" s="50" t="n">
        <f aca="false">IF(INDEX($H41:$Y41,1,Scenario_Selected)="",$H41,INDEX($H41:$Y41,1,Scenario_Selected))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 t="n">
        <v>0.09</v>
      </c>
      <c r="S41" s="18"/>
      <c r="T41" s="18"/>
      <c r="U41" s="18"/>
      <c r="V41" s="18"/>
      <c r="W41" s="18"/>
      <c r="X41" s="18"/>
      <c r="Y41" s="18"/>
    </row>
    <row r="42" customFormat="false" ht="15" hidden="false" customHeight="false" outlineLevel="0" collapsed="false">
      <c r="B42" s="1" t="s">
        <v>268</v>
      </c>
      <c r="C42" s="12" t="s">
        <v>43</v>
      </c>
      <c r="D42" s="14" t="s">
        <v>269</v>
      </c>
      <c r="F42" s="51" t="n">
        <f aca="false">IF(INDEX($H42:$Y42,1,Scenario_Selected)="",$H42,INDEX($H42:$Y42,1,Scenario_Selected))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  <c r="P42" s="24"/>
      <c r="Q42" s="24" t="n">
        <v>1</v>
      </c>
      <c r="R42" s="24"/>
      <c r="S42" s="24"/>
      <c r="T42" s="24"/>
      <c r="U42" s="24"/>
      <c r="V42" s="24"/>
      <c r="W42" s="24"/>
      <c r="X42" s="24"/>
      <c r="Y42" s="24"/>
    </row>
    <row r="43" customFormat="false" ht="15" hidden="false" customHeight="false" outlineLevel="0" collapsed="false">
      <c r="B43" s="1" t="s">
        <v>270</v>
      </c>
      <c r="C43" s="12" t="s">
        <v>27</v>
      </c>
      <c r="D43" s="14" t="s">
        <v>271</v>
      </c>
      <c r="F43" s="50" t="n">
        <f aca="false">IF(INDEX($H43:$Y43,1,Scenario_Selected)="",$H43,INDEX($H43:$Y43,1,Scenario_Selected))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</row>
    <row r="44" customFormat="false" ht="15" hidden="false" customHeight="false" outlineLevel="0" collapsed="false">
      <c r="B44" s="1" t="s">
        <v>272</v>
      </c>
      <c r="C44" s="12" t="s">
        <v>43</v>
      </c>
      <c r="D44" s="14" t="s">
        <v>273</v>
      </c>
      <c r="F44" s="51" t="n">
        <f aca="false">IF(INDEX($H44:$Y44,1,Scenario_Selected)="",$H44,INDEX($H44:$Y44,1,Scenario_Selected))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</row>
    <row r="45" customFormat="false" ht="15" hidden="false" customHeight="false" outlineLevel="0" collapsed="false">
      <c r="B45" s="1" t="s">
        <v>274</v>
      </c>
      <c r="C45" s="12" t="s">
        <v>66</v>
      </c>
      <c r="D45" s="14" t="s">
        <v>275</v>
      </c>
      <c r="F45" s="45" t="n">
        <f aca="false">IF(INDEX($H45:$Y45,1,Scenario_Selected)="",$H45,INDEX($H45:$Y45,1,Scenario_Selected))</f>
        <v>20</v>
      </c>
      <c r="H45" s="48" t="n">
        <v>20</v>
      </c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</row>
    <row r="46" customFormat="false" ht="15" hidden="false" customHeight="false" outlineLevel="0" collapsed="false">
      <c r="B46" s="1" t="s">
        <v>276</v>
      </c>
      <c r="C46" s="12" t="s">
        <v>27</v>
      </c>
      <c r="D46" s="14" t="s">
        <v>277</v>
      </c>
      <c r="F46" s="50" t="n">
        <f aca="false">IF(INDEX($H46:$Y46,1,Scenario_Selected)="",$H46,INDEX($H46:$Y46,1,Scenario_Selected))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</row>
    <row r="47" customFormat="false" ht="15" hidden="false" customHeight="false" outlineLevel="0" collapsed="false">
      <c r="B47" s="1" t="s">
        <v>278</v>
      </c>
      <c r="C47" s="12" t="s">
        <v>66</v>
      </c>
      <c r="D47" s="14" t="s">
        <v>279</v>
      </c>
      <c r="F47" s="45" t="n">
        <f aca="false">IF(INDEX($H47:$Y47,1,Scenario_Selected)="",$H47,INDEX($H47:$Y47,1,Scenario_Selected))</f>
        <v>5</v>
      </c>
      <c r="H47" s="48" t="n">
        <v>5</v>
      </c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</row>
    <row r="49" customFormat="false" ht="15" hidden="false" customHeight="false" outlineLevel="0" collapsed="false">
      <c r="A49" s="10" t="s">
        <v>13</v>
      </c>
      <c r="B49" s="10"/>
      <c r="C49" s="10" t="s">
        <v>280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customFormat="false" ht="15" hidden="false" customHeight="false" outlineLevel="0" collapsed="false">
      <c r="B50" s="1" t="s">
        <v>281</v>
      </c>
      <c r="C50" s="12" t="s">
        <v>152</v>
      </c>
      <c r="D50" s="14" t="s">
        <v>282</v>
      </c>
      <c r="F50" s="46" t="n">
        <v>2</v>
      </c>
    </row>
    <row r="51" customFormat="false" ht="15" hidden="false" customHeight="false" outlineLevel="0" collapsed="false">
      <c r="B51" s="1" t="s">
        <v>283</v>
      </c>
      <c r="C51" s="12" t="s">
        <v>77</v>
      </c>
      <c r="D51" s="14" t="s">
        <v>284</v>
      </c>
      <c r="F51" s="49" t="n">
        <f aca="false">IF(INDEX($H51:$Y51,1,Scenario_Selected)="",$H51,INDEX($H51:$Y51,1,Scenario_Selected))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customFormat="false" ht="15" hidden="false" customHeight="false" outlineLevel="0" collapsed="false">
      <c r="B52" s="1" t="s">
        <v>285</v>
      </c>
      <c r="C52" s="12" t="s">
        <v>27</v>
      </c>
      <c r="D52" s="14" t="s">
        <v>228</v>
      </c>
      <c r="F52" s="50" t="n">
        <f aca="false">IF(INDEX($H52:$Y52,1,Scenario_Selected)="",$H52,INDEX($H52:$Y52,1,Scenario_Selected))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 t="n">
        <v>0</v>
      </c>
      <c r="U52" s="18"/>
      <c r="V52" s="18"/>
      <c r="W52" s="18"/>
      <c r="X52" s="18" t="n">
        <v>0</v>
      </c>
      <c r="Y52" s="18" t="n">
        <v>0</v>
      </c>
    </row>
    <row r="53" customFormat="false" ht="15" hidden="false" customHeight="false" outlineLevel="0" collapsed="false">
      <c r="B53" s="1" t="s">
        <v>286</v>
      </c>
      <c r="C53" s="12" t="s">
        <v>43</v>
      </c>
      <c r="D53" s="14" t="s">
        <v>287</v>
      </c>
      <c r="F53" s="51" t="n">
        <f aca="false">IF(INDEX($H53:$Y53,1,Scenario_Selected)="",$H53,INDEX($H53:$Y53,1,Scenario_Selected))</f>
        <v>0</v>
      </c>
      <c r="H53" s="24" t="n">
        <v>0</v>
      </c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 t="n">
        <v>1</v>
      </c>
      <c r="Y53" s="24" t="n">
        <v>1</v>
      </c>
    </row>
    <row r="54" customFormat="false" ht="15" hidden="false" customHeight="false" outlineLevel="0" collapsed="false">
      <c r="B54" s="1" t="s">
        <v>288</v>
      </c>
      <c r="C54" s="12" t="s">
        <v>43</v>
      </c>
      <c r="D54" s="14" t="s">
        <v>289</v>
      </c>
      <c r="F54" s="51" t="n">
        <f aca="false">IF(INDEX($H54:$Y54,1,Scenario_Selected)="",$H54,INDEX($H54:$Y54,1,Scenario_Selected))</f>
        <v>1</v>
      </c>
      <c r="H54" s="24" t="n">
        <v>1</v>
      </c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 t="n">
        <v>0</v>
      </c>
      <c r="U54" s="24"/>
      <c r="V54" s="24"/>
      <c r="W54" s="24"/>
      <c r="X54" s="24"/>
      <c r="Y54" s="24"/>
    </row>
    <row r="55" customFormat="false" ht="15" hidden="false" customHeight="false" outlineLevel="0" collapsed="false">
      <c r="B55" s="1" t="s">
        <v>290</v>
      </c>
      <c r="C55" s="12" t="s">
        <v>27</v>
      </c>
      <c r="D55" s="14" t="s">
        <v>291</v>
      </c>
      <c r="F55" s="50" t="n">
        <f aca="false">IF(INDEX($H55:$Y55,1,Scenario_Selected)="",$H55,INDEX($H55:$Y55,1,Scenario_Selected))</f>
        <v>0</v>
      </c>
      <c r="H55" s="18" t="n">
        <v>0</v>
      </c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 t="n">
        <v>0.5</v>
      </c>
      <c r="T55" s="18"/>
      <c r="U55" s="18"/>
      <c r="V55" s="18"/>
      <c r="W55" s="18"/>
      <c r="X55" s="18"/>
      <c r="Y55" s="18"/>
    </row>
    <row r="56" customFormat="false" ht="15" hidden="false" customHeight="false" outlineLevel="0" collapsed="false">
      <c r="B56" s="1" t="s">
        <v>292</v>
      </c>
      <c r="C56" s="12" t="s">
        <v>27</v>
      </c>
      <c r="D56" s="14" t="s">
        <v>293</v>
      </c>
      <c r="F56" s="50" t="n">
        <f aca="false">IF(INDEX($H56:$Y56,1,Scenario_Selected)="",$H56,INDEX($H56:$Y56,1,Scenario_Selected))</f>
        <v>0.05</v>
      </c>
      <c r="H56" s="18" t="n">
        <v>0.05</v>
      </c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</row>
    <row r="57" customFormat="false" ht="15" hidden="false" customHeight="false" outlineLevel="0" collapsed="false">
      <c r="B57" s="1" t="s">
        <v>294</v>
      </c>
      <c r="C57" s="12" t="s">
        <v>43</v>
      </c>
      <c r="D57" s="14" t="s">
        <v>228</v>
      </c>
      <c r="F57" s="51" t="n">
        <f aca="false">IF(INDEX($H57:$Y57,1,Scenario_Selected)="",$H57,INDEX($H57:$Y57,1,Scenario_Selected))</f>
        <v>1</v>
      </c>
      <c r="H57" s="24" t="n">
        <v>1</v>
      </c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 t="n">
        <v>0</v>
      </c>
      <c r="U57" s="24"/>
      <c r="V57" s="24"/>
      <c r="W57" s="24"/>
      <c r="X57" s="24"/>
      <c r="Y57" s="24"/>
    </row>
    <row r="58" customFormat="false" ht="15" hidden="false" customHeight="false" outlineLevel="0" collapsed="false">
      <c r="B58" s="1" t="s">
        <v>295</v>
      </c>
      <c r="C58" s="12" t="s">
        <v>35</v>
      </c>
      <c r="D58" s="14" t="s">
        <v>296</v>
      </c>
      <c r="F58" s="37" t="n">
        <f aca="false">IF(INDEX($H58:$Y58,1,Scenario_Selected)="",$H58,INDEX($H58:$Y58,1,Scenario_Selected))</f>
        <v>4</v>
      </c>
      <c r="H58" s="20" t="n">
        <v>4</v>
      </c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</row>
    <row r="59" customFormat="false" ht="15" hidden="false" customHeight="false" outlineLevel="0" collapsed="false">
      <c r="B59" s="1" t="s">
        <v>297</v>
      </c>
      <c r="C59" s="12" t="s">
        <v>27</v>
      </c>
      <c r="D59" s="14" t="s">
        <v>298</v>
      </c>
      <c r="F59" s="50" t="n">
        <f aca="false">IF(INDEX($H59:$Y59,1,Scenario_Selected)="",$H59,INDEX($H59:$Y59,1,Scenario_Selected))</f>
        <v>0.1</v>
      </c>
      <c r="H59" s="18" t="n">
        <v>0.1</v>
      </c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</row>
    <row r="60" customFormat="false" ht="15" hidden="false" customHeight="false" outlineLevel="0" collapsed="false">
      <c r="B60" s="1" t="s">
        <v>299</v>
      </c>
      <c r="C60" s="12" t="s">
        <v>43</v>
      </c>
      <c r="D60" s="14" t="s">
        <v>300</v>
      </c>
      <c r="F60" s="51" t="n">
        <f aca="false">IF(INDEX($H60:$Y60,1,Scenario_Selected)="",$H60,INDEX($H60:$Y60,1,Scenario_Selected))</f>
        <v>1</v>
      </c>
      <c r="H60" s="24" t="n">
        <v>1</v>
      </c>
      <c r="I60" s="24"/>
      <c r="J60" s="24"/>
      <c r="K60" s="24"/>
      <c r="L60" s="24"/>
      <c r="M60" s="24"/>
      <c r="N60" s="24" t="n">
        <v>2</v>
      </c>
      <c r="O60" s="24"/>
      <c r="P60" s="24"/>
      <c r="Q60" s="24"/>
      <c r="R60" s="24"/>
      <c r="S60" s="24"/>
      <c r="T60" s="24" t="n">
        <v>2</v>
      </c>
      <c r="U60" s="24"/>
      <c r="V60" s="24"/>
      <c r="W60" s="24"/>
      <c r="X60" s="24"/>
      <c r="Y60" s="24"/>
    </row>
    <row r="61" customFormat="false" ht="15" hidden="false" customHeight="false" outlineLevel="0" collapsed="false">
      <c r="B61" s="1" t="s">
        <v>301</v>
      </c>
      <c r="C61" s="12" t="s">
        <v>219</v>
      </c>
      <c r="D61" s="14" t="s">
        <v>302</v>
      </c>
      <c r="F61" s="45" t="n">
        <f aca="false">IF(INDEX($H61:$Y61,1,Scenario_Selected)="",$H61,INDEX($H61:$Y61,1,Scenario_Selected))</f>
        <v>6</v>
      </c>
      <c r="H61" s="48" t="n">
        <v>6</v>
      </c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</row>
    <row r="62" customFormat="false" ht="15" hidden="false" customHeight="false" outlineLevel="0" collapsed="false">
      <c r="B62" s="1" t="s">
        <v>303</v>
      </c>
      <c r="C62" s="12" t="s">
        <v>304</v>
      </c>
      <c r="D62" s="14" t="s">
        <v>305</v>
      </c>
      <c r="F62" s="49" t="n">
        <f aca="false">IF(INDEX($H62:$Y62,1,Scenario_Selected)="",$H62,INDEX($H62:$Y62,1,Scenario_Selected))</f>
        <v>200</v>
      </c>
      <c r="H62" s="13" t="n">
        <v>200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customFormat="false" ht="15" hidden="false" customHeight="false" outlineLevel="0" collapsed="false">
      <c r="B63" s="1" t="s">
        <v>306</v>
      </c>
      <c r="C63" s="12" t="s">
        <v>307</v>
      </c>
      <c r="D63" s="14" t="s">
        <v>305</v>
      </c>
      <c r="F63" s="49" t="n">
        <f aca="false">IF(INDEX($H63:$Y63,1,Scenario_Selected)="",$H63,INDEX($H63:$Y63,1,Scenario_Selected))</f>
        <v>406</v>
      </c>
      <c r="H63" s="13" t="n">
        <v>406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customFormat="false" ht="15" hidden="false" customHeight="false" outlineLevel="0" collapsed="false">
      <c r="B64" s="1" t="s">
        <v>308</v>
      </c>
      <c r="C64" s="12" t="s">
        <v>309</v>
      </c>
      <c r="D64" s="14" t="s">
        <v>310</v>
      </c>
      <c r="F64" s="37" t="n">
        <f aca="false">IF(INDEX($H64:$Y64,1,Scenario_Selected)="",$H64,INDEX($H64:$Y64,1,Scenario_Selected))</f>
        <v>3</v>
      </c>
      <c r="H64" s="20" t="n">
        <v>3</v>
      </c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</row>
    <row r="65" customFormat="false" ht="15" hidden="false" customHeight="false" outlineLevel="0" collapsed="false">
      <c r="B65" s="1" t="s">
        <v>311</v>
      </c>
      <c r="C65" s="12" t="s">
        <v>27</v>
      </c>
      <c r="D65" s="14" t="s">
        <v>312</v>
      </c>
      <c r="F65" s="52" t="n">
        <f aca="false">IF(INDEX($H65:$Y65,1,Scenario_Selected)="",$H65,INDEX($H65:$Y65,1,Scenario_Selected))</f>
        <v>0.005</v>
      </c>
      <c r="H65" s="53" t="n">
        <v>0.005</v>
      </c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</row>
    <row r="66" customFormat="false" ht="15" hidden="false" customHeight="false" outlineLevel="0" collapsed="false">
      <c r="B66" s="1" t="s">
        <v>313</v>
      </c>
      <c r="C66" s="12" t="s">
        <v>27</v>
      </c>
      <c r="D66" s="14" t="s">
        <v>314</v>
      </c>
      <c r="F66" s="52" t="n">
        <f aca="false">IF(INDEX($H66:$Y66,1,Scenario_Selected)="",$H66,INDEX($H66:$Y66,1,Scenario_Selected))</f>
        <v>0.025</v>
      </c>
      <c r="H66" s="53" t="n">
        <v>0.025</v>
      </c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</row>
    <row r="67" customFormat="false" ht="15" hidden="false" customHeight="false" outlineLevel="0" collapsed="false">
      <c r="B67" s="1" t="s">
        <v>315</v>
      </c>
      <c r="C67" s="12" t="s">
        <v>316</v>
      </c>
      <c r="D67" s="14" t="s">
        <v>317</v>
      </c>
      <c r="F67" s="37" t="n">
        <f aca="false">IF(INDEX($H67:$Y67,1,Scenario_Selected)="",$H67,INDEX($H67:$Y67,1,Scenario_Selected))</f>
        <v>4.5</v>
      </c>
      <c r="H67" s="20" t="n">
        <v>4.5</v>
      </c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</row>
    <row r="68" customFormat="false" ht="15" hidden="false" customHeight="false" outlineLevel="0" collapsed="false">
      <c r="B68" s="1" t="s">
        <v>318</v>
      </c>
      <c r="C68" s="12" t="s">
        <v>309</v>
      </c>
      <c r="D68" s="14" t="s">
        <v>319</v>
      </c>
      <c r="F68" s="37" t="n">
        <f aca="false">IF(INDEX($H68:$Y68,1,Scenario_Selected)="",$H68,INDEX($H68:$Y68,1,Scenario_Selected))</f>
        <v>460</v>
      </c>
      <c r="H68" s="20" t="n">
        <v>460</v>
      </c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</row>
    <row r="69" customFormat="false" ht="15" hidden="false" customHeight="false" outlineLevel="0" collapsed="false">
      <c r="B69" s="1" t="s">
        <v>320</v>
      </c>
      <c r="C69" s="12" t="s">
        <v>316</v>
      </c>
      <c r="D69" s="14" t="s">
        <v>321</v>
      </c>
      <c r="F69" s="33" t="n">
        <f aca="false">IF(INDEX($H69:$Y69,1,Scenario_Selected)="",$H69,INDEX($H69:$Y69,1,Scenario_Selected))</f>
        <v>54.830209</v>
      </c>
      <c r="H69" s="17" t="n">
        <v>54.830209</v>
      </c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Format="false" ht="15" hidden="false" customHeight="false" outlineLevel="0" collapsed="false">
      <c r="B70" s="1" t="s">
        <v>322</v>
      </c>
      <c r="C70" s="12" t="s">
        <v>27</v>
      </c>
      <c r="D70" s="14" t="s">
        <v>323</v>
      </c>
      <c r="F70" s="50" t="n">
        <f aca="false">IF(INDEX($H70:$Y70,1,Scenario_Selected)="",$H70,INDEX($H70:$Y70,1,Scenario_Selected))</f>
        <v>0.06</v>
      </c>
      <c r="H70" s="18" t="n">
        <v>0.06</v>
      </c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</row>
    <row r="72" customFormat="false" ht="15" hidden="false" customHeight="false" outlineLevel="0" collapsed="false">
      <c r="A72" s="10" t="s">
        <v>13</v>
      </c>
      <c r="B72" s="10"/>
      <c r="C72" s="10" t="s">
        <v>324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customFormat="false" ht="15" hidden="false" customHeight="false" outlineLevel="0" collapsed="false">
      <c r="B73" s="1" t="s">
        <v>325</v>
      </c>
      <c r="C73" s="12" t="s">
        <v>19</v>
      </c>
      <c r="D73" s="14" t="s">
        <v>326</v>
      </c>
      <c r="F73" s="49" t="n">
        <f aca="false">IF(INDEX($H73:$Y73,1,Scenario_Selected)="",$H73,INDEX($H73:$Y73,1,Scenario_Selected))</f>
        <v>950</v>
      </c>
      <c r="H73" s="13" t="n">
        <v>950</v>
      </c>
      <c r="I73" s="13"/>
      <c r="J73" s="13"/>
      <c r="K73" s="13" t="n">
        <f aca="false">H73*(1+Sens_Step)</f>
        <v>1045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customFormat="false" ht="15" hidden="false" customHeight="false" outlineLevel="0" collapsed="false">
      <c r="B74" s="1" t="s">
        <v>327</v>
      </c>
      <c r="C74" s="12" t="s">
        <v>19</v>
      </c>
      <c r="D74" s="14" t="s">
        <v>328</v>
      </c>
      <c r="F74" s="49" t="n">
        <f aca="false">IF(INDEX($H74:$Y74,1,Scenario_Selected)="",$H74,INDEX($H74:$Y74,1,Scenario_Selected))</f>
        <v>500</v>
      </c>
      <c r="H74" s="13" t="n">
        <v>500</v>
      </c>
      <c r="I74" s="13"/>
      <c r="J74" s="13"/>
      <c r="K74" s="13" t="n">
        <f aca="false">H74*(1+Sens_Step)</f>
        <v>550</v>
      </c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customFormat="false" ht="15" hidden="false" customHeight="false" outlineLevel="0" collapsed="false">
      <c r="B75" s="1" t="s">
        <v>329</v>
      </c>
      <c r="C75" s="12" t="s">
        <v>19</v>
      </c>
      <c r="D75" s="14" t="s">
        <v>330</v>
      </c>
      <c r="F75" s="49" t="n">
        <f aca="false">IF(INDEX($H75:$Y75,1,Scenario_Selected)="",$H75,INDEX($H75:$Y75,1,Scenario_Selected))</f>
        <v>355</v>
      </c>
      <c r="H75" s="13" t="n">
        <v>355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customFormat="false" ht="15" hidden="false" customHeight="false" outlineLevel="0" collapsed="false">
      <c r="B76" s="1" t="s">
        <v>331</v>
      </c>
      <c r="C76" s="12" t="s">
        <v>33</v>
      </c>
      <c r="D76" s="14" t="s">
        <v>332</v>
      </c>
      <c r="F76" s="49" t="n">
        <f aca="false">IF(INDEX($H76:$Y76,1,Scenario_Selected)="",$H76,INDEX($H76:$Y76,1,Scenario_Selected))</f>
        <v>12000</v>
      </c>
      <c r="H76" s="13" t="n">
        <v>12000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customFormat="false" ht="15" hidden="false" customHeight="false" outlineLevel="0" collapsed="false">
      <c r="B77" s="1" t="s">
        <v>333</v>
      </c>
      <c r="C77" s="12" t="s">
        <v>33</v>
      </c>
      <c r="D77" s="14" t="s">
        <v>334</v>
      </c>
      <c r="F77" s="49" t="n">
        <f aca="false">IF(INDEX($H77:$Y77,1,Scenario_Selected)="",$H77,INDEX($H77:$Y77,1,Scenario_Selected))</f>
        <v>10800</v>
      </c>
      <c r="H77" s="13" t="n">
        <v>10800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customFormat="false" ht="15" hidden="false" customHeight="false" outlineLevel="0" collapsed="false">
      <c r="B78" s="1" t="s">
        <v>335</v>
      </c>
      <c r="C78" s="12" t="s">
        <v>27</v>
      </c>
      <c r="D78" s="14" t="s">
        <v>336</v>
      </c>
      <c r="F78" s="50" t="n">
        <f aca="false">IF(INDEX($H78:$Y78,1,Scenario_Selected)="",$H78,INDEX($H78:$Y78,1,Scenario_Selected))</f>
        <v>0.05</v>
      </c>
      <c r="H78" s="18" t="n">
        <v>0.05</v>
      </c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</row>
    <row r="79" customFormat="false" ht="15" hidden="false" customHeight="false" outlineLevel="0" collapsed="false">
      <c r="B79" s="1" t="s">
        <v>337</v>
      </c>
      <c r="C79" s="12" t="s">
        <v>338</v>
      </c>
      <c r="D79" s="14" t="s">
        <v>289</v>
      </c>
      <c r="F79" s="49" t="n">
        <f aca="false">IF(INDEX($H79:$Y79,1,Scenario_Selected)="",$H79,INDEX($H79:$Y79,1,Scenario_Selected))</f>
        <v>100</v>
      </c>
      <c r="H79" s="13" t="n">
        <v>100</v>
      </c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1" customFormat="false" ht="15" hidden="false" customHeight="false" outlineLevel="0" collapsed="false">
      <c r="A81" s="10" t="s">
        <v>13</v>
      </c>
      <c r="B81" s="10"/>
      <c r="C81" s="10" t="s">
        <v>339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customFormat="false" ht="15" hidden="false" customHeight="false" outlineLevel="0" collapsed="false">
      <c r="B82" s="1" t="s">
        <v>56</v>
      </c>
      <c r="C82" s="12" t="s">
        <v>57</v>
      </c>
      <c r="D82" s="14" t="s">
        <v>340</v>
      </c>
      <c r="F82" s="49" t="n">
        <f aca="false">IF(INDEX($H82:$Y82,1,Scenario_Selected)="",$H82,INDEX($H82:$Y82,1,Scenario_Selected))</f>
        <v>2600</v>
      </c>
      <c r="H82" s="13" t="n">
        <v>2600</v>
      </c>
      <c r="I82" s="13"/>
      <c r="J82" s="13"/>
      <c r="K82" s="13"/>
      <c r="L82" s="13" t="n">
        <f aca="false">H82*(1-Sens_Step)</f>
        <v>2340</v>
      </c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 t="n">
        <v>2850</v>
      </c>
      <c r="Y82" s="13" t="n">
        <v>2850</v>
      </c>
    </row>
    <row r="83" customFormat="false" ht="15" hidden="false" customHeight="false" outlineLevel="0" collapsed="false">
      <c r="B83" s="1" t="s">
        <v>341</v>
      </c>
      <c r="C83" s="12" t="s">
        <v>27</v>
      </c>
      <c r="D83" s="14" t="s">
        <v>342</v>
      </c>
      <c r="F83" s="50" t="n">
        <f aca="false">IF(INDEX($H83:$Y83,1,Scenario_Selected)="",$H83,INDEX($H83:$Y83,1,Scenario_Selected))</f>
        <v>0.02</v>
      </c>
      <c r="H83" s="18" t="n">
        <v>0.02</v>
      </c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</row>
    <row r="84" customFormat="false" ht="15" hidden="false" customHeight="false" outlineLevel="0" collapsed="false">
      <c r="B84" s="1" t="s">
        <v>343</v>
      </c>
      <c r="C84" s="12" t="s">
        <v>27</v>
      </c>
      <c r="D84" s="14" t="s">
        <v>344</v>
      </c>
      <c r="F84" s="52" t="n">
        <f aca="false">IF(INDEX($H84:$Y84,1,Scenario_Selected)="",$H84,INDEX($H84:$Y84,1,Scenario_Selected))</f>
        <v>0.003</v>
      </c>
      <c r="H84" s="53" t="n">
        <v>0.003</v>
      </c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</row>
    <row r="85" customFormat="false" ht="15" hidden="false" customHeight="false" outlineLevel="0" collapsed="false">
      <c r="B85" s="1" t="s">
        <v>345</v>
      </c>
      <c r="C85" s="12" t="s">
        <v>24</v>
      </c>
      <c r="D85" s="14" t="s">
        <v>228</v>
      </c>
      <c r="F85" s="37" t="n">
        <f aca="false">IF(INDEX($H85:$Y85,1,Scenario_Selected)="",$H85,INDEX($H85:$Y85,1,Scenario_Selected))</f>
        <v>90</v>
      </c>
      <c r="H85" s="20" t="n">
        <v>90</v>
      </c>
      <c r="I85" s="20"/>
      <c r="J85" s="20"/>
      <c r="K85" s="20"/>
      <c r="L85" s="20"/>
      <c r="M85" s="20" t="n">
        <v>99</v>
      </c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 t="n">
        <v>100</v>
      </c>
      <c r="Y85" s="20" t="n">
        <v>105</v>
      </c>
    </row>
    <row r="86" customFormat="false" ht="15" hidden="false" customHeight="false" outlineLevel="0" collapsed="false">
      <c r="B86" s="1" t="s">
        <v>346</v>
      </c>
      <c r="C86" s="12" t="s">
        <v>27</v>
      </c>
      <c r="D86" s="14" t="s">
        <v>347</v>
      </c>
      <c r="F86" s="50" t="n">
        <f aca="false">IF(INDEX($H86:$Y86,1,Scenario_Selected)="",$H86,INDEX($H86:$Y86,1,Scenario_Selected))</f>
        <v>0.01</v>
      </c>
      <c r="H86" s="18" t="n">
        <v>0.01</v>
      </c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</row>
    <row r="87" customFormat="false" ht="15" hidden="false" customHeight="false" outlineLevel="0" collapsed="false">
      <c r="B87" s="1" t="s">
        <v>348</v>
      </c>
      <c r="C87" s="12" t="s">
        <v>24</v>
      </c>
      <c r="D87" s="14" t="s">
        <v>349</v>
      </c>
      <c r="F87" s="37" t="n">
        <f aca="false">IF(INDEX($H87:$Y87,1,Scenario_Selected)="",$H87,INDEX($H87:$Y87,1,Scenario_Selected))</f>
        <v>5</v>
      </c>
      <c r="H87" s="20" t="n">
        <v>5</v>
      </c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</row>
    <row r="88" customFormat="false" ht="15" hidden="false" customHeight="false" outlineLevel="0" collapsed="false">
      <c r="B88" s="1" t="s">
        <v>350</v>
      </c>
      <c r="C88" s="12" t="s">
        <v>19</v>
      </c>
      <c r="D88" s="14" t="s">
        <v>351</v>
      </c>
      <c r="F88" s="49" t="n">
        <f aca="false">IF(INDEX($H88:$Y88,1,Scenario_Selected)="",$H88,INDEX($H88:$Y88,1,Scenario_Selected))</f>
        <v>22</v>
      </c>
      <c r="H88" s="13" t="n">
        <v>22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customFormat="false" ht="15" hidden="false" customHeight="false" outlineLevel="0" collapsed="false">
      <c r="B89" s="1" t="s">
        <v>352</v>
      </c>
      <c r="C89" s="12" t="s">
        <v>19</v>
      </c>
      <c r="D89" s="14" t="s">
        <v>353</v>
      </c>
      <c r="F89" s="49" t="n">
        <f aca="false">IF(INDEX($H89:$Y89,1,Scenario_Selected)="",$H89,INDEX($H89:$Y89,1,Scenario_Selected))</f>
        <v>3</v>
      </c>
      <c r="H89" s="13" t="n">
        <v>3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customFormat="false" ht="15" hidden="false" customHeight="false" outlineLevel="0" collapsed="false">
      <c r="B90" s="1" t="s">
        <v>354</v>
      </c>
      <c r="C90" s="12" t="s">
        <v>33</v>
      </c>
      <c r="D90" s="14" t="s">
        <v>355</v>
      </c>
      <c r="F90" s="49" t="n">
        <f aca="false">IF(INDEX($H90:$Y90,1,Scenario_Selected)="",$H90,INDEX($H90:$Y90,1,Scenario_Selected))</f>
        <v>150</v>
      </c>
      <c r="H90" s="13" t="n">
        <v>150</v>
      </c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</row>
    <row r="91" customFormat="false" ht="15" hidden="false" customHeight="false" outlineLevel="0" collapsed="false">
      <c r="B91" s="1" t="s">
        <v>356</v>
      </c>
      <c r="C91" s="12" t="s">
        <v>27</v>
      </c>
      <c r="D91" s="14" t="s">
        <v>357</v>
      </c>
      <c r="F91" s="50" t="n">
        <f aca="false">IF(INDEX($H91:$Y91,1,Scenario_Selected)="",$H91,INDEX($H91:$Y91,1,Scenario_Selected))</f>
        <v>0.05</v>
      </c>
      <c r="H91" s="18" t="n">
        <v>0.05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</row>
    <row r="92" customFormat="false" ht="15" hidden="false" customHeight="false" outlineLevel="0" collapsed="false">
      <c r="B92" s="1" t="s">
        <v>358</v>
      </c>
      <c r="C92" s="12" t="s">
        <v>27</v>
      </c>
      <c r="D92" s="14" t="s">
        <v>359</v>
      </c>
      <c r="F92" s="50" t="n">
        <f aca="false">IF(INDEX($H92:$Y92,1,Scenario_Selected)="",$H92,INDEX($H92:$Y92,1,Scenario_Selected))</f>
        <v>0.025</v>
      </c>
      <c r="H92" s="18" t="n">
        <v>0.025</v>
      </c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</row>
    <row r="93" customFormat="false" ht="15" hidden="false" customHeight="false" outlineLevel="0" collapsed="false">
      <c r="B93" s="1" t="s">
        <v>360</v>
      </c>
      <c r="C93" s="12" t="s">
        <v>27</v>
      </c>
      <c r="D93" s="14" t="s">
        <v>361</v>
      </c>
      <c r="F93" s="52" t="n">
        <f aca="false">IF(INDEX($H93:$Y93,1,Scenario_Selected)="",$H93,INDEX($H93:$Y93,1,Scenario_Selected))</f>
        <v>0.001</v>
      </c>
      <c r="H93" s="53" t="n">
        <v>0.001</v>
      </c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</row>
    <row r="94" customFormat="false" ht="15" hidden="false" customHeight="false" outlineLevel="0" collapsed="false">
      <c r="B94" s="1" t="s">
        <v>362</v>
      </c>
      <c r="C94" s="12" t="s">
        <v>27</v>
      </c>
      <c r="D94" s="14" t="s">
        <v>363</v>
      </c>
      <c r="F94" s="50" t="n">
        <f aca="false">IF(INDEX($H94:$Y94,1,Scenario_Selected)="",$H94,INDEX($H94:$Y94,1,Scenario_Selected))</f>
        <v>0.02</v>
      </c>
      <c r="H94" s="18" t="n">
        <v>0.02</v>
      </c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</row>
    <row r="95" customFormat="false" ht="15" hidden="false" customHeight="false" outlineLevel="0" collapsed="false">
      <c r="B95" s="1" t="s">
        <v>364</v>
      </c>
      <c r="C95" s="12" t="s">
        <v>27</v>
      </c>
      <c r="D95" s="14" t="s">
        <v>365</v>
      </c>
      <c r="F95" s="52" t="n">
        <f aca="false">IF(INDEX($H95:$Y95,1,Scenario_Selected)="",$H95,INDEX($H95:$Y95,1,Scenario_Selected))</f>
        <v>0.003</v>
      </c>
      <c r="H95" s="53" t="n">
        <v>0.003</v>
      </c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</row>
    <row r="97" customFormat="false" ht="15" hidden="false" customHeight="false" outlineLevel="0" collapsed="false">
      <c r="A97" s="10" t="s">
        <v>13</v>
      </c>
      <c r="B97" s="10"/>
      <c r="C97" s="10" t="s">
        <v>366</v>
      </c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customFormat="false" ht="15" hidden="false" customHeight="false" outlineLevel="0" collapsed="false">
      <c r="B98" s="1" t="s">
        <v>367</v>
      </c>
      <c r="C98" s="12" t="s">
        <v>27</v>
      </c>
      <c r="D98" s="14" t="s">
        <v>368</v>
      </c>
      <c r="F98" s="50" t="n">
        <f aca="false">IF(INDEX($H98:$Y98,1,Scenario_Selected)="",$H98,INDEX($H98:$Y98,1,Scenario_Selected))</f>
        <v>0.55</v>
      </c>
      <c r="H98" s="18" t="n">
        <v>0.55</v>
      </c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 t="n">
        <v>0.7</v>
      </c>
      <c r="W98" s="18" t="n">
        <v>0.7</v>
      </c>
      <c r="X98" s="18" t="n">
        <v>0.6</v>
      </c>
      <c r="Y98" s="18" t="n">
        <v>0.6</v>
      </c>
    </row>
    <row r="99" customFormat="false" ht="15" hidden="false" customHeight="false" outlineLevel="0" collapsed="false">
      <c r="B99" s="1" t="s">
        <v>369</v>
      </c>
      <c r="C99" s="12" t="s">
        <v>19</v>
      </c>
      <c r="D99" s="14" t="s">
        <v>370</v>
      </c>
      <c r="F99" s="49" t="n">
        <f aca="false">IF(INDEX($H99:$Y99,1,Scenario_Selected)="",$H99,INDEX($H99:$Y99,1,Scenario_Selected))</f>
        <v>0</v>
      </c>
      <c r="H99" s="13" t="n">
        <v>0</v>
      </c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 t="n">
        <v>900</v>
      </c>
      <c r="W99" s="13" t="n">
        <v>710</v>
      </c>
      <c r="X99" s="13"/>
      <c r="Y99" s="13"/>
    </row>
    <row r="100" customFormat="false" ht="15" hidden="false" customHeight="false" outlineLevel="0" collapsed="false">
      <c r="B100" s="1" t="s">
        <v>371</v>
      </c>
      <c r="C100" s="12" t="s">
        <v>27</v>
      </c>
      <c r="D100" s="14" t="s">
        <v>372</v>
      </c>
      <c r="F100" s="50" t="n">
        <f aca="false">IF(INDEX($H100:$Y100,1,Scenario_Selected)="",$H100,INDEX($H100:$Y100,1,Scenario_Selected))</f>
        <v>0</v>
      </c>
      <c r="H100" s="18" t="n">
        <v>0</v>
      </c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 t="n">
        <v>1</v>
      </c>
      <c r="V100" s="18"/>
      <c r="W100" s="18"/>
      <c r="X100" s="18"/>
      <c r="Y100" s="18"/>
    </row>
    <row r="101" customFormat="false" ht="15" hidden="false" customHeight="false" outlineLevel="0" collapsed="false">
      <c r="B101" s="1" t="s">
        <v>135</v>
      </c>
      <c r="C101" s="12" t="s">
        <v>13</v>
      </c>
      <c r="D101" s="14" t="s">
        <v>373</v>
      </c>
      <c r="F101" s="54" t="n">
        <f aca="false">IF(INDEX($H101:$Y101,1,Scenario_Selected)="",$H101,INDEX($H101:$Y101,1,Scenario_Selected))</f>
        <v>1.1</v>
      </c>
      <c r="H101" s="22" t="n">
        <v>1.1</v>
      </c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</row>
    <row r="102" customFormat="false" ht="15" hidden="false" customHeight="false" outlineLevel="0" collapsed="false">
      <c r="B102" s="1" t="s">
        <v>138</v>
      </c>
      <c r="C102" s="12" t="s">
        <v>13</v>
      </c>
      <c r="D102" s="14" t="s">
        <v>373</v>
      </c>
      <c r="F102" s="54" t="n">
        <f aca="false">IF(INDEX($H102:$Y102,1,Scenario_Selected)="",$H102,INDEX($H102:$Y102,1,Scenario_Selected))</f>
        <v>1.2</v>
      </c>
      <c r="H102" s="22" t="n">
        <v>1.2</v>
      </c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</row>
    <row r="103" customFormat="false" ht="15" hidden="false" customHeight="false" outlineLevel="0" collapsed="false">
      <c r="B103" s="1" t="s">
        <v>374</v>
      </c>
      <c r="C103" s="12" t="s">
        <v>13</v>
      </c>
      <c r="D103" s="14" t="s">
        <v>375</v>
      </c>
      <c r="F103" s="54" t="n">
        <f aca="false">IF(INDEX($H103:$Y103,1,Scenario_Selected)="",$H103,INDEX($H103:$Y103,1,Scenario_Selected))</f>
        <v>1.2</v>
      </c>
      <c r="H103" s="22" t="n">
        <v>1.2</v>
      </c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 t="n">
        <v>1.3</v>
      </c>
      <c r="X103" s="22"/>
      <c r="Y103" s="22"/>
    </row>
    <row r="104" customFormat="false" ht="15" hidden="false" customHeight="false" outlineLevel="0" collapsed="false">
      <c r="B104" s="1" t="s">
        <v>376</v>
      </c>
      <c r="C104" s="12" t="s">
        <v>66</v>
      </c>
      <c r="D104" s="14" t="s">
        <v>377</v>
      </c>
      <c r="F104" s="45" t="n">
        <f aca="false">IF(INDEX($H104:$Y104,1,Scenario_Selected)="",$H104,INDEX($H104:$Y104,1,Scenario_Selected))</f>
        <v>15</v>
      </c>
      <c r="H104" s="48" t="n">
        <v>15</v>
      </c>
      <c r="I104" s="48"/>
      <c r="J104" s="48"/>
      <c r="K104" s="48"/>
      <c r="L104" s="48"/>
      <c r="M104" s="48"/>
      <c r="N104" s="48"/>
      <c r="O104" s="48"/>
      <c r="P104" s="48" t="n">
        <v>10</v>
      </c>
      <c r="Q104" s="48"/>
      <c r="R104" s="48"/>
      <c r="S104" s="48"/>
      <c r="T104" s="48"/>
      <c r="U104" s="48"/>
      <c r="V104" s="48"/>
      <c r="W104" s="48" t="n">
        <v>12</v>
      </c>
      <c r="X104" s="48"/>
      <c r="Y104" s="48"/>
    </row>
    <row r="105" customFormat="false" ht="15" hidden="false" customHeight="false" outlineLevel="0" collapsed="false">
      <c r="B105" s="1" t="s">
        <v>378</v>
      </c>
      <c r="C105" s="12" t="s">
        <v>27</v>
      </c>
      <c r="D105" s="14" t="s">
        <v>379</v>
      </c>
      <c r="F105" s="50" t="n">
        <f aca="false">IF(INDEX($H105:$Y105,1,Scenario_Selected)="",$H105,INDEX($H105:$Y105,1,Scenario_Selected))</f>
        <v>0.05</v>
      </c>
      <c r="H105" s="18" t="n">
        <v>0.05</v>
      </c>
      <c r="I105" s="18"/>
      <c r="J105" s="18"/>
      <c r="K105" s="18"/>
      <c r="L105" s="18"/>
      <c r="M105" s="18"/>
      <c r="N105" s="18"/>
      <c r="O105" s="18" t="n">
        <v>0.06</v>
      </c>
      <c r="P105" s="18"/>
      <c r="Q105" s="18"/>
      <c r="R105" s="18"/>
      <c r="S105" s="18"/>
      <c r="T105" s="18"/>
      <c r="U105" s="18"/>
      <c r="V105" s="18"/>
      <c r="W105" s="18"/>
      <c r="X105" s="18"/>
      <c r="Y105" s="18"/>
    </row>
    <row r="106" customFormat="false" ht="15" hidden="false" customHeight="false" outlineLevel="0" collapsed="false">
      <c r="B106" s="1" t="s">
        <v>380</v>
      </c>
      <c r="C106" s="12" t="s">
        <v>27</v>
      </c>
      <c r="D106" s="14" t="s">
        <v>381</v>
      </c>
      <c r="F106" s="52" t="n">
        <f aca="false">IF(INDEX($H106:$Y106,1,Scenario_Selected)="",$H106,INDEX($H106:$Y106,1,Scenario_Selected))</f>
        <v>0.0175</v>
      </c>
      <c r="H106" s="53" t="n">
        <v>0.0175</v>
      </c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</row>
    <row r="107" customFormat="false" ht="15" hidden="false" customHeight="false" outlineLevel="0" collapsed="false">
      <c r="B107" s="1" t="s">
        <v>382</v>
      </c>
      <c r="C107" s="12" t="s">
        <v>27</v>
      </c>
      <c r="D107" s="14" t="s">
        <v>383</v>
      </c>
      <c r="F107" s="52" t="n">
        <f aca="false">IF(INDEX($H107:$Y107,1,Scenario_Selected)="",$H107,INDEX($H107:$Y107,1,Scenario_Selected))</f>
        <v>0.009</v>
      </c>
      <c r="H107" s="53" t="n">
        <v>0.009</v>
      </c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</row>
    <row r="108" customFormat="false" ht="15" hidden="false" customHeight="false" outlineLevel="0" collapsed="false">
      <c r="B108" s="1" t="s">
        <v>384</v>
      </c>
      <c r="C108" s="12" t="s">
        <v>219</v>
      </c>
      <c r="D108" s="14" t="s">
        <v>385</v>
      </c>
      <c r="F108" s="45" t="n">
        <f aca="false">IF(INDEX($H108:$Y108,1,Scenario_Selected)="",$H108,INDEX($H108:$Y108,1,Scenario_Selected))</f>
        <v>6</v>
      </c>
      <c r="H108" s="48" t="n">
        <v>6</v>
      </c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</row>
    <row r="110" customFormat="false" ht="15" hidden="false" customHeight="false" outlineLevel="0" collapsed="false">
      <c r="A110" s="10" t="s">
        <v>13</v>
      </c>
      <c r="B110" s="10"/>
      <c r="C110" s="10" t="s">
        <v>386</v>
      </c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customFormat="false" ht="15" hidden="false" customHeight="false" outlineLevel="0" collapsed="false">
      <c r="B111" s="1" t="s">
        <v>387</v>
      </c>
      <c r="C111" s="12" t="s">
        <v>21</v>
      </c>
      <c r="D111" s="14" t="s">
        <v>388</v>
      </c>
      <c r="F111" s="4" t="s">
        <v>389</v>
      </c>
    </row>
    <row r="112" customFormat="false" ht="15" hidden="false" customHeight="false" outlineLevel="0" collapsed="false">
      <c r="B112" s="1" t="s">
        <v>390</v>
      </c>
      <c r="C112" s="12" t="s">
        <v>21</v>
      </c>
      <c r="D112" s="14" t="s">
        <v>391</v>
      </c>
      <c r="F112" s="4"/>
    </row>
    <row r="114" customFormat="false" ht="15" hidden="false" customHeight="false" outlineLevel="0" collapsed="false">
      <c r="C114" s="43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392</v>
      </c>
      <c r="D5" s="10"/>
      <c r="E5" s="10" t="s">
        <v>393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394</v>
      </c>
      <c r="F6" s="9" t="s">
        <v>395</v>
      </c>
      <c r="J6" s="9" t="s">
        <v>396</v>
      </c>
    </row>
    <row r="7" customFormat="false" ht="15" hidden="false" customHeight="false" outlineLevel="0" collapsed="false">
      <c r="C7" s="1" t="s">
        <v>397</v>
      </c>
      <c r="D7" s="12" t="s">
        <v>19</v>
      </c>
      <c r="E7" s="46" t="n">
        <v>10</v>
      </c>
      <c r="F7" s="46" t="n">
        <v>50</v>
      </c>
      <c r="J7" s="46" t="n">
        <v>10</v>
      </c>
      <c r="K7" s="46" t="n">
        <v>15</v>
      </c>
      <c r="L7" s="46" t="n">
        <v>20</v>
      </c>
      <c r="M7" s="46" t="n">
        <v>25</v>
      </c>
      <c r="N7" s="46" t="n">
        <v>30</v>
      </c>
      <c r="O7" s="46" t="n">
        <v>35</v>
      </c>
      <c r="P7" s="46" t="n">
        <v>40</v>
      </c>
      <c r="Q7" s="46" t="n">
        <v>45</v>
      </c>
      <c r="R7" s="46" t="n">
        <v>50</v>
      </c>
    </row>
    <row r="8" customFormat="false" ht="15" hidden="false" customHeight="false" outlineLevel="0" collapsed="false">
      <c r="C8" s="1" t="s">
        <v>398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399</v>
      </c>
      <c r="D9" s="12" t="s">
        <v>53</v>
      </c>
      <c r="E9" s="18" t="n">
        <v>0.2</v>
      </c>
      <c r="J9" s="48" t="n">
        <v>0</v>
      </c>
      <c r="K9" s="48" t="n">
        <v>10</v>
      </c>
      <c r="L9" s="48" t="n">
        <v>20</v>
      </c>
      <c r="M9" s="48" t="n">
        <v>30</v>
      </c>
      <c r="N9" s="48" t="n">
        <v>40</v>
      </c>
      <c r="O9" s="48" t="n">
        <v>55</v>
      </c>
      <c r="P9" s="48" t="n">
        <v>70</v>
      </c>
      <c r="Q9" s="48" t="n">
        <v>80</v>
      </c>
      <c r="R9" s="48" t="n">
        <v>90</v>
      </c>
      <c r="S9" s="48" t="n">
        <v>100</v>
      </c>
    </row>
    <row r="10" customFormat="false" ht="15" hidden="false" customHeight="false" outlineLevel="0" collapsed="false">
      <c r="C10" s="1" t="s">
        <v>400</v>
      </c>
      <c r="D10" s="12" t="s">
        <v>24</v>
      </c>
      <c r="E10" s="46" t="n">
        <v>2</v>
      </c>
      <c r="F10" s="46" t="n">
        <v>3</v>
      </c>
      <c r="J10" s="46" t="n">
        <v>2</v>
      </c>
      <c r="K10" s="46" t="n">
        <v>2.1</v>
      </c>
      <c r="L10" s="46" t="n">
        <v>2.2</v>
      </c>
      <c r="M10" s="46" t="n">
        <v>2.3</v>
      </c>
      <c r="N10" s="46" t="n">
        <v>2.4</v>
      </c>
      <c r="O10" s="46" t="n">
        <v>2.5</v>
      </c>
      <c r="P10" s="46" t="n">
        <v>2.6</v>
      </c>
      <c r="Q10" s="46" t="n">
        <v>2.7</v>
      </c>
      <c r="R10" s="46" t="n">
        <v>2.8</v>
      </c>
      <c r="S10" s="46" t="n">
        <v>2.9</v>
      </c>
      <c r="T10" s="46" t="n">
        <v>3</v>
      </c>
    </row>
    <row r="11" customFormat="false" ht="15" hidden="false" customHeight="false" outlineLevel="0" collapsed="false">
      <c r="C11" s="1" t="s">
        <v>401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402</v>
      </c>
      <c r="D12" s="12" t="s">
        <v>53</v>
      </c>
      <c r="E12" s="18" t="n">
        <v>0.15</v>
      </c>
      <c r="J12" s="48" t="n">
        <v>0</v>
      </c>
      <c r="K12" s="48" t="n">
        <v>5</v>
      </c>
      <c r="L12" s="48" t="n">
        <v>10</v>
      </c>
      <c r="M12" s="48" t="n">
        <v>20</v>
      </c>
      <c r="N12" s="48" t="n">
        <v>30</v>
      </c>
      <c r="O12" s="48" t="n">
        <v>40</v>
      </c>
      <c r="P12" s="48" t="n">
        <v>50</v>
      </c>
      <c r="Q12" s="48" t="n">
        <v>60</v>
      </c>
      <c r="R12" s="48" t="n">
        <v>70</v>
      </c>
      <c r="S12" s="48" t="n">
        <v>80</v>
      </c>
      <c r="T12" s="48" t="n">
        <v>90</v>
      </c>
      <c r="U12" s="48" t="n">
        <v>100</v>
      </c>
    </row>
    <row r="13" customFormat="false" ht="15" hidden="false" customHeight="false" outlineLevel="0" collapsed="false">
      <c r="C13" s="1" t="s">
        <v>403</v>
      </c>
      <c r="D13" s="12" t="s">
        <v>27</v>
      </c>
      <c r="E13" s="46" t="n">
        <v>0.05</v>
      </c>
      <c r="J13" s="46" t="n">
        <v>0.02</v>
      </c>
      <c r="K13" s="46" t="n">
        <v>0.05</v>
      </c>
      <c r="L13" s="46" t="n">
        <v>0.1</v>
      </c>
      <c r="M13" s="46" t="n">
        <v>0.15</v>
      </c>
      <c r="N13" s="46" t="n">
        <v>0.2</v>
      </c>
      <c r="O13" s="46" t="n">
        <v>0.25</v>
      </c>
      <c r="P13" s="46" t="n">
        <v>0.3</v>
      </c>
      <c r="Q13" s="46" t="n">
        <v>0.35</v>
      </c>
      <c r="R13" s="46" t="n">
        <v>0.4</v>
      </c>
      <c r="S13" s="46" t="n">
        <v>0.5</v>
      </c>
    </row>
    <row r="14" customFormat="false" ht="15" hidden="false" customHeight="false" outlineLevel="0" collapsed="false">
      <c r="C14" s="1" t="s">
        <v>404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405</v>
      </c>
      <c r="D15" s="12" t="s">
        <v>53</v>
      </c>
      <c r="E15" s="18" t="n">
        <v>0.15</v>
      </c>
      <c r="J15" s="48" t="n">
        <v>0</v>
      </c>
      <c r="K15" s="48" t="n">
        <v>10</v>
      </c>
      <c r="L15" s="48" t="n">
        <v>20</v>
      </c>
      <c r="M15" s="48" t="n">
        <v>30</v>
      </c>
      <c r="N15" s="48" t="n">
        <v>40</v>
      </c>
      <c r="O15" s="48" t="n">
        <v>50</v>
      </c>
      <c r="P15" s="48" t="n">
        <v>60</v>
      </c>
      <c r="Q15" s="48" t="n">
        <v>70</v>
      </c>
      <c r="R15" s="48" t="n">
        <v>80</v>
      </c>
      <c r="S15" s="48" t="n">
        <v>90</v>
      </c>
      <c r="T15" s="48" t="n">
        <v>100</v>
      </c>
    </row>
    <row r="16" customFormat="false" ht="15" hidden="false" customHeight="false" outlineLevel="0" collapsed="false">
      <c r="C16" s="1" t="s">
        <v>406</v>
      </c>
      <c r="D16" s="12" t="s">
        <v>27</v>
      </c>
      <c r="J16" s="46" t="n">
        <v>0.02</v>
      </c>
      <c r="K16" s="46" t="n">
        <v>0.05</v>
      </c>
      <c r="L16" s="46" t="n">
        <v>0.1</v>
      </c>
      <c r="M16" s="46" t="n">
        <v>0.15</v>
      </c>
      <c r="N16" s="46" t="n">
        <v>0.2</v>
      </c>
      <c r="O16" s="46" t="n">
        <v>0.25</v>
      </c>
      <c r="P16" s="46" t="n">
        <v>0.3</v>
      </c>
      <c r="Q16" s="46" t="n">
        <v>0.35</v>
      </c>
      <c r="R16" s="46" t="n">
        <v>0.4</v>
      </c>
      <c r="S16" s="46" t="n">
        <v>0.5</v>
      </c>
    </row>
    <row r="17" customFormat="false" ht="15" hidden="false" customHeight="false" outlineLevel="0" collapsed="false">
      <c r="C17" s="1" t="s">
        <v>407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408</v>
      </c>
      <c r="D18" s="12" t="s">
        <v>53</v>
      </c>
      <c r="E18" s="18" t="n">
        <v>0.1</v>
      </c>
      <c r="J18" s="48" t="n">
        <v>0</v>
      </c>
      <c r="K18" s="48" t="n">
        <v>10</v>
      </c>
      <c r="L18" s="48" t="n">
        <v>20</v>
      </c>
      <c r="M18" s="48" t="n">
        <v>30</v>
      </c>
      <c r="N18" s="48" t="n">
        <v>40</v>
      </c>
      <c r="O18" s="48" t="n">
        <v>50</v>
      </c>
      <c r="P18" s="48" t="n">
        <v>60</v>
      </c>
      <c r="Q18" s="48" t="n">
        <v>70</v>
      </c>
      <c r="R18" s="48" t="n">
        <v>80</v>
      </c>
      <c r="S18" s="48" t="n">
        <v>90</v>
      </c>
      <c r="T18" s="48" t="n">
        <v>100</v>
      </c>
    </row>
    <row r="19" customFormat="false" ht="15" hidden="false" customHeight="false" outlineLevel="0" collapsed="false">
      <c r="C19" s="1" t="s">
        <v>409</v>
      </c>
      <c r="D19" s="12" t="s">
        <v>13</v>
      </c>
      <c r="J19" s="46" t="n">
        <v>1</v>
      </c>
      <c r="K19" s="46" t="n">
        <v>1.2</v>
      </c>
      <c r="L19" s="46" t="n">
        <v>1.3</v>
      </c>
      <c r="M19" s="46" t="n">
        <v>1.4</v>
      </c>
      <c r="N19" s="46" t="n">
        <v>1.5</v>
      </c>
      <c r="O19" s="46" t="n">
        <v>1.6</v>
      </c>
      <c r="P19" s="46" t="n">
        <v>1.7</v>
      </c>
      <c r="Q19" s="46" t="n">
        <v>1.8</v>
      </c>
      <c r="R19" s="46" t="n">
        <v>1.9</v>
      </c>
      <c r="S19" s="46" t="n">
        <v>2</v>
      </c>
    </row>
    <row r="20" customFormat="false" ht="15" hidden="false" customHeight="false" outlineLevel="0" collapsed="false">
      <c r="C20" s="1" t="s">
        <v>410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411</v>
      </c>
      <c r="D21" s="12" t="s">
        <v>53</v>
      </c>
      <c r="E21" s="18" t="n">
        <v>0.05</v>
      </c>
      <c r="J21" s="48" t="n">
        <v>0</v>
      </c>
      <c r="K21" s="48" t="n">
        <v>10</v>
      </c>
      <c r="L21" s="48" t="n">
        <v>20</v>
      </c>
      <c r="M21" s="48" t="n">
        <v>30</v>
      </c>
      <c r="N21" s="48" t="n">
        <v>40</v>
      </c>
      <c r="O21" s="48" t="n">
        <v>50</v>
      </c>
      <c r="P21" s="48" t="n">
        <v>60</v>
      </c>
      <c r="Q21" s="48" t="n">
        <v>70</v>
      </c>
      <c r="R21" s="48" t="n">
        <v>80</v>
      </c>
      <c r="S21" s="48" t="n">
        <v>90</v>
      </c>
      <c r="T21" s="48" t="n">
        <v>100</v>
      </c>
    </row>
    <row r="22" customFormat="false" ht="15" hidden="false" customHeight="false" outlineLevel="0" collapsed="false">
      <c r="C22" s="1" t="s">
        <v>412</v>
      </c>
      <c r="D22" s="12" t="s">
        <v>53</v>
      </c>
      <c r="E22" s="18" t="n">
        <v>0.05</v>
      </c>
      <c r="J22" s="48" t="n">
        <v>100</v>
      </c>
    </row>
    <row r="23" customFormat="false" ht="15" hidden="false" customHeight="false" outlineLevel="0" collapsed="false">
      <c r="C23" s="1" t="s">
        <v>413</v>
      </c>
      <c r="D23" s="12" t="s">
        <v>53</v>
      </c>
      <c r="E23" s="18" t="n">
        <v>0.05</v>
      </c>
      <c r="J23" s="48" t="n">
        <v>100</v>
      </c>
    </row>
    <row r="24" customFormat="false" ht="15" hidden="false" customHeight="false" outlineLevel="0" collapsed="false">
      <c r="C24" s="1" t="s">
        <v>414</v>
      </c>
      <c r="D24" s="12" t="s">
        <v>53</v>
      </c>
      <c r="E24" s="18" t="n">
        <v>0.15</v>
      </c>
      <c r="J24" s="48" t="n">
        <v>80</v>
      </c>
    </row>
    <row r="25" customFormat="false" ht="15" hidden="false" customHeight="false" outlineLevel="0" collapsed="false">
      <c r="C25" s="1" t="s">
        <v>415</v>
      </c>
      <c r="D25" s="12" t="s">
        <v>53</v>
      </c>
      <c r="J25" s="48" t="n">
        <v>20</v>
      </c>
    </row>
    <row r="27" customFormat="false" ht="15" hidden="false" customHeight="false" outlineLevel="0" collapsed="false">
      <c r="C27" s="43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1</v>
      </c>
      <c r="C1" s="14" t="s">
        <v>416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417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418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419</v>
      </c>
      <c r="D5" s="12" t="s">
        <v>216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420</v>
      </c>
      <c r="D6" s="12" t="s">
        <v>421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422</v>
      </c>
      <c r="D7" s="12" t="s">
        <v>423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424</v>
      </c>
      <c r="D8" s="12" t="s">
        <v>152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425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426</v>
      </c>
      <c r="D12" s="12" t="s">
        <v>421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427</v>
      </c>
      <c r="D13" s="12" t="s">
        <v>421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428</v>
      </c>
      <c r="D15" s="12" t="s">
        <v>152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339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429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430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53235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0</v>
      </c>
      <c r="CI18" s="56" t="n">
        <f aca="false">MAX(0,(MIN($F18,CI$4)-MAX($E18,CI$3)+1)/CI$5)</f>
        <v>0</v>
      </c>
      <c r="CJ18" s="56" t="n">
        <f aca="false">MAX(0,(MIN($F18,CJ$4)-MAX($E18,CJ$3)+1)/CJ$5)</f>
        <v>0</v>
      </c>
      <c r="CK18" s="56" t="n">
        <f aca="false">MAX(0,(MIN($F18,CK$4)-MAX($E18,CK$3)+1)/CK$5)</f>
        <v>0</v>
      </c>
      <c r="CL18" s="56" t="n">
        <f aca="false">MAX(0,(MIN($F18,CL$4)-MAX($E18,CL$3)+1)/CL$5)</f>
        <v>0</v>
      </c>
      <c r="CM18" s="56" t="n">
        <f aca="false">MAX(0,(MIN($F18,CM$4)-MAX($E18,CM$3)+1)/CM$5)</f>
        <v>0</v>
      </c>
      <c r="CN18" s="56" t="n">
        <f aca="false">MAX(0,(MIN($F18,CN$4)-MAX($E18,CN$3)+1)/CN$5)</f>
        <v>0</v>
      </c>
      <c r="CO18" s="56" t="n">
        <f aca="false">MAX(0,(MIN($F18,CO$4)-MAX($E18,CO$3)+1)/CO$5)</f>
        <v>0</v>
      </c>
      <c r="CP18" s="56" t="n">
        <f aca="false">MAX(0,(MIN($F18,CP$4)-MAX($E18,CP$3)+1)/CP$5)</f>
        <v>0</v>
      </c>
      <c r="CQ18" s="56" t="n">
        <f aca="false">MAX(0,(MIN($F18,CQ$4)-MAX($E18,CQ$3)+1)/CQ$5)</f>
        <v>0</v>
      </c>
      <c r="CR18" s="56" t="n">
        <f aca="false">MAX(0,(MIN($F18,CR$4)-MAX($E18,CR$3)+1)/CR$5)</f>
        <v>0</v>
      </c>
      <c r="CS18" s="56" t="n">
        <f aca="false">MAX(0,(MIN($F18,CS$4)-MAX($E18,CS$3)+1)/CS$5)</f>
        <v>0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431</v>
      </c>
      <c r="D19" s="12" t="s">
        <v>43</v>
      </c>
      <c r="E19" s="47" t="n">
        <f aca="false">EDATE(In_COD,In_Debt_Tenor*Months_In_Year)</f>
        <v>53235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1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0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432</v>
      </c>
      <c r="D20" s="12" t="s">
        <v>421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433</v>
      </c>
      <c r="D21" s="12" t="s">
        <v>152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434</v>
      </c>
      <c r="D22" s="12" t="s">
        <v>421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435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436</v>
      </c>
      <c r="D25" s="12" t="s">
        <v>62</v>
      </c>
      <c r="E25" s="37" t="n">
        <f aca="false">In_MVA*(1+INDEX(Dash_Overbuild,1,$A$1)*(1-In_Zero_Bid))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437</v>
      </c>
      <c r="D26" s="12" t="s">
        <v>27</v>
      </c>
      <c r="E26" s="50" t="n">
        <f aca="false">IF(In_BESS_Set&gt;0,In_BESS_Set,INDEX(Dash_BESS,1,$A$1))*(1-In_Zero_Bid)</f>
        <v>0.2</v>
      </c>
    </row>
    <row r="27" customFormat="false" ht="15" hidden="false" customHeight="false" outlineLevel="0" collapsed="false">
      <c r="C27" s="1" t="s">
        <v>438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439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440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441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442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443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444</v>
      </c>
      <c r="D34" s="12" t="s">
        <v>19</v>
      </c>
      <c r="E34" s="33" t="n">
        <f aca="false">IF(In_Zero_Bid=1,Osz1_Min,INDEX(Dash_Municipal,1,$A$1))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445</v>
      </c>
      <c r="D35" s="12" t="s">
        <v>24</v>
      </c>
      <c r="E35" s="33" t="n">
        <f aca="false">IF(In_Zero_Bid=1,Osz2_Min,INDEX(Dash_Community,1,$A$1))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446</v>
      </c>
      <c r="D36" s="12" t="s">
        <v>27</v>
      </c>
      <c r="E36" s="50" t="n">
        <f aca="false">INDEX(Dash_Overbuild,1,$A$1)*(1-In_Zero_Bid)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447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448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449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450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451</v>
      </c>
      <c r="D41" s="12" t="s">
        <v>43</v>
      </c>
      <c r="E41" s="51" t="n">
        <f aca="false">INDEX(Dash_EU_Turbine,1,$A$1)</f>
        <v>1</v>
      </c>
      <c r="F41" s="33" t="n">
        <f aca="false">$E41*Osz9a_Pts*Osz9_W</f>
        <v>12</v>
      </c>
    </row>
    <row r="42" customFormat="false" ht="15" hidden="false" customHeight="false" outlineLevel="0" collapsed="false">
      <c r="C42" s="1" t="s">
        <v>452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59.5</v>
      </c>
    </row>
    <row r="44" customFormat="false" ht="15" hidden="false" customHeight="false" outlineLevel="0" collapsed="false">
      <c r="C44" s="1" t="s">
        <v>453</v>
      </c>
      <c r="D44" s="12" t="s">
        <v>43</v>
      </c>
      <c r="E44" s="51" t="n">
        <f aca="false">$E41*In_Deliver</f>
        <v>1</v>
      </c>
    </row>
    <row r="45" customFormat="false" ht="15" hidden="false" customHeight="false" outlineLevel="0" collapsed="false">
      <c r="C45" s="1" t="s">
        <v>454</v>
      </c>
      <c r="D45" s="12" t="s">
        <v>152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455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254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456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457</v>
      </c>
      <c r="D51" s="12" t="s">
        <v>309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458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459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460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461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462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463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464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465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466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467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468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469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470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471</v>
      </c>
      <c r="D66" s="12" t="s">
        <v>19</v>
      </c>
      <c r="E66" s="49" t="n">
        <f aca="false">IF($E44=1,In_Turbine,In_Turbine_CN)</f>
        <v>950</v>
      </c>
    </row>
    <row r="67" customFormat="false" ht="15" hidden="false" customHeight="false" outlineLevel="0" collapsed="false">
      <c r="C67" s="1" t="s">
        <v>472</v>
      </c>
      <c r="D67" s="12" t="s">
        <v>33</v>
      </c>
      <c r="E67" s="49" t="n">
        <f aca="false">IF($E44=1,In_Substation,In_Substation_CN)</f>
        <v>12000</v>
      </c>
    </row>
    <row r="68" customFormat="false" ht="15" hidden="false" customHeight="false" outlineLevel="0" collapsed="false">
      <c r="C68" s="1" t="s">
        <v>473</v>
      </c>
      <c r="D68" s="12" t="s">
        <v>33</v>
      </c>
      <c r="E68" s="49" t="n">
        <f aca="false">(($E66+In_Other_Wind)*$F25+$E67)*(1+In_Capex_Contingency)+In_BESS_Capex*$E28*In_BESS_Built</f>
        <v>91963.75</v>
      </c>
      <c r="I68" s="49" t="n">
        <f aca="false">SUM(J68:EO68)</f>
        <v>-91963.75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-11589.9520547945</v>
      </c>
      <c r="S68" s="49" t="n">
        <f aca="false">-$E68*S12</f>
        <v>-11337.9965753425</v>
      </c>
      <c r="T68" s="49" t="n">
        <f aca="false">-$E68*T12</f>
        <v>-11463.9743150685</v>
      </c>
      <c r="U68" s="49" t="n">
        <f aca="false">-$E68*U12</f>
        <v>-11589.9520547945</v>
      </c>
      <c r="V68" s="49" t="n">
        <f aca="false">-$E68*V12</f>
        <v>-11589.9520547945</v>
      </c>
      <c r="W68" s="49" t="n">
        <f aca="false">-$E68*W12</f>
        <v>-11337.9965753425</v>
      </c>
      <c r="X68" s="49" t="n">
        <f aca="false">-$E68*X12</f>
        <v>-11463.9743150685</v>
      </c>
      <c r="Y68" s="49" t="n">
        <f aca="false">-$E68*Y12</f>
        <v>-11589.9520547945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474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475</v>
      </c>
      <c r="D70" s="12" t="s">
        <v>33</v>
      </c>
      <c r="E70" s="58" t="n">
        <f aca="false">SUMPRODUCT($J70:$EO70/$J22:$EO22)*$E22</f>
        <v>-107373.632093313</v>
      </c>
      <c r="I70" s="58" t="n">
        <f aca="false">SUM(J70:EO70)</f>
        <v>-102618.573150685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-11589.9520547945</v>
      </c>
      <c r="S70" s="58" t="n">
        <f aca="false">S68+S58+S69</f>
        <v>-19492.8197260274</v>
      </c>
      <c r="T70" s="58" t="n">
        <f aca="false">T68+T58+T69</f>
        <v>-11463.9743150685</v>
      </c>
      <c r="U70" s="58" t="n">
        <f aca="false">U68+U58+U69</f>
        <v>-11589.9520547945</v>
      </c>
      <c r="V70" s="58" t="n">
        <f aca="false">V68+V58+V69</f>
        <v>-11589.9520547945</v>
      </c>
      <c r="W70" s="58" t="n">
        <f aca="false">W68+W58+W69</f>
        <v>-11337.9965753425</v>
      </c>
      <c r="X70" s="58" t="n">
        <f aca="false">X68+X58+X69</f>
        <v>-11463.9743150685</v>
      </c>
      <c r="Y70" s="58" t="n">
        <f aca="false">Y68+Y58+Y69</f>
        <v>-14089.9520547945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339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476</v>
      </c>
      <c r="D73" s="12" t="s">
        <v>421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477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478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479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480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481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482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483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356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484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485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486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-16.886293224631</v>
      </c>
      <c r="AA86" s="59" t="n">
        <v>-17.1277997333348</v>
      </c>
      <c r="AB86" s="59" t="n">
        <v>-18.5591998565435</v>
      </c>
      <c r="AC86" s="59" t="n">
        <v>-19.9985109164148</v>
      </c>
      <c r="AD86" s="59" t="n">
        <v>-20.0117519916814</v>
      </c>
      <c r="AE86" s="59" t="n">
        <v>-21.0670957357788</v>
      </c>
      <c r="AF86" s="59" t="n">
        <v>-21.7322126954598</v>
      </c>
      <c r="AG86" s="59" t="n">
        <v>-23.2103381334753</v>
      </c>
      <c r="AH86" s="59" t="n">
        <v>-23.2526025678549</v>
      </c>
      <c r="AI86" s="59" t="n">
        <v>-23.5138143202861</v>
      </c>
      <c r="AJ86" s="59" t="n">
        <v>-27.5101792275379</v>
      </c>
      <c r="AK86" s="59" t="n">
        <v>-29.0559459441161</v>
      </c>
      <c r="AL86" s="59" t="n">
        <v>-58.2578084434224</v>
      </c>
      <c r="AM86" s="59" t="n">
        <v>-58.6950528485274</v>
      </c>
      <c r="AN86" s="59" t="n">
        <v>-61.8520109113284</v>
      </c>
      <c r="AO86" s="59" t="n">
        <v>-65.0273342850702</v>
      </c>
      <c r="AP86" s="59" t="n">
        <v>-65.2381514896335</v>
      </c>
      <c r="AQ86" s="59" t="n">
        <v>-65.7026886400187</v>
      </c>
      <c r="AR86" s="59" t="n">
        <v>-68.9458260067554</v>
      </c>
      <c r="AS86" s="59" t="n">
        <v>-72.2082643113862</v>
      </c>
      <c r="AT86" s="59" t="n">
        <v>-72.4876758802591</v>
      </c>
      <c r="AU86" s="59" t="n">
        <v>-74.6928809254771</v>
      </c>
      <c r="AV86" s="59" t="n">
        <v>-76.3156193797067</v>
      </c>
      <c r="AW86" s="59" t="n">
        <v>-79.6686720496486</v>
      </c>
      <c r="AX86" s="59" t="n">
        <v>-80.0205616527358</v>
      </c>
      <c r="AY86" s="59" t="n">
        <v>-80.5499061181877</v>
      </c>
      <c r="AZ86" s="59" t="n">
        <v>-83.9759386102347</v>
      </c>
      <c r="BA86" s="59" t="n">
        <v>-87.4232887199256</v>
      </c>
      <c r="BB86" s="59" t="n">
        <v>-87.851739653486</v>
      </c>
      <c r="BC86" s="59" t="n">
        <v>-88.4189810244149</v>
      </c>
      <c r="BD86" s="59" t="n">
        <v>-91.9421013106473</v>
      </c>
      <c r="BE86" s="59" t="n">
        <v>-95.4876252477365</v>
      </c>
      <c r="BF86" s="59" t="n">
        <v>-95.9969305980312</v>
      </c>
      <c r="BG86" s="59" t="n">
        <v>-96.6060025489291</v>
      </c>
      <c r="BH86" s="59" t="n">
        <v>-100.230235176909</v>
      </c>
      <c r="BI86" s="59" t="n">
        <v>-103.878012817288</v>
      </c>
      <c r="BJ86" s="59" t="n">
        <v>-104.472686141558</v>
      </c>
      <c r="BK86" s="59" t="n">
        <v>-106.877758422316</v>
      </c>
      <c r="BL86" s="59" t="n">
        <v>-108.857320101286</v>
      </c>
      <c r="BM86" s="59" t="n">
        <v>-112.611645511746</v>
      </c>
      <c r="BN86" s="59" t="n">
        <v>-113.296432062864</v>
      </c>
      <c r="BO86" s="59" t="n">
        <v>-114.001844895059</v>
      </c>
      <c r="BP86" s="59" t="n">
        <v>-117.841232451754</v>
      </c>
      <c r="BQ86" s="59" t="n">
        <v>-121.706625147394</v>
      </c>
      <c r="BR86" s="59" t="n">
        <v>-122.486513669873</v>
      </c>
      <c r="BS86" s="59" t="n">
        <v>-123.246904823717</v>
      </c>
      <c r="BT86" s="59" t="n">
        <v>-127.200791629087</v>
      </c>
      <c r="BU86" s="59" t="n">
        <v>-131.182008413967</v>
      </c>
      <c r="BV86" s="59" t="n">
        <v>-132.062243540421</v>
      </c>
      <c r="BW86" s="59" t="n">
        <v>-132.88248391173</v>
      </c>
      <c r="BX86" s="59" t="n">
        <v>-136.955809018203</v>
      </c>
      <c r="BY86" s="59" t="n">
        <v>-141.0578564392</v>
      </c>
      <c r="BZ86" s="59" t="n">
        <v>-142.043951717838</v>
      </c>
      <c r="CA86" s="59" t="n">
        <v>-144.712292855075</v>
      </c>
      <c r="CB86" s="59" t="n">
        <v>-147.127139456284</v>
      </c>
      <c r="CC86" s="59" t="n">
        <v>-151.35528690165</v>
      </c>
      <c r="CD86" s="59" t="n">
        <v>-152.453038486933</v>
      </c>
      <c r="CE86" s="59" t="n">
        <v>-153.408665267938</v>
      </c>
      <c r="CF86" s="59" t="n">
        <v>-157.736735346471</v>
      </c>
      <c r="CG86" s="59" t="n">
        <v>-162.096528822191</v>
      </c>
      <c r="CH86" s="59" t="n">
        <v>-163.31202986242</v>
      </c>
      <c r="CI86" s="59" t="n">
        <v>-161.70952993943</v>
      </c>
      <c r="CJ86" s="59" t="n">
        <v>-163.506302494313</v>
      </c>
      <c r="CK86" s="59" t="n">
        <v>-165.303075049195</v>
      </c>
      <c r="CL86" s="59" t="n">
        <v>-163.908470441874</v>
      </c>
      <c r="CM86" s="59" t="n">
        <v>-162.253895942466</v>
      </c>
      <c r="CN86" s="59" t="n">
        <v>-164.056717008494</v>
      </c>
      <c r="CO86" s="59" t="n">
        <v>-165.859538074521</v>
      </c>
      <c r="CP86" s="59" t="n">
        <v>-164.456523634598</v>
      </c>
      <c r="CQ86" s="59" t="n">
        <v>-164.557706322342</v>
      </c>
      <c r="CR86" s="59" t="n">
        <v>-164.557706322342</v>
      </c>
      <c r="CS86" s="59" t="n">
        <v>-166.366032765444</v>
      </c>
      <c r="CT86" s="59" t="n">
        <v>-164.954589886834</v>
      </c>
      <c r="CU86" s="59" t="n">
        <v>-163.194375284734</v>
      </c>
      <c r="CV86" s="59" t="n">
        <v>-165.007646121232</v>
      </c>
      <c r="CW86" s="59" t="n">
        <v>-166.820916957729</v>
      </c>
      <c r="CX86" s="59" t="n">
        <v>-165.401027748062</v>
      </c>
      <c r="CY86" s="59" t="n">
        <v>-163.58723366555</v>
      </c>
      <c r="CZ86" s="59" t="n">
        <v>-165.404869595168</v>
      </c>
      <c r="DA86" s="59" t="n">
        <v>-167.222505524785</v>
      </c>
      <c r="DB86" s="59" t="n">
        <v>-375.486699874707</v>
      </c>
      <c r="DC86" s="59" t="n">
        <v>-369.06027686922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-373.447561715864</v>
      </c>
      <c r="DH86" s="59" t="n">
        <v>-373.447561715864</v>
      </c>
      <c r="DI86" s="59" t="n">
        <v>-377.551381075379</v>
      </c>
      <c r="DJ86" s="59" t="n">
        <v>-376.106053012439</v>
      </c>
      <c r="DK86" s="59" t="n">
        <v>-369.569862589467</v>
      </c>
      <c r="DL86" s="59" t="n">
        <v>-373.676194396017</v>
      </c>
      <c r="DM86" s="59" t="n">
        <v>-377.782526202566</v>
      </c>
      <c r="DN86" s="59" t="n">
        <v>-376.328687856252</v>
      </c>
      <c r="DO86" s="59" t="n">
        <v>-369.736810251909</v>
      </c>
      <c r="DP86" s="59" t="n">
        <v>-373.844997032485</v>
      </c>
      <c r="DQ86" s="59" t="n">
        <v>-377.953183813062</v>
      </c>
      <c r="DR86" s="59" t="n">
        <v>-376.490821224724</v>
      </c>
      <c r="DS86" s="59" t="n">
        <v>-369.842710510588</v>
      </c>
      <c r="DT86" s="59" t="n">
        <v>-373.952073960706</v>
      </c>
      <c r="DU86" s="59" t="n">
        <v>-378.061437410824</v>
      </c>
      <c r="DV86" s="59" t="n">
        <v>-376.590537485769</v>
      </c>
      <c r="DW86" s="59" t="n">
        <v>-373.995480278812</v>
      </c>
      <c r="DX86" s="59" t="n">
        <v>-373.995480278812</v>
      </c>
      <c r="DY86" s="59" t="n">
        <v>-378.105320721436</v>
      </c>
      <c r="DZ86" s="59" t="n">
        <v>-376.625871256129</v>
      </c>
      <c r="EA86" s="59" t="n">
        <v>-369.863624794354</v>
      </c>
      <c r="EB86" s="59" t="n">
        <v>-373.973220625402</v>
      </c>
      <c r="EC86" s="59" t="n">
        <v>-378.082816456451</v>
      </c>
      <c r="ED86" s="59" t="n">
        <v>-376.59480616636</v>
      </c>
      <c r="EE86" s="59" t="n">
        <v>-369.77464080721</v>
      </c>
      <c r="EF86" s="59" t="n">
        <v>-373.88324792729</v>
      </c>
      <c r="EG86" s="59" t="n">
        <v>-377.99185504737</v>
      </c>
      <c r="EH86" s="59" t="n">
        <v>-376.495273595489</v>
      </c>
      <c r="EI86" s="59" t="n">
        <v>-369.616610884434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-377.596013308132</v>
      </c>
    </row>
    <row r="87" customFormat="false" ht="15" hidden="false" customHeight="false" outlineLevel="0" collapsed="false">
      <c r="C87" s="1" t="s">
        <v>487</v>
      </c>
      <c r="D87" s="12" t="s">
        <v>33</v>
      </c>
      <c r="I87" s="49" t="n">
        <f aca="false">SUM(J87:EO87)</f>
        <v>271771.703125897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2344.40831738351</v>
      </c>
      <c r="AA87" s="49" t="n">
        <f aca="false">(AA83+AA59+AA86)*(AA$4&gt;In_COD)</f>
        <v>2308.66251795177</v>
      </c>
      <c r="AB87" s="49" t="n">
        <f aca="false">(AB83+AB59+AB86)*(AB$4&gt;In_COD)</f>
        <v>2333.0732324695</v>
      </c>
      <c r="AC87" s="49" t="n">
        <f aca="false">(AC83+AC59+AC86)*(AC$4&gt;In_COD)</f>
        <v>2357.47603605058</v>
      </c>
      <c r="AD87" s="49" t="n">
        <f aca="false">(AD83+AD59+AD86)*(AD$4&gt;In_COD)</f>
        <v>2348.98873340516</v>
      </c>
      <c r="AE87" s="49" t="n">
        <f aca="false">(AE83+AE59+AE86)*(AE$4&gt;In_COD)</f>
        <v>2338.05078562171</v>
      </c>
      <c r="AF87" s="49" t="n">
        <f aca="false">(AF83+AF59+AF86)*(AF$4&gt;In_COD)</f>
        <v>2337.38566866203</v>
      </c>
      <c r="AG87" s="49" t="n">
        <f aca="false">(AG83+AG59+AG86)*(AG$4&gt;In_COD)</f>
        <v>2361.83191554663</v>
      </c>
      <c r="AH87" s="49" t="n">
        <f aca="false">(AH83+AH59+AH86)*(AH$4&gt;In_COD)</f>
        <v>2353.26185946134</v>
      </c>
      <c r="AI87" s="49" t="n">
        <f aca="false">(AI83+AI59+AI86)*(AI$4&gt;In_COD)</f>
        <v>2316.88828795445</v>
      </c>
      <c r="AJ87" s="49" t="n">
        <f aca="false">(AJ83+AJ59+AJ86)*(AJ$4&gt;In_COD)</f>
        <v>2372.05187968493</v>
      </c>
      <c r="AK87" s="49" t="n">
        <f aca="false">(AK83+AK59+AK86)*(AK$4&gt;In_COD)</f>
        <v>2396.87492680256</v>
      </c>
      <c r="AL87" s="49" t="n">
        <f aca="false">(AL83+AL59+AL86)*(AL$4&gt;In_COD)</f>
        <v>2359.09136366511</v>
      </c>
      <c r="AM87" s="49" t="n">
        <f aca="false">(AM83+AM59+AM86)*(AM$4&gt;In_COD)</f>
        <v>2321.50494910752</v>
      </c>
      <c r="AN87" s="49" t="n">
        <f aca="false">(AN83+AN59+AN86)*(AN$4&gt;In_COD)</f>
        <v>2344.79465773312</v>
      </c>
      <c r="AO87" s="49" t="n">
        <f aca="false">(AO83+AO59+AO86)*(AO$4&gt;In_COD)</f>
        <v>2368.06600104778</v>
      </c>
      <c r="AP87" s="49" t="n">
        <f aca="false">(AP83+AP59+AP86)*(AP$4&gt;In_COD)</f>
        <v>2359.21939811681</v>
      </c>
      <c r="AQ87" s="49" t="n">
        <f aca="false">(AQ83+AQ59+AQ86)*(AQ$4&gt;In_COD)</f>
        <v>2321.29480191402</v>
      </c>
      <c r="AR87" s="49" t="n">
        <f aca="false">(AR83+AR59+AR86)*(AR$4&gt;In_COD)</f>
        <v>2344.57385888677</v>
      </c>
      <c r="AS87" s="49" t="n">
        <f aca="false">(AS83+AS59+AS86)*(AS$4&gt;In_COD)</f>
        <v>2367.83361492163</v>
      </c>
      <c r="AT87" s="49" t="n">
        <f aca="false">(AT83+AT59+AT86)*(AT$4&gt;In_COD)</f>
        <v>2358.86415935164</v>
      </c>
      <c r="AU87" s="49" t="n">
        <f aca="false">(AU83+AU59+AU86)*(AU$4&gt;In_COD)</f>
        <v>2345.48051152876</v>
      </c>
      <c r="AV87" s="49" t="n">
        <f aca="false">(AV83+AV59+AV86)*(AV$4&gt;In_COD)</f>
        <v>2343.85777307453</v>
      </c>
      <c r="AW87" s="49" t="n">
        <f aca="false">(AW83+AW59+AW86)*(AW$4&gt;In_COD)</f>
        <v>2367.10003240958</v>
      </c>
      <c r="AX87" s="49" t="n">
        <f aca="false">(AX83+AX59+AX86)*(AX$4&gt;In_COD)</f>
        <v>2358.00367037062</v>
      </c>
      <c r="AY87" s="49" t="n">
        <f aca="false">(AY83+AY59+AY86)*(AY$4&gt;In_COD)</f>
        <v>2319.38403163649</v>
      </c>
      <c r="AZ87" s="49" t="n">
        <f aca="false">(AZ83+AZ59+AZ86)*(AZ$4&gt;In_COD)</f>
        <v>2342.62393178616</v>
      </c>
      <c r="BA87" s="49" t="n">
        <f aca="false">(BA83+BA59+BA86)*(BA$4&gt;In_COD)</f>
        <v>2365.84251431819</v>
      </c>
      <c r="BB87" s="49" t="n">
        <f aca="false">(BB83+BB59+BB86)*(BB$4&gt;In_COD)</f>
        <v>2356.61499549495</v>
      </c>
      <c r="BC87" s="49" t="n">
        <f aca="false">(BC83+BC59+BC86)*(BC$4&gt;In_COD)</f>
        <v>2317.63803901419</v>
      </c>
      <c r="BD87" s="49" t="n">
        <f aca="false">(BD83+BD59+BD86)*(BD$4&gt;In_COD)</f>
        <v>2340.84888561728</v>
      </c>
      <c r="BE87" s="49" t="n">
        <f aca="false">(BE83+BE59+BE86)*(BE$4&gt;In_COD)</f>
        <v>2364.03732856951</v>
      </c>
      <c r="BF87" s="49" t="n">
        <f aca="false">(BF83+BF59+BF86)*(BF$4&gt;In_COD)</f>
        <v>2354.67419611519</v>
      </c>
      <c r="BG87" s="49" t="n">
        <f aca="false">(BG83+BG59+BG86)*(BG$4&gt;In_COD)</f>
        <v>2315.3330685701</v>
      </c>
      <c r="BH87" s="49" t="n">
        <f aca="false">(BH83+BH59+BH86)*(BH$4&gt;In_COD)</f>
        <v>2338.50815895455</v>
      </c>
      <c r="BI87" s="49" t="n">
        <f aca="false">(BI83+BI59+BI86)*(BI$4&gt;In_COD)</f>
        <v>2361.65970432661</v>
      </c>
      <c r="BJ87" s="49" t="n">
        <f aca="false">(BJ83+BJ59+BJ86)*(BJ$4&gt;In_COD)</f>
        <v>2352.15628430227</v>
      </c>
      <c r="BK87" s="49" t="n">
        <f aca="false">(BK83+BK59+BK86)*(BK$4&gt;In_COD)</f>
        <v>2337.55576414916</v>
      </c>
      <c r="BL87" s="49" t="n">
        <f aca="false">(BL83+BL59+BL86)*(BL$4&gt;In_COD)</f>
        <v>2335.57620247019</v>
      </c>
      <c r="BM87" s="49" t="n">
        <f aca="false">(BM83+BM59+BM86)*(BM$4&gt;In_COD)</f>
        <v>2358.68378390117</v>
      </c>
      <c r="BN87" s="49" t="n">
        <f aca="false">(BN83+BN59+BN86)*(BN$4&gt;In_COD)</f>
        <v>2349.03517417446</v>
      </c>
      <c r="BO87" s="49" t="n">
        <f aca="false">(BO83+BO59+BO86)*(BO$4&gt;In_COD)</f>
        <v>2308.94410916204</v>
      </c>
      <c r="BP87" s="49" t="n">
        <f aca="false">(BP83+BP59+BP86)*(BP$4&gt;In_COD)</f>
        <v>2332.02634331709</v>
      </c>
      <c r="BQ87" s="49" t="n">
        <f aca="false">(BQ83+BQ59+BQ86)*(BQ$4&gt;In_COD)</f>
        <v>2355.08257233319</v>
      </c>
      <c r="BR87" s="49" t="n">
        <f aca="false">(BR83+BR59+BR86)*(BR$4&gt;In_COD)</f>
        <v>2345.28363090873</v>
      </c>
      <c r="BS87" s="49" t="n">
        <f aca="false">(BS83+BS59+BS86)*(BS$4&gt;In_COD)</f>
        <v>2304.80625131434</v>
      </c>
      <c r="BT87" s="49" t="n">
        <f aca="false">(BT83+BT59+BT86)*(BT$4&gt;In_COD)</f>
        <v>2327.83073291051</v>
      </c>
      <c r="BU87" s="49" t="n">
        <f aca="false">(BU83+BU59+BU86)*(BU$4&gt;In_COD)</f>
        <v>2350.82788452716</v>
      </c>
      <c r="BV87" s="49" t="n">
        <f aca="false">(BV83+BV59+BV86)*(BV$4&gt;In_COD)</f>
        <v>2340.8732172796</v>
      </c>
      <c r="BW87" s="49" t="n">
        <f aca="false">(BW83+BW59+BW86)*(BW$4&gt;In_COD)</f>
        <v>2300.00157221465</v>
      </c>
      <c r="BX87" s="49" t="n">
        <f aca="false">(BX83+BX59+BX86)*(BX$4&gt;In_COD)</f>
        <v>2322.96029217625</v>
      </c>
      <c r="BY87" s="49" t="n">
        <f aca="false">(BY83+BY59+BY86)*(BY$4&gt;In_COD)</f>
        <v>2345.89028982332</v>
      </c>
      <c r="BZ87" s="49" t="n">
        <f aca="false">(BZ83+BZ59+BZ86)*(BZ$4&gt;In_COD)</f>
        <v>2335.77423760256</v>
      </c>
      <c r="CA87" s="49" t="n">
        <f aca="false">(CA83+CA59+CA86)*(CA$4&gt;In_COD)</f>
        <v>2319.79950074077</v>
      </c>
      <c r="CB87" s="49" t="n">
        <f aca="false">(CB83+CB59+CB86)*(CB$4&gt;In_COD)</f>
        <v>2317.38465413956</v>
      </c>
      <c r="CC87" s="49" t="n">
        <f aca="false">(CC83+CC59+CC86)*(CC$4&gt;In_COD)</f>
        <v>2340.23905387656</v>
      </c>
      <c r="CD87" s="49" t="n">
        <f aca="false">(CD83+CD59+CD86)*(CD$4&gt;In_COD)</f>
        <v>2329.95567895303</v>
      </c>
      <c r="CE87" s="49" t="n">
        <f aca="false">(CE83+CE59+CE86)*(CE$4&gt;In_COD)</f>
        <v>2288.27040633856</v>
      </c>
      <c r="CF87" s="49" t="n">
        <f aca="false">(CF83+CF59+CF86)*(CF$4&gt;In_COD)</f>
        <v>2311.07210372232</v>
      </c>
      <c r="CG87" s="49" t="n">
        <f aca="false">(CG83+CG59+CG86)*(CG$4&gt;In_COD)</f>
        <v>2333.84207770889</v>
      </c>
      <c r="CH87" s="49" t="n">
        <f aca="false">(CH83+CH59+CH86)*(CH$4&gt;In_COD)</f>
        <v>2323.38514952525</v>
      </c>
      <c r="CI87" s="49" t="n">
        <f aca="false">(CI83+CI59+CI86)*(CI$4&gt;In_COD)</f>
        <v>2283.91409241878</v>
      </c>
      <c r="CJ87" s="49" t="n">
        <f aca="false">(CJ83+CJ59+CJ86)*(CJ$4&gt;In_COD)</f>
        <v>2309.29091566788</v>
      </c>
      <c r="CK87" s="49" t="n">
        <f aca="false">(CK83+CK59+CK86)*(CK$4&gt;In_COD)</f>
        <v>2334.66773891698</v>
      </c>
      <c r="CL87" s="49" t="n">
        <f aca="false">(CL83+CL59+CL86)*(CL$4&gt;In_COD)</f>
        <v>2326.76497947549</v>
      </c>
      <c r="CM87" s="49" t="n">
        <f aca="false">(CM83+CM59+CM86)*(CM$4&gt;In_COD)</f>
        <v>2286.99883310266</v>
      </c>
      <c r="CN87" s="49" t="n">
        <f aca="false">(CN83+CN59+CN86)*(CN$4&gt;In_COD)</f>
        <v>2312.40993124824</v>
      </c>
      <c r="CO87" s="49" t="n">
        <f aca="false">(CO83+CO59+CO86)*(CO$4&gt;In_COD)</f>
        <v>2337.82102939383</v>
      </c>
      <c r="CP87" s="49" t="n">
        <f aca="false">(CP83+CP59+CP86)*(CP$4&gt;In_COD)</f>
        <v>2329.87061423426</v>
      </c>
      <c r="CQ87" s="49" t="n">
        <f aca="false">(CQ83+CQ59+CQ86)*(CQ$4&gt;In_COD)</f>
        <v>2315.24887069338</v>
      </c>
      <c r="CR87" s="49" t="n">
        <f aca="false">(CR83+CR59+CR86)*(CR$4&gt;In_COD)</f>
        <v>2315.24887069338</v>
      </c>
      <c r="CS87" s="49" t="n">
        <f aca="false">(CS83+CS59+CS86)*(CS$4&gt;In_COD)</f>
        <v>2340.69116597572</v>
      </c>
      <c r="CT87" s="49" t="n">
        <f aca="false">(CT83+CT59+CT86)*(CT$4&gt;In_COD)</f>
        <v>2332.6929896636</v>
      </c>
      <c r="CU87" s="49" t="n">
        <f aca="false">(CU83+CU59+CU86)*(CU$4&gt;In_COD)</f>
        <v>2292.32821604218</v>
      </c>
      <c r="CV87" s="49" t="n">
        <f aca="false">(CV83+CV59+CV86)*(CV$4&gt;In_COD)</f>
        <v>2317.79852955376</v>
      </c>
      <c r="CW87" s="49" t="n">
        <f aca="false">(CW83+CW59+CW86)*(CW$4&gt;In_COD)</f>
        <v>2343.26884306533</v>
      </c>
      <c r="CX87" s="49" t="n">
        <f aca="false">(CX83+CX59+CX86)*(CX$4&gt;In_COD)</f>
        <v>2335.22280421056</v>
      </c>
      <c r="CY87" s="49" t="n">
        <f aca="false">(CY83+CY59+CY86)*(CY$4&gt;In_COD)</f>
        <v>2294.55441353347</v>
      </c>
      <c r="CZ87" s="49" t="n">
        <f aca="false">(CZ83+CZ59+CZ86)*(CZ$4&gt;In_COD)</f>
        <v>2320.04946257273</v>
      </c>
      <c r="DA87" s="49" t="n">
        <f aca="false">(DA83+DA59+DA86)*(DA$4&gt;In_COD)</f>
        <v>2345.54451161199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2094.49412834512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488</v>
      </c>
      <c r="D88" s="12" t="s">
        <v>33</v>
      </c>
      <c r="E88" s="49" t="n">
        <f aca="false">PV($F22,In_Debt_Tenor*Months_In_Year/Months_Per_Period,-$F88)</f>
        <v>80155.4270382471</v>
      </c>
      <c r="F88" s="49" t="n">
        <f aca="false">MIN($J88:$EO88)</f>
        <v>1906.89200528213</v>
      </c>
      <c r="J88" s="49" t="str">
        <f aca="false">IF(J18=1,J87/In_DSCR,"")</f>
        <v/>
      </c>
      <c r="K88" s="49" t="str">
        <f aca="false">IF(K18=1,K87/In_DSCR,"")</f>
        <v/>
      </c>
      <c r="L88" s="49" t="str">
        <f aca="false">IF(L18=1,L87/In_DSCR,"")</f>
        <v/>
      </c>
      <c r="M88" s="49" t="str">
        <f aca="false">IF(M18=1,M87/In_DSCR,"")</f>
        <v/>
      </c>
      <c r="N88" s="49" t="str">
        <f aca="false">IF(N18=1,N87/In_DSCR,"")</f>
        <v/>
      </c>
      <c r="O88" s="49" t="str">
        <f aca="false">IF(O18=1,O87/In_DSCR,"")</f>
        <v/>
      </c>
      <c r="P88" s="49" t="str">
        <f aca="false">IF(P18=1,P87/In_DSCR,"")</f>
        <v/>
      </c>
      <c r="Q88" s="49" t="str">
        <f aca="false">IF(Q18=1,Q87/In_DSCR,"")</f>
        <v/>
      </c>
      <c r="R88" s="49" t="str">
        <f aca="false">IF(R18=1,R87/In_DSCR,"")</f>
        <v/>
      </c>
      <c r="S88" s="49" t="str">
        <f aca="false">IF(S18=1,S87/In_DSCR,"")</f>
        <v/>
      </c>
      <c r="T88" s="49" t="str">
        <f aca="false">IF(T18=1,T87/In_DSCR,"")</f>
        <v/>
      </c>
      <c r="U88" s="49" t="str">
        <f aca="false">IF(U18=1,U87/In_DSCR,"")</f>
        <v/>
      </c>
      <c r="V88" s="49" t="str">
        <f aca="false">IF(V18=1,V87/In_DSCR,"")</f>
        <v/>
      </c>
      <c r="W88" s="49" t="str">
        <f aca="false">IF(W18=1,W87/In_DSCR,"")</f>
        <v/>
      </c>
      <c r="X88" s="49" t="str">
        <f aca="false">IF(X18=1,X87/In_DSCR,"")</f>
        <v/>
      </c>
      <c r="Y88" s="49" t="str">
        <f aca="false">IF(Y18=1,Y87/In_DSCR,"")</f>
        <v/>
      </c>
      <c r="Z88" s="49" t="n">
        <f aca="false">IF(Z18=1,Z87/In_DSCR,"")</f>
        <v>1953.67359781959</v>
      </c>
      <c r="AA88" s="49" t="n">
        <f aca="false">IF(AA18=1,AA87/In_DSCR,"")</f>
        <v>1923.88543162647</v>
      </c>
      <c r="AB88" s="49" t="n">
        <f aca="false">IF(AB18=1,AB87/In_DSCR,"")</f>
        <v>1944.22769372459</v>
      </c>
      <c r="AC88" s="49" t="n">
        <f aca="false">IF(AC18=1,AC87/In_DSCR,"")</f>
        <v>1964.56336337548</v>
      </c>
      <c r="AD88" s="49" t="n">
        <f aca="false">IF(AD18=1,AD87/In_DSCR,"")</f>
        <v>1957.49061117096</v>
      </c>
      <c r="AE88" s="49" t="n">
        <f aca="false">IF(AE18=1,AE87/In_DSCR,"")</f>
        <v>1948.37565468476</v>
      </c>
      <c r="AF88" s="49" t="n">
        <f aca="false">IF(AF18=1,AF87/In_DSCR,"")</f>
        <v>1947.82139055169</v>
      </c>
      <c r="AG88" s="49" t="n">
        <f aca="false">IF(AG18=1,AG87/In_DSCR,"")</f>
        <v>1968.19326295552</v>
      </c>
      <c r="AH88" s="49" t="n">
        <f aca="false">IF(AH18=1,AH87/In_DSCR,"")</f>
        <v>1961.05154955111</v>
      </c>
      <c r="AI88" s="49" t="n">
        <f aca="false">IF(AI18=1,AI87/In_DSCR,"")</f>
        <v>1930.74023996205</v>
      </c>
      <c r="AJ88" s="49" t="n">
        <f aca="false">IF(AJ18=1,AJ87/In_DSCR,"")</f>
        <v>1976.70989973744</v>
      </c>
      <c r="AK88" s="49" t="n">
        <f aca="false">IF(AK18=1,AK87/In_DSCR,"")</f>
        <v>1997.39577233547</v>
      </c>
      <c r="AL88" s="49" t="n">
        <f aca="false">IF(AL18=1,AL87/In_DSCR,"")</f>
        <v>1965.90946972092</v>
      </c>
      <c r="AM88" s="49" t="n">
        <f aca="false">IF(AM18=1,AM87/In_DSCR,"")</f>
        <v>1934.5874575896</v>
      </c>
      <c r="AN88" s="49" t="n">
        <f aca="false">IF(AN18=1,AN87/In_DSCR,"")</f>
        <v>1953.99554811093</v>
      </c>
      <c r="AO88" s="49" t="n">
        <f aca="false">IF(AO18=1,AO87/In_DSCR,"")</f>
        <v>1973.38833420648</v>
      </c>
      <c r="AP88" s="49" t="n">
        <f aca="false">IF(AP18=1,AP87/In_DSCR,"")</f>
        <v>1966.01616509734</v>
      </c>
      <c r="AQ88" s="49" t="n">
        <f aca="false">IF(AQ18=1,AQ87/In_DSCR,"")</f>
        <v>1934.41233492835</v>
      </c>
      <c r="AR88" s="49" t="n">
        <f aca="false">IF(AR18=1,AR87/In_DSCR,"")</f>
        <v>1953.81154907231</v>
      </c>
      <c r="AS88" s="49" t="n">
        <f aca="false">IF(AS18=1,AS87/In_DSCR,"")</f>
        <v>1973.19467910136</v>
      </c>
      <c r="AT88" s="49" t="n">
        <f aca="false">IF(AT18=1,AT87/In_DSCR,"")</f>
        <v>1965.72013279304</v>
      </c>
      <c r="AU88" s="49" t="n">
        <f aca="false">IF(AU18=1,AU87/In_DSCR,"")</f>
        <v>1954.56709294064</v>
      </c>
      <c r="AV88" s="49" t="n">
        <f aca="false">IF(AV18=1,AV87/In_DSCR,"")</f>
        <v>1953.21481089545</v>
      </c>
      <c r="AW88" s="49" t="n">
        <f aca="false">IF(AW18=1,AW87/In_DSCR,"")</f>
        <v>1972.58336034132</v>
      </c>
      <c r="AX88" s="49" t="n">
        <f aca="false">IF(AX18=1,AX87/In_DSCR,"")</f>
        <v>1965.00305864218</v>
      </c>
      <c r="AY88" s="49" t="n">
        <f aca="false">IF(AY18=1,AY87/In_DSCR,"")</f>
        <v>1932.82002636374</v>
      </c>
      <c r="AZ88" s="49" t="n">
        <f aca="false">IF(AZ18=1,AZ87/In_DSCR,"")</f>
        <v>1952.1866098218</v>
      </c>
      <c r="BA88" s="49" t="n">
        <f aca="false">IF(BA18=1,BA87/In_DSCR,"")</f>
        <v>1971.53542859849</v>
      </c>
      <c r="BB88" s="49" t="n">
        <f aca="false">IF(BB18=1,BB87/In_DSCR,"")</f>
        <v>1963.84582957913</v>
      </c>
      <c r="BC88" s="49" t="n">
        <f aca="false">IF(BC18=1,BC87/In_DSCR,"")</f>
        <v>1931.36503251183</v>
      </c>
      <c r="BD88" s="49" t="n">
        <f aca="false">IF(BD18=1,BD87/In_DSCR,"")</f>
        <v>1950.70740468107</v>
      </c>
      <c r="BE88" s="49" t="n">
        <f aca="false">IF(BE18=1,BE87/In_DSCR,"")</f>
        <v>1970.03110714126</v>
      </c>
      <c r="BF88" s="49" t="n">
        <f aca="false">IF(BF18=1,BF87/In_DSCR,"")</f>
        <v>1962.22849676265</v>
      </c>
      <c r="BG88" s="49" t="n">
        <f aca="false">IF(BG18=1,BG87/In_DSCR,"")</f>
        <v>1929.44422380842</v>
      </c>
      <c r="BH88" s="49" t="n">
        <f aca="false">IF(BH18=1,BH87/In_DSCR,"")</f>
        <v>1948.75679912879</v>
      </c>
      <c r="BI88" s="49" t="n">
        <f aca="false">IF(BI18=1,BI87/In_DSCR,"")</f>
        <v>1968.04975360551</v>
      </c>
      <c r="BJ88" s="49" t="n">
        <f aca="false">IF(BJ18=1,BJ87/In_DSCR,"")</f>
        <v>1960.13023691855</v>
      </c>
      <c r="BK88" s="49" t="n">
        <f aca="false">IF(BK18=1,BK87/In_DSCR,"")</f>
        <v>1947.96313679096</v>
      </c>
      <c r="BL88" s="49" t="n">
        <f aca="false">IF(BL18=1,BL87/In_DSCR,"")</f>
        <v>1946.31350205849</v>
      </c>
      <c r="BM88" s="49" t="n">
        <f aca="false">IF(BM18=1,BM87/In_DSCR,"")</f>
        <v>1965.56981991764</v>
      </c>
      <c r="BN88" s="49" t="n">
        <f aca="false">IF(BN18=1,BN87/In_DSCR,"")</f>
        <v>1957.52931181205</v>
      </c>
      <c r="BO88" s="49" t="n">
        <f aca="false">IF(BO18=1,BO87/In_DSCR,"")</f>
        <v>1924.12009096836</v>
      </c>
      <c r="BP88" s="49" t="n">
        <f aca="false">IF(BP18=1,BP87/In_DSCR,"")</f>
        <v>1943.35528609757</v>
      </c>
      <c r="BQ88" s="49" t="n">
        <f aca="false">IF(BQ18=1,BQ87/In_DSCR,"")</f>
        <v>1962.56881027766</v>
      </c>
      <c r="BR88" s="49" t="n">
        <f aca="false">IF(BR18=1,BR87/In_DSCR,"")</f>
        <v>1954.40302575728</v>
      </c>
      <c r="BS88" s="49" t="n">
        <f aca="false">IF(BS18=1,BS87/In_DSCR,"")</f>
        <v>1920.67187609529</v>
      </c>
      <c r="BT88" s="49" t="n">
        <f aca="false">IF(BT18=1,BT87/In_DSCR,"")</f>
        <v>1939.85894409209</v>
      </c>
      <c r="BU88" s="49" t="n">
        <f aca="false">IF(BU18=1,BU87/In_DSCR,"")</f>
        <v>1959.02323710597</v>
      </c>
      <c r="BV88" s="49" t="n">
        <f aca="false">IF(BV18=1,BV87/In_DSCR,"")</f>
        <v>1950.72768106634</v>
      </c>
      <c r="BW88" s="49" t="n">
        <f aca="false">IF(BW18=1,BW87/In_DSCR,"")</f>
        <v>1916.66797684554</v>
      </c>
      <c r="BX88" s="49" t="n">
        <f aca="false">IF(BX18=1,BX87/In_DSCR,"")</f>
        <v>1935.80024348021</v>
      </c>
      <c r="BY88" s="49" t="n">
        <f aca="false">IF(BY18=1,BY87/In_DSCR,"")</f>
        <v>1954.90857485277</v>
      </c>
      <c r="BZ88" s="49" t="n">
        <f aca="false">IF(BZ18=1,BZ87/In_DSCR,"")</f>
        <v>1946.47853133547</v>
      </c>
      <c r="CA88" s="49" t="n">
        <f aca="false">IF(CA18=1,CA87/In_DSCR,"")</f>
        <v>1933.1662506173</v>
      </c>
      <c r="CB88" s="49" t="n">
        <f aca="false">IF(CB18=1,CB87/In_DSCR,"")</f>
        <v>1931.15387844963</v>
      </c>
      <c r="CC88" s="49" t="n">
        <f aca="false">IF(CC18=1,CC87/In_DSCR,"")</f>
        <v>1950.1992115638</v>
      </c>
      <c r="CD88" s="49" t="n">
        <f aca="false">IF(CD18=1,CD87/In_DSCR,"")</f>
        <v>1941.62973246085</v>
      </c>
      <c r="CE88" s="49" t="n">
        <f aca="false">IF(CE18=1,CE87/In_DSCR,"")</f>
        <v>1906.89200528213</v>
      </c>
      <c r="CF88" s="49" t="n">
        <f aca="false">IF(CF18=1,CF87/In_DSCR,"")</f>
        <v>1925.8934197686</v>
      </c>
      <c r="CG88" s="49" t="n">
        <f aca="false">IF(CG18=1,CG87/In_DSCR,"")</f>
        <v>1944.86839809074</v>
      </c>
      <c r="CH88" s="49" t="str">
        <f aca="false">IF(CH18=1,CH87/In_DSCR,"")</f>
        <v/>
      </c>
      <c r="CI88" s="49" t="str">
        <f aca="false">IF(CI18=1,CI87/In_DSCR,"")</f>
        <v/>
      </c>
      <c r="CJ88" s="49" t="str">
        <f aca="false">IF(CJ18=1,CJ87/In_DSCR,"")</f>
        <v/>
      </c>
      <c r="CK88" s="49" t="str">
        <f aca="false">IF(CK18=1,CK87/In_DSCR,"")</f>
        <v/>
      </c>
      <c r="CL88" s="49" t="str">
        <f aca="false">IF(CL18=1,CL87/In_DSCR,"")</f>
        <v/>
      </c>
      <c r="CM88" s="49" t="str">
        <f aca="false">IF(CM18=1,CM87/In_DSCR,"")</f>
        <v/>
      </c>
      <c r="CN88" s="49" t="str">
        <f aca="false">IF(CN18=1,CN87/In_DSCR,"")</f>
        <v/>
      </c>
      <c r="CO88" s="49" t="str">
        <f aca="false">IF(CO18=1,CO87/In_DSCR,"")</f>
        <v/>
      </c>
      <c r="CP88" s="49" t="str">
        <f aca="false">IF(CP18=1,CP87/In_DSCR,"")</f>
        <v/>
      </c>
      <c r="CQ88" s="49" t="str">
        <f aca="false">IF(CQ18=1,CQ87/In_DSCR,"")</f>
        <v/>
      </c>
      <c r="CR88" s="49" t="str">
        <f aca="false">IF(CR18=1,CR87/In_DSCR,"")</f>
        <v/>
      </c>
      <c r="CS88" s="49" t="str">
        <f aca="false">IF(CS18=1,CS87/In_DSCR,"")</f>
        <v/>
      </c>
      <c r="CT88" s="49" t="str">
        <f aca="false">IF(CT18=1,CT87/In_DSCR,"")</f>
        <v/>
      </c>
      <c r="CU88" s="49" t="str">
        <f aca="false">IF(CU18=1,CU87/In_DSCR,"")</f>
        <v/>
      </c>
      <c r="CV88" s="49" t="str">
        <f aca="false">IF(CV18=1,CV87/In_DSCR,"")</f>
        <v/>
      </c>
      <c r="CW88" s="49" t="str">
        <f aca="false">IF(CW18=1,CW87/In_DSCR,"")</f>
        <v/>
      </c>
      <c r="CX88" s="49" t="str">
        <f aca="false">IF(CX18=1,CX87/In_DSCR,"")</f>
        <v/>
      </c>
      <c r="CY88" s="49" t="str">
        <f aca="false">IF(CY18=1,CY87/In_DSCR,"")</f>
        <v/>
      </c>
      <c r="CZ88" s="49" t="str">
        <f aca="false">IF(CZ18=1,CZ87/In_DSCR,"")</f>
        <v/>
      </c>
      <c r="DA88" s="49" t="str">
        <f aca="false">IF(DA18=1,DA87/In_DSCR,"")</f>
        <v/>
      </c>
      <c r="DB88" s="49" t="str">
        <f aca="false">IF(DB18=1,DB87/In_DSCR,"")</f>
        <v/>
      </c>
      <c r="DC88" s="49" t="str">
        <f aca="false">IF(DC18=1,DC87/In_DSCR,"")</f>
        <v/>
      </c>
      <c r="DD88" s="49" t="str">
        <f aca="false">IF(DD18=1,DD87/In_DSCR,"")</f>
        <v/>
      </c>
      <c r="DE88" s="49" t="str">
        <f aca="false">IF(DE18=1,DE87/In_DSCR,"")</f>
        <v/>
      </c>
      <c r="DF88" s="49" t="str">
        <f aca="false">IF(DF18=1,DF87/In_DSCR,"")</f>
        <v/>
      </c>
      <c r="DG88" s="49" t="str">
        <f aca="false">IF(DG18=1,DG87/In_DSCR,"")</f>
        <v/>
      </c>
      <c r="DH88" s="49" t="str">
        <f aca="false">IF(DH18=1,DH87/In_DSCR,"")</f>
        <v/>
      </c>
      <c r="DI88" s="49" t="str">
        <f aca="false">IF(DI18=1,DI87/In_DSCR,"")</f>
        <v/>
      </c>
      <c r="DJ88" s="49" t="str">
        <f aca="false">IF(DJ18=1,DJ87/In_DSCR,"")</f>
        <v/>
      </c>
      <c r="DK88" s="49" t="str">
        <f aca="false">IF(DK18=1,DK87/In_DSCR,"")</f>
        <v/>
      </c>
      <c r="DL88" s="49" t="str">
        <f aca="false">IF(DL18=1,DL87/In_DSCR,"")</f>
        <v/>
      </c>
      <c r="DM88" s="49" t="str">
        <f aca="false">IF(DM18=1,DM87/In_DSCR,"")</f>
        <v/>
      </c>
      <c r="DN88" s="49" t="str">
        <f aca="false">IF(DN18=1,DN87/In_DSCR,"")</f>
        <v/>
      </c>
      <c r="DO88" s="49" t="str">
        <f aca="false">IF(DO18=1,DO87/In_DSCR,"")</f>
        <v/>
      </c>
      <c r="DP88" s="49" t="str">
        <f aca="false">IF(DP18=1,DP87/In_DSCR,"")</f>
        <v/>
      </c>
      <c r="DQ88" s="49" t="str">
        <f aca="false">IF(DQ18=1,DQ87/In_DSCR,"")</f>
        <v/>
      </c>
      <c r="DR88" s="49" t="str">
        <f aca="false">IF(DR18=1,DR87/In_DSCR,"")</f>
        <v/>
      </c>
      <c r="DS88" s="49" t="str">
        <f aca="false">IF(DS18=1,DS87/In_DSCR,"")</f>
        <v/>
      </c>
      <c r="DT88" s="49" t="str">
        <f aca="false">IF(DT18=1,DT87/In_DSCR,"")</f>
        <v/>
      </c>
      <c r="DU88" s="49" t="str">
        <f aca="false">IF(DU18=1,DU87/In_DSCR,"")</f>
        <v/>
      </c>
      <c r="DV88" s="49" t="str">
        <f aca="false">IF(DV18=1,DV87/In_DSCR,"")</f>
        <v/>
      </c>
      <c r="DW88" s="49" t="str">
        <f aca="false">IF(DW18=1,DW87/In_DSCR,"")</f>
        <v/>
      </c>
      <c r="DX88" s="49" t="str">
        <f aca="false">IF(DX18=1,DX87/In_DSCR,"")</f>
        <v/>
      </c>
      <c r="DY88" s="49" t="str">
        <f aca="false">IF(DY18=1,DY87/In_DSCR,"")</f>
        <v/>
      </c>
      <c r="DZ88" s="49" t="str">
        <f aca="false">IF(DZ18=1,DZ87/In_DSCR,"")</f>
        <v/>
      </c>
      <c r="EA88" s="49" t="str">
        <f aca="false">IF(EA18=1,EA87/In_DSCR,"")</f>
        <v/>
      </c>
      <c r="EB88" s="49" t="str">
        <f aca="false">IF(EB18=1,EB87/In_DSCR,"")</f>
        <v/>
      </c>
      <c r="EC88" s="49" t="str">
        <f aca="false">IF(EC18=1,EC87/In_DSCR,"")</f>
        <v/>
      </c>
      <c r="ED88" s="49" t="str">
        <f aca="false">IF(ED18=1,ED87/In_DSCR,"")</f>
        <v/>
      </c>
      <c r="EE88" s="49" t="str">
        <f aca="false">IF(EE18=1,EE87/In_DSCR,"")</f>
        <v/>
      </c>
      <c r="EF88" s="49" t="str">
        <f aca="false">IF(EF18=1,EF87/In_DSCR,"")</f>
        <v/>
      </c>
      <c r="EG88" s="49" t="str">
        <f aca="false">IF(EG18=1,EG87/In_DSCR,"")</f>
        <v/>
      </c>
      <c r="EH88" s="49" t="str">
        <f aca="false">IF(EH18=1,EH87/In_DSCR,"")</f>
        <v/>
      </c>
      <c r="EI88" s="49" t="str">
        <f aca="false">IF(EI18=1,EI87/In_DSCR,"")</f>
        <v/>
      </c>
      <c r="EJ88" s="49" t="str">
        <f aca="false">IF(EJ18=1,EJ87/In_DSCR,"")</f>
        <v/>
      </c>
      <c r="EK88" s="49" t="str">
        <f aca="false">IF(EK18=1,EK87/In_DSCR,"")</f>
        <v/>
      </c>
      <c r="EL88" s="49" t="str">
        <f aca="false">IF(EL18=1,EL87/In_DSCR,"")</f>
        <v/>
      </c>
      <c r="EM88" s="49" t="str">
        <f aca="false">IF(EM18=1,EM87/In_DSCR,"")</f>
        <v/>
      </c>
      <c r="EN88" s="49" t="str">
        <f aca="false">IF(EN18=1,EN87/In_DSCR,"")</f>
        <v/>
      </c>
      <c r="EO88" s="49" t="str">
        <f aca="false">IF(EO18=1,EO87/In_DSCR,"")</f>
        <v/>
      </c>
    </row>
    <row r="89" customFormat="false" ht="15" hidden="false" customHeight="false" outlineLevel="0" collapsed="false">
      <c r="C89" s="1" t="s">
        <v>489</v>
      </c>
      <c r="D89" s="12" t="s">
        <v>33</v>
      </c>
      <c r="E89" s="49" t="n">
        <f aca="false">IF(In_Debt_Per_MW&gt;0,In_Debt_Per_MW*$F25,-$E70)</f>
        <v>107373.632093313</v>
      </c>
    </row>
    <row r="90" customFormat="false" ht="15" hidden="false" customHeight="false" outlineLevel="0" collapsed="false">
      <c r="C90" s="26" t="s">
        <v>490</v>
      </c>
      <c r="D90" s="12" t="s">
        <v>27</v>
      </c>
      <c r="E90" s="34" t="n">
        <f aca="false">MIN(In_Gearing,$E88/-$E70,$E89/-$E70)</f>
        <v>0.55</v>
      </c>
      <c r="F90" s="34" t="n">
        <f aca="false">$E90*-$E70/$E88</f>
        <v>0.736762310843194</v>
      </c>
    </row>
    <row r="91" customFormat="false" ht="15" hidden="false" customHeight="false" outlineLevel="0" collapsed="false">
      <c r="C91" s="1" t="s">
        <v>491</v>
      </c>
      <c r="D91" s="12" t="s">
        <v>33</v>
      </c>
      <c r="E91" s="49" t="n">
        <f aca="false">$E90*-$E70</f>
        <v>59055.4976513219</v>
      </c>
      <c r="F91" s="49" t="n">
        <f aca="false">PMT($F22,In_Debt_Tenor*Months_In_Year/Months_Per_Period,-$E91)</f>
        <v>1404.92616034007</v>
      </c>
    </row>
    <row r="93" customFormat="false" ht="15" hidden="false" customHeight="false" outlineLevel="0" collapsed="false">
      <c r="A93" s="10" t="s">
        <v>13</v>
      </c>
      <c r="B93" s="10"/>
      <c r="C93" s="10" t="s">
        <v>366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customFormat="false" ht="15" hidden="false" customHeight="false" outlineLevel="0" collapsed="false">
      <c r="C94" s="1" t="s">
        <v>492</v>
      </c>
      <c r="D94" s="12" t="s">
        <v>33</v>
      </c>
      <c r="I94" s="49" t="n">
        <f aca="false">SUM(J94:EO94)</f>
        <v>-25240.0719690823</v>
      </c>
      <c r="J94" s="49" t="n">
        <f aca="false">-I103*$F22*(J$4&gt;In_COD)</f>
        <v>-0</v>
      </c>
      <c r="K94" s="49" t="n">
        <f aca="false">-J103*$F22*(K$4&gt;In_COD)</f>
        <v>-0</v>
      </c>
      <c r="L94" s="49" t="n">
        <f aca="false">-K103*$F22*(L$4&gt;In_COD)</f>
        <v>-0</v>
      </c>
      <c r="M94" s="49" t="n">
        <f aca="false">-L103*$F22*(M$4&gt;In_COD)</f>
        <v>-0</v>
      </c>
      <c r="N94" s="49" t="n">
        <f aca="false">-M103*$F22*(N$4&gt;In_COD)</f>
        <v>-0</v>
      </c>
      <c r="O94" s="49" t="n">
        <f aca="false">-N103*$F22*(O$4&gt;In_COD)</f>
        <v>-0</v>
      </c>
      <c r="P94" s="49" t="n">
        <f aca="false">-O103*$F22*(P$4&gt;In_COD)</f>
        <v>-0</v>
      </c>
      <c r="Q94" s="49" t="n">
        <f aca="false">-P103*$F22*(Q$4&gt;In_COD)</f>
        <v>-0</v>
      </c>
      <c r="R94" s="49" t="n">
        <f aca="false">-Q103*$F22*(R$4&gt;In_COD)</f>
        <v>-0</v>
      </c>
      <c r="S94" s="49" t="n">
        <f aca="false">-R103*$F22*(S$4&gt;In_COD)</f>
        <v>-0</v>
      </c>
      <c r="T94" s="49" t="n">
        <f aca="false">-S103*$F22*(T$4&gt;In_COD)</f>
        <v>-0</v>
      </c>
      <c r="U94" s="49" t="n">
        <f aca="false">-T103*$F22*(U$4&gt;In_COD)</f>
        <v>-0</v>
      </c>
      <c r="V94" s="49" t="n">
        <f aca="false">-U103*$F22*(V$4&gt;In_COD)</f>
        <v>-0</v>
      </c>
      <c r="W94" s="49" t="n">
        <f aca="false">-V103*$F22*(W$4&gt;In_COD)</f>
        <v>-0</v>
      </c>
      <c r="X94" s="49" t="n">
        <f aca="false">-W103*$F22*(X$4&gt;In_COD)</f>
        <v>-0</v>
      </c>
      <c r="Y94" s="49" t="n">
        <f aca="false">-X103*$F22*(Y$4&gt;In_COD)</f>
        <v>-0</v>
      </c>
      <c r="Z94" s="49" t="n">
        <f aca="false">-Y103*$F22*(Z$4&gt;In_COD)</f>
        <v>-738.193720641525</v>
      </c>
      <c r="AA94" s="49" t="n">
        <f aca="false">-Z103*$F22*(AA$4&gt;In_COD)</f>
        <v>-729.859565145293</v>
      </c>
      <c r="AB94" s="49" t="n">
        <f aca="false">-AA103*$F22*(AB$4&gt;In_COD)</f>
        <v>-721.421232705358</v>
      </c>
      <c r="AC94" s="49" t="n">
        <f aca="false">-AB103*$F22*(AC$4&gt;In_COD)</f>
        <v>-712.877421109924</v>
      </c>
      <c r="AD94" s="49" t="n">
        <f aca="false">-AC103*$F22*(AD$4&gt;In_COD)</f>
        <v>-704.226811869547</v>
      </c>
      <c r="AE94" s="49" t="n">
        <f aca="false">-AD103*$F22*(AE$4&gt;In_COD)</f>
        <v>-695.468070013666</v>
      </c>
      <c r="AF94" s="49" t="n">
        <f aca="false">-AE103*$F22*(AF$4&gt;In_COD)</f>
        <v>-686.599843884585</v>
      </c>
      <c r="AG94" s="49" t="n">
        <f aca="false">-AF103*$F22*(AG$4&gt;In_COD)</f>
        <v>-677.620764928892</v>
      </c>
      <c r="AH94" s="49" t="n">
        <f aca="false">-AG103*$F22*(AH$4&gt;In_COD)</f>
        <v>-668.529447486252</v>
      </c>
      <c r="AI94" s="49" t="n">
        <f aca="false">-AH103*$F22*(AI$4&gt;In_COD)</f>
        <v>-659.324488575579</v>
      </c>
      <c r="AJ94" s="49" t="n">
        <f aca="false">-AI103*$F22*(AJ$4&gt;In_COD)</f>
        <v>-650.004467678523</v>
      </c>
      <c r="AK94" s="49" t="n">
        <f aca="false">-AJ103*$F22*(AK$4&gt;In_COD)</f>
        <v>-640.567946520254</v>
      </c>
      <c r="AL94" s="49" t="n">
        <f aca="false">-AK103*$F22*(AL$4&gt;In_COD)</f>
        <v>-631.013468847506</v>
      </c>
      <c r="AM94" s="49" t="n">
        <f aca="false">-AL103*$F22*(AM$4&gt;In_COD)</f>
        <v>-621.339560203849</v>
      </c>
      <c r="AN94" s="49" t="n">
        <f aca="false">-AM103*$F22*(AN$4&gt;In_COD)</f>
        <v>-611.544727702146</v>
      </c>
      <c r="AO94" s="49" t="n">
        <f aca="false">-AN103*$F22*(AO$4&gt;In_COD)</f>
        <v>-601.627459794172</v>
      </c>
      <c r="AP94" s="49" t="n">
        <f aca="false">-AO103*$F22*(AP$4&gt;In_COD)</f>
        <v>-591.586226037348</v>
      </c>
      <c r="AQ94" s="49" t="n">
        <f aca="false">-AP103*$F22*(AQ$4&gt;In_COD)</f>
        <v>-581.419476858564</v>
      </c>
      <c r="AR94" s="49" t="n">
        <f aca="false">-AQ103*$F22*(AR$4&gt;In_COD)</f>
        <v>-571.125643315045</v>
      </c>
      <c r="AS94" s="49" t="n">
        <f aca="false">-AR103*$F22*(AS$4&gt;In_COD)</f>
        <v>-560.703136852233</v>
      </c>
      <c r="AT94" s="49" t="n">
        <f aca="false">-AS103*$F22*(AT$4&gt;In_COD)</f>
        <v>-550.150349058635</v>
      </c>
      <c r="AU94" s="49" t="n">
        <f aca="false">-AT103*$F22*(AU$4&gt;In_COD)</f>
        <v>-539.465651417617</v>
      </c>
      <c r="AV94" s="49" t="n">
        <f aca="false">-AU103*$F22*(AV$4&gt;In_COD)</f>
        <v>-528.647395056086</v>
      </c>
      <c r="AW94" s="49" t="n">
        <f aca="false">-AV103*$F22*(AW$4&gt;In_COD)</f>
        <v>-517.693910490036</v>
      </c>
      <c r="AX94" s="49" t="n">
        <f aca="false">-AW103*$F22*(AX$4&gt;In_COD)</f>
        <v>-506.603507366911</v>
      </c>
      <c r="AY94" s="49" t="n">
        <f aca="false">-AX103*$F22*(AY$4&gt;In_COD)</f>
        <v>-495.374474204746</v>
      </c>
      <c r="AZ94" s="49" t="n">
        <f aca="false">-AY103*$F22*(AZ$4&gt;In_COD)</f>
        <v>-484.005078128055</v>
      </c>
      <c r="BA94" s="49" t="n">
        <f aca="false">-AZ103*$F22*(BA$4&gt;In_COD)</f>
        <v>-472.493564600404</v>
      </c>
      <c r="BB94" s="49" t="n">
        <f aca="false">-BA103*$F22*(BB$4&gt;In_COD)</f>
        <v>-460.838157153659</v>
      </c>
      <c r="BC94" s="49" t="n">
        <f aca="false">-BB103*$F22*(BC$4&gt;In_COD)</f>
        <v>-449.037057113828</v>
      </c>
      <c r="BD94" s="49" t="n">
        <f aca="false">-BC103*$F22*(BD$4&gt;In_COD)</f>
        <v>-437.0884433235</v>
      </c>
      <c r="BE94" s="49" t="n">
        <f aca="false">-BD103*$F22*(BE$4&gt;In_COD)</f>
        <v>-424.990471860793</v>
      </c>
      <c r="BF94" s="49" t="n">
        <f aca="false">-BE103*$F22*(BF$4&gt;In_COD)</f>
        <v>-412.741275754802</v>
      </c>
      <c r="BG94" s="49" t="n">
        <f aca="false">-BF103*$F22*(BG$4&gt;In_COD)</f>
        <v>-400.338964697486</v>
      </c>
      <c r="BH94" s="49" t="n">
        <f aca="false">-BG103*$F22*(BH$4&gt;In_COD)</f>
        <v>-387.781624751954</v>
      </c>
      <c r="BI94" s="49" t="n">
        <f aca="false">-BH103*$F22*(BI$4&gt;In_COD)</f>
        <v>-375.067318057103</v>
      </c>
      <c r="BJ94" s="49" t="n">
        <f aca="false">-BI103*$F22*(BJ$4&gt;In_COD)</f>
        <v>-362.194082528566</v>
      </c>
      <c r="BK94" s="49" t="n">
        <f aca="false">-BJ103*$F22*(BK$4&gt;In_COD)</f>
        <v>-349.159931555922</v>
      </c>
      <c r="BL94" s="49" t="n">
        <f aca="false">-BK103*$F22*(BL$4&gt;In_COD)</f>
        <v>-335.96285369612</v>
      </c>
      <c r="BM94" s="49" t="n">
        <f aca="false">-BL103*$F22*(BM$4&gt;In_COD)</f>
        <v>-322.600812363071</v>
      </c>
      <c r="BN94" s="49" t="n">
        <f aca="false">-BM103*$F22*(BN$4&gt;In_COD)</f>
        <v>-309.071745513358</v>
      </c>
      <c r="BO94" s="49" t="n">
        <f aca="false">-BN103*$F22*(BO$4&gt;In_COD)</f>
        <v>-295.373565328024</v>
      </c>
      <c r="BP94" s="49" t="n">
        <f aca="false">-BO103*$F22*(BP$4&gt;In_COD)</f>
        <v>-281.504157890374</v>
      </c>
      <c r="BQ94" s="49" t="n">
        <f aca="false">-BP103*$F22*(BQ$4&gt;In_COD)</f>
        <v>-267.461382859752</v>
      </c>
      <c r="BR94" s="49" t="n">
        <f aca="false">-BQ103*$F22*(BR$4&gt;In_COD)</f>
        <v>-253.243073141248</v>
      </c>
      <c r="BS94" s="49" t="n">
        <f aca="false">-BR103*$F22*(BS$4&gt;In_COD)</f>
        <v>-238.847034551263</v>
      </c>
      <c r="BT94" s="49" t="n">
        <f aca="false">-BS103*$F22*(BT$4&gt;In_COD)</f>
        <v>-224.271045478903</v>
      </c>
      <c r="BU94" s="49" t="n">
        <f aca="false">-BT103*$F22*(BU$4&gt;In_COD)</f>
        <v>-209.512856543138</v>
      </c>
      <c r="BV94" s="49" t="n">
        <f aca="false">-BU103*$F22*(BV$4&gt;In_COD)</f>
        <v>-194.570190245677</v>
      </c>
      <c r="BW94" s="49" t="n">
        <f aca="false">-BV103*$F22*(BW$4&gt;In_COD)</f>
        <v>-179.440740619497</v>
      </c>
      <c r="BX94" s="49" t="n">
        <f aca="false">-BW103*$F22*(BX$4&gt;In_COD)</f>
        <v>-164.122172872989</v>
      </c>
      <c r="BY94" s="49" t="n">
        <f aca="false">-BX103*$F22*(BY$4&gt;In_COD)</f>
        <v>-148.612123029651</v>
      </c>
      <c r="BZ94" s="49" t="n">
        <f aca="false">-BY103*$F22*(BZ$4&gt;In_COD)</f>
        <v>-132.908197563271</v>
      </c>
      <c r="CA94" s="49" t="n">
        <f aca="false">-BZ103*$F22*(CA$4&gt;In_COD)</f>
        <v>-117.007973028561</v>
      </c>
      <c r="CB94" s="49" t="n">
        <f aca="false">-CA103*$F22*(CB$4&gt;In_COD)</f>
        <v>-100.908995687167</v>
      </c>
      <c r="CC94" s="49" t="n">
        <f aca="false">-CB103*$F22*(CC$4&gt;In_COD)</f>
        <v>-84.6087811290055</v>
      </c>
      <c r="CD94" s="49" t="n">
        <f aca="false">-CC103*$F22*(CD$4&gt;In_COD)</f>
        <v>-68.1048138888671</v>
      </c>
      <c r="CE94" s="49" t="n">
        <f aca="false">-CD103*$F22*(CE$4&gt;In_COD)</f>
        <v>-51.3945470582271</v>
      </c>
      <c r="CF94" s="49" t="n">
        <f aca="false">-CE103*$F22*(CF$4&gt;In_COD)</f>
        <v>-34.475401892204</v>
      </c>
      <c r="CG94" s="49" t="n">
        <f aca="false">-CF103*$F22*(CG$4&gt;In_COD)</f>
        <v>-17.3447674116057</v>
      </c>
      <c r="CH94" s="49" t="n">
        <f aca="false">-CG103*$F22*(CH$4&gt;In_COD)</f>
        <v>-0</v>
      </c>
      <c r="CI94" s="49" t="n">
        <f aca="false">-CH103*$F22*(CI$4&gt;In_COD)</f>
        <v>-0</v>
      </c>
      <c r="CJ94" s="49" t="n">
        <f aca="false">-CI103*$F22*(CJ$4&gt;In_COD)</f>
        <v>-0</v>
      </c>
      <c r="CK94" s="49" t="n">
        <f aca="false">-CJ103*$F22*(CK$4&gt;In_COD)</f>
        <v>-0</v>
      </c>
      <c r="CL94" s="49" t="n">
        <f aca="false">-CK103*$F22*(CL$4&gt;In_COD)</f>
        <v>-0</v>
      </c>
      <c r="CM94" s="49" t="n">
        <f aca="false">-CL103*$F22*(CM$4&gt;In_COD)</f>
        <v>-0</v>
      </c>
      <c r="CN94" s="49" t="n">
        <f aca="false">-CM103*$F22*(CN$4&gt;In_COD)</f>
        <v>-0</v>
      </c>
      <c r="CO94" s="49" t="n">
        <f aca="false">-CN103*$F22*(CO$4&gt;In_COD)</f>
        <v>-0</v>
      </c>
      <c r="CP94" s="49" t="n">
        <f aca="false">-CO103*$F22*(CP$4&gt;In_COD)</f>
        <v>-0</v>
      </c>
      <c r="CQ94" s="49" t="n">
        <f aca="false">-CP103*$F22*(CQ$4&gt;In_COD)</f>
        <v>-0</v>
      </c>
      <c r="CR94" s="49" t="n">
        <f aca="false">-CQ103*$F22*(CR$4&gt;In_COD)</f>
        <v>-0</v>
      </c>
      <c r="CS94" s="49" t="n">
        <f aca="false">-CR103*$F22*(CS$4&gt;In_COD)</f>
        <v>-0</v>
      </c>
      <c r="CT94" s="49" t="n">
        <f aca="false">-CS103*$F22*(CT$4&gt;In_COD)</f>
        <v>-0</v>
      </c>
      <c r="CU94" s="49" t="n">
        <f aca="false">-CT103*$F22*(CU$4&gt;In_COD)</f>
        <v>-0</v>
      </c>
      <c r="CV94" s="49" t="n">
        <f aca="false">-CU103*$F22*(CV$4&gt;In_COD)</f>
        <v>-0</v>
      </c>
      <c r="CW94" s="49" t="n">
        <f aca="false">-CV103*$F22*(CW$4&gt;In_COD)</f>
        <v>-0</v>
      </c>
      <c r="CX94" s="49" t="n">
        <f aca="false">-CW103*$F22*(CX$4&gt;In_COD)</f>
        <v>-0</v>
      </c>
      <c r="CY94" s="49" t="n">
        <f aca="false">-CX103*$F22*(CY$4&gt;In_COD)</f>
        <v>-0</v>
      </c>
      <c r="CZ94" s="49" t="n">
        <f aca="false">-CY103*$F22*(CZ$4&gt;In_COD)</f>
        <v>-0</v>
      </c>
      <c r="DA94" s="49" t="n">
        <f aca="false">-CZ103*$F22*(DA$4&gt;In_COD)</f>
        <v>-0</v>
      </c>
      <c r="DB94" s="49" t="n">
        <f aca="false">-DA103*$F22*(DB$4&gt;In_COD)</f>
        <v>-0</v>
      </c>
      <c r="DC94" s="49" t="n">
        <f aca="false">-DB103*$F22*(DC$4&gt;In_COD)</f>
        <v>-0</v>
      </c>
      <c r="DD94" s="49" t="n">
        <f aca="false">-DC103*$F22*(DD$4&gt;In_COD)</f>
        <v>-0</v>
      </c>
      <c r="DE94" s="49" t="n">
        <f aca="false">-DD103*$F22*(DE$4&gt;In_COD)</f>
        <v>-0</v>
      </c>
      <c r="DF94" s="49" t="n">
        <f aca="false">-DE103*$F22*(DF$4&gt;In_COD)</f>
        <v>-0</v>
      </c>
      <c r="DG94" s="49" t="n">
        <f aca="false">-DF103*$F22*(DG$4&gt;In_COD)</f>
        <v>-0</v>
      </c>
      <c r="DH94" s="49" t="n">
        <f aca="false">-DG103*$F22*(DH$4&gt;In_COD)</f>
        <v>-0</v>
      </c>
      <c r="DI94" s="49" t="n">
        <f aca="false">-DH103*$F22*(DI$4&gt;In_COD)</f>
        <v>-0</v>
      </c>
      <c r="DJ94" s="49" t="n">
        <f aca="false">-DI103*$F22*(DJ$4&gt;In_COD)</f>
        <v>-0</v>
      </c>
      <c r="DK94" s="49" t="n">
        <f aca="false">-DJ103*$F22*(DK$4&gt;In_COD)</f>
        <v>-0</v>
      </c>
      <c r="DL94" s="49" t="n">
        <f aca="false">-DK103*$F22*(DL$4&gt;In_COD)</f>
        <v>-0</v>
      </c>
      <c r="DM94" s="49" t="n">
        <f aca="false">-DL103*$F22*(DM$4&gt;In_COD)</f>
        <v>-0</v>
      </c>
      <c r="DN94" s="49" t="n">
        <f aca="false">-DM103*$F22*(DN$4&gt;In_COD)</f>
        <v>-0</v>
      </c>
      <c r="DO94" s="49" t="n">
        <f aca="false">-DN103*$F22*(DO$4&gt;In_COD)</f>
        <v>-0</v>
      </c>
      <c r="DP94" s="49" t="n">
        <f aca="false">-DO103*$F22*(DP$4&gt;In_COD)</f>
        <v>-0</v>
      </c>
      <c r="DQ94" s="49" t="n">
        <f aca="false">-DP103*$F22*(DQ$4&gt;In_COD)</f>
        <v>-0</v>
      </c>
      <c r="DR94" s="49" t="n">
        <f aca="false">-DQ103*$F22*(DR$4&gt;In_COD)</f>
        <v>-0</v>
      </c>
      <c r="DS94" s="49" t="n">
        <f aca="false">-DR103*$F22*(DS$4&gt;In_COD)</f>
        <v>-0</v>
      </c>
      <c r="DT94" s="49" t="n">
        <f aca="false">-DS103*$F22*(DT$4&gt;In_COD)</f>
        <v>-0</v>
      </c>
      <c r="DU94" s="49" t="n">
        <f aca="false">-DT103*$F22*(DU$4&gt;In_COD)</f>
        <v>-0</v>
      </c>
      <c r="DV94" s="49" t="n">
        <f aca="false">-DU103*$F22*(DV$4&gt;In_COD)</f>
        <v>-0</v>
      </c>
      <c r="DW94" s="49" t="n">
        <f aca="false">-DV103*$F22*(DW$4&gt;In_COD)</f>
        <v>-0</v>
      </c>
      <c r="DX94" s="49" t="n">
        <f aca="false">-DW103*$F22*(DX$4&gt;In_COD)</f>
        <v>-0</v>
      </c>
      <c r="DY94" s="49" t="n">
        <f aca="false">-DX103*$F22*(DY$4&gt;In_COD)</f>
        <v>-0</v>
      </c>
      <c r="DZ94" s="49" t="n">
        <f aca="false">-DY103*$F22*(DZ$4&gt;In_COD)</f>
        <v>-0</v>
      </c>
      <c r="EA94" s="49" t="n">
        <f aca="false">-DZ103*$F22*(EA$4&gt;In_COD)</f>
        <v>-0</v>
      </c>
      <c r="EB94" s="49" t="n">
        <f aca="false">-EA103*$F22*(EB$4&gt;In_COD)</f>
        <v>-0</v>
      </c>
      <c r="EC94" s="49" t="n">
        <f aca="false">-EB103*$F22*(EC$4&gt;In_COD)</f>
        <v>-0</v>
      </c>
      <c r="ED94" s="49" t="n">
        <f aca="false">-EC103*$F22*(ED$4&gt;In_COD)</f>
        <v>-0</v>
      </c>
      <c r="EE94" s="49" t="n">
        <f aca="false">-ED103*$F22*(EE$4&gt;In_COD)</f>
        <v>-0</v>
      </c>
      <c r="EF94" s="49" t="n">
        <f aca="false">-EE103*$F22*(EF$4&gt;In_COD)</f>
        <v>-0</v>
      </c>
      <c r="EG94" s="49" t="n">
        <f aca="false">-EF103*$F22*(EG$4&gt;In_COD)</f>
        <v>-0</v>
      </c>
      <c r="EH94" s="49" t="n">
        <f aca="false">-EG103*$F22*(EH$4&gt;In_COD)</f>
        <v>-0</v>
      </c>
      <c r="EI94" s="49" t="n">
        <f aca="false">-EH103*$F22*(EI$4&gt;In_COD)</f>
        <v>-0</v>
      </c>
      <c r="EJ94" s="49" t="n">
        <f aca="false">-EI103*$F22*(EJ$4&gt;In_COD)</f>
        <v>-0</v>
      </c>
      <c r="EK94" s="49" t="n">
        <f aca="false">-EJ103*$F22*(EK$4&gt;In_COD)</f>
        <v>-0</v>
      </c>
      <c r="EL94" s="49" t="n">
        <f aca="false">-EK103*$F22*(EL$4&gt;In_COD)</f>
        <v>-0</v>
      </c>
      <c r="EM94" s="49" t="n">
        <f aca="false">-EL103*$F22*(EM$4&gt;In_COD)</f>
        <v>-0</v>
      </c>
      <c r="EN94" s="49" t="n">
        <f aca="false">-EM103*$F22*(EN$4&gt;In_COD)</f>
        <v>-0</v>
      </c>
      <c r="EO94" s="49" t="n">
        <f aca="false">-EN103*$F22*(EO$4&gt;In_COD)</f>
        <v>-0</v>
      </c>
    </row>
    <row r="95" customFormat="false" ht="15" hidden="false" customHeight="false" outlineLevel="0" collapsed="false">
      <c r="C95" s="1" t="s">
        <v>493</v>
      </c>
      <c r="D95" s="12" t="s">
        <v>33</v>
      </c>
      <c r="I95" s="49" t="n">
        <f aca="false">SUM(J95:EO95)</f>
        <v>-59055.4976513219</v>
      </c>
      <c r="J95" s="49" t="n">
        <f aca="false">-MIN(I103,$F91+J94)*J18</f>
        <v>-0</v>
      </c>
      <c r="K95" s="49" t="n">
        <f aca="false">-MIN(J103,$F91+K94)*K18</f>
        <v>-0</v>
      </c>
      <c r="L95" s="49" t="n">
        <f aca="false">-MIN(K103,$F91+L94)*L18</f>
        <v>-0</v>
      </c>
      <c r="M95" s="49" t="n">
        <f aca="false">-MIN(L103,$F91+M94)*M18</f>
        <v>-0</v>
      </c>
      <c r="N95" s="49" t="n">
        <f aca="false">-MIN(M103,$F91+N94)*N18</f>
        <v>-0</v>
      </c>
      <c r="O95" s="49" t="n">
        <f aca="false">-MIN(N103,$F91+O94)*O18</f>
        <v>-0</v>
      </c>
      <c r="P95" s="49" t="n">
        <f aca="false">-MIN(O103,$F91+P94)*P18</f>
        <v>-0</v>
      </c>
      <c r="Q95" s="49" t="n">
        <f aca="false">-MIN(P103,$F91+Q94)*Q18</f>
        <v>-0</v>
      </c>
      <c r="R95" s="49" t="n">
        <f aca="false">-MIN(Q103,$F91+R94)*R18</f>
        <v>-0</v>
      </c>
      <c r="S95" s="49" t="n">
        <f aca="false">-MIN(R103,$F91+S94)*S18</f>
        <v>-0</v>
      </c>
      <c r="T95" s="49" t="n">
        <f aca="false">-MIN(S103,$F91+T94)*T18</f>
        <v>-0</v>
      </c>
      <c r="U95" s="49" t="n">
        <f aca="false">-MIN(T103,$F91+U94)*U18</f>
        <v>-0</v>
      </c>
      <c r="V95" s="49" t="n">
        <f aca="false">-MIN(U103,$F91+V94)*V18</f>
        <v>-0</v>
      </c>
      <c r="W95" s="49" t="n">
        <f aca="false">-MIN(V103,$F91+W94)*W18</f>
        <v>-0</v>
      </c>
      <c r="X95" s="49" t="n">
        <f aca="false">-MIN(W103,$F91+X94)*X18</f>
        <v>-0</v>
      </c>
      <c r="Y95" s="49" t="n">
        <f aca="false">-MIN(X103,$F91+Y94)*Y18</f>
        <v>-0</v>
      </c>
      <c r="Z95" s="49" t="n">
        <f aca="false">-MIN(Y103,$F91+Z94)*Z18</f>
        <v>-666.732439698547</v>
      </c>
      <c r="AA95" s="49" t="n">
        <f aca="false">-MIN(Z103,$F91+AA94)*AA18</f>
        <v>-675.066595194779</v>
      </c>
      <c r="AB95" s="49" t="n">
        <f aca="false">-MIN(AA103,$F91+AB94)*AB18</f>
        <v>-683.504927634714</v>
      </c>
      <c r="AC95" s="49" t="n">
        <f aca="false">-MIN(AB103,$F91+AC94)*AC18</f>
        <v>-692.048739230148</v>
      </c>
      <c r="AD95" s="49" t="n">
        <f aca="false">-MIN(AC103,$F91+AD94)*AD18</f>
        <v>-700.699348470525</v>
      </c>
      <c r="AE95" s="49" t="n">
        <f aca="false">-MIN(AD103,$F91+AE94)*AE18</f>
        <v>-709.458090326406</v>
      </c>
      <c r="AF95" s="49" t="n">
        <f aca="false">-MIN(AE103,$F91+AF94)*AF18</f>
        <v>-718.326316455486</v>
      </c>
      <c r="AG95" s="49" t="n">
        <f aca="false">-MIN(AF103,$F91+AG94)*AG18</f>
        <v>-727.30539541118</v>
      </c>
      <c r="AH95" s="49" t="n">
        <f aca="false">-MIN(AG103,$F91+AH94)*AH18</f>
        <v>-736.396712853819</v>
      </c>
      <c r="AI95" s="49" t="n">
        <f aca="false">-MIN(AH103,$F91+AI94)*AI18</f>
        <v>-745.601671764492</v>
      </c>
      <c r="AJ95" s="49" t="n">
        <f aca="false">-MIN(AI103,$F91+AJ94)*AJ18</f>
        <v>-754.921692661548</v>
      </c>
      <c r="AK95" s="49" t="n">
        <f aca="false">-MIN(AJ103,$F91+AK94)*AK18</f>
        <v>-764.358213819818</v>
      </c>
      <c r="AL95" s="49" t="n">
        <f aca="false">-MIN(AK103,$F91+AL94)*AL18</f>
        <v>-773.912691492565</v>
      </c>
      <c r="AM95" s="49" t="n">
        <f aca="false">-MIN(AL103,$F91+AM94)*AM18</f>
        <v>-783.586600136223</v>
      </c>
      <c r="AN95" s="49" t="n">
        <f aca="false">-MIN(AM103,$F91+AN94)*AN18</f>
        <v>-793.381432637925</v>
      </c>
      <c r="AO95" s="49" t="n">
        <f aca="false">-MIN(AN103,$F91+AO94)*AO18</f>
        <v>-803.298700545899</v>
      </c>
      <c r="AP95" s="49" t="n">
        <f aca="false">-MIN(AO103,$F91+AP94)*AP18</f>
        <v>-813.339934302723</v>
      </c>
      <c r="AQ95" s="49" t="n">
        <f aca="false">-MIN(AP103,$F91+AQ94)*AQ18</f>
        <v>-823.506683481507</v>
      </c>
      <c r="AR95" s="49" t="n">
        <f aca="false">-MIN(AQ103,$F91+AR94)*AR18</f>
        <v>-833.800517025026</v>
      </c>
      <c r="AS95" s="49" t="n">
        <f aca="false">-MIN(AR103,$F91+AS94)*AS18</f>
        <v>-844.223023487839</v>
      </c>
      <c r="AT95" s="49" t="n">
        <f aca="false">-MIN(AS103,$F91+AT94)*AT18</f>
        <v>-854.775811281437</v>
      </c>
      <c r="AU95" s="49" t="n">
        <f aca="false">-MIN(AT103,$F91+AU94)*AU18</f>
        <v>-865.460508922455</v>
      </c>
      <c r="AV95" s="49" t="n">
        <f aca="false">-MIN(AU103,$F91+AV94)*AV18</f>
        <v>-876.278765283985</v>
      </c>
      <c r="AW95" s="49" t="n">
        <f aca="false">-MIN(AV103,$F91+AW94)*AW18</f>
        <v>-887.232249850035</v>
      </c>
      <c r="AX95" s="49" t="n">
        <f aca="false">-MIN(AW103,$F91+AX94)*AX18</f>
        <v>-898.322652973161</v>
      </c>
      <c r="AY95" s="49" t="n">
        <f aca="false">-MIN(AX103,$F91+AY94)*AY18</f>
        <v>-909.551686135325</v>
      </c>
      <c r="AZ95" s="49" t="n">
        <f aca="false">-MIN(AY103,$F91+AZ94)*AZ18</f>
        <v>-920.921082212017</v>
      </c>
      <c r="BA95" s="49" t="n">
        <f aca="false">-MIN(AZ103,$F91+BA94)*BA18</f>
        <v>-932.432595739667</v>
      </c>
      <c r="BB95" s="49" t="n">
        <f aca="false">-MIN(BA103,$F91+BB94)*BB18</f>
        <v>-944.088003186413</v>
      </c>
      <c r="BC95" s="49" t="n">
        <f aca="false">-MIN(BB103,$F91+BC94)*BC18</f>
        <v>-955.889103226243</v>
      </c>
      <c r="BD95" s="49" t="n">
        <f aca="false">-MIN(BC103,$F91+BD94)*BD18</f>
        <v>-967.837717016571</v>
      </c>
      <c r="BE95" s="49" t="n">
        <f aca="false">-MIN(BD103,$F91+BE94)*BE18</f>
        <v>-979.935688479278</v>
      </c>
      <c r="BF95" s="49" t="n">
        <f aca="false">-MIN(BE103,$F91+BF94)*BF18</f>
        <v>-992.184884585269</v>
      </c>
      <c r="BG95" s="49" t="n">
        <f aca="false">-MIN(BF103,$F91+BG94)*BG18</f>
        <v>-1004.58719564258</v>
      </c>
      <c r="BH95" s="49" t="n">
        <f aca="false">-MIN(BG103,$F91+BH94)*BH18</f>
        <v>-1017.14453558812</v>
      </c>
      <c r="BI95" s="49" t="n">
        <f aca="false">-MIN(BH103,$F91+BI94)*BI18</f>
        <v>-1029.85884228297</v>
      </c>
      <c r="BJ95" s="49" t="n">
        <f aca="false">-MIN(BI103,$F91+BJ94)*BJ18</f>
        <v>-1042.73207781151</v>
      </c>
      <c r="BK95" s="49" t="n">
        <f aca="false">-MIN(BJ103,$F91+BK94)*BK18</f>
        <v>-1055.76622878415</v>
      </c>
      <c r="BL95" s="49" t="n">
        <f aca="false">-MIN(BK103,$F91+BL94)*BL18</f>
        <v>-1068.96330664395</v>
      </c>
      <c r="BM95" s="49" t="n">
        <f aca="false">-MIN(BL103,$F91+BM94)*BM18</f>
        <v>-1082.325347977</v>
      </c>
      <c r="BN95" s="49" t="n">
        <f aca="false">-MIN(BM103,$F91+BN94)*BN18</f>
        <v>-1095.85441482671</v>
      </c>
      <c r="BO95" s="49" t="n">
        <f aca="false">-MIN(BN103,$F91+BO94)*BO18</f>
        <v>-1109.55259501205</v>
      </c>
      <c r="BP95" s="49" t="n">
        <f aca="false">-MIN(BO103,$F91+BP94)*BP18</f>
        <v>-1123.4220024497</v>
      </c>
      <c r="BQ95" s="49" t="n">
        <f aca="false">-MIN(BP103,$F91+BQ94)*BQ18</f>
        <v>-1137.46477748032</v>
      </c>
      <c r="BR95" s="49" t="n">
        <f aca="false">-MIN(BQ103,$F91+BR94)*BR18</f>
        <v>-1151.68308719882</v>
      </c>
      <c r="BS95" s="49" t="n">
        <f aca="false">-MIN(BR103,$F91+BS94)*BS18</f>
        <v>-1166.07912578881</v>
      </c>
      <c r="BT95" s="49" t="n">
        <f aca="false">-MIN(BS103,$F91+BT94)*BT18</f>
        <v>-1180.65511486117</v>
      </c>
      <c r="BU95" s="49" t="n">
        <f aca="false">-MIN(BT103,$F91+BU94)*BU18</f>
        <v>-1195.41330379693</v>
      </c>
      <c r="BV95" s="49" t="n">
        <f aca="false">-MIN(BU103,$F91+BV94)*BV18</f>
        <v>-1210.3559700944</v>
      </c>
      <c r="BW95" s="49" t="n">
        <f aca="false">-MIN(BV103,$F91+BW94)*BW18</f>
        <v>-1225.48541972057</v>
      </c>
      <c r="BX95" s="49" t="n">
        <f aca="false">-MIN(BW103,$F91+BX94)*BX18</f>
        <v>-1240.80398746708</v>
      </c>
      <c r="BY95" s="49" t="n">
        <f aca="false">-MIN(BX103,$F91+BY94)*BY18</f>
        <v>-1256.31403731042</v>
      </c>
      <c r="BZ95" s="49" t="n">
        <f aca="false">-MIN(BY103,$F91+BZ94)*BZ18</f>
        <v>-1272.0179627768</v>
      </c>
      <c r="CA95" s="49" t="n">
        <f aca="false">-MIN(BZ103,$F91+CA94)*CA18</f>
        <v>-1287.91818731151</v>
      </c>
      <c r="CB95" s="49" t="n">
        <f aca="false">-MIN(CA103,$F91+CB94)*CB18</f>
        <v>-1304.0171646529</v>
      </c>
      <c r="CC95" s="49" t="n">
        <f aca="false">-MIN(CB103,$F91+CC94)*CC18</f>
        <v>-1320.31737921107</v>
      </c>
      <c r="CD95" s="49" t="n">
        <f aca="false">-MIN(CC103,$F91+CD94)*CD18</f>
        <v>-1336.8213464512</v>
      </c>
      <c r="CE95" s="49" t="n">
        <f aca="false">-MIN(CD103,$F91+CE94)*CE18</f>
        <v>-1353.53161328184</v>
      </c>
      <c r="CF95" s="49" t="n">
        <f aca="false">-MIN(CE103,$F91+CF94)*CF18</f>
        <v>-1370.45075844787</v>
      </c>
      <c r="CG95" s="49" t="n">
        <f aca="false">-MIN(CF103,$F91+CG94)*CG18</f>
        <v>-1387.58139292845</v>
      </c>
      <c r="CH95" s="49" t="n">
        <f aca="false">-MIN(CG103,$F91+CH94)*CH18</f>
        <v>-0</v>
      </c>
      <c r="CI95" s="49" t="n">
        <f aca="false">-MIN(CH103,$F91+CI94)*CI18</f>
        <v>-0</v>
      </c>
      <c r="CJ95" s="49" t="n">
        <f aca="false">-MIN(CI103,$F91+CJ94)*CJ18</f>
        <v>-0</v>
      </c>
      <c r="CK95" s="49" t="n">
        <f aca="false">-MIN(CJ103,$F91+CK94)*CK18</f>
        <v>-0</v>
      </c>
      <c r="CL95" s="49" t="n">
        <f aca="false">-MIN(CK103,$F91+CL94)*CL18</f>
        <v>-0</v>
      </c>
      <c r="CM95" s="49" t="n">
        <f aca="false">-MIN(CL103,$F91+CM94)*CM18</f>
        <v>-0</v>
      </c>
      <c r="CN95" s="49" t="n">
        <f aca="false">-MIN(CM103,$F91+CN94)*CN18</f>
        <v>-0</v>
      </c>
      <c r="CO95" s="49" t="n">
        <f aca="false">-MIN(CN103,$F91+CO94)*CO18</f>
        <v>-0</v>
      </c>
      <c r="CP95" s="49" t="n">
        <f aca="false">-MIN(CO103,$F91+CP94)*CP18</f>
        <v>-0</v>
      </c>
      <c r="CQ95" s="49" t="n">
        <f aca="false">-MIN(CP103,$F91+CQ94)*CQ18</f>
        <v>-0</v>
      </c>
      <c r="CR95" s="49" t="n">
        <f aca="false">-MIN(CQ103,$F91+CR94)*CR18</f>
        <v>-0</v>
      </c>
      <c r="CS95" s="49" t="n">
        <f aca="false">-MIN(CR103,$F91+CS94)*CS18</f>
        <v>-0</v>
      </c>
      <c r="CT95" s="49" t="n">
        <f aca="false">-MIN(CS103,$F91+CT94)*CT18</f>
        <v>-0</v>
      </c>
      <c r="CU95" s="49" t="n">
        <f aca="false">-MIN(CT103,$F91+CU94)*CU18</f>
        <v>-0</v>
      </c>
      <c r="CV95" s="49" t="n">
        <f aca="false">-MIN(CU103,$F91+CV94)*CV18</f>
        <v>-0</v>
      </c>
      <c r="CW95" s="49" t="n">
        <f aca="false">-MIN(CV103,$F91+CW94)*CW18</f>
        <v>-0</v>
      </c>
      <c r="CX95" s="49" t="n">
        <f aca="false">-MIN(CW103,$F91+CX94)*CX18</f>
        <v>-0</v>
      </c>
      <c r="CY95" s="49" t="n">
        <f aca="false">-MIN(CX103,$F91+CY94)*CY18</f>
        <v>-0</v>
      </c>
      <c r="CZ95" s="49" t="n">
        <f aca="false">-MIN(CY103,$F91+CZ94)*CZ18</f>
        <v>-0</v>
      </c>
      <c r="DA95" s="49" t="n">
        <f aca="false">-MIN(CZ103,$F91+DA94)*DA18</f>
        <v>-0</v>
      </c>
      <c r="DB95" s="49" t="n">
        <f aca="false">-MIN(DA103,$F91+DB94)*DB18</f>
        <v>-0</v>
      </c>
      <c r="DC95" s="49" t="n">
        <f aca="false">-MIN(DB103,$F91+DC94)*DC18</f>
        <v>-0</v>
      </c>
      <c r="DD95" s="49" t="n">
        <f aca="false">-MIN(DC103,$F91+DD94)*DD18</f>
        <v>-0</v>
      </c>
      <c r="DE95" s="49" t="n">
        <f aca="false">-MIN(DD103,$F91+DE94)*DE18</f>
        <v>-0</v>
      </c>
      <c r="DF95" s="49" t="n">
        <f aca="false">-MIN(DE103,$F91+DF94)*DF18</f>
        <v>-0</v>
      </c>
      <c r="DG95" s="49" t="n">
        <f aca="false">-MIN(DF103,$F91+DG94)*DG18</f>
        <v>-0</v>
      </c>
      <c r="DH95" s="49" t="n">
        <f aca="false">-MIN(DG103,$F91+DH94)*DH18</f>
        <v>-0</v>
      </c>
      <c r="DI95" s="49" t="n">
        <f aca="false">-MIN(DH103,$F91+DI94)*DI18</f>
        <v>-0</v>
      </c>
      <c r="DJ95" s="49" t="n">
        <f aca="false">-MIN(DI103,$F91+DJ94)*DJ18</f>
        <v>-0</v>
      </c>
      <c r="DK95" s="49" t="n">
        <f aca="false">-MIN(DJ103,$F91+DK94)*DK18</f>
        <v>-0</v>
      </c>
      <c r="DL95" s="49" t="n">
        <f aca="false">-MIN(DK103,$F91+DL94)*DL18</f>
        <v>-0</v>
      </c>
      <c r="DM95" s="49" t="n">
        <f aca="false">-MIN(DL103,$F91+DM94)*DM18</f>
        <v>-0</v>
      </c>
      <c r="DN95" s="49" t="n">
        <f aca="false">-MIN(DM103,$F91+DN94)*DN18</f>
        <v>-0</v>
      </c>
      <c r="DO95" s="49" t="n">
        <f aca="false">-MIN(DN103,$F91+DO94)*DO18</f>
        <v>-0</v>
      </c>
      <c r="DP95" s="49" t="n">
        <f aca="false">-MIN(DO103,$F91+DP94)*DP18</f>
        <v>-0</v>
      </c>
      <c r="DQ95" s="49" t="n">
        <f aca="false">-MIN(DP103,$F91+DQ94)*DQ18</f>
        <v>-0</v>
      </c>
      <c r="DR95" s="49" t="n">
        <f aca="false">-MIN(DQ103,$F91+DR94)*DR18</f>
        <v>-0</v>
      </c>
      <c r="DS95" s="49" t="n">
        <f aca="false">-MIN(DR103,$F91+DS94)*DS18</f>
        <v>-0</v>
      </c>
      <c r="DT95" s="49" t="n">
        <f aca="false">-MIN(DS103,$F91+DT94)*DT18</f>
        <v>-0</v>
      </c>
      <c r="DU95" s="49" t="n">
        <f aca="false">-MIN(DT103,$F91+DU94)*DU18</f>
        <v>-0</v>
      </c>
      <c r="DV95" s="49" t="n">
        <f aca="false">-MIN(DU103,$F91+DV94)*DV18</f>
        <v>-0</v>
      </c>
      <c r="DW95" s="49" t="n">
        <f aca="false">-MIN(DV103,$F91+DW94)*DW18</f>
        <v>-0</v>
      </c>
      <c r="DX95" s="49" t="n">
        <f aca="false">-MIN(DW103,$F91+DX94)*DX18</f>
        <v>-0</v>
      </c>
      <c r="DY95" s="49" t="n">
        <f aca="false">-MIN(DX103,$F91+DY94)*DY18</f>
        <v>-0</v>
      </c>
      <c r="DZ95" s="49" t="n">
        <f aca="false">-MIN(DY103,$F91+DZ94)*DZ18</f>
        <v>-0</v>
      </c>
      <c r="EA95" s="49" t="n">
        <f aca="false">-MIN(DZ103,$F91+EA94)*EA18</f>
        <v>-0</v>
      </c>
      <c r="EB95" s="49" t="n">
        <f aca="false">-MIN(EA103,$F91+EB94)*EB18</f>
        <v>-0</v>
      </c>
      <c r="EC95" s="49" t="n">
        <f aca="false">-MIN(EB103,$F91+EC94)*EC18</f>
        <v>-0</v>
      </c>
      <c r="ED95" s="49" t="n">
        <f aca="false">-MIN(EC103,$F91+ED94)*ED18</f>
        <v>-0</v>
      </c>
      <c r="EE95" s="49" t="n">
        <f aca="false">-MIN(ED103,$F91+EE94)*EE18</f>
        <v>-0</v>
      </c>
      <c r="EF95" s="49" t="n">
        <f aca="false">-MIN(EE103,$F91+EF94)*EF18</f>
        <v>-0</v>
      </c>
      <c r="EG95" s="49" t="n">
        <f aca="false">-MIN(EF103,$F91+EG94)*EG18</f>
        <v>-0</v>
      </c>
      <c r="EH95" s="49" t="n">
        <f aca="false">-MIN(EG103,$F91+EH94)*EH18</f>
        <v>-0</v>
      </c>
      <c r="EI95" s="49" t="n">
        <f aca="false">-MIN(EH103,$F91+EI94)*EI18</f>
        <v>-0</v>
      </c>
      <c r="EJ95" s="49" t="n">
        <f aca="false">-MIN(EI103,$F91+EJ94)*EJ18</f>
        <v>-0</v>
      </c>
      <c r="EK95" s="49" t="n">
        <f aca="false">-MIN(EJ103,$F91+EK94)*EK18</f>
        <v>-0</v>
      </c>
      <c r="EL95" s="49" t="n">
        <f aca="false">-MIN(EK103,$F91+EL94)*EL18</f>
        <v>-0</v>
      </c>
      <c r="EM95" s="49" t="n">
        <f aca="false">-MIN(EL103,$F91+EM94)*EM18</f>
        <v>-0</v>
      </c>
      <c r="EN95" s="49" t="n">
        <f aca="false">-MIN(EM103,$F91+EN94)*EN18</f>
        <v>-0</v>
      </c>
      <c r="EO95" s="49" t="n">
        <f aca="false">-MIN(EN103,$F91+EO94)*EO18</f>
        <v>-0</v>
      </c>
    </row>
    <row r="96" customFormat="false" ht="15" hidden="false" customHeight="false" outlineLevel="0" collapsed="false">
      <c r="C96" s="1" t="s">
        <v>494</v>
      </c>
      <c r="D96" s="12" t="s">
        <v>33</v>
      </c>
      <c r="I96" s="49" t="n">
        <f aca="false">SUM(J96:EO96)</f>
        <v>-84295.5696204043</v>
      </c>
      <c r="J96" s="49" t="n">
        <f aca="false">J94+J95</f>
        <v>-0</v>
      </c>
      <c r="K96" s="49" t="n">
        <f aca="false">K94+K95</f>
        <v>-0</v>
      </c>
      <c r="L96" s="49" t="n">
        <f aca="false">L94+L95</f>
        <v>-0</v>
      </c>
      <c r="M96" s="49" t="n">
        <f aca="false">M94+M95</f>
        <v>-0</v>
      </c>
      <c r="N96" s="49" t="n">
        <f aca="false">N94+N95</f>
        <v>-0</v>
      </c>
      <c r="O96" s="49" t="n">
        <f aca="false">O94+O95</f>
        <v>-0</v>
      </c>
      <c r="P96" s="49" t="n">
        <f aca="false">P94+P95</f>
        <v>-0</v>
      </c>
      <c r="Q96" s="49" t="n">
        <f aca="false">Q94+Q95</f>
        <v>-0</v>
      </c>
      <c r="R96" s="49" t="n">
        <f aca="false">R94+R95</f>
        <v>-0</v>
      </c>
      <c r="S96" s="49" t="n">
        <f aca="false">S94+S95</f>
        <v>-0</v>
      </c>
      <c r="T96" s="49" t="n">
        <f aca="false">T94+T95</f>
        <v>-0</v>
      </c>
      <c r="U96" s="49" t="n">
        <f aca="false">U94+U95</f>
        <v>-0</v>
      </c>
      <c r="V96" s="49" t="n">
        <f aca="false">V94+V95</f>
        <v>-0</v>
      </c>
      <c r="W96" s="49" t="n">
        <f aca="false">W94+W95</f>
        <v>-0</v>
      </c>
      <c r="X96" s="49" t="n">
        <f aca="false">X94+X95</f>
        <v>-0</v>
      </c>
      <c r="Y96" s="49" t="n">
        <f aca="false">Y94+Y95</f>
        <v>-0</v>
      </c>
      <c r="Z96" s="49" t="n">
        <f aca="false">Z94+Z95</f>
        <v>-1404.92616034007</v>
      </c>
      <c r="AA96" s="49" t="n">
        <f aca="false">AA94+AA95</f>
        <v>-1404.92616034007</v>
      </c>
      <c r="AB96" s="49" t="n">
        <f aca="false">AB94+AB95</f>
        <v>-1404.92616034007</v>
      </c>
      <c r="AC96" s="49" t="n">
        <f aca="false">AC94+AC95</f>
        <v>-1404.92616034007</v>
      </c>
      <c r="AD96" s="49" t="n">
        <f aca="false">AD94+AD95</f>
        <v>-1404.92616034007</v>
      </c>
      <c r="AE96" s="49" t="n">
        <f aca="false">AE94+AE95</f>
        <v>-1404.92616034007</v>
      </c>
      <c r="AF96" s="49" t="n">
        <f aca="false">AF94+AF95</f>
        <v>-1404.92616034007</v>
      </c>
      <c r="AG96" s="49" t="n">
        <f aca="false">AG94+AG95</f>
        <v>-1404.92616034007</v>
      </c>
      <c r="AH96" s="49" t="n">
        <f aca="false">AH94+AH95</f>
        <v>-1404.92616034007</v>
      </c>
      <c r="AI96" s="49" t="n">
        <f aca="false">AI94+AI95</f>
        <v>-1404.92616034007</v>
      </c>
      <c r="AJ96" s="49" t="n">
        <f aca="false">AJ94+AJ95</f>
        <v>-1404.92616034007</v>
      </c>
      <c r="AK96" s="49" t="n">
        <f aca="false">AK94+AK95</f>
        <v>-1404.92616034007</v>
      </c>
      <c r="AL96" s="49" t="n">
        <f aca="false">AL94+AL95</f>
        <v>-1404.92616034007</v>
      </c>
      <c r="AM96" s="49" t="n">
        <f aca="false">AM94+AM95</f>
        <v>-1404.92616034007</v>
      </c>
      <c r="AN96" s="49" t="n">
        <f aca="false">AN94+AN95</f>
        <v>-1404.92616034007</v>
      </c>
      <c r="AO96" s="49" t="n">
        <f aca="false">AO94+AO95</f>
        <v>-1404.92616034007</v>
      </c>
      <c r="AP96" s="49" t="n">
        <f aca="false">AP94+AP95</f>
        <v>-1404.92616034007</v>
      </c>
      <c r="AQ96" s="49" t="n">
        <f aca="false">AQ94+AQ95</f>
        <v>-1404.92616034007</v>
      </c>
      <c r="AR96" s="49" t="n">
        <f aca="false">AR94+AR95</f>
        <v>-1404.92616034007</v>
      </c>
      <c r="AS96" s="49" t="n">
        <f aca="false">AS94+AS95</f>
        <v>-1404.92616034007</v>
      </c>
      <c r="AT96" s="49" t="n">
        <f aca="false">AT94+AT95</f>
        <v>-1404.92616034007</v>
      </c>
      <c r="AU96" s="49" t="n">
        <f aca="false">AU94+AU95</f>
        <v>-1404.92616034007</v>
      </c>
      <c r="AV96" s="49" t="n">
        <f aca="false">AV94+AV95</f>
        <v>-1404.92616034007</v>
      </c>
      <c r="AW96" s="49" t="n">
        <f aca="false">AW94+AW95</f>
        <v>-1404.92616034007</v>
      </c>
      <c r="AX96" s="49" t="n">
        <f aca="false">AX94+AX95</f>
        <v>-1404.92616034007</v>
      </c>
      <c r="AY96" s="49" t="n">
        <f aca="false">AY94+AY95</f>
        <v>-1404.92616034007</v>
      </c>
      <c r="AZ96" s="49" t="n">
        <f aca="false">AZ94+AZ95</f>
        <v>-1404.92616034007</v>
      </c>
      <c r="BA96" s="49" t="n">
        <f aca="false">BA94+BA95</f>
        <v>-1404.92616034007</v>
      </c>
      <c r="BB96" s="49" t="n">
        <f aca="false">BB94+BB95</f>
        <v>-1404.92616034007</v>
      </c>
      <c r="BC96" s="49" t="n">
        <f aca="false">BC94+BC95</f>
        <v>-1404.92616034007</v>
      </c>
      <c r="BD96" s="49" t="n">
        <f aca="false">BD94+BD95</f>
        <v>-1404.92616034007</v>
      </c>
      <c r="BE96" s="49" t="n">
        <f aca="false">BE94+BE95</f>
        <v>-1404.92616034007</v>
      </c>
      <c r="BF96" s="49" t="n">
        <f aca="false">BF94+BF95</f>
        <v>-1404.92616034007</v>
      </c>
      <c r="BG96" s="49" t="n">
        <f aca="false">BG94+BG95</f>
        <v>-1404.92616034007</v>
      </c>
      <c r="BH96" s="49" t="n">
        <f aca="false">BH94+BH95</f>
        <v>-1404.92616034007</v>
      </c>
      <c r="BI96" s="49" t="n">
        <f aca="false">BI94+BI95</f>
        <v>-1404.92616034007</v>
      </c>
      <c r="BJ96" s="49" t="n">
        <f aca="false">BJ94+BJ95</f>
        <v>-1404.92616034007</v>
      </c>
      <c r="BK96" s="49" t="n">
        <f aca="false">BK94+BK95</f>
        <v>-1404.92616034007</v>
      </c>
      <c r="BL96" s="49" t="n">
        <f aca="false">BL94+BL95</f>
        <v>-1404.92616034007</v>
      </c>
      <c r="BM96" s="49" t="n">
        <f aca="false">BM94+BM95</f>
        <v>-1404.92616034007</v>
      </c>
      <c r="BN96" s="49" t="n">
        <f aca="false">BN94+BN95</f>
        <v>-1404.92616034007</v>
      </c>
      <c r="BO96" s="49" t="n">
        <f aca="false">BO94+BO95</f>
        <v>-1404.92616034007</v>
      </c>
      <c r="BP96" s="49" t="n">
        <f aca="false">BP94+BP95</f>
        <v>-1404.92616034007</v>
      </c>
      <c r="BQ96" s="49" t="n">
        <f aca="false">BQ94+BQ95</f>
        <v>-1404.92616034007</v>
      </c>
      <c r="BR96" s="49" t="n">
        <f aca="false">BR94+BR95</f>
        <v>-1404.92616034007</v>
      </c>
      <c r="BS96" s="49" t="n">
        <f aca="false">BS94+BS95</f>
        <v>-1404.92616034007</v>
      </c>
      <c r="BT96" s="49" t="n">
        <f aca="false">BT94+BT95</f>
        <v>-1404.92616034007</v>
      </c>
      <c r="BU96" s="49" t="n">
        <f aca="false">BU94+BU95</f>
        <v>-1404.92616034007</v>
      </c>
      <c r="BV96" s="49" t="n">
        <f aca="false">BV94+BV95</f>
        <v>-1404.92616034007</v>
      </c>
      <c r="BW96" s="49" t="n">
        <f aca="false">BW94+BW95</f>
        <v>-1404.92616034007</v>
      </c>
      <c r="BX96" s="49" t="n">
        <f aca="false">BX94+BX95</f>
        <v>-1404.92616034007</v>
      </c>
      <c r="BY96" s="49" t="n">
        <f aca="false">BY94+BY95</f>
        <v>-1404.92616034007</v>
      </c>
      <c r="BZ96" s="49" t="n">
        <f aca="false">BZ94+BZ95</f>
        <v>-1404.92616034007</v>
      </c>
      <c r="CA96" s="49" t="n">
        <f aca="false">CA94+CA95</f>
        <v>-1404.92616034007</v>
      </c>
      <c r="CB96" s="49" t="n">
        <f aca="false">CB94+CB95</f>
        <v>-1404.92616034007</v>
      </c>
      <c r="CC96" s="49" t="n">
        <f aca="false">CC94+CC95</f>
        <v>-1404.92616034007</v>
      </c>
      <c r="CD96" s="49" t="n">
        <f aca="false">CD94+CD95</f>
        <v>-1404.92616034007</v>
      </c>
      <c r="CE96" s="49" t="n">
        <f aca="false">CE94+CE95</f>
        <v>-1404.92616034007</v>
      </c>
      <c r="CF96" s="49" t="n">
        <f aca="false">CF94+CF95</f>
        <v>-1404.92616034007</v>
      </c>
      <c r="CG96" s="49" t="n">
        <f aca="false">CG94+CG95</f>
        <v>-1404.92616034006</v>
      </c>
      <c r="CH96" s="49" t="n">
        <f aca="false">CH94+CH95</f>
        <v>-0</v>
      </c>
      <c r="CI96" s="49" t="n">
        <f aca="false">CI94+CI95</f>
        <v>-0</v>
      </c>
      <c r="CJ96" s="49" t="n">
        <f aca="false">CJ94+CJ95</f>
        <v>-0</v>
      </c>
      <c r="CK96" s="49" t="n">
        <f aca="false">CK94+CK95</f>
        <v>-0</v>
      </c>
      <c r="CL96" s="49" t="n">
        <f aca="false">CL94+CL95</f>
        <v>-0</v>
      </c>
      <c r="CM96" s="49" t="n">
        <f aca="false">CM94+CM95</f>
        <v>-0</v>
      </c>
      <c r="CN96" s="49" t="n">
        <f aca="false">CN94+CN95</f>
        <v>-0</v>
      </c>
      <c r="CO96" s="49" t="n">
        <f aca="false">CO94+CO95</f>
        <v>-0</v>
      </c>
      <c r="CP96" s="49" t="n">
        <f aca="false">CP94+CP95</f>
        <v>-0</v>
      </c>
      <c r="CQ96" s="49" t="n">
        <f aca="false">CQ94+CQ95</f>
        <v>-0</v>
      </c>
      <c r="CR96" s="49" t="n">
        <f aca="false">CR94+CR95</f>
        <v>-0</v>
      </c>
      <c r="CS96" s="49" t="n">
        <f aca="false">CS94+CS95</f>
        <v>-0</v>
      </c>
      <c r="CT96" s="49" t="n">
        <f aca="false">CT94+CT95</f>
        <v>-0</v>
      </c>
      <c r="CU96" s="49" t="n">
        <f aca="false">CU94+CU95</f>
        <v>-0</v>
      </c>
      <c r="CV96" s="49" t="n">
        <f aca="false">CV94+CV95</f>
        <v>-0</v>
      </c>
      <c r="CW96" s="49" t="n">
        <f aca="false">CW94+CW95</f>
        <v>-0</v>
      </c>
      <c r="CX96" s="49" t="n">
        <f aca="false">CX94+CX95</f>
        <v>-0</v>
      </c>
      <c r="CY96" s="49" t="n">
        <f aca="false">CY94+CY95</f>
        <v>-0</v>
      </c>
      <c r="CZ96" s="49" t="n">
        <f aca="false">CZ94+CZ95</f>
        <v>-0</v>
      </c>
      <c r="DA96" s="49" t="n">
        <f aca="false">DA94+DA95</f>
        <v>-0</v>
      </c>
      <c r="DB96" s="49" t="n">
        <f aca="false">DB94+DB95</f>
        <v>-0</v>
      </c>
      <c r="DC96" s="49" t="n">
        <f aca="false">DC94+DC95</f>
        <v>-0</v>
      </c>
      <c r="DD96" s="49" t="n">
        <f aca="false">DD94+DD95</f>
        <v>-0</v>
      </c>
      <c r="DE96" s="49" t="n">
        <f aca="false">DE94+DE95</f>
        <v>-0</v>
      </c>
      <c r="DF96" s="49" t="n">
        <f aca="false">DF94+DF95</f>
        <v>-0</v>
      </c>
      <c r="DG96" s="49" t="n">
        <f aca="false">DG94+DG95</f>
        <v>-0</v>
      </c>
      <c r="DH96" s="49" t="n">
        <f aca="false">DH94+DH95</f>
        <v>-0</v>
      </c>
      <c r="DI96" s="49" t="n">
        <f aca="false">DI94+DI95</f>
        <v>-0</v>
      </c>
      <c r="DJ96" s="49" t="n">
        <f aca="false">DJ94+DJ95</f>
        <v>-0</v>
      </c>
      <c r="DK96" s="49" t="n">
        <f aca="false">DK94+DK95</f>
        <v>-0</v>
      </c>
      <c r="DL96" s="49" t="n">
        <f aca="false">DL94+DL95</f>
        <v>-0</v>
      </c>
      <c r="DM96" s="49" t="n">
        <f aca="false">DM94+DM95</f>
        <v>-0</v>
      </c>
      <c r="DN96" s="49" t="n">
        <f aca="false">DN94+DN95</f>
        <v>-0</v>
      </c>
      <c r="DO96" s="49" t="n">
        <f aca="false">DO94+DO95</f>
        <v>-0</v>
      </c>
      <c r="DP96" s="49" t="n">
        <f aca="false">DP94+DP95</f>
        <v>-0</v>
      </c>
      <c r="DQ96" s="49" t="n">
        <f aca="false">DQ94+DQ95</f>
        <v>-0</v>
      </c>
      <c r="DR96" s="49" t="n">
        <f aca="false">DR94+DR95</f>
        <v>-0</v>
      </c>
      <c r="DS96" s="49" t="n">
        <f aca="false">DS94+DS95</f>
        <v>-0</v>
      </c>
      <c r="DT96" s="49" t="n">
        <f aca="false">DT94+DT95</f>
        <v>-0</v>
      </c>
      <c r="DU96" s="49" t="n">
        <f aca="false">DU94+DU95</f>
        <v>-0</v>
      </c>
      <c r="DV96" s="49" t="n">
        <f aca="false">DV94+DV95</f>
        <v>-0</v>
      </c>
      <c r="DW96" s="49" t="n">
        <f aca="false">DW94+DW95</f>
        <v>-0</v>
      </c>
      <c r="DX96" s="49" t="n">
        <f aca="false">DX94+DX95</f>
        <v>-0</v>
      </c>
      <c r="DY96" s="49" t="n">
        <f aca="false">DY94+DY95</f>
        <v>-0</v>
      </c>
      <c r="DZ96" s="49" t="n">
        <f aca="false">DZ94+DZ95</f>
        <v>-0</v>
      </c>
      <c r="EA96" s="49" t="n">
        <f aca="false">EA94+EA95</f>
        <v>-0</v>
      </c>
      <c r="EB96" s="49" t="n">
        <f aca="false">EB94+EB95</f>
        <v>-0</v>
      </c>
      <c r="EC96" s="49" t="n">
        <f aca="false">EC94+EC95</f>
        <v>-0</v>
      </c>
      <c r="ED96" s="49" t="n">
        <f aca="false">ED94+ED95</f>
        <v>-0</v>
      </c>
      <c r="EE96" s="49" t="n">
        <f aca="false">EE94+EE95</f>
        <v>-0</v>
      </c>
      <c r="EF96" s="49" t="n">
        <f aca="false">EF94+EF95</f>
        <v>-0</v>
      </c>
      <c r="EG96" s="49" t="n">
        <f aca="false">EG94+EG95</f>
        <v>-0</v>
      </c>
      <c r="EH96" s="49" t="n">
        <f aca="false">EH94+EH95</f>
        <v>-0</v>
      </c>
      <c r="EI96" s="49" t="n">
        <f aca="false">EI94+EI95</f>
        <v>-0</v>
      </c>
      <c r="EJ96" s="49" t="n">
        <f aca="false">EJ94+EJ95</f>
        <v>-0</v>
      </c>
      <c r="EK96" s="49" t="n">
        <f aca="false">EK94+EK95</f>
        <v>-0</v>
      </c>
      <c r="EL96" s="49" t="n">
        <f aca="false">EL94+EL95</f>
        <v>-0</v>
      </c>
      <c r="EM96" s="49" t="n">
        <f aca="false">EM94+EM95</f>
        <v>-0</v>
      </c>
      <c r="EN96" s="49" t="n">
        <f aca="false">EN94+EN95</f>
        <v>-0</v>
      </c>
      <c r="EO96" s="49" t="n">
        <f aca="false">EO94+EO95</f>
        <v>-0</v>
      </c>
    </row>
    <row r="97" customFormat="false" ht="15" hidden="false" customHeight="false" outlineLevel="0" collapsed="false">
      <c r="C97" s="1" t="s">
        <v>495</v>
      </c>
      <c r="D97" s="12" t="s">
        <v>33</v>
      </c>
      <c r="I97" s="49" t="n">
        <f aca="false">SUM(J97:EO97)</f>
        <v>0</v>
      </c>
      <c r="J97" s="49" t="n">
        <f aca="false">-MIN(I103+J95,In_Sweep*MAX(0,J87+J96))*(J$4&gt;In_COD)</f>
        <v>0</v>
      </c>
      <c r="K97" s="49" t="n">
        <f aca="false">-MIN(J103+K95,In_Sweep*MAX(0,K87+K96))*(K$4&gt;In_COD)</f>
        <v>0</v>
      </c>
      <c r="L97" s="49" t="n">
        <f aca="false">-MIN(K103+L95,In_Sweep*MAX(0,L87+L96))*(L$4&gt;In_COD)</f>
        <v>0</v>
      </c>
      <c r="M97" s="49" t="n">
        <f aca="false">-MIN(L103+M95,In_Sweep*MAX(0,M87+M96))*(M$4&gt;In_COD)</f>
        <v>0</v>
      </c>
      <c r="N97" s="49" t="n">
        <f aca="false">-MIN(M103+N95,In_Sweep*MAX(0,N87+N96))*(N$4&gt;In_COD)</f>
        <v>0</v>
      </c>
      <c r="O97" s="49" t="n">
        <f aca="false">-MIN(N103+O95,In_Sweep*MAX(0,O87+O96))*(O$4&gt;In_COD)</f>
        <v>0</v>
      </c>
      <c r="P97" s="49" t="n">
        <f aca="false">-MIN(O103+P95,In_Sweep*MAX(0,P87+P96))*(P$4&gt;In_COD)</f>
        <v>0</v>
      </c>
      <c r="Q97" s="49" t="n">
        <f aca="false">-MIN(P103+Q95,In_Sweep*MAX(0,Q87+Q96))*(Q$4&gt;In_COD)</f>
        <v>0</v>
      </c>
      <c r="R97" s="49" t="n">
        <f aca="false">-MIN(Q103+R95,In_Sweep*MAX(0,R87+R96))*(R$4&gt;In_COD)</f>
        <v>0</v>
      </c>
      <c r="S97" s="49" t="n">
        <f aca="false">-MIN(R103+S95,In_Sweep*MAX(0,S87+S96))*(S$4&gt;In_COD)</f>
        <v>0</v>
      </c>
      <c r="T97" s="49" t="n">
        <f aca="false">-MIN(S103+T95,In_Sweep*MAX(0,T87+T96))*(T$4&gt;In_COD)</f>
        <v>0</v>
      </c>
      <c r="U97" s="49" t="n">
        <f aca="false">-MIN(T103+U95,In_Sweep*MAX(0,U87+U96))*(U$4&gt;In_COD)</f>
        <v>0</v>
      </c>
      <c r="V97" s="49" t="n">
        <f aca="false">-MIN(U103+V95,In_Sweep*MAX(0,V87+V96))*(V$4&gt;In_COD)</f>
        <v>0</v>
      </c>
      <c r="W97" s="49" t="n">
        <f aca="false">-MIN(V103+W95,In_Sweep*MAX(0,W87+W96))*(W$4&gt;In_COD)</f>
        <v>0</v>
      </c>
      <c r="X97" s="49" t="n">
        <f aca="false">-MIN(W103+X95,In_Sweep*MAX(0,X87+X96))*(X$4&gt;In_COD)</f>
        <v>0</v>
      </c>
      <c r="Y97" s="49" t="n">
        <f aca="false">-MIN(X103+Y95,In_Sweep*MAX(0,Y87+Y96))*(Y$4&gt;In_COD)</f>
        <v>0</v>
      </c>
      <c r="Z97" s="49" t="n">
        <f aca="false">-MIN(Y103+Z95,In_Sweep*MAX(0,Z87+Z96))*(Z$4&gt;In_COD)</f>
        <v>-0</v>
      </c>
      <c r="AA97" s="49" t="n">
        <f aca="false">-MIN(Z103+AA95,In_Sweep*MAX(0,AA87+AA96))*(AA$4&gt;In_COD)</f>
        <v>-0</v>
      </c>
      <c r="AB97" s="49" t="n">
        <f aca="false">-MIN(AA103+AB95,In_Sweep*MAX(0,AB87+AB96))*(AB$4&gt;In_COD)</f>
        <v>-0</v>
      </c>
      <c r="AC97" s="49" t="n">
        <f aca="false">-MIN(AB103+AC95,In_Sweep*MAX(0,AC87+AC96))*(AC$4&gt;In_COD)</f>
        <v>-0</v>
      </c>
      <c r="AD97" s="49" t="n">
        <f aca="false">-MIN(AC103+AD95,In_Sweep*MAX(0,AD87+AD96))*(AD$4&gt;In_COD)</f>
        <v>-0</v>
      </c>
      <c r="AE97" s="49" t="n">
        <f aca="false">-MIN(AD103+AE95,In_Sweep*MAX(0,AE87+AE96))*(AE$4&gt;In_COD)</f>
        <v>-0</v>
      </c>
      <c r="AF97" s="49" t="n">
        <f aca="false">-MIN(AE103+AF95,In_Sweep*MAX(0,AF87+AF96))*(AF$4&gt;In_COD)</f>
        <v>-0</v>
      </c>
      <c r="AG97" s="49" t="n">
        <f aca="false">-MIN(AF103+AG95,In_Sweep*MAX(0,AG87+AG96))*(AG$4&gt;In_COD)</f>
        <v>-0</v>
      </c>
      <c r="AH97" s="49" t="n">
        <f aca="false">-MIN(AG103+AH95,In_Sweep*MAX(0,AH87+AH96))*(AH$4&gt;In_COD)</f>
        <v>-0</v>
      </c>
      <c r="AI97" s="49" t="n">
        <f aca="false">-MIN(AH103+AI95,In_Sweep*MAX(0,AI87+AI96))*(AI$4&gt;In_COD)</f>
        <v>-0</v>
      </c>
      <c r="AJ97" s="49" t="n">
        <f aca="false">-MIN(AI103+AJ95,In_Sweep*MAX(0,AJ87+AJ96))*(AJ$4&gt;In_COD)</f>
        <v>-0</v>
      </c>
      <c r="AK97" s="49" t="n">
        <f aca="false">-MIN(AJ103+AK95,In_Sweep*MAX(0,AK87+AK96))*(AK$4&gt;In_COD)</f>
        <v>-0</v>
      </c>
      <c r="AL97" s="49" t="n">
        <f aca="false">-MIN(AK103+AL95,In_Sweep*MAX(0,AL87+AL96))*(AL$4&gt;In_COD)</f>
        <v>-0</v>
      </c>
      <c r="AM97" s="49" t="n">
        <f aca="false">-MIN(AL103+AM95,In_Sweep*MAX(0,AM87+AM96))*(AM$4&gt;In_COD)</f>
        <v>-0</v>
      </c>
      <c r="AN97" s="49" t="n">
        <f aca="false">-MIN(AM103+AN95,In_Sweep*MAX(0,AN87+AN96))*(AN$4&gt;In_COD)</f>
        <v>-0</v>
      </c>
      <c r="AO97" s="49" t="n">
        <f aca="false">-MIN(AN103+AO95,In_Sweep*MAX(0,AO87+AO96))*(AO$4&gt;In_COD)</f>
        <v>-0</v>
      </c>
      <c r="AP97" s="49" t="n">
        <f aca="false">-MIN(AO103+AP95,In_Sweep*MAX(0,AP87+AP96))*(AP$4&gt;In_COD)</f>
        <v>-0</v>
      </c>
      <c r="AQ97" s="49" t="n">
        <f aca="false">-MIN(AP103+AQ95,In_Sweep*MAX(0,AQ87+AQ96))*(AQ$4&gt;In_COD)</f>
        <v>-0</v>
      </c>
      <c r="AR97" s="49" t="n">
        <f aca="false">-MIN(AQ103+AR95,In_Sweep*MAX(0,AR87+AR96))*(AR$4&gt;In_COD)</f>
        <v>-0</v>
      </c>
      <c r="AS97" s="49" t="n">
        <f aca="false">-MIN(AR103+AS95,In_Sweep*MAX(0,AS87+AS96))*(AS$4&gt;In_COD)</f>
        <v>-0</v>
      </c>
      <c r="AT97" s="49" t="n">
        <f aca="false">-MIN(AS103+AT95,In_Sweep*MAX(0,AT87+AT96))*(AT$4&gt;In_COD)</f>
        <v>-0</v>
      </c>
      <c r="AU97" s="49" t="n">
        <f aca="false">-MIN(AT103+AU95,In_Sweep*MAX(0,AU87+AU96))*(AU$4&gt;In_COD)</f>
        <v>-0</v>
      </c>
      <c r="AV97" s="49" t="n">
        <f aca="false">-MIN(AU103+AV95,In_Sweep*MAX(0,AV87+AV96))*(AV$4&gt;In_COD)</f>
        <v>-0</v>
      </c>
      <c r="AW97" s="49" t="n">
        <f aca="false">-MIN(AV103+AW95,In_Sweep*MAX(0,AW87+AW96))*(AW$4&gt;In_COD)</f>
        <v>-0</v>
      </c>
      <c r="AX97" s="49" t="n">
        <f aca="false">-MIN(AW103+AX95,In_Sweep*MAX(0,AX87+AX96))*(AX$4&gt;In_COD)</f>
        <v>-0</v>
      </c>
      <c r="AY97" s="49" t="n">
        <f aca="false">-MIN(AX103+AY95,In_Sweep*MAX(0,AY87+AY96))*(AY$4&gt;In_COD)</f>
        <v>-0</v>
      </c>
      <c r="AZ97" s="49" t="n">
        <f aca="false">-MIN(AY103+AZ95,In_Sweep*MAX(0,AZ87+AZ96))*(AZ$4&gt;In_COD)</f>
        <v>-0</v>
      </c>
      <c r="BA97" s="49" t="n">
        <f aca="false">-MIN(AZ103+BA95,In_Sweep*MAX(0,BA87+BA96))*(BA$4&gt;In_COD)</f>
        <v>-0</v>
      </c>
      <c r="BB97" s="49" t="n">
        <f aca="false">-MIN(BA103+BB95,In_Sweep*MAX(0,BB87+BB96))*(BB$4&gt;In_COD)</f>
        <v>-0</v>
      </c>
      <c r="BC97" s="49" t="n">
        <f aca="false">-MIN(BB103+BC95,In_Sweep*MAX(0,BC87+BC96))*(BC$4&gt;In_COD)</f>
        <v>-0</v>
      </c>
      <c r="BD97" s="49" t="n">
        <f aca="false">-MIN(BC103+BD95,In_Sweep*MAX(0,BD87+BD96))*(BD$4&gt;In_COD)</f>
        <v>-0</v>
      </c>
      <c r="BE97" s="49" t="n">
        <f aca="false">-MIN(BD103+BE95,In_Sweep*MAX(0,BE87+BE96))*(BE$4&gt;In_COD)</f>
        <v>-0</v>
      </c>
      <c r="BF97" s="49" t="n">
        <f aca="false">-MIN(BE103+BF95,In_Sweep*MAX(0,BF87+BF96))*(BF$4&gt;In_COD)</f>
        <v>-0</v>
      </c>
      <c r="BG97" s="49" t="n">
        <f aca="false">-MIN(BF103+BG95,In_Sweep*MAX(0,BG87+BG96))*(BG$4&gt;In_COD)</f>
        <v>-0</v>
      </c>
      <c r="BH97" s="49" t="n">
        <f aca="false">-MIN(BG103+BH95,In_Sweep*MAX(0,BH87+BH96))*(BH$4&gt;In_COD)</f>
        <v>-0</v>
      </c>
      <c r="BI97" s="49" t="n">
        <f aca="false">-MIN(BH103+BI95,In_Sweep*MAX(0,BI87+BI96))*(BI$4&gt;In_COD)</f>
        <v>-0</v>
      </c>
      <c r="BJ97" s="49" t="n">
        <f aca="false">-MIN(BI103+BJ95,In_Sweep*MAX(0,BJ87+BJ96))*(BJ$4&gt;In_COD)</f>
        <v>-0</v>
      </c>
      <c r="BK97" s="49" t="n">
        <f aca="false">-MIN(BJ103+BK95,In_Sweep*MAX(0,BK87+BK96))*(BK$4&gt;In_COD)</f>
        <v>-0</v>
      </c>
      <c r="BL97" s="49" t="n">
        <f aca="false">-MIN(BK103+BL95,In_Sweep*MAX(0,BL87+BL96))*(BL$4&gt;In_COD)</f>
        <v>-0</v>
      </c>
      <c r="BM97" s="49" t="n">
        <f aca="false">-MIN(BL103+BM95,In_Sweep*MAX(0,BM87+BM96))*(BM$4&gt;In_COD)</f>
        <v>-0</v>
      </c>
      <c r="BN97" s="49" t="n">
        <f aca="false">-MIN(BM103+BN95,In_Sweep*MAX(0,BN87+BN96))*(BN$4&gt;In_COD)</f>
        <v>-0</v>
      </c>
      <c r="BO97" s="49" t="n">
        <f aca="false">-MIN(BN103+BO95,In_Sweep*MAX(0,BO87+BO96))*(BO$4&gt;In_COD)</f>
        <v>-0</v>
      </c>
      <c r="BP97" s="49" t="n">
        <f aca="false">-MIN(BO103+BP95,In_Sweep*MAX(0,BP87+BP96))*(BP$4&gt;In_COD)</f>
        <v>-0</v>
      </c>
      <c r="BQ97" s="49" t="n">
        <f aca="false">-MIN(BP103+BQ95,In_Sweep*MAX(0,BQ87+BQ96))*(BQ$4&gt;In_COD)</f>
        <v>-0</v>
      </c>
      <c r="BR97" s="49" t="n">
        <f aca="false">-MIN(BQ103+BR95,In_Sweep*MAX(0,BR87+BR96))*(BR$4&gt;In_COD)</f>
        <v>-0</v>
      </c>
      <c r="BS97" s="49" t="n">
        <f aca="false">-MIN(BR103+BS95,In_Sweep*MAX(0,BS87+BS96))*(BS$4&gt;In_COD)</f>
        <v>-0</v>
      </c>
      <c r="BT97" s="49" t="n">
        <f aca="false">-MIN(BS103+BT95,In_Sweep*MAX(0,BT87+BT96))*(BT$4&gt;In_COD)</f>
        <v>-0</v>
      </c>
      <c r="BU97" s="49" t="n">
        <f aca="false">-MIN(BT103+BU95,In_Sweep*MAX(0,BU87+BU96))*(BU$4&gt;In_COD)</f>
        <v>-0</v>
      </c>
      <c r="BV97" s="49" t="n">
        <f aca="false">-MIN(BU103+BV95,In_Sweep*MAX(0,BV87+BV96))*(BV$4&gt;In_COD)</f>
        <v>-0</v>
      </c>
      <c r="BW97" s="49" t="n">
        <f aca="false">-MIN(BV103+BW95,In_Sweep*MAX(0,BW87+BW96))*(BW$4&gt;In_COD)</f>
        <v>-0</v>
      </c>
      <c r="BX97" s="49" t="n">
        <f aca="false">-MIN(BW103+BX95,In_Sweep*MAX(0,BX87+BX96))*(BX$4&gt;In_COD)</f>
        <v>-0</v>
      </c>
      <c r="BY97" s="49" t="n">
        <f aca="false">-MIN(BX103+BY95,In_Sweep*MAX(0,BY87+BY96))*(BY$4&gt;In_COD)</f>
        <v>-0</v>
      </c>
      <c r="BZ97" s="49" t="n">
        <f aca="false">-MIN(BY103+BZ95,In_Sweep*MAX(0,BZ87+BZ96))*(BZ$4&gt;In_COD)</f>
        <v>-0</v>
      </c>
      <c r="CA97" s="49" t="n">
        <f aca="false">-MIN(BZ103+CA95,In_Sweep*MAX(0,CA87+CA96))*(CA$4&gt;In_COD)</f>
        <v>-0</v>
      </c>
      <c r="CB97" s="49" t="n">
        <f aca="false">-MIN(CA103+CB95,In_Sweep*MAX(0,CB87+CB96))*(CB$4&gt;In_COD)</f>
        <v>-0</v>
      </c>
      <c r="CC97" s="49" t="n">
        <f aca="false">-MIN(CB103+CC95,In_Sweep*MAX(0,CC87+CC96))*(CC$4&gt;In_COD)</f>
        <v>-0</v>
      </c>
      <c r="CD97" s="49" t="n">
        <f aca="false">-MIN(CC103+CD95,In_Sweep*MAX(0,CD87+CD96))*(CD$4&gt;In_COD)</f>
        <v>-0</v>
      </c>
      <c r="CE97" s="49" t="n">
        <f aca="false">-MIN(CD103+CE95,In_Sweep*MAX(0,CE87+CE96))*(CE$4&gt;In_COD)</f>
        <v>-0</v>
      </c>
      <c r="CF97" s="49" t="n">
        <f aca="false">-MIN(CE103+CF95,In_Sweep*MAX(0,CF87+CF96))*(CF$4&gt;In_COD)</f>
        <v>-0</v>
      </c>
      <c r="CG97" s="49" t="n">
        <f aca="false">-MIN(CF103+CG95,In_Sweep*MAX(0,CG87+CG96))*(CG$4&gt;In_COD)</f>
        <v>-0</v>
      </c>
      <c r="CH97" s="49" t="n">
        <f aca="false">-MIN(CG103+CH95,In_Sweep*MAX(0,CH87+CH96))*(CH$4&gt;In_COD)</f>
        <v>-0</v>
      </c>
      <c r="CI97" s="49" t="n">
        <f aca="false">-MIN(CH103+CI95,In_Sweep*MAX(0,CI87+CI96))*(CI$4&gt;In_COD)</f>
        <v>-0</v>
      </c>
      <c r="CJ97" s="49" t="n">
        <f aca="false">-MIN(CI103+CJ95,In_Sweep*MAX(0,CJ87+CJ96))*(CJ$4&gt;In_COD)</f>
        <v>-0</v>
      </c>
      <c r="CK97" s="49" t="n">
        <f aca="false">-MIN(CJ103+CK95,In_Sweep*MAX(0,CK87+CK96))*(CK$4&gt;In_COD)</f>
        <v>-0</v>
      </c>
      <c r="CL97" s="49" t="n">
        <f aca="false">-MIN(CK103+CL95,In_Sweep*MAX(0,CL87+CL96))*(CL$4&gt;In_COD)</f>
        <v>-0</v>
      </c>
      <c r="CM97" s="49" t="n">
        <f aca="false">-MIN(CL103+CM95,In_Sweep*MAX(0,CM87+CM96))*(CM$4&gt;In_COD)</f>
        <v>-0</v>
      </c>
      <c r="CN97" s="49" t="n">
        <f aca="false">-MIN(CM103+CN95,In_Sweep*MAX(0,CN87+CN96))*(CN$4&gt;In_COD)</f>
        <v>-0</v>
      </c>
      <c r="CO97" s="49" t="n">
        <f aca="false">-MIN(CN103+CO95,In_Sweep*MAX(0,CO87+CO96))*(CO$4&gt;In_COD)</f>
        <v>-0</v>
      </c>
      <c r="CP97" s="49" t="n">
        <f aca="false">-MIN(CO103+CP95,In_Sweep*MAX(0,CP87+CP96))*(CP$4&gt;In_COD)</f>
        <v>-0</v>
      </c>
      <c r="CQ97" s="49" t="n">
        <f aca="false">-MIN(CP103+CQ95,In_Sweep*MAX(0,CQ87+CQ96))*(CQ$4&gt;In_COD)</f>
        <v>-0</v>
      </c>
      <c r="CR97" s="49" t="n">
        <f aca="false">-MIN(CQ103+CR95,In_Sweep*MAX(0,CR87+CR96))*(CR$4&gt;In_COD)</f>
        <v>-0</v>
      </c>
      <c r="CS97" s="49" t="n">
        <f aca="false">-MIN(CR103+CS95,In_Sweep*MAX(0,CS87+CS96))*(CS$4&gt;In_COD)</f>
        <v>-0</v>
      </c>
      <c r="CT97" s="49" t="n">
        <f aca="false">-MIN(CS103+CT95,In_Sweep*MAX(0,CT87+CT96))*(CT$4&gt;In_COD)</f>
        <v>-0</v>
      </c>
      <c r="CU97" s="49" t="n">
        <f aca="false">-MIN(CT103+CU95,In_Sweep*MAX(0,CU87+CU96))*(CU$4&gt;In_COD)</f>
        <v>-0</v>
      </c>
      <c r="CV97" s="49" t="n">
        <f aca="false">-MIN(CU103+CV95,In_Sweep*MAX(0,CV87+CV96))*(CV$4&gt;In_COD)</f>
        <v>-0</v>
      </c>
      <c r="CW97" s="49" t="n">
        <f aca="false">-MIN(CV103+CW95,In_Sweep*MAX(0,CW87+CW96))*(CW$4&gt;In_COD)</f>
        <v>-0</v>
      </c>
      <c r="CX97" s="49" t="n">
        <f aca="false">-MIN(CW103+CX95,In_Sweep*MAX(0,CX87+CX96))*(CX$4&gt;In_COD)</f>
        <v>-0</v>
      </c>
      <c r="CY97" s="49" t="n">
        <f aca="false">-MIN(CX103+CY95,In_Sweep*MAX(0,CY87+CY96))*(CY$4&gt;In_COD)</f>
        <v>-0</v>
      </c>
      <c r="CZ97" s="49" t="n">
        <f aca="false">-MIN(CY103+CZ95,In_Sweep*MAX(0,CZ87+CZ96))*(CZ$4&gt;In_COD)</f>
        <v>-0</v>
      </c>
      <c r="DA97" s="49" t="n">
        <f aca="false">-MIN(CZ103+DA95,In_Sweep*MAX(0,DA87+DA96))*(DA$4&gt;In_COD)</f>
        <v>-0</v>
      </c>
      <c r="DB97" s="49" t="n">
        <f aca="false">-MIN(DA103+DB95,In_Sweep*MAX(0,DB87+DB96))*(DB$4&gt;In_COD)</f>
        <v>-0</v>
      </c>
      <c r="DC97" s="49" t="n">
        <f aca="false">-MIN(DB103+DC95,In_Sweep*MAX(0,DC87+DC96))*(DC$4&gt;In_COD)</f>
        <v>-0</v>
      </c>
      <c r="DD97" s="49" t="n">
        <f aca="false">-MIN(DC103+DD95,In_Sweep*MAX(0,DD87+DD96))*(DD$4&gt;In_COD)</f>
        <v>-0</v>
      </c>
      <c r="DE97" s="49" t="n">
        <f aca="false">-MIN(DD103+DE95,In_Sweep*MAX(0,DE87+DE96))*(DE$4&gt;In_COD)</f>
        <v>-0</v>
      </c>
      <c r="DF97" s="49" t="n">
        <f aca="false">-MIN(DE103+DF95,In_Sweep*MAX(0,DF87+DF96))*(DF$4&gt;In_COD)</f>
        <v>-0</v>
      </c>
      <c r="DG97" s="49" t="n">
        <f aca="false">-MIN(DF103+DG95,In_Sweep*MAX(0,DG87+DG96))*(DG$4&gt;In_COD)</f>
        <v>-0</v>
      </c>
      <c r="DH97" s="49" t="n">
        <f aca="false">-MIN(DG103+DH95,In_Sweep*MAX(0,DH87+DH96))*(DH$4&gt;In_COD)</f>
        <v>-0</v>
      </c>
      <c r="DI97" s="49" t="n">
        <f aca="false">-MIN(DH103+DI95,In_Sweep*MAX(0,DI87+DI96))*(DI$4&gt;In_COD)</f>
        <v>-0</v>
      </c>
      <c r="DJ97" s="49" t="n">
        <f aca="false">-MIN(DI103+DJ95,In_Sweep*MAX(0,DJ87+DJ96))*(DJ$4&gt;In_COD)</f>
        <v>-0</v>
      </c>
      <c r="DK97" s="49" t="n">
        <f aca="false">-MIN(DJ103+DK95,In_Sweep*MAX(0,DK87+DK96))*(DK$4&gt;In_COD)</f>
        <v>-0</v>
      </c>
      <c r="DL97" s="49" t="n">
        <f aca="false">-MIN(DK103+DL95,In_Sweep*MAX(0,DL87+DL96))*(DL$4&gt;In_COD)</f>
        <v>-0</v>
      </c>
      <c r="DM97" s="49" t="n">
        <f aca="false">-MIN(DL103+DM95,In_Sweep*MAX(0,DM87+DM96))*(DM$4&gt;In_COD)</f>
        <v>-0</v>
      </c>
      <c r="DN97" s="49" t="n">
        <f aca="false">-MIN(DM103+DN95,In_Sweep*MAX(0,DN87+DN96))*(DN$4&gt;In_COD)</f>
        <v>-0</v>
      </c>
      <c r="DO97" s="49" t="n">
        <f aca="false">-MIN(DN103+DO95,In_Sweep*MAX(0,DO87+DO96))*(DO$4&gt;In_COD)</f>
        <v>-0</v>
      </c>
      <c r="DP97" s="49" t="n">
        <f aca="false">-MIN(DO103+DP95,In_Sweep*MAX(0,DP87+DP96))*(DP$4&gt;In_COD)</f>
        <v>-0</v>
      </c>
      <c r="DQ97" s="49" t="n">
        <f aca="false">-MIN(DP103+DQ95,In_Sweep*MAX(0,DQ87+DQ96))*(DQ$4&gt;In_COD)</f>
        <v>-0</v>
      </c>
      <c r="DR97" s="49" t="n">
        <f aca="false">-MIN(DQ103+DR95,In_Sweep*MAX(0,DR87+DR96))*(DR$4&gt;In_COD)</f>
        <v>-0</v>
      </c>
      <c r="DS97" s="49" t="n">
        <f aca="false">-MIN(DR103+DS95,In_Sweep*MAX(0,DS87+DS96))*(DS$4&gt;In_COD)</f>
        <v>-0</v>
      </c>
      <c r="DT97" s="49" t="n">
        <f aca="false">-MIN(DS103+DT95,In_Sweep*MAX(0,DT87+DT96))*(DT$4&gt;In_COD)</f>
        <v>-0</v>
      </c>
      <c r="DU97" s="49" t="n">
        <f aca="false">-MIN(DT103+DU95,In_Sweep*MAX(0,DU87+DU96))*(DU$4&gt;In_COD)</f>
        <v>-0</v>
      </c>
      <c r="DV97" s="49" t="n">
        <f aca="false">-MIN(DU103+DV95,In_Sweep*MAX(0,DV87+DV96))*(DV$4&gt;In_COD)</f>
        <v>-0</v>
      </c>
      <c r="DW97" s="49" t="n">
        <f aca="false">-MIN(DV103+DW95,In_Sweep*MAX(0,DW87+DW96))*(DW$4&gt;In_COD)</f>
        <v>-0</v>
      </c>
      <c r="DX97" s="49" t="n">
        <f aca="false">-MIN(DW103+DX95,In_Sweep*MAX(0,DX87+DX96))*(DX$4&gt;In_COD)</f>
        <v>-0</v>
      </c>
      <c r="DY97" s="49" t="n">
        <f aca="false">-MIN(DX103+DY95,In_Sweep*MAX(0,DY87+DY96))*(DY$4&gt;In_COD)</f>
        <v>-0</v>
      </c>
      <c r="DZ97" s="49" t="n">
        <f aca="false">-MIN(DY103+DZ95,In_Sweep*MAX(0,DZ87+DZ96))*(DZ$4&gt;In_COD)</f>
        <v>-0</v>
      </c>
      <c r="EA97" s="49" t="n">
        <f aca="false">-MIN(DZ103+EA95,In_Sweep*MAX(0,EA87+EA96))*(EA$4&gt;In_COD)</f>
        <v>-0</v>
      </c>
      <c r="EB97" s="49" t="n">
        <f aca="false">-MIN(EA103+EB95,In_Sweep*MAX(0,EB87+EB96))*(EB$4&gt;In_COD)</f>
        <v>-0</v>
      </c>
      <c r="EC97" s="49" t="n">
        <f aca="false">-MIN(EB103+EC95,In_Sweep*MAX(0,EC87+EC96))*(EC$4&gt;In_COD)</f>
        <v>-0</v>
      </c>
      <c r="ED97" s="49" t="n">
        <f aca="false">-MIN(EC103+ED95,In_Sweep*MAX(0,ED87+ED96))*(ED$4&gt;In_COD)</f>
        <v>-0</v>
      </c>
      <c r="EE97" s="49" t="n">
        <f aca="false">-MIN(ED103+EE95,In_Sweep*MAX(0,EE87+EE96))*(EE$4&gt;In_COD)</f>
        <v>-0</v>
      </c>
      <c r="EF97" s="49" t="n">
        <f aca="false">-MIN(EE103+EF95,In_Sweep*MAX(0,EF87+EF96))*(EF$4&gt;In_COD)</f>
        <v>-0</v>
      </c>
      <c r="EG97" s="49" t="n">
        <f aca="false">-MIN(EF103+EG95,In_Sweep*MAX(0,EG87+EG96))*(EG$4&gt;In_COD)</f>
        <v>-0</v>
      </c>
      <c r="EH97" s="49" t="n">
        <f aca="false">-MIN(EG103+EH95,In_Sweep*MAX(0,EH87+EH96))*(EH$4&gt;In_COD)</f>
        <v>-0</v>
      </c>
      <c r="EI97" s="49" t="n">
        <f aca="false">-MIN(EH103+EI95,In_Sweep*MAX(0,EI87+EI96))*(EI$4&gt;In_COD)</f>
        <v>-0</v>
      </c>
      <c r="EJ97" s="49" t="n">
        <f aca="false">-MIN(EI103+EJ95,In_Sweep*MAX(0,EJ87+EJ96))*(EJ$4&gt;In_COD)</f>
        <v>-0</v>
      </c>
      <c r="EK97" s="49" t="n">
        <f aca="false">-MIN(EJ103+EK95,In_Sweep*MAX(0,EK87+EK96))*(EK$4&gt;In_COD)</f>
        <v>-0</v>
      </c>
      <c r="EL97" s="49" t="n">
        <f aca="false">-MIN(EK103+EL95,In_Sweep*MAX(0,EL87+EL96))*(EL$4&gt;In_COD)</f>
        <v>-0</v>
      </c>
      <c r="EM97" s="49" t="n">
        <f aca="false">-MIN(EL103+EM95,In_Sweep*MAX(0,EM87+EM96))*(EM$4&gt;In_COD)</f>
        <v>-0</v>
      </c>
      <c r="EN97" s="49" t="n">
        <f aca="false">-MIN(EM103+EN95,In_Sweep*MAX(0,EN87+EN96))*(EN$4&gt;In_COD)</f>
        <v>-0</v>
      </c>
      <c r="EO97" s="49" t="n">
        <f aca="false">-MIN(EN103+EO95,In_Sweep*MAX(0,EO87+EO96))*(EO$4&gt;In_COD)</f>
        <v>-0</v>
      </c>
    </row>
    <row r="98" customFormat="false" ht="15" hidden="false" customHeight="false" outlineLevel="0" collapsed="false">
      <c r="C98" s="1" t="s">
        <v>496</v>
      </c>
      <c r="D98" s="12" t="s">
        <v>33</v>
      </c>
      <c r="I98" s="49" t="n">
        <f aca="false">SUM(J98:EO98)</f>
        <v>-84295.5696204043</v>
      </c>
      <c r="J98" s="49" t="n">
        <f aca="false">J96+J97</f>
        <v>0</v>
      </c>
      <c r="K98" s="49" t="n">
        <f aca="false">K96+K97</f>
        <v>0</v>
      </c>
      <c r="L98" s="49" t="n">
        <f aca="false">L96+L97</f>
        <v>0</v>
      </c>
      <c r="M98" s="49" t="n">
        <f aca="false">M96+M97</f>
        <v>0</v>
      </c>
      <c r="N98" s="49" t="n">
        <f aca="false">N96+N97</f>
        <v>0</v>
      </c>
      <c r="O98" s="49" t="n">
        <f aca="false">O96+O97</f>
        <v>0</v>
      </c>
      <c r="P98" s="49" t="n">
        <f aca="false">P96+P97</f>
        <v>0</v>
      </c>
      <c r="Q98" s="49" t="n">
        <f aca="false">Q96+Q97</f>
        <v>0</v>
      </c>
      <c r="R98" s="49" t="n">
        <f aca="false">R96+R97</f>
        <v>0</v>
      </c>
      <c r="S98" s="49" t="n">
        <f aca="false">S96+S97</f>
        <v>0</v>
      </c>
      <c r="T98" s="49" t="n">
        <f aca="false">T96+T97</f>
        <v>0</v>
      </c>
      <c r="U98" s="49" t="n">
        <f aca="false">U96+U97</f>
        <v>0</v>
      </c>
      <c r="V98" s="49" t="n">
        <f aca="false">V96+V97</f>
        <v>0</v>
      </c>
      <c r="W98" s="49" t="n">
        <f aca="false">W96+W97</f>
        <v>0</v>
      </c>
      <c r="X98" s="49" t="n">
        <f aca="false">X96+X97</f>
        <v>0</v>
      </c>
      <c r="Y98" s="49" t="n">
        <f aca="false">Y96+Y97</f>
        <v>0</v>
      </c>
      <c r="Z98" s="49" t="n">
        <f aca="false">Z96+Z97</f>
        <v>-1404.92616034007</v>
      </c>
      <c r="AA98" s="49" t="n">
        <f aca="false">AA96+AA97</f>
        <v>-1404.92616034007</v>
      </c>
      <c r="AB98" s="49" t="n">
        <f aca="false">AB96+AB97</f>
        <v>-1404.92616034007</v>
      </c>
      <c r="AC98" s="49" t="n">
        <f aca="false">AC96+AC97</f>
        <v>-1404.92616034007</v>
      </c>
      <c r="AD98" s="49" t="n">
        <f aca="false">AD96+AD97</f>
        <v>-1404.92616034007</v>
      </c>
      <c r="AE98" s="49" t="n">
        <f aca="false">AE96+AE97</f>
        <v>-1404.92616034007</v>
      </c>
      <c r="AF98" s="49" t="n">
        <f aca="false">AF96+AF97</f>
        <v>-1404.92616034007</v>
      </c>
      <c r="AG98" s="49" t="n">
        <f aca="false">AG96+AG97</f>
        <v>-1404.92616034007</v>
      </c>
      <c r="AH98" s="49" t="n">
        <f aca="false">AH96+AH97</f>
        <v>-1404.92616034007</v>
      </c>
      <c r="AI98" s="49" t="n">
        <f aca="false">AI96+AI97</f>
        <v>-1404.92616034007</v>
      </c>
      <c r="AJ98" s="49" t="n">
        <f aca="false">AJ96+AJ97</f>
        <v>-1404.92616034007</v>
      </c>
      <c r="AK98" s="49" t="n">
        <f aca="false">AK96+AK97</f>
        <v>-1404.92616034007</v>
      </c>
      <c r="AL98" s="49" t="n">
        <f aca="false">AL96+AL97</f>
        <v>-1404.92616034007</v>
      </c>
      <c r="AM98" s="49" t="n">
        <f aca="false">AM96+AM97</f>
        <v>-1404.92616034007</v>
      </c>
      <c r="AN98" s="49" t="n">
        <f aca="false">AN96+AN97</f>
        <v>-1404.92616034007</v>
      </c>
      <c r="AO98" s="49" t="n">
        <f aca="false">AO96+AO97</f>
        <v>-1404.92616034007</v>
      </c>
      <c r="AP98" s="49" t="n">
        <f aca="false">AP96+AP97</f>
        <v>-1404.92616034007</v>
      </c>
      <c r="AQ98" s="49" t="n">
        <f aca="false">AQ96+AQ97</f>
        <v>-1404.92616034007</v>
      </c>
      <c r="AR98" s="49" t="n">
        <f aca="false">AR96+AR97</f>
        <v>-1404.92616034007</v>
      </c>
      <c r="AS98" s="49" t="n">
        <f aca="false">AS96+AS97</f>
        <v>-1404.92616034007</v>
      </c>
      <c r="AT98" s="49" t="n">
        <f aca="false">AT96+AT97</f>
        <v>-1404.92616034007</v>
      </c>
      <c r="AU98" s="49" t="n">
        <f aca="false">AU96+AU97</f>
        <v>-1404.92616034007</v>
      </c>
      <c r="AV98" s="49" t="n">
        <f aca="false">AV96+AV97</f>
        <v>-1404.92616034007</v>
      </c>
      <c r="AW98" s="49" t="n">
        <f aca="false">AW96+AW97</f>
        <v>-1404.92616034007</v>
      </c>
      <c r="AX98" s="49" t="n">
        <f aca="false">AX96+AX97</f>
        <v>-1404.92616034007</v>
      </c>
      <c r="AY98" s="49" t="n">
        <f aca="false">AY96+AY97</f>
        <v>-1404.92616034007</v>
      </c>
      <c r="AZ98" s="49" t="n">
        <f aca="false">AZ96+AZ97</f>
        <v>-1404.92616034007</v>
      </c>
      <c r="BA98" s="49" t="n">
        <f aca="false">BA96+BA97</f>
        <v>-1404.92616034007</v>
      </c>
      <c r="BB98" s="49" t="n">
        <f aca="false">BB96+BB97</f>
        <v>-1404.92616034007</v>
      </c>
      <c r="BC98" s="49" t="n">
        <f aca="false">BC96+BC97</f>
        <v>-1404.92616034007</v>
      </c>
      <c r="BD98" s="49" t="n">
        <f aca="false">BD96+BD97</f>
        <v>-1404.92616034007</v>
      </c>
      <c r="BE98" s="49" t="n">
        <f aca="false">BE96+BE97</f>
        <v>-1404.92616034007</v>
      </c>
      <c r="BF98" s="49" t="n">
        <f aca="false">BF96+BF97</f>
        <v>-1404.92616034007</v>
      </c>
      <c r="BG98" s="49" t="n">
        <f aca="false">BG96+BG97</f>
        <v>-1404.92616034007</v>
      </c>
      <c r="BH98" s="49" t="n">
        <f aca="false">BH96+BH97</f>
        <v>-1404.92616034007</v>
      </c>
      <c r="BI98" s="49" t="n">
        <f aca="false">BI96+BI97</f>
        <v>-1404.92616034007</v>
      </c>
      <c r="BJ98" s="49" t="n">
        <f aca="false">BJ96+BJ97</f>
        <v>-1404.92616034007</v>
      </c>
      <c r="BK98" s="49" t="n">
        <f aca="false">BK96+BK97</f>
        <v>-1404.92616034007</v>
      </c>
      <c r="BL98" s="49" t="n">
        <f aca="false">BL96+BL97</f>
        <v>-1404.92616034007</v>
      </c>
      <c r="BM98" s="49" t="n">
        <f aca="false">BM96+BM97</f>
        <v>-1404.92616034007</v>
      </c>
      <c r="BN98" s="49" t="n">
        <f aca="false">BN96+BN97</f>
        <v>-1404.92616034007</v>
      </c>
      <c r="BO98" s="49" t="n">
        <f aca="false">BO96+BO97</f>
        <v>-1404.92616034007</v>
      </c>
      <c r="BP98" s="49" t="n">
        <f aca="false">BP96+BP97</f>
        <v>-1404.92616034007</v>
      </c>
      <c r="BQ98" s="49" t="n">
        <f aca="false">BQ96+BQ97</f>
        <v>-1404.92616034007</v>
      </c>
      <c r="BR98" s="49" t="n">
        <f aca="false">BR96+BR97</f>
        <v>-1404.92616034007</v>
      </c>
      <c r="BS98" s="49" t="n">
        <f aca="false">BS96+BS97</f>
        <v>-1404.92616034007</v>
      </c>
      <c r="BT98" s="49" t="n">
        <f aca="false">BT96+BT97</f>
        <v>-1404.92616034007</v>
      </c>
      <c r="BU98" s="49" t="n">
        <f aca="false">BU96+BU97</f>
        <v>-1404.92616034007</v>
      </c>
      <c r="BV98" s="49" t="n">
        <f aca="false">BV96+BV97</f>
        <v>-1404.92616034007</v>
      </c>
      <c r="BW98" s="49" t="n">
        <f aca="false">BW96+BW97</f>
        <v>-1404.92616034007</v>
      </c>
      <c r="BX98" s="49" t="n">
        <f aca="false">BX96+BX97</f>
        <v>-1404.92616034007</v>
      </c>
      <c r="BY98" s="49" t="n">
        <f aca="false">BY96+BY97</f>
        <v>-1404.92616034007</v>
      </c>
      <c r="BZ98" s="49" t="n">
        <f aca="false">BZ96+BZ97</f>
        <v>-1404.92616034007</v>
      </c>
      <c r="CA98" s="49" t="n">
        <f aca="false">CA96+CA97</f>
        <v>-1404.92616034007</v>
      </c>
      <c r="CB98" s="49" t="n">
        <f aca="false">CB96+CB97</f>
        <v>-1404.92616034007</v>
      </c>
      <c r="CC98" s="49" t="n">
        <f aca="false">CC96+CC97</f>
        <v>-1404.92616034007</v>
      </c>
      <c r="CD98" s="49" t="n">
        <f aca="false">CD96+CD97</f>
        <v>-1404.92616034007</v>
      </c>
      <c r="CE98" s="49" t="n">
        <f aca="false">CE96+CE97</f>
        <v>-1404.92616034007</v>
      </c>
      <c r="CF98" s="49" t="n">
        <f aca="false">CF96+CF97</f>
        <v>-1404.92616034007</v>
      </c>
      <c r="CG98" s="49" t="n">
        <f aca="false">CG96+CG97</f>
        <v>-1404.92616034006</v>
      </c>
      <c r="CH98" s="49" t="n">
        <f aca="false">CH96+CH97</f>
        <v>-0</v>
      </c>
      <c r="CI98" s="49" t="n">
        <f aca="false">CI96+CI97</f>
        <v>-0</v>
      </c>
      <c r="CJ98" s="49" t="n">
        <f aca="false">CJ96+CJ97</f>
        <v>-0</v>
      </c>
      <c r="CK98" s="49" t="n">
        <f aca="false">CK96+CK97</f>
        <v>-0</v>
      </c>
      <c r="CL98" s="49" t="n">
        <f aca="false">CL96+CL97</f>
        <v>-0</v>
      </c>
      <c r="CM98" s="49" t="n">
        <f aca="false">CM96+CM97</f>
        <v>-0</v>
      </c>
      <c r="CN98" s="49" t="n">
        <f aca="false">CN96+CN97</f>
        <v>-0</v>
      </c>
      <c r="CO98" s="49" t="n">
        <f aca="false">CO96+CO97</f>
        <v>-0</v>
      </c>
      <c r="CP98" s="49" t="n">
        <f aca="false">CP96+CP97</f>
        <v>-0</v>
      </c>
      <c r="CQ98" s="49" t="n">
        <f aca="false">CQ96+CQ97</f>
        <v>-0</v>
      </c>
      <c r="CR98" s="49" t="n">
        <f aca="false">CR96+CR97</f>
        <v>-0</v>
      </c>
      <c r="CS98" s="49" t="n">
        <f aca="false">CS96+CS97</f>
        <v>-0</v>
      </c>
      <c r="CT98" s="49" t="n">
        <f aca="false">CT96+CT97</f>
        <v>-0</v>
      </c>
      <c r="CU98" s="49" t="n">
        <f aca="false">CU96+CU97</f>
        <v>-0</v>
      </c>
      <c r="CV98" s="49" t="n">
        <f aca="false">CV96+CV97</f>
        <v>-0</v>
      </c>
      <c r="CW98" s="49" t="n">
        <f aca="false">CW96+CW97</f>
        <v>-0</v>
      </c>
      <c r="CX98" s="49" t="n">
        <f aca="false">CX96+CX97</f>
        <v>-0</v>
      </c>
      <c r="CY98" s="49" t="n">
        <f aca="false">CY96+CY97</f>
        <v>-0</v>
      </c>
      <c r="CZ98" s="49" t="n">
        <f aca="false">CZ96+CZ97</f>
        <v>-0</v>
      </c>
      <c r="DA98" s="49" t="n">
        <f aca="false">DA96+DA97</f>
        <v>-0</v>
      </c>
      <c r="DB98" s="49" t="n">
        <f aca="false">DB96+DB97</f>
        <v>-0</v>
      </c>
      <c r="DC98" s="49" t="n">
        <f aca="false">DC96+DC97</f>
        <v>-0</v>
      </c>
      <c r="DD98" s="49" t="n">
        <f aca="false">DD96+DD97</f>
        <v>-0</v>
      </c>
      <c r="DE98" s="49" t="n">
        <f aca="false">DE96+DE97</f>
        <v>-0</v>
      </c>
      <c r="DF98" s="49" t="n">
        <f aca="false">DF96+DF97</f>
        <v>-0</v>
      </c>
      <c r="DG98" s="49" t="n">
        <f aca="false">DG96+DG97</f>
        <v>-0</v>
      </c>
      <c r="DH98" s="49" t="n">
        <f aca="false">DH96+DH97</f>
        <v>-0</v>
      </c>
      <c r="DI98" s="49" t="n">
        <f aca="false">DI96+DI97</f>
        <v>-0</v>
      </c>
      <c r="DJ98" s="49" t="n">
        <f aca="false">DJ96+DJ97</f>
        <v>-0</v>
      </c>
      <c r="DK98" s="49" t="n">
        <f aca="false">DK96+DK97</f>
        <v>-0</v>
      </c>
      <c r="DL98" s="49" t="n">
        <f aca="false">DL96+DL97</f>
        <v>-0</v>
      </c>
      <c r="DM98" s="49" t="n">
        <f aca="false">DM96+DM97</f>
        <v>-0</v>
      </c>
      <c r="DN98" s="49" t="n">
        <f aca="false">DN96+DN97</f>
        <v>-0</v>
      </c>
      <c r="DO98" s="49" t="n">
        <f aca="false">DO96+DO97</f>
        <v>-0</v>
      </c>
      <c r="DP98" s="49" t="n">
        <f aca="false">DP96+DP97</f>
        <v>-0</v>
      </c>
      <c r="DQ98" s="49" t="n">
        <f aca="false">DQ96+DQ97</f>
        <v>-0</v>
      </c>
      <c r="DR98" s="49" t="n">
        <f aca="false">DR96+DR97</f>
        <v>-0</v>
      </c>
      <c r="DS98" s="49" t="n">
        <f aca="false">DS96+DS97</f>
        <v>-0</v>
      </c>
      <c r="DT98" s="49" t="n">
        <f aca="false">DT96+DT97</f>
        <v>-0</v>
      </c>
      <c r="DU98" s="49" t="n">
        <f aca="false">DU96+DU97</f>
        <v>-0</v>
      </c>
      <c r="DV98" s="49" t="n">
        <f aca="false">DV96+DV97</f>
        <v>-0</v>
      </c>
      <c r="DW98" s="49" t="n">
        <f aca="false">DW96+DW97</f>
        <v>-0</v>
      </c>
      <c r="DX98" s="49" t="n">
        <f aca="false">DX96+DX97</f>
        <v>-0</v>
      </c>
      <c r="DY98" s="49" t="n">
        <f aca="false">DY96+DY97</f>
        <v>-0</v>
      </c>
      <c r="DZ98" s="49" t="n">
        <f aca="false">DZ96+DZ97</f>
        <v>-0</v>
      </c>
      <c r="EA98" s="49" t="n">
        <f aca="false">EA96+EA97</f>
        <v>-0</v>
      </c>
      <c r="EB98" s="49" t="n">
        <f aca="false">EB96+EB97</f>
        <v>-0</v>
      </c>
      <c r="EC98" s="49" t="n">
        <f aca="false">EC96+EC97</f>
        <v>-0</v>
      </c>
      <c r="ED98" s="49" t="n">
        <f aca="false">ED96+ED97</f>
        <v>-0</v>
      </c>
      <c r="EE98" s="49" t="n">
        <f aca="false">EE96+EE97</f>
        <v>-0</v>
      </c>
      <c r="EF98" s="49" t="n">
        <f aca="false">EF96+EF97</f>
        <v>-0</v>
      </c>
      <c r="EG98" s="49" t="n">
        <f aca="false">EG96+EG97</f>
        <v>-0</v>
      </c>
      <c r="EH98" s="49" t="n">
        <f aca="false">EH96+EH97</f>
        <v>-0</v>
      </c>
      <c r="EI98" s="49" t="n">
        <f aca="false">EI96+EI97</f>
        <v>-0</v>
      </c>
      <c r="EJ98" s="49" t="n">
        <f aca="false">EJ96+EJ97</f>
        <v>-0</v>
      </c>
      <c r="EK98" s="49" t="n">
        <f aca="false">EK96+EK97</f>
        <v>-0</v>
      </c>
      <c r="EL98" s="49" t="n">
        <f aca="false">EL96+EL97</f>
        <v>-0</v>
      </c>
      <c r="EM98" s="49" t="n">
        <f aca="false">EM96+EM97</f>
        <v>-0</v>
      </c>
      <c r="EN98" s="49" t="n">
        <f aca="false">EN96+EN97</f>
        <v>-0</v>
      </c>
      <c r="EO98" s="49" t="n">
        <f aca="false">EO96+EO97</f>
        <v>-0</v>
      </c>
    </row>
    <row r="99" customFormat="false" ht="15" hidden="false" customHeight="false" outlineLevel="0" collapsed="false">
      <c r="C99" s="1" t="s">
        <v>497</v>
      </c>
      <c r="D99" s="12" t="s">
        <v>33</v>
      </c>
      <c r="J99" s="19" t="n">
        <f aca="false">I103</f>
        <v>0</v>
      </c>
      <c r="K99" s="19" t="n">
        <f aca="false">J103</f>
        <v>0</v>
      </c>
      <c r="L99" s="19" t="n">
        <f aca="false">K103</f>
        <v>0</v>
      </c>
      <c r="M99" s="19" t="n">
        <f aca="false">L103</f>
        <v>0</v>
      </c>
      <c r="N99" s="19" t="n">
        <f aca="false">M103</f>
        <v>0</v>
      </c>
      <c r="O99" s="19" t="n">
        <f aca="false">N103</f>
        <v>0</v>
      </c>
      <c r="P99" s="19" t="n">
        <f aca="false">O103</f>
        <v>0</v>
      </c>
      <c r="Q99" s="19" t="n">
        <f aca="false">P103</f>
        <v>0</v>
      </c>
      <c r="R99" s="19" t="n">
        <f aca="false">Q103</f>
        <v>0</v>
      </c>
      <c r="S99" s="19" t="n">
        <f aca="false">R103</f>
        <v>6374.47363013699</v>
      </c>
      <c r="T99" s="19" t="n">
        <f aca="false">S103</f>
        <v>17175.2053998288</v>
      </c>
      <c r="U99" s="19" t="n">
        <f aca="false">T103</f>
        <v>23695.0813406143</v>
      </c>
      <c r="V99" s="19" t="n">
        <f aca="false">U103</f>
        <v>30365.743487509</v>
      </c>
      <c r="W99" s="19" t="n">
        <f aca="false">V103</f>
        <v>37119.7889112398</v>
      </c>
      <c r="X99" s="19" t="n">
        <f aca="false">W103</f>
        <v>43819.6843890687</v>
      </c>
      <c r="Y99" s="19" t="n">
        <f aca="false">X103</f>
        <v>50672.6163172197</v>
      </c>
      <c r="Z99" s="19" t="n">
        <f aca="false">Y103</f>
        <v>59055.4976513219</v>
      </c>
      <c r="AA99" s="19" t="n">
        <f aca="false">Z103</f>
        <v>58388.7652116234</v>
      </c>
      <c r="AB99" s="19" t="n">
        <f aca="false">AA103</f>
        <v>57713.6986164286</v>
      </c>
      <c r="AC99" s="19" t="n">
        <f aca="false">AB103</f>
        <v>57030.1936887939</v>
      </c>
      <c r="AD99" s="19" t="n">
        <f aca="false">AC103</f>
        <v>56338.1449495638</v>
      </c>
      <c r="AE99" s="19" t="n">
        <f aca="false">AD103</f>
        <v>55637.4456010932</v>
      </c>
      <c r="AF99" s="19" t="n">
        <f aca="false">AE103</f>
        <v>54927.9875107668</v>
      </c>
      <c r="AG99" s="19" t="n">
        <f aca="false">AF103</f>
        <v>54209.6611943113</v>
      </c>
      <c r="AH99" s="19" t="n">
        <f aca="false">AG103</f>
        <v>53482.3557989002</v>
      </c>
      <c r="AI99" s="19" t="n">
        <f aca="false">AH103</f>
        <v>52745.9590860463</v>
      </c>
      <c r="AJ99" s="19" t="n">
        <f aca="false">AI103</f>
        <v>52000.3574142818</v>
      </c>
      <c r="AK99" s="19" t="n">
        <f aca="false">AJ103</f>
        <v>51245.4357216203</v>
      </c>
      <c r="AL99" s="19" t="n">
        <f aca="false">AK103</f>
        <v>50481.0775078005</v>
      </c>
      <c r="AM99" s="19" t="n">
        <f aca="false">AL103</f>
        <v>49707.1648163079</v>
      </c>
      <c r="AN99" s="19" t="n">
        <f aca="false">AM103</f>
        <v>48923.5782161717</v>
      </c>
      <c r="AO99" s="19" t="n">
        <f aca="false">AN103</f>
        <v>48130.1967835338</v>
      </c>
      <c r="AP99" s="19" t="n">
        <f aca="false">AO103</f>
        <v>47326.8980829879</v>
      </c>
      <c r="AQ99" s="19" t="n">
        <f aca="false">AP103</f>
        <v>46513.5581486851</v>
      </c>
      <c r="AR99" s="19" t="n">
        <f aca="false">AQ103</f>
        <v>45690.0514652036</v>
      </c>
      <c r="AS99" s="19" t="n">
        <f aca="false">AR103</f>
        <v>44856.2509481786</v>
      </c>
      <c r="AT99" s="19" t="n">
        <f aca="false">AS103</f>
        <v>44012.0279246908</v>
      </c>
      <c r="AU99" s="19" t="n">
        <f aca="false">AT103</f>
        <v>43157.2521134093</v>
      </c>
      <c r="AV99" s="19" t="n">
        <f aca="false">AU103</f>
        <v>42291.7916044869</v>
      </c>
      <c r="AW99" s="19" t="n">
        <f aca="false">AV103</f>
        <v>41415.5128392029</v>
      </c>
      <c r="AX99" s="19" t="n">
        <f aca="false">AW103</f>
        <v>40528.2805893529</v>
      </c>
      <c r="AY99" s="19" t="n">
        <f aca="false">AX103</f>
        <v>39629.9579363797</v>
      </c>
      <c r="AZ99" s="19" t="n">
        <f aca="false">AY103</f>
        <v>38720.4062502444</v>
      </c>
      <c r="BA99" s="19" t="n">
        <f aca="false">AZ103</f>
        <v>37799.4851680324</v>
      </c>
      <c r="BB99" s="19" t="n">
        <f aca="false">BA103</f>
        <v>36867.0525722927</v>
      </c>
      <c r="BC99" s="19" t="n">
        <f aca="false">BB103</f>
        <v>35922.9645691063</v>
      </c>
      <c r="BD99" s="19" t="n">
        <f aca="false">BC103</f>
        <v>34967.07546588</v>
      </c>
      <c r="BE99" s="19" t="n">
        <f aca="false">BD103</f>
        <v>33999.2377488635</v>
      </c>
      <c r="BF99" s="19" t="n">
        <f aca="false">BE103</f>
        <v>33019.3020603842</v>
      </c>
      <c r="BG99" s="19" t="n">
        <f aca="false">BF103</f>
        <v>32027.1171757989</v>
      </c>
      <c r="BH99" s="19" t="n">
        <f aca="false">BG103</f>
        <v>31022.5299801563</v>
      </c>
      <c r="BI99" s="19" t="n">
        <f aca="false">BH103</f>
        <v>30005.3854445682</v>
      </c>
      <c r="BJ99" s="19" t="n">
        <f aca="false">BI103</f>
        <v>28975.5266022852</v>
      </c>
      <c r="BK99" s="19" t="n">
        <f aca="false">BJ103</f>
        <v>27932.7945244737</v>
      </c>
      <c r="BL99" s="19" t="n">
        <f aca="false">BK103</f>
        <v>26877.0282956896</v>
      </c>
      <c r="BM99" s="19" t="n">
        <f aca="false">BL103</f>
        <v>25808.0649890456</v>
      </c>
      <c r="BN99" s="19" t="n">
        <f aca="false">BM103</f>
        <v>24725.7396410686</v>
      </c>
      <c r="BO99" s="19" t="n">
        <f aca="false">BN103</f>
        <v>23629.8852262419</v>
      </c>
      <c r="BP99" s="19" t="n">
        <f aca="false">BO103</f>
        <v>22520.3326312299</v>
      </c>
      <c r="BQ99" s="19" t="n">
        <f aca="false">BP103</f>
        <v>21396.9106287802</v>
      </c>
      <c r="BR99" s="19" t="n">
        <f aca="false">BQ103</f>
        <v>20259.4458512999</v>
      </c>
      <c r="BS99" s="19" t="n">
        <f aca="false">BR103</f>
        <v>19107.762764101</v>
      </c>
      <c r="BT99" s="19" t="n">
        <f aca="false">BS103</f>
        <v>17941.6836383122</v>
      </c>
      <c r="BU99" s="19" t="n">
        <f aca="false">BT103</f>
        <v>16761.0285234511</v>
      </c>
      <c r="BV99" s="19" t="n">
        <f aca="false">BU103</f>
        <v>15565.6152196541</v>
      </c>
      <c r="BW99" s="19" t="n">
        <f aca="false">BV103</f>
        <v>14355.2592495597</v>
      </c>
      <c r="BX99" s="19" t="n">
        <f aca="false">BW103</f>
        <v>13129.7738298392</v>
      </c>
      <c r="BY99" s="19" t="n">
        <f aca="false">BX103</f>
        <v>11888.9698423721</v>
      </c>
      <c r="BZ99" s="19" t="n">
        <f aca="false">BY103</f>
        <v>10632.6558050617</v>
      </c>
      <c r="CA99" s="19" t="n">
        <f aca="false">BZ103</f>
        <v>9360.63784228485</v>
      </c>
      <c r="CB99" s="19" t="n">
        <f aca="false">CA103</f>
        <v>8072.71965497334</v>
      </c>
      <c r="CC99" s="19" t="n">
        <f aca="false">CB103</f>
        <v>6768.70249032044</v>
      </c>
      <c r="CD99" s="19" t="n">
        <f aca="false">CC103</f>
        <v>5448.38511110937</v>
      </c>
      <c r="CE99" s="19" t="n">
        <f aca="false">CD103</f>
        <v>4111.56376465816</v>
      </c>
      <c r="CF99" s="19" t="n">
        <f aca="false">CE103</f>
        <v>2758.03215137632</v>
      </c>
      <c r="CG99" s="19" t="n">
        <f aca="false">CF103</f>
        <v>1387.58139292845</v>
      </c>
      <c r="CH99" s="19" t="n">
        <f aca="false">CG103</f>
        <v>0</v>
      </c>
      <c r="CI99" s="19" t="n">
        <f aca="false">CH103</f>
        <v>0</v>
      </c>
      <c r="CJ99" s="19" t="n">
        <f aca="false">CI103</f>
        <v>0</v>
      </c>
      <c r="CK99" s="19" t="n">
        <f aca="false">CJ103</f>
        <v>0</v>
      </c>
      <c r="CL99" s="19" t="n">
        <f aca="false">CK103</f>
        <v>0</v>
      </c>
      <c r="CM99" s="19" t="n">
        <f aca="false">CL103</f>
        <v>0</v>
      </c>
      <c r="CN99" s="19" t="n">
        <f aca="false">CM103</f>
        <v>0</v>
      </c>
      <c r="CO99" s="19" t="n">
        <f aca="false">CN103</f>
        <v>0</v>
      </c>
      <c r="CP99" s="19" t="n">
        <f aca="false">CO103</f>
        <v>0</v>
      </c>
      <c r="CQ99" s="19" t="n">
        <f aca="false">CP103</f>
        <v>0</v>
      </c>
      <c r="CR99" s="19" t="n">
        <f aca="false">CQ103</f>
        <v>0</v>
      </c>
      <c r="CS99" s="19" t="n">
        <f aca="false">CR103</f>
        <v>0</v>
      </c>
      <c r="CT99" s="19" t="n">
        <f aca="false">CS103</f>
        <v>0</v>
      </c>
      <c r="CU99" s="19" t="n">
        <f aca="false">CT103</f>
        <v>0</v>
      </c>
      <c r="CV99" s="19" t="n">
        <f aca="false">CU103</f>
        <v>0</v>
      </c>
      <c r="CW99" s="19" t="n">
        <f aca="false">CV103</f>
        <v>0</v>
      </c>
      <c r="CX99" s="19" t="n">
        <f aca="false">CW103</f>
        <v>0</v>
      </c>
      <c r="CY99" s="19" t="n">
        <f aca="false">CX103</f>
        <v>0</v>
      </c>
      <c r="CZ99" s="19" t="n">
        <f aca="false">CY103</f>
        <v>0</v>
      </c>
      <c r="DA99" s="19" t="n">
        <f aca="false">CZ103</f>
        <v>0</v>
      </c>
      <c r="DB99" s="19" t="n">
        <f aca="false">DA103</f>
        <v>0</v>
      </c>
      <c r="DC99" s="19" t="n">
        <f aca="false">DB103</f>
        <v>0</v>
      </c>
      <c r="DD99" s="19" t="n">
        <f aca="false">DC103</f>
        <v>0</v>
      </c>
      <c r="DE99" s="19" t="n">
        <f aca="false">DD103</f>
        <v>0</v>
      </c>
      <c r="DF99" s="19" t="n">
        <f aca="false">DE103</f>
        <v>0</v>
      </c>
      <c r="DG99" s="19" t="n">
        <f aca="false">DF103</f>
        <v>0</v>
      </c>
      <c r="DH99" s="19" t="n">
        <f aca="false">DG103</f>
        <v>0</v>
      </c>
      <c r="DI99" s="19" t="n">
        <f aca="false">DH103</f>
        <v>0</v>
      </c>
      <c r="DJ99" s="19" t="n">
        <f aca="false">DI103</f>
        <v>0</v>
      </c>
      <c r="DK99" s="19" t="n">
        <f aca="false">DJ103</f>
        <v>0</v>
      </c>
      <c r="DL99" s="19" t="n">
        <f aca="false">DK103</f>
        <v>0</v>
      </c>
      <c r="DM99" s="19" t="n">
        <f aca="false">DL103</f>
        <v>0</v>
      </c>
      <c r="DN99" s="19" t="n">
        <f aca="false">DM103</f>
        <v>0</v>
      </c>
      <c r="DO99" s="19" t="n">
        <f aca="false">DN103</f>
        <v>0</v>
      </c>
      <c r="DP99" s="19" t="n">
        <f aca="false">DO103</f>
        <v>0</v>
      </c>
      <c r="DQ99" s="19" t="n">
        <f aca="false">DP103</f>
        <v>0</v>
      </c>
      <c r="DR99" s="19" t="n">
        <f aca="false">DQ103</f>
        <v>0</v>
      </c>
      <c r="DS99" s="19" t="n">
        <f aca="false">DR103</f>
        <v>0</v>
      </c>
      <c r="DT99" s="19" t="n">
        <f aca="false">DS103</f>
        <v>0</v>
      </c>
      <c r="DU99" s="19" t="n">
        <f aca="false">DT103</f>
        <v>0</v>
      </c>
      <c r="DV99" s="19" t="n">
        <f aca="false">DU103</f>
        <v>0</v>
      </c>
      <c r="DW99" s="19" t="n">
        <f aca="false">DV103</f>
        <v>0</v>
      </c>
      <c r="DX99" s="19" t="n">
        <f aca="false">DW103</f>
        <v>0</v>
      </c>
      <c r="DY99" s="19" t="n">
        <f aca="false">DX103</f>
        <v>0</v>
      </c>
      <c r="DZ99" s="19" t="n">
        <f aca="false">DY103</f>
        <v>0</v>
      </c>
      <c r="EA99" s="19" t="n">
        <f aca="false">DZ103</f>
        <v>0</v>
      </c>
      <c r="EB99" s="19" t="n">
        <f aca="false">EA103</f>
        <v>0</v>
      </c>
      <c r="EC99" s="19" t="n">
        <f aca="false">EB103</f>
        <v>0</v>
      </c>
      <c r="ED99" s="19" t="n">
        <f aca="false">EC103</f>
        <v>0</v>
      </c>
      <c r="EE99" s="19" t="n">
        <f aca="false">ED103</f>
        <v>0</v>
      </c>
      <c r="EF99" s="19" t="n">
        <f aca="false">EE103</f>
        <v>0</v>
      </c>
      <c r="EG99" s="19" t="n">
        <f aca="false">EF103</f>
        <v>0</v>
      </c>
      <c r="EH99" s="19" t="n">
        <f aca="false">EG103</f>
        <v>0</v>
      </c>
      <c r="EI99" s="19" t="n">
        <f aca="false">EH103</f>
        <v>0</v>
      </c>
      <c r="EJ99" s="19" t="n">
        <f aca="false">EI103</f>
        <v>0</v>
      </c>
      <c r="EK99" s="19" t="n">
        <f aca="false">EJ103</f>
        <v>0</v>
      </c>
      <c r="EL99" s="19" t="n">
        <f aca="false">EK103</f>
        <v>0</v>
      </c>
      <c r="EM99" s="19" t="n">
        <f aca="false">EL103</f>
        <v>0</v>
      </c>
      <c r="EN99" s="19" t="n">
        <f aca="false">EM103</f>
        <v>0</v>
      </c>
      <c r="EO99" s="19" t="n">
        <f aca="false">EN103</f>
        <v>0</v>
      </c>
    </row>
    <row r="100" customFormat="false" ht="15" hidden="false" customHeight="false" outlineLevel="0" collapsed="false">
      <c r="C100" s="1" t="s">
        <v>498</v>
      </c>
      <c r="D100" s="12" t="s">
        <v>33</v>
      </c>
      <c r="I100" s="49" t="n">
        <f aca="false">SUM(J100:EO100)</f>
        <v>56440.2152328767</v>
      </c>
      <c r="J100" s="49" t="n">
        <f aca="false">-$E90*J70</f>
        <v>0</v>
      </c>
      <c r="K100" s="49" t="n">
        <f aca="false">-$E90*K70</f>
        <v>0</v>
      </c>
      <c r="L100" s="49" t="n">
        <f aca="false">-$E90*L70</f>
        <v>0</v>
      </c>
      <c r="M100" s="49" t="n">
        <f aca="false">-$E90*M70</f>
        <v>0</v>
      </c>
      <c r="N100" s="49" t="n">
        <f aca="false">-$E90*N70</f>
        <v>0</v>
      </c>
      <c r="O100" s="49" t="n">
        <f aca="false">-$E90*O70</f>
        <v>0</v>
      </c>
      <c r="P100" s="49" t="n">
        <f aca="false">-$E90*P70</f>
        <v>0</v>
      </c>
      <c r="Q100" s="49" t="n">
        <f aca="false">-$E90*Q70</f>
        <v>0</v>
      </c>
      <c r="R100" s="49" t="n">
        <f aca="false">-$E90*R70</f>
        <v>6374.47363013699</v>
      </c>
      <c r="S100" s="49" t="n">
        <f aca="false">-$E90*S70</f>
        <v>10721.0508493151</v>
      </c>
      <c r="T100" s="49" t="n">
        <f aca="false">-$E90*T70</f>
        <v>6305.18587328767</v>
      </c>
      <c r="U100" s="49" t="n">
        <f aca="false">-$E90*U70</f>
        <v>6374.47363013699</v>
      </c>
      <c r="V100" s="49" t="n">
        <f aca="false">-$E90*V70</f>
        <v>6374.47363013699</v>
      </c>
      <c r="W100" s="49" t="n">
        <f aca="false">-$E90*W70</f>
        <v>6235.89811643836</v>
      </c>
      <c r="X100" s="49" t="n">
        <f aca="false">-$E90*X70</f>
        <v>6305.18587328767</v>
      </c>
      <c r="Y100" s="49" t="n">
        <f aca="false">-$E90*Y70</f>
        <v>7749.47363013699</v>
      </c>
      <c r="Z100" s="49" t="n">
        <f aca="false">-$E90*Z70</f>
        <v>0</v>
      </c>
      <c r="AA100" s="49" t="n">
        <f aca="false">-$E90*AA70</f>
        <v>0</v>
      </c>
      <c r="AB100" s="49" t="n">
        <f aca="false">-$E90*AB70</f>
        <v>0</v>
      </c>
      <c r="AC100" s="49" t="n">
        <f aca="false">-$E90*AC70</f>
        <v>0</v>
      </c>
      <c r="AD100" s="49" t="n">
        <f aca="false">-$E90*AD70</f>
        <v>0</v>
      </c>
      <c r="AE100" s="49" t="n">
        <f aca="false">-$E90*AE70</f>
        <v>0</v>
      </c>
      <c r="AF100" s="49" t="n">
        <f aca="false">-$E90*AF70</f>
        <v>0</v>
      </c>
      <c r="AG100" s="49" t="n">
        <f aca="false">-$E90*AG70</f>
        <v>0</v>
      </c>
      <c r="AH100" s="49" t="n">
        <f aca="false">-$E90*AH70</f>
        <v>0</v>
      </c>
      <c r="AI100" s="49" t="n">
        <f aca="false">-$E90*AI70</f>
        <v>0</v>
      </c>
      <c r="AJ100" s="49" t="n">
        <f aca="false">-$E90*AJ70</f>
        <v>0</v>
      </c>
      <c r="AK100" s="49" t="n">
        <f aca="false">-$E90*AK70</f>
        <v>0</v>
      </c>
      <c r="AL100" s="49" t="n">
        <f aca="false">-$E90*AL70</f>
        <v>0</v>
      </c>
      <c r="AM100" s="49" t="n">
        <f aca="false">-$E90*AM70</f>
        <v>0</v>
      </c>
      <c r="AN100" s="49" t="n">
        <f aca="false">-$E90*AN70</f>
        <v>0</v>
      </c>
      <c r="AO100" s="49" t="n">
        <f aca="false">-$E90*AO70</f>
        <v>0</v>
      </c>
      <c r="AP100" s="49" t="n">
        <f aca="false">-$E90*AP70</f>
        <v>0</v>
      </c>
      <c r="AQ100" s="49" t="n">
        <f aca="false">-$E90*AQ70</f>
        <v>0</v>
      </c>
      <c r="AR100" s="49" t="n">
        <f aca="false">-$E90*AR70</f>
        <v>0</v>
      </c>
      <c r="AS100" s="49" t="n">
        <f aca="false">-$E90*AS70</f>
        <v>0</v>
      </c>
      <c r="AT100" s="49" t="n">
        <f aca="false">-$E90*AT70</f>
        <v>0</v>
      </c>
      <c r="AU100" s="49" t="n">
        <f aca="false">-$E90*AU70</f>
        <v>0</v>
      </c>
      <c r="AV100" s="49" t="n">
        <f aca="false">-$E90*AV70</f>
        <v>0</v>
      </c>
      <c r="AW100" s="49" t="n">
        <f aca="false">-$E90*AW70</f>
        <v>0</v>
      </c>
      <c r="AX100" s="49" t="n">
        <f aca="false">-$E90*AX70</f>
        <v>0</v>
      </c>
      <c r="AY100" s="49" t="n">
        <f aca="false">-$E90*AY70</f>
        <v>0</v>
      </c>
      <c r="AZ100" s="49" t="n">
        <f aca="false">-$E90*AZ70</f>
        <v>0</v>
      </c>
      <c r="BA100" s="49" t="n">
        <f aca="false">-$E90*BA70</f>
        <v>0</v>
      </c>
      <c r="BB100" s="49" t="n">
        <f aca="false">-$E90*BB70</f>
        <v>0</v>
      </c>
      <c r="BC100" s="49" t="n">
        <f aca="false">-$E90*BC70</f>
        <v>0</v>
      </c>
      <c r="BD100" s="49" t="n">
        <f aca="false">-$E90*BD70</f>
        <v>0</v>
      </c>
      <c r="BE100" s="49" t="n">
        <f aca="false">-$E90*BE70</f>
        <v>0</v>
      </c>
      <c r="BF100" s="49" t="n">
        <f aca="false">-$E90*BF70</f>
        <v>0</v>
      </c>
      <c r="BG100" s="49" t="n">
        <f aca="false">-$E90*BG70</f>
        <v>0</v>
      </c>
      <c r="BH100" s="49" t="n">
        <f aca="false">-$E90*BH70</f>
        <v>0</v>
      </c>
      <c r="BI100" s="49" t="n">
        <f aca="false">-$E90*BI70</f>
        <v>0</v>
      </c>
      <c r="BJ100" s="49" t="n">
        <f aca="false">-$E90*BJ70</f>
        <v>0</v>
      </c>
      <c r="BK100" s="49" t="n">
        <f aca="false">-$E90*BK70</f>
        <v>0</v>
      </c>
      <c r="BL100" s="49" t="n">
        <f aca="false">-$E90*BL70</f>
        <v>0</v>
      </c>
      <c r="BM100" s="49" t="n">
        <f aca="false">-$E90*BM70</f>
        <v>0</v>
      </c>
      <c r="BN100" s="49" t="n">
        <f aca="false">-$E90*BN70</f>
        <v>0</v>
      </c>
      <c r="BO100" s="49" t="n">
        <f aca="false">-$E90*BO70</f>
        <v>0</v>
      </c>
      <c r="BP100" s="49" t="n">
        <f aca="false">-$E90*BP70</f>
        <v>0</v>
      </c>
      <c r="BQ100" s="49" t="n">
        <f aca="false">-$E90*BQ70</f>
        <v>0</v>
      </c>
      <c r="BR100" s="49" t="n">
        <f aca="false">-$E90*BR70</f>
        <v>0</v>
      </c>
      <c r="BS100" s="49" t="n">
        <f aca="false">-$E90*BS70</f>
        <v>0</v>
      </c>
      <c r="BT100" s="49" t="n">
        <f aca="false">-$E90*BT70</f>
        <v>0</v>
      </c>
      <c r="BU100" s="49" t="n">
        <f aca="false">-$E90*BU70</f>
        <v>0</v>
      </c>
      <c r="BV100" s="49" t="n">
        <f aca="false">-$E90*BV70</f>
        <v>0</v>
      </c>
      <c r="BW100" s="49" t="n">
        <f aca="false">-$E90*BW70</f>
        <v>0</v>
      </c>
      <c r="BX100" s="49" t="n">
        <f aca="false">-$E90*BX70</f>
        <v>0</v>
      </c>
      <c r="BY100" s="49" t="n">
        <f aca="false">-$E90*BY70</f>
        <v>0</v>
      </c>
      <c r="BZ100" s="49" t="n">
        <f aca="false">-$E90*BZ70</f>
        <v>0</v>
      </c>
      <c r="CA100" s="49" t="n">
        <f aca="false">-$E90*CA70</f>
        <v>0</v>
      </c>
      <c r="CB100" s="49" t="n">
        <f aca="false">-$E90*CB70</f>
        <v>0</v>
      </c>
      <c r="CC100" s="49" t="n">
        <f aca="false">-$E90*CC70</f>
        <v>0</v>
      </c>
      <c r="CD100" s="49" t="n">
        <f aca="false">-$E90*CD70</f>
        <v>0</v>
      </c>
      <c r="CE100" s="49" t="n">
        <f aca="false">-$E90*CE70</f>
        <v>0</v>
      </c>
      <c r="CF100" s="49" t="n">
        <f aca="false">-$E90*CF70</f>
        <v>0</v>
      </c>
      <c r="CG100" s="49" t="n">
        <f aca="false">-$E90*CG70</f>
        <v>0</v>
      </c>
      <c r="CH100" s="49" t="n">
        <f aca="false">-$E90*CH70</f>
        <v>0</v>
      </c>
      <c r="CI100" s="49" t="n">
        <f aca="false">-$E90*CI70</f>
        <v>0</v>
      </c>
      <c r="CJ100" s="49" t="n">
        <f aca="false">-$E90*CJ70</f>
        <v>0</v>
      </c>
      <c r="CK100" s="49" t="n">
        <f aca="false">-$E90*CK70</f>
        <v>0</v>
      </c>
      <c r="CL100" s="49" t="n">
        <f aca="false">-$E90*CL70</f>
        <v>0</v>
      </c>
      <c r="CM100" s="49" t="n">
        <f aca="false">-$E90*CM70</f>
        <v>0</v>
      </c>
      <c r="CN100" s="49" t="n">
        <f aca="false">-$E90*CN70</f>
        <v>0</v>
      </c>
      <c r="CO100" s="49" t="n">
        <f aca="false">-$E90*CO70</f>
        <v>0</v>
      </c>
      <c r="CP100" s="49" t="n">
        <f aca="false">-$E90*CP70</f>
        <v>0</v>
      </c>
      <c r="CQ100" s="49" t="n">
        <f aca="false">-$E90*CQ70</f>
        <v>0</v>
      </c>
      <c r="CR100" s="49" t="n">
        <f aca="false">-$E90*CR70</f>
        <v>0</v>
      </c>
      <c r="CS100" s="49" t="n">
        <f aca="false">-$E90*CS70</f>
        <v>0</v>
      </c>
      <c r="CT100" s="49" t="n">
        <f aca="false">-$E90*CT70</f>
        <v>0</v>
      </c>
      <c r="CU100" s="49" t="n">
        <f aca="false">-$E90*CU70</f>
        <v>0</v>
      </c>
      <c r="CV100" s="49" t="n">
        <f aca="false">-$E90*CV70</f>
        <v>0</v>
      </c>
      <c r="CW100" s="49" t="n">
        <f aca="false">-$E90*CW70</f>
        <v>0</v>
      </c>
      <c r="CX100" s="49" t="n">
        <f aca="false">-$E90*CX70</f>
        <v>0</v>
      </c>
      <c r="CY100" s="49" t="n">
        <f aca="false">-$E90*CY70</f>
        <v>0</v>
      </c>
      <c r="CZ100" s="49" t="n">
        <f aca="false">-$E90*CZ70</f>
        <v>0</v>
      </c>
      <c r="DA100" s="49" t="n">
        <f aca="false">-$E90*DA70</f>
        <v>0</v>
      </c>
      <c r="DB100" s="49" t="n">
        <f aca="false">-$E90*DB70</f>
        <v>0</v>
      </c>
      <c r="DC100" s="49" t="n">
        <f aca="false">-$E90*DC70</f>
        <v>0</v>
      </c>
      <c r="DD100" s="49" t="n">
        <f aca="false">-$E90*DD70</f>
        <v>0</v>
      </c>
      <c r="DE100" s="49" t="n">
        <f aca="false">-$E90*DE70</f>
        <v>0</v>
      </c>
      <c r="DF100" s="49" t="n">
        <f aca="false">-$E90*DF70</f>
        <v>0</v>
      </c>
      <c r="DG100" s="49" t="n">
        <f aca="false">-$E90*DG70</f>
        <v>0</v>
      </c>
      <c r="DH100" s="49" t="n">
        <f aca="false">-$E90*DH70</f>
        <v>0</v>
      </c>
      <c r="DI100" s="49" t="n">
        <f aca="false">-$E90*DI70</f>
        <v>0</v>
      </c>
      <c r="DJ100" s="49" t="n">
        <f aca="false">-$E90*DJ70</f>
        <v>0</v>
      </c>
      <c r="DK100" s="49" t="n">
        <f aca="false">-$E90*DK70</f>
        <v>0</v>
      </c>
      <c r="DL100" s="49" t="n">
        <f aca="false">-$E90*DL70</f>
        <v>0</v>
      </c>
      <c r="DM100" s="49" t="n">
        <f aca="false">-$E90*DM70</f>
        <v>0</v>
      </c>
      <c r="DN100" s="49" t="n">
        <f aca="false">-$E90*DN70</f>
        <v>0</v>
      </c>
      <c r="DO100" s="49" t="n">
        <f aca="false">-$E90*DO70</f>
        <v>0</v>
      </c>
      <c r="DP100" s="49" t="n">
        <f aca="false">-$E90*DP70</f>
        <v>0</v>
      </c>
      <c r="DQ100" s="49" t="n">
        <f aca="false">-$E90*DQ70</f>
        <v>0</v>
      </c>
      <c r="DR100" s="49" t="n">
        <f aca="false">-$E90*DR70</f>
        <v>0</v>
      </c>
      <c r="DS100" s="49" t="n">
        <f aca="false">-$E90*DS70</f>
        <v>0</v>
      </c>
      <c r="DT100" s="49" t="n">
        <f aca="false">-$E90*DT70</f>
        <v>0</v>
      </c>
      <c r="DU100" s="49" t="n">
        <f aca="false">-$E90*DU70</f>
        <v>0</v>
      </c>
      <c r="DV100" s="49" t="n">
        <f aca="false">-$E90*DV70</f>
        <v>0</v>
      </c>
      <c r="DW100" s="49" t="n">
        <f aca="false">-$E90*DW70</f>
        <v>0</v>
      </c>
      <c r="DX100" s="49" t="n">
        <f aca="false">-$E90*DX70</f>
        <v>0</v>
      </c>
      <c r="DY100" s="49" t="n">
        <f aca="false">-$E90*DY70</f>
        <v>0</v>
      </c>
      <c r="DZ100" s="49" t="n">
        <f aca="false">-$E90*DZ70</f>
        <v>0</v>
      </c>
      <c r="EA100" s="49" t="n">
        <f aca="false">-$E90*EA70</f>
        <v>0</v>
      </c>
      <c r="EB100" s="49" t="n">
        <f aca="false">-$E90*EB70</f>
        <v>0</v>
      </c>
      <c r="EC100" s="49" t="n">
        <f aca="false">-$E90*EC70</f>
        <v>0</v>
      </c>
      <c r="ED100" s="49" t="n">
        <f aca="false">-$E90*ED70</f>
        <v>0</v>
      </c>
      <c r="EE100" s="49" t="n">
        <f aca="false">-$E90*EE70</f>
        <v>0</v>
      </c>
      <c r="EF100" s="49" t="n">
        <f aca="false">-$E90*EF70</f>
        <v>0</v>
      </c>
      <c r="EG100" s="49" t="n">
        <f aca="false">-$E90*EG70</f>
        <v>0</v>
      </c>
      <c r="EH100" s="49" t="n">
        <f aca="false">-$E90*EH70</f>
        <v>0</v>
      </c>
      <c r="EI100" s="49" t="n">
        <f aca="false">-$E90*EI70</f>
        <v>0</v>
      </c>
      <c r="EJ100" s="49" t="n">
        <f aca="false">-$E90*EJ70</f>
        <v>0</v>
      </c>
      <c r="EK100" s="49" t="n">
        <f aca="false">-$E90*EK70</f>
        <v>0</v>
      </c>
      <c r="EL100" s="49" t="n">
        <f aca="false">-$E90*EL70</f>
        <v>0</v>
      </c>
      <c r="EM100" s="49" t="n">
        <f aca="false">-$E90*EM70</f>
        <v>0</v>
      </c>
      <c r="EN100" s="49" t="n">
        <f aca="false">-$E90*EN70</f>
        <v>0</v>
      </c>
      <c r="EO100" s="49" t="n">
        <f aca="false">-$E90*EO70</f>
        <v>0</v>
      </c>
    </row>
    <row r="101" customFormat="false" ht="15" hidden="false" customHeight="false" outlineLevel="0" collapsed="false">
      <c r="C101" s="1" t="s">
        <v>499</v>
      </c>
      <c r="D101" s="12" t="s">
        <v>33</v>
      </c>
      <c r="I101" s="49" t="n">
        <f aca="false">SUM(J101:EO101)</f>
        <v>2615.28241844522</v>
      </c>
      <c r="J101" s="49" t="n">
        <f aca="false">J99*$F22*(J$4&lt;=In_COD)</f>
        <v>0</v>
      </c>
      <c r="K101" s="49" t="n">
        <f aca="false">K99*$F22*(K$4&lt;=In_COD)</f>
        <v>0</v>
      </c>
      <c r="L101" s="49" t="n">
        <f aca="false">L99*$F22*(L$4&lt;=In_COD)</f>
        <v>0</v>
      </c>
      <c r="M101" s="49" t="n">
        <f aca="false">M99*$F22*(M$4&lt;=In_COD)</f>
        <v>0</v>
      </c>
      <c r="N101" s="49" t="n">
        <f aca="false">N99*$F22*(N$4&lt;=In_COD)</f>
        <v>0</v>
      </c>
      <c r="O101" s="49" t="n">
        <f aca="false">O99*$F22*(O$4&lt;=In_COD)</f>
        <v>0</v>
      </c>
      <c r="P101" s="49" t="n">
        <f aca="false">P99*$F22*(P$4&lt;=In_COD)</f>
        <v>0</v>
      </c>
      <c r="Q101" s="49" t="n">
        <f aca="false">Q99*$F22*(Q$4&lt;=In_COD)</f>
        <v>0</v>
      </c>
      <c r="R101" s="49" t="n">
        <f aca="false">R99*$F22*(R$4&lt;=In_COD)</f>
        <v>0</v>
      </c>
      <c r="S101" s="49" t="n">
        <f aca="false">S99*$F22*(S$4&lt;=In_COD)</f>
        <v>79.6809203767124</v>
      </c>
      <c r="T101" s="49" t="n">
        <f aca="false">T99*$F22*(T$4&lt;=In_COD)</f>
        <v>214.69006749786</v>
      </c>
      <c r="U101" s="49" t="n">
        <f aca="false">U99*$F22*(U$4&lt;=In_COD)</f>
        <v>296.188516757679</v>
      </c>
      <c r="V101" s="49" t="n">
        <f aca="false">V99*$F22*(V$4&lt;=In_COD)</f>
        <v>379.571793593862</v>
      </c>
      <c r="W101" s="49" t="n">
        <f aca="false">W99*$F22*(W$4&lt;=In_COD)</f>
        <v>463.997361390498</v>
      </c>
      <c r="X101" s="49" t="n">
        <f aca="false">X99*$F22*(X$4&lt;=In_COD)</f>
        <v>547.746054863359</v>
      </c>
      <c r="Y101" s="49" t="n">
        <f aca="false">Y99*$F22*(Y$4&lt;=In_COD)</f>
        <v>633.407703965247</v>
      </c>
      <c r="Z101" s="49" t="n">
        <f aca="false">Z99*$F22*(Z$4&lt;=In_COD)</f>
        <v>0</v>
      </c>
      <c r="AA101" s="49" t="n">
        <f aca="false">AA99*$F22*(AA$4&lt;=In_COD)</f>
        <v>0</v>
      </c>
      <c r="AB101" s="49" t="n">
        <f aca="false">AB99*$F22*(AB$4&lt;=In_COD)</f>
        <v>0</v>
      </c>
      <c r="AC101" s="49" t="n">
        <f aca="false">AC99*$F22*(AC$4&lt;=In_COD)</f>
        <v>0</v>
      </c>
      <c r="AD101" s="49" t="n">
        <f aca="false">AD99*$F22*(AD$4&lt;=In_COD)</f>
        <v>0</v>
      </c>
      <c r="AE101" s="49" t="n">
        <f aca="false">AE99*$F22*(AE$4&lt;=In_COD)</f>
        <v>0</v>
      </c>
      <c r="AF101" s="49" t="n">
        <f aca="false">AF99*$F22*(AF$4&lt;=In_COD)</f>
        <v>0</v>
      </c>
      <c r="AG101" s="49" t="n">
        <f aca="false">AG99*$F22*(AG$4&lt;=In_COD)</f>
        <v>0</v>
      </c>
      <c r="AH101" s="49" t="n">
        <f aca="false">AH99*$F22*(AH$4&lt;=In_COD)</f>
        <v>0</v>
      </c>
      <c r="AI101" s="49" t="n">
        <f aca="false">AI99*$F22*(AI$4&lt;=In_COD)</f>
        <v>0</v>
      </c>
      <c r="AJ101" s="49" t="n">
        <f aca="false">AJ99*$F22*(AJ$4&lt;=In_COD)</f>
        <v>0</v>
      </c>
      <c r="AK101" s="49" t="n">
        <f aca="false">AK99*$F22*(AK$4&lt;=In_COD)</f>
        <v>0</v>
      </c>
      <c r="AL101" s="49" t="n">
        <f aca="false">AL99*$F22*(AL$4&lt;=In_COD)</f>
        <v>0</v>
      </c>
      <c r="AM101" s="49" t="n">
        <f aca="false">AM99*$F22*(AM$4&lt;=In_COD)</f>
        <v>0</v>
      </c>
      <c r="AN101" s="49" t="n">
        <f aca="false">AN99*$F22*(AN$4&lt;=In_COD)</f>
        <v>0</v>
      </c>
      <c r="AO101" s="49" t="n">
        <f aca="false">AO99*$F22*(AO$4&lt;=In_COD)</f>
        <v>0</v>
      </c>
      <c r="AP101" s="49" t="n">
        <f aca="false">AP99*$F22*(AP$4&lt;=In_COD)</f>
        <v>0</v>
      </c>
      <c r="AQ101" s="49" t="n">
        <f aca="false">AQ99*$F22*(AQ$4&lt;=In_COD)</f>
        <v>0</v>
      </c>
      <c r="AR101" s="49" t="n">
        <f aca="false">AR99*$F22*(AR$4&lt;=In_COD)</f>
        <v>0</v>
      </c>
      <c r="AS101" s="49" t="n">
        <f aca="false">AS99*$F22*(AS$4&lt;=In_COD)</f>
        <v>0</v>
      </c>
      <c r="AT101" s="49" t="n">
        <f aca="false">AT99*$F22*(AT$4&lt;=In_COD)</f>
        <v>0</v>
      </c>
      <c r="AU101" s="49" t="n">
        <f aca="false">AU99*$F22*(AU$4&lt;=In_COD)</f>
        <v>0</v>
      </c>
      <c r="AV101" s="49" t="n">
        <f aca="false">AV99*$F22*(AV$4&lt;=In_COD)</f>
        <v>0</v>
      </c>
      <c r="AW101" s="49" t="n">
        <f aca="false">AW99*$F22*(AW$4&lt;=In_COD)</f>
        <v>0</v>
      </c>
      <c r="AX101" s="49" t="n">
        <f aca="false">AX99*$F22*(AX$4&lt;=In_COD)</f>
        <v>0</v>
      </c>
      <c r="AY101" s="49" t="n">
        <f aca="false">AY99*$F22*(AY$4&lt;=In_COD)</f>
        <v>0</v>
      </c>
      <c r="AZ101" s="49" t="n">
        <f aca="false">AZ99*$F22*(AZ$4&lt;=In_COD)</f>
        <v>0</v>
      </c>
      <c r="BA101" s="49" t="n">
        <f aca="false">BA99*$F22*(BA$4&lt;=In_COD)</f>
        <v>0</v>
      </c>
      <c r="BB101" s="49" t="n">
        <f aca="false">BB99*$F22*(BB$4&lt;=In_COD)</f>
        <v>0</v>
      </c>
      <c r="BC101" s="49" t="n">
        <f aca="false">BC99*$F22*(BC$4&lt;=In_COD)</f>
        <v>0</v>
      </c>
      <c r="BD101" s="49" t="n">
        <f aca="false">BD99*$F22*(BD$4&lt;=In_COD)</f>
        <v>0</v>
      </c>
      <c r="BE101" s="49" t="n">
        <f aca="false">BE99*$F22*(BE$4&lt;=In_COD)</f>
        <v>0</v>
      </c>
      <c r="BF101" s="49" t="n">
        <f aca="false">BF99*$F22*(BF$4&lt;=In_COD)</f>
        <v>0</v>
      </c>
      <c r="BG101" s="49" t="n">
        <f aca="false">BG99*$F22*(BG$4&lt;=In_COD)</f>
        <v>0</v>
      </c>
      <c r="BH101" s="49" t="n">
        <f aca="false">BH99*$F22*(BH$4&lt;=In_COD)</f>
        <v>0</v>
      </c>
      <c r="BI101" s="49" t="n">
        <f aca="false">BI99*$F22*(BI$4&lt;=In_COD)</f>
        <v>0</v>
      </c>
      <c r="BJ101" s="49" t="n">
        <f aca="false">BJ99*$F22*(BJ$4&lt;=In_COD)</f>
        <v>0</v>
      </c>
      <c r="BK101" s="49" t="n">
        <f aca="false">BK99*$F22*(BK$4&lt;=In_COD)</f>
        <v>0</v>
      </c>
      <c r="BL101" s="49" t="n">
        <f aca="false">BL99*$F22*(BL$4&lt;=In_COD)</f>
        <v>0</v>
      </c>
      <c r="BM101" s="49" t="n">
        <f aca="false">BM99*$F22*(BM$4&lt;=In_COD)</f>
        <v>0</v>
      </c>
      <c r="BN101" s="49" t="n">
        <f aca="false">BN99*$F22*(BN$4&lt;=In_COD)</f>
        <v>0</v>
      </c>
      <c r="BO101" s="49" t="n">
        <f aca="false">BO99*$F22*(BO$4&lt;=In_COD)</f>
        <v>0</v>
      </c>
      <c r="BP101" s="49" t="n">
        <f aca="false">BP99*$F22*(BP$4&lt;=In_COD)</f>
        <v>0</v>
      </c>
      <c r="BQ101" s="49" t="n">
        <f aca="false">BQ99*$F22*(BQ$4&lt;=In_COD)</f>
        <v>0</v>
      </c>
      <c r="BR101" s="49" t="n">
        <f aca="false">BR99*$F22*(BR$4&lt;=In_COD)</f>
        <v>0</v>
      </c>
      <c r="BS101" s="49" t="n">
        <f aca="false">BS99*$F22*(BS$4&lt;=In_COD)</f>
        <v>0</v>
      </c>
      <c r="BT101" s="49" t="n">
        <f aca="false">BT99*$F22*(BT$4&lt;=In_COD)</f>
        <v>0</v>
      </c>
      <c r="BU101" s="49" t="n">
        <f aca="false">BU99*$F22*(BU$4&lt;=In_COD)</f>
        <v>0</v>
      </c>
      <c r="BV101" s="49" t="n">
        <f aca="false">BV99*$F22*(BV$4&lt;=In_COD)</f>
        <v>0</v>
      </c>
      <c r="BW101" s="49" t="n">
        <f aca="false">BW99*$F22*(BW$4&lt;=In_COD)</f>
        <v>0</v>
      </c>
      <c r="BX101" s="49" t="n">
        <f aca="false">BX99*$F22*(BX$4&lt;=In_COD)</f>
        <v>0</v>
      </c>
      <c r="BY101" s="49" t="n">
        <f aca="false">BY99*$F22*(BY$4&lt;=In_COD)</f>
        <v>0</v>
      </c>
      <c r="BZ101" s="49" t="n">
        <f aca="false">BZ99*$F22*(BZ$4&lt;=In_COD)</f>
        <v>0</v>
      </c>
      <c r="CA101" s="49" t="n">
        <f aca="false">CA99*$F22*(CA$4&lt;=In_COD)</f>
        <v>0</v>
      </c>
      <c r="CB101" s="49" t="n">
        <f aca="false">CB99*$F22*(CB$4&lt;=In_COD)</f>
        <v>0</v>
      </c>
      <c r="CC101" s="49" t="n">
        <f aca="false">CC99*$F22*(CC$4&lt;=In_COD)</f>
        <v>0</v>
      </c>
      <c r="CD101" s="49" t="n">
        <f aca="false">CD99*$F22*(CD$4&lt;=In_COD)</f>
        <v>0</v>
      </c>
      <c r="CE101" s="49" t="n">
        <f aca="false">CE99*$F22*(CE$4&lt;=In_COD)</f>
        <v>0</v>
      </c>
      <c r="CF101" s="49" t="n">
        <f aca="false">CF99*$F22*(CF$4&lt;=In_COD)</f>
        <v>0</v>
      </c>
      <c r="CG101" s="49" t="n">
        <f aca="false">CG99*$F22*(CG$4&lt;=In_COD)</f>
        <v>0</v>
      </c>
      <c r="CH101" s="49" t="n">
        <f aca="false">CH99*$F22*(CH$4&lt;=In_COD)</f>
        <v>0</v>
      </c>
      <c r="CI101" s="49" t="n">
        <f aca="false">CI99*$F22*(CI$4&lt;=In_COD)</f>
        <v>0</v>
      </c>
      <c r="CJ101" s="49" t="n">
        <f aca="false">CJ99*$F22*(CJ$4&lt;=In_COD)</f>
        <v>0</v>
      </c>
      <c r="CK101" s="49" t="n">
        <f aca="false">CK99*$F22*(CK$4&lt;=In_COD)</f>
        <v>0</v>
      </c>
      <c r="CL101" s="49" t="n">
        <f aca="false">CL99*$F22*(CL$4&lt;=In_COD)</f>
        <v>0</v>
      </c>
      <c r="CM101" s="49" t="n">
        <f aca="false">CM99*$F22*(CM$4&lt;=In_COD)</f>
        <v>0</v>
      </c>
      <c r="CN101" s="49" t="n">
        <f aca="false">CN99*$F22*(CN$4&lt;=In_COD)</f>
        <v>0</v>
      </c>
      <c r="CO101" s="49" t="n">
        <f aca="false">CO99*$F22*(CO$4&lt;=In_COD)</f>
        <v>0</v>
      </c>
      <c r="CP101" s="49" t="n">
        <f aca="false">CP99*$F22*(CP$4&lt;=In_COD)</f>
        <v>0</v>
      </c>
      <c r="CQ101" s="49" t="n">
        <f aca="false">CQ99*$F22*(CQ$4&lt;=In_COD)</f>
        <v>0</v>
      </c>
      <c r="CR101" s="49" t="n">
        <f aca="false">CR99*$F22*(CR$4&lt;=In_COD)</f>
        <v>0</v>
      </c>
      <c r="CS101" s="49" t="n">
        <f aca="false">CS99*$F22*(CS$4&lt;=In_COD)</f>
        <v>0</v>
      </c>
      <c r="CT101" s="49" t="n">
        <f aca="false">CT99*$F22*(CT$4&lt;=In_COD)</f>
        <v>0</v>
      </c>
      <c r="CU101" s="49" t="n">
        <f aca="false">CU99*$F22*(CU$4&lt;=In_COD)</f>
        <v>0</v>
      </c>
      <c r="CV101" s="49" t="n">
        <f aca="false">CV99*$F22*(CV$4&lt;=In_COD)</f>
        <v>0</v>
      </c>
      <c r="CW101" s="49" t="n">
        <f aca="false">CW99*$F22*(CW$4&lt;=In_COD)</f>
        <v>0</v>
      </c>
      <c r="CX101" s="49" t="n">
        <f aca="false">CX99*$F22*(CX$4&lt;=In_COD)</f>
        <v>0</v>
      </c>
      <c r="CY101" s="49" t="n">
        <f aca="false">CY99*$F22*(CY$4&lt;=In_COD)</f>
        <v>0</v>
      </c>
      <c r="CZ101" s="49" t="n">
        <f aca="false">CZ99*$F22*(CZ$4&lt;=In_COD)</f>
        <v>0</v>
      </c>
      <c r="DA101" s="49" t="n">
        <f aca="false">DA99*$F22*(DA$4&lt;=In_COD)</f>
        <v>0</v>
      </c>
      <c r="DB101" s="49" t="n">
        <f aca="false">DB99*$F22*(DB$4&lt;=In_COD)</f>
        <v>0</v>
      </c>
      <c r="DC101" s="49" t="n">
        <f aca="false">DC99*$F22*(DC$4&lt;=In_COD)</f>
        <v>0</v>
      </c>
      <c r="DD101" s="49" t="n">
        <f aca="false">DD99*$F22*(DD$4&lt;=In_COD)</f>
        <v>0</v>
      </c>
      <c r="DE101" s="49" t="n">
        <f aca="false">DE99*$F22*(DE$4&lt;=In_COD)</f>
        <v>0</v>
      </c>
      <c r="DF101" s="49" t="n">
        <f aca="false">DF99*$F22*(DF$4&lt;=In_COD)</f>
        <v>0</v>
      </c>
      <c r="DG101" s="49" t="n">
        <f aca="false">DG99*$F22*(DG$4&lt;=In_COD)</f>
        <v>0</v>
      </c>
      <c r="DH101" s="49" t="n">
        <f aca="false">DH99*$F22*(DH$4&lt;=In_COD)</f>
        <v>0</v>
      </c>
      <c r="DI101" s="49" t="n">
        <f aca="false">DI99*$F22*(DI$4&lt;=In_COD)</f>
        <v>0</v>
      </c>
      <c r="DJ101" s="49" t="n">
        <f aca="false">DJ99*$F22*(DJ$4&lt;=In_COD)</f>
        <v>0</v>
      </c>
      <c r="DK101" s="49" t="n">
        <f aca="false">DK99*$F22*(DK$4&lt;=In_COD)</f>
        <v>0</v>
      </c>
      <c r="DL101" s="49" t="n">
        <f aca="false">DL99*$F22*(DL$4&lt;=In_COD)</f>
        <v>0</v>
      </c>
      <c r="DM101" s="49" t="n">
        <f aca="false">DM99*$F22*(DM$4&lt;=In_COD)</f>
        <v>0</v>
      </c>
      <c r="DN101" s="49" t="n">
        <f aca="false">DN99*$F22*(DN$4&lt;=In_COD)</f>
        <v>0</v>
      </c>
      <c r="DO101" s="49" t="n">
        <f aca="false">DO99*$F22*(DO$4&lt;=In_COD)</f>
        <v>0</v>
      </c>
      <c r="DP101" s="49" t="n">
        <f aca="false">DP99*$F22*(DP$4&lt;=In_COD)</f>
        <v>0</v>
      </c>
      <c r="DQ101" s="49" t="n">
        <f aca="false">DQ99*$F22*(DQ$4&lt;=In_COD)</f>
        <v>0</v>
      </c>
      <c r="DR101" s="49" t="n">
        <f aca="false">DR99*$F22*(DR$4&lt;=In_COD)</f>
        <v>0</v>
      </c>
      <c r="DS101" s="49" t="n">
        <f aca="false">DS99*$F22*(DS$4&lt;=In_COD)</f>
        <v>0</v>
      </c>
      <c r="DT101" s="49" t="n">
        <f aca="false">DT99*$F22*(DT$4&lt;=In_COD)</f>
        <v>0</v>
      </c>
      <c r="DU101" s="49" t="n">
        <f aca="false">DU99*$F22*(DU$4&lt;=In_COD)</f>
        <v>0</v>
      </c>
      <c r="DV101" s="49" t="n">
        <f aca="false">DV99*$F22*(DV$4&lt;=In_COD)</f>
        <v>0</v>
      </c>
      <c r="DW101" s="49" t="n">
        <f aca="false">DW99*$F22*(DW$4&lt;=In_COD)</f>
        <v>0</v>
      </c>
      <c r="DX101" s="49" t="n">
        <f aca="false">DX99*$F22*(DX$4&lt;=In_COD)</f>
        <v>0</v>
      </c>
      <c r="DY101" s="49" t="n">
        <f aca="false">DY99*$F22*(DY$4&lt;=In_COD)</f>
        <v>0</v>
      </c>
      <c r="DZ101" s="49" t="n">
        <f aca="false">DZ99*$F22*(DZ$4&lt;=In_COD)</f>
        <v>0</v>
      </c>
      <c r="EA101" s="49" t="n">
        <f aca="false">EA99*$F22*(EA$4&lt;=In_COD)</f>
        <v>0</v>
      </c>
      <c r="EB101" s="49" t="n">
        <f aca="false">EB99*$F22*(EB$4&lt;=In_COD)</f>
        <v>0</v>
      </c>
      <c r="EC101" s="49" t="n">
        <f aca="false">EC99*$F22*(EC$4&lt;=In_COD)</f>
        <v>0</v>
      </c>
      <c r="ED101" s="49" t="n">
        <f aca="false">ED99*$F22*(ED$4&lt;=In_COD)</f>
        <v>0</v>
      </c>
      <c r="EE101" s="49" t="n">
        <f aca="false">EE99*$F22*(EE$4&lt;=In_COD)</f>
        <v>0</v>
      </c>
      <c r="EF101" s="49" t="n">
        <f aca="false">EF99*$F22*(EF$4&lt;=In_COD)</f>
        <v>0</v>
      </c>
      <c r="EG101" s="49" t="n">
        <f aca="false">EG99*$F22*(EG$4&lt;=In_COD)</f>
        <v>0</v>
      </c>
      <c r="EH101" s="49" t="n">
        <f aca="false">EH99*$F22*(EH$4&lt;=In_COD)</f>
        <v>0</v>
      </c>
      <c r="EI101" s="49" t="n">
        <f aca="false">EI99*$F22*(EI$4&lt;=In_COD)</f>
        <v>0</v>
      </c>
      <c r="EJ101" s="49" t="n">
        <f aca="false">EJ99*$F22*(EJ$4&lt;=In_COD)</f>
        <v>0</v>
      </c>
      <c r="EK101" s="49" t="n">
        <f aca="false">EK99*$F22*(EK$4&lt;=In_COD)</f>
        <v>0</v>
      </c>
      <c r="EL101" s="49" t="n">
        <f aca="false">EL99*$F22*(EL$4&lt;=In_COD)</f>
        <v>0</v>
      </c>
      <c r="EM101" s="49" t="n">
        <f aca="false">EM99*$F22*(EM$4&lt;=In_COD)</f>
        <v>0</v>
      </c>
      <c r="EN101" s="49" t="n">
        <f aca="false">EN99*$F22*(EN$4&lt;=In_COD)</f>
        <v>0</v>
      </c>
      <c r="EO101" s="49" t="n">
        <f aca="false">EO99*$F22*(EO$4&lt;=In_COD)</f>
        <v>0</v>
      </c>
    </row>
    <row r="102" customFormat="false" ht="15" hidden="false" customHeight="false" outlineLevel="0" collapsed="false">
      <c r="C102" s="1" t="s">
        <v>500</v>
      </c>
      <c r="D102" s="12" t="s">
        <v>33</v>
      </c>
      <c r="I102" s="49" t="n">
        <f aca="false">SUM(J102:EO102)</f>
        <v>-59055.4976513219</v>
      </c>
      <c r="J102" s="49" t="n">
        <f aca="false">J95+J97</f>
        <v>0</v>
      </c>
      <c r="K102" s="49" t="n">
        <f aca="false">K95+K97</f>
        <v>0</v>
      </c>
      <c r="L102" s="49" t="n">
        <f aca="false">L95+L97</f>
        <v>0</v>
      </c>
      <c r="M102" s="49" t="n">
        <f aca="false">M95+M97</f>
        <v>0</v>
      </c>
      <c r="N102" s="49" t="n">
        <f aca="false">N95+N97</f>
        <v>0</v>
      </c>
      <c r="O102" s="49" t="n">
        <f aca="false">O95+O97</f>
        <v>0</v>
      </c>
      <c r="P102" s="49" t="n">
        <f aca="false">P95+P97</f>
        <v>0</v>
      </c>
      <c r="Q102" s="49" t="n">
        <f aca="false">Q95+Q97</f>
        <v>0</v>
      </c>
      <c r="R102" s="49" t="n">
        <f aca="false">R95+R97</f>
        <v>0</v>
      </c>
      <c r="S102" s="49" t="n">
        <f aca="false">S95+S97</f>
        <v>0</v>
      </c>
      <c r="T102" s="49" t="n">
        <f aca="false">T95+T97</f>
        <v>0</v>
      </c>
      <c r="U102" s="49" t="n">
        <f aca="false">U95+U97</f>
        <v>0</v>
      </c>
      <c r="V102" s="49" t="n">
        <f aca="false">V95+V97</f>
        <v>0</v>
      </c>
      <c r="W102" s="49" t="n">
        <f aca="false">W95+W97</f>
        <v>0</v>
      </c>
      <c r="X102" s="49" t="n">
        <f aca="false">X95+X97</f>
        <v>0</v>
      </c>
      <c r="Y102" s="49" t="n">
        <f aca="false">Y95+Y97</f>
        <v>0</v>
      </c>
      <c r="Z102" s="49" t="n">
        <f aca="false">Z95+Z97</f>
        <v>-666.732439698547</v>
      </c>
      <c r="AA102" s="49" t="n">
        <f aca="false">AA95+AA97</f>
        <v>-675.066595194779</v>
      </c>
      <c r="AB102" s="49" t="n">
        <f aca="false">AB95+AB97</f>
        <v>-683.504927634714</v>
      </c>
      <c r="AC102" s="49" t="n">
        <f aca="false">AC95+AC97</f>
        <v>-692.048739230148</v>
      </c>
      <c r="AD102" s="49" t="n">
        <f aca="false">AD95+AD97</f>
        <v>-700.699348470525</v>
      </c>
      <c r="AE102" s="49" t="n">
        <f aca="false">AE95+AE97</f>
        <v>-709.458090326406</v>
      </c>
      <c r="AF102" s="49" t="n">
        <f aca="false">AF95+AF97</f>
        <v>-718.326316455486</v>
      </c>
      <c r="AG102" s="49" t="n">
        <f aca="false">AG95+AG97</f>
        <v>-727.30539541118</v>
      </c>
      <c r="AH102" s="49" t="n">
        <f aca="false">AH95+AH97</f>
        <v>-736.396712853819</v>
      </c>
      <c r="AI102" s="49" t="n">
        <f aca="false">AI95+AI97</f>
        <v>-745.601671764492</v>
      </c>
      <c r="AJ102" s="49" t="n">
        <f aca="false">AJ95+AJ97</f>
        <v>-754.921692661548</v>
      </c>
      <c r="AK102" s="49" t="n">
        <f aca="false">AK95+AK97</f>
        <v>-764.358213819818</v>
      </c>
      <c r="AL102" s="49" t="n">
        <f aca="false">AL95+AL97</f>
        <v>-773.912691492565</v>
      </c>
      <c r="AM102" s="49" t="n">
        <f aca="false">AM95+AM97</f>
        <v>-783.586600136223</v>
      </c>
      <c r="AN102" s="49" t="n">
        <f aca="false">AN95+AN97</f>
        <v>-793.381432637925</v>
      </c>
      <c r="AO102" s="49" t="n">
        <f aca="false">AO95+AO97</f>
        <v>-803.298700545899</v>
      </c>
      <c r="AP102" s="49" t="n">
        <f aca="false">AP95+AP97</f>
        <v>-813.339934302723</v>
      </c>
      <c r="AQ102" s="49" t="n">
        <f aca="false">AQ95+AQ97</f>
        <v>-823.506683481507</v>
      </c>
      <c r="AR102" s="49" t="n">
        <f aca="false">AR95+AR97</f>
        <v>-833.800517025026</v>
      </c>
      <c r="AS102" s="49" t="n">
        <f aca="false">AS95+AS97</f>
        <v>-844.223023487839</v>
      </c>
      <c r="AT102" s="49" t="n">
        <f aca="false">AT95+AT97</f>
        <v>-854.775811281437</v>
      </c>
      <c r="AU102" s="49" t="n">
        <f aca="false">AU95+AU97</f>
        <v>-865.460508922455</v>
      </c>
      <c r="AV102" s="49" t="n">
        <f aca="false">AV95+AV97</f>
        <v>-876.278765283985</v>
      </c>
      <c r="AW102" s="49" t="n">
        <f aca="false">AW95+AW97</f>
        <v>-887.232249850035</v>
      </c>
      <c r="AX102" s="49" t="n">
        <f aca="false">AX95+AX97</f>
        <v>-898.322652973161</v>
      </c>
      <c r="AY102" s="49" t="n">
        <f aca="false">AY95+AY97</f>
        <v>-909.551686135325</v>
      </c>
      <c r="AZ102" s="49" t="n">
        <f aca="false">AZ95+AZ97</f>
        <v>-920.921082212017</v>
      </c>
      <c r="BA102" s="49" t="n">
        <f aca="false">BA95+BA97</f>
        <v>-932.432595739667</v>
      </c>
      <c r="BB102" s="49" t="n">
        <f aca="false">BB95+BB97</f>
        <v>-944.088003186413</v>
      </c>
      <c r="BC102" s="49" t="n">
        <f aca="false">BC95+BC97</f>
        <v>-955.889103226243</v>
      </c>
      <c r="BD102" s="49" t="n">
        <f aca="false">BD95+BD97</f>
        <v>-967.837717016571</v>
      </c>
      <c r="BE102" s="49" t="n">
        <f aca="false">BE95+BE97</f>
        <v>-979.935688479278</v>
      </c>
      <c r="BF102" s="49" t="n">
        <f aca="false">BF95+BF97</f>
        <v>-992.184884585269</v>
      </c>
      <c r="BG102" s="49" t="n">
        <f aca="false">BG95+BG97</f>
        <v>-1004.58719564258</v>
      </c>
      <c r="BH102" s="49" t="n">
        <f aca="false">BH95+BH97</f>
        <v>-1017.14453558812</v>
      </c>
      <c r="BI102" s="49" t="n">
        <f aca="false">BI95+BI97</f>
        <v>-1029.85884228297</v>
      </c>
      <c r="BJ102" s="49" t="n">
        <f aca="false">BJ95+BJ97</f>
        <v>-1042.73207781151</v>
      </c>
      <c r="BK102" s="49" t="n">
        <f aca="false">BK95+BK97</f>
        <v>-1055.76622878415</v>
      </c>
      <c r="BL102" s="49" t="n">
        <f aca="false">BL95+BL97</f>
        <v>-1068.96330664395</v>
      </c>
      <c r="BM102" s="49" t="n">
        <f aca="false">BM95+BM97</f>
        <v>-1082.325347977</v>
      </c>
      <c r="BN102" s="49" t="n">
        <f aca="false">BN95+BN97</f>
        <v>-1095.85441482671</v>
      </c>
      <c r="BO102" s="49" t="n">
        <f aca="false">BO95+BO97</f>
        <v>-1109.55259501205</v>
      </c>
      <c r="BP102" s="49" t="n">
        <f aca="false">BP95+BP97</f>
        <v>-1123.4220024497</v>
      </c>
      <c r="BQ102" s="49" t="n">
        <f aca="false">BQ95+BQ97</f>
        <v>-1137.46477748032</v>
      </c>
      <c r="BR102" s="49" t="n">
        <f aca="false">BR95+BR97</f>
        <v>-1151.68308719882</v>
      </c>
      <c r="BS102" s="49" t="n">
        <f aca="false">BS95+BS97</f>
        <v>-1166.07912578881</v>
      </c>
      <c r="BT102" s="49" t="n">
        <f aca="false">BT95+BT97</f>
        <v>-1180.65511486117</v>
      </c>
      <c r="BU102" s="49" t="n">
        <f aca="false">BU95+BU97</f>
        <v>-1195.41330379693</v>
      </c>
      <c r="BV102" s="49" t="n">
        <f aca="false">BV95+BV97</f>
        <v>-1210.3559700944</v>
      </c>
      <c r="BW102" s="49" t="n">
        <f aca="false">BW95+BW97</f>
        <v>-1225.48541972057</v>
      </c>
      <c r="BX102" s="49" t="n">
        <f aca="false">BX95+BX97</f>
        <v>-1240.80398746708</v>
      </c>
      <c r="BY102" s="49" t="n">
        <f aca="false">BY95+BY97</f>
        <v>-1256.31403731042</v>
      </c>
      <c r="BZ102" s="49" t="n">
        <f aca="false">BZ95+BZ97</f>
        <v>-1272.0179627768</v>
      </c>
      <c r="CA102" s="49" t="n">
        <f aca="false">CA95+CA97</f>
        <v>-1287.91818731151</v>
      </c>
      <c r="CB102" s="49" t="n">
        <f aca="false">CB95+CB97</f>
        <v>-1304.0171646529</v>
      </c>
      <c r="CC102" s="49" t="n">
        <f aca="false">CC95+CC97</f>
        <v>-1320.31737921107</v>
      </c>
      <c r="CD102" s="49" t="n">
        <f aca="false">CD95+CD97</f>
        <v>-1336.8213464512</v>
      </c>
      <c r="CE102" s="49" t="n">
        <f aca="false">CE95+CE97</f>
        <v>-1353.53161328184</v>
      </c>
      <c r="CF102" s="49" t="n">
        <f aca="false">CF95+CF97</f>
        <v>-1370.45075844787</v>
      </c>
      <c r="CG102" s="49" t="n">
        <f aca="false">CG95+CG97</f>
        <v>-1387.58139292845</v>
      </c>
      <c r="CH102" s="49" t="n">
        <f aca="false">CH95+CH97</f>
        <v>-0</v>
      </c>
      <c r="CI102" s="49" t="n">
        <f aca="false">CI95+CI97</f>
        <v>-0</v>
      </c>
      <c r="CJ102" s="49" t="n">
        <f aca="false">CJ95+CJ97</f>
        <v>-0</v>
      </c>
      <c r="CK102" s="49" t="n">
        <f aca="false">CK95+CK97</f>
        <v>-0</v>
      </c>
      <c r="CL102" s="49" t="n">
        <f aca="false">CL95+CL97</f>
        <v>-0</v>
      </c>
      <c r="CM102" s="49" t="n">
        <f aca="false">CM95+CM97</f>
        <v>-0</v>
      </c>
      <c r="CN102" s="49" t="n">
        <f aca="false">CN95+CN97</f>
        <v>-0</v>
      </c>
      <c r="CO102" s="49" t="n">
        <f aca="false">CO95+CO97</f>
        <v>-0</v>
      </c>
      <c r="CP102" s="49" t="n">
        <f aca="false">CP95+CP97</f>
        <v>-0</v>
      </c>
      <c r="CQ102" s="49" t="n">
        <f aca="false">CQ95+CQ97</f>
        <v>-0</v>
      </c>
      <c r="CR102" s="49" t="n">
        <f aca="false">CR95+CR97</f>
        <v>-0</v>
      </c>
      <c r="CS102" s="49" t="n">
        <f aca="false">CS95+CS97</f>
        <v>-0</v>
      </c>
      <c r="CT102" s="49" t="n">
        <f aca="false">CT95+CT97</f>
        <v>-0</v>
      </c>
      <c r="CU102" s="49" t="n">
        <f aca="false">CU95+CU97</f>
        <v>-0</v>
      </c>
      <c r="CV102" s="49" t="n">
        <f aca="false">CV95+CV97</f>
        <v>-0</v>
      </c>
      <c r="CW102" s="49" t="n">
        <f aca="false">CW95+CW97</f>
        <v>-0</v>
      </c>
      <c r="CX102" s="49" t="n">
        <f aca="false">CX95+CX97</f>
        <v>-0</v>
      </c>
      <c r="CY102" s="49" t="n">
        <f aca="false">CY95+CY97</f>
        <v>-0</v>
      </c>
      <c r="CZ102" s="49" t="n">
        <f aca="false">CZ95+CZ97</f>
        <v>-0</v>
      </c>
      <c r="DA102" s="49" t="n">
        <f aca="false">DA95+DA97</f>
        <v>-0</v>
      </c>
      <c r="DB102" s="49" t="n">
        <f aca="false">DB95+DB97</f>
        <v>-0</v>
      </c>
      <c r="DC102" s="49" t="n">
        <f aca="false">DC95+DC97</f>
        <v>-0</v>
      </c>
      <c r="DD102" s="49" t="n">
        <f aca="false">DD95+DD97</f>
        <v>-0</v>
      </c>
      <c r="DE102" s="49" t="n">
        <f aca="false">DE95+DE97</f>
        <v>-0</v>
      </c>
      <c r="DF102" s="49" t="n">
        <f aca="false">DF95+DF97</f>
        <v>-0</v>
      </c>
      <c r="DG102" s="49" t="n">
        <f aca="false">DG95+DG97</f>
        <v>-0</v>
      </c>
      <c r="DH102" s="49" t="n">
        <f aca="false">DH95+DH97</f>
        <v>-0</v>
      </c>
      <c r="DI102" s="49" t="n">
        <f aca="false">DI95+DI97</f>
        <v>-0</v>
      </c>
      <c r="DJ102" s="49" t="n">
        <f aca="false">DJ95+DJ97</f>
        <v>-0</v>
      </c>
      <c r="DK102" s="49" t="n">
        <f aca="false">DK95+DK97</f>
        <v>-0</v>
      </c>
      <c r="DL102" s="49" t="n">
        <f aca="false">DL95+DL97</f>
        <v>-0</v>
      </c>
      <c r="DM102" s="49" t="n">
        <f aca="false">DM95+DM97</f>
        <v>-0</v>
      </c>
      <c r="DN102" s="49" t="n">
        <f aca="false">DN95+DN97</f>
        <v>-0</v>
      </c>
      <c r="DO102" s="49" t="n">
        <f aca="false">DO95+DO97</f>
        <v>-0</v>
      </c>
      <c r="DP102" s="49" t="n">
        <f aca="false">DP95+DP97</f>
        <v>-0</v>
      </c>
      <c r="DQ102" s="49" t="n">
        <f aca="false">DQ95+DQ97</f>
        <v>-0</v>
      </c>
      <c r="DR102" s="49" t="n">
        <f aca="false">DR95+DR97</f>
        <v>-0</v>
      </c>
      <c r="DS102" s="49" t="n">
        <f aca="false">DS95+DS97</f>
        <v>-0</v>
      </c>
      <c r="DT102" s="49" t="n">
        <f aca="false">DT95+DT97</f>
        <v>-0</v>
      </c>
      <c r="DU102" s="49" t="n">
        <f aca="false">DU95+DU97</f>
        <v>-0</v>
      </c>
      <c r="DV102" s="49" t="n">
        <f aca="false">DV95+DV97</f>
        <v>-0</v>
      </c>
      <c r="DW102" s="49" t="n">
        <f aca="false">DW95+DW97</f>
        <v>-0</v>
      </c>
      <c r="DX102" s="49" t="n">
        <f aca="false">DX95+DX97</f>
        <v>-0</v>
      </c>
      <c r="DY102" s="49" t="n">
        <f aca="false">DY95+DY97</f>
        <v>-0</v>
      </c>
      <c r="DZ102" s="49" t="n">
        <f aca="false">DZ95+DZ97</f>
        <v>-0</v>
      </c>
      <c r="EA102" s="49" t="n">
        <f aca="false">EA95+EA97</f>
        <v>-0</v>
      </c>
      <c r="EB102" s="49" t="n">
        <f aca="false">EB95+EB97</f>
        <v>-0</v>
      </c>
      <c r="EC102" s="49" t="n">
        <f aca="false">EC95+EC97</f>
        <v>-0</v>
      </c>
      <c r="ED102" s="49" t="n">
        <f aca="false">ED95+ED97</f>
        <v>-0</v>
      </c>
      <c r="EE102" s="49" t="n">
        <f aca="false">EE95+EE97</f>
        <v>-0</v>
      </c>
      <c r="EF102" s="49" t="n">
        <f aca="false">EF95+EF97</f>
        <v>-0</v>
      </c>
      <c r="EG102" s="49" t="n">
        <f aca="false">EG95+EG97</f>
        <v>-0</v>
      </c>
      <c r="EH102" s="49" t="n">
        <f aca="false">EH95+EH97</f>
        <v>-0</v>
      </c>
      <c r="EI102" s="49" t="n">
        <f aca="false">EI95+EI97</f>
        <v>-0</v>
      </c>
      <c r="EJ102" s="49" t="n">
        <f aca="false">EJ95+EJ97</f>
        <v>-0</v>
      </c>
      <c r="EK102" s="49" t="n">
        <f aca="false">EK95+EK97</f>
        <v>-0</v>
      </c>
      <c r="EL102" s="49" t="n">
        <f aca="false">EL95+EL97</f>
        <v>-0</v>
      </c>
      <c r="EM102" s="49" t="n">
        <f aca="false">EM95+EM97</f>
        <v>-0</v>
      </c>
      <c r="EN102" s="49" t="n">
        <f aca="false">EN95+EN97</f>
        <v>-0</v>
      </c>
      <c r="EO102" s="49" t="n">
        <f aca="false">EO95+EO97</f>
        <v>-0</v>
      </c>
    </row>
    <row r="103" customFormat="false" ht="15" hidden="false" customHeight="false" outlineLevel="0" collapsed="false">
      <c r="C103" s="26" t="s">
        <v>501</v>
      </c>
      <c r="D103" s="12" t="s">
        <v>33</v>
      </c>
      <c r="E103" s="58" t="n">
        <f aca="false">SUMIF($J$4:$EO$4,In_COD,$J103:$EO103)</f>
        <v>59055.4976513219</v>
      </c>
      <c r="I103" s="60"/>
      <c r="J103" s="58" t="n">
        <f aca="false">SUM(J99:J102)</f>
        <v>0</v>
      </c>
      <c r="K103" s="58" t="n">
        <f aca="false">SUM(K99:K102)</f>
        <v>0</v>
      </c>
      <c r="L103" s="58" t="n">
        <f aca="false">SUM(L99:L102)</f>
        <v>0</v>
      </c>
      <c r="M103" s="58" t="n">
        <f aca="false">SUM(M99:M102)</f>
        <v>0</v>
      </c>
      <c r="N103" s="58" t="n">
        <f aca="false">SUM(N99:N102)</f>
        <v>0</v>
      </c>
      <c r="O103" s="58" t="n">
        <f aca="false">SUM(O99:O102)</f>
        <v>0</v>
      </c>
      <c r="P103" s="58" t="n">
        <f aca="false">SUM(P99:P102)</f>
        <v>0</v>
      </c>
      <c r="Q103" s="58" t="n">
        <f aca="false">SUM(Q99:Q102)</f>
        <v>0</v>
      </c>
      <c r="R103" s="58" t="n">
        <f aca="false">SUM(R99:R102)</f>
        <v>6374.47363013699</v>
      </c>
      <c r="S103" s="58" t="n">
        <f aca="false">SUM(S99:S102)</f>
        <v>17175.2053998288</v>
      </c>
      <c r="T103" s="58" t="n">
        <f aca="false">SUM(T99:T102)</f>
        <v>23695.0813406143</v>
      </c>
      <c r="U103" s="58" t="n">
        <f aca="false">SUM(U99:U102)</f>
        <v>30365.743487509</v>
      </c>
      <c r="V103" s="58" t="n">
        <f aca="false">SUM(V99:V102)</f>
        <v>37119.7889112398</v>
      </c>
      <c r="W103" s="58" t="n">
        <f aca="false">SUM(W99:W102)</f>
        <v>43819.6843890687</v>
      </c>
      <c r="X103" s="58" t="n">
        <f aca="false">SUM(X99:X102)</f>
        <v>50672.6163172197</v>
      </c>
      <c r="Y103" s="58" t="n">
        <f aca="false">SUM(Y99:Y102)</f>
        <v>59055.4976513219</v>
      </c>
      <c r="Z103" s="58" t="n">
        <f aca="false">SUM(Z99:Z102)</f>
        <v>58388.7652116234</v>
      </c>
      <c r="AA103" s="58" t="n">
        <f aca="false">SUM(AA99:AA102)</f>
        <v>57713.6986164286</v>
      </c>
      <c r="AB103" s="58" t="n">
        <f aca="false">SUM(AB99:AB102)</f>
        <v>57030.1936887939</v>
      </c>
      <c r="AC103" s="58" t="n">
        <f aca="false">SUM(AC99:AC102)</f>
        <v>56338.1449495638</v>
      </c>
      <c r="AD103" s="58" t="n">
        <f aca="false">SUM(AD99:AD102)</f>
        <v>55637.4456010932</v>
      </c>
      <c r="AE103" s="58" t="n">
        <f aca="false">SUM(AE99:AE102)</f>
        <v>54927.9875107668</v>
      </c>
      <c r="AF103" s="58" t="n">
        <f aca="false">SUM(AF99:AF102)</f>
        <v>54209.6611943113</v>
      </c>
      <c r="AG103" s="58" t="n">
        <f aca="false">SUM(AG99:AG102)</f>
        <v>53482.3557989002</v>
      </c>
      <c r="AH103" s="58" t="n">
        <f aca="false">SUM(AH99:AH102)</f>
        <v>52745.9590860463</v>
      </c>
      <c r="AI103" s="58" t="n">
        <f aca="false">SUM(AI99:AI102)</f>
        <v>52000.3574142818</v>
      </c>
      <c r="AJ103" s="58" t="n">
        <f aca="false">SUM(AJ99:AJ102)</f>
        <v>51245.4357216203</v>
      </c>
      <c r="AK103" s="58" t="n">
        <f aca="false">SUM(AK99:AK102)</f>
        <v>50481.0775078005</v>
      </c>
      <c r="AL103" s="58" t="n">
        <f aca="false">SUM(AL99:AL102)</f>
        <v>49707.1648163079</v>
      </c>
      <c r="AM103" s="58" t="n">
        <f aca="false">SUM(AM99:AM102)</f>
        <v>48923.5782161717</v>
      </c>
      <c r="AN103" s="58" t="n">
        <f aca="false">SUM(AN99:AN102)</f>
        <v>48130.1967835338</v>
      </c>
      <c r="AO103" s="58" t="n">
        <f aca="false">SUM(AO99:AO102)</f>
        <v>47326.8980829879</v>
      </c>
      <c r="AP103" s="58" t="n">
        <f aca="false">SUM(AP99:AP102)</f>
        <v>46513.5581486851</v>
      </c>
      <c r="AQ103" s="58" t="n">
        <f aca="false">SUM(AQ99:AQ102)</f>
        <v>45690.0514652036</v>
      </c>
      <c r="AR103" s="58" t="n">
        <f aca="false">SUM(AR99:AR102)</f>
        <v>44856.2509481786</v>
      </c>
      <c r="AS103" s="58" t="n">
        <f aca="false">SUM(AS99:AS102)</f>
        <v>44012.0279246908</v>
      </c>
      <c r="AT103" s="58" t="n">
        <f aca="false">SUM(AT99:AT102)</f>
        <v>43157.2521134093</v>
      </c>
      <c r="AU103" s="58" t="n">
        <f aca="false">SUM(AU99:AU102)</f>
        <v>42291.7916044869</v>
      </c>
      <c r="AV103" s="58" t="n">
        <f aca="false">SUM(AV99:AV102)</f>
        <v>41415.5128392029</v>
      </c>
      <c r="AW103" s="58" t="n">
        <f aca="false">SUM(AW99:AW102)</f>
        <v>40528.2805893529</v>
      </c>
      <c r="AX103" s="58" t="n">
        <f aca="false">SUM(AX99:AX102)</f>
        <v>39629.9579363797</v>
      </c>
      <c r="AY103" s="58" t="n">
        <f aca="false">SUM(AY99:AY102)</f>
        <v>38720.4062502444</v>
      </c>
      <c r="AZ103" s="58" t="n">
        <f aca="false">SUM(AZ99:AZ102)</f>
        <v>37799.4851680324</v>
      </c>
      <c r="BA103" s="58" t="n">
        <f aca="false">SUM(BA99:BA102)</f>
        <v>36867.0525722927</v>
      </c>
      <c r="BB103" s="58" t="n">
        <f aca="false">SUM(BB99:BB102)</f>
        <v>35922.9645691063</v>
      </c>
      <c r="BC103" s="58" t="n">
        <f aca="false">SUM(BC99:BC102)</f>
        <v>34967.07546588</v>
      </c>
      <c r="BD103" s="58" t="n">
        <f aca="false">SUM(BD99:BD102)</f>
        <v>33999.2377488635</v>
      </c>
      <c r="BE103" s="58" t="n">
        <f aca="false">SUM(BE99:BE102)</f>
        <v>33019.3020603842</v>
      </c>
      <c r="BF103" s="58" t="n">
        <f aca="false">SUM(BF99:BF102)</f>
        <v>32027.1171757989</v>
      </c>
      <c r="BG103" s="58" t="n">
        <f aca="false">SUM(BG99:BG102)</f>
        <v>31022.5299801563</v>
      </c>
      <c r="BH103" s="58" t="n">
        <f aca="false">SUM(BH99:BH102)</f>
        <v>30005.3854445682</v>
      </c>
      <c r="BI103" s="58" t="n">
        <f aca="false">SUM(BI99:BI102)</f>
        <v>28975.5266022852</v>
      </c>
      <c r="BJ103" s="58" t="n">
        <f aca="false">SUM(BJ99:BJ102)</f>
        <v>27932.7945244737</v>
      </c>
      <c r="BK103" s="58" t="n">
        <f aca="false">SUM(BK99:BK102)</f>
        <v>26877.0282956896</v>
      </c>
      <c r="BL103" s="58" t="n">
        <f aca="false">SUM(BL99:BL102)</f>
        <v>25808.0649890456</v>
      </c>
      <c r="BM103" s="58" t="n">
        <f aca="false">SUM(BM99:BM102)</f>
        <v>24725.7396410686</v>
      </c>
      <c r="BN103" s="58" t="n">
        <f aca="false">SUM(BN99:BN102)</f>
        <v>23629.8852262419</v>
      </c>
      <c r="BO103" s="58" t="n">
        <f aca="false">SUM(BO99:BO102)</f>
        <v>22520.3326312299</v>
      </c>
      <c r="BP103" s="58" t="n">
        <f aca="false">SUM(BP99:BP102)</f>
        <v>21396.9106287802</v>
      </c>
      <c r="BQ103" s="58" t="n">
        <f aca="false">SUM(BQ99:BQ102)</f>
        <v>20259.4458512999</v>
      </c>
      <c r="BR103" s="58" t="n">
        <f aca="false">SUM(BR99:BR102)</f>
        <v>19107.762764101</v>
      </c>
      <c r="BS103" s="58" t="n">
        <f aca="false">SUM(BS99:BS102)</f>
        <v>17941.6836383122</v>
      </c>
      <c r="BT103" s="58" t="n">
        <f aca="false">SUM(BT99:BT102)</f>
        <v>16761.0285234511</v>
      </c>
      <c r="BU103" s="58" t="n">
        <f aca="false">SUM(BU99:BU102)</f>
        <v>15565.6152196541</v>
      </c>
      <c r="BV103" s="58" t="n">
        <f aca="false">SUM(BV99:BV102)</f>
        <v>14355.2592495597</v>
      </c>
      <c r="BW103" s="58" t="n">
        <f aca="false">SUM(BW99:BW102)</f>
        <v>13129.7738298392</v>
      </c>
      <c r="BX103" s="58" t="n">
        <f aca="false">SUM(BX99:BX102)</f>
        <v>11888.9698423721</v>
      </c>
      <c r="BY103" s="58" t="n">
        <f aca="false">SUM(BY99:BY102)</f>
        <v>10632.6558050617</v>
      </c>
      <c r="BZ103" s="58" t="n">
        <f aca="false">SUM(BZ99:BZ102)</f>
        <v>9360.63784228485</v>
      </c>
      <c r="CA103" s="58" t="n">
        <f aca="false">SUM(CA99:CA102)</f>
        <v>8072.71965497334</v>
      </c>
      <c r="CB103" s="58" t="n">
        <f aca="false">SUM(CB99:CB102)</f>
        <v>6768.70249032044</v>
      </c>
      <c r="CC103" s="58" t="n">
        <f aca="false">SUM(CC99:CC102)</f>
        <v>5448.38511110937</v>
      </c>
      <c r="CD103" s="58" t="n">
        <f aca="false">SUM(CD99:CD102)</f>
        <v>4111.56376465816</v>
      </c>
      <c r="CE103" s="58" t="n">
        <f aca="false">SUM(CE99:CE102)</f>
        <v>2758.03215137632</v>
      </c>
      <c r="CF103" s="58" t="n">
        <f aca="false">SUM(CF99:CF102)</f>
        <v>1387.58139292845</v>
      </c>
      <c r="CG103" s="58" t="n">
        <f aca="false">SUM(CG99:CG102)</f>
        <v>0</v>
      </c>
      <c r="CH103" s="58" t="n">
        <f aca="false">SUM(CH99:CH102)</f>
        <v>0</v>
      </c>
      <c r="CI103" s="58" t="n">
        <f aca="false">SUM(CI99:CI102)</f>
        <v>0</v>
      </c>
      <c r="CJ103" s="58" t="n">
        <f aca="false">SUM(CJ99:CJ102)</f>
        <v>0</v>
      </c>
      <c r="CK103" s="58" t="n">
        <f aca="false">SUM(CK99:CK102)</f>
        <v>0</v>
      </c>
      <c r="CL103" s="58" t="n">
        <f aca="false">SUM(CL99:CL102)</f>
        <v>0</v>
      </c>
      <c r="CM103" s="58" t="n">
        <f aca="false">SUM(CM99:CM102)</f>
        <v>0</v>
      </c>
      <c r="CN103" s="58" t="n">
        <f aca="false">SUM(CN99:CN102)</f>
        <v>0</v>
      </c>
      <c r="CO103" s="58" t="n">
        <f aca="false">SUM(CO99:CO102)</f>
        <v>0</v>
      </c>
      <c r="CP103" s="58" t="n">
        <f aca="false">SUM(CP99:CP102)</f>
        <v>0</v>
      </c>
      <c r="CQ103" s="58" t="n">
        <f aca="false">SUM(CQ99:CQ102)</f>
        <v>0</v>
      </c>
      <c r="CR103" s="58" t="n">
        <f aca="false">SUM(CR99:CR102)</f>
        <v>0</v>
      </c>
      <c r="CS103" s="58" t="n">
        <f aca="false">SUM(CS99:CS102)</f>
        <v>0</v>
      </c>
      <c r="CT103" s="58" t="n">
        <f aca="false">SUM(CT99:CT102)</f>
        <v>0</v>
      </c>
      <c r="CU103" s="58" t="n">
        <f aca="false">SUM(CU99:CU102)</f>
        <v>0</v>
      </c>
      <c r="CV103" s="58" t="n">
        <f aca="false">SUM(CV99:CV102)</f>
        <v>0</v>
      </c>
      <c r="CW103" s="58" t="n">
        <f aca="false">SUM(CW99:CW102)</f>
        <v>0</v>
      </c>
      <c r="CX103" s="58" t="n">
        <f aca="false">SUM(CX99:CX102)</f>
        <v>0</v>
      </c>
      <c r="CY103" s="58" t="n">
        <f aca="false">SUM(CY99:CY102)</f>
        <v>0</v>
      </c>
      <c r="CZ103" s="58" t="n">
        <f aca="false">SUM(CZ99:CZ102)</f>
        <v>0</v>
      </c>
      <c r="DA103" s="58" t="n">
        <f aca="false">SUM(DA99:DA102)</f>
        <v>0</v>
      </c>
      <c r="DB103" s="58" t="n">
        <f aca="false">SUM(DB99:DB102)</f>
        <v>0</v>
      </c>
      <c r="DC103" s="58" t="n">
        <f aca="false">SUM(DC99:DC102)</f>
        <v>0</v>
      </c>
      <c r="DD103" s="58" t="n">
        <f aca="false">SUM(DD99:DD102)</f>
        <v>0</v>
      </c>
      <c r="DE103" s="58" t="n">
        <f aca="false">SUM(DE99:DE102)</f>
        <v>0</v>
      </c>
      <c r="DF103" s="58" t="n">
        <f aca="false">SUM(DF99:DF102)</f>
        <v>0</v>
      </c>
      <c r="DG103" s="58" t="n">
        <f aca="false">SUM(DG99:DG102)</f>
        <v>0</v>
      </c>
      <c r="DH103" s="58" t="n">
        <f aca="false">SUM(DH99:DH102)</f>
        <v>0</v>
      </c>
      <c r="DI103" s="58" t="n">
        <f aca="false">SUM(DI99:DI102)</f>
        <v>0</v>
      </c>
      <c r="DJ103" s="58" t="n">
        <f aca="false">SUM(DJ99:DJ102)</f>
        <v>0</v>
      </c>
      <c r="DK103" s="58" t="n">
        <f aca="false">SUM(DK99:DK102)</f>
        <v>0</v>
      </c>
      <c r="DL103" s="58" t="n">
        <f aca="false">SUM(DL99:DL102)</f>
        <v>0</v>
      </c>
      <c r="DM103" s="58" t="n">
        <f aca="false">SUM(DM99:DM102)</f>
        <v>0</v>
      </c>
      <c r="DN103" s="58" t="n">
        <f aca="false">SUM(DN99:DN102)</f>
        <v>0</v>
      </c>
      <c r="DO103" s="58" t="n">
        <f aca="false">SUM(DO99:DO102)</f>
        <v>0</v>
      </c>
      <c r="DP103" s="58" t="n">
        <f aca="false">SUM(DP99:DP102)</f>
        <v>0</v>
      </c>
      <c r="DQ103" s="58" t="n">
        <f aca="false">SUM(DQ99:DQ102)</f>
        <v>0</v>
      </c>
      <c r="DR103" s="58" t="n">
        <f aca="false">SUM(DR99:DR102)</f>
        <v>0</v>
      </c>
      <c r="DS103" s="58" t="n">
        <f aca="false">SUM(DS99:DS102)</f>
        <v>0</v>
      </c>
      <c r="DT103" s="58" t="n">
        <f aca="false">SUM(DT99:DT102)</f>
        <v>0</v>
      </c>
      <c r="DU103" s="58" t="n">
        <f aca="false">SUM(DU99:DU102)</f>
        <v>0</v>
      </c>
      <c r="DV103" s="58" t="n">
        <f aca="false">SUM(DV99:DV102)</f>
        <v>0</v>
      </c>
      <c r="DW103" s="58" t="n">
        <f aca="false">SUM(DW99:DW102)</f>
        <v>0</v>
      </c>
      <c r="DX103" s="58" t="n">
        <f aca="false">SUM(DX99:DX102)</f>
        <v>0</v>
      </c>
      <c r="DY103" s="58" t="n">
        <f aca="false">SUM(DY99:DY102)</f>
        <v>0</v>
      </c>
      <c r="DZ103" s="58" t="n">
        <f aca="false">SUM(DZ99:DZ102)</f>
        <v>0</v>
      </c>
      <c r="EA103" s="58" t="n">
        <f aca="false">SUM(EA99:EA102)</f>
        <v>0</v>
      </c>
      <c r="EB103" s="58" t="n">
        <f aca="false">SUM(EB99:EB102)</f>
        <v>0</v>
      </c>
      <c r="EC103" s="58" t="n">
        <f aca="false">SUM(EC99:EC102)</f>
        <v>0</v>
      </c>
      <c r="ED103" s="58" t="n">
        <f aca="false">SUM(ED99:ED102)</f>
        <v>0</v>
      </c>
      <c r="EE103" s="58" t="n">
        <f aca="false">SUM(EE99:EE102)</f>
        <v>0</v>
      </c>
      <c r="EF103" s="58" t="n">
        <f aca="false">SUM(EF99:EF102)</f>
        <v>0</v>
      </c>
      <c r="EG103" s="58" t="n">
        <f aca="false">SUM(EG99:EG102)</f>
        <v>0</v>
      </c>
      <c r="EH103" s="58" t="n">
        <f aca="false">SUM(EH99:EH102)</f>
        <v>0</v>
      </c>
      <c r="EI103" s="58" t="n">
        <f aca="false">SUM(EI99:EI102)</f>
        <v>0</v>
      </c>
      <c r="EJ103" s="58" t="n">
        <f aca="false">SUM(EJ99:EJ102)</f>
        <v>0</v>
      </c>
      <c r="EK103" s="58" t="n">
        <f aca="false">SUM(EK99:EK102)</f>
        <v>0</v>
      </c>
      <c r="EL103" s="58" t="n">
        <f aca="false">SUM(EL99:EL102)</f>
        <v>0</v>
      </c>
      <c r="EM103" s="58" t="n">
        <f aca="false">SUM(EM99:EM102)</f>
        <v>0</v>
      </c>
      <c r="EN103" s="58" t="n">
        <f aca="false">SUM(EN99:EN102)</f>
        <v>0</v>
      </c>
      <c r="EO103" s="58" t="n">
        <f aca="false">SUM(EO99:EO102)</f>
        <v>0</v>
      </c>
    </row>
    <row r="104" customFormat="false" ht="15" hidden="false" customHeight="false" outlineLevel="0" collapsed="false">
      <c r="C104" s="1" t="s">
        <v>502</v>
      </c>
      <c r="D104" s="12" t="s">
        <v>33</v>
      </c>
      <c r="I104" s="49" t="n">
        <f aca="false">SUM(J104:EO104)</f>
        <v>-1033.47120889813</v>
      </c>
      <c r="J104" s="49" t="n">
        <f aca="false">-In_Upfront_Fee*$E103*(J99=0)*(J100&gt;0)</f>
        <v>-0</v>
      </c>
      <c r="K104" s="49" t="n">
        <f aca="false">-In_Upfront_Fee*$E103*(K99=0)*(K100&gt;0)</f>
        <v>-0</v>
      </c>
      <c r="L104" s="49" t="n">
        <f aca="false">-In_Upfront_Fee*$E103*(L99=0)*(L100&gt;0)</f>
        <v>-0</v>
      </c>
      <c r="M104" s="49" t="n">
        <f aca="false">-In_Upfront_Fee*$E103*(M99=0)*(M100&gt;0)</f>
        <v>-0</v>
      </c>
      <c r="N104" s="49" t="n">
        <f aca="false">-In_Upfront_Fee*$E103*(N99=0)*(N100&gt;0)</f>
        <v>-0</v>
      </c>
      <c r="O104" s="49" t="n">
        <f aca="false">-In_Upfront_Fee*$E103*(O99=0)*(O100&gt;0)</f>
        <v>-0</v>
      </c>
      <c r="P104" s="49" t="n">
        <f aca="false">-In_Upfront_Fee*$E103*(P99=0)*(P100&gt;0)</f>
        <v>-0</v>
      </c>
      <c r="Q104" s="49" t="n">
        <f aca="false">-In_Upfront_Fee*$E103*(Q99=0)*(Q100&gt;0)</f>
        <v>-0</v>
      </c>
      <c r="R104" s="49" t="n">
        <f aca="false">-In_Upfront_Fee*$E103*(R99=0)*(R100&gt;0)</f>
        <v>-1033.47120889813</v>
      </c>
      <c r="S104" s="49" t="n">
        <f aca="false">-In_Upfront_Fee*$E103*(S99=0)*(S100&gt;0)</f>
        <v>-0</v>
      </c>
      <c r="T104" s="49" t="n">
        <f aca="false">-In_Upfront_Fee*$E103*(T99=0)*(T100&gt;0)</f>
        <v>-0</v>
      </c>
      <c r="U104" s="49" t="n">
        <f aca="false">-In_Upfront_Fee*$E103*(U99=0)*(U100&gt;0)</f>
        <v>-0</v>
      </c>
      <c r="V104" s="49" t="n">
        <f aca="false">-In_Upfront_Fee*$E103*(V99=0)*(V100&gt;0)</f>
        <v>-0</v>
      </c>
      <c r="W104" s="49" t="n">
        <f aca="false">-In_Upfront_Fee*$E103*(W99=0)*(W100&gt;0)</f>
        <v>-0</v>
      </c>
      <c r="X104" s="49" t="n">
        <f aca="false">-In_Upfront_Fee*$E103*(X99=0)*(X100&gt;0)</f>
        <v>-0</v>
      </c>
      <c r="Y104" s="49" t="n">
        <f aca="false">-In_Upfront_Fee*$E103*(Y99=0)*(Y100&gt;0)</f>
        <v>-0</v>
      </c>
      <c r="Z104" s="49" t="n">
        <f aca="false">-In_Upfront_Fee*$E103*(Z99=0)*(Z100&gt;0)</f>
        <v>-0</v>
      </c>
      <c r="AA104" s="49" t="n">
        <f aca="false">-In_Upfront_Fee*$E103*(AA99=0)*(AA100&gt;0)</f>
        <v>-0</v>
      </c>
      <c r="AB104" s="49" t="n">
        <f aca="false">-In_Upfront_Fee*$E103*(AB99=0)*(AB100&gt;0)</f>
        <v>-0</v>
      </c>
      <c r="AC104" s="49" t="n">
        <f aca="false">-In_Upfront_Fee*$E103*(AC99=0)*(AC100&gt;0)</f>
        <v>-0</v>
      </c>
      <c r="AD104" s="49" t="n">
        <f aca="false">-In_Upfront_Fee*$E103*(AD99=0)*(AD100&gt;0)</f>
        <v>-0</v>
      </c>
      <c r="AE104" s="49" t="n">
        <f aca="false">-In_Upfront_Fee*$E103*(AE99=0)*(AE100&gt;0)</f>
        <v>-0</v>
      </c>
      <c r="AF104" s="49" t="n">
        <f aca="false">-In_Upfront_Fee*$E103*(AF99=0)*(AF100&gt;0)</f>
        <v>-0</v>
      </c>
      <c r="AG104" s="49" t="n">
        <f aca="false">-In_Upfront_Fee*$E103*(AG99=0)*(AG100&gt;0)</f>
        <v>-0</v>
      </c>
      <c r="AH104" s="49" t="n">
        <f aca="false">-In_Upfront_Fee*$E103*(AH99=0)*(AH100&gt;0)</f>
        <v>-0</v>
      </c>
      <c r="AI104" s="49" t="n">
        <f aca="false">-In_Upfront_Fee*$E103*(AI99=0)*(AI100&gt;0)</f>
        <v>-0</v>
      </c>
      <c r="AJ104" s="49" t="n">
        <f aca="false">-In_Upfront_Fee*$E103*(AJ99=0)*(AJ100&gt;0)</f>
        <v>-0</v>
      </c>
      <c r="AK104" s="49" t="n">
        <f aca="false">-In_Upfront_Fee*$E103*(AK99=0)*(AK100&gt;0)</f>
        <v>-0</v>
      </c>
      <c r="AL104" s="49" t="n">
        <f aca="false">-In_Upfront_Fee*$E103*(AL99=0)*(AL100&gt;0)</f>
        <v>-0</v>
      </c>
      <c r="AM104" s="49" t="n">
        <f aca="false">-In_Upfront_Fee*$E103*(AM99=0)*(AM100&gt;0)</f>
        <v>-0</v>
      </c>
      <c r="AN104" s="49" t="n">
        <f aca="false">-In_Upfront_Fee*$E103*(AN99=0)*(AN100&gt;0)</f>
        <v>-0</v>
      </c>
      <c r="AO104" s="49" t="n">
        <f aca="false">-In_Upfront_Fee*$E103*(AO99=0)*(AO100&gt;0)</f>
        <v>-0</v>
      </c>
      <c r="AP104" s="49" t="n">
        <f aca="false">-In_Upfront_Fee*$E103*(AP99=0)*(AP100&gt;0)</f>
        <v>-0</v>
      </c>
      <c r="AQ104" s="49" t="n">
        <f aca="false">-In_Upfront_Fee*$E103*(AQ99=0)*(AQ100&gt;0)</f>
        <v>-0</v>
      </c>
      <c r="AR104" s="49" t="n">
        <f aca="false">-In_Upfront_Fee*$E103*(AR99=0)*(AR100&gt;0)</f>
        <v>-0</v>
      </c>
      <c r="AS104" s="49" t="n">
        <f aca="false">-In_Upfront_Fee*$E103*(AS99=0)*(AS100&gt;0)</f>
        <v>-0</v>
      </c>
      <c r="AT104" s="49" t="n">
        <f aca="false">-In_Upfront_Fee*$E103*(AT99=0)*(AT100&gt;0)</f>
        <v>-0</v>
      </c>
      <c r="AU104" s="49" t="n">
        <f aca="false">-In_Upfront_Fee*$E103*(AU99=0)*(AU100&gt;0)</f>
        <v>-0</v>
      </c>
      <c r="AV104" s="49" t="n">
        <f aca="false">-In_Upfront_Fee*$E103*(AV99=0)*(AV100&gt;0)</f>
        <v>-0</v>
      </c>
      <c r="AW104" s="49" t="n">
        <f aca="false">-In_Upfront_Fee*$E103*(AW99=0)*(AW100&gt;0)</f>
        <v>-0</v>
      </c>
      <c r="AX104" s="49" t="n">
        <f aca="false">-In_Upfront_Fee*$E103*(AX99=0)*(AX100&gt;0)</f>
        <v>-0</v>
      </c>
      <c r="AY104" s="49" t="n">
        <f aca="false">-In_Upfront_Fee*$E103*(AY99=0)*(AY100&gt;0)</f>
        <v>-0</v>
      </c>
      <c r="AZ104" s="49" t="n">
        <f aca="false">-In_Upfront_Fee*$E103*(AZ99=0)*(AZ100&gt;0)</f>
        <v>-0</v>
      </c>
      <c r="BA104" s="49" t="n">
        <f aca="false">-In_Upfront_Fee*$E103*(BA99=0)*(BA100&gt;0)</f>
        <v>-0</v>
      </c>
      <c r="BB104" s="49" t="n">
        <f aca="false">-In_Upfront_Fee*$E103*(BB99=0)*(BB100&gt;0)</f>
        <v>-0</v>
      </c>
      <c r="BC104" s="49" t="n">
        <f aca="false">-In_Upfront_Fee*$E103*(BC99=0)*(BC100&gt;0)</f>
        <v>-0</v>
      </c>
      <c r="BD104" s="49" t="n">
        <f aca="false">-In_Upfront_Fee*$E103*(BD99=0)*(BD100&gt;0)</f>
        <v>-0</v>
      </c>
      <c r="BE104" s="49" t="n">
        <f aca="false">-In_Upfront_Fee*$E103*(BE99=0)*(BE100&gt;0)</f>
        <v>-0</v>
      </c>
      <c r="BF104" s="49" t="n">
        <f aca="false">-In_Upfront_Fee*$E103*(BF99=0)*(BF100&gt;0)</f>
        <v>-0</v>
      </c>
      <c r="BG104" s="49" t="n">
        <f aca="false">-In_Upfront_Fee*$E103*(BG99=0)*(BG100&gt;0)</f>
        <v>-0</v>
      </c>
      <c r="BH104" s="49" t="n">
        <f aca="false">-In_Upfront_Fee*$E103*(BH99=0)*(BH100&gt;0)</f>
        <v>-0</v>
      </c>
      <c r="BI104" s="49" t="n">
        <f aca="false">-In_Upfront_Fee*$E103*(BI99=0)*(BI100&gt;0)</f>
        <v>-0</v>
      </c>
      <c r="BJ104" s="49" t="n">
        <f aca="false">-In_Upfront_Fee*$E103*(BJ99=0)*(BJ100&gt;0)</f>
        <v>-0</v>
      </c>
      <c r="BK104" s="49" t="n">
        <f aca="false">-In_Upfront_Fee*$E103*(BK99=0)*(BK100&gt;0)</f>
        <v>-0</v>
      </c>
      <c r="BL104" s="49" t="n">
        <f aca="false">-In_Upfront_Fee*$E103*(BL99=0)*(BL100&gt;0)</f>
        <v>-0</v>
      </c>
      <c r="BM104" s="49" t="n">
        <f aca="false">-In_Upfront_Fee*$E103*(BM99=0)*(BM100&gt;0)</f>
        <v>-0</v>
      </c>
      <c r="BN104" s="49" t="n">
        <f aca="false">-In_Upfront_Fee*$E103*(BN99=0)*(BN100&gt;0)</f>
        <v>-0</v>
      </c>
      <c r="BO104" s="49" t="n">
        <f aca="false">-In_Upfront_Fee*$E103*(BO99=0)*(BO100&gt;0)</f>
        <v>-0</v>
      </c>
      <c r="BP104" s="49" t="n">
        <f aca="false">-In_Upfront_Fee*$E103*(BP99=0)*(BP100&gt;0)</f>
        <v>-0</v>
      </c>
      <c r="BQ104" s="49" t="n">
        <f aca="false">-In_Upfront_Fee*$E103*(BQ99=0)*(BQ100&gt;0)</f>
        <v>-0</v>
      </c>
      <c r="BR104" s="49" t="n">
        <f aca="false">-In_Upfront_Fee*$E103*(BR99=0)*(BR100&gt;0)</f>
        <v>-0</v>
      </c>
      <c r="BS104" s="49" t="n">
        <f aca="false">-In_Upfront_Fee*$E103*(BS99=0)*(BS100&gt;0)</f>
        <v>-0</v>
      </c>
      <c r="BT104" s="49" t="n">
        <f aca="false">-In_Upfront_Fee*$E103*(BT99=0)*(BT100&gt;0)</f>
        <v>-0</v>
      </c>
      <c r="BU104" s="49" t="n">
        <f aca="false">-In_Upfront_Fee*$E103*(BU99=0)*(BU100&gt;0)</f>
        <v>-0</v>
      </c>
      <c r="BV104" s="49" t="n">
        <f aca="false">-In_Upfront_Fee*$E103*(BV99=0)*(BV100&gt;0)</f>
        <v>-0</v>
      </c>
      <c r="BW104" s="49" t="n">
        <f aca="false">-In_Upfront_Fee*$E103*(BW99=0)*(BW100&gt;0)</f>
        <v>-0</v>
      </c>
      <c r="BX104" s="49" t="n">
        <f aca="false">-In_Upfront_Fee*$E103*(BX99=0)*(BX100&gt;0)</f>
        <v>-0</v>
      </c>
      <c r="BY104" s="49" t="n">
        <f aca="false">-In_Upfront_Fee*$E103*(BY99=0)*(BY100&gt;0)</f>
        <v>-0</v>
      </c>
      <c r="BZ104" s="49" t="n">
        <f aca="false">-In_Upfront_Fee*$E103*(BZ99=0)*(BZ100&gt;0)</f>
        <v>-0</v>
      </c>
      <c r="CA104" s="49" t="n">
        <f aca="false">-In_Upfront_Fee*$E103*(CA99=0)*(CA100&gt;0)</f>
        <v>-0</v>
      </c>
      <c r="CB104" s="49" t="n">
        <f aca="false">-In_Upfront_Fee*$E103*(CB99=0)*(CB100&gt;0)</f>
        <v>-0</v>
      </c>
      <c r="CC104" s="49" t="n">
        <f aca="false">-In_Upfront_Fee*$E103*(CC99=0)*(CC100&gt;0)</f>
        <v>-0</v>
      </c>
      <c r="CD104" s="49" t="n">
        <f aca="false">-In_Upfront_Fee*$E103*(CD99=0)*(CD100&gt;0)</f>
        <v>-0</v>
      </c>
      <c r="CE104" s="49" t="n">
        <f aca="false">-In_Upfront_Fee*$E103*(CE99=0)*(CE100&gt;0)</f>
        <v>-0</v>
      </c>
      <c r="CF104" s="49" t="n">
        <f aca="false">-In_Upfront_Fee*$E103*(CF99=0)*(CF100&gt;0)</f>
        <v>-0</v>
      </c>
      <c r="CG104" s="49" t="n">
        <f aca="false">-In_Upfront_Fee*$E103*(CG99=0)*(CG100&gt;0)</f>
        <v>-0</v>
      </c>
      <c r="CH104" s="49" t="n">
        <f aca="false">-In_Upfront_Fee*$E103*(CH99=0)*(CH100&gt;0)</f>
        <v>-0</v>
      </c>
      <c r="CI104" s="49" t="n">
        <f aca="false">-In_Upfront_Fee*$E103*(CI99=0)*(CI100&gt;0)</f>
        <v>-0</v>
      </c>
      <c r="CJ104" s="49" t="n">
        <f aca="false">-In_Upfront_Fee*$E103*(CJ99=0)*(CJ100&gt;0)</f>
        <v>-0</v>
      </c>
      <c r="CK104" s="49" t="n">
        <f aca="false">-In_Upfront_Fee*$E103*(CK99=0)*(CK100&gt;0)</f>
        <v>-0</v>
      </c>
      <c r="CL104" s="49" t="n">
        <f aca="false">-In_Upfront_Fee*$E103*(CL99=0)*(CL100&gt;0)</f>
        <v>-0</v>
      </c>
      <c r="CM104" s="49" t="n">
        <f aca="false">-In_Upfront_Fee*$E103*(CM99=0)*(CM100&gt;0)</f>
        <v>-0</v>
      </c>
      <c r="CN104" s="49" t="n">
        <f aca="false">-In_Upfront_Fee*$E103*(CN99=0)*(CN100&gt;0)</f>
        <v>-0</v>
      </c>
      <c r="CO104" s="49" t="n">
        <f aca="false">-In_Upfront_Fee*$E103*(CO99=0)*(CO100&gt;0)</f>
        <v>-0</v>
      </c>
      <c r="CP104" s="49" t="n">
        <f aca="false">-In_Upfront_Fee*$E103*(CP99=0)*(CP100&gt;0)</f>
        <v>-0</v>
      </c>
      <c r="CQ104" s="49" t="n">
        <f aca="false">-In_Upfront_Fee*$E103*(CQ99=0)*(CQ100&gt;0)</f>
        <v>-0</v>
      </c>
      <c r="CR104" s="49" t="n">
        <f aca="false">-In_Upfront_Fee*$E103*(CR99=0)*(CR100&gt;0)</f>
        <v>-0</v>
      </c>
      <c r="CS104" s="49" t="n">
        <f aca="false">-In_Upfront_Fee*$E103*(CS99=0)*(CS100&gt;0)</f>
        <v>-0</v>
      </c>
      <c r="CT104" s="49" t="n">
        <f aca="false">-In_Upfront_Fee*$E103*(CT99=0)*(CT100&gt;0)</f>
        <v>-0</v>
      </c>
      <c r="CU104" s="49" t="n">
        <f aca="false">-In_Upfront_Fee*$E103*(CU99=0)*(CU100&gt;0)</f>
        <v>-0</v>
      </c>
      <c r="CV104" s="49" t="n">
        <f aca="false">-In_Upfront_Fee*$E103*(CV99=0)*(CV100&gt;0)</f>
        <v>-0</v>
      </c>
      <c r="CW104" s="49" t="n">
        <f aca="false">-In_Upfront_Fee*$E103*(CW99=0)*(CW100&gt;0)</f>
        <v>-0</v>
      </c>
      <c r="CX104" s="49" t="n">
        <f aca="false">-In_Upfront_Fee*$E103*(CX99=0)*(CX100&gt;0)</f>
        <v>-0</v>
      </c>
      <c r="CY104" s="49" t="n">
        <f aca="false">-In_Upfront_Fee*$E103*(CY99=0)*(CY100&gt;0)</f>
        <v>-0</v>
      </c>
      <c r="CZ104" s="49" t="n">
        <f aca="false">-In_Upfront_Fee*$E103*(CZ99=0)*(CZ100&gt;0)</f>
        <v>-0</v>
      </c>
      <c r="DA104" s="49" t="n">
        <f aca="false">-In_Upfront_Fee*$E103*(DA99=0)*(DA100&gt;0)</f>
        <v>-0</v>
      </c>
      <c r="DB104" s="49" t="n">
        <f aca="false">-In_Upfront_Fee*$E103*(DB99=0)*(DB100&gt;0)</f>
        <v>-0</v>
      </c>
      <c r="DC104" s="49" t="n">
        <f aca="false">-In_Upfront_Fee*$E103*(DC99=0)*(DC100&gt;0)</f>
        <v>-0</v>
      </c>
      <c r="DD104" s="49" t="n">
        <f aca="false">-In_Upfront_Fee*$E103*(DD99=0)*(DD100&gt;0)</f>
        <v>-0</v>
      </c>
      <c r="DE104" s="49" t="n">
        <f aca="false">-In_Upfront_Fee*$E103*(DE99=0)*(DE100&gt;0)</f>
        <v>-0</v>
      </c>
      <c r="DF104" s="49" t="n">
        <f aca="false">-In_Upfront_Fee*$E103*(DF99=0)*(DF100&gt;0)</f>
        <v>-0</v>
      </c>
      <c r="DG104" s="49" t="n">
        <f aca="false">-In_Upfront_Fee*$E103*(DG99=0)*(DG100&gt;0)</f>
        <v>-0</v>
      </c>
      <c r="DH104" s="49" t="n">
        <f aca="false">-In_Upfront_Fee*$E103*(DH99=0)*(DH100&gt;0)</f>
        <v>-0</v>
      </c>
      <c r="DI104" s="49" t="n">
        <f aca="false">-In_Upfront_Fee*$E103*(DI99=0)*(DI100&gt;0)</f>
        <v>-0</v>
      </c>
      <c r="DJ104" s="49" t="n">
        <f aca="false">-In_Upfront_Fee*$E103*(DJ99=0)*(DJ100&gt;0)</f>
        <v>-0</v>
      </c>
      <c r="DK104" s="49" t="n">
        <f aca="false">-In_Upfront_Fee*$E103*(DK99=0)*(DK100&gt;0)</f>
        <v>-0</v>
      </c>
      <c r="DL104" s="49" t="n">
        <f aca="false">-In_Upfront_Fee*$E103*(DL99=0)*(DL100&gt;0)</f>
        <v>-0</v>
      </c>
      <c r="DM104" s="49" t="n">
        <f aca="false">-In_Upfront_Fee*$E103*(DM99=0)*(DM100&gt;0)</f>
        <v>-0</v>
      </c>
      <c r="DN104" s="49" t="n">
        <f aca="false">-In_Upfront_Fee*$E103*(DN99=0)*(DN100&gt;0)</f>
        <v>-0</v>
      </c>
      <c r="DO104" s="49" t="n">
        <f aca="false">-In_Upfront_Fee*$E103*(DO99=0)*(DO100&gt;0)</f>
        <v>-0</v>
      </c>
      <c r="DP104" s="49" t="n">
        <f aca="false">-In_Upfront_Fee*$E103*(DP99=0)*(DP100&gt;0)</f>
        <v>-0</v>
      </c>
      <c r="DQ104" s="49" t="n">
        <f aca="false">-In_Upfront_Fee*$E103*(DQ99=0)*(DQ100&gt;0)</f>
        <v>-0</v>
      </c>
      <c r="DR104" s="49" t="n">
        <f aca="false">-In_Upfront_Fee*$E103*(DR99=0)*(DR100&gt;0)</f>
        <v>-0</v>
      </c>
      <c r="DS104" s="49" t="n">
        <f aca="false">-In_Upfront_Fee*$E103*(DS99=0)*(DS100&gt;0)</f>
        <v>-0</v>
      </c>
      <c r="DT104" s="49" t="n">
        <f aca="false">-In_Upfront_Fee*$E103*(DT99=0)*(DT100&gt;0)</f>
        <v>-0</v>
      </c>
      <c r="DU104" s="49" t="n">
        <f aca="false">-In_Upfront_Fee*$E103*(DU99=0)*(DU100&gt;0)</f>
        <v>-0</v>
      </c>
      <c r="DV104" s="49" t="n">
        <f aca="false">-In_Upfront_Fee*$E103*(DV99=0)*(DV100&gt;0)</f>
        <v>-0</v>
      </c>
      <c r="DW104" s="49" t="n">
        <f aca="false">-In_Upfront_Fee*$E103*(DW99=0)*(DW100&gt;0)</f>
        <v>-0</v>
      </c>
      <c r="DX104" s="49" t="n">
        <f aca="false">-In_Upfront_Fee*$E103*(DX99=0)*(DX100&gt;0)</f>
        <v>-0</v>
      </c>
      <c r="DY104" s="49" t="n">
        <f aca="false">-In_Upfront_Fee*$E103*(DY99=0)*(DY100&gt;0)</f>
        <v>-0</v>
      </c>
      <c r="DZ104" s="49" t="n">
        <f aca="false">-In_Upfront_Fee*$E103*(DZ99=0)*(DZ100&gt;0)</f>
        <v>-0</v>
      </c>
      <c r="EA104" s="49" t="n">
        <f aca="false">-In_Upfront_Fee*$E103*(EA99=0)*(EA100&gt;0)</f>
        <v>-0</v>
      </c>
      <c r="EB104" s="49" t="n">
        <f aca="false">-In_Upfront_Fee*$E103*(EB99=0)*(EB100&gt;0)</f>
        <v>-0</v>
      </c>
      <c r="EC104" s="49" t="n">
        <f aca="false">-In_Upfront_Fee*$E103*(EC99=0)*(EC100&gt;0)</f>
        <v>-0</v>
      </c>
      <c r="ED104" s="49" t="n">
        <f aca="false">-In_Upfront_Fee*$E103*(ED99=0)*(ED100&gt;0)</f>
        <v>-0</v>
      </c>
      <c r="EE104" s="49" t="n">
        <f aca="false">-In_Upfront_Fee*$E103*(EE99=0)*(EE100&gt;0)</f>
        <v>-0</v>
      </c>
      <c r="EF104" s="49" t="n">
        <f aca="false">-In_Upfront_Fee*$E103*(EF99=0)*(EF100&gt;0)</f>
        <v>-0</v>
      </c>
      <c r="EG104" s="49" t="n">
        <f aca="false">-In_Upfront_Fee*$E103*(EG99=0)*(EG100&gt;0)</f>
        <v>-0</v>
      </c>
      <c r="EH104" s="49" t="n">
        <f aca="false">-In_Upfront_Fee*$E103*(EH99=0)*(EH100&gt;0)</f>
        <v>-0</v>
      </c>
      <c r="EI104" s="49" t="n">
        <f aca="false">-In_Upfront_Fee*$E103*(EI99=0)*(EI100&gt;0)</f>
        <v>-0</v>
      </c>
      <c r="EJ104" s="49" t="n">
        <f aca="false">-In_Upfront_Fee*$E103*(EJ99=0)*(EJ100&gt;0)</f>
        <v>-0</v>
      </c>
      <c r="EK104" s="49" t="n">
        <f aca="false">-In_Upfront_Fee*$E103*(EK99=0)*(EK100&gt;0)</f>
        <v>-0</v>
      </c>
      <c r="EL104" s="49" t="n">
        <f aca="false">-In_Upfront_Fee*$E103*(EL99=0)*(EL100&gt;0)</f>
        <v>-0</v>
      </c>
      <c r="EM104" s="49" t="n">
        <f aca="false">-In_Upfront_Fee*$E103*(EM99=0)*(EM100&gt;0)</f>
        <v>-0</v>
      </c>
      <c r="EN104" s="49" t="n">
        <f aca="false">-In_Upfront_Fee*$E103*(EN99=0)*(EN100&gt;0)</f>
        <v>-0</v>
      </c>
      <c r="EO104" s="49" t="n">
        <f aca="false">-In_Upfront_Fee*$E103*(EO99=0)*(EO100&gt;0)</f>
        <v>-0</v>
      </c>
    </row>
    <row r="105" customFormat="false" ht="15" hidden="false" customHeight="false" outlineLevel="0" collapsed="false">
      <c r="C105" s="1" t="s">
        <v>503</v>
      </c>
      <c r="D105" s="12" t="s">
        <v>33</v>
      </c>
      <c r="I105" s="49" t="n">
        <f aca="false">SUM(J105:EO105)</f>
        <v>-557.005721986292</v>
      </c>
      <c r="J105" s="49" t="n">
        <f aca="false">-In_Commitment_Fee*($I100-SUM($J100:J100)+J100)*J$6*(J12&gt;0)</f>
        <v>-0</v>
      </c>
      <c r="K105" s="49" t="n">
        <f aca="false">-In_Commitment_Fee*($I100-SUM($J100:K100)+K100)*K$6*(K12&gt;0)</f>
        <v>-0</v>
      </c>
      <c r="L105" s="49" t="n">
        <f aca="false">-In_Commitment_Fee*($I100-SUM($J100:L100)+L100)*L$6*(L12&gt;0)</f>
        <v>-0</v>
      </c>
      <c r="M105" s="49" t="n">
        <f aca="false">-In_Commitment_Fee*($I100-SUM($J100:M100)+M100)*M$6*(M12&gt;0)</f>
        <v>-0</v>
      </c>
      <c r="N105" s="49" t="n">
        <f aca="false">-In_Commitment_Fee*($I100-SUM($J100:N100)+N100)*N$6*(N12&gt;0)</f>
        <v>-0</v>
      </c>
      <c r="O105" s="49" t="n">
        <f aca="false">-In_Commitment_Fee*($I100-SUM($J100:O100)+O100)*O$6*(O12&gt;0)</f>
        <v>-0</v>
      </c>
      <c r="P105" s="49" t="n">
        <f aca="false">-In_Commitment_Fee*($I100-SUM($J100:P100)+P100)*P$6*(P12&gt;0)</f>
        <v>-0</v>
      </c>
      <c r="Q105" s="49" t="n">
        <f aca="false">-In_Commitment_Fee*($I100-SUM($J100:Q100)+Q100)*Q$6*(Q12&gt;0)</f>
        <v>-0</v>
      </c>
      <c r="R105" s="49" t="n">
        <f aca="false">-In_Commitment_Fee*($I100-SUM($J100:R100)+R100)*R$6*(R12&gt;0)</f>
        <v>-128.034241678964</v>
      </c>
      <c r="S105" s="49" t="n">
        <f aca="false">-In_Commitment_Fee*($I100-SUM($J100:S100)+S100)*S$6*(S12&gt;0)</f>
        <v>-111.104796433477</v>
      </c>
      <c r="T105" s="49" t="n">
        <f aca="false">-In_Commitment_Fee*($I100-SUM($J100:T100)+T100)*T$6*(T12&gt;0)</f>
        <v>-88.2830184302871</v>
      </c>
      <c r="U105" s="49" t="n">
        <f aca="false">-In_Commitment_Fee*($I100-SUM($J100:U100)+U100)*U$6*(U12&gt;0)</f>
        <v>-74.9498905226122</v>
      </c>
      <c r="V105" s="49" t="n">
        <f aca="false">-In_Commitment_Fee*($I100-SUM($J100:V100)+V100)*V$6*(V12&gt;0)</f>
        <v>-60.4894407534247</v>
      </c>
      <c r="W105" s="49" t="n">
        <f aca="false">-In_Commitment_Fee*($I100-SUM($J100:W100)+W100)*W$6*(W12&gt;0)</f>
        <v>-45.0283607454494</v>
      </c>
      <c r="X105" s="49" t="n">
        <f aca="false">-In_Commitment_Fee*($I100-SUM($J100:X100)+X100)*X$6*(X12&gt;0)</f>
        <v>-31.5363455706981</v>
      </c>
      <c r="Y105" s="49" t="n">
        <f aca="false">-In_Commitment_Fee*($I100-SUM($J100:Y100)+Y100)*Y$6*(Y12&gt;0)</f>
        <v>-17.5796278513793</v>
      </c>
      <c r="Z105" s="49" t="n">
        <f aca="false">-In_Commitment_Fee*($I100-SUM($J100:Z100)+Z100)*Z$6*(Z12&gt;0)</f>
        <v>-0</v>
      </c>
      <c r="AA105" s="49" t="n">
        <f aca="false">-In_Commitment_Fee*($I100-SUM($J100:AA100)+AA100)*AA$6*(AA12&gt;0)</f>
        <v>-0</v>
      </c>
      <c r="AB105" s="49" t="n">
        <f aca="false">-In_Commitment_Fee*($I100-SUM($J100:AB100)+AB100)*AB$6*(AB12&gt;0)</f>
        <v>-0</v>
      </c>
      <c r="AC105" s="49" t="n">
        <f aca="false">-In_Commitment_Fee*($I100-SUM($J100:AC100)+AC100)*AC$6*(AC12&gt;0)</f>
        <v>-0</v>
      </c>
      <c r="AD105" s="49" t="n">
        <f aca="false">-In_Commitment_Fee*($I100-SUM($J100:AD100)+AD100)*AD$6*(AD12&gt;0)</f>
        <v>-0</v>
      </c>
      <c r="AE105" s="49" t="n">
        <f aca="false">-In_Commitment_Fee*($I100-SUM($J100:AE100)+AE100)*AE$6*(AE12&gt;0)</f>
        <v>-0</v>
      </c>
      <c r="AF105" s="49" t="n">
        <f aca="false">-In_Commitment_Fee*($I100-SUM($J100:AF100)+AF100)*AF$6*(AF12&gt;0)</f>
        <v>-0</v>
      </c>
      <c r="AG105" s="49" t="n">
        <f aca="false">-In_Commitment_Fee*($I100-SUM($J100:AG100)+AG100)*AG$6*(AG12&gt;0)</f>
        <v>-0</v>
      </c>
      <c r="AH105" s="49" t="n">
        <f aca="false">-In_Commitment_Fee*($I100-SUM($J100:AH100)+AH100)*AH$6*(AH12&gt;0)</f>
        <v>-0</v>
      </c>
      <c r="AI105" s="49" t="n">
        <f aca="false">-In_Commitment_Fee*($I100-SUM($J100:AI100)+AI100)*AI$6*(AI12&gt;0)</f>
        <v>-0</v>
      </c>
      <c r="AJ105" s="49" t="n">
        <f aca="false">-In_Commitment_Fee*($I100-SUM($J100:AJ100)+AJ100)*AJ$6*(AJ12&gt;0)</f>
        <v>-0</v>
      </c>
      <c r="AK105" s="49" t="n">
        <f aca="false">-In_Commitment_Fee*($I100-SUM($J100:AK100)+AK100)*AK$6*(AK12&gt;0)</f>
        <v>-0</v>
      </c>
      <c r="AL105" s="49" t="n">
        <f aca="false">-In_Commitment_Fee*($I100-SUM($J100:AL100)+AL100)*AL$6*(AL12&gt;0)</f>
        <v>-0</v>
      </c>
      <c r="AM105" s="49" t="n">
        <f aca="false">-In_Commitment_Fee*($I100-SUM($J100:AM100)+AM100)*AM$6*(AM12&gt;0)</f>
        <v>-0</v>
      </c>
      <c r="AN105" s="49" t="n">
        <f aca="false">-In_Commitment_Fee*($I100-SUM($J100:AN100)+AN100)*AN$6*(AN12&gt;0)</f>
        <v>-0</v>
      </c>
      <c r="AO105" s="49" t="n">
        <f aca="false">-In_Commitment_Fee*($I100-SUM($J100:AO100)+AO100)*AO$6*(AO12&gt;0)</f>
        <v>-0</v>
      </c>
      <c r="AP105" s="49" t="n">
        <f aca="false">-In_Commitment_Fee*($I100-SUM($J100:AP100)+AP100)*AP$6*(AP12&gt;0)</f>
        <v>-0</v>
      </c>
      <c r="AQ105" s="49" t="n">
        <f aca="false">-In_Commitment_Fee*($I100-SUM($J100:AQ100)+AQ100)*AQ$6*(AQ12&gt;0)</f>
        <v>-0</v>
      </c>
      <c r="AR105" s="49" t="n">
        <f aca="false">-In_Commitment_Fee*($I100-SUM($J100:AR100)+AR100)*AR$6*(AR12&gt;0)</f>
        <v>-0</v>
      </c>
      <c r="AS105" s="49" t="n">
        <f aca="false">-In_Commitment_Fee*($I100-SUM($J100:AS100)+AS100)*AS$6*(AS12&gt;0)</f>
        <v>-0</v>
      </c>
      <c r="AT105" s="49" t="n">
        <f aca="false">-In_Commitment_Fee*($I100-SUM($J100:AT100)+AT100)*AT$6*(AT12&gt;0)</f>
        <v>-0</v>
      </c>
      <c r="AU105" s="49" t="n">
        <f aca="false">-In_Commitment_Fee*($I100-SUM($J100:AU100)+AU100)*AU$6*(AU12&gt;0)</f>
        <v>-0</v>
      </c>
      <c r="AV105" s="49" t="n">
        <f aca="false">-In_Commitment_Fee*($I100-SUM($J100:AV100)+AV100)*AV$6*(AV12&gt;0)</f>
        <v>-0</v>
      </c>
      <c r="AW105" s="49" t="n">
        <f aca="false">-In_Commitment_Fee*($I100-SUM($J100:AW100)+AW100)*AW$6*(AW12&gt;0)</f>
        <v>-0</v>
      </c>
      <c r="AX105" s="49" t="n">
        <f aca="false">-In_Commitment_Fee*($I100-SUM($J100:AX100)+AX100)*AX$6*(AX12&gt;0)</f>
        <v>-0</v>
      </c>
      <c r="AY105" s="49" t="n">
        <f aca="false">-In_Commitment_Fee*($I100-SUM($J100:AY100)+AY100)*AY$6*(AY12&gt;0)</f>
        <v>-0</v>
      </c>
      <c r="AZ105" s="49" t="n">
        <f aca="false">-In_Commitment_Fee*($I100-SUM($J100:AZ100)+AZ100)*AZ$6*(AZ12&gt;0)</f>
        <v>-0</v>
      </c>
      <c r="BA105" s="49" t="n">
        <f aca="false">-In_Commitment_Fee*($I100-SUM($J100:BA100)+BA100)*BA$6*(BA12&gt;0)</f>
        <v>-0</v>
      </c>
      <c r="BB105" s="49" t="n">
        <f aca="false">-In_Commitment_Fee*($I100-SUM($J100:BB100)+BB100)*BB$6*(BB12&gt;0)</f>
        <v>-0</v>
      </c>
      <c r="BC105" s="49" t="n">
        <f aca="false">-In_Commitment_Fee*($I100-SUM($J100:BC100)+BC100)*BC$6*(BC12&gt;0)</f>
        <v>-0</v>
      </c>
      <c r="BD105" s="49" t="n">
        <f aca="false">-In_Commitment_Fee*($I100-SUM($J100:BD100)+BD100)*BD$6*(BD12&gt;0)</f>
        <v>-0</v>
      </c>
      <c r="BE105" s="49" t="n">
        <f aca="false">-In_Commitment_Fee*($I100-SUM($J100:BE100)+BE100)*BE$6*(BE12&gt;0)</f>
        <v>-0</v>
      </c>
      <c r="BF105" s="49" t="n">
        <f aca="false">-In_Commitment_Fee*($I100-SUM($J100:BF100)+BF100)*BF$6*(BF12&gt;0)</f>
        <v>-0</v>
      </c>
      <c r="BG105" s="49" t="n">
        <f aca="false">-In_Commitment_Fee*($I100-SUM($J100:BG100)+BG100)*BG$6*(BG12&gt;0)</f>
        <v>-0</v>
      </c>
      <c r="BH105" s="49" t="n">
        <f aca="false">-In_Commitment_Fee*($I100-SUM($J100:BH100)+BH100)*BH$6*(BH12&gt;0)</f>
        <v>-0</v>
      </c>
      <c r="BI105" s="49" t="n">
        <f aca="false">-In_Commitment_Fee*($I100-SUM($J100:BI100)+BI100)*BI$6*(BI12&gt;0)</f>
        <v>-0</v>
      </c>
      <c r="BJ105" s="49" t="n">
        <f aca="false">-In_Commitment_Fee*($I100-SUM($J100:BJ100)+BJ100)*BJ$6*(BJ12&gt;0)</f>
        <v>-0</v>
      </c>
      <c r="BK105" s="49" t="n">
        <f aca="false">-In_Commitment_Fee*($I100-SUM($J100:BK100)+BK100)*BK$6*(BK12&gt;0)</f>
        <v>-0</v>
      </c>
      <c r="BL105" s="49" t="n">
        <f aca="false">-In_Commitment_Fee*($I100-SUM($J100:BL100)+BL100)*BL$6*(BL12&gt;0)</f>
        <v>-0</v>
      </c>
      <c r="BM105" s="49" t="n">
        <f aca="false">-In_Commitment_Fee*($I100-SUM($J100:BM100)+BM100)*BM$6*(BM12&gt;0)</f>
        <v>-0</v>
      </c>
      <c r="BN105" s="49" t="n">
        <f aca="false">-In_Commitment_Fee*($I100-SUM($J100:BN100)+BN100)*BN$6*(BN12&gt;0)</f>
        <v>-0</v>
      </c>
      <c r="BO105" s="49" t="n">
        <f aca="false">-In_Commitment_Fee*($I100-SUM($J100:BO100)+BO100)*BO$6*(BO12&gt;0)</f>
        <v>-0</v>
      </c>
      <c r="BP105" s="49" t="n">
        <f aca="false">-In_Commitment_Fee*($I100-SUM($J100:BP100)+BP100)*BP$6*(BP12&gt;0)</f>
        <v>-0</v>
      </c>
      <c r="BQ105" s="49" t="n">
        <f aca="false">-In_Commitment_Fee*($I100-SUM($J100:BQ100)+BQ100)*BQ$6*(BQ12&gt;0)</f>
        <v>-0</v>
      </c>
      <c r="BR105" s="49" t="n">
        <f aca="false">-In_Commitment_Fee*($I100-SUM($J100:BR100)+BR100)*BR$6*(BR12&gt;0)</f>
        <v>-0</v>
      </c>
      <c r="BS105" s="49" t="n">
        <f aca="false">-In_Commitment_Fee*($I100-SUM($J100:BS100)+BS100)*BS$6*(BS12&gt;0)</f>
        <v>-0</v>
      </c>
      <c r="BT105" s="49" t="n">
        <f aca="false">-In_Commitment_Fee*($I100-SUM($J100:BT100)+BT100)*BT$6*(BT12&gt;0)</f>
        <v>-0</v>
      </c>
      <c r="BU105" s="49" t="n">
        <f aca="false">-In_Commitment_Fee*($I100-SUM($J100:BU100)+BU100)*BU$6*(BU12&gt;0)</f>
        <v>-0</v>
      </c>
      <c r="BV105" s="49" t="n">
        <f aca="false">-In_Commitment_Fee*($I100-SUM($J100:BV100)+BV100)*BV$6*(BV12&gt;0)</f>
        <v>-0</v>
      </c>
      <c r="BW105" s="49" t="n">
        <f aca="false">-In_Commitment_Fee*($I100-SUM($J100:BW100)+BW100)*BW$6*(BW12&gt;0)</f>
        <v>-0</v>
      </c>
      <c r="BX105" s="49" t="n">
        <f aca="false">-In_Commitment_Fee*($I100-SUM($J100:BX100)+BX100)*BX$6*(BX12&gt;0)</f>
        <v>-0</v>
      </c>
      <c r="BY105" s="49" t="n">
        <f aca="false">-In_Commitment_Fee*($I100-SUM($J100:BY100)+BY100)*BY$6*(BY12&gt;0)</f>
        <v>-0</v>
      </c>
      <c r="BZ105" s="49" t="n">
        <f aca="false">-In_Commitment_Fee*($I100-SUM($J100:BZ100)+BZ100)*BZ$6*(BZ12&gt;0)</f>
        <v>-0</v>
      </c>
      <c r="CA105" s="49" t="n">
        <f aca="false">-In_Commitment_Fee*($I100-SUM($J100:CA100)+CA100)*CA$6*(CA12&gt;0)</f>
        <v>-0</v>
      </c>
      <c r="CB105" s="49" t="n">
        <f aca="false">-In_Commitment_Fee*($I100-SUM($J100:CB100)+CB100)*CB$6*(CB12&gt;0)</f>
        <v>-0</v>
      </c>
      <c r="CC105" s="49" t="n">
        <f aca="false">-In_Commitment_Fee*($I100-SUM($J100:CC100)+CC100)*CC$6*(CC12&gt;0)</f>
        <v>-0</v>
      </c>
      <c r="CD105" s="49" t="n">
        <f aca="false">-In_Commitment_Fee*($I100-SUM($J100:CD100)+CD100)*CD$6*(CD12&gt;0)</f>
        <v>-0</v>
      </c>
      <c r="CE105" s="49" t="n">
        <f aca="false">-In_Commitment_Fee*($I100-SUM($J100:CE100)+CE100)*CE$6*(CE12&gt;0)</f>
        <v>-0</v>
      </c>
      <c r="CF105" s="49" t="n">
        <f aca="false">-In_Commitment_Fee*($I100-SUM($J100:CF100)+CF100)*CF$6*(CF12&gt;0)</f>
        <v>-0</v>
      </c>
      <c r="CG105" s="49" t="n">
        <f aca="false">-In_Commitment_Fee*($I100-SUM($J100:CG100)+CG100)*CG$6*(CG12&gt;0)</f>
        <v>-0</v>
      </c>
      <c r="CH105" s="49" t="n">
        <f aca="false">-In_Commitment_Fee*($I100-SUM($J100:CH100)+CH100)*CH$6*(CH12&gt;0)</f>
        <v>-0</v>
      </c>
      <c r="CI105" s="49" t="n">
        <f aca="false">-In_Commitment_Fee*($I100-SUM($J100:CI100)+CI100)*CI$6*(CI12&gt;0)</f>
        <v>-0</v>
      </c>
      <c r="CJ105" s="49" t="n">
        <f aca="false">-In_Commitment_Fee*($I100-SUM($J100:CJ100)+CJ100)*CJ$6*(CJ12&gt;0)</f>
        <v>-0</v>
      </c>
      <c r="CK105" s="49" t="n">
        <f aca="false">-In_Commitment_Fee*($I100-SUM($J100:CK100)+CK100)*CK$6*(CK12&gt;0)</f>
        <v>-0</v>
      </c>
      <c r="CL105" s="49" t="n">
        <f aca="false">-In_Commitment_Fee*($I100-SUM($J100:CL100)+CL100)*CL$6*(CL12&gt;0)</f>
        <v>-0</v>
      </c>
      <c r="CM105" s="49" t="n">
        <f aca="false">-In_Commitment_Fee*($I100-SUM($J100:CM100)+CM100)*CM$6*(CM12&gt;0)</f>
        <v>-0</v>
      </c>
      <c r="CN105" s="49" t="n">
        <f aca="false">-In_Commitment_Fee*($I100-SUM($J100:CN100)+CN100)*CN$6*(CN12&gt;0)</f>
        <v>-0</v>
      </c>
      <c r="CO105" s="49" t="n">
        <f aca="false">-In_Commitment_Fee*($I100-SUM($J100:CO100)+CO100)*CO$6*(CO12&gt;0)</f>
        <v>-0</v>
      </c>
      <c r="CP105" s="49" t="n">
        <f aca="false">-In_Commitment_Fee*($I100-SUM($J100:CP100)+CP100)*CP$6*(CP12&gt;0)</f>
        <v>-0</v>
      </c>
      <c r="CQ105" s="49" t="n">
        <f aca="false">-In_Commitment_Fee*($I100-SUM($J100:CQ100)+CQ100)*CQ$6*(CQ12&gt;0)</f>
        <v>-0</v>
      </c>
      <c r="CR105" s="49" t="n">
        <f aca="false">-In_Commitment_Fee*($I100-SUM($J100:CR100)+CR100)*CR$6*(CR12&gt;0)</f>
        <v>-0</v>
      </c>
      <c r="CS105" s="49" t="n">
        <f aca="false">-In_Commitment_Fee*($I100-SUM($J100:CS100)+CS100)*CS$6*(CS12&gt;0)</f>
        <v>-0</v>
      </c>
      <c r="CT105" s="49" t="n">
        <f aca="false">-In_Commitment_Fee*($I100-SUM($J100:CT100)+CT100)*CT$6*(CT12&gt;0)</f>
        <v>-0</v>
      </c>
      <c r="CU105" s="49" t="n">
        <f aca="false">-In_Commitment_Fee*($I100-SUM($J100:CU100)+CU100)*CU$6*(CU12&gt;0)</f>
        <v>-0</v>
      </c>
      <c r="CV105" s="49" t="n">
        <f aca="false">-In_Commitment_Fee*($I100-SUM($J100:CV100)+CV100)*CV$6*(CV12&gt;0)</f>
        <v>-0</v>
      </c>
      <c r="CW105" s="49" t="n">
        <f aca="false">-In_Commitment_Fee*($I100-SUM($J100:CW100)+CW100)*CW$6*(CW12&gt;0)</f>
        <v>-0</v>
      </c>
      <c r="CX105" s="49" t="n">
        <f aca="false">-In_Commitment_Fee*($I100-SUM($J100:CX100)+CX100)*CX$6*(CX12&gt;0)</f>
        <v>-0</v>
      </c>
      <c r="CY105" s="49" t="n">
        <f aca="false">-In_Commitment_Fee*($I100-SUM($J100:CY100)+CY100)*CY$6*(CY12&gt;0)</f>
        <v>-0</v>
      </c>
      <c r="CZ105" s="49" t="n">
        <f aca="false">-In_Commitment_Fee*($I100-SUM($J100:CZ100)+CZ100)*CZ$6*(CZ12&gt;0)</f>
        <v>-0</v>
      </c>
      <c r="DA105" s="49" t="n">
        <f aca="false">-In_Commitment_Fee*($I100-SUM($J100:DA100)+DA100)*DA$6*(DA12&gt;0)</f>
        <v>-0</v>
      </c>
      <c r="DB105" s="49" t="n">
        <f aca="false">-In_Commitment_Fee*($I100-SUM($J100:DB100)+DB100)*DB$6*(DB12&gt;0)</f>
        <v>-0</v>
      </c>
      <c r="DC105" s="49" t="n">
        <f aca="false">-In_Commitment_Fee*($I100-SUM($J100:DC100)+DC100)*DC$6*(DC12&gt;0)</f>
        <v>-0</v>
      </c>
      <c r="DD105" s="49" t="n">
        <f aca="false">-In_Commitment_Fee*($I100-SUM($J100:DD100)+DD100)*DD$6*(DD12&gt;0)</f>
        <v>-0</v>
      </c>
      <c r="DE105" s="49" t="n">
        <f aca="false">-In_Commitment_Fee*($I100-SUM($J100:DE100)+DE100)*DE$6*(DE12&gt;0)</f>
        <v>-0</v>
      </c>
      <c r="DF105" s="49" t="n">
        <f aca="false">-In_Commitment_Fee*($I100-SUM($J100:DF100)+DF100)*DF$6*(DF12&gt;0)</f>
        <v>-0</v>
      </c>
      <c r="DG105" s="49" t="n">
        <f aca="false">-In_Commitment_Fee*($I100-SUM($J100:DG100)+DG100)*DG$6*(DG12&gt;0)</f>
        <v>-0</v>
      </c>
      <c r="DH105" s="49" t="n">
        <f aca="false">-In_Commitment_Fee*($I100-SUM($J100:DH100)+DH100)*DH$6*(DH12&gt;0)</f>
        <v>-0</v>
      </c>
      <c r="DI105" s="49" t="n">
        <f aca="false">-In_Commitment_Fee*($I100-SUM($J100:DI100)+DI100)*DI$6*(DI12&gt;0)</f>
        <v>-0</v>
      </c>
      <c r="DJ105" s="49" t="n">
        <f aca="false">-In_Commitment_Fee*($I100-SUM($J100:DJ100)+DJ100)*DJ$6*(DJ12&gt;0)</f>
        <v>-0</v>
      </c>
      <c r="DK105" s="49" t="n">
        <f aca="false">-In_Commitment_Fee*($I100-SUM($J100:DK100)+DK100)*DK$6*(DK12&gt;0)</f>
        <v>-0</v>
      </c>
      <c r="DL105" s="49" t="n">
        <f aca="false">-In_Commitment_Fee*($I100-SUM($J100:DL100)+DL100)*DL$6*(DL12&gt;0)</f>
        <v>-0</v>
      </c>
      <c r="DM105" s="49" t="n">
        <f aca="false">-In_Commitment_Fee*($I100-SUM($J100:DM100)+DM100)*DM$6*(DM12&gt;0)</f>
        <v>-0</v>
      </c>
      <c r="DN105" s="49" t="n">
        <f aca="false">-In_Commitment_Fee*($I100-SUM($J100:DN100)+DN100)*DN$6*(DN12&gt;0)</f>
        <v>-0</v>
      </c>
      <c r="DO105" s="49" t="n">
        <f aca="false">-In_Commitment_Fee*($I100-SUM($J100:DO100)+DO100)*DO$6*(DO12&gt;0)</f>
        <v>-0</v>
      </c>
      <c r="DP105" s="49" t="n">
        <f aca="false">-In_Commitment_Fee*($I100-SUM($J100:DP100)+DP100)*DP$6*(DP12&gt;0)</f>
        <v>-0</v>
      </c>
      <c r="DQ105" s="49" t="n">
        <f aca="false">-In_Commitment_Fee*($I100-SUM($J100:DQ100)+DQ100)*DQ$6*(DQ12&gt;0)</f>
        <v>-0</v>
      </c>
      <c r="DR105" s="49" t="n">
        <f aca="false">-In_Commitment_Fee*($I100-SUM($J100:DR100)+DR100)*DR$6*(DR12&gt;0)</f>
        <v>-0</v>
      </c>
      <c r="DS105" s="49" t="n">
        <f aca="false">-In_Commitment_Fee*($I100-SUM($J100:DS100)+DS100)*DS$6*(DS12&gt;0)</f>
        <v>-0</v>
      </c>
      <c r="DT105" s="49" t="n">
        <f aca="false">-In_Commitment_Fee*($I100-SUM($J100:DT100)+DT100)*DT$6*(DT12&gt;0)</f>
        <v>-0</v>
      </c>
      <c r="DU105" s="49" t="n">
        <f aca="false">-In_Commitment_Fee*($I100-SUM($J100:DU100)+DU100)*DU$6*(DU12&gt;0)</f>
        <v>-0</v>
      </c>
      <c r="DV105" s="49" t="n">
        <f aca="false">-In_Commitment_Fee*($I100-SUM($J100:DV100)+DV100)*DV$6*(DV12&gt;0)</f>
        <v>-0</v>
      </c>
      <c r="DW105" s="49" t="n">
        <f aca="false">-In_Commitment_Fee*($I100-SUM($J100:DW100)+DW100)*DW$6*(DW12&gt;0)</f>
        <v>-0</v>
      </c>
      <c r="DX105" s="49" t="n">
        <f aca="false">-In_Commitment_Fee*($I100-SUM($J100:DX100)+DX100)*DX$6*(DX12&gt;0)</f>
        <v>-0</v>
      </c>
      <c r="DY105" s="49" t="n">
        <f aca="false">-In_Commitment_Fee*($I100-SUM($J100:DY100)+DY100)*DY$6*(DY12&gt;0)</f>
        <v>-0</v>
      </c>
      <c r="DZ105" s="49" t="n">
        <f aca="false">-In_Commitment_Fee*($I100-SUM($J100:DZ100)+DZ100)*DZ$6*(DZ12&gt;0)</f>
        <v>-0</v>
      </c>
      <c r="EA105" s="49" t="n">
        <f aca="false">-In_Commitment_Fee*($I100-SUM($J100:EA100)+EA100)*EA$6*(EA12&gt;0)</f>
        <v>-0</v>
      </c>
      <c r="EB105" s="49" t="n">
        <f aca="false">-In_Commitment_Fee*($I100-SUM($J100:EB100)+EB100)*EB$6*(EB12&gt;0)</f>
        <v>-0</v>
      </c>
      <c r="EC105" s="49" t="n">
        <f aca="false">-In_Commitment_Fee*($I100-SUM($J100:EC100)+EC100)*EC$6*(EC12&gt;0)</f>
        <v>-0</v>
      </c>
      <c r="ED105" s="49" t="n">
        <f aca="false">-In_Commitment_Fee*($I100-SUM($J100:ED100)+ED100)*ED$6*(ED12&gt;0)</f>
        <v>-0</v>
      </c>
      <c r="EE105" s="49" t="n">
        <f aca="false">-In_Commitment_Fee*($I100-SUM($J100:EE100)+EE100)*EE$6*(EE12&gt;0)</f>
        <v>-0</v>
      </c>
      <c r="EF105" s="49" t="n">
        <f aca="false">-In_Commitment_Fee*($I100-SUM($J100:EF100)+EF100)*EF$6*(EF12&gt;0)</f>
        <v>-0</v>
      </c>
      <c r="EG105" s="49" t="n">
        <f aca="false">-In_Commitment_Fee*($I100-SUM($J100:EG100)+EG100)*EG$6*(EG12&gt;0)</f>
        <v>-0</v>
      </c>
      <c r="EH105" s="49" t="n">
        <f aca="false">-In_Commitment_Fee*($I100-SUM($J100:EH100)+EH100)*EH$6*(EH12&gt;0)</f>
        <v>-0</v>
      </c>
      <c r="EI105" s="49" t="n">
        <f aca="false">-In_Commitment_Fee*($I100-SUM($J100:EI100)+EI100)*EI$6*(EI12&gt;0)</f>
        <v>-0</v>
      </c>
      <c r="EJ105" s="49" t="n">
        <f aca="false">-In_Commitment_Fee*($I100-SUM($J100:EJ100)+EJ100)*EJ$6*(EJ12&gt;0)</f>
        <v>-0</v>
      </c>
      <c r="EK105" s="49" t="n">
        <f aca="false">-In_Commitment_Fee*($I100-SUM($J100:EK100)+EK100)*EK$6*(EK12&gt;0)</f>
        <v>-0</v>
      </c>
      <c r="EL105" s="49" t="n">
        <f aca="false">-In_Commitment_Fee*($I100-SUM($J100:EL100)+EL100)*EL$6*(EL12&gt;0)</f>
        <v>-0</v>
      </c>
      <c r="EM105" s="49" t="n">
        <f aca="false">-In_Commitment_Fee*($I100-SUM($J100:EM100)+EM100)*EM$6*(EM12&gt;0)</f>
        <v>-0</v>
      </c>
      <c r="EN105" s="49" t="n">
        <f aca="false">-In_Commitment_Fee*($I100-SUM($J100:EN100)+EN100)*EN$6*(EN12&gt;0)</f>
        <v>-0</v>
      </c>
      <c r="EO105" s="49" t="n">
        <f aca="false">-In_Commitment_Fee*($I100-SUM($J100:EO100)+EO100)*EO$6*(EO12&gt;0)</f>
        <v>-0</v>
      </c>
    </row>
    <row r="106" customFormat="false" ht="15" hidden="false" customHeight="false" outlineLevel="0" collapsed="false">
      <c r="C106" s="1" t="s">
        <v>504</v>
      </c>
      <c r="D106" s="12" t="s">
        <v>33</v>
      </c>
      <c r="E106" s="49" t="n">
        <f aca="false">-SUMIFS($J96:$EO96,$J$4:$EO$4,"&gt;"&amp;In_COD,$J$4:$EO$4,"&lt;="&amp;EDATE(In_COD,In_DSRA_Months))</f>
        <v>1404.92616034007</v>
      </c>
      <c r="I106" s="49" t="n">
        <f aca="false">SUM(J106:EO106)</f>
        <v>0</v>
      </c>
      <c r="J106" s="49" t="n">
        <f aca="false">$E106*(J19-J14)</f>
        <v>0</v>
      </c>
      <c r="K106" s="49" t="n">
        <f aca="false">$E106*(K19-K14)</f>
        <v>0</v>
      </c>
      <c r="L106" s="49" t="n">
        <f aca="false">$E106*(L19-L14)</f>
        <v>0</v>
      </c>
      <c r="M106" s="49" t="n">
        <f aca="false">$E106*(M19-M14)</f>
        <v>0</v>
      </c>
      <c r="N106" s="49" t="n">
        <f aca="false">$E106*(N19-N14)</f>
        <v>0</v>
      </c>
      <c r="O106" s="49" t="n">
        <f aca="false">$E106*(O19-O14)</f>
        <v>0</v>
      </c>
      <c r="P106" s="49" t="n">
        <f aca="false">$E106*(P19-P14)</f>
        <v>0</v>
      </c>
      <c r="Q106" s="49" t="n">
        <f aca="false">$E106*(Q19-Q14)</f>
        <v>0</v>
      </c>
      <c r="R106" s="49" t="n">
        <f aca="false">$E106*(R19-R14)</f>
        <v>0</v>
      </c>
      <c r="S106" s="49" t="n">
        <f aca="false">$E106*(S19-S14)</f>
        <v>0</v>
      </c>
      <c r="T106" s="49" t="n">
        <f aca="false">$E106*(T19-T14)</f>
        <v>0</v>
      </c>
      <c r="U106" s="49" t="n">
        <f aca="false">$E106*(U19-U14)</f>
        <v>0</v>
      </c>
      <c r="V106" s="49" t="n">
        <f aca="false">$E106*(V19-V14)</f>
        <v>0</v>
      </c>
      <c r="W106" s="49" t="n">
        <f aca="false">$E106*(W19-W14)</f>
        <v>0</v>
      </c>
      <c r="X106" s="49" t="n">
        <f aca="false">$E106*(X19-X14)</f>
        <v>0</v>
      </c>
      <c r="Y106" s="49" t="n">
        <f aca="false">$E106*(Y19-Y14)</f>
        <v>-1404.92616034007</v>
      </c>
      <c r="Z106" s="49" t="n">
        <f aca="false">$E106*(Z19-Z14)</f>
        <v>0</v>
      </c>
      <c r="AA106" s="49" t="n">
        <f aca="false">$E106*(AA19-AA14)</f>
        <v>0</v>
      </c>
      <c r="AB106" s="49" t="n">
        <f aca="false">$E106*(AB19-AB14)</f>
        <v>0</v>
      </c>
      <c r="AC106" s="49" t="n">
        <f aca="false">$E106*(AC19-AC14)</f>
        <v>0</v>
      </c>
      <c r="AD106" s="49" t="n">
        <f aca="false">$E106*(AD19-AD14)</f>
        <v>0</v>
      </c>
      <c r="AE106" s="49" t="n">
        <f aca="false">$E106*(AE19-AE14)</f>
        <v>0</v>
      </c>
      <c r="AF106" s="49" t="n">
        <f aca="false">$E106*(AF19-AF14)</f>
        <v>0</v>
      </c>
      <c r="AG106" s="49" t="n">
        <f aca="false">$E106*(AG19-AG14)</f>
        <v>0</v>
      </c>
      <c r="AH106" s="49" t="n">
        <f aca="false">$E106*(AH19-AH14)</f>
        <v>0</v>
      </c>
      <c r="AI106" s="49" t="n">
        <f aca="false">$E106*(AI19-AI14)</f>
        <v>0</v>
      </c>
      <c r="AJ106" s="49" t="n">
        <f aca="false">$E106*(AJ19-AJ14)</f>
        <v>0</v>
      </c>
      <c r="AK106" s="49" t="n">
        <f aca="false">$E106*(AK19-AK14)</f>
        <v>0</v>
      </c>
      <c r="AL106" s="49" t="n">
        <f aca="false">$E106*(AL19-AL14)</f>
        <v>0</v>
      </c>
      <c r="AM106" s="49" t="n">
        <f aca="false">$E106*(AM19-AM14)</f>
        <v>0</v>
      </c>
      <c r="AN106" s="49" t="n">
        <f aca="false">$E106*(AN19-AN14)</f>
        <v>0</v>
      </c>
      <c r="AO106" s="49" t="n">
        <f aca="false">$E106*(AO19-AO14)</f>
        <v>0</v>
      </c>
      <c r="AP106" s="49" t="n">
        <f aca="false">$E106*(AP19-AP14)</f>
        <v>0</v>
      </c>
      <c r="AQ106" s="49" t="n">
        <f aca="false">$E106*(AQ19-AQ14)</f>
        <v>0</v>
      </c>
      <c r="AR106" s="49" t="n">
        <f aca="false">$E106*(AR19-AR14)</f>
        <v>0</v>
      </c>
      <c r="AS106" s="49" t="n">
        <f aca="false">$E106*(AS19-AS14)</f>
        <v>0</v>
      </c>
      <c r="AT106" s="49" t="n">
        <f aca="false">$E106*(AT19-AT14)</f>
        <v>0</v>
      </c>
      <c r="AU106" s="49" t="n">
        <f aca="false">$E106*(AU19-AU14)</f>
        <v>0</v>
      </c>
      <c r="AV106" s="49" t="n">
        <f aca="false">$E106*(AV19-AV14)</f>
        <v>0</v>
      </c>
      <c r="AW106" s="49" t="n">
        <f aca="false">$E106*(AW19-AW14)</f>
        <v>0</v>
      </c>
      <c r="AX106" s="49" t="n">
        <f aca="false">$E106*(AX19-AX14)</f>
        <v>0</v>
      </c>
      <c r="AY106" s="49" t="n">
        <f aca="false">$E106*(AY19-AY14)</f>
        <v>0</v>
      </c>
      <c r="AZ106" s="49" t="n">
        <f aca="false">$E106*(AZ19-AZ14)</f>
        <v>0</v>
      </c>
      <c r="BA106" s="49" t="n">
        <f aca="false">$E106*(BA19-BA14)</f>
        <v>0</v>
      </c>
      <c r="BB106" s="49" t="n">
        <f aca="false">$E106*(BB19-BB14)</f>
        <v>0</v>
      </c>
      <c r="BC106" s="49" t="n">
        <f aca="false">$E106*(BC19-BC14)</f>
        <v>0</v>
      </c>
      <c r="BD106" s="49" t="n">
        <f aca="false">$E106*(BD19-BD14)</f>
        <v>0</v>
      </c>
      <c r="BE106" s="49" t="n">
        <f aca="false">$E106*(BE19-BE14)</f>
        <v>0</v>
      </c>
      <c r="BF106" s="49" t="n">
        <f aca="false">$E106*(BF19-BF14)</f>
        <v>0</v>
      </c>
      <c r="BG106" s="49" t="n">
        <f aca="false">$E106*(BG19-BG14)</f>
        <v>0</v>
      </c>
      <c r="BH106" s="49" t="n">
        <f aca="false">$E106*(BH19-BH14)</f>
        <v>0</v>
      </c>
      <c r="BI106" s="49" t="n">
        <f aca="false">$E106*(BI19-BI14)</f>
        <v>0</v>
      </c>
      <c r="BJ106" s="49" t="n">
        <f aca="false">$E106*(BJ19-BJ14)</f>
        <v>0</v>
      </c>
      <c r="BK106" s="49" t="n">
        <f aca="false">$E106*(BK19-BK14)</f>
        <v>0</v>
      </c>
      <c r="BL106" s="49" t="n">
        <f aca="false">$E106*(BL19-BL14)</f>
        <v>0</v>
      </c>
      <c r="BM106" s="49" t="n">
        <f aca="false">$E106*(BM19-BM14)</f>
        <v>0</v>
      </c>
      <c r="BN106" s="49" t="n">
        <f aca="false">$E106*(BN19-BN14)</f>
        <v>0</v>
      </c>
      <c r="BO106" s="49" t="n">
        <f aca="false">$E106*(BO19-BO14)</f>
        <v>0</v>
      </c>
      <c r="BP106" s="49" t="n">
        <f aca="false">$E106*(BP19-BP14)</f>
        <v>0</v>
      </c>
      <c r="BQ106" s="49" t="n">
        <f aca="false">$E106*(BQ19-BQ14)</f>
        <v>0</v>
      </c>
      <c r="BR106" s="49" t="n">
        <f aca="false">$E106*(BR19-BR14)</f>
        <v>0</v>
      </c>
      <c r="BS106" s="49" t="n">
        <f aca="false">$E106*(BS19-BS14)</f>
        <v>0</v>
      </c>
      <c r="BT106" s="49" t="n">
        <f aca="false">$E106*(BT19-BT14)</f>
        <v>0</v>
      </c>
      <c r="BU106" s="49" t="n">
        <f aca="false">$E106*(BU19-BU14)</f>
        <v>0</v>
      </c>
      <c r="BV106" s="49" t="n">
        <f aca="false">$E106*(BV19-BV14)</f>
        <v>0</v>
      </c>
      <c r="BW106" s="49" t="n">
        <f aca="false">$E106*(BW19-BW14)</f>
        <v>0</v>
      </c>
      <c r="BX106" s="49" t="n">
        <f aca="false">$E106*(BX19-BX14)</f>
        <v>0</v>
      </c>
      <c r="BY106" s="49" t="n">
        <f aca="false">$E106*(BY19-BY14)</f>
        <v>0</v>
      </c>
      <c r="BZ106" s="49" t="n">
        <f aca="false">$E106*(BZ19-BZ14)</f>
        <v>0</v>
      </c>
      <c r="CA106" s="49" t="n">
        <f aca="false">$E106*(CA19-CA14)</f>
        <v>0</v>
      </c>
      <c r="CB106" s="49" t="n">
        <f aca="false">$E106*(CB19-CB14)</f>
        <v>0</v>
      </c>
      <c r="CC106" s="49" t="n">
        <f aca="false">$E106*(CC19-CC14)</f>
        <v>0</v>
      </c>
      <c r="CD106" s="49" t="n">
        <f aca="false">$E106*(CD19-CD14)</f>
        <v>0</v>
      </c>
      <c r="CE106" s="49" t="n">
        <f aca="false">$E106*(CE19-CE14)</f>
        <v>0</v>
      </c>
      <c r="CF106" s="49" t="n">
        <f aca="false">$E106*(CF19-CF14)</f>
        <v>0</v>
      </c>
      <c r="CG106" s="49" t="n">
        <f aca="false">$E106*(CG19-CG14)</f>
        <v>1404.92616034007</v>
      </c>
      <c r="CH106" s="49" t="n">
        <f aca="false">$E106*(CH19-CH14)</f>
        <v>0</v>
      </c>
      <c r="CI106" s="49" t="n">
        <f aca="false">$E106*(CI19-CI14)</f>
        <v>0</v>
      </c>
      <c r="CJ106" s="49" t="n">
        <f aca="false">$E106*(CJ19-CJ14)</f>
        <v>0</v>
      </c>
      <c r="CK106" s="49" t="n">
        <f aca="false">$E106*(CK19-CK14)</f>
        <v>0</v>
      </c>
      <c r="CL106" s="49" t="n">
        <f aca="false">$E106*(CL19-CL14)</f>
        <v>0</v>
      </c>
      <c r="CM106" s="49" t="n">
        <f aca="false">$E106*(CM19-CM14)</f>
        <v>0</v>
      </c>
      <c r="CN106" s="49" t="n">
        <f aca="false">$E106*(CN19-CN14)</f>
        <v>0</v>
      </c>
      <c r="CO106" s="49" t="n">
        <f aca="false">$E106*(CO19-CO14)</f>
        <v>0</v>
      </c>
      <c r="CP106" s="49" t="n">
        <f aca="false">$E106*(CP19-CP14)</f>
        <v>0</v>
      </c>
      <c r="CQ106" s="49" t="n">
        <f aca="false">$E106*(CQ19-CQ14)</f>
        <v>0</v>
      </c>
      <c r="CR106" s="49" t="n">
        <f aca="false">$E106*(CR19-CR14)</f>
        <v>0</v>
      </c>
      <c r="CS106" s="49" t="n">
        <f aca="false">$E106*(CS19-CS14)</f>
        <v>0</v>
      </c>
      <c r="CT106" s="49" t="n">
        <f aca="false">$E106*(CT19-CT14)</f>
        <v>0</v>
      </c>
      <c r="CU106" s="49" t="n">
        <f aca="false">$E106*(CU19-CU14)</f>
        <v>0</v>
      </c>
      <c r="CV106" s="49" t="n">
        <f aca="false">$E106*(CV19-CV14)</f>
        <v>0</v>
      </c>
      <c r="CW106" s="49" t="n">
        <f aca="false">$E106*(CW19-CW14)</f>
        <v>0</v>
      </c>
      <c r="CX106" s="49" t="n">
        <f aca="false">$E106*(CX19-CX14)</f>
        <v>0</v>
      </c>
      <c r="CY106" s="49" t="n">
        <f aca="false">$E106*(CY19-CY14)</f>
        <v>0</v>
      </c>
      <c r="CZ106" s="49" t="n">
        <f aca="false">$E106*(CZ19-CZ14)</f>
        <v>0</v>
      </c>
      <c r="DA106" s="49" t="n">
        <f aca="false">$E106*(DA19-DA14)</f>
        <v>0</v>
      </c>
      <c r="DB106" s="49" t="n">
        <f aca="false">$E106*(DB19-DB14)</f>
        <v>0</v>
      </c>
      <c r="DC106" s="49" t="n">
        <f aca="false">$E106*(DC19-DC14)</f>
        <v>0</v>
      </c>
      <c r="DD106" s="49" t="n">
        <f aca="false">$E106*(DD19-DD14)</f>
        <v>0</v>
      </c>
      <c r="DE106" s="49" t="n">
        <f aca="false">$E106*(DE19-DE14)</f>
        <v>0</v>
      </c>
      <c r="DF106" s="49" t="n">
        <f aca="false">$E106*(DF19-DF14)</f>
        <v>0</v>
      </c>
      <c r="DG106" s="49" t="n">
        <f aca="false">$E106*(DG19-DG14)</f>
        <v>0</v>
      </c>
      <c r="DH106" s="49" t="n">
        <f aca="false">$E106*(DH19-DH14)</f>
        <v>0</v>
      </c>
      <c r="DI106" s="49" t="n">
        <f aca="false">$E106*(DI19-DI14)</f>
        <v>0</v>
      </c>
      <c r="DJ106" s="49" t="n">
        <f aca="false">$E106*(DJ19-DJ14)</f>
        <v>0</v>
      </c>
      <c r="DK106" s="49" t="n">
        <f aca="false">$E106*(DK19-DK14)</f>
        <v>0</v>
      </c>
      <c r="DL106" s="49" t="n">
        <f aca="false">$E106*(DL19-DL14)</f>
        <v>0</v>
      </c>
      <c r="DM106" s="49" t="n">
        <f aca="false">$E106*(DM19-DM14)</f>
        <v>0</v>
      </c>
      <c r="DN106" s="49" t="n">
        <f aca="false">$E106*(DN19-DN14)</f>
        <v>0</v>
      </c>
      <c r="DO106" s="49" t="n">
        <f aca="false">$E106*(DO19-DO14)</f>
        <v>0</v>
      </c>
      <c r="DP106" s="49" t="n">
        <f aca="false">$E106*(DP19-DP14)</f>
        <v>0</v>
      </c>
      <c r="DQ106" s="49" t="n">
        <f aca="false">$E106*(DQ19-DQ14)</f>
        <v>0</v>
      </c>
      <c r="DR106" s="49" t="n">
        <f aca="false">$E106*(DR19-DR14)</f>
        <v>0</v>
      </c>
      <c r="DS106" s="49" t="n">
        <f aca="false">$E106*(DS19-DS14)</f>
        <v>0</v>
      </c>
      <c r="DT106" s="49" t="n">
        <f aca="false">$E106*(DT19-DT14)</f>
        <v>0</v>
      </c>
      <c r="DU106" s="49" t="n">
        <f aca="false">$E106*(DU19-DU14)</f>
        <v>0</v>
      </c>
      <c r="DV106" s="49" t="n">
        <f aca="false">$E106*(DV19-DV14)</f>
        <v>0</v>
      </c>
      <c r="DW106" s="49" t="n">
        <f aca="false">$E106*(DW19-DW14)</f>
        <v>0</v>
      </c>
      <c r="DX106" s="49" t="n">
        <f aca="false">$E106*(DX19-DX14)</f>
        <v>0</v>
      </c>
      <c r="DY106" s="49" t="n">
        <f aca="false">$E106*(DY19-DY14)</f>
        <v>0</v>
      </c>
      <c r="DZ106" s="49" t="n">
        <f aca="false">$E106*(DZ19-DZ14)</f>
        <v>0</v>
      </c>
      <c r="EA106" s="49" t="n">
        <f aca="false">$E106*(EA19-EA14)</f>
        <v>0</v>
      </c>
      <c r="EB106" s="49" t="n">
        <f aca="false">$E106*(EB19-EB14)</f>
        <v>0</v>
      </c>
      <c r="EC106" s="49" t="n">
        <f aca="false">$E106*(EC19-EC14)</f>
        <v>0</v>
      </c>
      <c r="ED106" s="49" t="n">
        <f aca="false">$E106*(ED19-ED14)</f>
        <v>0</v>
      </c>
      <c r="EE106" s="49" t="n">
        <f aca="false">$E106*(EE19-EE14)</f>
        <v>0</v>
      </c>
      <c r="EF106" s="49" t="n">
        <f aca="false">$E106*(EF19-EF14)</f>
        <v>0</v>
      </c>
      <c r="EG106" s="49" t="n">
        <f aca="false">$E106*(EG19-EG14)</f>
        <v>0</v>
      </c>
      <c r="EH106" s="49" t="n">
        <f aca="false">$E106*(EH19-EH14)</f>
        <v>0</v>
      </c>
      <c r="EI106" s="49" t="n">
        <f aca="false">$E106*(EI19-EI14)</f>
        <v>0</v>
      </c>
      <c r="EJ106" s="49" t="n">
        <f aca="false">$E106*(EJ19-EJ14)</f>
        <v>0</v>
      </c>
      <c r="EK106" s="49" t="n">
        <f aca="false">$E106*(EK19-EK14)</f>
        <v>0</v>
      </c>
      <c r="EL106" s="49" t="n">
        <f aca="false">$E106*(EL19-EL14)</f>
        <v>0</v>
      </c>
      <c r="EM106" s="49" t="n">
        <f aca="false">$E106*(EM19-EM14)</f>
        <v>0</v>
      </c>
      <c r="EN106" s="49" t="n">
        <f aca="false">$E106*(EN19-EN14)</f>
        <v>0</v>
      </c>
      <c r="EO106" s="49" t="n">
        <f aca="false">$E106*(EO19-EO14)</f>
        <v>0</v>
      </c>
    </row>
    <row r="107" customFormat="false" ht="15" hidden="false" customHeight="false" outlineLevel="0" collapsed="false">
      <c r="C107" s="1" t="s">
        <v>505</v>
      </c>
      <c r="D107" s="12" t="s">
        <v>13</v>
      </c>
      <c r="E107" s="54" t="n">
        <f aca="false">MIN($J107:$EO107)</f>
        <v>1.62874780962486</v>
      </c>
      <c r="J107" s="54" t="str">
        <f aca="false">IF(J96&lt;0,J87/-J96,"")</f>
        <v/>
      </c>
      <c r="K107" s="54" t="str">
        <f aca="false">IF(K96&lt;0,K87/-K96,"")</f>
        <v/>
      </c>
      <c r="L107" s="54" t="str">
        <f aca="false">IF(L96&lt;0,L87/-L96,"")</f>
        <v/>
      </c>
      <c r="M107" s="54" t="str">
        <f aca="false">IF(M96&lt;0,M87/-M96,"")</f>
        <v/>
      </c>
      <c r="N107" s="54" t="str">
        <f aca="false">IF(N96&lt;0,N87/-N96,"")</f>
        <v/>
      </c>
      <c r="O107" s="54" t="str">
        <f aca="false">IF(O96&lt;0,O87/-O96,"")</f>
        <v/>
      </c>
      <c r="P107" s="54" t="str">
        <f aca="false">IF(P96&lt;0,P87/-P96,"")</f>
        <v/>
      </c>
      <c r="Q107" s="54" t="str">
        <f aca="false">IF(Q96&lt;0,Q87/-Q96,"")</f>
        <v/>
      </c>
      <c r="R107" s="54" t="str">
        <f aca="false">IF(R96&lt;0,R87/-R96,"")</f>
        <v/>
      </c>
      <c r="S107" s="54" t="str">
        <f aca="false">IF(S96&lt;0,S87/-S96,"")</f>
        <v/>
      </c>
      <c r="T107" s="54" t="str">
        <f aca="false">IF(T96&lt;0,T87/-T96,"")</f>
        <v/>
      </c>
      <c r="U107" s="54" t="str">
        <f aca="false">IF(U96&lt;0,U87/-U96,"")</f>
        <v/>
      </c>
      <c r="V107" s="54" t="str">
        <f aca="false">IF(V96&lt;0,V87/-V96,"")</f>
        <v/>
      </c>
      <c r="W107" s="54" t="str">
        <f aca="false">IF(W96&lt;0,W87/-W96,"")</f>
        <v/>
      </c>
      <c r="X107" s="54" t="str">
        <f aca="false">IF(X96&lt;0,X87/-X96,"")</f>
        <v/>
      </c>
      <c r="Y107" s="54" t="str">
        <f aca="false">IF(Y96&lt;0,Y87/-Y96,"")</f>
        <v/>
      </c>
      <c r="Z107" s="54" t="n">
        <f aca="false">IF(Z96&lt;0,Z87/-Z96,"")</f>
        <v>1.6687057181824</v>
      </c>
      <c r="AA107" s="54" t="n">
        <f aca="false">IF(AA96&lt;0,AA87/-AA96,"")</f>
        <v>1.64326253088841</v>
      </c>
      <c r="AB107" s="54" t="n">
        <f aca="false">IF(AB96&lt;0,AB87/-AB96,"")</f>
        <v>1.66063761806867</v>
      </c>
      <c r="AC107" s="54" t="n">
        <f aca="false">IF(AC96&lt;0,AC87/-AC96,"")</f>
        <v>1.6780070743931</v>
      </c>
      <c r="AD107" s="54" t="n">
        <f aca="false">IF(AD96&lt;0,AD87/-AD96,"")</f>
        <v>1.67196597210246</v>
      </c>
      <c r="AE107" s="54" t="n">
        <f aca="false">IF(AE96&lt;0,AE87/-AE96,"")</f>
        <v>1.66418054672409</v>
      </c>
      <c r="AF107" s="54" t="n">
        <f aca="false">IF(AF96&lt;0,AF87/-AF96,"")</f>
        <v>1.66370712898979</v>
      </c>
      <c r="AG107" s="54" t="n">
        <f aca="false">IF(AG96&lt;0,AG87/-AG96,"")</f>
        <v>1.68110750744006</v>
      </c>
      <c r="AH107" s="54" t="n">
        <f aca="false">IF(AH96&lt;0,AH87/-AH96,"")</f>
        <v>1.67500750280834</v>
      </c>
      <c r="AI107" s="54" t="n">
        <f aca="false">IF(AI96&lt;0,AI87/-AI96,"")</f>
        <v>1.64911747916605</v>
      </c>
      <c r="AJ107" s="54" t="n">
        <f aca="false">IF(AJ96&lt;0,AJ87/-AJ96,"")</f>
        <v>1.68838188557238</v>
      </c>
      <c r="AK107" s="54" t="n">
        <f aca="false">IF(AK96&lt;0,AK87/-AK96,"")</f>
        <v>1.70605046333708</v>
      </c>
      <c r="AL107" s="54" t="n">
        <f aca="false">IF(AL96&lt;0,AL87/-AL96,"")</f>
        <v>1.67915683418841</v>
      </c>
      <c r="AM107" s="54" t="n">
        <f aca="false">IF(AM96&lt;0,AM87/-AM96,"")</f>
        <v>1.65240353168851</v>
      </c>
      <c r="AN107" s="54" t="n">
        <f aca="false">IF(AN96&lt;0,AN87/-AN96,"")</f>
        <v>1.66898070797226</v>
      </c>
      <c r="AO107" s="54" t="n">
        <f aca="false">IF(AO96&lt;0,AO87/-AO96,"")</f>
        <v>1.68554481217331</v>
      </c>
      <c r="AP107" s="54" t="n">
        <f aca="false">IF(AP96&lt;0,AP87/-AP96,"")</f>
        <v>1.6792479667015</v>
      </c>
      <c r="AQ107" s="54" t="n">
        <f aca="false">IF(AQ96&lt;0,AQ87/-AQ96,"")</f>
        <v>1.65225395287118</v>
      </c>
      <c r="AR107" s="54" t="n">
        <f aca="false">IF(AR96&lt;0,AR87/-AR96,"")</f>
        <v>1.6688235475089</v>
      </c>
      <c r="AS107" s="54" t="n">
        <f aca="false">IF(AS96&lt;0,AS87/-AS96,"")</f>
        <v>1.68537940410226</v>
      </c>
      <c r="AT107" s="54" t="n">
        <f aca="false">IF(AT96&lt;0,AT87/-AT96,"")</f>
        <v>1.6789951144341</v>
      </c>
      <c r="AU107" s="54" t="n">
        <f aca="false">IF(AU96&lt;0,AU87/-AU96,"")</f>
        <v>1.66946888579612</v>
      </c>
      <c r="AV107" s="54" t="n">
        <f aca="false">IF(AV96&lt;0,AV87/-AV96,"")</f>
        <v>1.66831385110459</v>
      </c>
      <c r="AW107" s="54" t="n">
        <f aca="false">IF(AW96&lt;0,AW87/-AW96,"")</f>
        <v>1.68485725387633</v>
      </c>
      <c r="AX107" s="54" t="n">
        <f aca="false">IF(AX96&lt;0,AX87/-AX96,"")</f>
        <v>1.67838263457195</v>
      </c>
      <c r="AY107" s="54" t="n">
        <f aca="false">IF(AY96&lt;0,AY87/-AY96,"")</f>
        <v>1.65089390254864</v>
      </c>
      <c r="AZ107" s="54" t="n">
        <f aca="false">IF(AZ96&lt;0,AZ87/-AZ96,"")</f>
        <v>1.66743562609662</v>
      </c>
      <c r="BA107" s="54" t="n">
        <f aca="false">IF(BA96&lt;0,BA87/-BA96,"")</f>
        <v>1.68396217616556</v>
      </c>
      <c r="BB107" s="54" t="n">
        <f aca="false">IF(BB96&lt;0,BB87/-BB96,"")</f>
        <v>1.67739420193053</v>
      </c>
      <c r="BC107" s="54" t="n">
        <f aca="false">IF(BC96&lt;0,BC87/-BC96,"")</f>
        <v>1.64965113785994</v>
      </c>
      <c r="BD107" s="54" t="n">
        <f aca="false">IF(BD96&lt;0,BD87/-BD96,"")</f>
        <v>1.66617218164025</v>
      </c>
      <c r="BE107" s="54" t="n">
        <f aca="false">IF(BE96&lt;0,BE87/-BE96,"")</f>
        <v>1.68267727892352</v>
      </c>
      <c r="BF107" s="54" t="n">
        <f aca="false">IF(BF96&lt;0,BF87/-BF96,"")</f>
        <v>1.67601277745816</v>
      </c>
      <c r="BG107" s="54" t="n">
        <f aca="false">IF(BG96&lt;0,BG87/-BG96,"")</f>
        <v>1.64801050327774</v>
      </c>
      <c r="BH107" s="54" t="n">
        <f aca="false">IF(BH96&lt;0,BH87/-BH96,"")</f>
        <v>1.66450609645456</v>
      </c>
      <c r="BI107" s="54" t="n">
        <f aca="false">IF(BI96&lt;0,BI87/-BI96,"")</f>
        <v>1.68098493073469</v>
      </c>
      <c r="BJ107" s="54" t="n">
        <f aca="false">IF(BJ96&lt;0,BJ87/-BJ96,"")</f>
        <v>1.67422057521721</v>
      </c>
      <c r="BK107" s="54" t="n">
        <f aca="false">IF(BK96&lt;0,BK87/-BK96,"")</f>
        <v>1.6638281997563</v>
      </c>
      <c r="BL107" s="54" t="n">
        <f aca="false">IF(BL96&lt;0,BL87/-BL96,"")</f>
        <v>1.66241918500887</v>
      </c>
      <c r="BM107" s="54" t="n">
        <f aca="false">IF(BM96&lt;0,BM87/-BM96,"")</f>
        <v>1.67886672658315</v>
      </c>
      <c r="BN107" s="54" t="n">
        <f aca="false">IF(BN96&lt;0,BN87/-BN96,"")</f>
        <v>1.67199902776802</v>
      </c>
      <c r="BO107" s="54" t="n">
        <f aca="false">IF(BO96&lt;0,BO87/-BO96,"")</f>
        <v>1.64346296221229</v>
      </c>
      <c r="BP107" s="54" t="n">
        <f aca="false">IF(BP96&lt;0,BP87/-BP96,"")</f>
        <v>1.6598924620726</v>
      </c>
      <c r="BQ107" s="54" t="n">
        <f aca="false">IF(BQ96&lt;0,BQ87/-BQ96,"")</f>
        <v>1.67630345196443</v>
      </c>
      <c r="BR107" s="54" t="n">
        <f aca="false">IF(BR96&lt;0,BR87/-BR96,"")</f>
        <v>1.66932874987611</v>
      </c>
      <c r="BS107" s="54" t="n">
        <f aca="false">IF(BS96&lt;0,BS87/-BS96,"")</f>
        <v>1.64051771287144</v>
      </c>
      <c r="BT107" s="54" t="n">
        <f aca="false">IF(BT96&lt;0,BT87/-BT96,"")</f>
        <v>1.65690610554724</v>
      </c>
      <c r="BU107" s="54" t="n">
        <f aca="false">IF(BU96&lt;0,BU87/-BU96,"")</f>
        <v>1.67327504525799</v>
      </c>
      <c r="BV107" s="54" t="n">
        <f aca="false">IF(BV96&lt;0,BV87/-BV96,"")</f>
        <v>1.66618950045957</v>
      </c>
      <c r="BW107" s="54" t="n">
        <f aca="false">IF(BW96&lt;0,BW87/-BW96,"")</f>
        <v>1.63709783271309</v>
      </c>
      <c r="BX107" s="54" t="n">
        <f aca="false">IF(BX96&lt;0,BX87/-BX96,"")</f>
        <v>1.65343941749505</v>
      </c>
      <c r="BY107" s="54" t="n">
        <f aca="false">IF(BY96&lt;0,BY87/-BY96,"")</f>
        <v>1.6697605582741</v>
      </c>
      <c r="BZ107" s="54" t="n">
        <f aca="false">IF(BZ96&lt;0,BZ87/-BZ96,"")</f>
        <v>1.66256014268905</v>
      </c>
      <c r="CA107" s="54" t="n">
        <f aca="false">IF(CA96&lt;0,CA87/-CA96,"")</f>
        <v>1.65118962563786</v>
      </c>
      <c r="CB107" s="54" t="n">
        <f aca="false">IF(CB96&lt;0,CB87/-CB96,"")</f>
        <v>1.64947078327491</v>
      </c>
      <c r="CC107" s="54" t="n">
        <f aca="false">IF(CC96&lt;0,CC87/-CC96,"")</f>
        <v>1.66573811488434</v>
      </c>
      <c r="CD107" s="54" t="n">
        <f aca="false">IF(CD96&lt;0,CD87/-CD96,"")</f>
        <v>1.65841860214849</v>
      </c>
      <c r="CE107" s="54" t="n">
        <f aca="false">IF(CE96&lt;0,CE87/-CE96,"")</f>
        <v>1.62874780962486</v>
      </c>
      <c r="CF107" s="54" t="n">
        <f aca="false">IF(CF96&lt;0,CF87/-CF96,"")</f>
        <v>1.64497762869111</v>
      </c>
      <c r="CG107" s="54" t="n">
        <f aca="false">IF(CG96&lt;0,CG87/-CG96,"")</f>
        <v>1.6611848676403</v>
      </c>
      <c r="CH107" s="54" t="str">
        <f aca="false">IF(CH96&lt;0,CH87/-CH96,"")</f>
        <v/>
      </c>
      <c r="CI107" s="54" t="str">
        <f aca="false">IF(CI96&lt;0,CI87/-CI96,"")</f>
        <v/>
      </c>
      <c r="CJ107" s="54" t="str">
        <f aca="false">IF(CJ96&lt;0,CJ87/-CJ96,"")</f>
        <v/>
      </c>
      <c r="CK107" s="54" t="str">
        <f aca="false">IF(CK96&lt;0,CK87/-CK96,"")</f>
        <v/>
      </c>
      <c r="CL107" s="54" t="str">
        <f aca="false">IF(CL96&lt;0,CL87/-CL96,"")</f>
        <v/>
      </c>
      <c r="CM107" s="54" t="str">
        <f aca="false">IF(CM96&lt;0,CM87/-CM96,"")</f>
        <v/>
      </c>
      <c r="CN107" s="54" t="str">
        <f aca="false">IF(CN96&lt;0,CN87/-CN96,"")</f>
        <v/>
      </c>
      <c r="CO107" s="54" t="str">
        <f aca="false">IF(CO96&lt;0,CO87/-CO96,"")</f>
        <v/>
      </c>
      <c r="CP107" s="54" t="str">
        <f aca="false">IF(CP96&lt;0,CP87/-CP96,"")</f>
        <v/>
      </c>
      <c r="CQ107" s="54" t="str">
        <f aca="false">IF(CQ96&lt;0,CQ87/-CQ96,"")</f>
        <v/>
      </c>
      <c r="CR107" s="54" t="str">
        <f aca="false">IF(CR96&lt;0,CR87/-CR96,"")</f>
        <v/>
      </c>
      <c r="CS107" s="54" t="str">
        <f aca="false">IF(CS96&lt;0,CS87/-CS96,"")</f>
        <v/>
      </c>
      <c r="CT107" s="54" t="str">
        <f aca="false">IF(CT96&lt;0,CT87/-CT96,"")</f>
        <v/>
      </c>
      <c r="CU107" s="54" t="str">
        <f aca="false">IF(CU96&lt;0,CU87/-CU96,"")</f>
        <v/>
      </c>
      <c r="CV107" s="54" t="str">
        <f aca="false">IF(CV96&lt;0,CV87/-CV96,"")</f>
        <v/>
      </c>
      <c r="CW107" s="54" t="str">
        <f aca="false">IF(CW96&lt;0,CW87/-CW96,"")</f>
        <v/>
      </c>
      <c r="CX107" s="54" t="str">
        <f aca="false">IF(CX96&lt;0,CX87/-CX96,"")</f>
        <v/>
      </c>
      <c r="CY107" s="54" t="str">
        <f aca="false">IF(CY96&lt;0,CY87/-CY96,"")</f>
        <v/>
      </c>
      <c r="CZ107" s="54" t="str">
        <f aca="false">IF(CZ96&lt;0,CZ87/-CZ96,"")</f>
        <v/>
      </c>
      <c r="DA107" s="54" t="str">
        <f aca="false">IF(DA96&lt;0,DA87/-DA96,"")</f>
        <v/>
      </c>
      <c r="DB107" s="54" t="str">
        <f aca="false">IF(DB96&lt;0,DB87/-DB96,"")</f>
        <v/>
      </c>
      <c r="DC107" s="54" t="str">
        <f aca="false">IF(DC96&lt;0,DC87/-DC96,"")</f>
        <v/>
      </c>
      <c r="DD107" s="54" t="str">
        <f aca="false">IF(DD96&lt;0,DD87/-DD96,"")</f>
        <v/>
      </c>
      <c r="DE107" s="54" t="str">
        <f aca="false">IF(DE96&lt;0,DE87/-DE96,"")</f>
        <v/>
      </c>
      <c r="DF107" s="54" t="str">
        <f aca="false">IF(DF96&lt;0,DF87/-DF96,"")</f>
        <v/>
      </c>
      <c r="DG107" s="54" t="str">
        <f aca="false">IF(DG96&lt;0,DG87/-DG96,"")</f>
        <v/>
      </c>
      <c r="DH107" s="54" t="str">
        <f aca="false">IF(DH96&lt;0,DH87/-DH96,"")</f>
        <v/>
      </c>
      <c r="DI107" s="54" t="str">
        <f aca="false">IF(DI96&lt;0,DI87/-DI96,"")</f>
        <v/>
      </c>
      <c r="DJ107" s="54" t="str">
        <f aca="false">IF(DJ96&lt;0,DJ87/-DJ96,"")</f>
        <v/>
      </c>
      <c r="DK107" s="54" t="str">
        <f aca="false">IF(DK96&lt;0,DK87/-DK96,"")</f>
        <v/>
      </c>
      <c r="DL107" s="54" t="str">
        <f aca="false">IF(DL96&lt;0,DL87/-DL96,"")</f>
        <v/>
      </c>
      <c r="DM107" s="54" t="str">
        <f aca="false">IF(DM96&lt;0,DM87/-DM96,"")</f>
        <v/>
      </c>
      <c r="DN107" s="54" t="str">
        <f aca="false">IF(DN96&lt;0,DN87/-DN96,"")</f>
        <v/>
      </c>
      <c r="DO107" s="54" t="str">
        <f aca="false">IF(DO96&lt;0,DO87/-DO96,"")</f>
        <v/>
      </c>
      <c r="DP107" s="54" t="str">
        <f aca="false">IF(DP96&lt;0,DP87/-DP96,"")</f>
        <v/>
      </c>
      <c r="DQ107" s="54" t="str">
        <f aca="false">IF(DQ96&lt;0,DQ87/-DQ96,"")</f>
        <v/>
      </c>
      <c r="DR107" s="54" t="str">
        <f aca="false">IF(DR96&lt;0,DR87/-DR96,"")</f>
        <v/>
      </c>
      <c r="DS107" s="54" t="str">
        <f aca="false">IF(DS96&lt;0,DS87/-DS96,"")</f>
        <v/>
      </c>
      <c r="DT107" s="54" t="str">
        <f aca="false">IF(DT96&lt;0,DT87/-DT96,"")</f>
        <v/>
      </c>
      <c r="DU107" s="54" t="str">
        <f aca="false">IF(DU96&lt;0,DU87/-DU96,"")</f>
        <v/>
      </c>
      <c r="DV107" s="54" t="str">
        <f aca="false">IF(DV96&lt;0,DV87/-DV96,"")</f>
        <v/>
      </c>
      <c r="DW107" s="54" t="str">
        <f aca="false">IF(DW96&lt;0,DW87/-DW96,"")</f>
        <v/>
      </c>
      <c r="DX107" s="54" t="str">
        <f aca="false">IF(DX96&lt;0,DX87/-DX96,"")</f>
        <v/>
      </c>
      <c r="DY107" s="54" t="str">
        <f aca="false">IF(DY96&lt;0,DY87/-DY96,"")</f>
        <v/>
      </c>
      <c r="DZ107" s="54" t="str">
        <f aca="false">IF(DZ96&lt;0,DZ87/-DZ96,"")</f>
        <v/>
      </c>
      <c r="EA107" s="54" t="str">
        <f aca="false">IF(EA96&lt;0,EA87/-EA96,"")</f>
        <v/>
      </c>
      <c r="EB107" s="54" t="str">
        <f aca="false">IF(EB96&lt;0,EB87/-EB96,"")</f>
        <v/>
      </c>
      <c r="EC107" s="54" t="str">
        <f aca="false">IF(EC96&lt;0,EC87/-EC96,"")</f>
        <v/>
      </c>
      <c r="ED107" s="54" t="str">
        <f aca="false">IF(ED96&lt;0,ED87/-ED96,"")</f>
        <v/>
      </c>
      <c r="EE107" s="54" t="str">
        <f aca="false">IF(EE96&lt;0,EE87/-EE96,"")</f>
        <v/>
      </c>
      <c r="EF107" s="54" t="str">
        <f aca="false">IF(EF96&lt;0,EF87/-EF96,"")</f>
        <v/>
      </c>
      <c r="EG107" s="54" t="str">
        <f aca="false">IF(EG96&lt;0,EG87/-EG96,"")</f>
        <v/>
      </c>
      <c r="EH107" s="54" t="str">
        <f aca="false">IF(EH96&lt;0,EH87/-EH96,"")</f>
        <v/>
      </c>
      <c r="EI107" s="54" t="str">
        <f aca="false">IF(EI96&lt;0,EI87/-EI96,"")</f>
        <v/>
      </c>
      <c r="EJ107" s="54" t="str">
        <f aca="false">IF(EJ96&lt;0,EJ87/-EJ96,"")</f>
        <v/>
      </c>
      <c r="EK107" s="54" t="str">
        <f aca="false">IF(EK96&lt;0,EK87/-EK96,"")</f>
        <v/>
      </c>
      <c r="EL107" s="54" t="str">
        <f aca="false">IF(EL96&lt;0,EL87/-EL96,"")</f>
        <v/>
      </c>
      <c r="EM107" s="54" t="str">
        <f aca="false">IF(EM96&lt;0,EM87/-EM96,"")</f>
        <v/>
      </c>
      <c r="EN107" s="54" t="str">
        <f aca="false">IF(EN96&lt;0,EN87/-EN96,"")</f>
        <v/>
      </c>
      <c r="EO107" s="54" t="str">
        <f aca="false">IF(EO96&lt;0,EO87/-EO96,"")</f>
        <v/>
      </c>
    </row>
    <row r="109" customFormat="false" ht="15" hidden="false" customHeight="false" outlineLevel="0" collapsed="false">
      <c r="A109" s="10" t="s">
        <v>13</v>
      </c>
      <c r="B109" s="10"/>
      <c r="C109" s="10" t="s">
        <v>506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customFormat="false" ht="15" hidden="false" customHeight="false" outlineLevel="0" collapsed="false">
      <c r="C110" s="1" t="s">
        <v>507</v>
      </c>
      <c r="D110" s="12" t="s">
        <v>33</v>
      </c>
      <c r="E110" s="49" t="n">
        <f aca="false">$I101-($I68+$I58+$I69+$I55+$I48+$I49+$I50)</f>
        <v>111000.293925295</v>
      </c>
      <c r="I110" s="49" t="n">
        <f aca="false">SUM(J110:EO110)</f>
        <v>-111000.293925295</v>
      </c>
      <c r="J110" s="49" t="n">
        <f aca="false">-$E110*J20</f>
        <v>-0</v>
      </c>
      <c r="K110" s="49" t="n">
        <f aca="false">-$E110*K20</f>
        <v>-0</v>
      </c>
      <c r="L110" s="49" t="n">
        <f aca="false">-$E110*L20</f>
        <v>-0</v>
      </c>
      <c r="M110" s="49" t="n">
        <f aca="false">-$E110*M20</f>
        <v>-0</v>
      </c>
      <c r="N110" s="49" t="n">
        <f aca="false">-$E110*N20</f>
        <v>-0</v>
      </c>
      <c r="O110" s="49" t="n">
        <f aca="false">-$E110*O20</f>
        <v>-0</v>
      </c>
      <c r="P110" s="49" t="n">
        <f aca="false">-$E110*P20</f>
        <v>-0</v>
      </c>
      <c r="Q110" s="49" t="n">
        <f aca="false">-$E110*Q20</f>
        <v>-0</v>
      </c>
      <c r="R110" s="49" t="n">
        <f aca="false">-$E110*R20</f>
        <v>-0</v>
      </c>
      <c r="S110" s="49" t="n">
        <f aca="false">-$E110*S20</f>
        <v>-0</v>
      </c>
      <c r="T110" s="49" t="n">
        <f aca="false">-$E110*T20</f>
        <v>-0</v>
      </c>
      <c r="U110" s="49" t="n">
        <f aca="false">-$E110*U20</f>
        <v>-0</v>
      </c>
      <c r="V110" s="49" t="n">
        <f aca="false">-$E110*V20</f>
        <v>-0</v>
      </c>
      <c r="W110" s="49" t="n">
        <f aca="false">-$E110*W20</f>
        <v>-0</v>
      </c>
      <c r="X110" s="49" t="n">
        <f aca="false">-$E110*X20</f>
        <v>-0</v>
      </c>
      <c r="Y110" s="49" t="n">
        <f aca="false">-$E110*Y20</f>
        <v>-0</v>
      </c>
      <c r="Z110" s="49" t="n">
        <f aca="false">-$E110*Z20</f>
        <v>-1397.95031363821</v>
      </c>
      <c r="AA110" s="49" t="n">
        <f aca="false">-$E110*AA20</f>
        <v>-1367.56008942868</v>
      </c>
      <c r="AB110" s="49" t="n">
        <f aca="false">-$E110*AB20</f>
        <v>-1382.75520153344</v>
      </c>
      <c r="AC110" s="49" t="n">
        <f aca="false">-$E110*AC20</f>
        <v>-1397.95031363821</v>
      </c>
      <c r="AD110" s="49" t="n">
        <f aca="false">-$E110*AD20</f>
        <v>-1397.95031363821</v>
      </c>
      <c r="AE110" s="49" t="n">
        <f aca="false">-$E110*AE20</f>
        <v>-1382.75520153344</v>
      </c>
      <c r="AF110" s="49" t="n">
        <f aca="false">-$E110*AF20</f>
        <v>-1382.75520153344</v>
      </c>
      <c r="AG110" s="49" t="n">
        <f aca="false">-$E110*AG20</f>
        <v>-1397.95031363821</v>
      </c>
      <c r="AH110" s="49" t="n">
        <f aca="false">-$E110*AH20</f>
        <v>-1397.95031363821</v>
      </c>
      <c r="AI110" s="49" t="n">
        <f aca="false">-$E110*AI20</f>
        <v>-1367.56008942868</v>
      </c>
      <c r="AJ110" s="49" t="n">
        <f aca="false">-$E110*AJ20</f>
        <v>-1382.75520153344</v>
      </c>
      <c r="AK110" s="49" t="n">
        <f aca="false">-$E110*AK20</f>
        <v>-1397.95031363821</v>
      </c>
      <c r="AL110" s="49" t="n">
        <f aca="false">-$E110*AL20</f>
        <v>-1397.95031363821</v>
      </c>
      <c r="AM110" s="49" t="n">
        <f aca="false">-$E110*AM20</f>
        <v>-1367.56008942868</v>
      </c>
      <c r="AN110" s="49" t="n">
        <f aca="false">-$E110*AN20</f>
        <v>-1382.75520153344</v>
      </c>
      <c r="AO110" s="49" t="n">
        <f aca="false">-$E110*AO20</f>
        <v>-1397.95031363821</v>
      </c>
      <c r="AP110" s="49" t="n">
        <f aca="false">-$E110*AP20</f>
        <v>-1397.95031363821</v>
      </c>
      <c r="AQ110" s="49" t="n">
        <f aca="false">-$E110*AQ20</f>
        <v>-1367.56008942868</v>
      </c>
      <c r="AR110" s="49" t="n">
        <f aca="false">-$E110*AR20</f>
        <v>-1382.75520153344</v>
      </c>
      <c r="AS110" s="49" t="n">
        <f aca="false">-$E110*AS20</f>
        <v>-1397.95031363821</v>
      </c>
      <c r="AT110" s="49" t="n">
        <f aca="false">-$E110*AT20</f>
        <v>-1397.95031363821</v>
      </c>
      <c r="AU110" s="49" t="n">
        <f aca="false">-$E110*AU20</f>
        <v>-1382.75520153344</v>
      </c>
      <c r="AV110" s="49" t="n">
        <f aca="false">-$E110*AV20</f>
        <v>-1382.75520153344</v>
      </c>
      <c r="AW110" s="49" t="n">
        <f aca="false">-$E110*AW20</f>
        <v>-1397.95031363821</v>
      </c>
      <c r="AX110" s="49" t="n">
        <f aca="false">-$E110*AX20</f>
        <v>-1397.95031363821</v>
      </c>
      <c r="AY110" s="49" t="n">
        <f aca="false">-$E110*AY20</f>
        <v>-1367.56008942868</v>
      </c>
      <c r="AZ110" s="49" t="n">
        <f aca="false">-$E110*AZ20</f>
        <v>-1382.75520153344</v>
      </c>
      <c r="BA110" s="49" t="n">
        <f aca="false">-$E110*BA20</f>
        <v>-1397.95031363821</v>
      </c>
      <c r="BB110" s="49" t="n">
        <f aca="false">-$E110*BB20</f>
        <v>-1397.95031363821</v>
      </c>
      <c r="BC110" s="49" t="n">
        <f aca="false">-$E110*BC20</f>
        <v>-1367.56008942868</v>
      </c>
      <c r="BD110" s="49" t="n">
        <f aca="false">-$E110*BD20</f>
        <v>-1382.75520153344</v>
      </c>
      <c r="BE110" s="49" t="n">
        <f aca="false">-$E110*BE20</f>
        <v>-1397.95031363821</v>
      </c>
      <c r="BF110" s="49" t="n">
        <f aca="false">-$E110*BF20</f>
        <v>-1397.95031363821</v>
      </c>
      <c r="BG110" s="49" t="n">
        <f aca="false">-$E110*BG20</f>
        <v>-1367.56008942868</v>
      </c>
      <c r="BH110" s="49" t="n">
        <f aca="false">-$E110*BH20</f>
        <v>-1382.75520153344</v>
      </c>
      <c r="BI110" s="49" t="n">
        <f aca="false">-$E110*BI20</f>
        <v>-1397.95031363821</v>
      </c>
      <c r="BJ110" s="49" t="n">
        <f aca="false">-$E110*BJ20</f>
        <v>-1397.95031363821</v>
      </c>
      <c r="BK110" s="49" t="n">
        <f aca="false">-$E110*BK20</f>
        <v>-1382.75520153344</v>
      </c>
      <c r="BL110" s="49" t="n">
        <f aca="false">-$E110*BL20</f>
        <v>-1382.75520153344</v>
      </c>
      <c r="BM110" s="49" t="n">
        <f aca="false">-$E110*BM20</f>
        <v>-1397.95031363821</v>
      </c>
      <c r="BN110" s="49" t="n">
        <f aca="false">-$E110*BN20</f>
        <v>-1397.95031363821</v>
      </c>
      <c r="BO110" s="49" t="n">
        <f aca="false">-$E110*BO20</f>
        <v>-1367.56008942868</v>
      </c>
      <c r="BP110" s="49" t="n">
        <f aca="false">-$E110*BP20</f>
        <v>-1382.75520153344</v>
      </c>
      <c r="BQ110" s="49" t="n">
        <f aca="false">-$E110*BQ20</f>
        <v>-1397.95031363821</v>
      </c>
      <c r="BR110" s="49" t="n">
        <f aca="false">-$E110*BR20</f>
        <v>-1397.95031363821</v>
      </c>
      <c r="BS110" s="49" t="n">
        <f aca="false">-$E110*BS20</f>
        <v>-1367.56008942868</v>
      </c>
      <c r="BT110" s="49" t="n">
        <f aca="false">-$E110*BT20</f>
        <v>-1382.75520153344</v>
      </c>
      <c r="BU110" s="49" t="n">
        <f aca="false">-$E110*BU20</f>
        <v>-1397.95031363821</v>
      </c>
      <c r="BV110" s="49" t="n">
        <f aca="false">-$E110*BV20</f>
        <v>-1397.95031363821</v>
      </c>
      <c r="BW110" s="49" t="n">
        <f aca="false">-$E110*BW20</f>
        <v>-1367.56008942868</v>
      </c>
      <c r="BX110" s="49" t="n">
        <f aca="false">-$E110*BX20</f>
        <v>-1382.75520153344</v>
      </c>
      <c r="BY110" s="49" t="n">
        <f aca="false">-$E110*BY20</f>
        <v>-1397.95031363821</v>
      </c>
      <c r="BZ110" s="49" t="n">
        <f aca="false">-$E110*BZ20</f>
        <v>-1397.95031363821</v>
      </c>
      <c r="CA110" s="49" t="n">
        <f aca="false">-$E110*CA20</f>
        <v>-1382.75520153344</v>
      </c>
      <c r="CB110" s="49" t="n">
        <f aca="false">-$E110*CB20</f>
        <v>-1382.75520153344</v>
      </c>
      <c r="CC110" s="49" t="n">
        <f aca="false">-$E110*CC20</f>
        <v>-1397.95031363821</v>
      </c>
      <c r="CD110" s="49" t="n">
        <f aca="false">-$E110*CD20</f>
        <v>-1397.95031363821</v>
      </c>
      <c r="CE110" s="49" t="n">
        <f aca="false">-$E110*CE20</f>
        <v>-1367.56008942868</v>
      </c>
      <c r="CF110" s="49" t="n">
        <f aca="false">-$E110*CF20</f>
        <v>-1382.75520153344</v>
      </c>
      <c r="CG110" s="49" t="n">
        <f aca="false">-$E110*CG20</f>
        <v>-1397.95031363821</v>
      </c>
      <c r="CH110" s="49" t="n">
        <f aca="false">-$E110*CH20</f>
        <v>-1397.95031363821</v>
      </c>
      <c r="CI110" s="49" t="n">
        <f aca="false">-$E110*CI20</f>
        <v>-1367.56008942868</v>
      </c>
      <c r="CJ110" s="49" t="n">
        <f aca="false">-$E110*CJ20</f>
        <v>-1382.75520153344</v>
      </c>
      <c r="CK110" s="49" t="n">
        <f aca="false">-$E110*CK20</f>
        <v>-1397.95031363821</v>
      </c>
      <c r="CL110" s="49" t="n">
        <f aca="false">-$E110*CL20</f>
        <v>-1397.95031363821</v>
      </c>
      <c r="CM110" s="49" t="n">
        <f aca="false">-$E110*CM20</f>
        <v>-1367.56008942868</v>
      </c>
      <c r="CN110" s="49" t="n">
        <f aca="false">-$E110*CN20</f>
        <v>-1382.75520153344</v>
      </c>
      <c r="CO110" s="49" t="n">
        <f aca="false">-$E110*CO20</f>
        <v>-1397.95031363821</v>
      </c>
      <c r="CP110" s="49" t="n">
        <f aca="false">-$E110*CP20</f>
        <v>-1397.95031363821</v>
      </c>
      <c r="CQ110" s="49" t="n">
        <f aca="false">-$E110*CQ20</f>
        <v>-1382.75520153344</v>
      </c>
      <c r="CR110" s="49" t="n">
        <f aca="false">-$E110*CR20</f>
        <v>-1382.75520153344</v>
      </c>
      <c r="CS110" s="49" t="n">
        <f aca="false">-$E110*CS20</f>
        <v>-1397.95031363821</v>
      </c>
      <c r="CT110" s="49" t="n">
        <f aca="false">-$E110*CT20</f>
        <v>-1397.95031363821</v>
      </c>
      <c r="CU110" s="49" t="n">
        <f aca="false">-$E110*CU20</f>
        <v>-1367.56008942868</v>
      </c>
      <c r="CV110" s="49" t="n">
        <f aca="false">-$E110*CV20</f>
        <v>-1382.75520153344</v>
      </c>
      <c r="CW110" s="49" t="n">
        <f aca="false">-$E110*CW20</f>
        <v>-1397.95031363821</v>
      </c>
      <c r="CX110" s="49" t="n">
        <f aca="false">-$E110*CX20</f>
        <v>-1397.95031363821</v>
      </c>
      <c r="CY110" s="49" t="n">
        <f aca="false">-$E110*CY20</f>
        <v>-1367.56008942868</v>
      </c>
      <c r="CZ110" s="49" t="n">
        <f aca="false">-$E110*CZ20</f>
        <v>-1382.75520153344</v>
      </c>
      <c r="DA110" s="49" t="n">
        <f aca="false">-$E110*DA20</f>
        <v>-1397.95031363821</v>
      </c>
      <c r="DB110" s="49" t="n">
        <f aca="false">-$E110*DB20</f>
        <v>-0</v>
      </c>
      <c r="DC110" s="49" t="n">
        <f aca="false">-$E110*DC20</f>
        <v>-0</v>
      </c>
      <c r="DD110" s="49" t="n">
        <f aca="false">-$E110*DD20</f>
        <v>-0</v>
      </c>
      <c r="DE110" s="49" t="n">
        <f aca="false">-$E110*DE20</f>
        <v>-0</v>
      </c>
      <c r="DF110" s="49" t="n">
        <f aca="false">-$E110*DF20</f>
        <v>-0</v>
      </c>
      <c r="DG110" s="49" t="n">
        <f aca="false">-$E110*DG20</f>
        <v>-0</v>
      </c>
      <c r="DH110" s="49" t="n">
        <f aca="false">-$E110*DH20</f>
        <v>-0</v>
      </c>
      <c r="DI110" s="49" t="n">
        <f aca="false">-$E110*DI20</f>
        <v>-0</v>
      </c>
      <c r="DJ110" s="49" t="n">
        <f aca="false">-$E110*DJ20</f>
        <v>-0</v>
      </c>
      <c r="DK110" s="49" t="n">
        <f aca="false">-$E110*DK20</f>
        <v>-0</v>
      </c>
      <c r="DL110" s="49" t="n">
        <f aca="false">-$E110*DL20</f>
        <v>-0</v>
      </c>
      <c r="DM110" s="49" t="n">
        <f aca="false">-$E110*DM20</f>
        <v>-0</v>
      </c>
      <c r="DN110" s="49" t="n">
        <f aca="false">-$E110*DN20</f>
        <v>-0</v>
      </c>
      <c r="DO110" s="49" t="n">
        <f aca="false">-$E110*DO20</f>
        <v>-0</v>
      </c>
      <c r="DP110" s="49" t="n">
        <f aca="false">-$E110*DP20</f>
        <v>-0</v>
      </c>
      <c r="DQ110" s="49" t="n">
        <f aca="false">-$E110*DQ20</f>
        <v>-0</v>
      </c>
      <c r="DR110" s="49" t="n">
        <f aca="false">-$E110*DR20</f>
        <v>-0</v>
      </c>
      <c r="DS110" s="49" t="n">
        <f aca="false">-$E110*DS20</f>
        <v>-0</v>
      </c>
      <c r="DT110" s="49" t="n">
        <f aca="false">-$E110*DT20</f>
        <v>-0</v>
      </c>
      <c r="DU110" s="49" t="n">
        <f aca="false">-$E110*DU20</f>
        <v>-0</v>
      </c>
      <c r="DV110" s="49" t="n">
        <f aca="false">-$E110*DV20</f>
        <v>-0</v>
      </c>
      <c r="DW110" s="49" t="n">
        <f aca="false">-$E110*DW20</f>
        <v>-0</v>
      </c>
      <c r="DX110" s="49" t="n">
        <f aca="false">-$E110*DX20</f>
        <v>-0</v>
      </c>
      <c r="DY110" s="49" t="n">
        <f aca="false">-$E110*DY20</f>
        <v>-0</v>
      </c>
      <c r="DZ110" s="49" t="n">
        <f aca="false">-$E110*DZ20</f>
        <v>-0</v>
      </c>
      <c r="EA110" s="49" t="n">
        <f aca="false">-$E110*EA20</f>
        <v>-0</v>
      </c>
      <c r="EB110" s="49" t="n">
        <f aca="false">-$E110*EB20</f>
        <v>-0</v>
      </c>
      <c r="EC110" s="49" t="n">
        <f aca="false">-$E110*EC20</f>
        <v>-0</v>
      </c>
      <c r="ED110" s="49" t="n">
        <f aca="false">-$E110*ED20</f>
        <v>-0</v>
      </c>
      <c r="EE110" s="49" t="n">
        <f aca="false">-$E110*EE20</f>
        <v>-0</v>
      </c>
      <c r="EF110" s="49" t="n">
        <f aca="false">-$E110*EF20</f>
        <v>-0</v>
      </c>
      <c r="EG110" s="49" t="n">
        <f aca="false">-$E110*EG20</f>
        <v>-0</v>
      </c>
      <c r="EH110" s="49" t="n">
        <f aca="false">-$E110*EH20</f>
        <v>-0</v>
      </c>
      <c r="EI110" s="49" t="n">
        <f aca="false">-$E110*EI20</f>
        <v>-0</v>
      </c>
      <c r="EJ110" s="49" t="n">
        <f aca="false">-$E110*EJ20</f>
        <v>-0</v>
      </c>
      <c r="EK110" s="49" t="n">
        <f aca="false">-$E110*EK20</f>
        <v>-0</v>
      </c>
      <c r="EL110" s="49" t="n">
        <f aca="false">-$E110*EL20</f>
        <v>-0</v>
      </c>
      <c r="EM110" s="49" t="n">
        <f aca="false">-$E110*EM20</f>
        <v>-0</v>
      </c>
      <c r="EN110" s="49" t="n">
        <f aca="false">-$E110*EN20</f>
        <v>-0</v>
      </c>
      <c r="EO110" s="49" t="n">
        <f aca="false">-$E110*EO20</f>
        <v>-0</v>
      </c>
    </row>
    <row r="111" customFormat="false" ht="15" hidden="false" customHeight="false" outlineLevel="0" collapsed="false">
      <c r="C111" s="1" t="s">
        <v>508</v>
      </c>
      <c r="D111" s="12" t="s">
        <v>33</v>
      </c>
      <c r="I111" s="49" t="n">
        <f aca="false">SUM(J111:EO111)</f>
        <v>156711.35377654</v>
      </c>
      <c r="J111" s="49" t="n">
        <f aca="false">J83+J110+J94+J104+J105+J52+J59</f>
        <v>-12.8099380746857</v>
      </c>
      <c r="K111" s="49" t="n">
        <f aca="false">K83+K110+K94+K104+K105+K52+K59</f>
        <v>-19.6746856821167</v>
      </c>
      <c r="L111" s="49" t="n">
        <f aca="false">L83+L110+L94+L104+L105+L52+L59</f>
        <v>-33.1554888346782</v>
      </c>
      <c r="M111" s="49" t="n">
        <f aca="false">M83+M110+M94+M104+M105+M52+M59</f>
        <v>-33.5198348658285</v>
      </c>
      <c r="N111" s="49" t="n">
        <f aca="false">N83+N110+N94+N104+N105+N52+N59</f>
        <v>-33.5198348658285</v>
      </c>
      <c r="O111" s="49" t="n">
        <f aca="false">O83+O110+O94+O104+O105+O52+O59</f>
        <v>-33.1554888346782</v>
      </c>
      <c r="P111" s="49" t="n">
        <f aca="false">P83+P110+P94+P104+P105+P52+P59</f>
        <v>-33.1554888346782</v>
      </c>
      <c r="Q111" s="49" t="n">
        <f aca="false">Q83+Q110+Q94+Q104+Q105+Q52+Q59</f>
        <v>-33.5198348658285</v>
      </c>
      <c r="R111" s="49" t="n">
        <f aca="false">R83+R110+R94+R104+R105+R52+R59</f>
        <v>-1236.58958588379</v>
      </c>
      <c r="S111" s="49" t="n">
        <f aca="false">S83+S110+S94+S104+S105+S52+S59</f>
        <v>-185.573186146461</v>
      </c>
      <c r="T111" s="49" t="n">
        <f aca="false">T83+T110+T94+T104+T105+T52+T59</f>
        <v>-163.578834695637</v>
      </c>
      <c r="U111" s="49" t="n">
        <f aca="false">U83+U110+U94+U104+U105+U52+U59</f>
        <v>-151.073133340328</v>
      </c>
      <c r="V111" s="49" t="n">
        <f aca="false">V83+V110+V94+V104+V105+V52+V59</f>
        <v>-136.612683571141</v>
      </c>
      <c r="W111" s="49" t="n">
        <f aca="false">W83+W110+W94+W104+W105+W52+W59</f>
        <v>-120.538681631169</v>
      </c>
      <c r="X111" s="49" t="n">
        <f aca="false">X83+X110+X94+X104+X105+X52+X59</f>
        <v>-107.885670021815</v>
      </c>
      <c r="Y111" s="49" t="n">
        <f aca="false">Y83+Y110+Y94+Y104+Y105+Y52+Y59</f>
        <v>-94.7679558678927</v>
      </c>
      <c r="Z111" s="49" t="n">
        <f aca="false">Z83+Z110+Z94+Z104+Z105+Z52+Z59</f>
        <v>225.150576328414</v>
      </c>
      <c r="AA111" s="49" t="n">
        <f aca="false">AA83+AA110+AA94+AA104+AA105+AA52+AA59</f>
        <v>228.37066311113</v>
      </c>
      <c r="AB111" s="49" t="n">
        <f aca="false">AB83+AB110+AB94+AB104+AB105+AB52+AB59</f>
        <v>247.455998087247</v>
      </c>
      <c r="AC111" s="49" t="n">
        <f aca="false">AC83+AC110+AC94+AC104+AC105+AC52+AC59</f>
        <v>266.646812218864</v>
      </c>
      <c r="AD111" s="49" t="n">
        <f aca="false">AD83+AD110+AD94+AD104+AD105+AD52+AD59</f>
        <v>266.823359889085</v>
      </c>
      <c r="AE111" s="49" t="n">
        <f aca="false">AE83+AE110+AE94+AE104+AE105+AE52+AE59</f>
        <v>280.894609810384</v>
      </c>
      <c r="AF111" s="49" t="n">
        <f aca="false">AF83+AF110+AF94+AF104+AF105+AF52+AF59</f>
        <v>289.762835939464</v>
      </c>
      <c r="AG111" s="49" t="n">
        <f aca="false">AG83+AG110+AG94+AG104+AG105+AG52+AG59</f>
        <v>309.471175113004</v>
      </c>
      <c r="AH111" s="49" t="n">
        <f aca="false">AH83+AH110+AH94+AH104+AH105+AH52+AH59</f>
        <v>310.034700904732</v>
      </c>
      <c r="AI111" s="49" t="n">
        <f aca="false">AI83+AI110+AI94+AI104+AI105+AI52+AI59</f>
        <v>313.517524270481</v>
      </c>
      <c r="AJ111" s="49" t="n">
        <f aca="false">AJ83+AJ110+AJ94+AJ104+AJ105+AJ52+AJ59</f>
        <v>366.802389700505</v>
      </c>
      <c r="AK111" s="49" t="n">
        <f aca="false">AK83+AK110+AK94+AK104+AK105+AK52+AK59</f>
        <v>387.412612588215</v>
      </c>
      <c r="AL111" s="49" t="n">
        <f aca="false">AL83+AL110+AL94+AL104+AL105+AL52+AL59</f>
        <v>388.385389622816</v>
      </c>
      <c r="AM111" s="49" t="n">
        <f aca="false">AM83+AM110+AM94+AM104+AM105+AM52+AM59</f>
        <v>391.300352323516</v>
      </c>
      <c r="AN111" s="49" t="n">
        <f aca="false">AN83+AN110+AN94+AN104+AN105+AN52+AN59</f>
        <v>412.346739408856</v>
      </c>
      <c r="AO111" s="49" t="n">
        <f aca="false">AO83+AO110+AO94+AO104+AO105+AO52+AO59</f>
        <v>433.515561900468</v>
      </c>
      <c r="AP111" s="49" t="n">
        <f aca="false">AP83+AP110+AP94+AP104+AP105+AP52+AP59</f>
        <v>434.92100993089</v>
      </c>
      <c r="AQ111" s="49" t="n">
        <f aca="false">AQ83+AQ110+AQ94+AQ104+AQ105+AQ52+AQ59</f>
        <v>438.017924266791</v>
      </c>
      <c r="AR111" s="49" t="n">
        <f aca="false">AR83+AR110+AR94+AR104+AR105+AR52+AR59</f>
        <v>459.638840045036</v>
      </c>
      <c r="AS111" s="49" t="n">
        <f aca="false">AS83+AS110+AS94+AS104+AS105+AS52+AS59</f>
        <v>481.388428742575</v>
      </c>
      <c r="AT111" s="49" t="n">
        <f aca="false">AT83+AT110+AT94+AT104+AT105+AT52+AT59</f>
        <v>483.25117253506</v>
      </c>
      <c r="AU111" s="49" t="n">
        <f aca="false">AU83+AU110+AU94+AU104+AU105+AU52+AU59</f>
        <v>497.952539503181</v>
      </c>
      <c r="AV111" s="49" t="n">
        <f aca="false">AV83+AV110+AV94+AV104+AV105+AV52+AV59</f>
        <v>508.770795864712</v>
      </c>
      <c r="AW111" s="49" t="n">
        <f aca="false">AW83+AW110+AW94+AW104+AW105+AW52+AW59</f>
        <v>531.12448033099</v>
      </c>
      <c r="AX111" s="49" t="n">
        <f aca="false">AX83+AX110+AX94+AX104+AX105+AX52+AX59</f>
        <v>533.470411018239</v>
      </c>
      <c r="AY111" s="49" t="n">
        <f aca="false">AY83+AY110+AY94+AY104+AY105+AY52+AY59</f>
        <v>536.999374121251</v>
      </c>
      <c r="AZ111" s="49" t="n">
        <f aca="false">AZ83+AZ110+AZ94+AZ104+AZ105+AZ52+AZ59</f>
        <v>559.839590734898</v>
      </c>
      <c r="BA111" s="49" t="n">
        <f aca="false">BA83+BA110+BA94+BA104+BA105+BA52+BA59</f>
        <v>582.821924799504</v>
      </c>
      <c r="BB111" s="49" t="n">
        <f aca="false">BB83+BB110+BB94+BB104+BB105+BB52+BB59</f>
        <v>585.678264356573</v>
      </c>
      <c r="BC111" s="49" t="n">
        <f aca="false">BC83+BC110+BC94+BC104+BC105+BC52+BC59</f>
        <v>589.459873496099</v>
      </c>
      <c r="BD111" s="49" t="n">
        <f aca="false">BD83+BD110+BD94+BD104+BD105+BD52+BD59</f>
        <v>612.947342070982</v>
      </c>
      <c r="BE111" s="49" t="n">
        <f aca="false">BE83+BE110+BE94+BE104+BE105+BE52+BE59</f>
        <v>636.584168318243</v>
      </c>
      <c r="BF111" s="49" t="n">
        <f aca="false">BF83+BF110+BF94+BF104+BF105+BF52+BF59</f>
        <v>639.979537320208</v>
      </c>
      <c r="BG111" s="49" t="n">
        <f aca="false">BG83+BG110+BG94+BG104+BG105+BG52+BG59</f>
        <v>644.040016992861</v>
      </c>
      <c r="BH111" s="49" t="n">
        <f aca="false">BH83+BH110+BH94+BH104+BH105+BH52+BH59</f>
        <v>668.201567846063</v>
      </c>
      <c r="BI111" s="49" t="n">
        <f aca="false">BI83+BI110+BI94+BI104+BI105+BI52+BI59</f>
        <v>692.520085448586</v>
      </c>
      <c r="BJ111" s="49" t="n">
        <f aca="false">BJ83+BJ110+BJ94+BJ104+BJ105+BJ52+BJ59</f>
        <v>696.484574277051</v>
      </c>
      <c r="BK111" s="49" t="n">
        <f aca="false">BK83+BK110+BK94+BK104+BK105+BK52+BK59</f>
        <v>712.518389482108</v>
      </c>
      <c r="BL111" s="49" t="n">
        <f aca="false">BL83+BL110+BL94+BL104+BL105+BL52+BL59</f>
        <v>725.715467341909</v>
      </c>
      <c r="BM111" s="49" t="n">
        <f aca="false">BM83+BM110+BM94+BM104+BM105+BM52+BM59</f>
        <v>750.744303411641</v>
      </c>
      <c r="BN111" s="49" t="n">
        <f aca="false">BN83+BN110+BN94+BN104+BN105+BN52+BN59</f>
        <v>755.309547085758</v>
      </c>
      <c r="BO111" s="49" t="n">
        <f aca="false">BO83+BO110+BO94+BO104+BO105+BO52+BO59</f>
        <v>760.012299300392</v>
      </c>
      <c r="BP111" s="49" t="n">
        <f aca="false">BP83+BP110+BP94+BP104+BP105+BP52+BP59</f>
        <v>785.608216345026</v>
      </c>
      <c r="BQ111" s="49" t="n">
        <f aca="false">BQ83+BQ110+BQ94+BQ104+BQ105+BQ52+BQ59</f>
        <v>811.37750098263</v>
      </c>
      <c r="BR111" s="49" t="n">
        <f aca="false">BR83+BR110+BR94+BR104+BR105+BR52+BR59</f>
        <v>816.576757799153</v>
      </c>
      <c r="BS111" s="49" t="n">
        <f aca="false">BS83+BS110+BS94+BS104+BS105+BS52+BS59</f>
        <v>821.646032158116</v>
      </c>
      <c r="BT111" s="49" t="n">
        <f aca="false">BT83+BT110+BT94+BT104+BT105+BT52+BT59</f>
        <v>848.005277527248</v>
      </c>
      <c r="BU111" s="49" t="n">
        <f aca="false">BU83+BU110+BU94+BU104+BU105+BU52+BU59</f>
        <v>874.546722759783</v>
      </c>
      <c r="BV111" s="49" t="n">
        <f aca="false">BV83+BV110+BV94+BV104+BV105+BV52+BV59</f>
        <v>880.414956936142</v>
      </c>
      <c r="BW111" s="49" t="n">
        <f aca="false">BW83+BW110+BW94+BW104+BW105+BW52+BW59</f>
        <v>885.883226078203</v>
      </c>
      <c r="BX111" s="49" t="n">
        <f aca="false">BX83+BX110+BX94+BX104+BX105+BX52+BX59</f>
        <v>913.038726788019</v>
      </c>
      <c r="BY111" s="49" t="n">
        <f aca="false">BY83+BY110+BY94+BY104+BY105+BY52+BY59</f>
        <v>940.385709594664</v>
      </c>
      <c r="BZ111" s="49" t="n">
        <f aca="false">BZ83+BZ110+BZ94+BZ104+BZ105+BZ52+BZ59</f>
        <v>946.959678118923</v>
      </c>
      <c r="CA111" s="49" t="n">
        <f aca="false">CA83+CA110+CA94+CA104+CA105+CA52+CA59</f>
        <v>964.748619033836</v>
      </c>
      <c r="CB111" s="49" t="n">
        <f aca="false">CB83+CB110+CB94+CB104+CB105+CB52+CB59</f>
        <v>980.84759637523</v>
      </c>
      <c r="CC111" s="49" t="n">
        <f aca="false">CC83+CC110+CC94+CC104+CC105+CC52+CC59</f>
        <v>1009.035246011</v>
      </c>
      <c r="CD111" s="49" t="n">
        <f aca="false">CD83+CD110+CD94+CD104+CD105+CD52+CD59</f>
        <v>1016.35358991289</v>
      </c>
      <c r="CE111" s="49" t="n">
        <f aca="false">CE83+CE110+CE94+CE104+CE105+CE52+CE59</f>
        <v>1022.72443511959</v>
      </c>
      <c r="CF111" s="49" t="n">
        <f aca="false">CF83+CF110+CF94+CF104+CF105+CF52+CF59</f>
        <v>1051.57823564314</v>
      </c>
      <c r="CG111" s="49" t="n">
        <f aca="false">CG83+CG110+CG94+CG104+CG105+CG52+CG59</f>
        <v>1080.64352548127</v>
      </c>
      <c r="CH111" s="49" t="n">
        <f aca="false">CH83+CH110+CH94+CH104+CH105+CH52+CH59</f>
        <v>1088.74686574947</v>
      </c>
      <c r="CI111" s="49" t="n">
        <f aca="false">CI83+CI110+CI94+CI104+CI105+CI52+CI59</f>
        <v>1078.06353292953</v>
      </c>
      <c r="CJ111" s="49" t="n">
        <f aca="false">CJ83+CJ110+CJ94+CJ104+CJ105+CJ52+CJ59</f>
        <v>1090.04201662875</v>
      </c>
      <c r="CK111" s="49" t="n">
        <f aca="false">CK83+CK110+CK94+CK104+CK105+CK52+CK59</f>
        <v>1102.02050032797</v>
      </c>
      <c r="CL111" s="49" t="n">
        <f aca="false">CL83+CL110+CL94+CL104+CL105+CL52+CL59</f>
        <v>1092.72313627916</v>
      </c>
      <c r="CM111" s="49" t="n">
        <f aca="false">CM83+CM110+CM94+CM104+CM105+CM52+CM59</f>
        <v>1081.69263961644</v>
      </c>
      <c r="CN111" s="49" t="n">
        <f aca="false">CN83+CN110+CN94+CN104+CN105+CN52+CN59</f>
        <v>1093.71144672329</v>
      </c>
      <c r="CO111" s="49" t="n">
        <f aca="false">CO83+CO110+CO94+CO104+CO105+CO52+CO59</f>
        <v>1105.73025383014</v>
      </c>
      <c r="CP111" s="49" t="n">
        <f aca="false">CP83+CP110+CP94+CP104+CP105+CP52+CP59</f>
        <v>1096.37682423065</v>
      </c>
      <c r="CQ111" s="49" t="n">
        <f aca="false">CQ83+CQ110+CQ94+CQ104+CQ105+CQ52+CQ59</f>
        <v>1097.05137548228</v>
      </c>
      <c r="CR111" s="49" t="n">
        <f aca="false">CR83+CR110+CR94+CR104+CR105+CR52+CR59</f>
        <v>1097.05137548228</v>
      </c>
      <c r="CS111" s="49" t="n">
        <f aca="false">CS83+CS110+CS94+CS104+CS105+CS52+CS59</f>
        <v>1109.10688510296</v>
      </c>
      <c r="CT111" s="49" t="n">
        <f aca="false">CT83+CT110+CT94+CT104+CT105+CT52+CT59</f>
        <v>1099.69726591223</v>
      </c>
      <c r="CU111" s="49" t="n">
        <f aca="false">CU83+CU110+CU94+CU104+CU105+CU52+CU59</f>
        <v>1087.96250189823</v>
      </c>
      <c r="CV111" s="49" t="n">
        <f aca="false">CV83+CV110+CV94+CV104+CV105+CV52+CV59</f>
        <v>1100.05097414154</v>
      </c>
      <c r="CW111" s="49" t="n">
        <f aca="false">CW83+CW110+CW94+CW104+CW105+CW52+CW59</f>
        <v>1112.13944638486</v>
      </c>
      <c r="CX111" s="49" t="n">
        <f aca="false">CX83+CX110+CX94+CX104+CX105+CX52+CX59</f>
        <v>1102.67351832041</v>
      </c>
      <c r="CY111" s="49" t="n">
        <f aca="false">CY83+CY110+CY94+CY104+CY105+CY52+CY59</f>
        <v>1090.58155777034</v>
      </c>
      <c r="CZ111" s="49" t="n">
        <f aca="false">CZ83+CZ110+CZ94+CZ104+CZ105+CZ52+CZ59</f>
        <v>1102.69913063445</v>
      </c>
      <c r="DA111" s="49" t="n">
        <f aca="false">DA83+DA110+DA94+DA104+DA105+DA52+DA59</f>
        <v>1114.81670349857</v>
      </c>
      <c r="DB111" s="49" t="n">
        <f aca="false">DB83+DB110+DB94+DB104+DB105+DB52+DB59</f>
        <v>2503.24466583138</v>
      </c>
      <c r="DC111" s="49" t="n">
        <f aca="false">DC83+DC110+DC94+DC104+DC105+DC52+DC59</f>
        <v>2460.4018457948</v>
      </c>
      <c r="DD111" s="49" t="n">
        <f aca="false">DD83+DD110+DD94+DD104+DD105+DD52+DD59</f>
        <v>2487.73964408141</v>
      </c>
      <c r="DE111" s="49" t="n">
        <f aca="false">DE83+DE110+DE94+DE104+DE105+DE52+DE59</f>
        <v>2515.07744236802</v>
      </c>
      <c r="DF111" s="49" t="n">
        <f aca="false">DF83+DF110+DF94+DF104+DF105+DF52+DF59</f>
        <v>2505.49855853058</v>
      </c>
      <c r="DG111" s="49" t="n">
        <f aca="false">DG83+DG110+DG94+DG104+DG105+DG52+DG59</f>
        <v>2489.65041143909</v>
      </c>
      <c r="DH111" s="49" t="n">
        <f aca="false">DH83+DH110+DH94+DH104+DH105+DH52+DH59</f>
        <v>2489.65041143909</v>
      </c>
      <c r="DI111" s="49" t="n">
        <f aca="false">DI83+DI110+DI94+DI104+DI105+DI52+DI59</f>
        <v>2517.00920716919</v>
      </c>
      <c r="DJ111" s="49" t="n">
        <f aca="false">DJ83+DJ110+DJ94+DJ104+DJ105+DJ52+DJ59</f>
        <v>2507.37368674959</v>
      </c>
      <c r="DK111" s="49" t="n">
        <f aca="false">DK83+DK110+DK94+DK104+DK105+DK52+DK59</f>
        <v>2463.79908392978</v>
      </c>
      <c r="DL111" s="49" t="n">
        <f aca="false">DL83+DL110+DL94+DL104+DL105+DL52+DL59</f>
        <v>2491.17462930678</v>
      </c>
      <c r="DM111" s="49" t="n">
        <f aca="false">DM83+DM110+DM94+DM104+DM105+DM52+DM59</f>
        <v>2518.55017468378</v>
      </c>
      <c r="DN111" s="49" t="n">
        <f aca="false">DN83+DN110+DN94+DN104+DN105+DN52+DN59</f>
        <v>2508.85791904168</v>
      </c>
      <c r="DO111" s="49" t="n">
        <f aca="false">DO83+DO110+DO94+DO104+DO105+DO52+DO59</f>
        <v>2464.91206834606</v>
      </c>
      <c r="DP111" s="49" t="n">
        <f aca="false">DP83+DP110+DP94+DP104+DP105+DP52+DP59</f>
        <v>2492.29998021657</v>
      </c>
      <c r="DQ111" s="49" t="n">
        <f aca="false">DQ83+DQ110+DQ94+DQ104+DQ105+DQ52+DQ59</f>
        <v>2519.68789208708</v>
      </c>
      <c r="DR111" s="49" t="n">
        <f aca="false">DR83+DR110+DR94+DR104+DR105+DR52+DR59</f>
        <v>2509.93880816483</v>
      </c>
      <c r="DS111" s="49" t="n">
        <f aca="false">DS83+DS110+DS94+DS104+DS105+DS52+DS59</f>
        <v>2465.61807007059</v>
      </c>
      <c r="DT111" s="49" t="n">
        <f aca="false">DT83+DT110+DT94+DT104+DT105+DT52+DT59</f>
        <v>2493.01382640471</v>
      </c>
      <c r="DU111" s="49" t="n">
        <f aca="false">DU83+DU110+DU94+DU104+DU105+DU52+DU59</f>
        <v>2520.40958273882</v>
      </c>
      <c r="DV111" s="49" t="n">
        <f aca="false">DV83+DV110+DV94+DV104+DV105+DV52+DV59</f>
        <v>2510.60358323846</v>
      </c>
      <c r="DW111" s="49" t="n">
        <f aca="false">DW83+DW110+DW94+DW104+DW105+DW52+DW59</f>
        <v>2493.30320185874</v>
      </c>
      <c r="DX111" s="49" t="n">
        <f aca="false">DX83+DX110+DX94+DX104+DX105+DX52+DX59</f>
        <v>2493.30320185874</v>
      </c>
      <c r="DY111" s="49" t="n">
        <f aca="false">DY83+DY110+DY94+DY104+DY105+DY52+DY59</f>
        <v>2520.70213814291</v>
      </c>
      <c r="DZ111" s="49" t="n">
        <f aca="false">DZ83+DZ110+DZ94+DZ104+DZ105+DZ52+DZ59</f>
        <v>2510.83914170753</v>
      </c>
      <c r="EA111" s="49" t="n">
        <f aca="false">EA83+EA110+EA94+EA104+EA105+EA52+EA59</f>
        <v>2465.75749862902</v>
      </c>
      <c r="EB111" s="49" t="n">
        <f aca="false">EB83+EB110+EB94+EB104+EB105+EB52+EB59</f>
        <v>2493.15480416935</v>
      </c>
      <c r="EC111" s="49" t="n">
        <f aca="false">EC83+EC110+EC94+EC104+EC105+EC52+EC59</f>
        <v>2520.55210970967</v>
      </c>
      <c r="ED111" s="49" t="n">
        <f aca="false">ED83+ED110+ED94+ED104+ED105+ED52+ED59</f>
        <v>2510.63204110907</v>
      </c>
      <c r="EE111" s="49" t="n">
        <f aca="false">EE83+EE110+EE94+EE104+EE105+EE52+EE59</f>
        <v>2465.16427204807</v>
      </c>
      <c r="EF111" s="49" t="n">
        <f aca="false">EF83+EF110+EF94+EF104+EF105+EF52+EF59</f>
        <v>2492.55498618193</v>
      </c>
      <c r="EG111" s="49" t="n">
        <f aca="false">EG83+EG110+EG94+EG104+EG105+EG52+EG59</f>
        <v>2519.9457003158</v>
      </c>
      <c r="EH111" s="49" t="n">
        <f aca="false">EH83+EH110+EH94+EH104+EH105+EH52+EH59</f>
        <v>2509.96849063659</v>
      </c>
      <c r="EI111" s="49" t="n">
        <f aca="false">EI83+EI110+EI94+EI104+EI105+EI52+EI59</f>
        <v>2464.11073922956</v>
      </c>
      <c r="EJ111" s="49" t="n">
        <f aca="false">EJ83+EJ110+EJ94+EJ104+EJ105+EJ52+EJ59</f>
        <v>2491.48974744322</v>
      </c>
      <c r="EK111" s="49" t="n">
        <f aca="false">EK83+EK110+EK94+EK104+EK105+EK52+EK59</f>
        <v>2518.86875565688</v>
      </c>
      <c r="EL111" s="49" t="n">
        <f aca="false">EL83+EL110+EL94+EL104+EL105+EL52+EL59</f>
        <v>2508.8343424972</v>
      </c>
      <c r="EM111" s="49" t="n">
        <f aca="false">EM83+EM110+EM94+EM104+EM105+EM52+EM59</f>
        <v>2489.94472543768</v>
      </c>
      <c r="EN111" s="49" t="n">
        <f aca="false">EN83+EN110+EN94+EN104+EN105+EN52+EN59</f>
        <v>2489.94472543768</v>
      </c>
      <c r="EO111" s="49" t="n">
        <f aca="false">EO83+EO110+EO94+EO104+EO105+EO52+EO59</f>
        <v>2517.30675538755</v>
      </c>
    </row>
    <row r="112" customFormat="false" ht="15" hidden="false" customHeight="false" outlineLevel="0" collapsed="false">
      <c r="C112" s="1" t="s">
        <v>509</v>
      </c>
      <c r="D112" s="12" t="s">
        <v>33</v>
      </c>
      <c r="J112" s="19" t="n">
        <f aca="false">I116</f>
        <v>0</v>
      </c>
      <c r="K112" s="19" t="n">
        <f aca="false">J116</f>
        <v>12.8099380746857</v>
      </c>
      <c r="L112" s="19" t="n">
        <f aca="false">K116</f>
        <v>32.4846237568024</v>
      </c>
      <c r="M112" s="19" t="n">
        <f aca="false">L116</f>
        <v>65.6401125914806</v>
      </c>
      <c r="N112" s="19" t="n">
        <f aca="false">M116</f>
        <v>99.1599474573091</v>
      </c>
      <c r="O112" s="19" t="n">
        <f aca="false">N116</f>
        <v>132.679782323138</v>
      </c>
      <c r="P112" s="19" t="n">
        <f aca="false">O116</f>
        <v>165.835271157816</v>
      </c>
      <c r="Q112" s="19" t="n">
        <f aca="false">P116</f>
        <v>198.990759992494</v>
      </c>
      <c r="R112" s="19" t="n">
        <f aca="false">Q116</f>
        <v>232.510594858322</v>
      </c>
      <c r="S112" s="19" t="n">
        <f aca="false">R116</f>
        <v>1469.10018074212</v>
      </c>
      <c r="T112" s="19" t="n">
        <f aca="false">S116</f>
        <v>1654.67336688858</v>
      </c>
      <c r="U112" s="19" t="n">
        <f aca="false">T116</f>
        <v>1818.25220158421</v>
      </c>
      <c r="V112" s="19" t="n">
        <f aca="false">U116</f>
        <v>1969.32533492454</v>
      </c>
      <c r="W112" s="19" t="n">
        <f aca="false">V116</f>
        <v>2105.93801849568</v>
      </c>
      <c r="X112" s="19" t="n">
        <f aca="false">W116</f>
        <v>2226.47670012685</v>
      </c>
      <c r="Y112" s="19" t="n">
        <f aca="false">X116</f>
        <v>2334.36237014867</v>
      </c>
      <c r="Z112" s="19" t="n">
        <f aca="false">Y116</f>
        <v>2429.13032601656</v>
      </c>
      <c r="AA112" s="19" t="n">
        <f aca="false">Z116</f>
        <v>2316.55503785235</v>
      </c>
      <c r="AB112" s="19" t="n">
        <f aca="false">AA116</f>
        <v>2202.36970629679</v>
      </c>
      <c r="AC112" s="19" t="n">
        <f aca="false">AB116</f>
        <v>2078.64170725316</v>
      </c>
      <c r="AD112" s="19" t="n">
        <f aca="false">AC116</f>
        <v>1945.31830114373</v>
      </c>
      <c r="AE112" s="19" t="n">
        <f aca="false">AD116</f>
        <v>1811.90662119919</v>
      </c>
      <c r="AF112" s="19" t="n">
        <f aca="false">AE116</f>
        <v>1671.459316294</v>
      </c>
      <c r="AG112" s="19" t="n">
        <f aca="false">AF116</f>
        <v>1526.57789832426</v>
      </c>
      <c r="AH112" s="19" t="n">
        <f aca="false">AG116</f>
        <v>1371.84231076776</v>
      </c>
      <c r="AI112" s="19" t="n">
        <f aca="false">AH116</f>
        <v>1216.8249603154</v>
      </c>
      <c r="AJ112" s="19" t="n">
        <f aca="false">AI116</f>
        <v>1060.06619818016</v>
      </c>
      <c r="AK112" s="19" t="n">
        <f aca="false">AJ116</f>
        <v>876.665003329904</v>
      </c>
      <c r="AL112" s="19" t="n">
        <f aca="false">AK116</f>
        <v>0</v>
      </c>
      <c r="AM112" s="19" t="n">
        <f aca="false">AL116</f>
        <v>0</v>
      </c>
      <c r="AN112" s="19" t="n">
        <f aca="false">AM116</f>
        <v>0</v>
      </c>
      <c r="AO112" s="19" t="n">
        <f aca="false">AN116</f>
        <v>0</v>
      </c>
      <c r="AP112" s="19" t="n">
        <f aca="false">AO116</f>
        <v>0</v>
      </c>
      <c r="AQ112" s="19" t="n">
        <f aca="false">AP116</f>
        <v>0</v>
      </c>
      <c r="AR112" s="19" t="n">
        <f aca="false">AQ116</f>
        <v>0</v>
      </c>
      <c r="AS112" s="19" t="n">
        <f aca="false">AR116</f>
        <v>0</v>
      </c>
      <c r="AT112" s="19" t="n">
        <f aca="false">AS116</f>
        <v>0</v>
      </c>
      <c r="AU112" s="19" t="n">
        <f aca="false">AT116</f>
        <v>0</v>
      </c>
      <c r="AV112" s="19" t="n">
        <f aca="false">AU116</f>
        <v>0</v>
      </c>
      <c r="AW112" s="19" t="n">
        <f aca="false">AV116</f>
        <v>0</v>
      </c>
      <c r="AX112" s="19" t="n">
        <f aca="false">AW116</f>
        <v>0</v>
      </c>
      <c r="AY112" s="19" t="n">
        <f aca="false">AX116</f>
        <v>0</v>
      </c>
      <c r="AZ112" s="19" t="n">
        <f aca="false">AY116</f>
        <v>0</v>
      </c>
      <c r="BA112" s="19" t="n">
        <f aca="false">AZ116</f>
        <v>0</v>
      </c>
      <c r="BB112" s="19" t="n">
        <f aca="false">BA116</f>
        <v>0</v>
      </c>
      <c r="BC112" s="19" t="n">
        <f aca="false">BB116</f>
        <v>0</v>
      </c>
      <c r="BD112" s="19" t="n">
        <f aca="false">BC116</f>
        <v>0</v>
      </c>
      <c r="BE112" s="19" t="n">
        <f aca="false">BD116</f>
        <v>0</v>
      </c>
      <c r="BF112" s="19" t="n">
        <f aca="false">BE116</f>
        <v>0</v>
      </c>
      <c r="BG112" s="19" t="n">
        <f aca="false">BF116</f>
        <v>0</v>
      </c>
      <c r="BH112" s="19" t="n">
        <f aca="false">BG116</f>
        <v>0</v>
      </c>
      <c r="BI112" s="19" t="n">
        <f aca="false">BH116</f>
        <v>0</v>
      </c>
      <c r="BJ112" s="19" t="n">
        <f aca="false">BI116</f>
        <v>0</v>
      </c>
      <c r="BK112" s="19" t="n">
        <f aca="false">BJ116</f>
        <v>0</v>
      </c>
      <c r="BL112" s="19" t="n">
        <f aca="false">BK116</f>
        <v>0</v>
      </c>
      <c r="BM112" s="19" t="n">
        <f aca="false">BL116</f>
        <v>0</v>
      </c>
      <c r="BN112" s="19" t="n">
        <f aca="false">BM116</f>
        <v>0</v>
      </c>
      <c r="BO112" s="19" t="n">
        <f aca="false">BN116</f>
        <v>0</v>
      </c>
      <c r="BP112" s="19" t="n">
        <f aca="false">BO116</f>
        <v>0</v>
      </c>
      <c r="BQ112" s="19" t="n">
        <f aca="false">BP116</f>
        <v>0</v>
      </c>
      <c r="BR112" s="19" t="n">
        <f aca="false">BQ116</f>
        <v>0</v>
      </c>
      <c r="BS112" s="19" t="n">
        <f aca="false">BR116</f>
        <v>0</v>
      </c>
      <c r="BT112" s="19" t="n">
        <f aca="false">BS116</f>
        <v>0</v>
      </c>
      <c r="BU112" s="19" t="n">
        <f aca="false">BT116</f>
        <v>0</v>
      </c>
      <c r="BV112" s="19" t="n">
        <f aca="false">BU116</f>
        <v>0</v>
      </c>
      <c r="BW112" s="19" t="n">
        <f aca="false">BV116</f>
        <v>0</v>
      </c>
      <c r="BX112" s="19" t="n">
        <f aca="false">BW116</f>
        <v>0</v>
      </c>
      <c r="BY112" s="19" t="n">
        <f aca="false">BX116</f>
        <v>0</v>
      </c>
      <c r="BZ112" s="19" t="n">
        <f aca="false">BY116</f>
        <v>0</v>
      </c>
      <c r="CA112" s="19" t="n">
        <f aca="false">BZ116</f>
        <v>0</v>
      </c>
      <c r="CB112" s="19" t="n">
        <f aca="false">CA116</f>
        <v>0</v>
      </c>
      <c r="CC112" s="19" t="n">
        <f aca="false">CB116</f>
        <v>0</v>
      </c>
      <c r="CD112" s="19" t="n">
        <f aca="false">CC116</f>
        <v>0</v>
      </c>
      <c r="CE112" s="19" t="n">
        <f aca="false">CD116</f>
        <v>0</v>
      </c>
      <c r="CF112" s="19" t="n">
        <f aca="false">CE116</f>
        <v>0</v>
      </c>
      <c r="CG112" s="19" t="n">
        <f aca="false">CF116</f>
        <v>0</v>
      </c>
      <c r="CH112" s="19" t="n">
        <f aca="false">CG116</f>
        <v>0</v>
      </c>
      <c r="CI112" s="19" t="n">
        <f aca="false">CH116</f>
        <v>0</v>
      </c>
      <c r="CJ112" s="19" t="n">
        <f aca="false">CI116</f>
        <v>0</v>
      </c>
      <c r="CK112" s="19" t="n">
        <f aca="false">CJ116</f>
        <v>0</v>
      </c>
      <c r="CL112" s="19" t="n">
        <f aca="false">CK116</f>
        <v>0</v>
      </c>
      <c r="CM112" s="19" t="n">
        <f aca="false">CL116</f>
        <v>0</v>
      </c>
      <c r="CN112" s="19" t="n">
        <f aca="false">CM116</f>
        <v>0</v>
      </c>
      <c r="CO112" s="19" t="n">
        <f aca="false">CN116</f>
        <v>0</v>
      </c>
      <c r="CP112" s="19" t="n">
        <f aca="false">CO116</f>
        <v>0</v>
      </c>
      <c r="CQ112" s="19" t="n">
        <f aca="false">CP116</f>
        <v>0</v>
      </c>
      <c r="CR112" s="19" t="n">
        <f aca="false">CQ116</f>
        <v>0</v>
      </c>
      <c r="CS112" s="19" t="n">
        <f aca="false">CR116</f>
        <v>0</v>
      </c>
      <c r="CT112" s="19" t="n">
        <f aca="false">CS116</f>
        <v>0</v>
      </c>
      <c r="CU112" s="19" t="n">
        <f aca="false">CT116</f>
        <v>0</v>
      </c>
      <c r="CV112" s="19" t="n">
        <f aca="false">CU116</f>
        <v>0</v>
      </c>
      <c r="CW112" s="19" t="n">
        <f aca="false">CV116</f>
        <v>0</v>
      </c>
      <c r="CX112" s="19" t="n">
        <f aca="false">CW116</f>
        <v>0</v>
      </c>
      <c r="CY112" s="19" t="n">
        <f aca="false">CX116</f>
        <v>0</v>
      </c>
      <c r="CZ112" s="19" t="n">
        <f aca="false">CY116</f>
        <v>0</v>
      </c>
      <c r="DA112" s="19" t="n">
        <f aca="false">CZ116</f>
        <v>0</v>
      </c>
      <c r="DB112" s="19" t="n">
        <f aca="false">DA116</f>
        <v>0</v>
      </c>
      <c r="DC112" s="19" t="n">
        <f aca="false">DB116</f>
        <v>0</v>
      </c>
      <c r="DD112" s="19" t="n">
        <f aca="false">DC116</f>
        <v>0</v>
      </c>
      <c r="DE112" s="19" t="n">
        <f aca="false">DD116</f>
        <v>0</v>
      </c>
      <c r="DF112" s="19" t="n">
        <f aca="false">DE116</f>
        <v>0</v>
      </c>
      <c r="DG112" s="19" t="n">
        <f aca="false">DF116</f>
        <v>0</v>
      </c>
      <c r="DH112" s="19" t="n">
        <f aca="false">DG116</f>
        <v>0</v>
      </c>
      <c r="DI112" s="19" t="n">
        <f aca="false">DH116</f>
        <v>0</v>
      </c>
      <c r="DJ112" s="19" t="n">
        <f aca="false">DI116</f>
        <v>0</v>
      </c>
      <c r="DK112" s="19" t="n">
        <f aca="false">DJ116</f>
        <v>0</v>
      </c>
      <c r="DL112" s="19" t="n">
        <f aca="false">DK116</f>
        <v>0</v>
      </c>
      <c r="DM112" s="19" t="n">
        <f aca="false">DL116</f>
        <v>0</v>
      </c>
      <c r="DN112" s="19" t="n">
        <f aca="false">DM116</f>
        <v>0</v>
      </c>
      <c r="DO112" s="19" t="n">
        <f aca="false">DN116</f>
        <v>0</v>
      </c>
      <c r="DP112" s="19" t="n">
        <f aca="false">DO116</f>
        <v>0</v>
      </c>
      <c r="DQ112" s="19" t="n">
        <f aca="false">DP116</f>
        <v>0</v>
      </c>
      <c r="DR112" s="19" t="n">
        <f aca="false">DQ116</f>
        <v>0</v>
      </c>
      <c r="DS112" s="19" t="n">
        <f aca="false">DR116</f>
        <v>0</v>
      </c>
      <c r="DT112" s="19" t="n">
        <f aca="false">DS116</f>
        <v>0</v>
      </c>
      <c r="DU112" s="19" t="n">
        <f aca="false">DT116</f>
        <v>0</v>
      </c>
      <c r="DV112" s="19" t="n">
        <f aca="false">DU116</f>
        <v>0</v>
      </c>
      <c r="DW112" s="19" t="n">
        <f aca="false">DV116</f>
        <v>0</v>
      </c>
      <c r="DX112" s="19" t="n">
        <f aca="false">DW116</f>
        <v>0</v>
      </c>
      <c r="DY112" s="19" t="n">
        <f aca="false">DX116</f>
        <v>0</v>
      </c>
      <c r="DZ112" s="19" t="n">
        <f aca="false">DY116</f>
        <v>0</v>
      </c>
      <c r="EA112" s="19" t="n">
        <f aca="false">DZ116</f>
        <v>0</v>
      </c>
      <c r="EB112" s="19" t="n">
        <f aca="false">EA116</f>
        <v>0</v>
      </c>
      <c r="EC112" s="19" t="n">
        <f aca="false">EB116</f>
        <v>0</v>
      </c>
      <c r="ED112" s="19" t="n">
        <f aca="false">EC116</f>
        <v>0</v>
      </c>
      <c r="EE112" s="19" t="n">
        <f aca="false">ED116</f>
        <v>0</v>
      </c>
      <c r="EF112" s="19" t="n">
        <f aca="false">EE116</f>
        <v>0</v>
      </c>
      <c r="EG112" s="19" t="n">
        <f aca="false">EF116</f>
        <v>0</v>
      </c>
      <c r="EH112" s="19" t="n">
        <f aca="false">EG116</f>
        <v>0</v>
      </c>
      <c r="EI112" s="19" t="n">
        <f aca="false">EH116</f>
        <v>0</v>
      </c>
      <c r="EJ112" s="19" t="n">
        <f aca="false">EI116</f>
        <v>0</v>
      </c>
      <c r="EK112" s="19" t="n">
        <f aca="false">EJ116</f>
        <v>0</v>
      </c>
      <c r="EL112" s="19" t="n">
        <f aca="false">EK116</f>
        <v>0</v>
      </c>
      <c r="EM112" s="19" t="n">
        <f aca="false">EL116</f>
        <v>0</v>
      </c>
      <c r="EN112" s="19" t="n">
        <f aca="false">EM116</f>
        <v>0</v>
      </c>
      <c r="EO112" s="19" t="n">
        <f aca="false">EN116</f>
        <v>0</v>
      </c>
    </row>
    <row r="113" customFormat="false" ht="15" hidden="false" customHeight="false" outlineLevel="0" collapsed="false">
      <c r="C113" s="1" t="s">
        <v>510</v>
      </c>
      <c r="D113" s="12" t="s">
        <v>33</v>
      </c>
      <c r="I113" s="49" t="n">
        <f aca="false">SUM(J113:EO113)</f>
        <v>2429.13032601656</v>
      </c>
      <c r="J113" s="49" t="n">
        <f aca="false">MAX(0,-J111)</f>
        <v>12.8099380746857</v>
      </c>
      <c r="K113" s="49" t="n">
        <f aca="false">MAX(0,-K111)</f>
        <v>19.6746856821167</v>
      </c>
      <c r="L113" s="49" t="n">
        <f aca="false">MAX(0,-L111)</f>
        <v>33.1554888346782</v>
      </c>
      <c r="M113" s="49" t="n">
        <f aca="false">MAX(0,-M111)</f>
        <v>33.5198348658285</v>
      </c>
      <c r="N113" s="49" t="n">
        <f aca="false">MAX(0,-N111)</f>
        <v>33.5198348658285</v>
      </c>
      <c r="O113" s="49" t="n">
        <f aca="false">MAX(0,-O111)</f>
        <v>33.1554888346782</v>
      </c>
      <c r="P113" s="49" t="n">
        <f aca="false">MAX(0,-P111)</f>
        <v>33.1554888346782</v>
      </c>
      <c r="Q113" s="49" t="n">
        <f aca="false">MAX(0,-Q111)</f>
        <v>33.5198348658285</v>
      </c>
      <c r="R113" s="49" t="n">
        <f aca="false">MAX(0,-R111)</f>
        <v>1236.58958588379</v>
      </c>
      <c r="S113" s="49" t="n">
        <f aca="false">MAX(0,-S111)</f>
        <v>185.573186146461</v>
      </c>
      <c r="T113" s="49" t="n">
        <f aca="false">MAX(0,-T111)</f>
        <v>163.578834695637</v>
      </c>
      <c r="U113" s="49" t="n">
        <f aca="false">MAX(0,-U111)</f>
        <v>151.073133340328</v>
      </c>
      <c r="V113" s="49" t="n">
        <f aca="false">MAX(0,-V111)</f>
        <v>136.612683571141</v>
      </c>
      <c r="W113" s="49" t="n">
        <f aca="false">MAX(0,-W111)</f>
        <v>120.538681631169</v>
      </c>
      <c r="X113" s="49" t="n">
        <f aca="false">MAX(0,-X111)</f>
        <v>107.885670021815</v>
      </c>
      <c r="Y113" s="49" t="n">
        <f aca="false">MAX(0,-Y111)</f>
        <v>94.7679558678927</v>
      </c>
      <c r="Z113" s="49" t="n">
        <f aca="false">MAX(0,-Z111)</f>
        <v>0</v>
      </c>
      <c r="AA113" s="49" t="n">
        <f aca="false">MAX(0,-AA111)</f>
        <v>0</v>
      </c>
      <c r="AB113" s="49" t="n">
        <f aca="false">MAX(0,-AB111)</f>
        <v>0</v>
      </c>
      <c r="AC113" s="49" t="n">
        <f aca="false">MAX(0,-AC111)</f>
        <v>0</v>
      </c>
      <c r="AD113" s="49" t="n">
        <f aca="false">MAX(0,-AD111)</f>
        <v>0</v>
      </c>
      <c r="AE113" s="49" t="n">
        <f aca="false">MAX(0,-AE111)</f>
        <v>0</v>
      </c>
      <c r="AF113" s="49" t="n">
        <f aca="false">MAX(0,-AF111)</f>
        <v>0</v>
      </c>
      <c r="AG113" s="49" t="n">
        <f aca="false">MAX(0,-AG111)</f>
        <v>0</v>
      </c>
      <c r="AH113" s="49" t="n">
        <f aca="false">MAX(0,-AH111)</f>
        <v>0</v>
      </c>
      <c r="AI113" s="49" t="n">
        <f aca="false">MAX(0,-AI111)</f>
        <v>0</v>
      </c>
      <c r="AJ113" s="49" t="n">
        <f aca="false">MAX(0,-AJ111)</f>
        <v>0</v>
      </c>
      <c r="AK113" s="49" t="n">
        <f aca="false">MAX(0,-AK111)</f>
        <v>0</v>
      </c>
      <c r="AL113" s="49" t="n">
        <f aca="false">MAX(0,-AL111)</f>
        <v>0</v>
      </c>
      <c r="AM113" s="49" t="n">
        <f aca="false">MAX(0,-AM111)</f>
        <v>0</v>
      </c>
      <c r="AN113" s="49" t="n">
        <f aca="false">MAX(0,-AN111)</f>
        <v>0</v>
      </c>
      <c r="AO113" s="49" t="n">
        <f aca="false">MAX(0,-AO111)</f>
        <v>0</v>
      </c>
      <c r="AP113" s="49" t="n">
        <f aca="false">MAX(0,-AP111)</f>
        <v>0</v>
      </c>
      <c r="AQ113" s="49" t="n">
        <f aca="false">MAX(0,-AQ111)</f>
        <v>0</v>
      </c>
      <c r="AR113" s="49" t="n">
        <f aca="false">MAX(0,-AR111)</f>
        <v>0</v>
      </c>
      <c r="AS113" s="49" t="n">
        <f aca="false">MAX(0,-AS111)</f>
        <v>0</v>
      </c>
      <c r="AT113" s="49" t="n">
        <f aca="false">MAX(0,-AT111)</f>
        <v>0</v>
      </c>
      <c r="AU113" s="49" t="n">
        <f aca="false">MAX(0,-AU111)</f>
        <v>0</v>
      </c>
      <c r="AV113" s="49" t="n">
        <f aca="false">MAX(0,-AV111)</f>
        <v>0</v>
      </c>
      <c r="AW113" s="49" t="n">
        <f aca="false">MAX(0,-AW111)</f>
        <v>0</v>
      </c>
      <c r="AX113" s="49" t="n">
        <f aca="false">MAX(0,-AX111)</f>
        <v>0</v>
      </c>
      <c r="AY113" s="49" t="n">
        <f aca="false">MAX(0,-AY111)</f>
        <v>0</v>
      </c>
      <c r="AZ113" s="49" t="n">
        <f aca="false">MAX(0,-AZ111)</f>
        <v>0</v>
      </c>
      <c r="BA113" s="49" t="n">
        <f aca="false">MAX(0,-BA111)</f>
        <v>0</v>
      </c>
      <c r="BB113" s="49" t="n">
        <f aca="false">MAX(0,-BB111)</f>
        <v>0</v>
      </c>
      <c r="BC113" s="49" t="n">
        <f aca="false">MAX(0,-BC111)</f>
        <v>0</v>
      </c>
      <c r="BD113" s="49" t="n">
        <f aca="false">MAX(0,-BD111)</f>
        <v>0</v>
      </c>
      <c r="BE113" s="49" t="n">
        <f aca="false">MAX(0,-BE111)</f>
        <v>0</v>
      </c>
      <c r="BF113" s="49" t="n">
        <f aca="false">MAX(0,-BF111)</f>
        <v>0</v>
      </c>
      <c r="BG113" s="49" t="n">
        <f aca="false">MAX(0,-BG111)</f>
        <v>0</v>
      </c>
      <c r="BH113" s="49" t="n">
        <f aca="false">MAX(0,-BH111)</f>
        <v>0</v>
      </c>
      <c r="BI113" s="49" t="n">
        <f aca="false">MAX(0,-BI111)</f>
        <v>0</v>
      </c>
      <c r="BJ113" s="49" t="n">
        <f aca="false">MAX(0,-BJ111)</f>
        <v>0</v>
      </c>
      <c r="BK113" s="49" t="n">
        <f aca="false">MAX(0,-BK111)</f>
        <v>0</v>
      </c>
      <c r="BL113" s="49" t="n">
        <f aca="false">MAX(0,-BL111)</f>
        <v>0</v>
      </c>
      <c r="BM113" s="49" t="n">
        <f aca="false">MAX(0,-BM111)</f>
        <v>0</v>
      </c>
      <c r="BN113" s="49" t="n">
        <f aca="false">MAX(0,-BN111)</f>
        <v>0</v>
      </c>
      <c r="BO113" s="49" t="n">
        <f aca="false">MAX(0,-BO111)</f>
        <v>0</v>
      </c>
      <c r="BP113" s="49" t="n">
        <f aca="false">MAX(0,-BP111)</f>
        <v>0</v>
      </c>
      <c r="BQ113" s="49" t="n">
        <f aca="false">MAX(0,-BQ111)</f>
        <v>0</v>
      </c>
      <c r="BR113" s="49" t="n">
        <f aca="false">MAX(0,-BR111)</f>
        <v>0</v>
      </c>
      <c r="BS113" s="49" t="n">
        <f aca="false">MAX(0,-BS111)</f>
        <v>0</v>
      </c>
      <c r="BT113" s="49" t="n">
        <f aca="false">MAX(0,-BT111)</f>
        <v>0</v>
      </c>
      <c r="BU113" s="49" t="n">
        <f aca="false">MAX(0,-BU111)</f>
        <v>0</v>
      </c>
      <c r="BV113" s="49" t="n">
        <f aca="false">MAX(0,-BV111)</f>
        <v>0</v>
      </c>
      <c r="BW113" s="49" t="n">
        <f aca="false">MAX(0,-BW111)</f>
        <v>0</v>
      </c>
      <c r="BX113" s="49" t="n">
        <f aca="false">MAX(0,-BX111)</f>
        <v>0</v>
      </c>
      <c r="BY113" s="49" t="n">
        <f aca="false">MAX(0,-BY111)</f>
        <v>0</v>
      </c>
      <c r="BZ113" s="49" t="n">
        <f aca="false">MAX(0,-BZ111)</f>
        <v>0</v>
      </c>
      <c r="CA113" s="49" t="n">
        <f aca="false">MAX(0,-CA111)</f>
        <v>0</v>
      </c>
      <c r="CB113" s="49" t="n">
        <f aca="false">MAX(0,-CB111)</f>
        <v>0</v>
      </c>
      <c r="CC113" s="49" t="n">
        <f aca="false">MAX(0,-CC111)</f>
        <v>0</v>
      </c>
      <c r="CD113" s="49" t="n">
        <f aca="false">MAX(0,-CD111)</f>
        <v>0</v>
      </c>
      <c r="CE113" s="49" t="n">
        <f aca="false">MAX(0,-CE111)</f>
        <v>0</v>
      </c>
      <c r="CF113" s="49" t="n">
        <f aca="false">MAX(0,-CF111)</f>
        <v>0</v>
      </c>
      <c r="CG113" s="49" t="n">
        <f aca="false">MAX(0,-CG111)</f>
        <v>0</v>
      </c>
      <c r="CH113" s="49" t="n">
        <f aca="false">MAX(0,-CH111)</f>
        <v>0</v>
      </c>
      <c r="CI113" s="49" t="n">
        <f aca="false">MAX(0,-CI111)</f>
        <v>0</v>
      </c>
      <c r="CJ113" s="49" t="n">
        <f aca="false">MAX(0,-CJ111)</f>
        <v>0</v>
      </c>
      <c r="CK113" s="49" t="n">
        <f aca="false">MAX(0,-CK111)</f>
        <v>0</v>
      </c>
      <c r="CL113" s="49" t="n">
        <f aca="false">MAX(0,-CL111)</f>
        <v>0</v>
      </c>
      <c r="CM113" s="49" t="n">
        <f aca="false">MAX(0,-CM111)</f>
        <v>0</v>
      </c>
      <c r="CN113" s="49" t="n">
        <f aca="false">MAX(0,-CN111)</f>
        <v>0</v>
      </c>
      <c r="CO113" s="49" t="n">
        <f aca="false">MAX(0,-CO111)</f>
        <v>0</v>
      </c>
      <c r="CP113" s="49" t="n">
        <f aca="false">MAX(0,-CP111)</f>
        <v>0</v>
      </c>
      <c r="CQ113" s="49" t="n">
        <f aca="false">MAX(0,-CQ111)</f>
        <v>0</v>
      </c>
      <c r="CR113" s="49" t="n">
        <f aca="false">MAX(0,-CR111)</f>
        <v>0</v>
      </c>
      <c r="CS113" s="49" t="n">
        <f aca="false">MAX(0,-CS111)</f>
        <v>0</v>
      </c>
      <c r="CT113" s="49" t="n">
        <f aca="false">MAX(0,-CT111)</f>
        <v>0</v>
      </c>
      <c r="CU113" s="49" t="n">
        <f aca="false">MAX(0,-CU111)</f>
        <v>0</v>
      </c>
      <c r="CV113" s="49" t="n">
        <f aca="false">MAX(0,-CV111)</f>
        <v>0</v>
      </c>
      <c r="CW113" s="49" t="n">
        <f aca="false">MAX(0,-CW111)</f>
        <v>0</v>
      </c>
      <c r="CX113" s="49" t="n">
        <f aca="false">MAX(0,-CX111)</f>
        <v>0</v>
      </c>
      <c r="CY113" s="49" t="n">
        <f aca="false">MAX(0,-CY111)</f>
        <v>0</v>
      </c>
      <c r="CZ113" s="49" t="n">
        <f aca="false">MAX(0,-CZ111)</f>
        <v>0</v>
      </c>
      <c r="DA113" s="49" t="n">
        <f aca="false">MAX(0,-DA111)</f>
        <v>0</v>
      </c>
      <c r="DB113" s="49" t="n">
        <f aca="false">MAX(0,-DB111)</f>
        <v>0</v>
      </c>
      <c r="DC113" s="49" t="n">
        <f aca="false">MAX(0,-DC111)</f>
        <v>0</v>
      </c>
      <c r="DD113" s="49" t="n">
        <f aca="false">MAX(0,-DD111)</f>
        <v>0</v>
      </c>
      <c r="DE113" s="49" t="n">
        <f aca="false">MAX(0,-DE111)</f>
        <v>0</v>
      </c>
      <c r="DF113" s="49" t="n">
        <f aca="false">MAX(0,-DF111)</f>
        <v>0</v>
      </c>
      <c r="DG113" s="49" t="n">
        <f aca="false">MAX(0,-DG111)</f>
        <v>0</v>
      </c>
      <c r="DH113" s="49" t="n">
        <f aca="false">MAX(0,-DH111)</f>
        <v>0</v>
      </c>
      <c r="DI113" s="49" t="n">
        <f aca="false">MAX(0,-DI111)</f>
        <v>0</v>
      </c>
      <c r="DJ113" s="49" t="n">
        <f aca="false">MAX(0,-DJ111)</f>
        <v>0</v>
      </c>
      <c r="DK113" s="49" t="n">
        <f aca="false">MAX(0,-DK111)</f>
        <v>0</v>
      </c>
      <c r="DL113" s="49" t="n">
        <f aca="false">MAX(0,-DL111)</f>
        <v>0</v>
      </c>
      <c r="DM113" s="49" t="n">
        <f aca="false">MAX(0,-DM111)</f>
        <v>0</v>
      </c>
      <c r="DN113" s="49" t="n">
        <f aca="false">MAX(0,-DN111)</f>
        <v>0</v>
      </c>
      <c r="DO113" s="49" t="n">
        <f aca="false">MAX(0,-DO111)</f>
        <v>0</v>
      </c>
      <c r="DP113" s="49" t="n">
        <f aca="false">MAX(0,-DP111)</f>
        <v>0</v>
      </c>
      <c r="DQ113" s="49" t="n">
        <f aca="false">MAX(0,-DQ111)</f>
        <v>0</v>
      </c>
      <c r="DR113" s="49" t="n">
        <f aca="false">MAX(0,-DR111)</f>
        <v>0</v>
      </c>
      <c r="DS113" s="49" t="n">
        <f aca="false">MAX(0,-DS111)</f>
        <v>0</v>
      </c>
      <c r="DT113" s="49" t="n">
        <f aca="false">MAX(0,-DT111)</f>
        <v>0</v>
      </c>
      <c r="DU113" s="49" t="n">
        <f aca="false">MAX(0,-DU111)</f>
        <v>0</v>
      </c>
      <c r="DV113" s="49" t="n">
        <f aca="false">MAX(0,-DV111)</f>
        <v>0</v>
      </c>
      <c r="DW113" s="49" t="n">
        <f aca="false">MAX(0,-DW111)</f>
        <v>0</v>
      </c>
      <c r="DX113" s="49" t="n">
        <f aca="false">MAX(0,-DX111)</f>
        <v>0</v>
      </c>
      <c r="DY113" s="49" t="n">
        <f aca="false">MAX(0,-DY111)</f>
        <v>0</v>
      </c>
      <c r="DZ113" s="49" t="n">
        <f aca="false">MAX(0,-DZ111)</f>
        <v>0</v>
      </c>
      <c r="EA113" s="49" t="n">
        <f aca="false">MAX(0,-EA111)</f>
        <v>0</v>
      </c>
      <c r="EB113" s="49" t="n">
        <f aca="false">MAX(0,-EB111)</f>
        <v>0</v>
      </c>
      <c r="EC113" s="49" t="n">
        <f aca="false">MAX(0,-EC111)</f>
        <v>0</v>
      </c>
      <c r="ED113" s="49" t="n">
        <f aca="false">MAX(0,-ED111)</f>
        <v>0</v>
      </c>
      <c r="EE113" s="49" t="n">
        <f aca="false">MAX(0,-EE111)</f>
        <v>0</v>
      </c>
      <c r="EF113" s="49" t="n">
        <f aca="false">MAX(0,-EF111)</f>
        <v>0</v>
      </c>
      <c r="EG113" s="49" t="n">
        <f aca="false">MAX(0,-EG111)</f>
        <v>0</v>
      </c>
      <c r="EH113" s="49" t="n">
        <f aca="false">MAX(0,-EH111)</f>
        <v>0</v>
      </c>
      <c r="EI113" s="49" t="n">
        <f aca="false">MAX(0,-EI111)</f>
        <v>0</v>
      </c>
      <c r="EJ113" s="49" t="n">
        <f aca="false">MAX(0,-EJ111)</f>
        <v>0</v>
      </c>
      <c r="EK113" s="49" t="n">
        <f aca="false">MAX(0,-EK111)</f>
        <v>0</v>
      </c>
      <c r="EL113" s="49" t="n">
        <f aca="false">MAX(0,-EL111)</f>
        <v>0</v>
      </c>
      <c r="EM113" s="49" t="n">
        <f aca="false">MAX(0,-EM111)</f>
        <v>0</v>
      </c>
      <c r="EN113" s="49" t="n">
        <f aca="false">MAX(0,-EN111)</f>
        <v>0</v>
      </c>
      <c r="EO113" s="49" t="n">
        <f aca="false">MAX(0,-EO111)</f>
        <v>0</v>
      </c>
    </row>
    <row r="114" customFormat="false" ht="15" hidden="false" customHeight="false" outlineLevel="0" collapsed="false">
      <c r="C114" s="1" t="s">
        <v>511</v>
      </c>
      <c r="D114" s="12" t="s">
        <v>33</v>
      </c>
      <c r="I114" s="49" t="n">
        <f aca="false">SUM(J114:EO114)</f>
        <v>-1746.17162898076</v>
      </c>
      <c r="J114" s="49" t="n">
        <f aca="false">-MIN(J112,In_Loss_Cap*MAX(0,J111))</f>
        <v>-0</v>
      </c>
      <c r="K114" s="49" t="n">
        <f aca="false">-MIN(K112,In_Loss_Cap*MAX(0,K111))</f>
        <v>-0</v>
      </c>
      <c r="L114" s="49" t="n">
        <f aca="false">-MIN(L112,In_Loss_Cap*MAX(0,L111))</f>
        <v>-0</v>
      </c>
      <c r="M114" s="49" t="n">
        <f aca="false">-MIN(M112,In_Loss_Cap*MAX(0,M111))</f>
        <v>-0</v>
      </c>
      <c r="N114" s="49" t="n">
        <f aca="false">-MIN(N112,In_Loss_Cap*MAX(0,N111))</f>
        <v>-0</v>
      </c>
      <c r="O114" s="49" t="n">
        <f aca="false">-MIN(O112,In_Loss_Cap*MAX(0,O111))</f>
        <v>-0</v>
      </c>
      <c r="P114" s="49" t="n">
        <f aca="false">-MIN(P112,In_Loss_Cap*MAX(0,P111))</f>
        <v>-0</v>
      </c>
      <c r="Q114" s="49" t="n">
        <f aca="false">-MIN(Q112,In_Loss_Cap*MAX(0,Q111))</f>
        <v>-0</v>
      </c>
      <c r="R114" s="49" t="n">
        <f aca="false">-MIN(R112,In_Loss_Cap*MAX(0,R111))</f>
        <v>-0</v>
      </c>
      <c r="S114" s="49" t="n">
        <f aca="false">-MIN(S112,In_Loss_Cap*MAX(0,S111))</f>
        <v>-0</v>
      </c>
      <c r="T114" s="49" t="n">
        <f aca="false">-MIN(T112,In_Loss_Cap*MAX(0,T111))</f>
        <v>-0</v>
      </c>
      <c r="U114" s="49" t="n">
        <f aca="false">-MIN(U112,In_Loss_Cap*MAX(0,U111))</f>
        <v>-0</v>
      </c>
      <c r="V114" s="49" t="n">
        <f aca="false">-MIN(V112,In_Loss_Cap*MAX(0,V111))</f>
        <v>-0</v>
      </c>
      <c r="W114" s="49" t="n">
        <f aca="false">-MIN(W112,In_Loss_Cap*MAX(0,W111))</f>
        <v>-0</v>
      </c>
      <c r="X114" s="49" t="n">
        <f aca="false">-MIN(X112,In_Loss_Cap*MAX(0,X111))</f>
        <v>-0</v>
      </c>
      <c r="Y114" s="49" t="n">
        <f aca="false">-MIN(Y112,In_Loss_Cap*MAX(0,Y111))</f>
        <v>-0</v>
      </c>
      <c r="Z114" s="49" t="n">
        <f aca="false">-MIN(Z112,In_Loss_Cap*MAX(0,Z111))</f>
        <v>-112.575288164207</v>
      </c>
      <c r="AA114" s="49" t="n">
        <f aca="false">-MIN(AA112,In_Loss_Cap*MAX(0,AA111))</f>
        <v>-114.185331555565</v>
      </c>
      <c r="AB114" s="49" t="n">
        <f aca="false">-MIN(AB112,In_Loss_Cap*MAX(0,AB111))</f>
        <v>-123.727999043624</v>
      </c>
      <c r="AC114" s="49" t="n">
        <f aca="false">-MIN(AC112,In_Loss_Cap*MAX(0,AC111))</f>
        <v>-133.323406109432</v>
      </c>
      <c r="AD114" s="49" t="n">
        <f aca="false">-MIN(AD112,In_Loss_Cap*MAX(0,AD111))</f>
        <v>-133.411679944543</v>
      </c>
      <c r="AE114" s="49" t="n">
        <f aca="false">-MIN(AE112,In_Loss_Cap*MAX(0,AE111))</f>
        <v>-140.447304905192</v>
      </c>
      <c r="AF114" s="49" t="n">
        <f aca="false">-MIN(AF112,In_Loss_Cap*MAX(0,AF111))</f>
        <v>-144.881417969732</v>
      </c>
      <c r="AG114" s="49" t="n">
        <f aca="false">-MIN(AG112,In_Loss_Cap*MAX(0,AG111))</f>
        <v>-154.735587556502</v>
      </c>
      <c r="AH114" s="49" t="n">
        <f aca="false">-MIN(AH112,In_Loss_Cap*MAX(0,AH111))</f>
        <v>-155.017350452366</v>
      </c>
      <c r="AI114" s="49" t="n">
        <f aca="false">-MIN(AI112,In_Loss_Cap*MAX(0,AI111))</f>
        <v>-156.75876213524</v>
      </c>
      <c r="AJ114" s="49" t="n">
        <f aca="false">-MIN(AJ112,In_Loss_Cap*MAX(0,AJ111))</f>
        <v>-183.401194850252</v>
      </c>
      <c r="AK114" s="49" t="n">
        <f aca="false">-MIN(AK112,In_Loss_Cap*MAX(0,AK111))</f>
        <v>-193.706306294107</v>
      </c>
      <c r="AL114" s="49" t="n">
        <f aca="false">-MIN(AL112,In_Loss_Cap*MAX(0,AL111))</f>
        <v>-0</v>
      </c>
      <c r="AM114" s="49" t="n">
        <f aca="false">-MIN(AM112,In_Loss_Cap*MAX(0,AM111))</f>
        <v>-0</v>
      </c>
      <c r="AN114" s="49" t="n">
        <f aca="false">-MIN(AN112,In_Loss_Cap*MAX(0,AN111))</f>
        <v>-0</v>
      </c>
      <c r="AO114" s="49" t="n">
        <f aca="false">-MIN(AO112,In_Loss_Cap*MAX(0,AO111))</f>
        <v>-0</v>
      </c>
      <c r="AP114" s="49" t="n">
        <f aca="false">-MIN(AP112,In_Loss_Cap*MAX(0,AP111))</f>
        <v>-0</v>
      </c>
      <c r="AQ114" s="49" t="n">
        <f aca="false">-MIN(AQ112,In_Loss_Cap*MAX(0,AQ111))</f>
        <v>-0</v>
      </c>
      <c r="AR114" s="49" t="n">
        <f aca="false">-MIN(AR112,In_Loss_Cap*MAX(0,AR111))</f>
        <v>-0</v>
      </c>
      <c r="AS114" s="49" t="n">
        <f aca="false">-MIN(AS112,In_Loss_Cap*MAX(0,AS111))</f>
        <v>-0</v>
      </c>
      <c r="AT114" s="49" t="n">
        <f aca="false">-MIN(AT112,In_Loss_Cap*MAX(0,AT111))</f>
        <v>-0</v>
      </c>
      <c r="AU114" s="49" t="n">
        <f aca="false">-MIN(AU112,In_Loss_Cap*MAX(0,AU111))</f>
        <v>-0</v>
      </c>
      <c r="AV114" s="49" t="n">
        <f aca="false">-MIN(AV112,In_Loss_Cap*MAX(0,AV111))</f>
        <v>-0</v>
      </c>
      <c r="AW114" s="49" t="n">
        <f aca="false">-MIN(AW112,In_Loss_Cap*MAX(0,AW111))</f>
        <v>-0</v>
      </c>
      <c r="AX114" s="49" t="n">
        <f aca="false">-MIN(AX112,In_Loss_Cap*MAX(0,AX111))</f>
        <v>-0</v>
      </c>
      <c r="AY114" s="49" t="n">
        <f aca="false">-MIN(AY112,In_Loss_Cap*MAX(0,AY111))</f>
        <v>-0</v>
      </c>
      <c r="AZ114" s="49" t="n">
        <f aca="false">-MIN(AZ112,In_Loss_Cap*MAX(0,AZ111))</f>
        <v>-0</v>
      </c>
      <c r="BA114" s="49" t="n">
        <f aca="false">-MIN(BA112,In_Loss_Cap*MAX(0,BA111))</f>
        <v>-0</v>
      </c>
      <c r="BB114" s="49" t="n">
        <f aca="false">-MIN(BB112,In_Loss_Cap*MAX(0,BB111))</f>
        <v>-0</v>
      </c>
      <c r="BC114" s="49" t="n">
        <f aca="false">-MIN(BC112,In_Loss_Cap*MAX(0,BC111))</f>
        <v>-0</v>
      </c>
      <c r="BD114" s="49" t="n">
        <f aca="false">-MIN(BD112,In_Loss_Cap*MAX(0,BD111))</f>
        <v>-0</v>
      </c>
      <c r="BE114" s="49" t="n">
        <f aca="false">-MIN(BE112,In_Loss_Cap*MAX(0,BE111))</f>
        <v>-0</v>
      </c>
      <c r="BF114" s="49" t="n">
        <f aca="false">-MIN(BF112,In_Loss_Cap*MAX(0,BF111))</f>
        <v>-0</v>
      </c>
      <c r="BG114" s="49" t="n">
        <f aca="false">-MIN(BG112,In_Loss_Cap*MAX(0,BG111))</f>
        <v>-0</v>
      </c>
      <c r="BH114" s="49" t="n">
        <f aca="false">-MIN(BH112,In_Loss_Cap*MAX(0,BH111))</f>
        <v>-0</v>
      </c>
      <c r="BI114" s="49" t="n">
        <f aca="false">-MIN(BI112,In_Loss_Cap*MAX(0,BI111))</f>
        <v>-0</v>
      </c>
      <c r="BJ114" s="49" t="n">
        <f aca="false">-MIN(BJ112,In_Loss_Cap*MAX(0,BJ111))</f>
        <v>-0</v>
      </c>
      <c r="BK114" s="49" t="n">
        <f aca="false">-MIN(BK112,In_Loss_Cap*MAX(0,BK111))</f>
        <v>-0</v>
      </c>
      <c r="BL114" s="49" t="n">
        <f aca="false">-MIN(BL112,In_Loss_Cap*MAX(0,BL111))</f>
        <v>-0</v>
      </c>
      <c r="BM114" s="49" t="n">
        <f aca="false">-MIN(BM112,In_Loss_Cap*MAX(0,BM111))</f>
        <v>-0</v>
      </c>
      <c r="BN114" s="49" t="n">
        <f aca="false">-MIN(BN112,In_Loss_Cap*MAX(0,BN111))</f>
        <v>-0</v>
      </c>
      <c r="BO114" s="49" t="n">
        <f aca="false">-MIN(BO112,In_Loss_Cap*MAX(0,BO111))</f>
        <v>-0</v>
      </c>
      <c r="BP114" s="49" t="n">
        <f aca="false">-MIN(BP112,In_Loss_Cap*MAX(0,BP111))</f>
        <v>-0</v>
      </c>
      <c r="BQ114" s="49" t="n">
        <f aca="false">-MIN(BQ112,In_Loss_Cap*MAX(0,BQ111))</f>
        <v>-0</v>
      </c>
      <c r="BR114" s="49" t="n">
        <f aca="false">-MIN(BR112,In_Loss_Cap*MAX(0,BR111))</f>
        <v>-0</v>
      </c>
      <c r="BS114" s="49" t="n">
        <f aca="false">-MIN(BS112,In_Loss_Cap*MAX(0,BS111))</f>
        <v>-0</v>
      </c>
      <c r="BT114" s="49" t="n">
        <f aca="false">-MIN(BT112,In_Loss_Cap*MAX(0,BT111))</f>
        <v>-0</v>
      </c>
      <c r="BU114" s="49" t="n">
        <f aca="false">-MIN(BU112,In_Loss_Cap*MAX(0,BU111))</f>
        <v>-0</v>
      </c>
      <c r="BV114" s="49" t="n">
        <f aca="false">-MIN(BV112,In_Loss_Cap*MAX(0,BV111))</f>
        <v>-0</v>
      </c>
      <c r="BW114" s="49" t="n">
        <f aca="false">-MIN(BW112,In_Loss_Cap*MAX(0,BW111))</f>
        <v>-0</v>
      </c>
      <c r="BX114" s="49" t="n">
        <f aca="false">-MIN(BX112,In_Loss_Cap*MAX(0,BX111))</f>
        <v>-0</v>
      </c>
      <c r="BY114" s="49" t="n">
        <f aca="false">-MIN(BY112,In_Loss_Cap*MAX(0,BY111))</f>
        <v>-0</v>
      </c>
      <c r="BZ114" s="49" t="n">
        <f aca="false">-MIN(BZ112,In_Loss_Cap*MAX(0,BZ111))</f>
        <v>-0</v>
      </c>
      <c r="CA114" s="49" t="n">
        <f aca="false">-MIN(CA112,In_Loss_Cap*MAX(0,CA111))</f>
        <v>-0</v>
      </c>
      <c r="CB114" s="49" t="n">
        <f aca="false">-MIN(CB112,In_Loss_Cap*MAX(0,CB111))</f>
        <v>-0</v>
      </c>
      <c r="CC114" s="49" t="n">
        <f aca="false">-MIN(CC112,In_Loss_Cap*MAX(0,CC111))</f>
        <v>-0</v>
      </c>
      <c r="CD114" s="49" t="n">
        <f aca="false">-MIN(CD112,In_Loss_Cap*MAX(0,CD111))</f>
        <v>-0</v>
      </c>
      <c r="CE114" s="49" t="n">
        <f aca="false">-MIN(CE112,In_Loss_Cap*MAX(0,CE111))</f>
        <v>-0</v>
      </c>
      <c r="CF114" s="49" t="n">
        <f aca="false">-MIN(CF112,In_Loss_Cap*MAX(0,CF111))</f>
        <v>-0</v>
      </c>
      <c r="CG114" s="49" t="n">
        <f aca="false">-MIN(CG112,In_Loss_Cap*MAX(0,CG111))</f>
        <v>-0</v>
      </c>
      <c r="CH114" s="49" t="n">
        <f aca="false">-MIN(CH112,In_Loss_Cap*MAX(0,CH111))</f>
        <v>-0</v>
      </c>
      <c r="CI114" s="49" t="n">
        <f aca="false">-MIN(CI112,In_Loss_Cap*MAX(0,CI111))</f>
        <v>-0</v>
      </c>
      <c r="CJ114" s="49" t="n">
        <f aca="false">-MIN(CJ112,In_Loss_Cap*MAX(0,CJ111))</f>
        <v>-0</v>
      </c>
      <c r="CK114" s="49" t="n">
        <f aca="false">-MIN(CK112,In_Loss_Cap*MAX(0,CK111))</f>
        <v>-0</v>
      </c>
      <c r="CL114" s="49" t="n">
        <f aca="false">-MIN(CL112,In_Loss_Cap*MAX(0,CL111))</f>
        <v>-0</v>
      </c>
      <c r="CM114" s="49" t="n">
        <f aca="false">-MIN(CM112,In_Loss_Cap*MAX(0,CM111))</f>
        <v>-0</v>
      </c>
      <c r="CN114" s="49" t="n">
        <f aca="false">-MIN(CN112,In_Loss_Cap*MAX(0,CN111))</f>
        <v>-0</v>
      </c>
      <c r="CO114" s="49" t="n">
        <f aca="false">-MIN(CO112,In_Loss_Cap*MAX(0,CO111))</f>
        <v>-0</v>
      </c>
      <c r="CP114" s="49" t="n">
        <f aca="false">-MIN(CP112,In_Loss_Cap*MAX(0,CP111))</f>
        <v>-0</v>
      </c>
      <c r="CQ114" s="49" t="n">
        <f aca="false">-MIN(CQ112,In_Loss_Cap*MAX(0,CQ111))</f>
        <v>-0</v>
      </c>
      <c r="CR114" s="49" t="n">
        <f aca="false">-MIN(CR112,In_Loss_Cap*MAX(0,CR111))</f>
        <v>-0</v>
      </c>
      <c r="CS114" s="49" t="n">
        <f aca="false">-MIN(CS112,In_Loss_Cap*MAX(0,CS111))</f>
        <v>-0</v>
      </c>
      <c r="CT114" s="49" t="n">
        <f aca="false">-MIN(CT112,In_Loss_Cap*MAX(0,CT111))</f>
        <v>-0</v>
      </c>
      <c r="CU114" s="49" t="n">
        <f aca="false">-MIN(CU112,In_Loss_Cap*MAX(0,CU111))</f>
        <v>-0</v>
      </c>
      <c r="CV114" s="49" t="n">
        <f aca="false">-MIN(CV112,In_Loss_Cap*MAX(0,CV111))</f>
        <v>-0</v>
      </c>
      <c r="CW114" s="49" t="n">
        <f aca="false">-MIN(CW112,In_Loss_Cap*MAX(0,CW111))</f>
        <v>-0</v>
      </c>
      <c r="CX114" s="49" t="n">
        <f aca="false">-MIN(CX112,In_Loss_Cap*MAX(0,CX111))</f>
        <v>-0</v>
      </c>
      <c r="CY114" s="49" t="n">
        <f aca="false">-MIN(CY112,In_Loss_Cap*MAX(0,CY111))</f>
        <v>-0</v>
      </c>
      <c r="CZ114" s="49" t="n">
        <f aca="false">-MIN(CZ112,In_Loss_Cap*MAX(0,CZ111))</f>
        <v>-0</v>
      </c>
      <c r="DA114" s="49" t="n">
        <f aca="false">-MIN(DA112,In_Loss_Cap*MAX(0,DA111))</f>
        <v>-0</v>
      </c>
      <c r="DB114" s="49" t="n">
        <f aca="false">-MIN(DB112,In_Loss_Cap*MAX(0,DB111))</f>
        <v>-0</v>
      </c>
      <c r="DC114" s="49" t="n">
        <f aca="false">-MIN(DC112,In_Loss_Cap*MAX(0,DC111))</f>
        <v>-0</v>
      </c>
      <c r="DD114" s="49" t="n">
        <f aca="false">-MIN(DD112,In_Loss_Cap*MAX(0,DD111))</f>
        <v>-0</v>
      </c>
      <c r="DE114" s="49" t="n">
        <f aca="false">-MIN(DE112,In_Loss_Cap*MAX(0,DE111))</f>
        <v>-0</v>
      </c>
      <c r="DF114" s="49" t="n">
        <f aca="false">-MIN(DF112,In_Loss_Cap*MAX(0,DF111))</f>
        <v>-0</v>
      </c>
      <c r="DG114" s="49" t="n">
        <f aca="false">-MIN(DG112,In_Loss_Cap*MAX(0,DG111))</f>
        <v>-0</v>
      </c>
      <c r="DH114" s="49" t="n">
        <f aca="false">-MIN(DH112,In_Loss_Cap*MAX(0,DH111))</f>
        <v>-0</v>
      </c>
      <c r="DI114" s="49" t="n">
        <f aca="false">-MIN(DI112,In_Loss_Cap*MAX(0,DI111))</f>
        <v>-0</v>
      </c>
      <c r="DJ114" s="49" t="n">
        <f aca="false">-MIN(DJ112,In_Loss_Cap*MAX(0,DJ111))</f>
        <v>-0</v>
      </c>
      <c r="DK114" s="49" t="n">
        <f aca="false">-MIN(DK112,In_Loss_Cap*MAX(0,DK111))</f>
        <v>-0</v>
      </c>
      <c r="DL114" s="49" t="n">
        <f aca="false">-MIN(DL112,In_Loss_Cap*MAX(0,DL111))</f>
        <v>-0</v>
      </c>
      <c r="DM114" s="49" t="n">
        <f aca="false">-MIN(DM112,In_Loss_Cap*MAX(0,DM111))</f>
        <v>-0</v>
      </c>
      <c r="DN114" s="49" t="n">
        <f aca="false">-MIN(DN112,In_Loss_Cap*MAX(0,DN111))</f>
        <v>-0</v>
      </c>
      <c r="DO114" s="49" t="n">
        <f aca="false">-MIN(DO112,In_Loss_Cap*MAX(0,DO111))</f>
        <v>-0</v>
      </c>
      <c r="DP114" s="49" t="n">
        <f aca="false">-MIN(DP112,In_Loss_Cap*MAX(0,DP111))</f>
        <v>-0</v>
      </c>
      <c r="DQ114" s="49" t="n">
        <f aca="false">-MIN(DQ112,In_Loss_Cap*MAX(0,DQ111))</f>
        <v>-0</v>
      </c>
      <c r="DR114" s="49" t="n">
        <f aca="false">-MIN(DR112,In_Loss_Cap*MAX(0,DR111))</f>
        <v>-0</v>
      </c>
      <c r="DS114" s="49" t="n">
        <f aca="false">-MIN(DS112,In_Loss_Cap*MAX(0,DS111))</f>
        <v>-0</v>
      </c>
      <c r="DT114" s="49" t="n">
        <f aca="false">-MIN(DT112,In_Loss_Cap*MAX(0,DT111))</f>
        <v>-0</v>
      </c>
      <c r="DU114" s="49" t="n">
        <f aca="false">-MIN(DU112,In_Loss_Cap*MAX(0,DU111))</f>
        <v>-0</v>
      </c>
      <c r="DV114" s="49" t="n">
        <f aca="false">-MIN(DV112,In_Loss_Cap*MAX(0,DV111))</f>
        <v>-0</v>
      </c>
      <c r="DW114" s="49" t="n">
        <f aca="false">-MIN(DW112,In_Loss_Cap*MAX(0,DW111))</f>
        <v>-0</v>
      </c>
      <c r="DX114" s="49" t="n">
        <f aca="false">-MIN(DX112,In_Loss_Cap*MAX(0,DX111))</f>
        <v>-0</v>
      </c>
      <c r="DY114" s="49" t="n">
        <f aca="false">-MIN(DY112,In_Loss_Cap*MAX(0,DY111))</f>
        <v>-0</v>
      </c>
      <c r="DZ114" s="49" t="n">
        <f aca="false">-MIN(DZ112,In_Loss_Cap*MAX(0,DZ111))</f>
        <v>-0</v>
      </c>
      <c r="EA114" s="49" t="n">
        <f aca="false">-MIN(EA112,In_Loss_Cap*MAX(0,EA111))</f>
        <v>-0</v>
      </c>
      <c r="EB114" s="49" t="n">
        <f aca="false">-MIN(EB112,In_Loss_Cap*MAX(0,EB111))</f>
        <v>-0</v>
      </c>
      <c r="EC114" s="49" t="n">
        <f aca="false">-MIN(EC112,In_Loss_Cap*MAX(0,EC111))</f>
        <v>-0</v>
      </c>
      <c r="ED114" s="49" t="n">
        <f aca="false">-MIN(ED112,In_Loss_Cap*MAX(0,ED111))</f>
        <v>-0</v>
      </c>
      <c r="EE114" s="49" t="n">
        <f aca="false">-MIN(EE112,In_Loss_Cap*MAX(0,EE111))</f>
        <v>-0</v>
      </c>
      <c r="EF114" s="49" t="n">
        <f aca="false">-MIN(EF112,In_Loss_Cap*MAX(0,EF111))</f>
        <v>-0</v>
      </c>
      <c r="EG114" s="49" t="n">
        <f aca="false">-MIN(EG112,In_Loss_Cap*MAX(0,EG111))</f>
        <v>-0</v>
      </c>
      <c r="EH114" s="49" t="n">
        <f aca="false">-MIN(EH112,In_Loss_Cap*MAX(0,EH111))</f>
        <v>-0</v>
      </c>
      <c r="EI114" s="49" t="n">
        <f aca="false">-MIN(EI112,In_Loss_Cap*MAX(0,EI111))</f>
        <v>-0</v>
      </c>
      <c r="EJ114" s="49" t="n">
        <f aca="false">-MIN(EJ112,In_Loss_Cap*MAX(0,EJ111))</f>
        <v>-0</v>
      </c>
      <c r="EK114" s="49" t="n">
        <f aca="false">-MIN(EK112,In_Loss_Cap*MAX(0,EK111))</f>
        <v>-0</v>
      </c>
      <c r="EL114" s="49" t="n">
        <f aca="false">-MIN(EL112,In_Loss_Cap*MAX(0,EL111))</f>
        <v>-0</v>
      </c>
      <c r="EM114" s="49" t="n">
        <f aca="false">-MIN(EM112,In_Loss_Cap*MAX(0,EM111))</f>
        <v>-0</v>
      </c>
      <c r="EN114" s="49" t="n">
        <f aca="false">-MIN(EN112,In_Loss_Cap*MAX(0,EN111))</f>
        <v>-0</v>
      </c>
      <c r="EO114" s="49" t="n">
        <f aca="false">-MIN(EO112,In_Loss_Cap*MAX(0,EO111))</f>
        <v>-0</v>
      </c>
    </row>
    <row r="115" customFormat="false" ht="15" hidden="false" customHeight="false" outlineLevel="0" collapsed="false">
      <c r="C115" s="1" t="s">
        <v>512</v>
      </c>
      <c r="D115" s="12" t="s">
        <v>33</v>
      </c>
      <c r="E115" s="47" t="n">
        <f aca="false">EDATE(In_NTP,In_Loss_Years*Months_In_Year)</f>
        <v>48852</v>
      </c>
      <c r="I115" s="49" t="n">
        <f aca="false">SUM(J115:EO115)</f>
        <v>-682.958697035797</v>
      </c>
      <c r="J115" s="49" t="n">
        <f aca="false">-(J112+J113+J114)*N(AND(J$3&lt;=$E115,J$4&gt;=$E115))</f>
        <v>-0</v>
      </c>
      <c r="K115" s="49" t="n">
        <f aca="false">-(K112+K113+K114)*N(AND(K$3&lt;=$E115,K$4&gt;=$E115))</f>
        <v>-0</v>
      </c>
      <c r="L115" s="49" t="n">
        <f aca="false">-(L112+L113+L114)*N(AND(L$3&lt;=$E115,L$4&gt;=$E115))</f>
        <v>-0</v>
      </c>
      <c r="M115" s="49" t="n">
        <f aca="false">-(M112+M113+M114)*N(AND(M$3&lt;=$E115,M$4&gt;=$E115))</f>
        <v>-0</v>
      </c>
      <c r="N115" s="49" t="n">
        <f aca="false">-(N112+N113+N114)*N(AND(N$3&lt;=$E115,N$4&gt;=$E115))</f>
        <v>-0</v>
      </c>
      <c r="O115" s="49" t="n">
        <f aca="false">-(O112+O113+O114)*N(AND(O$3&lt;=$E115,O$4&gt;=$E115))</f>
        <v>-0</v>
      </c>
      <c r="P115" s="49" t="n">
        <f aca="false">-(P112+P113+P114)*N(AND(P$3&lt;=$E115,P$4&gt;=$E115))</f>
        <v>-0</v>
      </c>
      <c r="Q115" s="49" t="n">
        <f aca="false">-(Q112+Q113+Q114)*N(AND(Q$3&lt;=$E115,Q$4&gt;=$E115))</f>
        <v>-0</v>
      </c>
      <c r="R115" s="49" t="n">
        <f aca="false">-(R112+R113+R114)*N(AND(R$3&lt;=$E115,R$4&gt;=$E115))</f>
        <v>-0</v>
      </c>
      <c r="S115" s="49" t="n">
        <f aca="false">-(S112+S113+S114)*N(AND(S$3&lt;=$E115,S$4&gt;=$E115))</f>
        <v>-0</v>
      </c>
      <c r="T115" s="49" t="n">
        <f aca="false">-(T112+T113+T114)*N(AND(T$3&lt;=$E115,T$4&gt;=$E115))</f>
        <v>-0</v>
      </c>
      <c r="U115" s="49" t="n">
        <f aca="false">-(U112+U113+U114)*N(AND(U$3&lt;=$E115,U$4&gt;=$E115))</f>
        <v>-0</v>
      </c>
      <c r="V115" s="49" t="n">
        <f aca="false">-(V112+V113+V114)*N(AND(V$3&lt;=$E115,V$4&gt;=$E115))</f>
        <v>-0</v>
      </c>
      <c r="W115" s="49" t="n">
        <f aca="false">-(W112+W113+W114)*N(AND(W$3&lt;=$E115,W$4&gt;=$E115))</f>
        <v>-0</v>
      </c>
      <c r="X115" s="49" t="n">
        <f aca="false">-(X112+X113+X114)*N(AND(X$3&lt;=$E115,X$4&gt;=$E115))</f>
        <v>-0</v>
      </c>
      <c r="Y115" s="49" t="n">
        <f aca="false">-(Y112+Y113+Y114)*N(AND(Y$3&lt;=$E115,Y$4&gt;=$E115))</f>
        <v>-0</v>
      </c>
      <c r="Z115" s="49" t="n">
        <f aca="false">-(Z112+Z113+Z114)*N(AND(Z$3&lt;=$E115,Z$4&gt;=$E115))</f>
        <v>-0</v>
      </c>
      <c r="AA115" s="49" t="n">
        <f aca="false">-(AA112+AA113+AA114)*N(AND(AA$3&lt;=$E115,AA$4&gt;=$E115))</f>
        <v>-0</v>
      </c>
      <c r="AB115" s="49" t="n">
        <f aca="false">-(AB112+AB113+AB114)*N(AND(AB$3&lt;=$E115,AB$4&gt;=$E115))</f>
        <v>-0</v>
      </c>
      <c r="AC115" s="49" t="n">
        <f aca="false">-(AC112+AC113+AC114)*N(AND(AC$3&lt;=$E115,AC$4&gt;=$E115))</f>
        <v>-0</v>
      </c>
      <c r="AD115" s="49" t="n">
        <f aca="false">-(AD112+AD113+AD114)*N(AND(AD$3&lt;=$E115,AD$4&gt;=$E115))</f>
        <v>-0</v>
      </c>
      <c r="AE115" s="49" t="n">
        <f aca="false">-(AE112+AE113+AE114)*N(AND(AE$3&lt;=$E115,AE$4&gt;=$E115))</f>
        <v>-0</v>
      </c>
      <c r="AF115" s="49" t="n">
        <f aca="false">-(AF112+AF113+AF114)*N(AND(AF$3&lt;=$E115,AF$4&gt;=$E115))</f>
        <v>-0</v>
      </c>
      <c r="AG115" s="49" t="n">
        <f aca="false">-(AG112+AG113+AG114)*N(AND(AG$3&lt;=$E115,AG$4&gt;=$E115))</f>
        <v>-0</v>
      </c>
      <c r="AH115" s="49" t="n">
        <f aca="false">-(AH112+AH113+AH114)*N(AND(AH$3&lt;=$E115,AH$4&gt;=$E115))</f>
        <v>-0</v>
      </c>
      <c r="AI115" s="49" t="n">
        <f aca="false">-(AI112+AI113+AI114)*N(AND(AI$3&lt;=$E115,AI$4&gt;=$E115))</f>
        <v>-0</v>
      </c>
      <c r="AJ115" s="49" t="n">
        <f aca="false">-(AJ112+AJ113+AJ114)*N(AND(AJ$3&lt;=$E115,AJ$4&gt;=$E115))</f>
        <v>-0</v>
      </c>
      <c r="AK115" s="49" t="n">
        <f aca="false">-(AK112+AK113+AK114)*N(AND(AK$3&lt;=$E115,AK$4&gt;=$E115))</f>
        <v>-682.958697035797</v>
      </c>
      <c r="AL115" s="49" t="n">
        <f aca="false">-(AL112+AL113+AL114)*N(AND(AL$3&lt;=$E115,AL$4&gt;=$E115))</f>
        <v>-0</v>
      </c>
      <c r="AM115" s="49" t="n">
        <f aca="false">-(AM112+AM113+AM114)*N(AND(AM$3&lt;=$E115,AM$4&gt;=$E115))</f>
        <v>-0</v>
      </c>
      <c r="AN115" s="49" t="n">
        <f aca="false">-(AN112+AN113+AN114)*N(AND(AN$3&lt;=$E115,AN$4&gt;=$E115))</f>
        <v>-0</v>
      </c>
      <c r="AO115" s="49" t="n">
        <f aca="false">-(AO112+AO113+AO114)*N(AND(AO$3&lt;=$E115,AO$4&gt;=$E115))</f>
        <v>-0</v>
      </c>
      <c r="AP115" s="49" t="n">
        <f aca="false">-(AP112+AP113+AP114)*N(AND(AP$3&lt;=$E115,AP$4&gt;=$E115))</f>
        <v>-0</v>
      </c>
      <c r="AQ115" s="49" t="n">
        <f aca="false">-(AQ112+AQ113+AQ114)*N(AND(AQ$3&lt;=$E115,AQ$4&gt;=$E115))</f>
        <v>-0</v>
      </c>
      <c r="AR115" s="49" t="n">
        <f aca="false">-(AR112+AR113+AR114)*N(AND(AR$3&lt;=$E115,AR$4&gt;=$E115))</f>
        <v>-0</v>
      </c>
      <c r="AS115" s="49" t="n">
        <f aca="false">-(AS112+AS113+AS114)*N(AND(AS$3&lt;=$E115,AS$4&gt;=$E115))</f>
        <v>-0</v>
      </c>
      <c r="AT115" s="49" t="n">
        <f aca="false">-(AT112+AT113+AT114)*N(AND(AT$3&lt;=$E115,AT$4&gt;=$E115))</f>
        <v>-0</v>
      </c>
      <c r="AU115" s="49" t="n">
        <f aca="false">-(AU112+AU113+AU114)*N(AND(AU$3&lt;=$E115,AU$4&gt;=$E115))</f>
        <v>-0</v>
      </c>
      <c r="AV115" s="49" t="n">
        <f aca="false">-(AV112+AV113+AV114)*N(AND(AV$3&lt;=$E115,AV$4&gt;=$E115))</f>
        <v>-0</v>
      </c>
      <c r="AW115" s="49" t="n">
        <f aca="false">-(AW112+AW113+AW114)*N(AND(AW$3&lt;=$E115,AW$4&gt;=$E115))</f>
        <v>-0</v>
      </c>
      <c r="AX115" s="49" t="n">
        <f aca="false">-(AX112+AX113+AX114)*N(AND(AX$3&lt;=$E115,AX$4&gt;=$E115))</f>
        <v>-0</v>
      </c>
      <c r="AY115" s="49" t="n">
        <f aca="false">-(AY112+AY113+AY114)*N(AND(AY$3&lt;=$E115,AY$4&gt;=$E115))</f>
        <v>-0</v>
      </c>
      <c r="AZ115" s="49" t="n">
        <f aca="false">-(AZ112+AZ113+AZ114)*N(AND(AZ$3&lt;=$E115,AZ$4&gt;=$E115))</f>
        <v>-0</v>
      </c>
      <c r="BA115" s="49" t="n">
        <f aca="false">-(BA112+BA113+BA114)*N(AND(BA$3&lt;=$E115,BA$4&gt;=$E115))</f>
        <v>-0</v>
      </c>
      <c r="BB115" s="49" t="n">
        <f aca="false">-(BB112+BB113+BB114)*N(AND(BB$3&lt;=$E115,BB$4&gt;=$E115))</f>
        <v>-0</v>
      </c>
      <c r="BC115" s="49" t="n">
        <f aca="false">-(BC112+BC113+BC114)*N(AND(BC$3&lt;=$E115,BC$4&gt;=$E115))</f>
        <v>-0</v>
      </c>
      <c r="BD115" s="49" t="n">
        <f aca="false">-(BD112+BD113+BD114)*N(AND(BD$3&lt;=$E115,BD$4&gt;=$E115))</f>
        <v>-0</v>
      </c>
      <c r="BE115" s="49" t="n">
        <f aca="false">-(BE112+BE113+BE114)*N(AND(BE$3&lt;=$E115,BE$4&gt;=$E115))</f>
        <v>-0</v>
      </c>
      <c r="BF115" s="49" t="n">
        <f aca="false">-(BF112+BF113+BF114)*N(AND(BF$3&lt;=$E115,BF$4&gt;=$E115))</f>
        <v>-0</v>
      </c>
      <c r="BG115" s="49" t="n">
        <f aca="false">-(BG112+BG113+BG114)*N(AND(BG$3&lt;=$E115,BG$4&gt;=$E115))</f>
        <v>-0</v>
      </c>
      <c r="BH115" s="49" t="n">
        <f aca="false">-(BH112+BH113+BH114)*N(AND(BH$3&lt;=$E115,BH$4&gt;=$E115))</f>
        <v>-0</v>
      </c>
      <c r="BI115" s="49" t="n">
        <f aca="false">-(BI112+BI113+BI114)*N(AND(BI$3&lt;=$E115,BI$4&gt;=$E115))</f>
        <v>-0</v>
      </c>
      <c r="BJ115" s="49" t="n">
        <f aca="false">-(BJ112+BJ113+BJ114)*N(AND(BJ$3&lt;=$E115,BJ$4&gt;=$E115))</f>
        <v>-0</v>
      </c>
      <c r="BK115" s="49" t="n">
        <f aca="false">-(BK112+BK113+BK114)*N(AND(BK$3&lt;=$E115,BK$4&gt;=$E115))</f>
        <v>-0</v>
      </c>
      <c r="BL115" s="49" t="n">
        <f aca="false">-(BL112+BL113+BL114)*N(AND(BL$3&lt;=$E115,BL$4&gt;=$E115))</f>
        <v>-0</v>
      </c>
      <c r="BM115" s="49" t="n">
        <f aca="false">-(BM112+BM113+BM114)*N(AND(BM$3&lt;=$E115,BM$4&gt;=$E115))</f>
        <v>-0</v>
      </c>
      <c r="BN115" s="49" t="n">
        <f aca="false">-(BN112+BN113+BN114)*N(AND(BN$3&lt;=$E115,BN$4&gt;=$E115))</f>
        <v>-0</v>
      </c>
      <c r="BO115" s="49" t="n">
        <f aca="false">-(BO112+BO113+BO114)*N(AND(BO$3&lt;=$E115,BO$4&gt;=$E115))</f>
        <v>-0</v>
      </c>
      <c r="BP115" s="49" t="n">
        <f aca="false">-(BP112+BP113+BP114)*N(AND(BP$3&lt;=$E115,BP$4&gt;=$E115))</f>
        <v>-0</v>
      </c>
      <c r="BQ115" s="49" t="n">
        <f aca="false">-(BQ112+BQ113+BQ114)*N(AND(BQ$3&lt;=$E115,BQ$4&gt;=$E115))</f>
        <v>-0</v>
      </c>
      <c r="BR115" s="49" t="n">
        <f aca="false">-(BR112+BR113+BR114)*N(AND(BR$3&lt;=$E115,BR$4&gt;=$E115))</f>
        <v>-0</v>
      </c>
      <c r="BS115" s="49" t="n">
        <f aca="false">-(BS112+BS113+BS114)*N(AND(BS$3&lt;=$E115,BS$4&gt;=$E115))</f>
        <v>-0</v>
      </c>
      <c r="BT115" s="49" t="n">
        <f aca="false">-(BT112+BT113+BT114)*N(AND(BT$3&lt;=$E115,BT$4&gt;=$E115))</f>
        <v>-0</v>
      </c>
      <c r="BU115" s="49" t="n">
        <f aca="false">-(BU112+BU113+BU114)*N(AND(BU$3&lt;=$E115,BU$4&gt;=$E115))</f>
        <v>-0</v>
      </c>
      <c r="BV115" s="49" t="n">
        <f aca="false">-(BV112+BV113+BV114)*N(AND(BV$3&lt;=$E115,BV$4&gt;=$E115))</f>
        <v>-0</v>
      </c>
      <c r="BW115" s="49" t="n">
        <f aca="false">-(BW112+BW113+BW114)*N(AND(BW$3&lt;=$E115,BW$4&gt;=$E115))</f>
        <v>-0</v>
      </c>
      <c r="BX115" s="49" t="n">
        <f aca="false">-(BX112+BX113+BX114)*N(AND(BX$3&lt;=$E115,BX$4&gt;=$E115))</f>
        <v>-0</v>
      </c>
      <c r="BY115" s="49" t="n">
        <f aca="false">-(BY112+BY113+BY114)*N(AND(BY$3&lt;=$E115,BY$4&gt;=$E115))</f>
        <v>-0</v>
      </c>
      <c r="BZ115" s="49" t="n">
        <f aca="false">-(BZ112+BZ113+BZ114)*N(AND(BZ$3&lt;=$E115,BZ$4&gt;=$E115))</f>
        <v>-0</v>
      </c>
      <c r="CA115" s="49" t="n">
        <f aca="false">-(CA112+CA113+CA114)*N(AND(CA$3&lt;=$E115,CA$4&gt;=$E115))</f>
        <v>-0</v>
      </c>
      <c r="CB115" s="49" t="n">
        <f aca="false">-(CB112+CB113+CB114)*N(AND(CB$3&lt;=$E115,CB$4&gt;=$E115))</f>
        <v>-0</v>
      </c>
      <c r="CC115" s="49" t="n">
        <f aca="false">-(CC112+CC113+CC114)*N(AND(CC$3&lt;=$E115,CC$4&gt;=$E115))</f>
        <v>-0</v>
      </c>
      <c r="CD115" s="49" t="n">
        <f aca="false">-(CD112+CD113+CD114)*N(AND(CD$3&lt;=$E115,CD$4&gt;=$E115))</f>
        <v>-0</v>
      </c>
      <c r="CE115" s="49" t="n">
        <f aca="false">-(CE112+CE113+CE114)*N(AND(CE$3&lt;=$E115,CE$4&gt;=$E115))</f>
        <v>-0</v>
      </c>
      <c r="CF115" s="49" t="n">
        <f aca="false">-(CF112+CF113+CF114)*N(AND(CF$3&lt;=$E115,CF$4&gt;=$E115))</f>
        <v>-0</v>
      </c>
      <c r="CG115" s="49" t="n">
        <f aca="false">-(CG112+CG113+CG114)*N(AND(CG$3&lt;=$E115,CG$4&gt;=$E115))</f>
        <v>-0</v>
      </c>
      <c r="CH115" s="49" t="n">
        <f aca="false">-(CH112+CH113+CH114)*N(AND(CH$3&lt;=$E115,CH$4&gt;=$E115))</f>
        <v>-0</v>
      </c>
      <c r="CI115" s="49" t="n">
        <f aca="false">-(CI112+CI113+CI114)*N(AND(CI$3&lt;=$E115,CI$4&gt;=$E115))</f>
        <v>-0</v>
      </c>
      <c r="CJ115" s="49" t="n">
        <f aca="false">-(CJ112+CJ113+CJ114)*N(AND(CJ$3&lt;=$E115,CJ$4&gt;=$E115))</f>
        <v>-0</v>
      </c>
      <c r="CK115" s="49" t="n">
        <f aca="false">-(CK112+CK113+CK114)*N(AND(CK$3&lt;=$E115,CK$4&gt;=$E115))</f>
        <v>-0</v>
      </c>
      <c r="CL115" s="49" t="n">
        <f aca="false">-(CL112+CL113+CL114)*N(AND(CL$3&lt;=$E115,CL$4&gt;=$E115))</f>
        <v>-0</v>
      </c>
      <c r="CM115" s="49" t="n">
        <f aca="false">-(CM112+CM113+CM114)*N(AND(CM$3&lt;=$E115,CM$4&gt;=$E115))</f>
        <v>-0</v>
      </c>
      <c r="CN115" s="49" t="n">
        <f aca="false">-(CN112+CN113+CN114)*N(AND(CN$3&lt;=$E115,CN$4&gt;=$E115))</f>
        <v>-0</v>
      </c>
      <c r="CO115" s="49" t="n">
        <f aca="false">-(CO112+CO113+CO114)*N(AND(CO$3&lt;=$E115,CO$4&gt;=$E115))</f>
        <v>-0</v>
      </c>
      <c r="CP115" s="49" t="n">
        <f aca="false">-(CP112+CP113+CP114)*N(AND(CP$3&lt;=$E115,CP$4&gt;=$E115))</f>
        <v>-0</v>
      </c>
      <c r="CQ115" s="49" t="n">
        <f aca="false">-(CQ112+CQ113+CQ114)*N(AND(CQ$3&lt;=$E115,CQ$4&gt;=$E115))</f>
        <v>-0</v>
      </c>
      <c r="CR115" s="49" t="n">
        <f aca="false">-(CR112+CR113+CR114)*N(AND(CR$3&lt;=$E115,CR$4&gt;=$E115))</f>
        <v>-0</v>
      </c>
      <c r="CS115" s="49" t="n">
        <f aca="false">-(CS112+CS113+CS114)*N(AND(CS$3&lt;=$E115,CS$4&gt;=$E115))</f>
        <v>-0</v>
      </c>
      <c r="CT115" s="49" t="n">
        <f aca="false">-(CT112+CT113+CT114)*N(AND(CT$3&lt;=$E115,CT$4&gt;=$E115))</f>
        <v>-0</v>
      </c>
      <c r="CU115" s="49" t="n">
        <f aca="false">-(CU112+CU113+CU114)*N(AND(CU$3&lt;=$E115,CU$4&gt;=$E115))</f>
        <v>-0</v>
      </c>
      <c r="CV115" s="49" t="n">
        <f aca="false">-(CV112+CV113+CV114)*N(AND(CV$3&lt;=$E115,CV$4&gt;=$E115))</f>
        <v>-0</v>
      </c>
      <c r="CW115" s="49" t="n">
        <f aca="false">-(CW112+CW113+CW114)*N(AND(CW$3&lt;=$E115,CW$4&gt;=$E115))</f>
        <v>-0</v>
      </c>
      <c r="CX115" s="49" t="n">
        <f aca="false">-(CX112+CX113+CX114)*N(AND(CX$3&lt;=$E115,CX$4&gt;=$E115))</f>
        <v>-0</v>
      </c>
      <c r="CY115" s="49" t="n">
        <f aca="false">-(CY112+CY113+CY114)*N(AND(CY$3&lt;=$E115,CY$4&gt;=$E115))</f>
        <v>-0</v>
      </c>
      <c r="CZ115" s="49" t="n">
        <f aca="false">-(CZ112+CZ113+CZ114)*N(AND(CZ$3&lt;=$E115,CZ$4&gt;=$E115))</f>
        <v>-0</v>
      </c>
      <c r="DA115" s="49" t="n">
        <f aca="false">-(DA112+DA113+DA114)*N(AND(DA$3&lt;=$E115,DA$4&gt;=$E115))</f>
        <v>-0</v>
      </c>
      <c r="DB115" s="49" t="n">
        <f aca="false">-(DB112+DB113+DB114)*N(AND(DB$3&lt;=$E115,DB$4&gt;=$E115))</f>
        <v>-0</v>
      </c>
      <c r="DC115" s="49" t="n">
        <f aca="false">-(DC112+DC113+DC114)*N(AND(DC$3&lt;=$E115,DC$4&gt;=$E115))</f>
        <v>-0</v>
      </c>
      <c r="DD115" s="49" t="n">
        <f aca="false">-(DD112+DD113+DD114)*N(AND(DD$3&lt;=$E115,DD$4&gt;=$E115))</f>
        <v>-0</v>
      </c>
      <c r="DE115" s="49" t="n">
        <f aca="false">-(DE112+DE113+DE114)*N(AND(DE$3&lt;=$E115,DE$4&gt;=$E115))</f>
        <v>-0</v>
      </c>
      <c r="DF115" s="49" t="n">
        <f aca="false">-(DF112+DF113+DF114)*N(AND(DF$3&lt;=$E115,DF$4&gt;=$E115))</f>
        <v>-0</v>
      </c>
      <c r="DG115" s="49" t="n">
        <f aca="false">-(DG112+DG113+DG114)*N(AND(DG$3&lt;=$E115,DG$4&gt;=$E115))</f>
        <v>-0</v>
      </c>
      <c r="DH115" s="49" t="n">
        <f aca="false">-(DH112+DH113+DH114)*N(AND(DH$3&lt;=$E115,DH$4&gt;=$E115))</f>
        <v>-0</v>
      </c>
      <c r="DI115" s="49" t="n">
        <f aca="false">-(DI112+DI113+DI114)*N(AND(DI$3&lt;=$E115,DI$4&gt;=$E115))</f>
        <v>-0</v>
      </c>
      <c r="DJ115" s="49" t="n">
        <f aca="false">-(DJ112+DJ113+DJ114)*N(AND(DJ$3&lt;=$E115,DJ$4&gt;=$E115))</f>
        <v>-0</v>
      </c>
      <c r="DK115" s="49" t="n">
        <f aca="false">-(DK112+DK113+DK114)*N(AND(DK$3&lt;=$E115,DK$4&gt;=$E115))</f>
        <v>-0</v>
      </c>
      <c r="DL115" s="49" t="n">
        <f aca="false">-(DL112+DL113+DL114)*N(AND(DL$3&lt;=$E115,DL$4&gt;=$E115))</f>
        <v>-0</v>
      </c>
      <c r="DM115" s="49" t="n">
        <f aca="false">-(DM112+DM113+DM114)*N(AND(DM$3&lt;=$E115,DM$4&gt;=$E115))</f>
        <v>-0</v>
      </c>
      <c r="DN115" s="49" t="n">
        <f aca="false">-(DN112+DN113+DN114)*N(AND(DN$3&lt;=$E115,DN$4&gt;=$E115))</f>
        <v>-0</v>
      </c>
      <c r="DO115" s="49" t="n">
        <f aca="false">-(DO112+DO113+DO114)*N(AND(DO$3&lt;=$E115,DO$4&gt;=$E115))</f>
        <v>-0</v>
      </c>
      <c r="DP115" s="49" t="n">
        <f aca="false">-(DP112+DP113+DP114)*N(AND(DP$3&lt;=$E115,DP$4&gt;=$E115))</f>
        <v>-0</v>
      </c>
      <c r="DQ115" s="49" t="n">
        <f aca="false">-(DQ112+DQ113+DQ114)*N(AND(DQ$3&lt;=$E115,DQ$4&gt;=$E115))</f>
        <v>-0</v>
      </c>
      <c r="DR115" s="49" t="n">
        <f aca="false">-(DR112+DR113+DR114)*N(AND(DR$3&lt;=$E115,DR$4&gt;=$E115))</f>
        <v>-0</v>
      </c>
      <c r="DS115" s="49" t="n">
        <f aca="false">-(DS112+DS113+DS114)*N(AND(DS$3&lt;=$E115,DS$4&gt;=$E115))</f>
        <v>-0</v>
      </c>
      <c r="DT115" s="49" t="n">
        <f aca="false">-(DT112+DT113+DT114)*N(AND(DT$3&lt;=$E115,DT$4&gt;=$E115))</f>
        <v>-0</v>
      </c>
      <c r="DU115" s="49" t="n">
        <f aca="false">-(DU112+DU113+DU114)*N(AND(DU$3&lt;=$E115,DU$4&gt;=$E115))</f>
        <v>-0</v>
      </c>
      <c r="DV115" s="49" t="n">
        <f aca="false">-(DV112+DV113+DV114)*N(AND(DV$3&lt;=$E115,DV$4&gt;=$E115))</f>
        <v>-0</v>
      </c>
      <c r="DW115" s="49" t="n">
        <f aca="false">-(DW112+DW113+DW114)*N(AND(DW$3&lt;=$E115,DW$4&gt;=$E115))</f>
        <v>-0</v>
      </c>
      <c r="DX115" s="49" t="n">
        <f aca="false">-(DX112+DX113+DX114)*N(AND(DX$3&lt;=$E115,DX$4&gt;=$E115))</f>
        <v>-0</v>
      </c>
      <c r="DY115" s="49" t="n">
        <f aca="false">-(DY112+DY113+DY114)*N(AND(DY$3&lt;=$E115,DY$4&gt;=$E115))</f>
        <v>-0</v>
      </c>
      <c r="DZ115" s="49" t="n">
        <f aca="false">-(DZ112+DZ113+DZ114)*N(AND(DZ$3&lt;=$E115,DZ$4&gt;=$E115))</f>
        <v>-0</v>
      </c>
      <c r="EA115" s="49" t="n">
        <f aca="false">-(EA112+EA113+EA114)*N(AND(EA$3&lt;=$E115,EA$4&gt;=$E115))</f>
        <v>-0</v>
      </c>
      <c r="EB115" s="49" t="n">
        <f aca="false">-(EB112+EB113+EB114)*N(AND(EB$3&lt;=$E115,EB$4&gt;=$E115))</f>
        <v>-0</v>
      </c>
      <c r="EC115" s="49" t="n">
        <f aca="false">-(EC112+EC113+EC114)*N(AND(EC$3&lt;=$E115,EC$4&gt;=$E115))</f>
        <v>-0</v>
      </c>
      <c r="ED115" s="49" t="n">
        <f aca="false">-(ED112+ED113+ED114)*N(AND(ED$3&lt;=$E115,ED$4&gt;=$E115))</f>
        <v>-0</v>
      </c>
      <c r="EE115" s="49" t="n">
        <f aca="false">-(EE112+EE113+EE114)*N(AND(EE$3&lt;=$E115,EE$4&gt;=$E115))</f>
        <v>-0</v>
      </c>
      <c r="EF115" s="49" t="n">
        <f aca="false">-(EF112+EF113+EF114)*N(AND(EF$3&lt;=$E115,EF$4&gt;=$E115))</f>
        <v>-0</v>
      </c>
      <c r="EG115" s="49" t="n">
        <f aca="false">-(EG112+EG113+EG114)*N(AND(EG$3&lt;=$E115,EG$4&gt;=$E115))</f>
        <v>-0</v>
      </c>
      <c r="EH115" s="49" t="n">
        <f aca="false">-(EH112+EH113+EH114)*N(AND(EH$3&lt;=$E115,EH$4&gt;=$E115))</f>
        <v>-0</v>
      </c>
      <c r="EI115" s="49" t="n">
        <f aca="false">-(EI112+EI113+EI114)*N(AND(EI$3&lt;=$E115,EI$4&gt;=$E115))</f>
        <v>-0</v>
      </c>
      <c r="EJ115" s="49" t="n">
        <f aca="false">-(EJ112+EJ113+EJ114)*N(AND(EJ$3&lt;=$E115,EJ$4&gt;=$E115))</f>
        <v>-0</v>
      </c>
      <c r="EK115" s="49" t="n">
        <f aca="false">-(EK112+EK113+EK114)*N(AND(EK$3&lt;=$E115,EK$4&gt;=$E115))</f>
        <v>-0</v>
      </c>
      <c r="EL115" s="49" t="n">
        <f aca="false">-(EL112+EL113+EL114)*N(AND(EL$3&lt;=$E115,EL$4&gt;=$E115))</f>
        <v>-0</v>
      </c>
      <c r="EM115" s="49" t="n">
        <f aca="false">-(EM112+EM113+EM114)*N(AND(EM$3&lt;=$E115,EM$4&gt;=$E115))</f>
        <v>-0</v>
      </c>
      <c r="EN115" s="49" t="n">
        <f aca="false">-(EN112+EN113+EN114)*N(AND(EN$3&lt;=$E115,EN$4&gt;=$E115))</f>
        <v>-0</v>
      </c>
      <c r="EO115" s="49" t="n">
        <f aca="false">-(EO112+EO113+EO114)*N(AND(EO$3&lt;=$E115,EO$4&gt;=$E115))</f>
        <v>-0</v>
      </c>
    </row>
    <row r="116" customFormat="false" ht="15" hidden="false" customHeight="false" outlineLevel="0" collapsed="false">
      <c r="C116" s="1" t="s">
        <v>513</v>
      </c>
      <c r="D116" s="12" t="s">
        <v>33</v>
      </c>
      <c r="I116" s="60"/>
      <c r="J116" s="49" t="n">
        <f aca="false">SUM(J112:J115)</f>
        <v>12.8099380746857</v>
      </c>
      <c r="K116" s="49" t="n">
        <f aca="false">SUM(K112:K115)</f>
        <v>32.4846237568024</v>
      </c>
      <c r="L116" s="49" t="n">
        <f aca="false">SUM(L112:L115)</f>
        <v>65.6401125914806</v>
      </c>
      <c r="M116" s="49" t="n">
        <f aca="false">SUM(M112:M115)</f>
        <v>99.1599474573091</v>
      </c>
      <c r="N116" s="49" t="n">
        <f aca="false">SUM(N112:N115)</f>
        <v>132.679782323138</v>
      </c>
      <c r="O116" s="49" t="n">
        <f aca="false">SUM(O112:O115)</f>
        <v>165.835271157816</v>
      </c>
      <c r="P116" s="49" t="n">
        <f aca="false">SUM(P112:P115)</f>
        <v>198.990759992494</v>
      </c>
      <c r="Q116" s="49" t="n">
        <f aca="false">SUM(Q112:Q115)</f>
        <v>232.510594858322</v>
      </c>
      <c r="R116" s="49" t="n">
        <f aca="false">SUM(R112:R115)</f>
        <v>1469.10018074212</v>
      </c>
      <c r="S116" s="49" t="n">
        <f aca="false">SUM(S112:S115)</f>
        <v>1654.67336688858</v>
      </c>
      <c r="T116" s="49" t="n">
        <f aca="false">SUM(T112:T115)</f>
        <v>1818.25220158421</v>
      </c>
      <c r="U116" s="49" t="n">
        <f aca="false">SUM(U112:U115)</f>
        <v>1969.32533492454</v>
      </c>
      <c r="V116" s="49" t="n">
        <f aca="false">SUM(V112:V115)</f>
        <v>2105.93801849568</v>
      </c>
      <c r="W116" s="49" t="n">
        <f aca="false">SUM(W112:W115)</f>
        <v>2226.47670012685</v>
      </c>
      <c r="X116" s="49" t="n">
        <f aca="false">SUM(X112:X115)</f>
        <v>2334.36237014867</v>
      </c>
      <c r="Y116" s="49" t="n">
        <f aca="false">SUM(Y112:Y115)</f>
        <v>2429.13032601656</v>
      </c>
      <c r="Z116" s="49" t="n">
        <f aca="false">SUM(Z112:Z115)</f>
        <v>2316.55503785235</v>
      </c>
      <c r="AA116" s="49" t="n">
        <f aca="false">SUM(AA112:AA115)</f>
        <v>2202.36970629679</v>
      </c>
      <c r="AB116" s="49" t="n">
        <f aca="false">SUM(AB112:AB115)</f>
        <v>2078.64170725316</v>
      </c>
      <c r="AC116" s="49" t="n">
        <f aca="false">SUM(AC112:AC115)</f>
        <v>1945.31830114373</v>
      </c>
      <c r="AD116" s="49" t="n">
        <f aca="false">SUM(AD112:AD115)</f>
        <v>1811.90662119919</v>
      </c>
      <c r="AE116" s="49" t="n">
        <f aca="false">SUM(AE112:AE115)</f>
        <v>1671.459316294</v>
      </c>
      <c r="AF116" s="49" t="n">
        <f aca="false">SUM(AF112:AF115)</f>
        <v>1526.57789832426</v>
      </c>
      <c r="AG116" s="49" t="n">
        <f aca="false">SUM(AG112:AG115)</f>
        <v>1371.84231076776</v>
      </c>
      <c r="AH116" s="49" t="n">
        <f aca="false">SUM(AH112:AH115)</f>
        <v>1216.8249603154</v>
      </c>
      <c r="AI116" s="49" t="n">
        <f aca="false">SUM(AI112:AI115)</f>
        <v>1060.06619818016</v>
      </c>
      <c r="AJ116" s="49" t="n">
        <f aca="false">SUM(AJ112:AJ115)</f>
        <v>876.665003329904</v>
      </c>
      <c r="AK116" s="49" t="n">
        <f aca="false">SUM(AK112:AK115)</f>
        <v>0</v>
      </c>
      <c r="AL116" s="49" t="n">
        <f aca="false">SUM(AL112:AL115)</f>
        <v>0</v>
      </c>
      <c r="AM116" s="49" t="n">
        <f aca="false">SUM(AM112:AM115)</f>
        <v>0</v>
      </c>
      <c r="AN116" s="49" t="n">
        <f aca="false">SUM(AN112:AN115)</f>
        <v>0</v>
      </c>
      <c r="AO116" s="49" t="n">
        <f aca="false">SUM(AO112:AO115)</f>
        <v>0</v>
      </c>
      <c r="AP116" s="49" t="n">
        <f aca="false">SUM(AP112:AP115)</f>
        <v>0</v>
      </c>
      <c r="AQ116" s="49" t="n">
        <f aca="false">SUM(AQ112:AQ115)</f>
        <v>0</v>
      </c>
      <c r="AR116" s="49" t="n">
        <f aca="false">SUM(AR112:AR115)</f>
        <v>0</v>
      </c>
      <c r="AS116" s="49" t="n">
        <f aca="false">SUM(AS112:AS115)</f>
        <v>0</v>
      </c>
      <c r="AT116" s="49" t="n">
        <f aca="false">SUM(AT112:AT115)</f>
        <v>0</v>
      </c>
      <c r="AU116" s="49" t="n">
        <f aca="false">SUM(AU112:AU115)</f>
        <v>0</v>
      </c>
      <c r="AV116" s="49" t="n">
        <f aca="false">SUM(AV112:AV115)</f>
        <v>0</v>
      </c>
      <c r="AW116" s="49" t="n">
        <f aca="false">SUM(AW112:AW115)</f>
        <v>0</v>
      </c>
      <c r="AX116" s="49" t="n">
        <f aca="false">SUM(AX112:AX115)</f>
        <v>0</v>
      </c>
      <c r="AY116" s="49" t="n">
        <f aca="false">SUM(AY112:AY115)</f>
        <v>0</v>
      </c>
      <c r="AZ116" s="49" t="n">
        <f aca="false">SUM(AZ112:AZ115)</f>
        <v>0</v>
      </c>
      <c r="BA116" s="49" t="n">
        <f aca="false">SUM(BA112:BA115)</f>
        <v>0</v>
      </c>
      <c r="BB116" s="49" t="n">
        <f aca="false">SUM(BB112:BB115)</f>
        <v>0</v>
      </c>
      <c r="BC116" s="49" t="n">
        <f aca="false">SUM(BC112:BC115)</f>
        <v>0</v>
      </c>
      <c r="BD116" s="49" t="n">
        <f aca="false">SUM(BD112:BD115)</f>
        <v>0</v>
      </c>
      <c r="BE116" s="49" t="n">
        <f aca="false">SUM(BE112:BE115)</f>
        <v>0</v>
      </c>
      <c r="BF116" s="49" t="n">
        <f aca="false">SUM(BF112:BF115)</f>
        <v>0</v>
      </c>
      <c r="BG116" s="49" t="n">
        <f aca="false">SUM(BG112:BG115)</f>
        <v>0</v>
      </c>
      <c r="BH116" s="49" t="n">
        <f aca="false">SUM(BH112:BH115)</f>
        <v>0</v>
      </c>
      <c r="BI116" s="49" t="n">
        <f aca="false">SUM(BI112:BI115)</f>
        <v>0</v>
      </c>
      <c r="BJ116" s="49" t="n">
        <f aca="false">SUM(BJ112:BJ115)</f>
        <v>0</v>
      </c>
      <c r="BK116" s="49" t="n">
        <f aca="false">SUM(BK112:BK115)</f>
        <v>0</v>
      </c>
      <c r="BL116" s="49" t="n">
        <f aca="false">SUM(BL112:BL115)</f>
        <v>0</v>
      </c>
      <c r="BM116" s="49" t="n">
        <f aca="false">SUM(BM112:BM115)</f>
        <v>0</v>
      </c>
      <c r="BN116" s="49" t="n">
        <f aca="false">SUM(BN112:BN115)</f>
        <v>0</v>
      </c>
      <c r="BO116" s="49" t="n">
        <f aca="false">SUM(BO112:BO115)</f>
        <v>0</v>
      </c>
      <c r="BP116" s="49" t="n">
        <f aca="false">SUM(BP112:BP115)</f>
        <v>0</v>
      </c>
      <c r="BQ116" s="49" t="n">
        <f aca="false">SUM(BQ112:BQ115)</f>
        <v>0</v>
      </c>
      <c r="BR116" s="49" t="n">
        <f aca="false">SUM(BR112:BR115)</f>
        <v>0</v>
      </c>
      <c r="BS116" s="49" t="n">
        <f aca="false">SUM(BS112:BS115)</f>
        <v>0</v>
      </c>
      <c r="BT116" s="49" t="n">
        <f aca="false">SUM(BT112:BT115)</f>
        <v>0</v>
      </c>
      <c r="BU116" s="49" t="n">
        <f aca="false">SUM(BU112:BU115)</f>
        <v>0</v>
      </c>
      <c r="BV116" s="49" t="n">
        <f aca="false">SUM(BV112:BV115)</f>
        <v>0</v>
      </c>
      <c r="BW116" s="49" t="n">
        <f aca="false">SUM(BW112:BW115)</f>
        <v>0</v>
      </c>
      <c r="BX116" s="49" t="n">
        <f aca="false">SUM(BX112:BX115)</f>
        <v>0</v>
      </c>
      <c r="BY116" s="49" t="n">
        <f aca="false">SUM(BY112:BY115)</f>
        <v>0</v>
      </c>
      <c r="BZ116" s="49" t="n">
        <f aca="false">SUM(BZ112:BZ115)</f>
        <v>0</v>
      </c>
      <c r="CA116" s="49" t="n">
        <f aca="false">SUM(CA112:CA115)</f>
        <v>0</v>
      </c>
      <c r="CB116" s="49" t="n">
        <f aca="false">SUM(CB112:CB115)</f>
        <v>0</v>
      </c>
      <c r="CC116" s="49" t="n">
        <f aca="false">SUM(CC112:CC115)</f>
        <v>0</v>
      </c>
      <c r="CD116" s="49" t="n">
        <f aca="false">SUM(CD112:CD115)</f>
        <v>0</v>
      </c>
      <c r="CE116" s="49" t="n">
        <f aca="false">SUM(CE112:CE115)</f>
        <v>0</v>
      </c>
      <c r="CF116" s="49" t="n">
        <f aca="false">SUM(CF112:CF115)</f>
        <v>0</v>
      </c>
      <c r="CG116" s="49" t="n">
        <f aca="false">SUM(CG112:CG115)</f>
        <v>0</v>
      </c>
      <c r="CH116" s="49" t="n">
        <f aca="false">SUM(CH112:CH115)</f>
        <v>0</v>
      </c>
      <c r="CI116" s="49" t="n">
        <f aca="false">SUM(CI112:CI115)</f>
        <v>0</v>
      </c>
      <c r="CJ116" s="49" t="n">
        <f aca="false">SUM(CJ112:CJ115)</f>
        <v>0</v>
      </c>
      <c r="CK116" s="49" t="n">
        <f aca="false">SUM(CK112:CK115)</f>
        <v>0</v>
      </c>
      <c r="CL116" s="49" t="n">
        <f aca="false">SUM(CL112:CL115)</f>
        <v>0</v>
      </c>
      <c r="CM116" s="49" t="n">
        <f aca="false">SUM(CM112:CM115)</f>
        <v>0</v>
      </c>
      <c r="CN116" s="49" t="n">
        <f aca="false">SUM(CN112:CN115)</f>
        <v>0</v>
      </c>
      <c r="CO116" s="49" t="n">
        <f aca="false">SUM(CO112:CO115)</f>
        <v>0</v>
      </c>
      <c r="CP116" s="49" t="n">
        <f aca="false">SUM(CP112:CP115)</f>
        <v>0</v>
      </c>
      <c r="CQ116" s="49" t="n">
        <f aca="false">SUM(CQ112:CQ115)</f>
        <v>0</v>
      </c>
      <c r="CR116" s="49" t="n">
        <f aca="false">SUM(CR112:CR115)</f>
        <v>0</v>
      </c>
      <c r="CS116" s="49" t="n">
        <f aca="false">SUM(CS112:CS115)</f>
        <v>0</v>
      </c>
      <c r="CT116" s="49" t="n">
        <f aca="false">SUM(CT112:CT115)</f>
        <v>0</v>
      </c>
      <c r="CU116" s="49" t="n">
        <f aca="false">SUM(CU112:CU115)</f>
        <v>0</v>
      </c>
      <c r="CV116" s="49" t="n">
        <f aca="false">SUM(CV112:CV115)</f>
        <v>0</v>
      </c>
      <c r="CW116" s="49" t="n">
        <f aca="false">SUM(CW112:CW115)</f>
        <v>0</v>
      </c>
      <c r="CX116" s="49" t="n">
        <f aca="false">SUM(CX112:CX115)</f>
        <v>0</v>
      </c>
      <c r="CY116" s="49" t="n">
        <f aca="false">SUM(CY112:CY115)</f>
        <v>0</v>
      </c>
      <c r="CZ116" s="49" t="n">
        <f aca="false">SUM(CZ112:CZ115)</f>
        <v>0</v>
      </c>
      <c r="DA116" s="49" t="n">
        <f aca="false">SUM(DA112:DA115)</f>
        <v>0</v>
      </c>
      <c r="DB116" s="49" t="n">
        <f aca="false">SUM(DB112:DB115)</f>
        <v>0</v>
      </c>
      <c r="DC116" s="49" t="n">
        <f aca="false">SUM(DC112:DC115)</f>
        <v>0</v>
      </c>
      <c r="DD116" s="49" t="n">
        <f aca="false">SUM(DD112:DD115)</f>
        <v>0</v>
      </c>
      <c r="DE116" s="49" t="n">
        <f aca="false">SUM(DE112:DE115)</f>
        <v>0</v>
      </c>
      <c r="DF116" s="49" t="n">
        <f aca="false">SUM(DF112:DF115)</f>
        <v>0</v>
      </c>
      <c r="DG116" s="49" t="n">
        <f aca="false">SUM(DG112:DG115)</f>
        <v>0</v>
      </c>
      <c r="DH116" s="49" t="n">
        <f aca="false">SUM(DH112:DH115)</f>
        <v>0</v>
      </c>
      <c r="DI116" s="49" t="n">
        <f aca="false">SUM(DI112:DI115)</f>
        <v>0</v>
      </c>
      <c r="DJ116" s="49" t="n">
        <f aca="false">SUM(DJ112:DJ115)</f>
        <v>0</v>
      </c>
      <c r="DK116" s="49" t="n">
        <f aca="false">SUM(DK112:DK115)</f>
        <v>0</v>
      </c>
      <c r="DL116" s="49" t="n">
        <f aca="false">SUM(DL112:DL115)</f>
        <v>0</v>
      </c>
      <c r="DM116" s="49" t="n">
        <f aca="false">SUM(DM112:DM115)</f>
        <v>0</v>
      </c>
      <c r="DN116" s="49" t="n">
        <f aca="false">SUM(DN112:DN115)</f>
        <v>0</v>
      </c>
      <c r="DO116" s="49" t="n">
        <f aca="false">SUM(DO112:DO115)</f>
        <v>0</v>
      </c>
      <c r="DP116" s="49" t="n">
        <f aca="false">SUM(DP112:DP115)</f>
        <v>0</v>
      </c>
      <c r="DQ116" s="49" t="n">
        <f aca="false">SUM(DQ112:DQ115)</f>
        <v>0</v>
      </c>
      <c r="DR116" s="49" t="n">
        <f aca="false">SUM(DR112:DR115)</f>
        <v>0</v>
      </c>
      <c r="DS116" s="49" t="n">
        <f aca="false">SUM(DS112:DS115)</f>
        <v>0</v>
      </c>
      <c r="DT116" s="49" t="n">
        <f aca="false">SUM(DT112:DT115)</f>
        <v>0</v>
      </c>
      <c r="DU116" s="49" t="n">
        <f aca="false">SUM(DU112:DU115)</f>
        <v>0</v>
      </c>
      <c r="DV116" s="49" t="n">
        <f aca="false">SUM(DV112:DV115)</f>
        <v>0</v>
      </c>
      <c r="DW116" s="49" t="n">
        <f aca="false">SUM(DW112:DW115)</f>
        <v>0</v>
      </c>
      <c r="DX116" s="49" t="n">
        <f aca="false">SUM(DX112:DX115)</f>
        <v>0</v>
      </c>
      <c r="DY116" s="49" t="n">
        <f aca="false">SUM(DY112:DY115)</f>
        <v>0</v>
      </c>
      <c r="DZ116" s="49" t="n">
        <f aca="false">SUM(DZ112:DZ115)</f>
        <v>0</v>
      </c>
      <c r="EA116" s="49" t="n">
        <f aca="false">SUM(EA112:EA115)</f>
        <v>0</v>
      </c>
      <c r="EB116" s="49" t="n">
        <f aca="false">SUM(EB112:EB115)</f>
        <v>0</v>
      </c>
      <c r="EC116" s="49" t="n">
        <f aca="false">SUM(EC112:EC115)</f>
        <v>0</v>
      </c>
      <c r="ED116" s="49" t="n">
        <f aca="false">SUM(ED112:ED115)</f>
        <v>0</v>
      </c>
      <c r="EE116" s="49" t="n">
        <f aca="false">SUM(EE112:EE115)</f>
        <v>0</v>
      </c>
      <c r="EF116" s="49" t="n">
        <f aca="false">SUM(EF112:EF115)</f>
        <v>0</v>
      </c>
      <c r="EG116" s="49" t="n">
        <f aca="false">SUM(EG112:EG115)</f>
        <v>0</v>
      </c>
      <c r="EH116" s="49" t="n">
        <f aca="false">SUM(EH112:EH115)</f>
        <v>0</v>
      </c>
      <c r="EI116" s="49" t="n">
        <f aca="false">SUM(EI112:EI115)</f>
        <v>0</v>
      </c>
      <c r="EJ116" s="49" t="n">
        <f aca="false">SUM(EJ112:EJ115)</f>
        <v>0</v>
      </c>
      <c r="EK116" s="49" t="n">
        <f aca="false">SUM(EK112:EK115)</f>
        <v>0</v>
      </c>
      <c r="EL116" s="49" t="n">
        <f aca="false">SUM(EL112:EL115)</f>
        <v>0</v>
      </c>
      <c r="EM116" s="49" t="n">
        <f aca="false">SUM(EM112:EM115)</f>
        <v>0</v>
      </c>
      <c r="EN116" s="49" t="n">
        <f aca="false">SUM(EN112:EN115)</f>
        <v>0</v>
      </c>
      <c r="EO116" s="49" t="n">
        <f aca="false">SUM(EO112:EO115)</f>
        <v>0</v>
      </c>
    </row>
    <row r="117" customFormat="false" ht="15" hidden="false" customHeight="false" outlineLevel="0" collapsed="false">
      <c r="C117" s="1" t="s">
        <v>514</v>
      </c>
      <c r="D117" s="12" t="s">
        <v>33</v>
      </c>
      <c r="J117" s="49" t="n">
        <f aca="false">-In_CIT*(MAX(0,J111)+J114)-In_RH_On*In_RH_Rate*MAX(0,J111)</f>
        <v>-0</v>
      </c>
      <c r="K117" s="49" t="n">
        <f aca="false">-In_CIT*(MAX(0,K111)+K114)-In_RH_On*In_RH_Rate*MAX(0,K111)</f>
        <v>-0</v>
      </c>
      <c r="L117" s="49" t="n">
        <f aca="false">-In_CIT*(MAX(0,L111)+L114)-In_RH_On*In_RH_Rate*MAX(0,L111)</f>
        <v>-0</v>
      </c>
      <c r="M117" s="49" t="n">
        <f aca="false">-In_CIT*(MAX(0,M111)+M114)-In_RH_On*In_RH_Rate*MAX(0,M111)</f>
        <v>-0</v>
      </c>
      <c r="N117" s="49" t="n">
        <f aca="false">-In_CIT*(MAX(0,N111)+N114)-In_RH_On*In_RH_Rate*MAX(0,N111)</f>
        <v>-0</v>
      </c>
      <c r="O117" s="49" t="n">
        <f aca="false">-In_CIT*(MAX(0,O111)+O114)-In_RH_On*In_RH_Rate*MAX(0,O111)</f>
        <v>-0</v>
      </c>
      <c r="P117" s="49" t="n">
        <f aca="false">-In_CIT*(MAX(0,P111)+P114)-In_RH_On*In_RH_Rate*MAX(0,P111)</f>
        <v>-0</v>
      </c>
      <c r="Q117" s="49" t="n">
        <f aca="false">-In_CIT*(MAX(0,Q111)+Q114)-In_RH_On*In_RH_Rate*MAX(0,Q111)</f>
        <v>-0</v>
      </c>
      <c r="R117" s="49" t="n">
        <f aca="false">-In_CIT*(MAX(0,R111)+R114)-In_RH_On*In_RH_Rate*MAX(0,R111)</f>
        <v>-0</v>
      </c>
      <c r="S117" s="49" t="n">
        <f aca="false">-In_CIT*(MAX(0,S111)+S114)-In_RH_On*In_RH_Rate*MAX(0,S111)</f>
        <v>-0</v>
      </c>
      <c r="T117" s="49" t="n">
        <f aca="false">-In_CIT*(MAX(0,T111)+T114)-In_RH_On*In_RH_Rate*MAX(0,T111)</f>
        <v>-0</v>
      </c>
      <c r="U117" s="49" t="n">
        <f aca="false">-In_CIT*(MAX(0,U111)+U114)-In_RH_On*In_RH_Rate*MAX(0,U111)</f>
        <v>-0</v>
      </c>
      <c r="V117" s="49" t="n">
        <f aca="false">-In_CIT*(MAX(0,V111)+V114)-In_RH_On*In_RH_Rate*MAX(0,V111)</f>
        <v>-0</v>
      </c>
      <c r="W117" s="49" t="n">
        <f aca="false">-In_CIT*(MAX(0,W111)+W114)-In_RH_On*In_RH_Rate*MAX(0,W111)</f>
        <v>-0</v>
      </c>
      <c r="X117" s="49" t="n">
        <f aca="false">-In_CIT*(MAX(0,X111)+X114)-In_RH_On*In_RH_Rate*MAX(0,X111)</f>
        <v>-0</v>
      </c>
      <c r="Y117" s="49" t="n">
        <f aca="false">-In_CIT*(MAX(0,Y111)+Y114)-In_RH_On*In_RH_Rate*MAX(0,Y111)</f>
        <v>-0</v>
      </c>
      <c r="Z117" s="49" t="n">
        <f aca="false">-In_CIT*(MAX(0,Z111)+Z114)-In_RH_On*In_RH_Rate*MAX(0,Z111)</f>
        <v>-16.886293224631</v>
      </c>
      <c r="AA117" s="49" t="n">
        <f aca="false">-In_CIT*(MAX(0,AA111)+AA114)-In_RH_On*In_RH_Rate*MAX(0,AA111)</f>
        <v>-17.1277997333348</v>
      </c>
      <c r="AB117" s="49" t="n">
        <f aca="false">-In_CIT*(MAX(0,AB111)+AB114)-In_RH_On*In_RH_Rate*MAX(0,AB111)</f>
        <v>-18.5591998565435</v>
      </c>
      <c r="AC117" s="49" t="n">
        <f aca="false">-In_CIT*(MAX(0,AC111)+AC114)-In_RH_On*In_RH_Rate*MAX(0,AC111)</f>
        <v>-19.9985109164148</v>
      </c>
      <c r="AD117" s="49" t="n">
        <f aca="false">-In_CIT*(MAX(0,AD111)+AD114)-In_RH_On*In_RH_Rate*MAX(0,AD111)</f>
        <v>-20.0117519916814</v>
      </c>
      <c r="AE117" s="49" t="n">
        <f aca="false">-In_CIT*(MAX(0,AE111)+AE114)-In_RH_On*In_RH_Rate*MAX(0,AE111)</f>
        <v>-21.0670957357788</v>
      </c>
      <c r="AF117" s="49" t="n">
        <f aca="false">-In_CIT*(MAX(0,AF111)+AF114)-In_RH_On*In_RH_Rate*MAX(0,AF111)</f>
        <v>-21.7322126954598</v>
      </c>
      <c r="AG117" s="49" t="n">
        <f aca="false">-In_CIT*(MAX(0,AG111)+AG114)-In_RH_On*In_RH_Rate*MAX(0,AG111)</f>
        <v>-23.2103381334753</v>
      </c>
      <c r="AH117" s="49" t="n">
        <f aca="false">-In_CIT*(MAX(0,AH111)+AH114)-In_RH_On*In_RH_Rate*MAX(0,AH111)</f>
        <v>-23.2526025678549</v>
      </c>
      <c r="AI117" s="49" t="n">
        <f aca="false">-In_CIT*(MAX(0,AI111)+AI114)-In_RH_On*In_RH_Rate*MAX(0,AI111)</f>
        <v>-23.5138143202861</v>
      </c>
      <c r="AJ117" s="49" t="n">
        <f aca="false">-In_CIT*(MAX(0,AJ111)+AJ114)-In_RH_On*In_RH_Rate*MAX(0,AJ111)</f>
        <v>-27.5101792275379</v>
      </c>
      <c r="AK117" s="49" t="n">
        <f aca="false">-In_CIT*(MAX(0,AK111)+AK114)-In_RH_On*In_RH_Rate*MAX(0,AK111)</f>
        <v>-29.0559459441161</v>
      </c>
      <c r="AL117" s="49" t="n">
        <f aca="false">-In_CIT*(MAX(0,AL111)+AL114)-In_RH_On*In_RH_Rate*MAX(0,AL111)</f>
        <v>-58.2578084434224</v>
      </c>
      <c r="AM117" s="49" t="n">
        <f aca="false">-In_CIT*(MAX(0,AM111)+AM114)-In_RH_On*In_RH_Rate*MAX(0,AM111)</f>
        <v>-58.6950528485274</v>
      </c>
      <c r="AN117" s="49" t="n">
        <f aca="false">-In_CIT*(MAX(0,AN111)+AN114)-In_RH_On*In_RH_Rate*MAX(0,AN111)</f>
        <v>-61.8520109113284</v>
      </c>
      <c r="AO117" s="49" t="n">
        <f aca="false">-In_CIT*(MAX(0,AO111)+AO114)-In_RH_On*In_RH_Rate*MAX(0,AO111)</f>
        <v>-65.0273342850702</v>
      </c>
      <c r="AP117" s="49" t="n">
        <f aca="false">-In_CIT*(MAX(0,AP111)+AP114)-In_RH_On*In_RH_Rate*MAX(0,AP111)</f>
        <v>-65.2381514896335</v>
      </c>
      <c r="AQ117" s="49" t="n">
        <f aca="false">-In_CIT*(MAX(0,AQ111)+AQ114)-In_RH_On*In_RH_Rate*MAX(0,AQ111)</f>
        <v>-65.7026886400187</v>
      </c>
      <c r="AR117" s="49" t="n">
        <f aca="false">-In_CIT*(MAX(0,AR111)+AR114)-In_RH_On*In_RH_Rate*MAX(0,AR111)</f>
        <v>-68.9458260067554</v>
      </c>
      <c r="AS117" s="49" t="n">
        <f aca="false">-In_CIT*(MAX(0,AS111)+AS114)-In_RH_On*In_RH_Rate*MAX(0,AS111)</f>
        <v>-72.2082643113862</v>
      </c>
      <c r="AT117" s="49" t="n">
        <f aca="false">-In_CIT*(MAX(0,AT111)+AT114)-In_RH_On*In_RH_Rate*MAX(0,AT111)</f>
        <v>-72.4876758802591</v>
      </c>
      <c r="AU117" s="49" t="n">
        <f aca="false">-In_CIT*(MAX(0,AU111)+AU114)-In_RH_On*In_RH_Rate*MAX(0,AU111)</f>
        <v>-74.6928809254771</v>
      </c>
      <c r="AV117" s="49" t="n">
        <f aca="false">-In_CIT*(MAX(0,AV111)+AV114)-In_RH_On*In_RH_Rate*MAX(0,AV111)</f>
        <v>-76.3156193797067</v>
      </c>
      <c r="AW117" s="49" t="n">
        <f aca="false">-In_CIT*(MAX(0,AW111)+AW114)-In_RH_On*In_RH_Rate*MAX(0,AW111)</f>
        <v>-79.6686720496486</v>
      </c>
      <c r="AX117" s="49" t="n">
        <f aca="false">-In_CIT*(MAX(0,AX111)+AX114)-In_RH_On*In_RH_Rate*MAX(0,AX111)</f>
        <v>-80.0205616527358</v>
      </c>
      <c r="AY117" s="49" t="n">
        <f aca="false">-In_CIT*(MAX(0,AY111)+AY114)-In_RH_On*In_RH_Rate*MAX(0,AY111)</f>
        <v>-80.5499061181877</v>
      </c>
      <c r="AZ117" s="49" t="n">
        <f aca="false">-In_CIT*(MAX(0,AZ111)+AZ114)-In_RH_On*In_RH_Rate*MAX(0,AZ111)</f>
        <v>-83.9759386102347</v>
      </c>
      <c r="BA117" s="49" t="n">
        <f aca="false">-In_CIT*(MAX(0,BA111)+BA114)-In_RH_On*In_RH_Rate*MAX(0,BA111)</f>
        <v>-87.4232887199256</v>
      </c>
      <c r="BB117" s="49" t="n">
        <f aca="false">-In_CIT*(MAX(0,BB111)+BB114)-In_RH_On*In_RH_Rate*MAX(0,BB111)</f>
        <v>-87.851739653486</v>
      </c>
      <c r="BC117" s="49" t="n">
        <f aca="false">-In_CIT*(MAX(0,BC111)+BC114)-In_RH_On*In_RH_Rate*MAX(0,BC111)</f>
        <v>-88.4189810244149</v>
      </c>
      <c r="BD117" s="49" t="n">
        <f aca="false">-In_CIT*(MAX(0,BD111)+BD114)-In_RH_On*In_RH_Rate*MAX(0,BD111)</f>
        <v>-91.9421013106473</v>
      </c>
      <c r="BE117" s="49" t="n">
        <f aca="false">-In_CIT*(MAX(0,BE111)+BE114)-In_RH_On*In_RH_Rate*MAX(0,BE111)</f>
        <v>-95.4876252477365</v>
      </c>
      <c r="BF117" s="49" t="n">
        <f aca="false">-In_CIT*(MAX(0,BF111)+BF114)-In_RH_On*In_RH_Rate*MAX(0,BF111)</f>
        <v>-95.9969305980312</v>
      </c>
      <c r="BG117" s="49" t="n">
        <f aca="false">-In_CIT*(MAX(0,BG111)+BG114)-In_RH_On*In_RH_Rate*MAX(0,BG111)</f>
        <v>-96.6060025489291</v>
      </c>
      <c r="BH117" s="49" t="n">
        <f aca="false">-In_CIT*(MAX(0,BH111)+BH114)-In_RH_On*In_RH_Rate*MAX(0,BH111)</f>
        <v>-100.230235176909</v>
      </c>
      <c r="BI117" s="49" t="n">
        <f aca="false">-In_CIT*(MAX(0,BI111)+BI114)-In_RH_On*In_RH_Rate*MAX(0,BI111)</f>
        <v>-103.878012817288</v>
      </c>
      <c r="BJ117" s="49" t="n">
        <f aca="false">-In_CIT*(MAX(0,BJ111)+BJ114)-In_RH_On*In_RH_Rate*MAX(0,BJ111)</f>
        <v>-104.472686141558</v>
      </c>
      <c r="BK117" s="49" t="n">
        <f aca="false">-In_CIT*(MAX(0,BK111)+BK114)-In_RH_On*In_RH_Rate*MAX(0,BK111)</f>
        <v>-106.877758422316</v>
      </c>
      <c r="BL117" s="49" t="n">
        <f aca="false">-In_CIT*(MAX(0,BL111)+BL114)-In_RH_On*In_RH_Rate*MAX(0,BL111)</f>
        <v>-108.857320101286</v>
      </c>
      <c r="BM117" s="49" t="n">
        <f aca="false">-In_CIT*(MAX(0,BM111)+BM114)-In_RH_On*In_RH_Rate*MAX(0,BM111)</f>
        <v>-112.611645511746</v>
      </c>
      <c r="BN117" s="49" t="n">
        <f aca="false">-In_CIT*(MAX(0,BN111)+BN114)-In_RH_On*In_RH_Rate*MAX(0,BN111)</f>
        <v>-113.296432062864</v>
      </c>
      <c r="BO117" s="49" t="n">
        <f aca="false">-In_CIT*(MAX(0,BO111)+BO114)-In_RH_On*In_RH_Rate*MAX(0,BO111)</f>
        <v>-114.001844895059</v>
      </c>
      <c r="BP117" s="49" t="n">
        <f aca="false">-In_CIT*(MAX(0,BP111)+BP114)-In_RH_On*In_RH_Rate*MAX(0,BP111)</f>
        <v>-117.841232451754</v>
      </c>
      <c r="BQ117" s="49" t="n">
        <f aca="false">-In_CIT*(MAX(0,BQ111)+BQ114)-In_RH_On*In_RH_Rate*MAX(0,BQ111)</f>
        <v>-121.706625147394</v>
      </c>
      <c r="BR117" s="49" t="n">
        <f aca="false">-In_CIT*(MAX(0,BR111)+BR114)-In_RH_On*In_RH_Rate*MAX(0,BR111)</f>
        <v>-122.486513669873</v>
      </c>
      <c r="BS117" s="49" t="n">
        <f aca="false">-In_CIT*(MAX(0,BS111)+BS114)-In_RH_On*In_RH_Rate*MAX(0,BS111)</f>
        <v>-123.246904823717</v>
      </c>
      <c r="BT117" s="49" t="n">
        <f aca="false">-In_CIT*(MAX(0,BT111)+BT114)-In_RH_On*In_RH_Rate*MAX(0,BT111)</f>
        <v>-127.200791629087</v>
      </c>
      <c r="BU117" s="49" t="n">
        <f aca="false">-In_CIT*(MAX(0,BU111)+BU114)-In_RH_On*In_RH_Rate*MAX(0,BU111)</f>
        <v>-131.182008413967</v>
      </c>
      <c r="BV117" s="49" t="n">
        <f aca="false">-In_CIT*(MAX(0,BV111)+BV114)-In_RH_On*In_RH_Rate*MAX(0,BV111)</f>
        <v>-132.062243540421</v>
      </c>
      <c r="BW117" s="49" t="n">
        <f aca="false">-In_CIT*(MAX(0,BW111)+BW114)-In_RH_On*In_RH_Rate*MAX(0,BW111)</f>
        <v>-132.88248391173</v>
      </c>
      <c r="BX117" s="49" t="n">
        <f aca="false">-In_CIT*(MAX(0,BX111)+BX114)-In_RH_On*In_RH_Rate*MAX(0,BX111)</f>
        <v>-136.955809018203</v>
      </c>
      <c r="BY117" s="49" t="n">
        <f aca="false">-In_CIT*(MAX(0,BY111)+BY114)-In_RH_On*In_RH_Rate*MAX(0,BY111)</f>
        <v>-141.0578564392</v>
      </c>
      <c r="BZ117" s="49" t="n">
        <f aca="false">-In_CIT*(MAX(0,BZ111)+BZ114)-In_RH_On*In_RH_Rate*MAX(0,BZ111)</f>
        <v>-142.043951717838</v>
      </c>
      <c r="CA117" s="49" t="n">
        <f aca="false">-In_CIT*(MAX(0,CA111)+CA114)-In_RH_On*In_RH_Rate*MAX(0,CA111)</f>
        <v>-144.712292855075</v>
      </c>
      <c r="CB117" s="49" t="n">
        <f aca="false">-In_CIT*(MAX(0,CB111)+CB114)-In_RH_On*In_RH_Rate*MAX(0,CB111)</f>
        <v>-147.127139456284</v>
      </c>
      <c r="CC117" s="49" t="n">
        <f aca="false">-In_CIT*(MAX(0,CC111)+CC114)-In_RH_On*In_RH_Rate*MAX(0,CC111)</f>
        <v>-151.35528690165</v>
      </c>
      <c r="CD117" s="49" t="n">
        <f aca="false">-In_CIT*(MAX(0,CD111)+CD114)-In_RH_On*In_RH_Rate*MAX(0,CD111)</f>
        <v>-152.453038486933</v>
      </c>
      <c r="CE117" s="49" t="n">
        <f aca="false">-In_CIT*(MAX(0,CE111)+CE114)-In_RH_On*In_RH_Rate*MAX(0,CE111)</f>
        <v>-153.408665267938</v>
      </c>
      <c r="CF117" s="49" t="n">
        <f aca="false">-In_CIT*(MAX(0,CF111)+CF114)-In_RH_On*In_RH_Rate*MAX(0,CF111)</f>
        <v>-157.736735346471</v>
      </c>
      <c r="CG117" s="49" t="n">
        <f aca="false">-In_CIT*(MAX(0,CG111)+CG114)-In_RH_On*In_RH_Rate*MAX(0,CG111)</f>
        <v>-162.096528822191</v>
      </c>
      <c r="CH117" s="49" t="n">
        <f aca="false">-In_CIT*(MAX(0,CH111)+CH114)-In_RH_On*In_RH_Rate*MAX(0,CH111)</f>
        <v>-163.31202986242</v>
      </c>
      <c r="CI117" s="49" t="n">
        <f aca="false">-In_CIT*(MAX(0,CI111)+CI114)-In_RH_On*In_RH_Rate*MAX(0,CI111)</f>
        <v>-161.70952993943</v>
      </c>
      <c r="CJ117" s="49" t="n">
        <f aca="false">-In_CIT*(MAX(0,CJ111)+CJ114)-In_RH_On*In_RH_Rate*MAX(0,CJ111)</f>
        <v>-163.506302494313</v>
      </c>
      <c r="CK117" s="49" t="n">
        <f aca="false">-In_CIT*(MAX(0,CK111)+CK114)-In_RH_On*In_RH_Rate*MAX(0,CK111)</f>
        <v>-165.303075049195</v>
      </c>
      <c r="CL117" s="49" t="n">
        <f aca="false">-In_CIT*(MAX(0,CL111)+CL114)-In_RH_On*In_RH_Rate*MAX(0,CL111)</f>
        <v>-163.908470441874</v>
      </c>
      <c r="CM117" s="49" t="n">
        <f aca="false">-In_CIT*(MAX(0,CM111)+CM114)-In_RH_On*In_RH_Rate*MAX(0,CM111)</f>
        <v>-162.253895942466</v>
      </c>
      <c r="CN117" s="49" t="n">
        <f aca="false">-In_CIT*(MAX(0,CN111)+CN114)-In_RH_On*In_RH_Rate*MAX(0,CN111)</f>
        <v>-164.056717008494</v>
      </c>
      <c r="CO117" s="49" t="n">
        <f aca="false">-In_CIT*(MAX(0,CO111)+CO114)-In_RH_On*In_RH_Rate*MAX(0,CO111)</f>
        <v>-165.859538074521</v>
      </c>
      <c r="CP117" s="49" t="n">
        <f aca="false">-In_CIT*(MAX(0,CP111)+CP114)-In_RH_On*In_RH_Rate*MAX(0,CP111)</f>
        <v>-164.456523634598</v>
      </c>
      <c r="CQ117" s="49" t="n">
        <f aca="false">-In_CIT*(MAX(0,CQ111)+CQ114)-In_RH_On*In_RH_Rate*MAX(0,CQ111)</f>
        <v>-164.557706322342</v>
      </c>
      <c r="CR117" s="49" t="n">
        <f aca="false">-In_CIT*(MAX(0,CR111)+CR114)-In_RH_On*In_RH_Rate*MAX(0,CR111)</f>
        <v>-164.557706322342</v>
      </c>
      <c r="CS117" s="49" t="n">
        <f aca="false">-In_CIT*(MAX(0,CS111)+CS114)-In_RH_On*In_RH_Rate*MAX(0,CS111)</f>
        <v>-166.366032765444</v>
      </c>
      <c r="CT117" s="49" t="n">
        <f aca="false">-In_CIT*(MAX(0,CT111)+CT114)-In_RH_On*In_RH_Rate*MAX(0,CT111)</f>
        <v>-164.954589886834</v>
      </c>
      <c r="CU117" s="49" t="n">
        <f aca="false">-In_CIT*(MAX(0,CU111)+CU114)-In_RH_On*In_RH_Rate*MAX(0,CU111)</f>
        <v>-163.194375284734</v>
      </c>
      <c r="CV117" s="49" t="n">
        <f aca="false">-In_CIT*(MAX(0,CV111)+CV114)-In_RH_On*In_RH_Rate*MAX(0,CV111)</f>
        <v>-165.007646121232</v>
      </c>
      <c r="CW117" s="49" t="n">
        <f aca="false">-In_CIT*(MAX(0,CW111)+CW114)-In_RH_On*In_RH_Rate*MAX(0,CW111)</f>
        <v>-166.820916957729</v>
      </c>
      <c r="CX117" s="49" t="n">
        <f aca="false">-In_CIT*(MAX(0,CX111)+CX114)-In_RH_On*In_RH_Rate*MAX(0,CX111)</f>
        <v>-165.401027748062</v>
      </c>
      <c r="CY117" s="49" t="n">
        <f aca="false">-In_CIT*(MAX(0,CY111)+CY114)-In_RH_On*In_RH_Rate*MAX(0,CY111)</f>
        <v>-163.58723366555</v>
      </c>
      <c r="CZ117" s="49" t="n">
        <f aca="false">-In_CIT*(MAX(0,CZ111)+CZ114)-In_RH_On*In_RH_Rate*MAX(0,CZ111)</f>
        <v>-165.404869595168</v>
      </c>
      <c r="DA117" s="49" t="n">
        <f aca="false">-In_CIT*(MAX(0,DA111)+DA114)-In_RH_On*In_RH_Rate*MAX(0,DA111)</f>
        <v>-167.222505524785</v>
      </c>
      <c r="DB117" s="49" t="n">
        <f aca="false">-In_CIT*(MAX(0,DB111)+DB114)-In_RH_On*In_RH_Rate*MAX(0,DB111)</f>
        <v>-375.486699874707</v>
      </c>
      <c r="DC117" s="49" t="n">
        <f aca="false">-In_CIT*(MAX(0,DC111)+DC114)-In_RH_On*In_RH_Rate*MAX(0,DC111)</f>
        <v>-369.06027686922</v>
      </c>
      <c r="DD117" s="49" t="n">
        <f aca="false">-In_CIT*(MAX(0,DD111)+DD114)-In_RH_On*In_RH_Rate*MAX(0,DD111)</f>
        <v>-373.160946612211</v>
      </c>
      <c r="DE117" s="49" t="n">
        <f aca="false">-In_CIT*(MAX(0,DE111)+DE114)-In_RH_On*In_RH_Rate*MAX(0,DE111)</f>
        <v>-377.261616355202</v>
      </c>
      <c r="DF117" s="49" t="n">
        <f aca="false">-In_CIT*(MAX(0,DF111)+DF114)-In_RH_On*In_RH_Rate*MAX(0,DF111)</f>
        <v>-375.824783779587</v>
      </c>
      <c r="DG117" s="49" t="n">
        <f aca="false">-In_CIT*(MAX(0,DG111)+DG114)-In_RH_On*In_RH_Rate*MAX(0,DG111)</f>
        <v>-373.447561715864</v>
      </c>
      <c r="DH117" s="49" t="n">
        <f aca="false">-In_CIT*(MAX(0,DH111)+DH114)-In_RH_On*In_RH_Rate*MAX(0,DH111)</f>
        <v>-373.447561715864</v>
      </c>
      <c r="DI117" s="49" t="n">
        <f aca="false">-In_CIT*(MAX(0,DI111)+DI114)-In_RH_On*In_RH_Rate*MAX(0,DI111)</f>
        <v>-377.551381075379</v>
      </c>
      <c r="DJ117" s="49" t="n">
        <f aca="false">-In_CIT*(MAX(0,DJ111)+DJ114)-In_RH_On*In_RH_Rate*MAX(0,DJ111)</f>
        <v>-376.106053012439</v>
      </c>
      <c r="DK117" s="49" t="n">
        <f aca="false">-In_CIT*(MAX(0,DK111)+DK114)-In_RH_On*In_RH_Rate*MAX(0,DK111)</f>
        <v>-369.569862589467</v>
      </c>
      <c r="DL117" s="49" t="n">
        <f aca="false">-In_CIT*(MAX(0,DL111)+DL114)-In_RH_On*In_RH_Rate*MAX(0,DL111)</f>
        <v>-373.676194396017</v>
      </c>
      <c r="DM117" s="49" t="n">
        <f aca="false">-In_CIT*(MAX(0,DM111)+DM114)-In_RH_On*In_RH_Rate*MAX(0,DM111)</f>
        <v>-377.782526202566</v>
      </c>
      <c r="DN117" s="49" t="n">
        <f aca="false">-In_CIT*(MAX(0,DN111)+DN114)-In_RH_On*In_RH_Rate*MAX(0,DN111)</f>
        <v>-376.328687856252</v>
      </c>
      <c r="DO117" s="49" t="n">
        <f aca="false">-In_CIT*(MAX(0,DO111)+DO114)-In_RH_On*In_RH_Rate*MAX(0,DO111)</f>
        <v>-369.736810251909</v>
      </c>
      <c r="DP117" s="49" t="n">
        <f aca="false">-In_CIT*(MAX(0,DP111)+DP114)-In_RH_On*In_RH_Rate*MAX(0,DP111)</f>
        <v>-373.844997032485</v>
      </c>
      <c r="DQ117" s="49" t="n">
        <f aca="false">-In_CIT*(MAX(0,DQ111)+DQ114)-In_RH_On*In_RH_Rate*MAX(0,DQ111)</f>
        <v>-377.953183813062</v>
      </c>
      <c r="DR117" s="49" t="n">
        <f aca="false">-In_CIT*(MAX(0,DR111)+DR114)-In_RH_On*In_RH_Rate*MAX(0,DR111)</f>
        <v>-376.490821224724</v>
      </c>
      <c r="DS117" s="49" t="n">
        <f aca="false">-In_CIT*(MAX(0,DS111)+DS114)-In_RH_On*In_RH_Rate*MAX(0,DS111)</f>
        <v>-369.842710510588</v>
      </c>
      <c r="DT117" s="49" t="n">
        <f aca="false">-In_CIT*(MAX(0,DT111)+DT114)-In_RH_On*In_RH_Rate*MAX(0,DT111)</f>
        <v>-373.952073960706</v>
      </c>
      <c r="DU117" s="49" t="n">
        <f aca="false">-In_CIT*(MAX(0,DU111)+DU114)-In_RH_On*In_RH_Rate*MAX(0,DU111)</f>
        <v>-378.061437410824</v>
      </c>
      <c r="DV117" s="49" t="n">
        <f aca="false">-In_CIT*(MAX(0,DV111)+DV114)-In_RH_On*In_RH_Rate*MAX(0,DV111)</f>
        <v>-376.590537485769</v>
      </c>
      <c r="DW117" s="49" t="n">
        <f aca="false">-In_CIT*(MAX(0,DW111)+DW114)-In_RH_On*In_RH_Rate*MAX(0,DW111)</f>
        <v>-373.995480278812</v>
      </c>
      <c r="DX117" s="49" t="n">
        <f aca="false">-In_CIT*(MAX(0,DX111)+DX114)-In_RH_On*In_RH_Rate*MAX(0,DX111)</f>
        <v>-373.995480278812</v>
      </c>
      <c r="DY117" s="49" t="n">
        <f aca="false">-In_CIT*(MAX(0,DY111)+DY114)-In_RH_On*In_RH_Rate*MAX(0,DY111)</f>
        <v>-378.105320721436</v>
      </c>
      <c r="DZ117" s="49" t="n">
        <f aca="false">-In_CIT*(MAX(0,DZ111)+DZ114)-In_RH_On*In_RH_Rate*MAX(0,DZ111)</f>
        <v>-376.625871256129</v>
      </c>
      <c r="EA117" s="49" t="n">
        <f aca="false">-In_CIT*(MAX(0,EA111)+EA114)-In_RH_On*In_RH_Rate*MAX(0,EA111)</f>
        <v>-369.863624794354</v>
      </c>
      <c r="EB117" s="49" t="n">
        <f aca="false">-In_CIT*(MAX(0,EB111)+EB114)-In_RH_On*In_RH_Rate*MAX(0,EB111)</f>
        <v>-373.973220625402</v>
      </c>
      <c r="EC117" s="49" t="n">
        <f aca="false">-In_CIT*(MAX(0,EC111)+EC114)-In_RH_On*In_RH_Rate*MAX(0,EC111)</f>
        <v>-378.082816456451</v>
      </c>
      <c r="ED117" s="49" t="n">
        <f aca="false">-In_CIT*(MAX(0,ED111)+ED114)-In_RH_On*In_RH_Rate*MAX(0,ED111)</f>
        <v>-376.59480616636</v>
      </c>
      <c r="EE117" s="49" t="n">
        <f aca="false">-In_CIT*(MAX(0,EE111)+EE114)-In_RH_On*In_RH_Rate*MAX(0,EE111)</f>
        <v>-369.77464080721</v>
      </c>
      <c r="EF117" s="49" t="n">
        <f aca="false">-In_CIT*(MAX(0,EF111)+EF114)-In_RH_On*In_RH_Rate*MAX(0,EF111)</f>
        <v>-373.88324792729</v>
      </c>
      <c r="EG117" s="49" t="n">
        <f aca="false">-In_CIT*(MAX(0,EG111)+EG114)-In_RH_On*In_RH_Rate*MAX(0,EG111)</f>
        <v>-377.99185504737</v>
      </c>
      <c r="EH117" s="49" t="n">
        <f aca="false">-In_CIT*(MAX(0,EH111)+EH114)-In_RH_On*In_RH_Rate*MAX(0,EH111)</f>
        <v>-376.495273595489</v>
      </c>
      <c r="EI117" s="49" t="n">
        <f aca="false">-In_CIT*(MAX(0,EI111)+EI114)-In_RH_On*In_RH_Rate*MAX(0,EI111)</f>
        <v>-369.616610884434</v>
      </c>
      <c r="EJ117" s="49" t="n">
        <f aca="false">-In_CIT*(MAX(0,EJ111)+EJ114)-In_RH_On*In_RH_Rate*MAX(0,EJ111)</f>
        <v>-373.723462116483</v>
      </c>
      <c r="EK117" s="49" t="n">
        <f aca="false">-In_CIT*(MAX(0,EK111)+EK114)-In_RH_On*In_RH_Rate*MAX(0,EK111)</f>
        <v>-377.830313348532</v>
      </c>
      <c r="EL117" s="49" t="n">
        <f aca="false">-In_CIT*(MAX(0,EL111)+EL114)-In_RH_On*In_RH_Rate*MAX(0,EL111)</f>
        <v>-376.325151374579</v>
      </c>
      <c r="EM117" s="49" t="n">
        <f aca="false">-In_CIT*(MAX(0,EM111)+EM114)-In_RH_On*In_RH_Rate*MAX(0,EM111)</f>
        <v>-373.491708815652</v>
      </c>
      <c r="EN117" s="49" t="n">
        <f aca="false">-In_CIT*(MAX(0,EN111)+EN114)-In_RH_On*In_RH_Rate*MAX(0,EN111)</f>
        <v>-373.491708815652</v>
      </c>
      <c r="EO117" s="49" t="n">
        <f aca="false">-In_CIT*(MAX(0,EO111)+EO114)-In_RH_On*In_RH_Rate*MAX(0,EO111)</f>
        <v>-377.596013308132</v>
      </c>
    </row>
    <row r="118" customFormat="false" ht="15" hidden="false" customHeight="false" outlineLevel="0" collapsed="false">
      <c r="C118" s="1" t="s">
        <v>515</v>
      </c>
      <c r="D118" s="12" t="s">
        <v>33</v>
      </c>
      <c r="I118" s="49" t="n">
        <f aca="false">SUM(J118:EO118)</f>
        <v>4.54747350886464E-013</v>
      </c>
      <c r="J118" s="49" t="n">
        <f aca="false">ABS(J117-J86)</f>
        <v>0</v>
      </c>
      <c r="K118" s="49" t="n">
        <f aca="false">ABS(K117-K86)</f>
        <v>0</v>
      </c>
      <c r="L118" s="49" t="n">
        <f aca="false">ABS(L117-L86)</f>
        <v>0</v>
      </c>
      <c r="M118" s="49" t="n">
        <f aca="false">ABS(M117-M86)</f>
        <v>0</v>
      </c>
      <c r="N118" s="49" t="n">
        <f aca="false">ABS(N117-N86)</f>
        <v>0</v>
      </c>
      <c r="O118" s="49" t="n">
        <f aca="false">ABS(O117-O86)</f>
        <v>0</v>
      </c>
      <c r="P118" s="49" t="n">
        <f aca="false">ABS(P117-P86)</f>
        <v>0</v>
      </c>
      <c r="Q118" s="49" t="n">
        <f aca="false">ABS(Q117-Q86)</f>
        <v>0</v>
      </c>
      <c r="R118" s="49" t="n">
        <f aca="false">ABS(R117-R86)</f>
        <v>0</v>
      </c>
      <c r="S118" s="49" t="n">
        <f aca="false">ABS(S117-S86)</f>
        <v>0</v>
      </c>
      <c r="T118" s="49" t="n">
        <f aca="false">ABS(T117-T86)</f>
        <v>0</v>
      </c>
      <c r="U118" s="49" t="n">
        <f aca="false">ABS(U117-U86)</f>
        <v>0</v>
      </c>
      <c r="V118" s="49" t="n">
        <f aca="false">ABS(V117-V86)</f>
        <v>0</v>
      </c>
      <c r="W118" s="49" t="n">
        <f aca="false">ABS(W117-W86)</f>
        <v>0</v>
      </c>
      <c r="X118" s="49" t="n">
        <f aca="false">ABS(X117-X86)</f>
        <v>0</v>
      </c>
      <c r="Y118" s="49" t="n">
        <f aca="false">ABS(Y117-Y86)</f>
        <v>0</v>
      </c>
      <c r="Z118" s="49" t="n">
        <f aca="false">ABS(Z117-Z86)</f>
        <v>0</v>
      </c>
      <c r="AA118" s="49" t="n">
        <f aca="false">ABS(AA117-AA86)</f>
        <v>0</v>
      </c>
      <c r="AB118" s="49" t="n">
        <f aca="false">ABS(AB117-AB86)</f>
        <v>0</v>
      </c>
      <c r="AC118" s="49" t="n">
        <f aca="false">ABS(AC117-AC86)</f>
        <v>0</v>
      </c>
      <c r="AD118" s="49" t="n">
        <f aca="false">ABS(AD117-AD86)</f>
        <v>0</v>
      </c>
      <c r="AE118" s="49" t="n">
        <f aca="false">ABS(AE117-AE86)</f>
        <v>0</v>
      </c>
      <c r="AF118" s="49" t="n">
        <f aca="false">ABS(AF117-AF86)</f>
        <v>0</v>
      </c>
      <c r="AG118" s="49" t="n">
        <f aca="false">ABS(AG117-AG86)</f>
        <v>0</v>
      </c>
      <c r="AH118" s="49" t="n">
        <f aca="false">ABS(AH117-AH86)</f>
        <v>0</v>
      </c>
      <c r="AI118" s="49" t="n">
        <f aca="false">ABS(AI117-AI86)</f>
        <v>0</v>
      </c>
      <c r="AJ118" s="49" t="n">
        <f aca="false">ABS(AJ117-AJ86)</f>
        <v>0</v>
      </c>
      <c r="AK118" s="49" t="n">
        <f aca="false">ABS(AK117-AK86)</f>
        <v>0</v>
      </c>
      <c r="AL118" s="49" t="n">
        <f aca="false">ABS(AL117-AL86)</f>
        <v>0</v>
      </c>
      <c r="AM118" s="49" t="n">
        <f aca="false">ABS(AM117-AM86)</f>
        <v>0</v>
      </c>
      <c r="AN118" s="49" t="n">
        <f aca="false">ABS(AN117-AN86)</f>
        <v>0</v>
      </c>
      <c r="AO118" s="49" t="n">
        <f aca="false">ABS(AO117-AO86)</f>
        <v>0</v>
      </c>
      <c r="AP118" s="49" t="n">
        <f aca="false">ABS(AP117-AP86)</f>
        <v>0</v>
      </c>
      <c r="AQ118" s="49" t="n">
        <f aca="false">ABS(AQ117-AQ86)</f>
        <v>0</v>
      </c>
      <c r="AR118" s="49" t="n">
        <f aca="false">ABS(AR117-AR86)</f>
        <v>0</v>
      </c>
      <c r="AS118" s="49" t="n">
        <f aca="false">ABS(AS117-AS86)</f>
        <v>0</v>
      </c>
      <c r="AT118" s="49" t="n">
        <f aca="false">ABS(AT117-AT86)</f>
        <v>0</v>
      </c>
      <c r="AU118" s="49" t="n">
        <f aca="false">ABS(AU117-AU86)</f>
        <v>0</v>
      </c>
      <c r="AV118" s="49" t="n">
        <f aca="false">ABS(AV117-AV86)</f>
        <v>0</v>
      </c>
      <c r="AW118" s="49" t="n">
        <f aca="false">ABS(AW117-AW86)</f>
        <v>0</v>
      </c>
      <c r="AX118" s="49" t="n">
        <f aca="false">ABS(AX117-AX86)</f>
        <v>0</v>
      </c>
      <c r="AY118" s="49" t="n">
        <f aca="false">ABS(AY117-AY86)</f>
        <v>0</v>
      </c>
      <c r="AZ118" s="49" t="n">
        <f aca="false">ABS(AZ117-AZ86)</f>
        <v>0</v>
      </c>
      <c r="BA118" s="49" t="n">
        <f aca="false">ABS(BA117-BA86)</f>
        <v>0</v>
      </c>
      <c r="BB118" s="49" t="n">
        <f aca="false">ABS(BB117-BB86)</f>
        <v>0</v>
      </c>
      <c r="BC118" s="49" t="n">
        <f aca="false">ABS(BC117-BC86)</f>
        <v>0</v>
      </c>
      <c r="BD118" s="49" t="n">
        <f aca="false">ABS(BD117-BD86)</f>
        <v>0</v>
      </c>
      <c r="BE118" s="49" t="n">
        <f aca="false">ABS(BE117-BE86)</f>
        <v>0</v>
      </c>
      <c r="BF118" s="49" t="n">
        <f aca="false">ABS(BF117-BF86)</f>
        <v>0</v>
      </c>
      <c r="BG118" s="49" t="n">
        <f aca="false">ABS(BG117-BG86)</f>
        <v>0</v>
      </c>
      <c r="BH118" s="49" t="n">
        <f aca="false">ABS(BH117-BH86)</f>
        <v>4.54747350886464E-013</v>
      </c>
      <c r="BI118" s="49" t="n">
        <f aca="false">ABS(BI117-BI86)</f>
        <v>0</v>
      </c>
      <c r="BJ118" s="49" t="n">
        <f aca="false">ABS(BJ117-BJ86)</f>
        <v>0</v>
      </c>
      <c r="BK118" s="49" t="n">
        <f aca="false">ABS(BK117-BK86)</f>
        <v>0</v>
      </c>
      <c r="BL118" s="49" t="n">
        <f aca="false">ABS(BL117-BL86)</f>
        <v>0</v>
      </c>
      <c r="BM118" s="49" t="n">
        <f aca="false">ABS(BM117-BM86)</f>
        <v>0</v>
      </c>
      <c r="BN118" s="49" t="n">
        <f aca="false">ABS(BN117-BN86)</f>
        <v>0</v>
      </c>
      <c r="BO118" s="49" t="n">
        <f aca="false">ABS(BO117-BO86)</f>
        <v>0</v>
      </c>
      <c r="BP118" s="49" t="n">
        <f aca="false">ABS(BP117-BP86)</f>
        <v>0</v>
      </c>
      <c r="BQ118" s="49" t="n">
        <f aca="false">ABS(BQ117-BQ86)</f>
        <v>0</v>
      </c>
      <c r="BR118" s="49" t="n">
        <f aca="false">ABS(BR117-BR86)</f>
        <v>0</v>
      </c>
      <c r="BS118" s="49" t="n">
        <f aca="false">ABS(BS117-BS86)</f>
        <v>0</v>
      </c>
      <c r="BT118" s="49" t="n">
        <f aca="false">ABS(BT117-BT86)</f>
        <v>0</v>
      </c>
      <c r="BU118" s="49" t="n">
        <f aca="false">ABS(BU117-BU86)</f>
        <v>0</v>
      </c>
      <c r="BV118" s="49" t="n">
        <f aca="false">ABS(BV117-BV86)</f>
        <v>0</v>
      </c>
      <c r="BW118" s="49" t="n">
        <f aca="false">ABS(BW117-BW86)</f>
        <v>0</v>
      </c>
      <c r="BX118" s="49" t="n">
        <f aca="false">ABS(BX117-BX86)</f>
        <v>0</v>
      </c>
      <c r="BY118" s="49" t="n">
        <f aca="false">ABS(BY117-BY86)</f>
        <v>0</v>
      </c>
      <c r="BZ118" s="49" t="n">
        <f aca="false">ABS(BZ117-BZ86)</f>
        <v>0</v>
      </c>
      <c r="CA118" s="49" t="n">
        <f aca="false">ABS(CA117-CA86)</f>
        <v>0</v>
      </c>
      <c r="CB118" s="49" t="n">
        <f aca="false">ABS(CB117-CB86)</f>
        <v>0</v>
      </c>
      <c r="CC118" s="49" t="n">
        <f aca="false">ABS(CC117-CC86)</f>
        <v>0</v>
      </c>
      <c r="CD118" s="49" t="n">
        <f aca="false">ABS(CD117-CD86)</f>
        <v>0</v>
      </c>
      <c r="CE118" s="49" t="n">
        <f aca="false">ABS(CE117-CE86)</f>
        <v>0</v>
      </c>
      <c r="CF118" s="49" t="n">
        <f aca="false">ABS(CF117-CF86)</f>
        <v>0</v>
      </c>
      <c r="CG118" s="49" t="n">
        <f aca="false">ABS(CG117-CG86)</f>
        <v>0</v>
      </c>
      <c r="CH118" s="49" t="n">
        <f aca="false">ABS(CH117-CH86)</f>
        <v>0</v>
      </c>
      <c r="CI118" s="49" t="n">
        <f aca="false">ABS(CI117-CI86)</f>
        <v>0</v>
      </c>
      <c r="CJ118" s="49" t="n">
        <f aca="false">ABS(CJ117-CJ86)</f>
        <v>0</v>
      </c>
      <c r="CK118" s="49" t="n">
        <f aca="false">ABS(CK117-CK86)</f>
        <v>0</v>
      </c>
      <c r="CL118" s="49" t="n">
        <f aca="false">ABS(CL117-CL86)</f>
        <v>0</v>
      </c>
      <c r="CM118" s="49" t="n">
        <f aca="false">ABS(CM117-CM86)</f>
        <v>0</v>
      </c>
      <c r="CN118" s="49" t="n">
        <f aca="false">ABS(CN117-CN86)</f>
        <v>0</v>
      </c>
      <c r="CO118" s="49" t="n">
        <f aca="false">ABS(CO117-CO86)</f>
        <v>0</v>
      </c>
      <c r="CP118" s="49" t="n">
        <f aca="false">ABS(CP117-CP86)</f>
        <v>0</v>
      </c>
      <c r="CQ118" s="49" t="n">
        <f aca="false">ABS(CQ117-CQ86)</f>
        <v>0</v>
      </c>
      <c r="CR118" s="49" t="n">
        <f aca="false">ABS(CR117-CR86)</f>
        <v>0</v>
      </c>
      <c r="CS118" s="49" t="n">
        <f aca="false">ABS(CS117-CS86)</f>
        <v>0</v>
      </c>
      <c r="CT118" s="49" t="n">
        <f aca="false">ABS(CT117-CT86)</f>
        <v>0</v>
      </c>
      <c r="CU118" s="49" t="n">
        <f aca="false">ABS(CU117-CU86)</f>
        <v>0</v>
      </c>
      <c r="CV118" s="49" t="n">
        <f aca="false">ABS(CV117-CV86)</f>
        <v>0</v>
      </c>
      <c r="CW118" s="49" t="n">
        <f aca="false">ABS(CW117-CW86)</f>
        <v>0</v>
      </c>
      <c r="CX118" s="49" t="n">
        <f aca="false">ABS(CX117-CX86)</f>
        <v>0</v>
      </c>
      <c r="CY118" s="49" t="n">
        <f aca="false">ABS(CY117-CY86)</f>
        <v>0</v>
      </c>
      <c r="CZ118" s="49" t="n">
        <f aca="false">ABS(CZ117-CZ86)</f>
        <v>0</v>
      </c>
      <c r="DA118" s="49" t="n">
        <f aca="false">ABS(DA117-DA86)</f>
        <v>0</v>
      </c>
      <c r="DB118" s="49" t="n">
        <f aca="false">ABS(DB117-DB86)</f>
        <v>0</v>
      </c>
      <c r="DC118" s="49" t="n">
        <f aca="false">ABS(DC117-DC86)</f>
        <v>0</v>
      </c>
      <c r="DD118" s="49" t="n">
        <f aca="false">ABS(DD117-DD86)</f>
        <v>0</v>
      </c>
      <c r="DE118" s="49" t="n">
        <f aca="false">ABS(DE117-DE86)</f>
        <v>0</v>
      </c>
      <c r="DF118" s="49" t="n">
        <f aca="false">ABS(DF117-DF86)</f>
        <v>0</v>
      </c>
      <c r="DG118" s="49" t="n">
        <f aca="false">ABS(DG117-DG86)</f>
        <v>0</v>
      </c>
      <c r="DH118" s="49" t="n">
        <f aca="false">ABS(DH117-DH86)</f>
        <v>0</v>
      </c>
      <c r="DI118" s="49" t="n">
        <f aca="false">ABS(DI117-DI86)</f>
        <v>0</v>
      </c>
      <c r="DJ118" s="49" t="n">
        <f aca="false">ABS(DJ117-DJ86)</f>
        <v>0</v>
      </c>
      <c r="DK118" s="49" t="n">
        <f aca="false">ABS(DK117-DK86)</f>
        <v>0</v>
      </c>
      <c r="DL118" s="49" t="n">
        <f aca="false">ABS(DL117-DL86)</f>
        <v>0</v>
      </c>
      <c r="DM118" s="49" t="n">
        <f aca="false">ABS(DM117-DM86)</f>
        <v>0</v>
      </c>
      <c r="DN118" s="49" t="n">
        <f aca="false">ABS(DN117-DN86)</f>
        <v>0</v>
      </c>
      <c r="DO118" s="49" t="n">
        <f aca="false">ABS(DO117-DO86)</f>
        <v>0</v>
      </c>
      <c r="DP118" s="49" t="n">
        <f aca="false">ABS(DP117-DP86)</f>
        <v>0</v>
      </c>
      <c r="DQ118" s="49" t="n">
        <f aca="false">ABS(DQ117-DQ86)</f>
        <v>0</v>
      </c>
      <c r="DR118" s="49" t="n">
        <f aca="false">ABS(DR117-DR86)</f>
        <v>0</v>
      </c>
      <c r="DS118" s="49" t="n">
        <f aca="false">ABS(DS117-DS86)</f>
        <v>0</v>
      </c>
      <c r="DT118" s="49" t="n">
        <f aca="false">ABS(DT117-DT86)</f>
        <v>0</v>
      </c>
      <c r="DU118" s="49" t="n">
        <f aca="false">ABS(DU117-DU86)</f>
        <v>0</v>
      </c>
      <c r="DV118" s="49" t="n">
        <f aca="false">ABS(DV117-DV86)</f>
        <v>0</v>
      </c>
      <c r="DW118" s="49" t="n">
        <f aca="false">ABS(DW117-DW86)</f>
        <v>0</v>
      </c>
      <c r="DX118" s="49" t="n">
        <f aca="false">ABS(DX117-DX86)</f>
        <v>0</v>
      </c>
      <c r="DY118" s="49" t="n">
        <f aca="false">ABS(DY117-DY86)</f>
        <v>0</v>
      </c>
      <c r="DZ118" s="49" t="n">
        <f aca="false">ABS(DZ117-DZ86)</f>
        <v>0</v>
      </c>
      <c r="EA118" s="49" t="n">
        <f aca="false">ABS(EA117-EA86)</f>
        <v>0</v>
      </c>
      <c r="EB118" s="49" t="n">
        <f aca="false">ABS(EB117-EB86)</f>
        <v>0</v>
      </c>
      <c r="EC118" s="49" t="n">
        <f aca="false">ABS(EC117-EC86)</f>
        <v>0</v>
      </c>
      <c r="ED118" s="49" t="n">
        <f aca="false">ABS(ED117-ED86)</f>
        <v>0</v>
      </c>
      <c r="EE118" s="49" t="n">
        <f aca="false">ABS(EE117-EE86)</f>
        <v>0</v>
      </c>
      <c r="EF118" s="49" t="n">
        <f aca="false">ABS(EF117-EF86)</f>
        <v>0</v>
      </c>
      <c r="EG118" s="49" t="n">
        <f aca="false">ABS(EG117-EG86)</f>
        <v>0</v>
      </c>
      <c r="EH118" s="49" t="n">
        <f aca="false">ABS(EH117-EH86)</f>
        <v>0</v>
      </c>
      <c r="EI118" s="49" t="n">
        <f aca="false">ABS(EI117-EI86)</f>
        <v>0</v>
      </c>
      <c r="EJ118" s="49" t="n">
        <f aca="false">ABS(EJ117-EJ86)</f>
        <v>0</v>
      </c>
      <c r="EK118" s="49" t="n">
        <f aca="false">ABS(EK117-EK86)</f>
        <v>0</v>
      </c>
      <c r="EL118" s="49" t="n">
        <f aca="false">ABS(EL117-EL86)</f>
        <v>0</v>
      </c>
      <c r="EM118" s="49" t="n">
        <f aca="false">ABS(EM117-EM86)</f>
        <v>0</v>
      </c>
      <c r="EN118" s="49" t="n">
        <f aca="false">ABS(EN117-EN86)</f>
        <v>0</v>
      </c>
      <c r="EO118" s="49" t="n">
        <f aca="false">ABS(EO117-EO86)</f>
        <v>0</v>
      </c>
    </row>
    <row r="120" customFormat="false" ht="15" hidden="false" customHeight="false" outlineLevel="0" collapsed="false">
      <c r="A120" s="10" t="s">
        <v>13</v>
      </c>
      <c r="B120" s="10"/>
      <c r="C120" s="10" t="s">
        <v>516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96</v>
      </c>
      <c r="D121" s="12" t="s">
        <v>33</v>
      </c>
      <c r="E121" s="49" t="n">
        <f aca="false">-($I48+$I49+$I50)</f>
        <v>5150</v>
      </c>
    </row>
    <row r="122" customFormat="false" ht="15" hidden="false" customHeight="false" outlineLevel="0" collapsed="false">
      <c r="C122" s="1" t="s">
        <v>97</v>
      </c>
      <c r="D122" s="12" t="s">
        <v>33</v>
      </c>
      <c r="E122" s="49" t="n">
        <f aca="false">-($I52+$I55+$E59)</f>
        <v>1114.92155376243</v>
      </c>
    </row>
    <row r="123" customFormat="false" ht="15" hidden="false" customHeight="false" outlineLevel="0" collapsed="false">
      <c r="C123" s="1" t="s">
        <v>98</v>
      </c>
      <c r="D123" s="12" t="s">
        <v>33</v>
      </c>
      <c r="E123" s="49" t="n">
        <f aca="false">-$I68</f>
        <v>91963.75</v>
      </c>
    </row>
    <row r="124" customFormat="false" ht="15" hidden="false" customHeight="false" outlineLevel="0" collapsed="false">
      <c r="C124" s="1" t="s">
        <v>99</v>
      </c>
      <c r="D124" s="12" t="s">
        <v>33</v>
      </c>
      <c r="E124" s="49" t="n">
        <f aca="false">-$I58</f>
        <v>8154.82315068493</v>
      </c>
    </row>
    <row r="125" customFormat="false" ht="15" hidden="false" customHeight="false" outlineLevel="0" collapsed="false">
      <c r="C125" s="1" t="s">
        <v>100</v>
      </c>
      <c r="D125" s="12" t="s">
        <v>33</v>
      </c>
      <c r="E125" s="49" t="n">
        <f aca="false">-$I69</f>
        <v>2500</v>
      </c>
    </row>
    <row r="126" customFormat="false" ht="15" hidden="false" customHeight="false" outlineLevel="0" collapsed="false">
      <c r="C126" s="1" t="s">
        <v>101</v>
      </c>
      <c r="D126" s="12" t="s">
        <v>33</v>
      </c>
      <c r="E126" s="49" t="n">
        <f aca="false">$I101-$I104-$I105</f>
        <v>4205.75934932964</v>
      </c>
    </row>
    <row r="127" customFormat="false" ht="15" hidden="false" customHeight="false" outlineLevel="0" collapsed="false">
      <c r="C127" s="1" t="s">
        <v>102</v>
      </c>
      <c r="D127" s="12" t="s">
        <v>33</v>
      </c>
      <c r="E127" s="49" t="n">
        <f aca="false">-SUMIF($J$4:$EO$4,"&lt;="&amp;In_COD,$J83:$EO83)</f>
        <v>340.170197534084</v>
      </c>
    </row>
    <row r="128" customFormat="false" ht="15" hidden="false" customHeight="false" outlineLevel="0" collapsed="false">
      <c r="C128" s="26" t="s">
        <v>103</v>
      </c>
      <c r="D128" s="12" t="s">
        <v>33</v>
      </c>
      <c r="E128" s="58" t="n">
        <f aca="false">SUM($E121:$E127)</f>
        <v>113429.424251311</v>
      </c>
    </row>
    <row r="129" customFormat="false" ht="15" hidden="false" customHeight="false" outlineLevel="0" collapsed="false">
      <c r="C129" s="1" t="s">
        <v>517</v>
      </c>
      <c r="D129" s="12" t="s">
        <v>33</v>
      </c>
      <c r="E129" s="49" t="n">
        <f aca="false">$E128-$E103</f>
        <v>54373.9265999892</v>
      </c>
      <c r="F129" s="49" t="n">
        <f aca="false">$E129+$E106</f>
        <v>55778.8527603293</v>
      </c>
    </row>
    <row r="130" customFormat="false" ht="15" hidden="false" customHeight="false" outlineLevel="0" collapsed="false">
      <c r="C130" s="1" t="s">
        <v>107</v>
      </c>
      <c r="D130" s="12" t="s">
        <v>27</v>
      </c>
      <c r="E130" s="50" t="n">
        <f aca="false">$E103/$E128</f>
        <v>0.520636493053868</v>
      </c>
    </row>
    <row r="131" customFormat="false" ht="15" hidden="false" customHeight="false" outlineLevel="0" collapsed="false">
      <c r="C131" s="1" t="s">
        <v>518</v>
      </c>
      <c r="D131" s="12" t="s">
        <v>33</v>
      </c>
      <c r="E131" s="49" t="n">
        <f aca="false">$E88*In_DSCR/In_DSCR_Max_Low</f>
        <v>87442.2840417241</v>
      </c>
      <c r="F131" s="49" t="n">
        <f aca="false">$E88*In_DSCR/In_DSCR_Max_High</f>
        <v>80155.4270382471</v>
      </c>
    </row>
    <row r="132" customFormat="false" ht="15" hidden="false" customHeight="false" outlineLevel="0" collapsed="false">
      <c r="C132" s="1" t="s">
        <v>519</v>
      </c>
      <c r="D132" s="12" t="s">
        <v>27</v>
      </c>
      <c r="E132" s="50" t="n">
        <f aca="false">$E131/$E128</f>
        <v>0.770895952429322</v>
      </c>
      <c r="F132" s="50" t="n">
        <f aca="false">$F131/$E128</f>
        <v>0.706654623060211</v>
      </c>
    </row>
    <row r="134" customFormat="false" ht="15" hidden="false" customHeight="false" outlineLevel="0" collapsed="false">
      <c r="A134" s="10" t="s">
        <v>13</v>
      </c>
      <c r="B134" s="10"/>
      <c r="C134" s="10" t="s">
        <v>125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520</v>
      </c>
      <c r="D135" s="12" t="s">
        <v>33</v>
      </c>
      <c r="I135" s="49" t="n">
        <f aca="false">SUM(J135:EO135)</f>
        <v>-54373.9265999892</v>
      </c>
      <c r="J135" s="49" t="n">
        <f aca="false">(J63+J70+J100+J104+J105+J83)*(J$4&lt;=In_COD)</f>
        <v>-4662.80993807469</v>
      </c>
      <c r="K135" s="49" t="n">
        <f aca="false">(K63+K70+K100+K104+K105+K83)*(K$4&lt;=In_COD)</f>
        <v>-706.535577057768</v>
      </c>
      <c r="L135" s="49" t="n">
        <f aca="false">(L63+L70+L100+L104+L105+L83)*(L$4&lt;=In_COD)</f>
        <v>-104.360496659404</v>
      </c>
      <c r="M135" s="49" t="n">
        <f aca="false">(M63+M70+M100+M104+M105+M83)*(M$4&lt;=In_COD)</f>
        <v>-105.507315304013</v>
      </c>
      <c r="N135" s="49" t="n">
        <f aca="false">(N63+N70+N100+N104+N105+N83)*(N$4&lt;=In_COD)</f>
        <v>-105.507315304013</v>
      </c>
      <c r="O135" s="49" t="n">
        <f aca="false">(O63+O70+O100+O104+O105+O83)*(O$4&lt;=In_COD)</f>
        <v>-104.360496659404</v>
      </c>
      <c r="P135" s="49" t="n">
        <f aca="false">(P63+P70+P100+P104+P105+P83)*(P$4&lt;=In_COD)</f>
        <v>-104.360496659404</v>
      </c>
      <c r="Q135" s="49" t="n">
        <f aca="false">(Q63+Q70+Q100+Q104+Q105+Q83)*(Q$4&lt;=In_COD)</f>
        <v>-105.507315304013</v>
      </c>
      <c r="R135" s="49" t="n">
        <f aca="false">(R63+R70+R100+R104+R105+R83)*(R$4&lt;=In_COD)</f>
        <v>-6452.06801054133</v>
      </c>
      <c r="S135" s="49" t="n">
        <f aca="false">(S63+S70+S100+S104+S105+S83)*(S$4&lt;=In_COD)</f>
        <v>-8957.34206285879</v>
      </c>
      <c r="T135" s="49" t="n">
        <f aca="false">(T63+T70+T100+T104+T105+T83)*(T$4&lt;=In_COD)</f>
        <v>-5322.36727647646</v>
      </c>
      <c r="U135" s="49" t="n">
        <f aca="false">(U63+U70+U100+U104+U105+U83)*(U$4&lt;=In_COD)</f>
        <v>-5366.55155799786</v>
      </c>
      <c r="V135" s="49" t="n">
        <f aca="false">(V63+V70+V100+V104+V105+V83)*(V$4&lt;=In_COD)</f>
        <v>-5352.09110822868</v>
      </c>
      <c r="W135" s="49" t="n">
        <f aca="false">(W63+W70+W100+W104+W105+W83)*(W$4&lt;=In_COD)</f>
        <v>-5222.63714053528</v>
      </c>
      <c r="X135" s="49" t="n">
        <f aca="false">(X63+X70+X100+X104+X105+X83)*(X$4&lt;=In_COD)</f>
        <v>-5266.67411180264</v>
      </c>
      <c r="Y135" s="49" t="n">
        <f aca="false">(Y63+Y70+Y100+Y104+Y105+Y83)*(Y$4&lt;=In_COD)</f>
        <v>-6435.24638052543</v>
      </c>
      <c r="Z135" s="49" t="n">
        <f aca="false">(Z63+Z70+Z100+Z104+Z105+Z83)*(Z$4&lt;=In_COD)</f>
        <v>0</v>
      </c>
      <c r="AA135" s="49" t="n">
        <f aca="false">(AA63+AA70+AA100+AA104+AA105+AA83)*(AA$4&lt;=In_COD)</f>
        <v>0</v>
      </c>
      <c r="AB135" s="49" t="n">
        <f aca="false">(AB63+AB70+AB100+AB104+AB105+AB83)*(AB$4&lt;=In_COD)</f>
        <v>0</v>
      </c>
      <c r="AC135" s="49" t="n">
        <f aca="false">(AC63+AC70+AC100+AC104+AC105+AC83)*(AC$4&lt;=In_COD)</f>
        <v>0</v>
      </c>
      <c r="AD135" s="49" t="n">
        <f aca="false">(AD63+AD70+AD100+AD104+AD105+AD83)*(AD$4&lt;=In_COD)</f>
        <v>0</v>
      </c>
      <c r="AE135" s="49" t="n">
        <f aca="false">(AE63+AE70+AE100+AE104+AE105+AE83)*(AE$4&lt;=In_COD)</f>
        <v>0</v>
      </c>
      <c r="AF135" s="49" t="n">
        <f aca="false">(AF63+AF70+AF100+AF104+AF105+AF83)*(AF$4&lt;=In_COD)</f>
        <v>0</v>
      </c>
      <c r="AG135" s="49" t="n">
        <f aca="false">(AG63+AG70+AG100+AG104+AG105+AG83)*(AG$4&lt;=In_COD)</f>
        <v>0</v>
      </c>
      <c r="AH135" s="49" t="n">
        <f aca="false">(AH63+AH70+AH100+AH104+AH105+AH83)*(AH$4&lt;=In_COD)</f>
        <v>0</v>
      </c>
      <c r="AI135" s="49" t="n">
        <f aca="false">(AI63+AI70+AI100+AI104+AI105+AI83)*(AI$4&lt;=In_COD)</f>
        <v>0</v>
      </c>
      <c r="AJ135" s="49" t="n">
        <f aca="false">(AJ63+AJ70+AJ100+AJ104+AJ105+AJ83)*(AJ$4&lt;=In_COD)</f>
        <v>0</v>
      </c>
      <c r="AK135" s="49" t="n">
        <f aca="false">(AK63+AK70+AK100+AK104+AK105+AK83)*(AK$4&lt;=In_COD)</f>
        <v>0</v>
      </c>
      <c r="AL135" s="49" t="n">
        <f aca="false">(AL63+AL70+AL100+AL104+AL105+AL83)*(AL$4&lt;=In_COD)</f>
        <v>0</v>
      </c>
      <c r="AM135" s="49" t="n">
        <f aca="false">(AM63+AM70+AM100+AM104+AM105+AM83)*(AM$4&lt;=In_COD)</f>
        <v>0</v>
      </c>
      <c r="AN135" s="49" t="n">
        <f aca="false">(AN63+AN70+AN100+AN104+AN105+AN83)*(AN$4&lt;=In_COD)</f>
        <v>0</v>
      </c>
      <c r="AO135" s="49" t="n">
        <f aca="false">(AO63+AO70+AO100+AO104+AO105+AO83)*(AO$4&lt;=In_COD)</f>
        <v>0</v>
      </c>
      <c r="AP135" s="49" t="n">
        <f aca="false">(AP63+AP70+AP100+AP104+AP105+AP83)*(AP$4&lt;=In_COD)</f>
        <v>0</v>
      </c>
      <c r="AQ135" s="49" t="n">
        <f aca="false">(AQ63+AQ70+AQ100+AQ104+AQ105+AQ83)*(AQ$4&lt;=In_COD)</f>
        <v>0</v>
      </c>
      <c r="AR135" s="49" t="n">
        <f aca="false">(AR63+AR70+AR100+AR104+AR105+AR83)*(AR$4&lt;=In_COD)</f>
        <v>0</v>
      </c>
      <c r="AS135" s="49" t="n">
        <f aca="false">(AS63+AS70+AS100+AS104+AS105+AS83)*(AS$4&lt;=In_COD)</f>
        <v>0</v>
      </c>
      <c r="AT135" s="49" t="n">
        <f aca="false">(AT63+AT70+AT100+AT104+AT105+AT83)*(AT$4&lt;=In_COD)</f>
        <v>0</v>
      </c>
      <c r="AU135" s="49" t="n">
        <f aca="false">(AU63+AU70+AU100+AU104+AU105+AU83)*(AU$4&lt;=In_COD)</f>
        <v>0</v>
      </c>
      <c r="AV135" s="49" t="n">
        <f aca="false">(AV63+AV70+AV100+AV104+AV105+AV83)*(AV$4&lt;=In_COD)</f>
        <v>0</v>
      </c>
      <c r="AW135" s="49" t="n">
        <f aca="false">(AW63+AW70+AW100+AW104+AW105+AW83)*(AW$4&lt;=In_COD)</f>
        <v>0</v>
      </c>
      <c r="AX135" s="49" t="n">
        <f aca="false">(AX63+AX70+AX100+AX104+AX105+AX83)*(AX$4&lt;=In_COD)</f>
        <v>0</v>
      </c>
      <c r="AY135" s="49" t="n">
        <f aca="false">(AY63+AY70+AY100+AY104+AY105+AY83)*(AY$4&lt;=In_COD)</f>
        <v>0</v>
      </c>
      <c r="AZ135" s="49" t="n">
        <f aca="false">(AZ63+AZ70+AZ100+AZ104+AZ105+AZ83)*(AZ$4&lt;=In_COD)</f>
        <v>0</v>
      </c>
      <c r="BA135" s="49" t="n">
        <f aca="false">(BA63+BA70+BA100+BA104+BA105+BA83)*(BA$4&lt;=In_COD)</f>
        <v>0</v>
      </c>
      <c r="BB135" s="49" t="n">
        <f aca="false">(BB63+BB70+BB100+BB104+BB105+BB83)*(BB$4&lt;=In_COD)</f>
        <v>0</v>
      </c>
      <c r="BC135" s="49" t="n">
        <f aca="false">(BC63+BC70+BC100+BC104+BC105+BC83)*(BC$4&lt;=In_COD)</f>
        <v>0</v>
      </c>
      <c r="BD135" s="49" t="n">
        <f aca="false">(BD63+BD70+BD100+BD104+BD105+BD83)*(BD$4&lt;=In_COD)</f>
        <v>0</v>
      </c>
      <c r="BE135" s="49" t="n">
        <f aca="false">(BE63+BE70+BE100+BE104+BE105+BE83)*(BE$4&lt;=In_COD)</f>
        <v>0</v>
      </c>
      <c r="BF135" s="49" t="n">
        <f aca="false">(BF63+BF70+BF100+BF104+BF105+BF83)*(BF$4&lt;=In_COD)</f>
        <v>0</v>
      </c>
      <c r="BG135" s="49" t="n">
        <f aca="false">(BG63+BG70+BG100+BG104+BG105+BG83)*(BG$4&lt;=In_COD)</f>
        <v>0</v>
      </c>
      <c r="BH135" s="49" t="n">
        <f aca="false">(BH63+BH70+BH100+BH104+BH105+BH83)*(BH$4&lt;=In_COD)</f>
        <v>0</v>
      </c>
      <c r="BI135" s="49" t="n">
        <f aca="false">(BI63+BI70+BI100+BI104+BI105+BI83)*(BI$4&lt;=In_COD)</f>
        <v>0</v>
      </c>
      <c r="BJ135" s="49" t="n">
        <f aca="false">(BJ63+BJ70+BJ100+BJ104+BJ105+BJ83)*(BJ$4&lt;=In_COD)</f>
        <v>0</v>
      </c>
      <c r="BK135" s="49" t="n">
        <f aca="false">(BK63+BK70+BK100+BK104+BK105+BK83)*(BK$4&lt;=In_COD)</f>
        <v>0</v>
      </c>
      <c r="BL135" s="49" t="n">
        <f aca="false">(BL63+BL70+BL100+BL104+BL105+BL83)*(BL$4&lt;=In_COD)</f>
        <v>0</v>
      </c>
      <c r="BM135" s="49" t="n">
        <f aca="false">(BM63+BM70+BM100+BM104+BM105+BM83)*(BM$4&lt;=In_COD)</f>
        <v>0</v>
      </c>
      <c r="BN135" s="49" t="n">
        <f aca="false">(BN63+BN70+BN100+BN104+BN105+BN83)*(BN$4&lt;=In_COD)</f>
        <v>0</v>
      </c>
      <c r="BO135" s="49" t="n">
        <f aca="false">(BO63+BO70+BO100+BO104+BO105+BO83)*(BO$4&lt;=In_COD)</f>
        <v>0</v>
      </c>
      <c r="BP135" s="49" t="n">
        <f aca="false">(BP63+BP70+BP100+BP104+BP105+BP83)*(BP$4&lt;=In_COD)</f>
        <v>0</v>
      </c>
      <c r="BQ135" s="49" t="n">
        <f aca="false">(BQ63+BQ70+BQ100+BQ104+BQ105+BQ83)*(BQ$4&lt;=In_COD)</f>
        <v>0</v>
      </c>
      <c r="BR135" s="49" t="n">
        <f aca="false">(BR63+BR70+BR100+BR104+BR105+BR83)*(BR$4&lt;=In_COD)</f>
        <v>0</v>
      </c>
      <c r="BS135" s="49" t="n">
        <f aca="false">(BS63+BS70+BS100+BS104+BS105+BS83)*(BS$4&lt;=In_COD)</f>
        <v>0</v>
      </c>
      <c r="BT135" s="49" t="n">
        <f aca="false">(BT63+BT70+BT100+BT104+BT105+BT83)*(BT$4&lt;=In_COD)</f>
        <v>0</v>
      </c>
      <c r="BU135" s="49" t="n">
        <f aca="false">(BU63+BU70+BU100+BU104+BU105+BU83)*(BU$4&lt;=In_COD)</f>
        <v>0</v>
      </c>
      <c r="BV135" s="49" t="n">
        <f aca="false">(BV63+BV70+BV100+BV104+BV105+BV83)*(BV$4&lt;=In_COD)</f>
        <v>0</v>
      </c>
      <c r="BW135" s="49" t="n">
        <f aca="false">(BW63+BW70+BW100+BW104+BW105+BW83)*(BW$4&lt;=In_COD)</f>
        <v>0</v>
      </c>
      <c r="BX135" s="49" t="n">
        <f aca="false">(BX63+BX70+BX100+BX104+BX105+BX83)*(BX$4&lt;=In_COD)</f>
        <v>0</v>
      </c>
      <c r="BY135" s="49" t="n">
        <f aca="false">(BY63+BY70+BY100+BY104+BY105+BY83)*(BY$4&lt;=In_COD)</f>
        <v>0</v>
      </c>
      <c r="BZ135" s="49" t="n">
        <f aca="false">(BZ63+BZ70+BZ100+BZ104+BZ105+BZ83)*(BZ$4&lt;=In_COD)</f>
        <v>0</v>
      </c>
      <c r="CA135" s="49" t="n">
        <f aca="false">(CA63+CA70+CA100+CA104+CA105+CA83)*(CA$4&lt;=In_COD)</f>
        <v>0</v>
      </c>
      <c r="CB135" s="49" t="n">
        <f aca="false">(CB63+CB70+CB100+CB104+CB105+CB83)*(CB$4&lt;=In_COD)</f>
        <v>0</v>
      </c>
      <c r="CC135" s="49" t="n">
        <f aca="false">(CC63+CC70+CC100+CC104+CC105+CC83)*(CC$4&lt;=In_COD)</f>
        <v>0</v>
      </c>
      <c r="CD135" s="49" t="n">
        <f aca="false">(CD63+CD70+CD100+CD104+CD105+CD83)*(CD$4&lt;=In_COD)</f>
        <v>0</v>
      </c>
      <c r="CE135" s="49" t="n">
        <f aca="false">(CE63+CE70+CE100+CE104+CE105+CE83)*(CE$4&lt;=In_COD)</f>
        <v>0</v>
      </c>
      <c r="CF135" s="49" t="n">
        <f aca="false">(CF63+CF70+CF100+CF104+CF105+CF83)*(CF$4&lt;=In_COD)</f>
        <v>0</v>
      </c>
      <c r="CG135" s="49" t="n">
        <f aca="false">(CG63+CG70+CG100+CG104+CG105+CG83)*(CG$4&lt;=In_COD)</f>
        <v>0</v>
      </c>
      <c r="CH135" s="49" t="n">
        <f aca="false">(CH63+CH70+CH100+CH104+CH105+CH83)*(CH$4&lt;=In_COD)</f>
        <v>0</v>
      </c>
      <c r="CI135" s="49" t="n">
        <f aca="false">(CI63+CI70+CI100+CI104+CI105+CI83)*(CI$4&lt;=In_COD)</f>
        <v>0</v>
      </c>
      <c r="CJ135" s="49" t="n">
        <f aca="false">(CJ63+CJ70+CJ100+CJ104+CJ105+CJ83)*(CJ$4&lt;=In_COD)</f>
        <v>0</v>
      </c>
      <c r="CK135" s="49" t="n">
        <f aca="false">(CK63+CK70+CK100+CK104+CK105+CK83)*(CK$4&lt;=In_COD)</f>
        <v>0</v>
      </c>
      <c r="CL135" s="49" t="n">
        <f aca="false">(CL63+CL70+CL100+CL104+CL105+CL83)*(CL$4&lt;=In_COD)</f>
        <v>0</v>
      </c>
      <c r="CM135" s="49" t="n">
        <f aca="false">(CM63+CM70+CM100+CM104+CM105+CM83)*(CM$4&lt;=In_COD)</f>
        <v>0</v>
      </c>
      <c r="CN135" s="49" t="n">
        <f aca="false">(CN63+CN70+CN100+CN104+CN105+CN83)*(CN$4&lt;=In_COD)</f>
        <v>0</v>
      </c>
      <c r="CO135" s="49" t="n">
        <f aca="false">(CO63+CO70+CO100+CO104+CO105+CO83)*(CO$4&lt;=In_COD)</f>
        <v>0</v>
      </c>
      <c r="CP135" s="49" t="n">
        <f aca="false">(CP63+CP70+CP100+CP104+CP105+CP83)*(CP$4&lt;=In_COD)</f>
        <v>0</v>
      </c>
      <c r="CQ135" s="49" t="n">
        <f aca="false">(CQ63+CQ70+CQ100+CQ104+CQ105+CQ83)*(CQ$4&lt;=In_COD)</f>
        <v>0</v>
      </c>
      <c r="CR135" s="49" t="n">
        <f aca="false">(CR63+CR70+CR100+CR104+CR105+CR83)*(CR$4&lt;=In_COD)</f>
        <v>0</v>
      </c>
      <c r="CS135" s="49" t="n">
        <f aca="false">(CS63+CS70+CS100+CS104+CS105+CS83)*(CS$4&lt;=In_COD)</f>
        <v>0</v>
      </c>
      <c r="CT135" s="49" t="n">
        <f aca="false">(CT63+CT70+CT100+CT104+CT105+CT83)*(CT$4&lt;=In_COD)</f>
        <v>0</v>
      </c>
      <c r="CU135" s="49" t="n">
        <f aca="false">(CU63+CU70+CU100+CU104+CU105+CU83)*(CU$4&lt;=In_COD)</f>
        <v>0</v>
      </c>
      <c r="CV135" s="49" t="n">
        <f aca="false">(CV63+CV70+CV100+CV104+CV105+CV83)*(CV$4&lt;=In_COD)</f>
        <v>0</v>
      </c>
      <c r="CW135" s="49" t="n">
        <f aca="false">(CW63+CW70+CW100+CW104+CW105+CW83)*(CW$4&lt;=In_COD)</f>
        <v>0</v>
      </c>
      <c r="CX135" s="49" t="n">
        <f aca="false">(CX63+CX70+CX100+CX104+CX105+CX83)*(CX$4&lt;=In_COD)</f>
        <v>0</v>
      </c>
      <c r="CY135" s="49" t="n">
        <f aca="false">(CY63+CY70+CY100+CY104+CY105+CY83)*(CY$4&lt;=In_COD)</f>
        <v>0</v>
      </c>
      <c r="CZ135" s="49" t="n">
        <f aca="false">(CZ63+CZ70+CZ100+CZ104+CZ105+CZ83)*(CZ$4&lt;=In_COD)</f>
        <v>0</v>
      </c>
      <c r="DA135" s="49" t="n">
        <f aca="false">(DA63+DA70+DA100+DA104+DA105+DA83)*(DA$4&lt;=In_COD)</f>
        <v>0</v>
      </c>
      <c r="DB135" s="49" t="n">
        <f aca="false">(DB63+DB70+DB100+DB104+DB105+DB83)*(DB$4&lt;=In_COD)</f>
        <v>0</v>
      </c>
      <c r="DC135" s="49" t="n">
        <f aca="false">(DC63+DC70+DC100+DC104+DC105+DC83)*(DC$4&lt;=In_COD)</f>
        <v>0</v>
      </c>
      <c r="DD135" s="49" t="n">
        <f aca="false">(DD63+DD70+DD100+DD104+DD105+DD83)*(DD$4&lt;=In_COD)</f>
        <v>0</v>
      </c>
      <c r="DE135" s="49" t="n">
        <f aca="false">(DE63+DE70+DE100+DE104+DE105+DE83)*(DE$4&lt;=In_COD)</f>
        <v>0</v>
      </c>
      <c r="DF135" s="49" t="n">
        <f aca="false">(DF63+DF70+DF100+DF104+DF105+DF83)*(DF$4&lt;=In_COD)</f>
        <v>0</v>
      </c>
      <c r="DG135" s="49" t="n">
        <f aca="false">(DG63+DG70+DG100+DG104+DG105+DG83)*(DG$4&lt;=In_COD)</f>
        <v>0</v>
      </c>
      <c r="DH135" s="49" t="n">
        <f aca="false">(DH63+DH70+DH100+DH104+DH105+DH83)*(DH$4&lt;=In_COD)</f>
        <v>0</v>
      </c>
      <c r="DI135" s="49" t="n">
        <f aca="false">(DI63+DI70+DI100+DI104+DI105+DI83)*(DI$4&lt;=In_COD)</f>
        <v>0</v>
      </c>
      <c r="DJ135" s="49" t="n">
        <f aca="false">(DJ63+DJ70+DJ100+DJ104+DJ105+DJ83)*(DJ$4&lt;=In_COD)</f>
        <v>0</v>
      </c>
      <c r="DK135" s="49" t="n">
        <f aca="false">(DK63+DK70+DK100+DK104+DK105+DK83)*(DK$4&lt;=In_COD)</f>
        <v>0</v>
      </c>
      <c r="DL135" s="49" t="n">
        <f aca="false">(DL63+DL70+DL100+DL104+DL105+DL83)*(DL$4&lt;=In_COD)</f>
        <v>0</v>
      </c>
      <c r="DM135" s="49" t="n">
        <f aca="false">(DM63+DM70+DM100+DM104+DM105+DM83)*(DM$4&lt;=In_COD)</f>
        <v>0</v>
      </c>
      <c r="DN135" s="49" t="n">
        <f aca="false">(DN63+DN70+DN100+DN104+DN105+DN83)*(DN$4&lt;=In_COD)</f>
        <v>0</v>
      </c>
      <c r="DO135" s="49" t="n">
        <f aca="false">(DO63+DO70+DO100+DO104+DO105+DO83)*(DO$4&lt;=In_COD)</f>
        <v>0</v>
      </c>
      <c r="DP135" s="49" t="n">
        <f aca="false">(DP63+DP70+DP100+DP104+DP105+DP83)*(DP$4&lt;=In_COD)</f>
        <v>0</v>
      </c>
      <c r="DQ135" s="49" t="n">
        <f aca="false">(DQ63+DQ70+DQ100+DQ104+DQ105+DQ83)*(DQ$4&lt;=In_COD)</f>
        <v>0</v>
      </c>
      <c r="DR135" s="49" t="n">
        <f aca="false">(DR63+DR70+DR100+DR104+DR105+DR83)*(DR$4&lt;=In_COD)</f>
        <v>0</v>
      </c>
      <c r="DS135" s="49" t="n">
        <f aca="false">(DS63+DS70+DS100+DS104+DS105+DS83)*(DS$4&lt;=In_COD)</f>
        <v>0</v>
      </c>
      <c r="DT135" s="49" t="n">
        <f aca="false">(DT63+DT70+DT100+DT104+DT105+DT83)*(DT$4&lt;=In_COD)</f>
        <v>0</v>
      </c>
      <c r="DU135" s="49" t="n">
        <f aca="false">(DU63+DU70+DU100+DU104+DU105+DU83)*(DU$4&lt;=In_COD)</f>
        <v>0</v>
      </c>
      <c r="DV135" s="49" t="n">
        <f aca="false">(DV63+DV70+DV100+DV104+DV105+DV83)*(DV$4&lt;=In_COD)</f>
        <v>0</v>
      </c>
      <c r="DW135" s="49" t="n">
        <f aca="false">(DW63+DW70+DW100+DW104+DW105+DW83)*(DW$4&lt;=In_COD)</f>
        <v>0</v>
      </c>
      <c r="DX135" s="49" t="n">
        <f aca="false">(DX63+DX70+DX100+DX104+DX105+DX83)*(DX$4&lt;=In_COD)</f>
        <v>0</v>
      </c>
      <c r="DY135" s="49" t="n">
        <f aca="false">(DY63+DY70+DY100+DY104+DY105+DY83)*(DY$4&lt;=In_COD)</f>
        <v>0</v>
      </c>
      <c r="DZ135" s="49" t="n">
        <f aca="false">(DZ63+DZ70+DZ100+DZ104+DZ105+DZ83)*(DZ$4&lt;=In_COD)</f>
        <v>0</v>
      </c>
      <c r="EA135" s="49" t="n">
        <f aca="false">(EA63+EA70+EA100+EA104+EA105+EA83)*(EA$4&lt;=In_COD)</f>
        <v>0</v>
      </c>
      <c r="EB135" s="49" t="n">
        <f aca="false">(EB63+EB70+EB100+EB104+EB105+EB83)*(EB$4&lt;=In_COD)</f>
        <v>0</v>
      </c>
      <c r="EC135" s="49" t="n">
        <f aca="false">(EC63+EC70+EC100+EC104+EC105+EC83)*(EC$4&lt;=In_COD)</f>
        <v>0</v>
      </c>
      <c r="ED135" s="49" t="n">
        <f aca="false">(ED63+ED70+ED100+ED104+ED105+ED83)*(ED$4&lt;=In_COD)</f>
        <v>0</v>
      </c>
      <c r="EE135" s="49" t="n">
        <f aca="false">(EE63+EE70+EE100+EE104+EE105+EE83)*(EE$4&lt;=In_COD)</f>
        <v>0</v>
      </c>
      <c r="EF135" s="49" t="n">
        <f aca="false">(EF63+EF70+EF100+EF104+EF105+EF83)*(EF$4&lt;=In_COD)</f>
        <v>0</v>
      </c>
      <c r="EG135" s="49" t="n">
        <f aca="false">(EG63+EG70+EG100+EG104+EG105+EG83)*(EG$4&lt;=In_COD)</f>
        <v>0</v>
      </c>
      <c r="EH135" s="49" t="n">
        <f aca="false">(EH63+EH70+EH100+EH104+EH105+EH83)*(EH$4&lt;=In_COD)</f>
        <v>0</v>
      </c>
      <c r="EI135" s="49" t="n">
        <f aca="false">(EI63+EI70+EI100+EI104+EI105+EI83)*(EI$4&lt;=In_COD)</f>
        <v>0</v>
      </c>
      <c r="EJ135" s="49" t="n">
        <f aca="false">(EJ63+EJ70+EJ100+EJ104+EJ105+EJ83)*(EJ$4&lt;=In_COD)</f>
        <v>0</v>
      </c>
      <c r="EK135" s="49" t="n">
        <f aca="false">(EK63+EK70+EK100+EK104+EK105+EK83)*(EK$4&lt;=In_COD)</f>
        <v>0</v>
      </c>
      <c r="EL135" s="49" t="n">
        <f aca="false">(EL63+EL70+EL100+EL104+EL105+EL83)*(EL$4&lt;=In_COD)</f>
        <v>0</v>
      </c>
      <c r="EM135" s="49" t="n">
        <f aca="false">(EM63+EM70+EM100+EM104+EM105+EM83)*(EM$4&lt;=In_COD)</f>
        <v>0</v>
      </c>
      <c r="EN135" s="49" t="n">
        <f aca="false">(EN63+EN70+EN100+EN104+EN105+EN83)*(EN$4&lt;=In_COD)</f>
        <v>0</v>
      </c>
      <c r="EO135" s="49" t="n">
        <f aca="false">(EO63+EO70+EO100+EO104+EO105+EO83)*(EO$4&lt;=In_COD)</f>
        <v>0</v>
      </c>
    </row>
    <row r="136" customFormat="false" ht="15" hidden="false" customHeight="false" outlineLevel="0" collapsed="false">
      <c r="C136" s="1" t="s">
        <v>521</v>
      </c>
      <c r="D136" s="12" t="s">
        <v>33</v>
      </c>
      <c r="E136" s="49" t="n">
        <f aca="false">IF($E44=1,In_COD_Price,In_COD_Price_CN)*$F25*(1-$E29)</f>
        <v>134137.5</v>
      </c>
    </row>
    <row r="137" customFormat="false" ht="15" hidden="false" customHeight="false" outlineLevel="0" collapsed="false">
      <c r="C137" s="1" t="s">
        <v>522</v>
      </c>
      <c r="D137" s="12" t="s">
        <v>33</v>
      </c>
      <c r="E137" s="49" t="n">
        <f aca="false">$E136+$I62-$E103-In_Sale_Costs</f>
        <v>74582.0023486781</v>
      </c>
    </row>
    <row r="138" customFormat="false" ht="15" hidden="false" customHeight="false" outlineLevel="0" collapsed="false">
      <c r="C138" s="1" t="s">
        <v>128</v>
      </c>
      <c r="D138" s="12" t="s">
        <v>33</v>
      </c>
      <c r="E138" s="49" t="n">
        <f aca="false">-In_CIT*In_Sale_Gain_Taxed*MAX(0,$E137+$I135)</f>
        <v>-0</v>
      </c>
    </row>
    <row r="139" customFormat="false" ht="15" hidden="false" customHeight="false" outlineLevel="0" collapsed="false">
      <c r="C139" s="26" t="s">
        <v>523</v>
      </c>
      <c r="D139" s="12" t="s">
        <v>33</v>
      </c>
      <c r="I139" s="58" t="n">
        <f aca="false">SUM(J139:EO139)</f>
        <v>20208.0757486889</v>
      </c>
      <c r="J139" s="58" t="n">
        <f aca="false">J135+($E137+$E138)*J14</f>
        <v>-4662.80993807469</v>
      </c>
      <c r="K139" s="58" t="n">
        <f aca="false">K135+($E137+$E138)*K14</f>
        <v>-706.535577057768</v>
      </c>
      <c r="L139" s="58" t="n">
        <f aca="false">L135+($E137+$E138)*L14</f>
        <v>-104.360496659404</v>
      </c>
      <c r="M139" s="58" t="n">
        <f aca="false">M135+($E137+$E138)*M14</f>
        <v>-105.507315304013</v>
      </c>
      <c r="N139" s="58" t="n">
        <f aca="false">N135+($E137+$E138)*N14</f>
        <v>-105.507315304013</v>
      </c>
      <c r="O139" s="58" t="n">
        <f aca="false">O135+($E137+$E138)*O14</f>
        <v>-104.360496659404</v>
      </c>
      <c r="P139" s="58" t="n">
        <f aca="false">P135+($E137+$E138)*P14</f>
        <v>-104.360496659404</v>
      </c>
      <c r="Q139" s="58" t="n">
        <f aca="false">Q135+($E137+$E138)*Q14</f>
        <v>-105.507315304013</v>
      </c>
      <c r="R139" s="58" t="n">
        <f aca="false">R135+($E137+$E138)*R14</f>
        <v>-6452.06801054133</v>
      </c>
      <c r="S139" s="58" t="n">
        <f aca="false">S135+($E137+$E138)*S14</f>
        <v>-8957.34206285879</v>
      </c>
      <c r="T139" s="58" t="n">
        <f aca="false">T135+($E137+$E138)*T14</f>
        <v>-5322.36727647646</v>
      </c>
      <c r="U139" s="58" t="n">
        <f aca="false">U135+($E137+$E138)*U14</f>
        <v>-5366.55155799786</v>
      </c>
      <c r="V139" s="58" t="n">
        <f aca="false">V135+($E137+$E138)*V14</f>
        <v>-5352.09110822868</v>
      </c>
      <c r="W139" s="58" t="n">
        <f aca="false">W135+($E137+$E138)*W14</f>
        <v>-5222.63714053528</v>
      </c>
      <c r="X139" s="58" t="n">
        <f aca="false">X135+($E137+$E138)*X14</f>
        <v>-5266.67411180264</v>
      </c>
      <c r="Y139" s="58" t="n">
        <f aca="false">Y135+($E137+$E138)*Y14</f>
        <v>68146.7559681527</v>
      </c>
      <c r="Z139" s="58" t="n">
        <f aca="false">Z135+($E137+$E138)*Z14</f>
        <v>0</v>
      </c>
      <c r="AA139" s="58" t="n">
        <f aca="false">AA135+($E137+$E138)*AA14</f>
        <v>0</v>
      </c>
      <c r="AB139" s="58" t="n">
        <f aca="false">AB135+($E137+$E138)*AB14</f>
        <v>0</v>
      </c>
      <c r="AC139" s="58" t="n">
        <f aca="false">AC135+($E137+$E138)*AC14</f>
        <v>0</v>
      </c>
      <c r="AD139" s="58" t="n">
        <f aca="false">AD135+($E137+$E138)*AD14</f>
        <v>0</v>
      </c>
      <c r="AE139" s="58" t="n">
        <f aca="false">AE135+($E137+$E138)*AE14</f>
        <v>0</v>
      </c>
      <c r="AF139" s="58" t="n">
        <f aca="false">AF135+($E137+$E138)*AF14</f>
        <v>0</v>
      </c>
      <c r="AG139" s="58" t="n">
        <f aca="false">AG135+($E137+$E138)*AG14</f>
        <v>0</v>
      </c>
      <c r="AH139" s="58" t="n">
        <f aca="false">AH135+($E137+$E138)*AH14</f>
        <v>0</v>
      </c>
      <c r="AI139" s="58" t="n">
        <f aca="false">AI135+($E137+$E138)*AI14</f>
        <v>0</v>
      </c>
      <c r="AJ139" s="58" t="n">
        <f aca="false">AJ135+($E137+$E138)*AJ14</f>
        <v>0</v>
      </c>
      <c r="AK139" s="58" t="n">
        <f aca="false">AK135+($E137+$E138)*AK14</f>
        <v>0</v>
      </c>
      <c r="AL139" s="58" t="n">
        <f aca="false">AL135+($E137+$E138)*AL14</f>
        <v>0</v>
      </c>
      <c r="AM139" s="58" t="n">
        <f aca="false">AM135+($E137+$E138)*AM14</f>
        <v>0</v>
      </c>
      <c r="AN139" s="58" t="n">
        <f aca="false">AN135+($E137+$E138)*AN14</f>
        <v>0</v>
      </c>
      <c r="AO139" s="58" t="n">
        <f aca="false">AO135+($E137+$E138)*AO14</f>
        <v>0</v>
      </c>
      <c r="AP139" s="58" t="n">
        <f aca="false">AP135+($E137+$E138)*AP14</f>
        <v>0</v>
      </c>
      <c r="AQ139" s="58" t="n">
        <f aca="false">AQ135+($E137+$E138)*AQ14</f>
        <v>0</v>
      </c>
      <c r="AR139" s="58" t="n">
        <f aca="false">AR135+($E137+$E138)*AR14</f>
        <v>0</v>
      </c>
      <c r="AS139" s="58" t="n">
        <f aca="false">AS135+($E137+$E138)*AS14</f>
        <v>0</v>
      </c>
      <c r="AT139" s="58" t="n">
        <f aca="false">AT135+($E137+$E138)*AT14</f>
        <v>0</v>
      </c>
      <c r="AU139" s="58" t="n">
        <f aca="false">AU135+($E137+$E138)*AU14</f>
        <v>0</v>
      </c>
      <c r="AV139" s="58" t="n">
        <f aca="false">AV135+($E137+$E138)*AV14</f>
        <v>0</v>
      </c>
      <c r="AW139" s="58" t="n">
        <f aca="false">AW135+($E137+$E138)*AW14</f>
        <v>0</v>
      </c>
      <c r="AX139" s="58" t="n">
        <f aca="false">AX135+($E137+$E138)*AX14</f>
        <v>0</v>
      </c>
      <c r="AY139" s="58" t="n">
        <f aca="false">AY135+($E137+$E138)*AY14</f>
        <v>0</v>
      </c>
      <c r="AZ139" s="58" t="n">
        <f aca="false">AZ135+($E137+$E138)*AZ14</f>
        <v>0</v>
      </c>
      <c r="BA139" s="58" t="n">
        <f aca="false">BA135+($E137+$E138)*BA14</f>
        <v>0</v>
      </c>
      <c r="BB139" s="58" t="n">
        <f aca="false">BB135+($E137+$E138)*BB14</f>
        <v>0</v>
      </c>
      <c r="BC139" s="58" t="n">
        <f aca="false">BC135+($E137+$E138)*BC14</f>
        <v>0</v>
      </c>
      <c r="BD139" s="58" t="n">
        <f aca="false">BD135+($E137+$E138)*BD14</f>
        <v>0</v>
      </c>
      <c r="BE139" s="58" t="n">
        <f aca="false">BE135+($E137+$E138)*BE14</f>
        <v>0</v>
      </c>
      <c r="BF139" s="58" t="n">
        <f aca="false">BF135+($E137+$E138)*BF14</f>
        <v>0</v>
      </c>
      <c r="BG139" s="58" t="n">
        <f aca="false">BG135+($E137+$E138)*BG14</f>
        <v>0</v>
      </c>
      <c r="BH139" s="58" t="n">
        <f aca="false">BH135+($E137+$E138)*BH14</f>
        <v>0</v>
      </c>
      <c r="BI139" s="58" t="n">
        <f aca="false">BI135+($E137+$E138)*BI14</f>
        <v>0</v>
      </c>
      <c r="BJ139" s="58" t="n">
        <f aca="false">BJ135+($E137+$E138)*BJ14</f>
        <v>0</v>
      </c>
      <c r="BK139" s="58" t="n">
        <f aca="false">BK135+($E137+$E138)*BK14</f>
        <v>0</v>
      </c>
      <c r="BL139" s="58" t="n">
        <f aca="false">BL135+($E137+$E138)*BL14</f>
        <v>0</v>
      </c>
      <c r="BM139" s="58" t="n">
        <f aca="false">BM135+($E137+$E138)*BM14</f>
        <v>0</v>
      </c>
      <c r="BN139" s="58" t="n">
        <f aca="false">BN135+($E137+$E138)*BN14</f>
        <v>0</v>
      </c>
      <c r="BO139" s="58" t="n">
        <f aca="false">BO135+($E137+$E138)*BO14</f>
        <v>0</v>
      </c>
      <c r="BP139" s="58" t="n">
        <f aca="false">BP135+($E137+$E138)*BP14</f>
        <v>0</v>
      </c>
      <c r="BQ139" s="58" t="n">
        <f aca="false">BQ135+($E137+$E138)*BQ14</f>
        <v>0</v>
      </c>
      <c r="BR139" s="58" t="n">
        <f aca="false">BR135+($E137+$E138)*BR14</f>
        <v>0</v>
      </c>
      <c r="BS139" s="58" t="n">
        <f aca="false">BS135+($E137+$E138)*BS14</f>
        <v>0</v>
      </c>
      <c r="BT139" s="58" t="n">
        <f aca="false">BT135+($E137+$E138)*BT14</f>
        <v>0</v>
      </c>
      <c r="BU139" s="58" t="n">
        <f aca="false">BU135+($E137+$E138)*BU14</f>
        <v>0</v>
      </c>
      <c r="BV139" s="58" t="n">
        <f aca="false">BV135+($E137+$E138)*BV14</f>
        <v>0</v>
      </c>
      <c r="BW139" s="58" t="n">
        <f aca="false">BW135+($E137+$E138)*BW14</f>
        <v>0</v>
      </c>
      <c r="BX139" s="58" t="n">
        <f aca="false">BX135+($E137+$E138)*BX14</f>
        <v>0</v>
      </c>
      <c r="BY139" s="58" t="n">
        <f aca="false">BY135+($E137+$E138)*BY14</f>
        <v>0</v>
      </c>
      <c r="BZ139" s="58" t="n">
        <f aca="false">BZ135+($E137+$E138)*BZ14</f>
        <v>0</v>
      </c>
      <c r="CA139" s="58" t="n">
        <f aca="false">CA135+($E137+$E138)*CA14</f>
        <v>0</v>
      </c>
      <c r="CB139" s="58" t="n">
        <f aca="false">CB135+($E137+$E138)*CB14</f>
        <v>0</v>
      </c>
      <c r="CC139" s="58" t="n">
        <f aca="false">CC135+($E137+$E138)*CC14</f>
        <v>0</v>
      </c>
      <c r="CD139" s="58" t="n">
        <f aca="false">CD135+($E137+$E138)*CD14</f>
        <v>0</v>
      </c>
      <c r="CE139" s="58" t="n">
        <f aca="false">CE135+($E137+$E138)*CE14</f>
        <v>0</v>
      </c>
      <c r="CF139" s="58" t="n">
        <f aca="false">CF135+($E137+$E138)*CF14</f>
        <v>0</v>
      </c>
      <c r="CG139" s="58" t="n">
        <f aca="false">CG135+($E137+$E138)*CG14</f>
        <v>0</v>
      </c>
      <c r="CH139" s="58" t="n">
        <f aca="false">CH135+($E137+$E138)*CH14</f>
        <v>0</v>
      </c>
      <c r="CI139" s="58" t="n">
        <f aca="false">CI135+($E137+$E138)*CI14</f>
        <v>0</v>
      </c>
      <c r="CJ139" s="58" t="n">
        <f aca="false">CJ135+($E137+$E138)*CJ14</f>
        <v>0</v>
      </c>
      <c r="CK139" s="58" t="n">
        <f aca="false">CK135+($E137+$E138)*CK14</f>
        <v>0</v>
      </c>
      <c r="CL139" s="58" t="n">
        <f aca="false">CL135+($E137+$E138)*CL14</f>
        <v>0</v>
      </c>
      <c r="CM139" s="58" t="n">
        <f aca="false">CM135+($E137+$E138)*CM14</f>
        <v>0</v>
      </c>
      <c r="CN139" s="58" t="n">
        <f aca="false">CN135+($E137+$E138)*CN14</f>
        <v>0</v>
      </c>
      <c r="CO139" s="58" t="n">
        <f aca="false">CO135+($E137+$E138)*CO14</f>
        <v>0</v>
      </c>
      <c r="CP139" s="58" t="n">
        <f aca="false">CP135+($E137+$E138)*CP14</f>
        <v>0</v>
      </c>
      <c r="CQ139" s="58" t="n">
        <f aca="false">CQ135+($E137+$E138)*CQ14</f>
        <v>0</v>
      </c>
      <c r="CR139" s="58" t="n">
        <f aca="false">CR135+($E137+$E138)*CR14</f>
        <v>0</v>
      </c>
      <c r="CS139" s="58" t="n">
        <f aca="false">CS135+($E137+$E138)*CS14</f>
        <v>0</v>
      </c>
      <c r="CT139" s="58" t="n">
        <f aca="false">CT135+($E137+$E138)*CT14</f>
        <v>0</v>
      </c>
      <c r="CU139" s="58" t="n">
        <f aca="false">CU135+($E137+$E138)*CU14</f>
        <v>0</v>
      </c>
      <c r="CV139" s="58" t="n">
        <f aca="false">CV135+($E137+$E138)*CV14</f>
        <v>0</v>
      </c>
      <c r="CW139" s="58" t="n">
        <f aca="false">CW135+($E137+$E138)*CW14</f>
        <v>0</v>
      </c>
      <c r="CX139" s="58" t="n">
        <f aca="false">CX135+($E137+$E138)*CX14</f>
        <v>0</v>
      </c>
      <c r="CY139" s="58" t="n">
        <f aca="false">CY135+($E137+$E138)*CY14</f>
        <v>0</v>
      </c>
      <c r="CZ139" s="58" t="n">
        <f aca="false">CZ135+($E137+$E138)*CZ14</f>
        <v>0</v>
      </c>
      <c r="DA139" s="58" t="n">
        <f aca="false">DA135+($E137+$E138)*DA14</f>
        <v>0</v>
      </c>
      <c r="DB139" s="58" t="n">
        <f aca="false">DB135+($E137+$E138)*DB14</f>
        <v>0</v>
      </c>
      <c r="DC139" s="58" t="n">
        <f aca="false">DC135+($E137+$E138)*DC14</f>
        <v>0</v>
      </c>
      <c r="DD139" s="58" t="n">
        <f aca="false">DD135+($E137+$E138)*DD14</f>
        <v>0</v>
      </c>
      <c r="DE139" s="58" t="n">
        <f aca="false">DE135+($E137+$E138)*DE14</f>
        <v>0</v>
      </c>
      <c r="DF139" s="58" t="n">
        <f aca="false">DF135+($E137+$E138)*DF14</f>
        <v>0</v>
      </c>
      <c r="DG139" s="58" t="n">
        <f aca="false">DG135+($E137+$E138)*DG14</f>
        <v>0</v>
      </c>
      <c r="DH139" s="58" t="n">
        <f aca="false">DH135+($E137+$E138)*DH14</f>
        <v>0</v>
      </c>
      <c r="DI139" s="58" t="n">
        <f aca="false">DI135+($E137+$E138)*DI14</f>
        <v>0</v>
      </c>
      <c r="DJ139" s="58" t="n">
        <f aca="false">DJ135+($E137+$E138)*DJ14</f>
        <v>0</v>
      </c>
      <c r="DK139" s="58" t="n">
        <f aca="false">DK135+($E137+$E138)*DK14</f>
        <v>0</v>
      </c>
      <c r="DL139" s="58" t="n">
        <f aca="false">DL135+($E137+$E138)*DL14</f>
        <v>0</v>
      </c>
      <c r="DM139" s="58" t="n">
        <f aca="false">DM135+($E137+$E138)*DM14</f>
        <v>0</v>
      </c>
      <c r="DN139" s="58" t="n">
        <f aca="false">DN135+($E137+$E138)*DN14</f>
        <v>0</v>
      </c>
      <c r="DO139" s="58" t="n">
        <f aca="false">DO135+($E137+$E138)*DO14</f>
        <v>0</v>
      </c>
      <c r="DP139" s="58" t="n">
        <f aca="false">DP135+($E137+$E138)*DP14</f>
        <v>0</v>
      </c>
      <c r="DQ139" s="58" t="n">
        <f aca="false">DQ135+($E137+$E138)*DQ14</f>
        <v>0</v>
      </c>
      <c r="DR139" s="58" t="n">
        <f aca="false">DR135+($E137+$E138)*DR14</f>
        <v>0</v>
      </c>
      <c r="DS139" s="58" t="n">
        <f aca="false">DS135+($E137+$E138)*DS14</f>
        <v>0</v>
      </c>
      <c r="DT139" s="58" t="n">
        <f aca="false">DT135+($E137+$E138)*DT14</f>
        <v>0</v>
      </c>
      <c r="DU139" s="58" t="n">
        <f aca="false">DU135+($E137+$E138)*DU14</f>
        <v>0</v>
      </c>
      <c r="DV139" s="58" t="n">
        <f aca="false">DV135+($E137+$E138)*DV14</f>
        <v>0</v>
      </c>
      <c r="DW139" s="58" t="n">
        <f aca="false">DW135+($E137+$E138)*DW14</f>
        <v>0</v>
      </c>
      <c r="DX139" s="58" t="n">
        <f aca="false">DX135+($E137+$E138)*DX14</f>
        <v>0</v>
      </c>
      <c r="DY139" s="58" t="n">
        <f aca="false">DY135+($E137+$E138)*DY14</f>
        <v>0</v>
      </c>
      <c r="DZ139" s="58" t="n">
        <f aca="false">DZ135+($E137+$E138)*DZ14</f>
        <v>0</v>
      </c>
      <c r="EA139" s="58" t="n">
        <f aca="false">EA135+($E137+$E138)*EA14</f>
        <v>0</v>
      </c>
      <c r="EB139" s="58" t="n">
        <f aca="false">EB135+($E137+$E138)*EB14</f>
        <v>0</v>
      </c>
      <c r="EC139" s="58" t="n">
        <f aca="false">EC135+($E137+$E138)*EC14</f>
        <v>0</v>
      </c>
      <c r="ED139" s="58" t="n">
        <f aca="false">ED135+($E137+$E138)*ED14</f>
        <v>0</v>
      </c>
      <c r="EE139" s="58" t="n">
        <f aca="false">EE135+($E137+$E138)*EE14</f>
        <v>0</v>
      </c>
      <c r="EF139" s="58" t="n">
        <f aca="false">EF135+($E137+$E138)*EF14</f>
        <v>0</v>
      </c>
      <c r="EG139" s="58" t="n">
        <f aca="false">EG135+($E137+$E138)*EG14</f>
        <v>0</v>
      </c>
      <c r="EH139" s="58" t="n">
        <f aca="false">EH135+($E137+$E138)*EH14</f>
        <v>0</v>
      </c>
      <c r="EI139" s="58" t="n">
        <f aca="false">EI135+($E137+$E138)*EI14</f>
        <v>0</v>
      </c>
      <c r="EJ139" s="58" t="n">
        <f aca="false">EJ135+($E137+$E138)*EJ14</f>
        <v>0</v>
      </c>
      <c r="EK139" s="58" t="n">
        <f aca="false">EK135+($E137+$E138)*EK14</f>
        <v>0</v>
      </c>
      <c r="EL139" s="58" t="n">
        <f aca="false">EL135+($E137+$E138)*EL14</f>
        <v>0</v>
      </c>
      <c r="EM139" s="58" t="n">
        <f aca="false">EM135+($E137+$E138)*EM14</f>
        <v>0</v>
      </c>
      <c r="EN139" s="58" t="n">
        <f aca="false">EN135+($E137+$E138)*EN14</f>
        <v>0</v>
      </c>
      <c r="EO139" s="58" t="n">
        <f aca="false">EO135+($E137+$E138)*EO14</f>
        <v>0</v>
      </c>
    </row>
    <row r="140" customFormat="false" ht="15" hidden="false" customHeight="false" outlineLevel="0" collapsed="false">
      <c r="C140" s="26" t="s">
        <v>87</v>
      </c>
      <c r="D140" s="12" t="s">
        <v>27</v>
      </c>
      <c r="E140" s="34" t="n">
        <f aca="false">XIRR($J139:$EO139,$J$4:$EO$4)</f>
        <v>0.2632612602034</v>
      </c>
    </row>
    <row r="141" customFormat="false" ht="15" hidden="false" customHeight="false" outlineLevel="0" collapsed="false">
      <c r="C141" s="26" t="s">
        <v>88</v>
      </c>
      <c r="D141" s="12" t="s">
        <v>13</v>
      </c>
      <c r="E141" s="61" t="n">
        <f aca="false">($E137+$E138)/-$I135</f>
        <v>1.37165010901922</v>
      </c>
    </row>
    <row r="142" customFormat="false" ht="15" hidden="false" customHeight="false" outlineLevel="0" collapsed="false">
      <c r="C142" s="26" t="s">
        <v>89</v>
      </c>
      <c r="D142" s="12" t="s">
        <v>33</v>
      </c>
      <c r="E142" s="58" t="n">
        <f aca="false">XNPV(In_Discount_Rate,$J139:$EO139,$J$4:$EO$4)</f>
        <v>10990.2192290749</v>
      </c>
    </row>
    <row r="143" customFormat="false" ht="15" hidden="false" customHeight="false" outlineLevel="0" collapsed="false">
      <c r="A143" s="62"/>
      <c r="B143" s="62"/>
      <c r="C143" s="62" t="s">
        <v>524</v>
      </c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</row>
    <row r="144" customFormat="false" ht="15" hidden="false" customHeight="false" outlineLevel="0" collapsed="false">
      <c r="C144" s="1" t="s">
        <v>525</v>
      </c>
      <c r="D144" s="12" t="s">
        <v>33</v>
      </c>
      <c r="I144" s="49" t="n">
        <f aca="false">SUM(J144:EO144)</f>
        <v>137634.203125897</v>
      </c>
      <c r="J144" s="49" t="n">
        <f aca="false">(J83+J59+J62+J117)*(J$4&gt;In_COD)-($E136+$I62)*J14</f>
        <v>-0</v>
      </c>
      <c r="K144" s="49" t="n">
        <f aca="false">(K83+K59+K62+K117)*(K$4&gt;In_COD)-($E136+$I62)*K14</f>
        <v>-0</v>
      </c>
      <c r="L144" s="49" t="n">
        <f aca="false">(L83+L59+L62+L117)*(L$4&gt;In_COD)-($E136+$I62)*L14</f>
        <v>-0</v>
      </c>
      <c r="M144" s="49" t="n">
        <f aca="false">(M83+M59+M62+M117)*(M$4&gt;In_COD)-($E136+$I62)*M14</f>
        <v>-0</v>
      </c>
      <c r="N144" s="49" t="n">
        <f aca="false">(N83+N59+N62+N117)*(N$4&gt;In_COD)-($E136+$I62)*N14</f>
        <v>-0</v>
      </c>
      <c r="O144" s="49" t="n">
        <f aca="false">(O83+O59+O62+O117)*(O$4&gt;In_COD)-($E136+$I62)*O14</f>
        <v>-0</v>
      </c>
      <c r="P144" s="49" t="n">
        <f aca="false">(P83+P59+P62+P117)*(P$4&gt;In_COD)-($E136+$I62)*P14</f>
        <v>-0</v>
      </c>
      <c r="Q144" s="49" t="n">
        <f aca="false">(Q83+Q59+Q62+Q117)*(Q$4&gt;In_COD)-($E136+$I62)*Q14</f>
        <v>-0</v>
      </c>
      <c r="R144" s="49" t="n">
        <f aca="false">(R83+R59+R62+R117)*(R$4&gt;In_COD)-($E136+$I62)*R14</f>
        <v>-0</v>
      </c>
      <c r="S144" s="49" t="n">
        <f aca="false">(S83+S59+S62+S117)*(S$4&gt;In_COD)-($E136+$I62)*S14</f>
        <v>-0</v>
      </c>
      <c r="T144" s="49" t="n">
        <f aca="false">(T83+T59+T62+T117)*(T$4&gt;In_COD)-($E136+$I62)*T14</f>
        <v>-0</v>
      </c>
      <c r="U144" s="49" t="n">
        <f aca="false">(U83+U59+U62+U117)*(U$4&gt;In_COD)-($E136+$I62)*U14</f>
        <v>-0</v>
      </c>
      <c r="V144" s="49" t="n">
        <f aca="false">(V83+V59+V62+V117)*(V$4&gt;In_COD)-($E136+$I62)*V14</f>
        <v>-0</v>
      </c>
      <c r="W144" s="49" t="n">
        <f aca="false">(W83+W59+W62+W117)*(W$4&gt;In_COD)-($E136+$I62)*W14</f>
        <v>-0</v>
      </c>
      <c r="X144" s="49" t="n">
        <f aca="false">(X83+X59+X62+X117)*(X$4&gt;In_COD)-($E136+$I62)*X14</f>
        <v>-0</v>
      </c>
      <c r="Y144" s="49" t="n">
        <f aca="false">(Y83+Y59+Y62+Y117)*(Y$4&gt;In_COD)-($E136+$I62)*Y14</f>
        <v>-134137.5</v>
      </c>
      <c r="Z144" s="49" t="n">
        <f aca="false">(Z83+Z59+Z62+Z117)*(Z$4&gt;In_COD)-($E136+$I62)*Z14</f>
        <v>2344.40831738351</v>
      </c>
      <c r="AA144" s="49" t="n">
        <f aca="false">(AA83+AA59+AA62+AA117)*(AA$4&gt;In_COD)-($E136+$I62)*AA14</f>
        <v>2308.66251795177</v>
      </c>
      <c r="AB144" s="49" t="n">
        <f aca="false">(AB83+AB59+AB62+AB117)*(AB$4&gt;In_COD)-($E136+$I62)*AB14</f>
        <v>2333.0732324695</v>
      </c>
      <c r="AC144" s="49" t="n">
        <f aca="false">(AC83+AC59+AC62+AC117)*(AC$4&gt;In_COD)-($E136+$I62)*AC14</f>
        <v>2357.47603605058</v>
      </c>
      <c r="AD144" s="49" t="n">
        <f aca="false">(AD83+AD59+AD62+AD117)*(AD$4&gt;In_COD)-($E136+$I62)*AD14</f>
        <v>2348.98873340516</v>
      </c>
      <c r="AE144" s="49" t="n">
        <f aca="false">(AE83+AE59+AE62+AE117)*(AE$4&gt;In_COD)-($E136+$I62)*AE14</f>
        <v>2338.05078562171</v>
      </c>
      <c r="AF144" s="49" t="n">
        <f aca="false">(AF83+AF59+AF62+AF117)*(AF$4&gt;In_COD)-($E136+$I62)*AF14</f>
        <v>2337.38566866203</v>
      </c>
      <c r="AG144" s="49" t="n">
        <f aca="false">(AG83+AG59+AG62+AG117)*(AG$4&gt;In_COD)-($E136+$I62)*AG14</f>
        <v>2361.83191554663</v>
      </c>
      <c r="AH144" s="49" t="n">
        <f aca="false">(AH83+AH59+AH62+AH117)*(AH$4&gt;In_COD)-($E136+$I62)*AH14</f>
        <v>2353.26185946134</v>
      </c>
      <c r="AI144" s="49" t="n">
        <f aca="false">(AI83+AI59+AI62+AI117)*(AI$4&gt;In_COD)-($E136+$I62)*AI14</f>
        <v>2316.88828795445</v>
      </c>
      <c r="AJ144" s="49" t="n">
        <f aca="false">(AJ83+AJ59+AJ62+AJ117)*(AJ$4&gt;In_COD)-($E136+$I62)*AJ14</f>
        <v>2372.05187968493</v>
      </c>
      <c r="AK144" s="49" t="n">
        <f aca="false">(AK83+AK59+AK62+AK117)*(AK$4&gt;In_COD)-($E136+$I62)*AK14</f>
        <v>2396.87492680256</v>
      </c>
      <c r="AL144" s="49" t="n">
        <f aca="false">(AL83+AL59+AL62+AL117)*(AL$4&gt;In_COD)-($E136+$I62)*AL14</f>
        <v>2359.09136366511</v>
      </c>
      <c r="AM144" s="49" t="n">
        <f aca="false">(AM83+AM59+AM62+AM117)*(AM$4&gt;In_COD)-($E136+$I62)*AM14</f>
        <v>2321.50494910752</v>
      </c>
      <c r="AN144" s="49" t="n">
        <f aca="false">(AN83+AN59+AN62+AN117)*(AN$4&gt;In_COD)-($E136+$I62)*AN14</f>
        <v>2344.79465773312</v>
      </c>
      <c r="AO144" s="49" t="n">
        <f aca="false">(AO83+AO59+AO62+AO117)*(AO$4&gt;In_COD)-($E136+$I62)*AO14</f>
        <v>2368.06600104778</v>
      </c>
      <c r="AP144" s="49" t="n">
        <f aca="false">(AP83+AP59+AP62+AP117)*(AP$4&gt;In_COD)-($E136+$I62)*AP14</f>
        <v>2359.21939811681</v>
      </c>
      <c r="AQ144" s="49" t="n">
        <f aca="false">(AQ83+AQ59+AQ62+AQ117)*(AQ$4&gt;In_COD)-($E136+$I62)*AQ14</f>
        <v>2321.29480191402</v>
      </c>
      <c r="AR144" s="49" t="n">
        <f aca="false">(AR83+AR59+AR62+AR117)*(AR$4&gt;In_COD)-($E136+$I62)*AR14</f>
        <v>2344.57385888677</v>
      </c>
      <c r="AS144" s="49" t="n">
        <f aca="false">(AS83+AS59+AS62+AS117)*(AS$4&gt;In_COD)-($E136+$I62)*AS14</f>
        <v>2367.83361492163</v>
      </c>
      <c r="AT144" s="49" t="n">
        <f aca="false">(AT83+AT59+AT62+AT117)*(AT$4&gt;In_COD)-($E136+$I62)*AT14</f>
        <v>2358.86415935164</v>
      </c>
      <c r="AU144" s="49" t="n">
        <f aca="false">(AU83+AU59+AU62+AU117)*(AU$4&gt;In_COD)-($E136+$I62)*AU14</f>
        <v>2345.48051152876</v>
      </c>
      <c r="AV144" s="49" t="n">
        <f aca="false">(AV83+AV59+AV62+AV117)*(AV$4&gt;In_COD)-($E136+$I62)*AV14</f>
        <v>2343.85777307453</v>
      </c>
      <c r="AW144" s="49" t="n">
        <f aca="false">(AW83+AW59+AW62+AW117)*(AW$4&gt;In_COD)-($E136+$I62)*AW14</f>
        <v>2367.10003240958</v>
      </c>
      <c r="AX144" s="49" t="n">
        <f aca="false">(AX83+AX59+AX62+AX117)*(AX$4&gt;In_COD)-($E136+$I62)*AX14</f>
        <v>2358.00367037062</v>
      </c>
      <c r="AY144" s="49" t="n">
        <f aca="false">(AY83+AY59+AY62+AY117)*(AY$4&gt;In_COD)-($E136+$I62)*AY14</f>
        <v>2319.38403163649</v>
      </c>
      <c r="AZ144" s="49" t="n">
        <f aca="false">(AZ83+AZ59+AZ62+AZ117)*(AZ$4&gt;In_COD)-($E136+$I62)*AZ14</f>
        <v>2342.62393178616</v>
      </c>
      <c r="BA144" s="49" t="n">
        <f aca="false">(BA83+BA59+BA62+BA117)*(BA$4&gt;In_COD)-($E136+$I62)*BA14</f>
        <v>2365.84251431819</v>
      </c>
      <c r="BB144" s="49" t="n">
        <f aca="false">(BB83+BB59+BB62+BB117)*(BB$4&gt;In_COD)-($E136+$I62)*BB14</f>
        <v>2356.61499549495</v>
      </c>
      <c r="BC144" s="49" t="n">
        <f aca="false">(BC83+BC59+BC62+BC117)*(BC$4&gt;In_COD)-($E136+$I62)*BC14</f>
        <v>2317.63803901419</v>
      </c>
      <c r="BD144" s="49" t="n">
        <f aca="false">(BD83+BD59+BD62+BD117)*(BD$4&gt;In_COD)-($E136+$I62)*BD14</f>
        <v>2340.84888561728</v>
      </c>
      <c r="BE144" s="49" t="n">
        <f aca="false">(BE83+BE59+BE62+BE117)*(BE$4&gt;In_COD)-($E136+$I62)*BE14</f>
        <v>2364.03732856951</v>
      </c>
      <c r="BF144" s="49" t="n">
        <f aca="false">(BF83+BF59+BF62+BF117)*(BF$4&gt;In_COD)-($E136+$I62)*BF14</f>
        <v>2354.67419611519</v>
      </c>
      <c r="BG144" s="49" t="n">
        <f aca="false">(BG83+BG59+BG62+BG117)*(BG$4&gt;In_COD)-($E136+$I62)*BG14</f>
        <v>2315.3330685701</v>
      </c>
      <c r="BH144" s="49" t="n">
        <f aca="false">(BH83+BH59+BH62+BH117)*(BH$4&gt;In_COD)-($E136+$I62)*BH14</f>
        <v>2338.50815895455</v>
      </c>
      <c r="BI144" s="49" t="n">
        <f aca="false">(BI83+BI59+BI62+BI117)*(BI$4&gt;In_COD)-($E136+$I62)*BI14</f>
        <v>2361.65970432661</v>
      </c>
      <c r="BJ144" s="49" t="n">
        <f aca="false">(BJ83+BJ59+BJ62+BJ117)*(BJ$4&gt;In_COD)-($E136+$I62)*BJ14</f>
        <v>2352.15628430227</v>
      </c>
      <c r="BK144" s="49" t="n">
        <f aca="false">(BK83+BK59+BK62+BK117)*(BK$4&gt;In_COD)-($E136+$I62)*BK14</f>
        <v>2337.55576414916</v>
      </c>
      <c r="BL144" s="49" t="n">
        <f aca="false">(BL83+BL59+BL62+BL117)*(BL$4&gt;In_COD)-($E136+$I62)*BL14</f>
        <v>2335.57620247019</v>
      </c>
      <c r="BM144" s="49" t="n">
        <f aca="false">(BM83+BM59+BM62+BM117)*(BM$4&gt;In_COD)-($E136+$I62)*BM14</f>
        <v>2358.68378390117</v>
      </c>
      <c r="BN144" s="49" t="n">
        <f aca="false">(BN83+BN59+BN62+BN117)*(BN$4&gt;In_COD)-($E136+$I62)*BN14</f>
        <v>2349.03517417446</v>
      </c>
      <c r="BO144" s="49" t="n">
        <f aca="false">(BO83+BO59+BO62+BO117)*(BO$4&gt;In_COD)-($E136+$I62)*BO14</f>
        <v>2308.94410916204</v>
      </c>
      <c r="BP144" s="49" t="n">
        <f aca="false">(BP83+BP59+BP62+BP117)*(BP$4&gt;In_COD)-($E136+$I62)*BP14</f>
        <v>2332.02634331709</v>
      </c>
      <c r="BQ144" s="49" t="n">
        <f aca="false">(BQ83+BQ59+BQ62+BQ117)*(BQ$4&gt;In_COD)-($E136+$I62)*BQ14</f>
        <v>2355.08257233319</v>
      </c>
      <c r="BR144" s="49" t="n">
        <f aca="false">(BR83+BR59+BR62+BR117)*(BR$4&gt;In_COD)-($E136+$I62)*BR14</f>
        <v>2345.28363090873</v>
      </c>
      <c r="BS144" s="49" t="n">
        <f aca="false">(BS83+BS59+BS62+BS117)*(BS$4&gt;In_COD)-($E136+$I62)*BS14</f>
        <v>2304.80625131434</v>
      </c>
      <c r="BT144" s="49" t="n">
        <f aca="false">(BT83+BT59+BT62+BT117)*(BT$4&gt;In_COD)-($E136+$I62)*BT14</f>
        <v>2327.83073291051</v>
      </c>
      <c r="BU144" s="49" t="n">
        <f aca="false">(BU83+BU59+BU62+BU117)*(BU$4&gt;In_COD)-($E136+$I62)*BU14</f>
        <v>2350.82788452716</v>
      </c>
      <c r="BV144" s="49" t="n">
        <f aca="false">(BV83+BV59+BV62+BV117)*(BV$4&gt;In_COD)-($E136+$I62)*BV14</f>
        <v>2340.8732172796</v>
      </c>
      <c r="BW144" s="49" t="n">
        <f aca="false">(BW83+BW59+BW62+BW117)*(BW$4&gt;In_COD)-($E136+$I62)*BW14</f>
        <v>2300.00157221465</v>
      </c>
      <c r="BX144" s="49" t="n">
        <f aca="false">(BX83+BX59+BX62+BX117)*(BX$4&gt;In_COD)-($E136+$I62)*BX14</f>
        <v>2322.96029217625</v>
      </c>
      <c r="BY144" s="49" t="n">
        <f aca="false">(BY83+BY59+BY62+BY117)*(BY$4&gt;In_COD)-($E136+$I62)*BY14</f>
        <v>2345.89028982332</v>
      </c>
      <c r="BZ144" s="49" t="n">
        <f aca="false">(BZ83+BZ59+BZ62+BZ117)*(BZ$4&gt;In_COD)-($E136+$I62)*BZ14</f>
        <v>2335.77423760256</v>
      </c>
      <c r="CA144" s="49" t="n">
        <f aca="false">(CA83+CA59+CA62+CA117)*(CA$4&gt;In_COD)-($E136+$I62)*CA14</f>
        <v>2319.79950074076</v>
      </c>
      <c r="CB144" s="49" t="n">
        <f aca="false">(CB83+CB59+CB62+CB117)*(CB$4&gt;In_COD)-($E136+$I62)*CB14</f>
        <v>2317.38465413956</v>
      </c>
      <c r="CC144" s="49" t="n">
        <f aca="false">(CC83+CC59+CC62+CC117)*(CC$4&gt;In_COD)-($E136+$I62)*CC14</f>
        <v>2340.23905387656</v>
      </c>
      <c r="CD144" s="49" t="n">
        <f aca="false">(CD83+CD59+CD62+CD117)*(CD$4&gt;In_COD)-($E136+$I62)*CD14</f>
        <v>2329.95567895303</v>
      </c>
      <c r="CE144" s="49" t="n">
        <f aca="false">(CE83+CE59+CE62+CE117)*(CE$4&gt;In_COD)-($E136+$I62)*CE14</f>
        <v>2288.27040633856</v>
      </c>
      <c r="CF144" s="49" t="n">
        <f aca="false">(CF83+CF59+CF62+CF117)*(CF$4&gt;In_COD)-($E136+$I62)*CF14</f>
        <v>2311.07210372232</v>
      </c>
      <c r="CG144" s="49" t="n">
        <f aca="false">(CG83+CG59+CG62+CG117)*(CG$4&gt;In_COD)-($E136+$I62)*CG14</f>
        <v>2333.84207770889</v>
      </c>
      <c r="CH144" s="49" t="n">
        <f aca="false">(CH83+CH59+CH62+CH117)*(CH$4&gt;In_COD)-($E136+$I62)*CH14</f>
        <v>2323.38514952525</v>
      </c>
      <c r="CI144" s="49" t="n">
        <f aca="false">(CI83+CI59+CI62+CI117)*(CI$4&gt;In_COD)-($E136+$I62)*CI14</f>
        <v>2283.91409241878</v>
      </c>
      <c r="CJ144" s="49" t="n">
        <f aca="false">(CJ83+CJ59+CJ62+CJ117)*(CJ$4&gt;In_COD)-($E136+$I62)*CJ14</f>
        <v>2309.29091566788</v>
      </c>
      <c r="CK144" s="49" t="n">
        <f aca="false">(CK83+CK59+CK62+CK117)*(CK$4&gt;In_COD)-($E136+$I62)*CK14</f>
        <v>2334.66773891698</v>
      </c>
      <c r="CL144" s="49" t="n">
        <f aca="false">(CL83+CL59+CL62+CL117)*(CL$4&gt;In_COD)-($E136+$I62)*CL14</f>
        <v>2326.76497947549</v>
      </c>
      <c r="CM144" s="49" t="n">
        <f aca="false">(CM83+CM59+CM62+CM117)*(CM$4&gt;In_COD)-($E136+$I62)*CM14</f>
        <v>2286.99883310266</v>
      </c>
      <c r="CN144" s="49" t="n">
        <f aca="false">(CN83+CN59+CN62+CN117)*(CN$4&gt;In_COD)-($E136+$I62)*CN14</f>
        <v>2312.40993124824</v>
      </c>
      <c r="CO144" s="49" t="n">
        <f aca="false">(CO83+CO59+CO62+CO117)*(CO$4&gt;In_COD)-($E136+$I62)*CO14</f>
        <v>2337.82102939383</v>
      </c>
      <c r="CP144" s="49" t="n">
        <f aca="false">(CP83+CP59+CP62+CP117)*(CP$4&gt;In_COD)-($E136+$I62)*CP14</f>
        <v>2329.87061423426</v>
      </c>
      <c r="CQ144" s="49" t="n">
        <f aca="false">(CQ83+CQ59+CQ62+CQ117)*(CQ$4&gt;In_COD)-($E136+$I62)*CQ14</f>
        <v>2315.24887069338</v>
      </c>
      <c r="CR144" s="49" t="n">
        <f aca="false">(CR83+CR59+CR62+CR117)*(CR$4&gt;In_COD)-($E136+$I62)*CR14</f>
        <v>2315.24887069338</v>
      </c>
      <c r="CS144" s="49" t="n">
        <f aca="false">(CS83+CS59+CS62+CS117)*(CS$4&gt;In_COD)-($E136+$I62)*CS14</f>
        <v>2340.69116597572</v>
      </c>
      <c r="CT144" s="49" t="n">
        <f aca="false">(CT83+CT59+CT62+CT117)*(CT$4&gt;In_COD)-($E136+$I62)*CT14</f>
        <v>2332.6929896636</v>
      </c>
      <c r="CU144" s="49" t="n">
        <f aca="false">(CU83+CU59+CU62+CU117)*(CU$4&gt;In_COD)-($E136+$I62)*CU14</f>
        <v>2292.32821604218</v>
      </c>
      <c r="CV144" s="49" t="n">
        <f aca="false">(CV83+CV59+CV62+CV117)*(CV$4&gt;In_COD)-($E136+$I62)*CV14</f>
        <v>2317.79852955376</v>
      </c>
      <c r="CW144" s="49" t="n">
        <f aca="false">(CW83+CW59+CW62+CW117)*(CW$4&gt;In_COD)-($E136+$I62)*CW14</f>
        <v>2343.26884306534</v>
      </c>
      <c r="CX144" s="49" t="n">
        <f aca="false">(CX83+CX59+CX62+CX117)*(CX$4&gt;In_COD)-($E136+$I62)*CX14</f>
        <v>2335.22280421056</v>
      </c>
      <c r="CY144" s="49" t="n">
        <f aca="false">(CY83+CY59+CY62+CY117)*(CY$4&gt;In_COD)-($E136+$I62)*CY14</f>
        <v>2294.55441353347</v>
      </c>
      <c r="CZ144" s="49" t="n">
        <f aca="false">(CZ83+CZ59+CZ62+CZ117)*(CZ$4&gt;In_COD)-($E136+$I62)*CZ14</f>
        <v>2320.04946257273</v>
      </c>
      <c r="DA144" s="49" t="n">
        <f aca="false">(DA83+DA59+DA62+DA117)*(DA$4&gt;In_COD)-($E136+$I62)*DA14</f>
        <v>2345.54451161199</v>
      </c>
      <c r="DB144" s="49" t="n">
        <f aca="false">(DB83+DB59+DB62+DB117)*(DB$4&gt;In_COD)-($E136+$I62)*DB14</f>
        <v>2127.75796595667</v>
      </c>
      <c r="DC144" s="49" t="n">
        <f aca="false">(DC83+DC59+DC62+DC117)*(DC$4&gt;In_COD)-($E136+$I62)*DC14</f>
        <v>2091.34156892558</v>
      </c>
      <c r="DD144" s="49" t="n">
        <f aca="false">(DD83+DD59+DD62+DD117)*(DD$4&gt;In_COD)-($E136+$I62)*DD14</f>
        <v>2114.5786974692</v>
      </c>
      <c r="DE144" s="49" t="n">
        <f aca="false">(DE83+DE59+DE62+DE117)*(DE$4&gt;In_COD)-($E136+$I62)*DE14</f>
        <v>2137.81582601281</v>
      </c>
      <c r="DF144" s="49" t="n">
        <f aca="false">(DF83+DF59+DF62+DF117)*(DF$4&gt;In_COD)-($E136+$I62)*DF14</f>
        <v>2129.67377475099</v>
      </c>
      <c r="DG144" s="49" t="n">
        <f aca="false">(DG83+DG59+DG62+DG117)*(DG$4&gt;In_COD)-($E136+$I62)*DG14</f>
        <v>2116.20284972323</v>
      </c>
      <c r="DH144" s="49" t="n">
        <f aca="false">(DH83+DH59+DH62+DH117)*(DH$4&gt;In_COD)-($E136+$I62)*DH14</f>
        <v>2116.20284972323</v>
      </c>
      <c r="DI144" s="49" t="n">
        <f aca="false">(DI83+DI59+DI62+DI117)*(DI$4&gt;In_COD)-($E136+$I62)*DI14</f>
        <v>2139.45782609381</v>
      </c>
      <c r="DJ144" s="49" t="n">
        <f aca="false">(DJ83+DJ59+DJ62+DJ117)*(DJ$4&gt;In_COD)-($E136+$I62)*DJ14</f>
        <v>2131.26763373715</v>
      </c>
      <c r="DK144" s="49" t="n">
        <f aca="false">(DK83+DK59+DK62+DK117)*(DK$4&gt;In_COD)-($E136+$I62)*DK14</f>
        <v>2094.22922134031</v>
      </c>
      <c r="DL144" s="49" t="n">
        <f aca="false">(DL83+DL59+DL62+DL117)*(DL$4&gt;In_COD)-($E136+$I62)*DL14</f>
        <v>2117.49843491076</v>
      </c>
      <c r="DM144" s="49" t="n">
        <f aca="false">(DM83+DM59+DM62+DM117)*(DM$4&gt;In_COD)-($E136+$I62)*DM14</f>
        <v>2140.76764848121</v>
      </c>
      <c r="DN144" s="49" t="n">
        <f aca="false">(DN83+DN59+DN62+DN117)*(DN$4&gt;In_COD)-($E136+$I62)*DN14</f>
        <v>2132.52923118543</v>
      </c>
      <c r="DO144" s="49" t="n">
        <f aca="false">(DO83+DO59+DO62+DO117)*(DO$4&gt;In_COD)-($E136+$I62)*DO14</f>
        <v>2095.17525809415</v>
      </c>
      <c r="DP144" s="49" t="n">
        <f aca="false">(DP83+DP59+DP62+DP117)*(DP$4&gt;In_COD)-($E136+$I62)*DP14</f>
        <v>2118.45498318408</v>
      </c>
      <c r="DQ144" s="49" t="n">
        <f aca="false">(DQ83+DQ59+DQ62+DQ117)*(DQ$4&gt;In_COD)-($E136+$I62)*DQ14</f>
        <v>2141.73470827402</v>
      </c>
      <c r="DR144" s="49" t="n">
        <f aca="false">(DR83+DR59+DR62+DR117)*(DR$4&gt;In_COD)-($E136+$I62)*DR14</f>
        <v>2133.4479869401</v>
      </c>
      <c r="DS144" s="49" t="n">
        <f aca="false">(DS83+DS59+DS62+DS117)*(DS$4&gt;In_COD)-($E136+$I62)*DS14</f>
        <v>2095.77535956</v>
      </c>
      <c r="DT144" s="49" t="n">
        <f aca="false">(DT83+DT59+DT62+DT117)*(DT$4&gt;In_COD)-($E136+$I62)*DT14</f>
        <v>2119.061752444</v>
      </c>
      <c r="DU144" s="49" t="n">
        <f aca="false">(DU83+DU59+DU62+DU117)*(DU$4&gt;In_COD)-($E136+$I62)*DU14</f>
        <v>2142.348145328</v>
      </c>
      <c r="DV144" s="49" t="n">
        <f aca="false">(DV83+DV59+DV62+DV117)*(DV$4&gt;In_COD)-($E136+$I62)*DV14</f>
        <v>2134.01304575269</v>
      </c>
      <c r="DW144" s="49" t="n">
        <f aca="false">(DW83+DW59+DW62+DW117)*(DW$4&gt;In_COD)-($E136+$I62)*DW14</f>
        <v>2119.30772157993</v>
      </c>
      <c r="DX144" s="49" t="n">
        <f aca="false">(DX83+DX59+DX62+DX117)*(DX$4&gt;In_COD)-($E136+$I62)*DX14</f>
        <v>2119.30772157993</v>
      </c>
      <c r="DY144" s="49" t="n">
        <f aca="false">(DY83+DY59+DY62+DY117)*(DY$4&gt;In_COD)-($E136+$I62)*DY14</f>
        <v>2142.59681742147</v>
      </c>
      <c r="DZ144" s="49" t="n">
        <f aca="false">(DZ83+DZ59+DZ62+DZ117)*(DZ$4&gt;In_COD)-($E136+$I62)*DZ14</f>
        <v>2134.2132704514</v>
      </c>
      <c r="EA144" s="49" t="n">
        <f aca="false">(EA83+EA59+EA62+EA117)*(EA$4&gt;In_COD)-($E136+$I62)*EA14</f>
        <v>2095.89387383467</v>
      </c>
      <c r="EB144" s="49" t="n">
        <f aca="false">(EB83+EB59+EB62+EB117)*(EB$4&gt;In_COD)-($E136+$I62)*EB14</f>
        <v>2119.18158354395</v>
      </c>
      <c r="EC144" s="49" t="n">
        <f aca="false">(EC83+EC59+EC62+EC117)*(EC$4&gt;In_COD)-($E136+$I62)*EC14</f>
        <v>2142.46929325322</v>
      </c>
      <c r="ED144" s="49" t="n">
        <f aca="false">(ED83+ED59+ED62+ED117)*(ED$4&gt;In_COD)-($E136+$I62)*ED14</f>
        <v>2134.03723494271</v>
      </c>
      <c r="EE144" s="49" t="n">
        <f aca="false">(EE83+EE59+EE62+EE117)*(EE$4&gt;In_COD)-($E136+$I62)*EE14</f>
        <v>2095.38963124086</v>
      </c>
      <c r="EF144" s="49" t="n">
        <f aca="false">(EF83+EF59+EF62+EF117)*(EF$4&gt;In_COD)-($E136+$I62)*EF14</f>
        <v>2118.67173825464</v>
      </c>
      <c r="EG144" s="49" t="n">
        <f aca="false">(EG83+EG59+EG62+EG117)*(EG$4&gt;In_COD)-($E136+$I62)*EG14</f>
        <v>2141.95384526843</v>
      </c>
      <c r="EH144" s="49" t="n">
        <f aca="false">(EH83+EH59+EH62+EH117)*(EH$4&gt;In_COD)-($E136+$I62)*EH14</f>
        <v>2133.4732170411</v>
      </c>
      <c r="EI144" s="49" t="n">
        <f aca="false">(EI83+EI59+EI62+EI117)*(EI$4&gt;In_COD)-($E136+$I62)*EI14</f>
        <v>2094.49412834513</v>
      </c>
      <c r="EJ144" s="49" t="n">
        <f aca="false">(EJ83+EJ59+EJ62+EJ117)*(EJ$4&gt;In_COD)-($E136+$I62)*EJ14</f>
        <v>2117.76628532674</v>
      </c>
      <c r="EK144" s="49" t="n">
        <f aca="false">(EK83+EK59+EK62+EK117)*(EK$4&gt;In_COD)-($E136+$I62)*EK14</f>
        <v>2141.03844230835</v>
      </c>
      <c r="EL144" s="49" t="n">
        <f aca="false">(EL83+EL59+EL62+EL117)*(EL$4&gt;In_COD)-($E136+$I62)*EL14</f>
        <v>2132.50919112262</v>
      </c>
      <c r="EM144" s="49" t="n">
        <f aca="false">(EM83+EM59+EM62+EM117)*(EM$4&gt;In_COD)-($E136+$I62)*EM14</f>
        <v>2116.45301662203</v>
      </c>
      <c r="EN144" s="49" t="n">
        <f aca="false">(EN83+EN59+EN62+EN117)*(EN$4&gt;In_COD)-($E136+$I62)*EN14</f>
        <v>2116.45301662203</v>
      </c>
      <c r="EO144" s="49" t="n">
        <f aca="false">(EO83+EO59+EO62+EO117)*(EO$4&gt;In_COD)-($E136+$I62)*EO14</f>
        <v>2139.71074207941</v>
      </c>
    </row>
    <row r="145" customFormat="false" ht="15" hidden="false" customHeight="false" outlineLevel="0" collapsed="false">
      <c r="C145" s="26" t="s">
        <v>129</v>
      </c>
      <c r="D145" s="12" t="s">
        <v>27</v>
      </c>
      <c r="E145" s="34" t="n">
        <f aca="false">XIRR(INDEX($J144:$EO144,$E15):$EO144,INDEX($J$4:$EO$4,$E15):$EO$4)</f>
        <v>0.0566120049273495</v>
      </c>
    </row>
    <row r="146" customFormat="false" ht="15" hidden="false" customHeight="false" outlineLevel="0" collapsed="false">
      <c r="C146" s="1" t="s">
        <v>526</v>
      </c>
      <c r="D146" s="12" t="s">
        <v>33</v>
      </c>
      <c r="I146" s="49" t="n">
        <f aca="false">SUM(J146:EO146)</f>
        <v>112394.131156815</v>
      </c>
      <c r="J146" s="49" t="n">
        <f aca="false">J144+J98+J106+$E103*J14</f>
        <v>0</v>
      </c>
      <c r="K146" s="49" t="n">
        <f aca="false">K144+K98+K106+$E103*K14</f>
        <v>0</v>
      </c>
      <c r="L146" s="49" t="n">
        <f aca="false">L144+L98+L106+$E103*L14</f>
        <v>0</v>
      </c>
      <c r="M146" s="49" t="n">
        <f aca="false">M144+M98+M106+$E103*M14</f>
        <v>0</v>
      </c>
      <c r="N146" s="49" t="n">
        <f aca="false">N144+N98+N106+$E103*N14</f>
        <v>0</v>
      </c>
      <c r="O146" s="49" t="n">
        <f aca="false">O144+O98+O106+$E103*O14</f>
        <v>0</v>
      </c>
      <c r="P146" s="49" t="n">
        <f aca="false">P144+P98+P106+$E103*P14</f>
        <v>0</v>
      </c>
      <c r="Q146" s="49" t="n">
        <f aca="false">Q144+Q98+Q106+$E103*Q14</f>
        <v>0</v>
      </c>
      <c r="R146" s="49" t="n">
        <f aca="false">R144+R98+R106+$E103*R14</f>
        <v>0</v>
      </c>
      <c r="S146" s="49" t="n">
        <f aca="false">S144+S98+S106+$E103*S14</f>
        <v>0</v>
      </c>
      <c r="T146" s="49" t="n">
        <f aca="false">T144+T98+T106+$E103*T14</f>
        <v>0</v>
      </c>
      <c r="U146" s="49" t="n">
        <f aca="false">U144+U98+U106+$E103*U14</f>
        <v>0</v>
      </c>
      <c r="V146" s="49" t="n">
        <f aca="false">V144+V98+V106+$E103*V14</f>
        <v>0</v>
      </c>
      <c r="W146" s="49" t="n">
        <f aca="false">W144+W98+W106+$E103*W14</f>
        <v>0</v>
      </c>
      <c r="X146" s="49" t="n">
        <f aca="false">X144+X98+X106+$E103*X14</f>
        <v>0</v>
      </c>
      <c r="Y146" s="49" t="n">
        <f aca="false">Y144+Y98+Y106+$E103*Y14</f>
        <v>-76486.9285090182</v>
      </c>
      <c r="Z146" s="49" t="n">
        <f aca="false">Z144+Z98+Z106+$E103*Z14</f>
        <v>939.482157043442</v>
      </c>
      <c r="AA146" s="49" t="n">
        <f aca="false">AA144+AA98+AA106+$E103*AA14</f>
        <v>903.736357611697</v>
      </c>
      <c r="AB146" s="49" t="n">
        <f aca="false">AB144+AB98+AB106+$E103*AB14</f>
        <v>928.147072129433</v>
      </c>
      <c r="AC146" s="49" t="n">
        <f aca="false">AC144+AC98+AC106+$E103*AC14</f>
        <v>952.549875710508</v>
      </c>
      <c r="AD146" s="49" t="n">
        <f aca="false">AD144+AD98+AD106+$E103*AD14</f>
        <v>944.062573065086</v>
      </c>
      <c r="AE146" s="49" t="n">
        <f aca="false">AE144+AE98+AE106+$E103*AE14</f>
        <v>933.124625281642</v>
      </c>
      <c r="AF146" s="49" t="n">
        <f aca="false">AF144+AF98+AF106+$E103*AF14</f>
        <v>932.459508321962</v>
      </c>
      <c r="AG146" s="49" t="n">
        <f aca="false">AG144+AG98+AG106+$E103*AG14</f>
        <v>956.905755206555</v>
      </c>
      <c r="AH146" s="49" t="n">
        <f aca="false">AH144+AH98+AH106+$E103*AH14</f>
        <v>948.335699121264</v>
      </c>
      <c r="AI146" s="49" t="n">
        <f aca="false">AI144+AI98+AI106+$E103*AI14</f>
        <v>911.962127614383</v>
      </c>
      <c r="AJ146" s="49" t="n">
        <f aca="false">AJ144+AJ98+AJ106+$E103*AJ14</f>
        <v>967.125719344862</v>
      </c>
      <c r="AK146" s="49" t="n">
        <f aca="false">AK144+AK98+AK106+$E103*AK14</f>
        <v>991.948766462488</v>
      </c>
      <c r="AL146" s="49" t="n">
        <f aca="false">AL144+AL98+AL106+$E103*AL14</f>
        <v>954.165203325035</v>
      </c>
      <c r="AM146" s="49" t="n">
        <f aca="false">AM144+AM98+AM106+$E103*AM14</f>
        <v>916.578788767446</v>
      </c>
      <c r="AN146" s="49" t="n">
        <f aca="false">AN144+AN98+AN106+$E103*AN14</f>
        <v>939.868497393046</v>
      </c>
      <c r="AO146" s="49" t="n">
        <f aca="false">AO144+AO98+AO106+$E103*AO14</f>
        <v>963.139840707705</v>
      </c>
      <c r="AP146" s="49" t="n">
        <f aca="false">AP144+AP98+AP106+$E103*AP14</f>
        <v>954.29323777674</v>
      </c>
      <c r="AQ146" s="49" t="n">
        <f aca="false">AQ144+AQ98+AQ106+$E103*AQ14</f>
        <v>916.368641573946</v>
      </c>
      <c r="AR146" s="49" t="n">
        <f aca="false">AR144+AR98+AR106+$E103*AR14</f>
        <v>939.647698546698</v>
      </c>
      <c r="AS146" s="49" t="n">
        <f aca="false">AS144+AS98+AS106+$E103*AS14</f>
        <v>962.907454581556</v>
      </c>
      <c r="AT146" s="49" t="n">
        <f aca="false">AT144+AT98+AT106+$E103*AT14</f>
        <v>953.937999011571</v>
      </c>
      <c r="AU146" s="49" t="n">
        <f aca="false">AU144+AU98+AU106+$E103*AU14</f>
        <v>940.554351188692</v>
      </c>
      <c r="AV146" s="49" t="n">
        <f aca="false">AV144+AV98+AV106+$E103*AV14</f>
        <v>938.931612734463</v>
      </c>
      <c r="AW146" s="49" t="n">
        <f aca="false">AW144+AW98+AW106+$E103*AW14</f>
        <v>962.173872069513</v>
      </c>
      <c r="AX146" s="49" t="n">
        <f aca="false">AX144+AX98+AX106+$E103*AX14</f>
        <v>953.077510030549</v>
      </c>
      <c r="AY146" s="49" t="n">
        <f aca="false">AY144+AY98+AY106+$E103*AY14</f>
        <v>914.457871296419</v>
      </c>
      <c r="AZ146" s="49" t="n">
        <f aca="false">AZ144+AZ98+AZ106+$E103*AZ14</f>
        <v>937.69777144609</v>
      </c>
      <c r="BA146" s="49" t="n">
        <f aca="false">BA144+BA98+BA106+$E103*BA14</f>
        <v>960.916353978118</v>
      </c>
      <c r="BB146" s="49" t="n">
        <f aca="false">BB144+BB98+BB106+$E103*BB14</f>
        <v>951.688835154881</v>
      </c>
      <c r="BC146" s="49" t="n">
        <f aca="false">BC144+BC98+BC106+$E103*BC14</f>
        <v>912.711878674122</v>
      </c>
      <c r="BD146" s="49" t="n">
        <f aca="false">BD144+BD98+BD106+$E103*BD14</f>
        <v>935.922725277208</v>
      </c>
      <c r="BE146" s="49" t="n">
        <f aca="false">BE144+BE98+BE106+$E103*BE14</f>
        <v>959.111168229435</v>
      </c>
      <c r="BF146" s="49" t="n">
        <f aca="false">BF144+BF98+BF106+$E103*BF14</f>
        <v>949.748035775114</v>
      </c>
      <c r="BG146" s="49" t="n">
        <f aca="false">BG144+BG98+BG106+$E103*BG14</f>
        <v>910.406908230027</v>
      </c>
      <c r="BH146" s="49" t="n">
        <f aca="false">BH144+BH98+BH106+$E103*BH14</f>
        <v>933.58199861448</v>
      </c>
      <c r="BI146" s="49" t="n">
        <f aca="false">BI144+BI98+BI106+$E103*BI14</f>
        <v>956.733543986536</v>
      </c>
      <c r="BJ146" s="49" t="n">
        <f aca="false">BJ144+BJ98+BJ106+$E103*BJ14</f>
        <v>947.230123962194</v>
      </c>
      <c r="BK146" s="49" t="n">
        <f aca="false">BK144+BK98+BK106+$E103*BK14</f>
        <v>932.629603809085</v>
      </c>
      <c r="BL146" s="49" t="n">
        <f aca="false">BL144+BL98+BL106+$E103*BL14</f>
        <v>930.650042130115</v>
      </c>
      <c r="BM146" s="49" t="n">
        <f aca="false">BM144+BM98+BM106+$E103*BM14</f>
        <v>953.7576235611</v>
      </c>
      <c r="BN146" s="49" t="n">
        <f aca="false">BN144+BN98+BN106+$E103*BN14</f>
        <v>944.109013834388</v>
      </c>
      <c r="BO146" s="49" t="n">
        <f aca="false">BO144+BO98+BO106+$E103*BO14</f>
        <v>904.017948821967</v>
      </c>
      <c r="BP146" s="49" t="n">
        <f aca="false">BP144+BP98+BP106+$E103*BP14</f>
        <v>927.100182977017</v>
      </c>
      <c r="BQ146" s="49" t="n">
        <f aca="false">BQ144+BQ98+BQ106+$E103*BQ14</f>
        <v>950.156411993123</v>
      </c>
      <c r="BR146" s="49" t="n">
        <f aca="false">BR144+BR98+BR106+$E103*BR14</f>
        <v>940.357470568663</v>
      </c>
      <c r="BS146" s="49" t="n">
        <f aca="false">BS144+BS98+BS106+$E103*BS14</f>
        <v>899.88009097427</v>
      </c>
      <c r="BT146" s="49" t="n">
        <f aca="false">BT144+BT98+BT106+$E103*BT14</f>
        <v>922.904572570435</v>
      </c>
      <c r="BU146" s="49" t="n">
        <f aca="false">BU144+BU98+BU106+$E103*BU14</f>
        <v>945.901724187089</v>
      </c>
      <c r="BV146" s="49" t="n">
        <f aca="false">BV144+BV98+BV106+$E103*BV14</f>
        <v>935.947056939533</v>
      </c>
      <c r="BW146" s="49" t="n">
        <f aca="false">BW144+BW98+BW106+$E103*BW14</f>
        <v>895.075411874578</v>
      </c>
      <c r="BX146" s="49" t="n">
        <f aca="false">BX144+BX98+BX106+$E103*BX14</f>
        <v>918.034131836178</v>
      </c>
      <c r="BY146" s="49" t="n">
        <f aca="false">BY144+BY98+BY106+$E103*BY14</f>
        <v>940.964129483251</v>
      </c>
      <c r="BZ146" s="49" t="n">
        <f aca="false">BZ144+BZ98+BZ106+$E103*BZ14</f>
        <v>930.84807726249</v>
      </c>
      <c r="CA146" s="49" t="n">
        <f aca="false">CA144+CA98+CA106+$E103*CA14</f>
        <v>914.873340400693</v>
      </c>
      <c r="CB146" s="49" t="n">
        <f aca="false">CB144+CB98+CB106+$E103*CB14</f>
        <v>912.458493799484</v>
      </c>
      <c r="CC146" s="49" t="n">
        <f aca="false">CC144+CC98+CC106+$E103*CC14</f>
        <v>935.312893536491</v>
      </c>
      <c r="CD146" s="49" t="n">
        <f aca="false">CD144+CD98+CD106+$E103*CD14</f>
        <v>925.029518612955</v>
      </c>
      <c r="CE146" s="49" t="n">
        <f aca="false">CE144+CE98+CE106+$E103*CE14</f>
        <v>883.344245998485</v>
      </c>
      <c r="CF146" s="49" t="n">
        <f aca="false">CF144+CF98+CF106+$E103*CF14</f>
        <v>906.145943382247</v>
      </c>
      <c r="CG146" s="49" t="n">
        <f aca="false">CG144+CG98+CG106+$E103*CG14</f>
        <v>2333.84207770891</v>
      </c>
      <c r="CH146" s="49" t="n">
        <f aca="false">CH144+CH98+CH106+$E103*CH14</f>
        <v>2323.38514952525</v>
      </c>
      <c r="CI146" s="49" t="n">
        <f aca="false">CI144+CI98+CI106+$E103*CI14</f>
        <v>2283.91409241878</v>
      </c>
      <c r="CJ146" s="49" t="n">
        <f aca="false">CJ144+CJ98+CJ106+$E103*CJ14</f>
        <v>2309.29091566788</v>
      </c>
      <c r="CK146" s="49" t="n">
        <f aca="false">CK144+CK98+CK106+$E103*CK14</f>
        <v>2334.66773891698</v>
      </c>
      <c r="CL146" s="49" t="n">
        <f aca="false">CL144+CL98+CL106+$E103*CL14</f>
        <v>2326.76497947549</v>
      </c>
      <c r="CM146" s="49" t="n">
        <f aca="false">CM144+CM98+CM106+$E103*CM14</f>
        <v>2286.99883310266</v>
      </c>
      <c r="CN146" s="49" t="n">
        <f aca="false">CN144+CN98+CN106+$E103*CN14</f>
        <v>2312.40993124824</v>
      </c>
      <c r="CO146" s="49" t="n">
        <f aca="false">CO144+CO98+CO106+$E103*CO14</f>
        <v>2337.82102939383</v>
      </c>
      <c r="CP146" s="49" t="n">
        <f aca="false">CP144+CP98+CP106+$E103*CP14</f>
        <v>2329.87061423426</v>
      </c>
      <c r="CQ146" s="49" t="n">
        <f aca="false">CQ144+CQ98+CQ106+$E103*CQ14</f>
        <v>2315.24887069338</v>
      </c>
      <c r="CR146" s="49" t="n">
        <f aca="false">CR144+CR98+CR106+$E103*CR14</f>
        <v>2315.24887069338</v>
      </c>
      <c r="CS146" s="49" t="n">
        <f aca="false">CS144+CS98+CS106+$E103*CS14</f>
        <v>2340.69116597572</v>
      </c>
      <c r="CT146" s="49" t="n">
        <f aca="false">CT144+CT98+CT106+$E103*CT14</f>
        <v>2332.6929896636</v>
      </c>
      <c r="CU146" s="49" t="n">
        <f aca="false">CU144+CU98+CU106+$E103*CU14</f>
        <v>2292.32821604218</v>
      </c>
      <c r="CV146" s="49" t="n">
        <f aca="false">CV144+CV98+CV106+$E103*CV14</f>
        <v>2317.79852955376</v>
      </c>
      <c r="CW146" s="49" t="n">
        <f aca="false">CW144+CW98+CW106+$E103*CW14</f>
        <v>2343.26884306534</v>
      </c>
      <c r="CX146" s="49" t="n">
        <f aca="false">CX144+CX98+CX106+$E103*CX14</f>
        <v>2335.22280421056</v>
      </c>
      <c r="CY146" s="49" t="n">
        <f aca="false">CY144+CY98+CY106+$E103*CY14</f>
        <v>2294.55441353347</v>
      </c>
      <c r="CZ146" s="49" t="n">
        <f aca="false">CZ144+CZ98+CZ106+$E103*CZ14</f>
        <v>2320.04946257273</v>
      </c>
      <c r="DA146" s="49" t="n">
        <f aca="false">DA144+DA98+DA106+$E103*DA14</f>
        <v>2345.54451161199</v>
      </c>
      <c r="DB146" s="49" t="n">
        <f aca="false">DB144+DB98+DB106+$E103*DB14</f>
        <v>2127.75796595667</v>
      </c>
      <c r="DC146" s="49" t="n">
        <f aca="false">DC144+DC98+DC106+$E103*DC14</f>
        <v>2091.34156892558</v>
      </c>
      <c r="DD146" s="49" t="n">
        <f aca="false">DD144+DD98+DD106+$E103*DD14</f>
        <v>2114.5786974692</v>
      </c>
      <c r="DE146" s="49" t="n">
        <f aca="false">DE144+DE98+DE106+$E103*DE14</f>
        <v>2137.81582601281</v>
      </c>
      <c r="DF146" s="49" t="n">
        <f aca="false">DF144+DF98+DF106+$E103*DF14</f>
        <v>2129.67377475099</v>
      </c>
      <c r="DG146" s="49" t="n">
        <f aca="false">DG144+DG98+DG106+$E103*DG14</f>
        <v>2116.20284972323</v>
      </c>
      <c r="DH146" s="49" t="n">
        <f aca="false">DH144+DH98+DH106+$E103*DH14</f>
        <v>2116.20284972323</v>
      </c>
      <c r="DI146" s="49" t="n">
        <f aca="false">DI144+DI98+DI106+$E103*DI14</f>
        <v>2139.45782609381</v>
      </c>
      <c r="DJ146" s="49" t="n">
        <f aca="false">DJ144+DJ98+DJ106+$E103*DJ14</f>
        <v>2131.26763373715</v>
      </c>
      <c r="DK146" s="49" t="n">
        <f aca="false">DK144+DK98+DK106+$E103*DK14</f>
        <v>2094.22922134031</v>
      </c>
      <c r="DL146" s="49" t="n">
        <f aca="false">DL144+DL98+DL106+$E103*DL14</f>
        <v>2117.49843491076</v>
      </c>
      <c r="DM146" s="49" t="n">
        <f aca="false">DM144+DM98+DM106+$E103*DM14</f>
        <v>2140.76764848121</v>
      </c>
      <c r="DN146" s="49" t="n">
        <f aca="false">DN144+DN98+DN106+$E103*DN14</f>
        <v>2132.52923118543</v>
      </c>
      <c r="DO146" s="49" t="n">
        <f aca="false">DO144+DO98+DO106+$E103*DO14</f>
        <v>2095.17525809415</v>
      </c>
      <c r="DP146" s="49" t="n">
        <f aca="false">DP144+DP98+DP106+$E103*DP14</f>
        <v>2118.45498318408</v>
      </c>
      <c r="DQ146" s="49" t="n">
        <f aca="false">DQ144+DQ98+DQ106+$E103*DQ14</f>
        <v>2141.73470827402</v>
      </c>
      <c r="DR146" s="49" t="n">
        <f aca="false">DR144+DR98+DR106+$E103*DR14</f>
        <v>2133.4479869401</v>
      </c>
      <c r="DS146" s="49" t="n">
        <f aca="false">DS144+DS98+DS106+$E103*DS14</f>
        <v>2095.77535956</v>
      </c>
      <c r="DT146" s="49" t="n">
        <f aca="false">DT144+DT98+DT106+$E103*DT14</f>
        <v>2119.061752444</v>
      </c>
      <c r="DU146" s="49" t="n">
        <f aca="false">DU144+DU98+DU106+$E103*DU14</f>
        <v>2142.348145328</v>
      </c>
      <c r="DV146" s="49" t="n">
        <f aca="false">DV144+DV98+DV106+$E103*DV14</f>
        <v>2134.01304575269</v>
      </c>
      <c r="DW146" s="49" t="n">
        <f aca="false">DW144+DW98+DW106+$E103*DW14</f>
        <v>2119.30772157993</v>
      </c>
      <c r="DX146" s="49" t="n">
        <f aca="false">DX144+DX98+DX106+$E103*DX14</f>
        <v>2119.30772157993</v>
      </c>
      <c r="DY146" s="49" t="n">
        <f aca="false">DY144+DY98+DY106+$E103*DY14</f>
        <v>2142.59681742147</v>
      </c>
      <c r="DZ146" s="49" t="n">
        <f aca="false">DZ144+DZ98+DZ106+$E103*DZ14</f>
        <v>2134.2132704514</v>
      </c>
      <c r="EA146" s="49" t="n">
        <f aca="false">EA144+EA98+EA106+$E103*EA14</f>
        <v>2095.89387383467</v>
      </c>
      <c r="EB146" s="49" t="n">
        <f aca="false">EB144+EB98+EB106+$E103*EB14</f>
        <v>2119.18158354395</v>
      </c>
      <c r="EC146" s="49" t="n">
        <f aca="false">EC144+EC98+EC106+$E103*EC14</f>
        <v>2142.46929325322</v>
      </c>
      <c r="ED146" s="49" t="n">
        <f aca="false">ED144+ED98+ED106+$E103*ED14</f>
        <v>2134.03723494271</v>
      </c>
      <c r="EE146" s="49" t="n">
        <f aca="false">EE144+EE98+EE106+$E103*EE14</f>
        <v>2095.38963124086</v>
      </c>
      <c r="EF146" s="49" t="n">
        <f aca="false">EF144+EF98+EF106+$E103*EF14</f>
        <v>2118.67173825464</v>
      </c>
      <c r="EG146" s="49" t="n">
        <f aca="false">EG144+EG98+EG106+$E103*EG14</f>
        <v>2141.95384526843</v>
      </c>
      <c r="EH146" s="49" t="n">
        <f aca="false">EH144+EH98+EH106+$E103*EH14</f>
        <v>2133.4732170411</v>
      </c>
      <c r="EI146" s="49" t="n">
        <f aca="false">EI144+EI98+EI106+$E103*EI14</f>
        <v>2094.49412834513</v>
      </c>
      <c r="EJ146" s="49" t="n">
        <f aca="false">EJ144+EJ98+EJ106+$E103*EJ14</f>
        <v>2117.76628532674</v>
      </c>
      <c r="EK146" s="49" t="n">
        <f aca="false">EK144+EK98+EK106+$E103*EK14</f>
        <v>2141.03844230835</v>
      </c>
      <c r="EL146" s="49" t="n">
        <f aca="false">EL144+EL98+EL106+$E103*EL14</f>
        <v>2132.50919112262</v>
      </c>
      <c r="EM146" s="49" t="n">
        <f aca="false">EM144+EM98+EM106+$E103*EM14</f>
        <v>2116.45301662203</v>
      </c>
      <c r="EN146" s="49" t="n">
        <f aca="false">EN144+EN98+EN106+$E103*EN14</f>
        <v>2116.45301662203</v>
      </c>
      <c r="EO146" s="49" t="n">
        <f aca="false">EO144+EO98+EO106+$E103*EO14</f>
        <v>2139.71074207941</v>
      </c>
    </row>
    <row r="147" customFormat="false" ht="15" hidden="false" customHeight="false" outlineLevel="0" collapsed="false">
      <c r="C147" s="26" t="s">
        <v>527</v>
      </c>
      <c r="D147" s="12" t="s">
        <v>27</v>
      </c>
      <c r="E147" s="34" t="n">
        <f aca="false">XIRR(INDEX($J146:$EO146,$E15):$EO146,INDEX($J$4:$EO$4,$E15):$EO$4)</f>
        <v>0.0578758717662863</v>
      </c>
    </row>
    <row r="149" customFormat="false" ht="15" hidden="false" customHeight="false" outlineLevel="0" collapsed="false">
      <c r="A149" s="10" t="s">
        <v>13</v>
      </c>
      <c r="B149" s="10"/>
      <c r="C149" s="10" t="s">
        <v>528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</row>
    <row r="150" customFormat="false" ht="15" hidden="false" customHeight="false" outlineLevel="0" collapsed="false">
      <c r="C150" s="1" t="s">
        <v>529</v>
      </c>
      <c r="D150" s="12" t="s">
        <v>33</v>
      </c>
      <c r="I150" s="49" t="n">
        <f aca="false">SUM(J150:EO150)</f>
        <v>162548.038223916</v>
      </c>
      <c r="J150" s="49" t="n">
        <f aca="false">J63+J70+J83+J62+J117</f>
        <v>-4662.80993807469</v>
      </c>
      <c r="K150" s="49" t="n">
        <f aca="false">K63+K70+K83+K62+K117</f>
        <v>-706.535577057768</v>
      </c>
      <c r="L150" s="49" t="n">
        <f aca="false">L63+L70+L83+L62+L117</f>
        <v>-104.360496659404</v>
      </c>
      <c r="M150" s="49" t="n">
        <f aca="false">M63+M70+M83+M62+M117</f>
        <v>-105.507315304013</v>
      </c>
      <c r="N150" s="49" t="n">
        <f aca="false">N63+N70+N83+N62+N117</f>
        <v>-105.507315304013</v>
      </c>
      <c r="O150" s="49" t="n">
        <f aca="false">O63+O70+O83+O62+O117</f>
        <v>-104.360496659404</v>
      </c>
      <c r="P150" s="49" t="n">
        <f aca="false">P63+P70+P83+P62+P117</f>
        <v>-104.360496659404</v>
      </c>
      <c r="Q150" s="49" t="n">
        <f aca="false">Q63+Q70+Q83+Q62+Q117</f>
        <v>-105.507315304013</v>
      </c>
      <c r="R150" s="49" t="n">
        <f aca="false">R63+R70+R83+R62+R117</f>
        <v>-11665.0361901012</v>
      </c>
      <c r="S150" s="49" t="n">
        <f aca="false">S63+S70+S83+S62+S117</f>
        <v>-19567.2881157404</v>
      </c>
      <c r="T150" s="49" t="n">
        <f aca="false">T63+T70+T83+T62+T117</f>
        <v>-11539.2701313338</v>
      </c>
      <c r="U150" s="49" t="n">
        <f aca="false">U63+U70+U83+U62+U117</f>
        <v>-11666.0752976122</v>
      </c>
      <c r="V150" s="49" t="n">
        <f aca="false">V63+V70+V83+V62+V117</f>
        <v>-11666.0752976122</v>
      </c>
      <c r="W150" s="49" t="n">
        <f aca="false">W63+W70+W83+W62+W117</f>
        <v>-11413.5068962282</v>
      </c>
      <c r="X150" s="49" t="n">
        <f aca="false">X63+X70+X83+X62+X117</f>
        <v>-11540.3236395196</v>
      </c>
      <c r="Y150" s="49" t="n">
        <f aca="false">Y63+Y70+Y83+Y62+Y117</f>
        <v>-14167.140382811</v>
      </c>
      <c r="Z150" s="49" t="n">
        <f aca="false">Z63+Z70+Z83+Z62+Z117</f>
        <v>2344.40831738351</v>
      </c>
      <c r="AA150" s="49" t="n">
        <f aca="false">AA63+AA70+AA83+AA62+AA117</f>
        <v>2308.66251795177</v>
      </c>
      <c r="AB150" s="49" t="n">
        <f aca="false">AB63+AB70+AB83+AB62+AB117</f>
        <v>2333.0732324695</v>
      </c>
      <c r="AC150" s="49" t="n">
        <f aca="false">AC63+AC70+AC83+AC62+AC117</f>
        <v>2357.47603605058</v>
      </c>
      <c r="AD150" s="49" t="n">
        <f aca="false">AD63+AD70+AD83+AD62+AD117</f>
        <v>2348.98873340516</v>
      </c>
      <c r="AE150" s="49" t="n">
        <f aca="false">AE63+AE70+AE83+AE62+AE117</f>
        <v>2338.05078562171</v>
      </c>
      <c r="AF150" s="49" t="n">
        <f aca="false">AF63+AF70+AF83+AF62+AF117</f>
        <v>2337.38566866203</v>
      </c>
      <c r="AG150" s="49" t="n">
        <f aca="false">AG63+AG70+AG83+AG62+AG117</f>
        <v>2361.83191554663</v>
      </c>
      <c r="AH150" s="49" t="n">
        <f aca="false">AH63+AH70+AH83+AH62+AH117</f>
        <v>2353.26185946134</v>
      </c>
      <c r="AI150" s="49" t="n">
        <f aca="false">AI63+AI70+AI83+AI62+AI117</f>
        <v>2316.88828795445</v>
      </c>
      <c r="AJ150" s="49" t="n">
        <f aca="false">AJ63+AJ70+AJ83+AJ62+AJ117</f>
        <v>2372.05187968493</v>
      </c>
      <c r="AK150" s="49" t="n">
        <f aca="false">AK63+AK70+AK83+AK62+AK117</f>
        <v>2396.87492680256</v>
      </c>
      <c r="AL150" s="49" t="n">
        <f aca="false">AL63+AL70+AL83+AL62+AL117</f>
        <v>2359.09136366511</v>
      </c>
      <c r="AM150" s="49" t="n">
        <f aca="false">AM63+AM70+AM83+AM62+AM117</f>
        <v>2321.50494910752</v>
      </c>
      <c r="AN150" s="49" t="n">
        <f aca="false">AN63+AN70+AN83+AN62+AN117</f>
        <v>2344.79465773312</v>
      </c>
      <c r="AO150" s="49" t="n">
        <f aca="false">AO63+AO70+AO83+AO62+AO117</f>
        <v>2368.06600104778</v>
      </c>
      <c r="AP150" s="49" t="n">
        <f aca="false">AP63+AP70+AP83+AP62+AP117</f>
        <v>2359.21939811681</v>
      </c>
      <c r="AQ150" s="49" t="n">
        <f aca="false">AQ63+AQ70+AQ83+AQ62+AQ117</f>
        <v>2321.29480191402</v>
      </c>
      <c r="AR150" s="49" t="n">
        <f aca="false">AR63+AR70+AR83+AR62+AR117</f>
        <v>2344.57385888677</v>
      </c>
      <c r="AS150" s="49" t="n">
        <f aca="false">AS63+AS70+AS83+AS62+AS117</f>
        <v>2367.83361492163</v>
      </c>
      <c r="AT150" s="49" t="n">
        <f aca="false">AT63+AT70+AT83+AT62+AT117</f>
        <v>2358.86415935164</v>
      </c>
      <c r="AU150" s="49" t="n">
        <f aca="false">AU63+AU70+AU83+AU62+AU117</f>
        <v>2345.48051152876</v>
      </c>
      <c r="AV150" s="49" t="n">
        <f aca="false">AV63+AV70+AV83+AV62+AV117</f>
        <v>2343.85777307453</v>
      </c>
      <c r="AW150" s="49" t="n">
        <f aca="false">AW63+AW70+AW83+AW62+AW117</f>
        <v>2367.10003240958</v>
      </c>
      <c r="AX150" s="49" t="n">
        <f aca="false">AX63+AX70+AX83+AX62+AX117</f>
        <v>2358.00367037062</v>
      </c>
      <c r="AY150" s="49" t="n">
        <f aca="false">AY63+AY70+AY83+AY62+AY117</f>
        <v>2319.38403163649</v>
      </c>
      <c r="AZ150" s="49" t="n">
        <f aca="false">AZ63+AZ70+AZ83+AZ62+AZ117</f>
        <v>2342.62393178616</v>
      </c>
      <c r="BA150" s="49" t="n">
        <f aca="false">BA63+BA70+BA83+BA62+BA117</f>
        <v>2365.84251431819</v>
      </c>
      <c r="BB150" s="49" t="n">
        <f aca="false">BB63+BB70+BB83+BB62+BB117</f>
        <v>2356.61499549495</v>
      </c>
      <c r="BC150" s="49" t="n">
        <f aca="false">BC63+BC70+BC83+BC62+BC117</f>
        <v>2317.63803901419</v>
      </c>
      <c r="BD150" s="49" t="n">
        <f aca="false">BD63+BD70+BD83+BD62+BD117</f>
        <v>2340.84888561728</v>
      </c>
      <c r="BE150" s="49" t="n">
        <f aca="false">BE63+BE70+BE83+BE62+BE117</f>
        <v>2364.03732856951</v>
      </c>
      <c r="BF150" s="49" t="n">
        <f aca="false">BF63+BF70+BF83+BF62+BF117</f>
        <v>2354.67419611519</v>
      </c>
      <c r="BG150" s="49" t="n">
        <f aca="false">BG63+BG70+BG83+BG62+BG117</f>
        <v>2315.3330685701</v>
      </c>
      <c r="BH150" s="49" t="n">
        <f aca="false">BH63+BH70+BH83+BH62+BH117</f>
        <v>2338.50815895455</v>
      </c>
      <c r="BI150" s="49" t="n">
        <f aca="false">BI63+BI70+BI83+BI62+BI117</f>
        <v>2361.65970432661</v>
      </c>
      <c r="BJ150" s="49" t="n">
        <f aca="false">BJ63+BJ70+BJ83+BJ62+BJ117</f>
        <v>2352.15628430227</v>
      </c>
      <c r="BK150" s="49" t="n">
        <f aca="false">BK63+BK70+BK83+BK62+BK117</f>
        <v>2337.55576414916</v>
      </c>
      <c r="BL150" s="49" t="n">
        <f aca="false">BL63+BL70+BL83+BL62+BL117</f>
        <v>2335.57620247019</v>
      </c>
      <c r="BM150" s="49" t="n">
        <f aca="false">BM63+BM70+BM83+BM62+BM117</f>
        <v>2358.68378390117</v>
      </c>
      <c r="BN150" s="49" t="n">
        <f aca="false">BN63+BN70+BN83+BN62+BN117</f>
        <v>2349.03517417446</v>
      </c>
      <c r="BO150" s="49" t="n">
        <f aca="false">BO63+BO70+BO83+BO62+BO117</f>
        <v>2308.94410916204</v>
      </c>
      <c r="BP150" s="49" t="n">
        <f aca="false">BP63+BP70+BP83+BP62+BP117</f>
        <v>2332.02634331709</v>
      </c>
      <c r="BQ150" s="49" t="n">
        <f aca="false">BQ63+BQ70+BQ83+BQ62+BQ117</f>
        <v>2355.08257233319</v>
      </c>
      <c r="BR150" s="49" t="n">
        <f aca="false">BR63+BR70+BR83+BR62+BR117</f>
        <v>2345.28363090873</v>
      </c>
      <c r="BS150" s="49" t="n">
        <f aca="false">BS63+BS70+BS83+BS62+BS117</f>
        <v>2304.80625131434</v>
      </c>
      <c r="BT150" s="49" t="n">
        <f aca="false">BT63+BT70+BT83+BT62+BT117</f>
        <v>2327.83073291051</v>
      </c>
      <c r="BU150" s="49" t="n">
        <f aca="false">BU63+BU70+BU83+BU62+BU117</f>
        <v>2350.82788452716</v>
      </c>
      <c r="BV150" s="49" t="n">
        <f aca="false">BV63+BV70+BV83+BV62+BV117</f>
        <v>2340.8732172796</v>
      </c>
      <c r="BW150" s="49" t="n">
        <f aca="false">BW63+BW70+BW83+BW62+BW117</f>
        <v>2300.00157221465</v>
      </c>
      <c r="BX150" s="49" t="n">
        <f aca="false">BX63+BX70+BX83+BX62+BX117</f>
        <v>2322.96029217625</v>
      </c>
      <c r="BY150" s="49" t="n">
        <f aca="false">BY63+BY70+BY83+BY62+BY117</f>
        <v>2345.89028982332</v>
      </c>
      <c r="BZ150" s="49" t="n">
        <f aca="false">BZ63+BZ70+BZ83+BZ62+BZ117</f>
        <v>2335.77423760256</v>
      </c>
      <c r="CA150" s="49" t="n">
        <f aca="false">CA63+CA70+CA83+CA62+CA117</f>
        <v>2319.79950074076</v>
      </c>
      <c r="CB150" s="49" t="n">
        <f aca="false">CB63+CB70+CB83+CB62+CB117</f>
        <v>2317.38465413956</v>
      </c>
      <c r="CC150" s="49" t="n">
        <f aca="false">CC63+CC70+CC83+CC62+CC117</f>
        <v>2340.23905387656</v>
      </c>
      <c r="CD150" s="49" t="n">
        <f aca="false">CD63+CD70+CD83+CD62+CD117</f>
        <v>2329.95567895303</v>
      </c>
      <c r="CE150" s="49" t="n">
        <f aca="false">CE63+CE70+CE83+CE62+CE117</f>
        <v>2288.27040633856</v>
      </c>
      <c r="CF150" s="49" t="n">
        <f aca="false">CF63+CF70+CF83+CF62+CF117</f>
        <v>2311.07210372232</v>
      </c>
      <c r="CG150" s="49" t="n">
        <f aca="false">CG63+CG70+CG83+CG62+CG117</f>
        <v>2333.84207770889</v>
      </c>
      <c r="CH150" s="49" t="n">
        <f aca="false">CH63+CH70+CH83+CH62+CH117</f>
        <v>2323.38514952525</v>
      </c>
      <c r="CI150" s="49" t="n">
        <f aca="false">CI63+CI70+CI83+CI62+CI117</f>
        <v>2283.91409241878</v>
      </c>
      <c r="CJ150" s="49" t="n">
        <f aca="false">CJ63+CJ70+CJ83+CJ62+CJ117</f>
        <v>2309.29091566788</v>
      </c>
      <c r="CK150" s="49" t="n">
        <f aca="false">CK63+CK70+CK83+CK62+CK117</f>
        <v>2334.66773891698</v>
      </c>
      <c r="CL150" s="49" t="n">
        <f aca="false">CL63+CL70+CL83+CL62+CL117</f>
        <v>2326.76497947549</v>
      </c>
      <c r="CM150" s="49" t="n">
        <f aca="false">CM63+CM70+CM83+CM62+CM117</f>
        <v>2286.99883310266</v>
      </c>
      <c r="CN150" s="49" t="n">
        <f aca="false">CN63+CN70+CN83+CN62+CN117</f>
        <v>2312.40993124824</v>
      </c>
      <c r="CO150" s="49" t="n">
        <f aca="false">CO63+CO70+CO83+CO62+CO117</f>
        <v>2337.82102939383</v>
      </c>
      <c r="CP150" s="49" t="n">
        <f aca="false">CP63+CP70+CP83+CP62+CP117</f>
        <v>2329.87061423426</v>
      </c>
      <c r="CQ150" s="49" t="n">
        <f aca="false">CQ63+CQ70+CQ83+CQ62+CQ117</f>
        <v>2315.24887069338</v>
      </c>
      <c r="CR150" s="49" t="n">
        <f aca="false">CR63+CR70+CR83+CR62+CR117</f>
        <v>2315.24887069338</v>
      </c>
      <c r="CS150" s="49" t="n">
        <f aca="false">CS63+CS70+CS83+CS62+CS117</f>
        <v>2340.69116597572</v>
      </c>
      <c r="CT150" s="49" t="n">
        <f aca="false">CT63+CT70+CT83+CT62+CT117</f>
        <v>2332.6929896636</v>
      </c>
      <c r="CU150" s="49" t="n">
        <f aca="false">CU63+CU70+CU83+CU62+CU117</f>
        <v>2292.32821604218</v>
      </c>
      <c r="CV150" s="49" t="n">
        <f aca="false">CV63+CV70+CV83+CV62+CV117</f>
        <v>2317.79852955376</v>
      </c>
      <c r="CW150" s="49" t="n">
        <f aca="false">CW63+CW70+CW83+CW62+CW117</f>
        <v>2343.26884306534</v>
      </c>
      <c r="CX150" s="49" t="n">
        <f aca="false">CX63+CX70+CX83+CX62+CX117</f>
        <v>2335.22280421056</v>
      </c>
      <c r="CY150" s="49" t="n">
        <f aca="false">CY63+CY70+CY83+CY62+CY117</f>
        <v>2294.55441353347</v>
      </c>
      <c r="CZ150" s="49" t="n">
        <f aca="false">CZ63+CZ70+CZ83+CZ62+CZ117</f>
        <v>2320.04946257273</v>
      </c>
      <c r="DA150" s="49" t="n">
        <f aca="false">DA63+DA70+DA83+DA62+DA117</f>
        <v>2345.54451161199</v>
      </c>
      <c r="DB150" s="49" t="n">
        <f aca="false">DB63+DB70+DB83+DB62+DB117</f>
        <v>2127.75796595667</v>
      </c>
      <c r="DC150" s="49" t="n">
        <f aca="false">DC63+DC70+DC83+DC62+DC117</f>
        <v>2091.34156892558</v>
      </c>
      <c r="DD150" s="49" t="n">
        <f aca="false">DD63+DD70+DD83+DD62+DD117</f>
        <v>2114.5786974692</v>
      </c>
      <c r="DE150" s="49" t="n">
        <f aca="false">DE63+DE70+DE83+DE62+DE117</f>
        <v>2137.81582601281</v>
      </c>
      <c r="DF150" s="49" t="n">
        <f aca="false">DF63+DF70+DF83+DF62+DF117</f>
        <v>2129.67377475099</v>
      </c>
      <c r="DG150" s="49" t="n">
        <f aca="false">DG63+DG70+DG83+DG62+DG117</f>
        <v>2116.20284972323</v>
      </c>
      <c r="DH150" s="49" t="n">
        <f aca="false">DH63+DH70+DH83+DH62+DH117</f>
        <v>2116.20284972323</v>
      </c>
      <c r="DI150" s="49" t="n">
        <f aca="false">DI63+DI70+DI83+DI62+DI117</f>
        <v>2139.45782609381</v>
      </c>
      <c r="DJ150" s="49" t="n">
        <f aca="false">DJ63+DJ70+DJ83+DJ62+DJ117</f>
        <v>2131.26763373715</v>
      </c>
      <c r="DK150" s="49" t="n">
        <f aca="false">DK63+DK70+DK83+DK62+DK117</f>
        <v>2094.22922134031</v>
      </c>
      <c r="DL150" s="49" t="n">
        <f aca="false">DL63+DL70+DL83+DL62+DL117</f>
        <v>2117.49843491076</v>
      </c>
      <c r="DM150" s="49" t="n">
        <f aca="false">DM63+DM70+DM83+DM62+DM117</f>
        <v>2140.76764848121</v>
      </c>
      <c r="DN150" s="49" t="n">
        <f aca="false">DN63+DN70+DN83+DN62+DN117</f>
        <v>2132.52923118543</v>
      </c>
      <c r="DO150" s="49" t="n">
        <f aca="false">DO63+DO70+DO83+DO62+DO117</f>
        <v>2095.17525809415</v>
      </c>
      <c r="DP150" s="49" t="n">
        <f aca="false">DP63+DP70+DP83+DP62+DP117</f>
        <v>2118.45498318408</v>
      </c>
      <c r="DQ150" s="49" t="n">
        <f aca="false">DQ63+DQ70+DQ83+DQ62+DQ117</f>
        <v>2141.73470827402</v>
      </c>
      <c r="DR150" s="49" t="n">
        <f aca="false">DR63+DR70+DR83+DR62+DR117</f>
        <v>2133.4479869401</v>
      </c>
      <c r="DS150" s="49" t="n">
        <f aca="false">DS63+DS70+DS83+DS62+DS117</f>
        <v>2095.77535956</v>
      </c>
      <c r="DT150" s="49" t="n">
        <f aca="false">DT63+DT70+DT83+DT62+DT117</f>
        <v>2119.061752444</v>
      </c>
      <c r="DU150" s="49" t="n">
        <f aca="false">DU63+DU70+DU83+DU62+DU117</f>
        <v>2142.348145328</v>
      </c>
      <c r="DV150" s="49" t="n">
        <f aca="false">DV63+DV70+DV83+DV62+DV117</f>
        <v>2134.01304575269</v>
      </c>
      <c r="DW150" s="49" t="n">
        <f aca="false">DW63+DW70+DW83+DW62+DW117</f>
        <v>2119.30772157993</v>
      </c>
      <c r="DX150" s="49" t="n">
        <f aca="false">DX63+DX70+DX83+DX62+DX117</f>
        <v>2119.30772157993</v>
      </c>
      <c r="DY150" s="49" t="n">
        <f aca="false">DY63+DY70+DY83+DY62+DY117</f>
        <v>2142.59681742147</v>
      </c>
      <c r="DZ150" s="49" t="n">
        <f aca="false">DZ63+DZ70+DZ83+DZ62+DZ117</f>
        <v>2134.2132704514</v>
      </c>
      <c r="EA150" s="49" t="n">
        <f aca="false">EA63+EA70+EA83+EA62+EA117</f>
        <v>2095.89387383467</v>
      </c>
      <c r="EB150" s="49" t="n">
        <f aca="false">EB63+EB70+EB83+EB62+EB117</f>
        <v>2119.18158354395</v>
      </c>
      <c r="EC150" s="49" t="n">
        <f aca="false">EC63+EC70+EC83+EC62+EC117</f>
        <v>2142.46929325322</v>
      </c>
      <c r="ED150" s="49" t="n">
        <f aca="false">ED63+ED70+ED83+ED62+ED117</f>
        <v>2134.03723494271</v>
      </c>
      <c r="EE150" s="49" t="n">
        <f aca="false">EE63+EE70+EE83+EE62+EE117</f>
        <v>2095.38963124086</v>
      </c>
      <c r="EF150" s="49" t="n">
        <f aca="false">EF63+EF70+EF83+EF62+EF117</f>
        <v>2118.67173825464</v>
      </c>
      <c r="EG150" s="49" t="n">
        <f aca="false">EG63+EG70+EG83+EG62+EG117</f>
        <v>2141.95384526843</v>
      </c>
      <c r="EH150" s="49" t="n">
        <f aca="false">EH63+EH70+EH83+EH62+EH117</f>
        <v>2133.4732170411</v>
      </c>
      <c r="EI150" s="49" t="n">
        <f aca="false">EI63+EI70+EI83+EI62+EI117</f>
        <v>2094.49412834513</v>
      </c>
      <c r="EJ150" s="49" t="n">
        <f aca="false">EJ63+EJ70+EJ83+EJ62+EJ117</f>
        <v>2117.76628532674</v>
      </c>
      <c r="EK150" s="49" t="n">
        <f aca="false">EK63+EK70+EK83+EK62+EK117</f>
        <v>2141.03844230835</v>
      </c>
      <c r="EL150" s="49" t="n">
        <f aca="false">EL63+EL70+EL83+EL62+EL117</f>
        <v>2132.50919112262</v>
      </c>
      <c r="EM150" s="49" t="n">
        <f aca="false">EM63+EM70+EM83+EM62+EM117</f>
        <v>2116.45301662203</v>
      </c>
      <c r="EN150" s="49" t="n">
        <f aca="false">EN63+EN70+EN83+EN62+EN117</f>
        <v>2116.45301662203</v>
      </c>
      <c r="EO150" s="49" t="n">
        <f aca="false">EO63+EO70+EO83+EO62+EO117</f>
        <v>2139.71074207941</v>
      </c>
    </row>
    <row r="151" customFormat="false" ht="15" hidden="false" customHeight="false" outlineLevel="0" collapsed="false">
      <c r="C151" s="26" t="s">
        <v>94</v>
      </c>
      <c r="D151" s="12" t="s">
        <v>27</v>
      </c>
      <c r="E151" s="34" t="n">
        <f aca="false">XIRR($J150:$EO150,$J$4:$EO$4)</f>
        <v>0.0699903583029334</v>
      </c>
    </row>
    <row r="152" customFormat="false" ht="15" hidden="false" customHeight="false" outlineLevel="0" collapsed="false">
      <c r="C152" s="26" t="s">
        <v>530</v>
      </c>
      <c r="D152" s="12" t="s">
        <v>33</v>
      </c>
      <c r="I152" s="58" t="n">
        <f aca="false">SUM(J152:EO152)</f>
        <v>133102.206905504</v>
      </c>
      <c r="J152" s="58" t="n">
        <f aca="false">J63+J70+J100+J104+J105+J83+J98+J106+J62+J117</f>
        <v>-4662.80993807469</v>
      </c>
      <c r="K152" s="58" t="n">
        <f aca="false">K63+K70+K100+K104+K105+K83+K98+K106+K62+K117</f>
        <v>-706.535577057768</v>
      </c>
      <c r="L152" s="58" t="n">
        <f aca="false">L63+L70+L100+L104+L105+L83+L98+L106+L62+L117</f>
        <v>-104.360496659404</v>
      </c>
      <c r="M152" s="58" t="n">
        <f aca="false">M63+M70+M100+M104+M105+M83+M98+M106+M62+M117</f>
        <v>-105.507315304013</v>
      </c>
      <c r="N152" s="58" t="n">
        <f aca="false">N63+N70+N100+N104+N105+N83+N98+N106+N62+N117</f>
        <v>-105.507315304013</v>
      </c>
      <c r="O152" s="58" t="n">
        <f aca="false">O63+O70+O100+O104+O105+O83+O98+O106+O62+O117</f>
        <v>-104.360496659404</v>
      </c>
      <c r="P152" s="58" t="n">
        <f aca="false">P63+P70+P100+P104+P105+P83+P98+P106+P62+P117</f>
        <v>-104.360496659404</v>
      </c>
      <c r="Q152" s="58" t="n">
        <f aca="false">Q63+Q70+Q100+Q104+Q105+Q83+Q98+Q106+Q62+Q117</f>
        <v>-105.507315304013</v>
      </c>
      <c r="R152" s="58" t="n">
        <f aca="false">R63+R70+R100+R104+R105+R83+R98+R106+R62+R117</f>
        <v>-6452.06801054133</v>
      </c>
      <c r="S152" s="58" t="n">
        <f aca="false">S63+S70+S100+S104+S105+S83+S98+S106+S62+S117</f>
        <v>-8957.34206285879</v>
      </c>
      <c r="T152" s="58" t="n">
        <f aca="false">T63+T70+T100+T104+T105+T83+T98+T106+T62+T117</f>
        <v>-5322.36727647646</v>
      </c>
      <c r="U152" s="58" t="n">
        <f aca="false">U63+U70+U100+U104+U105+U83+U98+U106+U62+U117</f>
        <v>-5366.55155799786</v>
      </c>
      <c r="V152" s="58" t="n">
        <f aca="false">V63+V70+V100+V104+V105+V83+V98+V106+V62+V117</f>
        <v>-5352.09110822868</v>
      </c>
      <c r="W152" s="58" t="n">
        <f aca="false">W63+W70+W100+W104+W105+W83+W98+W106+W62+W117</f>
        <v>-5222.63714053528</v>
      </c>
      <c r="X152" s="58" t="n">
        <f aca="false">X63+X70+X100+X104+X105+X83+X98+X106+X62+X117</f>
        <v>-5266.67411180264</v>
      </c>
      <c r="Y152" s="58" t="n">
        <f aca="false">Y63+Y70+Y100+Y104+Y105+Y83+Y98+Y106+Y62+Y117</f>
        <v>-7840.1725408655</v>
      </c>
      <c r="Z152" s="58" t="n">
        <f aca="false">Z63+Z70+Z100+Z104+Z105+Z83+Z98+Z106+Z62+Z117</f>
        <v>939.482157043442</v>
      </c>
      <c r="AA152" s="58" t="n">
        <f aca="false">AA63+AA70+AA100+AA104+AA105+AA83+AA98+AA106+AA62+AA117</f>
        <v>903.736357611697</v>
      </c>
      <c r="AB152" s="58" t="n">
        <f aca="false">AB63+AB70+AB100+AB104+AB105+AB83+AB98+AB106+AB62+AB117</f>
        <v>928.147072129433</v>
      </c>
      <c r="AC152" s="58" t="n">
        <f aca="false">AC63+AC70+AC100+AC104+AC105+AC83+AC98+AC106+AC62+AC117</f>
        <v>952.549875710508</v>
      </c>
      <c r="AD152" s="58" t="n">
        <f aca="false">AD63+AD70+AD100+AD104+AD105+AD83+AD98+AD106+AD62+AD117</f>
        <v>944.062573065086</v>
      </c>
      <c r="AE152" s="58" t="n">
        <f aca="false">AE63+AE70+AE100+AE104+AE105+AE83+AE98+AE106+AE62+AE117</f>
        <v>933.124625281642</v>
      </c>
      <c r="AF152" s="58" t="n">
        <f aca="false">AF63+AF70+AF100+AF104+AF105+AF83+AF98+AF106+AF62+AF117</f>
        <v>932.459508321961</v>
      </c>
      <c r="AG152" s="58" t="n">
        <f aca="false">AG63+AG70+AG100+AG104+AG105+AG83+AG98+AG106+AG62+AG117</f>
        <v>956.905755206555</v>
      </c>
      <c r="AH152" s="58" t="n">
        <f aca="false">AH63+AH70+AH100+AH104+AH105+AH83+AH98+AH106+AH62+AH117</f>
        <v>948.335699121264</v>
      </c>
      <c r="AI152" s="58" t="n">
        <f aca="false">AI63+AI70+AI100+AI104+AI105+AI83+AI98+AI106+AI62+AI117</f>
        <v>911.962127614383</v>
      </c>
      <c r="AJ152" s="58" t="n">
        <f aca="false">AJ63+AJ70+AJ100+AJ104+AJ105+AJ83+AJ98+AJ106+AJ62+AJ117</f>
        <v>967.125719344862</v>
      </c>
      <c r="AK152" s="58" t="n">
        <f aca="false">AK63+AK70+AK100+AK104+AK105+AK83+AK98+AK106+AK62+AK117</f>
        <v>991.948766462488</v>
      </c>
      <c r="AL152" s="58" t="n">
        <f aca="false">AL63+AL70+AL100+AL104+AL105+AL83+AL98+AL106+AL62+AL117</f>
        <v>954.165203325035</v>
      </c>
      <c r="AM152" s="58" t="n">
        <f aca="false">AM63+AM70+AM100+AM104+AM105+AM83+AM98+AM106+AM62+AM117</f>
        <v>916.578788767446</v>
      </c>
      <c r="AN152" s="58" t="n">
        <f aca="false">AN63+AN70+AN100+AN104+AN105+AN83+AN98+AN106+AN62+AN117</f>
        <v>939.868497393046</v>
      </c>
      <c r="AO152" s="58" t="n">
        <f aca="false">AO63+AO70+AO100+AO104+AO105+AO83+AO98+AO106+AO62+AO117</f>
        <v>963.139840707705</v>
      </c>
      <c r="AP152" s="58" t="n">
        <f aca="false">AP63+AP70+AP100+AP104+AP105+AP83+AP98+AP106+AP62+AP117</f>
        <v>954.29323777674</v>
      </c>
      <c r="AQ152" s="58" t="n">
        <f aca="false">AQ63+AQ70+AQ100+AQ104+AQ105+AQ83+AQ98+AQ106+AQ62+AQ117</f>
        <v>916.368641573946</v>
      </c>
      <c r="AR152" s="58" t="n">
        <f aca="false">AR63+AR70+AR100+AR104+AR105+AR83+AR98+AR106+AR62+AR117</f>
        <v>939.647698546698</v>
      </c>
      <c r="AS152" s="58" t="n">
        <f aca="false">AS63+AS70+AS100+AS104+AS105+AS83+AS98+AS106+AS62+AS117</f>
        <v>962.907454581556</v>
      </c>
      <c r="AT152" s="58" t="n">
        <f aca="false">AT63+AT70+AT100+AT104+AT105+AT83+AT98+AT106+AT62+AT117</f>
        <v>953.937999011571</v>
      </c>
      <c r="AU152" s="58" t="n">
        <f aca="false">AU63+AU70+AU100+AU104+AU105+AU83+AU98+AU106+AU62+AU117</f>
        <v>940.554351188692</v>
      </c>
      <c r="AV152" s="58" t="n">
        <f aca="false">AV63+AV70+AV100+AV104+AV105+AV83+AV98+AV106+AV62+AV117</f>
        <v>938.931612734463</v>
      </c>
      <c r="AW152" s="58" t="n">
        <f aca="false">AW63+AW70+AW100+AW104+AW105+AW83+AW98+AW106+AW62+AW117</f>
        <v>962.173872069513</v>
      </c>
      <c r="AX152" s="58" t="n">
        <f aca="false">AX63+AX70+AX100+AX104+AX105+AX83+AX98+AX106+AX62+AX117</f>
        <v>953.077510030549</v>
      </c>
      <c r="AY152" s="58" t="n">
        <f aca="false">AY63+AY70+AY100+AY104+AY105+AY83+AY98+AY106+AY62+AY117</f>
        <v>914.457871296419</v>
      </c>
      <c r="AZ152" s="58" t="n">
        <f aca="false">AZ63+AZ70+AZ100+AZ104+AZ105+AZ83+AZ98+AZ106+AZ62+AZ117</f>
        <v>937.69777144609</v>
      </c>
      <c r="BA152" s="58" t="n">
        <f aca="false">BA63+BA70+BA100+BA104+BA105+BA83+BA98+BA106+BA62+BA117</f>
        <v>960.916353978118</v>
      </c>
      <c r="BB152" s="58" t="n">
        <f aca="false">BB63+BB70+BB100+BB104+BB105+BB83+BB98+BB106+BB62+BB117</f>
        <v>951.688835154881</v>
      </c>
      <c r="BC152" s="58" t="n">
        <f aca="false">BC63+BC70+BC100+BC104+BC105+BC83+BC98+BC106+BC62+BC117</f>
        <v>912.711878674122</v>
      </c>
      <c r="BD152" s="58" t="n">
        <f aca="false">BD63+BD70+BD100+BD104+BD105+BD83+BD98+BD106+BD62+BD117</f>
        <v>935.922725277207</v>
      </c>
      <c r="BE152" s="58" t="n">
        <f aca="false">BE63+BE70+BE100+BE104+BE105+BE83+BE98+BE106+BE62+BE117</f>
        <v>959.111168229435</v>
      </c>
      <c r="BF152" s="58" t="n">
        <f aca="false">BF63+BF70+BF100+BF104+BF105+BF83+BF98+BF106+BF62+BF117</f>
        <v>949.748035775114</v>
      </c>
      <c r="BG152" s="58" t="n">
        <f aca="false">BG63+BG70+BG100+BG104+BG105+BG83+BG98+BG106+BG62+BG117</f>
        <v>910.406908230027</v>
      </c>
      <c r="BH152" s="58" t="n">
        <f aca="false">BH63+BH70+BH100+BH104+BH105+BH83+BH98+BH106+BH62+BH117</f>
        <v>933.58199861448</v>
      </c>
      <c r="BI152" s="58" t="n">
        <f aca="false">BI63+BI70+BI100+BI104+BI105+BI83+BI98+BI106+BI62+BI117</f>
        <v>956.733543986536</v>
      </c>
      <c r="BJ152" s="58" t="n">
        <f aca="false">BJ63+BJ70+BJ100+BJ104+BJ105+BJ83+BJ98+BJ106+BJ62+BJ117</f>
        <v>947.230123962194</v>
      </c>
      <c r="BK152" s="58" t="n">
        <f aca="false">BK63+BK70+BK100+BK104+BK105+BK83+BK98+BK106+BK62+BK117</f>
        <v>932.629603809085</v>
      </c>
      <c r="BL152" s="58" t="n">
        <f aca="false">BL63+BL70+BL100+BL104+BL105+BL83+BL98+BL106+BL62+BL117</f>
        <v>930.650042130115</v>
      </c>
      <c r="BM152" s="58" t="n">
        <f aca="false">BM63+BM70+BM100+BM104+BM105+BM83+BM98+BM106+BM62+BM117</f>
        <v>953.757623561101</v>
      </c>
      <c r="BN152" s="58" t="n">
        <f aca="false">BN63+BN70+BN100+BN104+BN105+BN83+BN98+BN106+BN62+BN117</f>
        <v>944.109013834388</v>
      </c>
      <c r="BO152" s="58" t="n">
        <f aca="false">BO63+BO70+BO100+BO104+BO105+BO83+BO98+BO106+BO62+BO117</f>
        <v>904.017948821966</v>
      </c>
      <c r="BP152" s="58" t="n">
        <f aca="false">BP63+BP70+BP100+BP104+BP105+BP83+BP98+BP106+BP62+BP117</f>
        <v>927.100182977017</v>
      </c>
      <c r="BQ152" s="58" t="n">
        <f aca="false">BQ63+BQ70+BQ100+BQ104+BQ105+BQ83+BQ98+BQ106+BQ62+BQ117</f>
        <v>950.156411993123</v>
      </c>
      <c r="BR152" s="58" t="n">
        <f aca="false">BR63+BR70+BR100+BR104+BR105+BR83+BR98+BR106+BR62+BR117</f>
        <v>940.357470568663</v>
      </c>
      <c r="BS152" s="58" t="n">
        <f aca="false">BS63+BS70+BS100+BS104+BS105+BS83+BS98+BS106+BS62+BS117</f>
        <v>899.88009097427</v>
      </c>
      <c r="BT152" s="58" t="n">
        <f aca="false">BT63+BT70+BT100+BT104+BT105+BT83+BT98+BT106+BT62+BT117</f>
        <v>922.904572570435</v>
      </c>
      <c r="BU152" s="58" t="n">
        <f aca="false">BU63+BU70+BU100+BU104+BU105+BU83+BU98+BU106+BU62+BU117</f>
        <v>945.901724187089</v>
      </c>
      <c r="BV152" s="58" t="n">
        <f aca="false">BV63+BV70+BV100+BV104+BV105+BV83+BV98+BV106+BV62+BV117</f>
        <v>935.947056939532</v>
      </c>
      <c r="BW152" s="58" t="n">
        <f aca="false">BW63+BW70+BW100+BW104+BW105+BW83+BW98+BW106+BW62+BW117</f>
        <v>895.075411874578</v>
      </c>
      <c r="BX152" s="58" t="n">
        <f aca="false">BX63+BX70+BX100+BX104+BX105+BX83+BX98+BX106+BX62+BX117</f>
        <v>918.034131836177</v>
      </c>
      <c r="BY152" s="58" t="n">
        <f aca="false">BY63+BY70+BY100+BY104+BY105+BY83+BY98+BY106+BY62+BY117</f>
        <v>940.964129483251</v>
      </c>
      <c r="BZ152" s="58" t="n">
        <f aca="false">BZ63+BZ70+BZ100+BZ104+BZ105+BZ83+BZ98+BZ106+BZ62+BZ117</f>
        <v>930.84807726249</v>
      </c>
      <c r="CA152" s="58" t="n">
        <f aca="false">CA63+CA70+CA100+CA104+CA105+CA83+CA98+CA106+CA62+CA117</f>
        <v>914.873340400693</v>
      </c>
      <c r="CB152" s="58" t="n">
        <f aca="false">CB63+CB70+CB100+CB104+CB105+CB83+CB98+CB106+CB62+CB117</f>
        <v>912.458493799484</v>
      </c>
      <c r="CC152" s="58" t="n">
        <f aca="false">CC63+CC70+CC100+CC104+CC105+CC83+CC98+CC106+CC62+CC117</f>
        <v>935.312893536491</v>
      </c>
      <c r="CD152" s="58" t="n">
        <f aca="false">CD63+CD70+CD100+CD104+CD105+CD83+CD98+CD106+CD62+CD117</f>
        <v>925.029518612955</v>
      </c>
      <c r="CE152" s="58" t="n">
        <f aca="false">CE63+CE70+CE100+CE104+CE105+CE83+CE98+CE106+CE62+CE117</f>
        <v>883.344245998485</v>
      </c>
      <c r="CF152" s="58" t="n">
        <f aca="false">CF63+CF70+CF100+CF104+CF105+CF83+CF98+CF106+CF62+CF117</f>
        <v>906.145943382246</v>
      </c>
      <c r="CG152" s="58" t="n">
        <f aca="false">CG63+CG70+CG100+CG104+CG105+CG83+CG98+CG106+CG62+CG117</f>
        <v>2333.84207770891</v>
      </c>
      <c r="CH152" s="58" t="n">
        <f aca="false">CH63+CH70+CH100+CH104+CH105+CH83+CH98+CH106+CH62+CH117</f>
        <v>2323.38514952525</v>
      </c>
      <c r="CI152" s="58" t="n">
        <f aca="false">CI63+CI70+CI100+CI104+CI105+CI83+CI98+CI106+CI62+CI117</f>
        <v>2283.91409241878</v>
      </c>
      <c r="CJ152" s="58" t="n">
        <f aca="false">CJ63+CJ70+CJ100+CJ104+CJ105+CJ83+CJ98+CJ106+CJ62+CJ117</f>
        <v>2309.29091566788</v>
      </c>
      <c r="CK152" s="58" t="n">
        <f aca="false">CK63+CK70+CK100+CK104+CK105+CK83+CK98+CK106+CK62+CK117</f>
        <v>2334.66773891698</v>
      </c>
      <c r="CL152" s="58" t="n">
        <f aca="false">CL63+CL70+CL100+CL104+CL105+CL83+CL98+CL106+CL62+CL117</f>
        <v>2326.76497947549</v>
      </c>
      <c r="CM152" s="58" t="n">
        <f aca="false">CM63+CM70+CM100+CM104+CM105+CM83+CM98+CM106+CM62+CM117</f>
        <v>2286.99883310266</v>
      </c>
      <c r="CN152" s="58" t="n">
        <f aca="false">CN63+CN70+CN100+CN104+CN105+CN83+CN98+CN106+CN62+CN117</f>
        <v>2312.40993124824</v>
      </c>
      <c r="CO152" s="58" t="n">
        <f aca="false">CO63+CO70+CO100+CO104+CO105+CO83+CO98+CO106+CO62+CO117</f>
        <v>2337.82102939383</v>
      </c>
      <c r="CP152" s="58" t="n">
        <f aca="false">CP63+CP70+CP100+CP104+CP105+CP83+CP98+CP106+CP62+CP117</f>
        <v>2329.87061423426</v>
      </c>
      <c r="CQ152" s="58" t="n">
        <f aca="false">CQ63+CQ70+CQ100+CQ104+CQ105+CQ83+CQ98+CQ106+CQ62+CQ117</f>
        <v>2315.24887069338</v>
      </c>
      <c r="CR152" s="58" t="n">
        <f aca="false">CR63+CR70+CR100+CR104+CR105+CR83+CR98+CR106+CR62+CR117</f>
        <v>2315.24887069338</v>
      </c>
      <c r="CS152" s="58" t="n">
        <f aca="false">CS63+CS70+CS100+CS104+CS105+CS83+CS98+CS106+CS62+CS117</f>
        <v>2340.69116597572</v>
      </c>
      <c r="CT152" s="58" t="n">
        <f aca="false">CT63+CT70+CT100+CT104+CT105+CT83+CT98+CT106+CT62+CT117</f>
        <v>2332.6929896636</v>
      </c>
      <c r="CU152" s="58" t="n">
        <f aca="false">CU63+CU70+CU100+CU104+CU105+CU83+CU98+CU106+CU62+CU117</f>
        <v>2292.32821604218</v>
      </c>
      <c r="CV152" s="58" t="n">
        <f aca="false">CV63+CV70+CV100+CV104+CV105+CV83+CV98+CV106+CV62+CV117</f>
        <v>2317.79852955376</v>
      </c>
      <c r="CW152" s="58" t="n">
        <f aca="false">CW63+CW70+CW100+CW104+CW105+CW83+CW98+CW106+CW62+CW117</f>
        <v>2343.26884306534</v>
      </c>
      <c r="CX152" s="58" t="n">
        <f aca="false">CX63+CX70+CX100+CX104+CX105+CX83+CX98+CX106+CX62+CX117</f>
        <v>2335.22280421056</v>
      </c>
      <c r="CY152" s="58" t="n">
        <f aca="false">CY63+CY70+CY100+CY104+CY105+CY83+CY98+CY106+CY62+CY117</f>
        <v>2294.55441353347</v>
      </c>
      <c r="CZ152" s="58" t="n">
        <f aca="false">CZ63+CZ70+CZ100+CZ104+CZ105+CZ83+CZ98+CZ106+CZ62+CZ117</f>
        <v>2320.04946257273</v>
      </c>
      <c r="DA152" s="58" t="n">
        <f aca="false">DA63+DA70+DA100+DA104+DA105+DA83+DA98+DA106+DA62+DA117</f>
        <v>2345.54451161199</v>
      </c>
      <c r="DB152" s="58" t="n">
        <f aca="false">DB63+DB70+DB100+DB104+DB105+DB83+DB98+DB106+DB62+DB117</f>
        <v>2127.75796595667</v>
      </c>
      <c r="DC152" s="58" t="n">
        <f aca="false">DC63+DC70+DC100+DC104+DC105+DC83+DC98+DC106+DC62+DC117</f>
        <v>2091.34156892558</v>
      </c>
      <c r="DD152" s="58" t="n">
        <f aca="false">DD63+DD70+DD100+DD104+DD105+DD83+DD98+DD106+DD62+DD117</f>
        <v>2114.5786974692</v>
      </c>
      <c r="DE152" s="58" t="n">
        <f aca="false">DE63+DE70+DE100+DE104+DE105+DE83+DE98+DE106+DE62+DE117</f>
        <v>2137.81582601281</v>
      </c>
      <c r="DF152" s="58" t="n">
        <f aca="false">DF63+DF70+DF100+DF104+DF105+DF83+DF98+DF106+DF62+DF117</f>
        <v>2129.67377475099</v>
      </c>
      <c r="DG152" s="58" t="n">
        <f aca="false">DG63+DG70+DG100+DG104+DG105+DG83+DG98+DG106+DG62+DG117</f>
        <v>2116.20284972323</v>
      </c>
      <c r="DH152" s="58" t="n">
        <f aca="false">DH63+DH70+DH100+DH104+DH105+DH83+DH98+DH106+DH62+DH117</f>
        <v>2116.20284972323</v>
      </c>
      <c r="DI152" s="58" t="n">
        <f aca="false">DI63+DI70+DI100+DI104+DI105+DI83+DI98+DI106+DI62+DI117</f>
        <v>2139.45782609381</v>
      </c>
      <c r="DJ152" s="58" t="n">
        <f aca="false">DJ63+DJ70+DJ100+DJ104+DJ105+DJ83+DJ98+DJ106+DJ62+DJ117</f>
        <v>2131.26763373715</v>
      </c>
      <c r="DK152" s="58" t="n">
        <f aca="false">DK63+DK70+DK100+DK104+DK105+DK83+DK98+DK106+DK62+DK117</f>
        <v>2094.22922134031</v>
      </c>
      <c r="DL152" s="58" t="n">
        <f aca="false">DL63+DL70+DL100+DL104+DL105+DL83+DL98+DL106+DL62+DL117</f>
        <v>2117.49843491076</v>
      </c>
      <c r="DM152" s="58" t="n">
        <f aca="false">DM63+DM70+DM100+DM104+DM105+DM83+DM98+DM106+DM62+DM117</f>
        <v>2140.76764848121</v>
      </c>
      <c r="DN152" s="58" t="n">
        <f aca="false">DN63+DN70+DN100+DN104+DN105+DN83+DN98+DN106+DN62+DN117</f>
        <v>2132.52923118543</v>
      </c>
      <c r="DO152" s="58" t="n">
        <f aca="false">DO63+DO70+DO100+DO104+DO105+DO83+DO98+DO106+DO62+DO117</f>
        <v>2095.17525809415</v>
      </c>
      <c r="DP152" s="58" t="n">
        <f aca="false">DP63+DP70+DP100+DP104+DP105+DP83+DP98+DP106+DP62+DP117</f>
        <v>2118.45498318408</v>
      </c>
      <c r="DQ152" s="58" t="n">
        <f aca="false">DQ63+DQ70+DQ100+DQ104+DQ105+DQ83+DQ98+DQ106+DQ62+DQ117</f>
        <v>2141.73470827402</v>
      </c>
      <c r="DR152" s="58" t="n">
        <f aca="false">DR63+DR70+DR100+DR104+DR105+DR83+DR98+DR106+DR62+DR117</f>
        <v>2133.4479869401</v>
      </c>
      <c r="DS152" s="58" t="n">
        <f aca="false">DS63+DS70+DS100+DS104+DS105+DS83+DS98+DS106+DS62+DS117</f>
        <v>2095.77535956</v>
      </c>
      <c r="DT152" s="58" t="n">
        <f aca="false">DT63+DT70+DT100+DT104+DT105+DT83+DT98+DT106+DT62+DT117</f>
        <v>2119.061752444</v>
      </c>
      <c r="DU152" s="58" t="n">
        <f aca="false">DU63+DU70+DU100+DU104+DU105+DU83+DU98+DU106+DU62+DU117</f>
        <v>2142.348145328</v>
      </c>
      <c r="DV152" s="58" t="n">
        <f aca="false">DV63+DV70+DV100+DV104+DV105+DV83+DV98+DV106+DV62+DV117</f>
        <v>2134.01304575269</v>
      </c>
      <c r="DW152" s="58" t="n">
        <f aca="false">DW63+DW70+DW100+DW104+DW105+DW83+DW98+DW106+DW62+DW117</f>
        <v>2119.30772157993</v>
      </c>
      <c r="DX152" s="58" t="n">
        <f aca="false">DX63+DX70+DX100+DX104+DX105+DX83+DX98+DX106+DX62+DX117</f>
        <v>2119.30772157993</v>
      </c>
      <c r="DY152" s="58" t="n">
        <f aca="false">DY63+DY70+DY100+DY104+DY105+DY83+DY98+DY106+DY62+DY117</f>
        <v>2142.59681742147</v>
      </c>
      <c r="DZ152" s="58" t="n">
        <f aca="false">DZ63+DZ70+DZ100+DZ104+DZ105+DZ83+DZ98+DZ106+DZ62+DZ117</f>
        <v>2134.2132704514</v>
      </c>
      <c r="EA152" s="58" t="n">
        <f aca="false">EA63+EA70+EA100+EA104+EA105+EA83+EA98+EA106+EA62+EA117</f>
        <v>2095.89387383467</v>
      </c>
      <c r="EB152" s="58" t="n">
        <f aca="false">EB63+EB70+EB100+EB104+EB105+EB83+EB98+EB106+EB62+EB117</f>
        <v>2119.18158354395</v>
      </c>
      <c r="EC152" s="58" t="n">
        <f aca="false">EC63+EC70+EC100+EC104+EC105+EC83+EC98+EC106+EC62+EC117</f>
        <v>2142.46929325322</v>
      </c>
      <c r="ED152" s="58" t="n">
        <f aca="false">ED63+ED70+ED100+ED104+ED105+ED83+ED98+ED106+ED62+ED117</f>
        <v>2134.03723494271</v>
      </c>
      <c r="EE152" s="58" t="n">
        <f aca="false">EE63+EE70+EE100+EE104+EE105+EE83+EE98+EE106+EE62+EE117</f>
        <v>2095.38963124086</v>
      </c>
      <c r="EF152" s="58" t="n">
        <f aca="false">EF63+EF70+EF100+EF104+EF105+EF83+EF98+EF106+EF62+EF117</f>
        <v>2118.67173825464</v>
      </c>
      <c r="EG152" s="58" t="n">
        <f aca="false">EG63+EG70+EG100+EG104+EG105+EG83+EG98+EG106+EG62+EG117</f>
        <v>2141.95384526843</v>
      </c>
      <c r="EH152" s="58" t="n">
        <f aca="false">EH63+EH70+EH100+EH104+EH105+EH83+EH98+EH106+EH62+EH117</f>
        <v>2133.4732170411</v>
      </c>
      <c r="EI152" s="58" t="n">
        <f aca="false">EI63+EI70+EI100+EI104+EI105+EI83+EI98+EI106+EI62+EI117</f>
        <v>2094.49412834513</v>
      </c>
      <c r="EJ152" s="58" t="n">
        <f aca="false">EJ63+EJ70+EJ100+EJ104+EJ105+EJ83+EJ98+EJ106+EJ62+EJ117</f>
        <v>2117.76628532674</v>
      </c>
      <c r="EK152" s="58" t="n">
        <f aca="false">EK63+EK70+EK100+EK104+EK105+EK83+EK98+EK106+EK62+EK117</f>
        <v>2141.03844230835</v>
      </c>
      <c r="EL152" s="58" t="n">
        <f aca="false">EL63+EL70+EL100+EL104+EL105+EL83+EL98+EL106+EL62+EL117</f>
        <v>2132.50919112262</v>
      </c>
      <c r="EM152" s="58" t="n">
        <f aca="false">EM63+EM70+EM100+EM104+EM105+EM83+EM98+EM106+EM62+EM117</f>
        <v>2116.45301662203</v>
      </c>
      <c r="EN152" s="58" t="n">
        <f aca="false">EN63+EN70+EN100+EN104+EN105+EN83+EN98+EN106+EN62+EN117</f>
        <v>2116.45301662203</v>
      </c>
      <c r="EO152" s="58" t="n">
        <f aca="false">EO63+EO70+EO100+EO104+EO105+EO83+EO98+EO106+EO62+EO117</f>
        <v>2139.71074207941</v>
      </c>
    </row>
    <row r="153" customFormat="false" ht="15" hidden="false" customHeight="false" outlineLevel="0" collapsed="false">
      <c r="C153" s="26" t="s">
        <v>91</v>
      </c>
      <c r="D153" s="12" t="s">
        <v>27</v>
      </c>
      <c r="E153" s="34" t="n">
        <f aca="false">XIRR($J152:$EO152,$J$4:$EO$4)</f>
        <v>0.0758104971930004</v>
      </c>
    </row>
    <row r="154" customFormat="false" ht="15" hidden="false" customHeight="false" outlineLevel="0" collapsed="false">
      <c r="C154" s="26" t="s">
        <v>92</v>
      </c>
      <c r="D154" s="12" t="s">
        <v>13</v>
      </c>
      <c r="E154" s="61" t="n">
        <f aca="false">SUMIF($J152:$EO152,"&gt;0")/-SUMIF($J152:$EO152,"&lt;0")</f>
        <v>3.3862485569113</v>
      </c>
    </row>
    <row r="155" customFormat="false" ht="15" hidden="false" customHeight="false" outlineLevel="0" collapsed="false">
      <c r="C155" s="26" t="s">
        <v>93</v>
      </c>
      <c r="D155" s="12" t="s">
        <v>33</v>
      </c>
      <c r="E155" s="58" t="n">
        <f aca="false">XNPV(In_Discount_Rate,$J152:$EO152,$J$4:$EO$4)</f>
        <v>-2427.56798606144</v>
      </c>
    </row>
    <row r="157" customFormat="false" ht="15" hidden="false" customHeight="false" outlineLevel="0" collapsed="false">
      <c r="C157" s="43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2</v>
      </c>
      <c r="C1" s="14" t="s">
        <v>416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417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418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419</v>
      </c>
      <c r="D5" s="12" t="s">
        <v>216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420</v>
      </c>
      <c r="D6" s="12" t="s">
        <v>421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422</v>
      </c>
      <c r="D7" s="12" t="s">
        <v>423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424</v>
      </c>
      <c r="D8" s="12" t="s">
        <v>152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425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426</v>
      </c>
      <c r="D12" s="12" t="s">
        <v>421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427</v>
      </c>
      <c r="D13" s="12" t="s">
        <v>421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428</v>
      </c>
      <c r="D15" s="12" t="s">
        <v>152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339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429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430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53235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0</v>
      </c>
      <c r="CI18" s="56" t="n">
        <f aca="false">MAX(0,(MIN($F18,CI$4)-MAX($E18,CI$3)+1)/CI$5)</f>
        <v>0</v>
      </c>
      <c r="CJ18" s="56" t="n">
        <f aca="false">MAX(0,(MIN($F18,CJ$4)-MAX($E18,CJ$3)+1)/CJ$5)</f>
        <v>0</v>
      </c>
      <c r="CK18" s="56" t="n">
        <f aca="false">MAX(0,(MIN($F18,CK$4)-MAX($E18,CK$3)+1)/CK$5)</f>
        <v>0</v>
      </c>
      <c r="CL18" s="56" t="n">
        <f aca="false">MAX(0,(MIN($F18,CL$4)-MAX($E18,CL$3)+1)/CL$5)</f>
        <v>0</v>
      </c>
      <c r="CM18" s="56" t="n">
        <f aca="false">MAX(0,(MIN($F18,CM$4)-MAX($E18,CM$3)+1)/CM$5)</f>
        <v>0</v>
      </c>
      <c r="CN18" s="56" t="n">
        <f aca="false">MAX(0,(MIN($F18,CN$4)-MAX($E18,CN$3)+1)/CN$5)</f>
        <v>0</v>
      </c>
      <c r="CO18" s="56" t="n">
        <f aca="false">MAX(0,(MIN($F18,CO$4)-MAX($E18,CO$3)+1)/CO$5)</f>
        <v>0</v>
      </c>
      <c r="CP18" s="56" t="n">
        <f aca="false">MAX(0,(MIN($F18,CP$4)-MAX($E18,CP$3)+1)/CP$5)</f>
        <v>0</v>
      </c>
      <c r="CQ18" s="56" t="n">
        <f aca="false">MAX(0,(MIN($F18,CQ$4)-MAX($E18,CQ$3)+1)/CQ$5)</f>
        <v>0</v>
      </c>
      <c r="CR18" s="56" t="n">
        <f aca="false">MAX(0,(MIN($F18,CR$4)-MAX($E18,CR$3)+1)/CR$5)</f>
        <v>0</v>
      </c>
      <c r="CS18" s="56" t="n">
        <f aca="false">MAX(0,(MIN($F18,CS$4)-MAX($E18,CS$3)+1)/CS$5)</f>
        <v>0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431</v>
      </c>
      <c r="D19" s="12" t="s">
        <v>43</v>
      </c>
      <c r="E19" s="47" t="n">
        <f aca="false">EDATE(In_COD,In_Debt_Tenor*Months_In_Year)</f>
        <v>53235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1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0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432</v>
      </c>
      <c r="D20" s="12" t="s">
        <v>421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433</v>
      </c>
      <c r="D21" s="12" t="s">
        <v>152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434</v>
      </c>
      <c r="D22" s="12" t="s">
        <v>421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435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436</v>
      </c>
      <c r="D25" s="12" t="s">
        <v>62</v>
      </c>
      <c r="E25" s="37" t="n">
        <f aca="false">In_MVA*(1+INDEX(Dash_Overbuild,1,$A$1)*(1-In_Zero_Bid))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437</v>
      </c>
      <c r="D26" s="12" t="s">
        <v>27</v>
      </c>
      <c r="E26" s="50" t="n">
        <f aca="false">IF(In_BESS_Set&gt;0,In_BESS_Set,INDEX(Dash_BESS,1,$A$1))*(1-In_Zero_Bid)</f>
        <v>0.2</v>
      </c>
    </row>
    <row r="27" customFormat="false" ht="15" hidden="false" customHeight="false" outlineLevel="0" collapsed="false">
      <c r="C27" s="1" t="s">
        <v>438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439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440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441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442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443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444</v>
      </c>
      <c r="D34" s="12" t="s">
        <v>19</v>
      </c>
      <c r="E34" s="33" t="n">
        <f aca="false">IF(In_Zero_Bid=1,Osz1_Min,INDEX(Dash_Municipal,1,$A$1))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445</v>
      </c>
      <c r="D35" s="12" t="s">
        <v>24</v>
      </c>
      <c r="E35" s="33" t="n">
        <f aca="false">IF(In_Zero_Bid=1,Osz2_Min,INDEX(Dash_Community,1,$A$1))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446</v>
      </c>
      <c r="D36" s="12" t="s">
        <v>27</v>
      </c>
      <c r="E36" s="50" t="n">
        <f aca="false">INDEX(Dash_Overbuild,1,$A$1)*(1-In_Zero_Bid)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447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448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449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450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451</v>
      </c>
      <c r="D41" s="12" t="s">
        <v>43</v>
      </c>
      <c r="E41" s="51" t="n">
        <f aca="false">INDEX(Dash_EU_Turbine,1,$A$1)</f>
        <v>0</v>
      </c>
      <c r="F41" s="33" t="n">
        <f aca="false">$E41*Osz9a_Pts*Osz9_W</f>
        <v>0</v>
      </c>
    </row>
    <row r="42" customFormat="false" ht="15" hidden="false" customHeight="false" outlineLevel="0" collapsed="false">
      <c r="C42" s="1" t="s">
        <v>452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47.5</v>
      </c>
    </row>
    <row r="44" customFormat="false" ht="15" hidden="false" customHeight="false" outlineLevel="0" collapsed="false">
      <c r="C44" s="1" t="s">
        <v>453</v>
      </c>
      <c r="D44" s="12" t="s">
        <v>43</v>
      </c>
      <c r="E44" s="51" t="n">
        <f aca="false">$E41*In_Deliver</f>
        <v>0</v>
      </c>
    </row>
    <row r="45" customFormat="false" ht="15" hidden="false" customHeight="false" outlineLevel="0" collapsed="false">
      <c r="C45" s="1" t="s">
        <v>454</v>
      </c>
      <c r="D45" s="12" t="s">
        <v>152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455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254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456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457</v>
      </c>
      <c r="D51" s="12" t="s">
        <v>309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458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459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460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461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462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463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464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465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466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467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468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469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470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471</v>
      </c>
      <c r="D66" s="12" t="s">
        <v>19</v>
      </c>
      <c r="E66" s="49" t="n">
        <f aca="false">IF($E44=1,In_Turbine,In_Turbine_CN)</f>
        <v>500</v>
      </c>
    </row>
    <row r="67" customFormat="false" ht="15" hidden="false" customHeight="false" outlineLevel="0" collapsed="false">
      <c r="C67" s="1" t="s">
        <v>472</v>
      </c>
      <c r="D67" s="12" t="s">
        <v>33</v>
      </c>
      <c r="E67" s="49" t="n">
        <f aca="false">IF($E44=1,In_Substation,In_Substation_CN)</f>
        <v>10800</v>
      </c>
    </row>
    <row r="68" customFormat="false" ht="15" hidden="false" customHeight="false" outlineLevel="0" collapsed="false">
      <c r="C68" s="1" t="s">
        <v>473</v>
      </c>
      <c r="D68" s="12" t="s">
        <v>33</v>
      </c>
      <c r="E68" s="49" t="n">
        <f aca="false">(($E66+In_Other_Wind)*$F25+$E67)*(1+In_Capex_Contingency)+In_BESS_Capex*$E28*In_BESS_Built</f>
        <v>64716.25</v>
      </c>
      <c r="I68" s="49" t="n">
        <f aca="false">SUM(J68:EO68)</f>
        <v>-64716.25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-8156.02054794521</v>
      </c>
      <c r="S68" s="49" t="n">
        <f aca="false">-$E68*S12</f>
        <v>-7978.71575342466</v>
      </c>
      <c r="T68" s="49" t="n">
        <f aca="false">-$E68*T12</f>
        <v>-8067.36815068493</v>
      </c>
      <c r="U68" s="49" t="n">
        <f aca="false">-$E68*U12</f>
        <v>-8156.02054794521</v>
      </c>
      <c r="V68" s="49" t="n">
        <f aca="false">-$E68*V12</f>
        <v>-8156.02054794521</v>
      </c>
      <c r="W68" s="49" t="n">
        <f aca="false">-$E68*W12</f>
        <v>-7978.71575342466</v>
      </c>
      <c r="X68" s="49" t="n">
        <f aca="false">-$E68*X12</f>
        <v>-8067.36815068493</v>
      </c>
      <c r="Y68" s="49" t="n">
        <f aca="false">-$E68*Y12</f>
        <v>-8156.02054794521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474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475</v>
      </c>
      <c r="D70" s="12" t="s">
        <v>33</v>
      </c>
      <c r="E70" s="58" t="n">
        <f aca="false">SUMPRODUCT($J70:$EO70/$J22:$EO22)*$E22</f>
        <v>-78904.2480519649</v>
      </c>
      <c r="I70" s="58" t="n">
        <f aca="false">SUM(J70:EO70)</f>
        <v>-75371.0731506849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-8156.02054794521</v>
      </c>
      <c r="S70" s="58" t="n">
        <f aca="false">S68+S58+S69</f>
        <v>-16133.5389041096</v>
      </c>
      <c r="T70" s="58" t="n">
        <f aca="false">T68+T58+T69</f>
        <v>-8067.36815068493</v>
      </c>
      <c r="U70" s="58" t="n">
        <f aca="false">U68+U58+U69</f>
        <v>-8156.02054794521</v>
      </c>
      <c r="V70" s="58" t="n">
        <f aca="false">V68+V58+V69</f>
        <v>-8156.02054794521</v>
      </c>
      <c r="W70" s="58" t="n">
        <f aca="false">W68+W58+W69</f>
        <v>-7978.71575342466</v>
      </c>
      <c r="X70" s="58" t="n">
        <f aca="false">X68+X58+X69</f>
        <v>-8067.36815068493</v>
      </c>
      <c r="Y70" s="58" t="n">
        <f aca="false">Y68+Y58+Y69</f>
        <v>-10656.0205479452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339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476</v>
      </c>
      <c r="D73" s="12" t="s">
        <v>421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477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478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479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480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481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482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483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356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484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485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486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-57.9374552281603</v>
      </c>
      <c r="AA86" s="59" t="n">
        <v>-57.4399344812928</v>
      </c>
      <c r="AB86" s="59" t="n">
        <v>-58.9901803611493</v>
      </c>
      <c r="AC86" s="59" t="n">
        <v>-60.5462396469284</v>
      </c>
      <c r="AD86" s="59" t="n">
        <v>-60.3874569823895</v>
      </c>
      <c r="AE86" s="59" t="n">
        <v>-116.758734103684</v>
      </c>
      <c r="AF86" s="59" t="n">
        <v>-122.941488443531</v>
      </c>
      <c r="AG86" s="59" t="n">
        <v>-126.11392454692</v>
      </c>
      <c r="AH86" s="59" t="n">
        <v>-125.836878321305</v>
      </c>
      <c r="AI86" s="59" t="n">
        <v>-124.846614179757</v>
      </c>
      <c r="AJ86" s="59" t="n">
        <v>-133.041969458097</v>
      </c>
      <c r="AK86" s="59" t="n">
        <v>-136.331494967991</v>
      </c>
      <c r="AL86" s="59" t="n">
        <v>-136.097415863805</v>
      </c>
      <c r="AM86" s="59" t="n">
        <v>-135.003321800434</v>
      </c>
      <c r="AN86" s="59" t="n">
        <v>-138.34402136973</v>
      </c>
      <c r="AO86" s="59" t="n">
        <v>-141.698216813403</v>
      </c>
      <c r="AP86" s="59" t="n">
        <v>-141.509679351696</v>
      </c>
      <c r="AQ86" s="59" t="n">
        <v>-140.423277039126</v>
      </c>
      <c r="AR86" s="59" t="n">
        <v>-143.830309905448</v>
      </c>
      <c r="AS86" s="59" t="n">
        <v>-147.251526198013</v>
      </c>
      <c r="AT86" s="59" t="n">
        <v>-147.111237842595</v>
      </c>
      <c r="AU86" s="59" t="n">
        <v>-148.31820028279</v>
      </c>
      <c r="AV86" s="59" t="n">
        <v>-149.510680736508</v>
      </c>
      <c r="AW86" s="59" t="n">
        <v>-153.001393612611</v>
      </c>
      <c r="AX86" s="59" t="n">
        <v>-152.912201537361</v>
      </c>
      <c r="AY86" s="59" t="n">
        <v>-151.84835794014</v>
      </c>
      <c r="AZ86" s="59" t="n">
        <v>-155.395509224558</v>
      </c>
      <c r="BA86" s="59" t="n">
        <v>-158.958325906128</v>
      </c>
      <c r="BB86" s="59" t="n">
        <v>-158.923224106642</v>
      </c>
      <c r="BC86" s="59" t="n">
        <v>-157.874525472005</v>
      </c>
      <c r="BD86" s="59" t="n">
        <v>-161.495728208429</v>
      </c>
      <c r="BE86" s="59" t="n">
        <v>-165.133394420941</v>
      </c>
      <c r="BF86" s="59" t="n">
        <v>-165.155531188027</v>
      </c>
      <c r="BG86" s="59" t="n">
        <v>-164.124752085069</v>
      </c>
      <c r="BH86" s="59" t="n">
        <v>-167.822857226847</v>
      </c>
      <c r="BI86" s="59" t="n">
        <v>-171.53826458205</v>
      </c>
      <c r="BJ86" s="59" t="n">
        <v>-171.620950355506</v>
      </c>
      <c r="BK86" s="59" t="n">
        <v>-172.934338809386</v>
      </c>
      <c r="BL86" s="59" t="n">
        <v>-174.389033250717</v>
      </c>
      <c r="BM86" s="59" t="n">
        <v>-178.185227014745</v>
      </c>
      <c r="BN86" s="59" t="n">
        <v>-178.331942636776</v>
      </c>
      <c r="BO86" s="59" t="n">
        <v>-177.345965789915</v>
      </c>
      <c r="BP86" s="59" t="n">
        <v>-181.207043002392</v>
      </c>
      <c r="BQ86" s="59" t="n">
        <v>-185.087230269116</v>
      </c>
      <c r="BR86" s="59" t="n">
        <v>-185.301635657742</v>
      </c>
      <c r="BS86" s="59" t="n">
        <v>-184.342882275204</v>
      </c>
      <c r="BT86" s="59" t="n">
        <v>-188.290356943314</v>
      </c>
      <c r="BU86" s="59" t="n">
        <v>-192.257915233823</v>
      </c>
      <c r="BV86" s="59" t="n">
        <v>-192.543858497651</v>
      </c>
      <c r="BW86" s="59" t="n">
        <v>-191.615785494695</v>
      </c>
      <c r="BX86" s="59" t="n">
        <v>-195.653165015551</v>
      </c>
      <c r="BY86" s="59" t="n">
        <v>-199.711651325715</v>
      </c>
      <c r="BZ86" s="59" t="n">
        <v>-200.073178342561</v>
      </c>
      <c r="CA86" s="59" t="n">
        <v>-201.535847683055</v>
      </c>
      <c r="CB86" s="59" t="n">
        <v>-203.310414227136</v>
      </c>
      <c r="CC86" s="59" t="n">
        <v>-207.463574546337</v>
      </c>
      <c r="CD86" s="59" t="n">
        <v>-207.904939029305</v>
      </c>
      <c r="CE86" s="59" t="n">
        <v>-207.049381005859</v>
      </c>
      <c r="CF86" s="59" t="n">
        <v>-211.277848175713</v>
      </c>
      <c r="CG86" s="59" t="n">
        <v>-215.529627500998</v>
      </c>
      <c r="CH86" s="59" t="n">
        <v>-216.055301576839</v>
      </c>
      <c r="CI86" s="59" t="n">
        <v>-213.306208790492</v>
      </c>
      <c r="CJ86" s="59" t="n">
        <v>-215.676277777053</v>
      </c>
      <c r="CK86" s="59" t="n">
        <v>-218.046346763614</v>
      </c>
      <c r="CL86" s="59" t="n">
        <v>-216.651742156292</v>
      </c>
      <c r="CM86" s="59" t="n">
        <v>-213.850574793528</v>
      </c>
      <c r="CN86" s="59" t="n">
        <v>-216.226692291234</v>
      </c>
      <c r="CO86" s="59" t="n">
        <v>-218.60280978894</v>
      </c>
      <c r="CP86" s="59" t="n">
        <v>-217.199795349016</v>
      </c>
      <c r="CQ86" s="59" t="n">
        <v>-216.727681605082</v>
      </c>
      <c r="CR86" s="59" t="n">
        <v>-216.727681605082</v>
      </c>
      <c r="CS86" s="59" t="n">
        <v>-219.109304479863</v>
      </c>
      <c r="CT86" s="59" t="n">
        <v>-217.697861601253</v>
      </c>
      <c r="CU86" s="59" t="n">
        <v>-214.791054135796</v>
      </c>
      <c r="CV86" s="59" t="n">
        <v>-217.177621403972</v>
      </c>
      <c r="CW86" s="59" t="n">
        <v>-219.564188672147</v>
      </c>
      <c r="CX86" s="59" t="n">
        <v>-218.144299462481</v>
      </c>
      <c r="CY86" s="59" t="n">
        <v>-215.183912516612</v>
      </c>
      <c r="CZ86" s="59" t="n">
        <v>-217.574844877908</v>
      </c>
      <c r="DA86" s="59" t="n">
        <v>-219.965777239204</v>
      </c>
      <c r="DB86" s="59" t="n">
        <v>-375.486699874707</v>
      </c>
      <c r="DC86" s="59" t="n">
        <v>-369.06027686922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-373.447561715864</v>
      </c>
      <c r="DH86" s="59" t="n">
        <v>-373.447561715864</v>
      </c>
      <c r="DI86" s="59" t="n">
        <v>-377.551381075379</v>
      </c>
      <c r="DJ86" s="59" t="n">
        <v>-376.106053012439</v>
      </c>
      <c r="DK86" s="59" t="n">
        <v>-369.569862589467</v>
      </c>
      <c r="DL86" s="59" t="n">
        <v>-373.676194396017</v>
      </c>
      <c r="DM86" s="59" t="n">
        <v>-377.782526202566</v>
      </c>
      <c r="DN86" s="59" t="n">
        <v>-376.328687856252</v>
      </c>
      <c r="DO86" s="59" t="n">
        <v>-369.736810251909</v>
      </c>
      <c r="DP86" s="59" t="n">
        <v>-373.844997032485</v>
      </c>
      <c r="DQ86" s="59" t="n">
        <v>-377.953183813062</v>
      </c>
      <c r="DR86" s="59" t="n">
        <v>-376.490821224724</v>
      </c>
      <c r="DS86" s="59" t="n">
        <v>-369.842710510588</v>
      </c>
      <c r="DT86" s="59" t="n">
        <v>-373.952073960706</v>
      </c>
      <c r="DU86" s="59" t="n">
        <v>-378.061437410824</v>
      </c>
      <c r="DV86" s="59" t="n">
        <v>-376.590537485769</v>
      </c>
      <c r="DW86" s="59" t="n">
        <v>-373.995480278812</v>
      </c>
      <c r="DX86" s="59" t="n">
        <v>-373.995480278812</v>
      </c>
      <c r="DY86" s="59" t="n">
        <v>-378.105320721436</v>
      </c>
      <c r="DZ86" s="59" t="n">
        <v>-376.625871256129</v>
      </c>
      <c r="EA86" s="59" t="n">
        <v>-369.863624794354</v>
      </c>
      <c r="EB86" s="59" t="n">
        <v>-373.973220625402</v>
      </c>
      <c r="EC86" s="59" t="n">
        <v>-378.082816456451</v>
      </c>
      <c r="ED86" s="59" t="n">
        <v>-376.59480616636</v>
      </c>
      <c r="EE86" s="59" t="n">
        <v>-369.77464080721</v>
      </c>
      <c r="EF86" s="59" t="n">
        <v>-373.88324792729</v>
      </c>
      <c r="EG86" s="59" t="n">
        <v>-377.99185504737</v>
      </c>
      <c r="EH86" s="59" t="n">
        <v>-376.495273595489</v>
      </c>
      <c r="EI86" s="59" t="n">
        <v>-369.616610884434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-377.596013308132</v>
      </c>
    </row>
    <row r="87" customFormat="false" ht="15" hidden="false" customHeight="false" outlineLevel="0" collapsed="false">
      <c r="C87" s="1" t="s">
        <v>487</v>
      </c>
      <c r="D87" s="12" t="s">
        <v>33</v>
      </c>
      <c r="I87" s="49" t="n">
        <f aca="false">SUM(J87:EO87)</f>
        <v>266618.518574165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2303.35715537998</v>
      </c>
      <c r="AA87" s="49" t="n">
        <f aca="false">(AA83+AA59+AA86)*(AA$4&gt;In_COD)</f>
        <v>2268.35038320381</v>
      </c>
      <c r="AB87" s="49" t="n">
        <f aca="false">(AB83+AB59+AB86)*(AB$4&gt;In_COD)</f>
        <v>2292.6422519649</v>
      </c>
      <c r="AC87" s="49" t="n">
        <f aca="false">(AC83+AC59+AC86)*(AC$4&gt;In_COD)</f>
        <v>2316.92830732007</v>
      </c>
      <c r="AD87" s="49" t="n">
        <f aca="false">(AD83+AD59+AD86)*(AD$4&gt;In_COD)</f>
        <v>2308.61302841445</v>
      </c>
      <c r="AE87" s="49" t="n">
        <f aca="false">(AE83+AE59+AE86)*(AE$4&gt;In_COD)</f>
        <v>2242.35914725381</v>
      </c>
      <c r="AF87" s="49" t="n">
        <f aca="false">(AF83+AF59+AF86)*(AF$4&gt;In_COD)</f>
        <v>2236.17639291396</v>
      </c>
      <c r="AG87" s="49" t="n">
        <f aca="false">(AG83+AG59+AG86)*(AG$4&gt;In_COD)</f>
        <v>2258.92832913318</v>
      </c>
      <c r="AH87" s="49" t="n">
        <f aca="false">(AH83+AH59+AH86)*(AH$4&gt;In_COD)</f>
        <v>2250.67758370789</v>
      </c>
      <c r="AI87" s="49" t="n">
        <f aca="false">(AI83+AI59+AI86)*(AI$4&gt;In_COD)</f>
        <v>2215.55548809498</v>
      </c>
      <c r="AJ87" s="49" t="n">
        <f aca="false">(AJ83+AJ59+AJ86)*(AJ$4&gt;In_COD)</f>
        <v>2266.52008945437</v>
      </c>
      <c r="AK87" s="49" t="n">
        <f aca="false">(AK83+AK59+AK86)*(AK$4&gt;In_COD)</f>
        <v>2289.59937777868</v>
      </c>
      <c r="AL87" s="49" t="n">
        <f aca="false">(AL83+AL59+AL86)*(AL$4&gt;In_COD)</f>
        <v>2281.25175624472</v>
      </c>
      <c r="AM87" s="49" t="n">
        <f aca="false">(AM83+AM59+AM86)*(AM$4&gt;In_COD)</f>
        <v>2245.19668015561</v>
      </c>
      <c r="AN87" s="49" t="n">
        <f aca="false">(AN83+AN59+AN86)*(AN$4&gt;In_COD)</f>
        <v>2268.30264727472</v>
      </c>
      <c r="AO87" s="49" t="n">
        <f aca="false">(AO83+AO59+AO86)*(AO$4&gt;In_COD)</f>
        <v>2291.39511851944</v>
      </c>
      <c r="AP87" s="49" t="n">
        <f aca="false">(AP83+AP59+AP86)*(AP$4&gt;In_COD)</f>
        <v>2282.94787025475</v>
      </c>
      <c r="AQ87" s="49" t="n">
        <f aca="false">(AQ83+AQ59+AQ86)*(AQ$4&gt;In_COD)</f>
        <v>2246.57421351491</v>
      </c>
      <c r="AR87" s="49" t="n">
        <f aca="false">(AR83+AR59+AR86)*(AR$4&gt;In_COD)</f>
        <v>2269.68937498808</v>
      </c>
      <c r="AS87" s="49" t="n">
        <f aca="false">(AS83+AS59+AS86)*(AS$4&gt;In_COD)</f>
        <v>2292.790353035</v>
      </c>
      <c r="AT87" s="49" t="n">
        <f aca="false">(AT83+AT59+AT86)*(AT$4&gt;In_COD)</f>
        <v>2284.24059738931</v>
      </c>
      <c r="AU87" s="49" t="n">
        <f aca="false">(AU83+AU59+AU86)*(AU$4&gt;In_COD)</f>
        <v>2271.85519217145</v>
      </c>
      <c r="AV87" s="49" t="n">
        <f aca="false">(AV83+AV59+AV86)*(AV$4&gt;In_COD)</f>
        <v>2270.66271171773</v>
      </c>
      <c r="AW87" s="49" t="n">
        <f aca="false">(AW83+AW59+AW86)*(AW$4&gt;In_COD)</f>
        <v>2293.76731084662</v>
      </c>
      <c r="AX87" s="49" t="n">
        <f aca="false">(AX83+AX59+AX86)*(AX$4&gt;In_COD)</f>
        <v>2285.112030486</v>
      </c>
      <c r="AY87" s="49" t="n">
        <f aca="false">(AY83+AY59+AY86)*(AY$4&gt;In_COD)</f>
        <v>2248.08557981454</v>
      </c>
      <c r="AZ87" s="49" t="n">
        <f aca="false">(AZ83+AZ59+AZ86)*(AZ$4&gt;In_COD)</f>
        <v>2271.20436117184</v>
      </c>
      <c r="BA87" s="49" t="n">
        <f aca="false">(BA83+BA59+BA86)*(BA$4&gt;In_COD)</f>
        <v>2294.30747713199</v>
      </c>
      <c r="BB87" s="49" t="n">
        <f aca="false">(BB83+BB59+BB86)*(BB$4&gt;In_COD)</f>
        <v>2285.5435110418</v>
      </c>
      <c r="BC87" s="49" t="n">
        <f aca="false">(BC83+BC59+BC86)*(BC$4&gt;In_COD)</f>
        <v>2248.1824945666</v>
      </c>
      <c r="BD87" s="49" t="n">
        <f aca="false">(BD83+BD59+BD86)*(BD$4&gt;In_COD)</f>
        <v>2271.2952587195</v>
      </c>
      <c r="BE87" s="49" t="n">
        <f aca="false">(BE83+BE59+BE86)*(BE$4&gt;In_COD)</f>
        <v>2294.3915593963</v>
      </c>
      <c r="BF87" s="49" t="n">
        <f aca="false">(BF83+BF59+BF86)*(BF$4&gt;In_COD)</f>
        <v>2285.51559552519</v>
      </c>
      <c r="BG87" s="49" t="n">
        <f aca="false">(BG83+BG59+BG86)*(BG$4&gt;In_COD)</f>
        <v>2247.81431903396</v>
      </c>
      <c r="BH87" s="49" t="n">
        <f aca="false">(BH83+BH59+BH86)*(BH$4&gt;In_COD)</f>
        <v>2270.91553690461</v>
      </c>
      <c r="BI87" s="49" t="n">
        <f aca="false">(BI83+BI59+BI86)*(BI$4&gt;In_COD)</f>
        <v>2293.99945256185</v>
      </c>
      <c r="BJ87" s="49" t="n">
        <f aca="false">(BJ83+BJ59+BJ86)*(BJ$4&gt;In_COD)</f>
        <v>2285.00802008832</v>
      </c>
      <c r="BK87" s="49" t="n">
        <f aca="false">(BK83+BK59+BK86)*(BK$4&gt;In_COD)</f>
        <v>2271.49918376209</v>
      </c>
      <c r="BL87" s="49" t="n">
        <f aca="false">(BL83+BL59+BL86)*(BL$4&gt;In_COD)</f>
        <v>2270.04448932076</v>
      </c>
      <c r="BM87" s="49" t="n">
        <f aca="false">(BM83+BM59+BM86)*(BM$4&gt;In_COD)</f>
        <v>2293.11020239817</v>
      </c>
      <c r="BN87" s="49" t="n">
        <f aca="false">(BN83+BN59+BN86)*(BN$4&gt;In_COD)</f>
        <v>2283.99966360055</v>
      </c>
      <c r="BO87" s="49" t="n">
        <f aca="false">(BO83+BO59+BO86)*(BO$4&gt;In_COD)</f>
        <v>2245.59998826718</v>
      </c>
      <c r="BP87" s="49" t="n">
        <f aca="false">(BP83+BP59+BP86)*(BP$4&gt;In_COD)</f>
        <v>2268.66053276645</v>
      </c>
      <c r="BQ87" s="49" t="n">
        <f aca="false">(BQ83+BQ59+BQ86)*(BQ$4&gt;In_COD)</f>
        <v>2291.70196721147</v>
      </c>
      <c r="BR87" s="49" t="n">
        <f aca="false">(BR83+BR59+BR86)*(BR$4&gt;In_COD)</f>
        <v>2282.46850892087</v>
      </c>
      <c r="BS87" s="49" t="n">
        <f aca="false">(BS83+BS59+BS86)*(BS$4&gt;In_COD)</f>
        <v>2243.71027386286</v>
      </c>
      <c r="BT87" s="49" t="n">
        <f aca="false">(BT83+BT59+BT86)*(BT$4&gt;In_COD)</f>
        <v>2266.74116759628</v>
      </c>
      <c r="BU87" s="49" t="n">
        <f aca="false">(BU83+BU59+BU86)*(BU$4&gt;In_COD)</f>
        <v>2289.75197770731</v>
      </c>
      <c r="BV87" s="49" t="n">
        <f aca="false">(BV83+BV59+BV86)*(BV$4&gt;In_COD)</f>
        <v>2280.39160232237</v>
      </c>
      <c r="BW87" s="49" t="n">
        <f aca="false">(BW83+BW59+BW86)*(BW$4&gt;In_COD)</f>
        <v>2241.26827063169</v>
      </c>
      <c r="BX87" s="49" t="n">
        <f aca="false">(BX83+BX59+BX86)*(BX$4&gt;In_COD)</f>
        <v>2264.2629361789</v>
      </c>
      <c r="BY87" s="49" t="n">
        <f aca="false">(BY83+BY59+BY86)*(BY$4&gt;In_COD)</f>
        <v>2287.23649493681</v>
      </c>
      <c r="BZ87" s="49" t="n">
        <f aca="false">(BZ83+BZ59+BZ86)*(BZ$4&gt;In_COD)</f>
        <v>2277.74501097784</v>
      </c>
      <c r="CA87" s="49" t="n">
        <f aca="false">(CA83+CA59+CA86)*(CA$4&gt;In_COD)</f>
        <v>2262.97594591278</v>
      </c>
      <c r="CB87" s="49" t="n">
        <f aca="false">(CB83+CB59+CB86)*(CB$4&gt;In_COD)</f>
        <v>2261.2013793687</v>
      </c>
      <c r="CC87" s="49" t="n">
        <f aca="false">(CC83+CC59+CC86)*(CC$4&gt;In_COD)</f>
        <v>2284.13076623188</v>
      </c>
      <c r="CD87" s="49" t="n">
        <f aca="false">(CD83+CD59+CD86)*(CD$4&gt;In_COD)</f>
        <v>2274.50377841065</v>
      </c>
      <c r="CE87" s="49" t="n">
        <f aca="false">(CE83+CE59+CE86)*(CE$4&gt;In_COD)</f>
        <v>2234.62969060064</v>
      </c>
      <c r="CF87" s="49" t="n">
        <f aca="false">(CF83+CF59+CF86)*(CF$4&gt;In_COD)</f>
        <v>2257.53099089308</v>
      </c>
      <c r="CG87" s="49" t="n">
        <f aca="false">(CG83+CG59+CG86)*(CG$4&gt;In_COD)</f>
        <v>2280.40897903009</v>
      </c>
      <c r="CH87" s="49" t="n">
        <f aca="false">(CH83+CH59+CH86)*(CH$4&gt;In_COD)</f>
        <v>2270.64187781084</v>
      </c>
      <c r="CI87" s="49" t="n">
        <f aca="false">(CI83+CI59+CI86)*(CI$4&gt;In_COD)</f>
        <v>2232.31741356772</v>
      </c>
      <c r="CJ87" s="49" t="n">
        <f aca="false">(CJ83+CJ59+CJ86)*(CJ$4&gt;In_COD)</f>
        <v>2257.12094038514</v>
      </c>
      <c r="CK87" s="49" t="n">
        <f aca="false">(CK83+CK59+CK86)*(CK$4&gt;In_COD)</f>
        <v>2281.92446720256</v>
      </c>
      <c r="CL87" s="49" t="n">
        <f aca="false">(CL83+CL59+CL86)*(CL$4&gt;In_COD)</f>
        <v>2274.02170776107</v>
      </c>
      <c r="CM87" s="49" t="n">
        <f aca="false">(CM83+CM59+CM86)*(CM$4&gt;In_COD)</f>
        <v>2235.40215425159</v>
      </c>
      <c r="CN87" s="49" t="n">
        <f aca="false">(CN83+CN59+CN86)*(CN$4&gt;In_COD)</f>
        <v>2260.2399559655</v>
      </c>
      <c r="CO87" s="49" t="n">
        <f aca="false">(CO83+CO59+CO86)*(CO$4&gt;In_COD)</f>
        <v>2285.07775767941</v>
      </c>
      <c r="CP87" s="49" t="n">
        <f aca="false">(CP83+CP59+CP86)*(CP$4&gt;In_COD)</f>
        <v>2277.12734251984</v>
      </c>
      <c r="CQ87" s="49" t="n">
        <f aca="false">(CQ83+CQ59+CQ86)*(CQ$4&gt;In_COD)</f>
        <v>2263.07889541064</v>
      </c>
      <c r="CR87" s="49" t="n">
        <f aca="false">(CR83+CR59+CR86)*(CR$4&gt;In_COD)</f>
        <v>2263.07889541064</v>
      </c>
      <c r="CS87" s="49" t="n">
        <f aca="false">(CS83+CS59+CS86)*(CS$4&gt;In_COD)</f>
        <v>2287.94789426131</v>
      </c>
      <c r="CT87" s="49" t="n">
        <f aca="false">(CT83+CT59+CT86)*(CT$4&gt;In_COD)</f>
        <v>2279.94971794918</v>
      </c>
      <c r="CU87" s="49" t="n">
        <f aca="false">(CU83+CU59+CU86)*(CU$4&gt;In_COD)</f>
        <v>2240.73153719111</v>
      </c>
      <c r="CV87" s="49" t="n">
        <f aca="false">(CV83+CV59+CV86)*(CV$4&gt;In_COD)</f>
        <v>2265.62855427102</v>
      </c>
      <c r="CW87" s="49" t="n">
        <f aca="false">(CW83+CW59+CW86)*(CW$4&gt;In_COD)</f>
        <v>2290.52557135092</v>
      </c>
      <c r="CX87" s="49" t="n">
        <f aca="false">(CX83+CX59+CX86)*(CX$4&gt;In_COD)</f>
        <v>2282.47953249614</v>
      </c>
      <c r="CY87" s="49" t="n">
        <f aca="false">(CY83+CY59+CY86)*(CY$4&gt;In_COD)</f>
        <v>2242.9577346824</v>
      </c>
      <c r="CZ87" s="49" t="n">
        <f aca="false">(CZ83+CZ59+CZ86)*(CZ$4&gt;In_COD)</f>
        <v>2267.87948728999</v>
      </c>
      <c r="DA87" s="49" t="n">
        <f aca="false">(DA83+DA59+DA86)*(DA$4&gt;In_COD)</f>
        <v>2292.80123989757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2094.49412834512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488</v>
      </c>
      <c r="D88" s="12" t="s">
        <v>33</v>
      </c>
      <c r="E88" s="49" t="n">
        <f aca="false">PV($F22,In_Debt_Tenor*Months_In_Year/Months_Per_Period,-$F88)</f>
        <v>77608.308783464</v>
      </c>
      <c r="F88" s="49" t="n">
        <f aca="false">MIN($J88:$EO88)</f>
        <v>1846.29624007915</v>
      </c>
      <c r="J88" s="49" t="str">
        <f aca="false">IF(J18=1,J87/In_DSCR,"")</f>
        <v/>
      </c>
      <c r="K88" s="49" t="str">
        <f aca="false">IF(K18=1,K87/In_DSCR,"")</f>
        <v/>
      </c>
      <c r="L88" s="49" t="str">
        <f aca="false">IF(L18=1,L87/In_DSCR,"")</f>
        <v/>
      </c>
      <c r="M88" s="49" t="str">
        <f aca="false">IF(M18=1,M87/In_DSCR,"")</f>
        <v/>
      </c>
      <c r="N88" s="49" t="str">
        <f aca="false">IF(N18=1,N87/In_DSCR,"")</f>
        <v/>
      </c>
      <c r="O88" s="49" t="str">
        <f aca="false">IF(O18=1,O87/In_DSCR,"")</f>
        <v/>
      </c>
      <c r="P88" s="49" t="str">
        <f aca="false">IF(P18=1,P87/In_DSCR,"")</f>
        <v/>
      </c>
      <c r="Q88" s="49" t="str">
        <f aca="false">IF(Q18=1,Q87/In_DSCR,"")</f>
        <v/>
      </c>
      <c r="R88" s="49" t="str">
        <f aca="false">IF(R18=1,R87/In_DSCR,"")</f>
        <v/>
      </c>
      <c r="S88" s="49" t="str">
        <f aca="false">IF(S18=1,S87/In_DSCR,"")</f>
        <v/>
      </c>
      <c r="T88" s="49" t="str">
        <f aca="false">IF(T18=1,T87/In_DSCR,"")</f>
        <v/>
      </c>
      <c r="U88" s="49" t="str">
        <f aca="false">IF(U18=1,U87/In_DSCR,"")</f>
        <v/>
      </c>
      <c r="V88" s="49" t="str">
        <f aca="false">IF(V18=1,V87/In_DSCR,"")</f>
        <v/>
      </c>
      <c r="W88" s="49" t="str">
        <f aca="false">IF(W18=1,W87/In_DSCR,"")</f>
        <v/>
      </c>
      <c r="X88" s="49" t="str">
        <f aca="false">IF(X18=1,X87/In_DSCR,"")</f>
        <v/>
      </c>
      <c r="Y88" s="49" t="str">
        <f aca="false">IF(Y18=1,Y87/In_DSCR,"")</f>
        <v/>
      </c>
      <c r="Z88" s="49" t="n">
        <f aca="false">IF(Z18=1,Z87/In_DSCR,"")</f>
        <v>1919.46429614999</v>
      </c>
      <c r="AA88" s="49" t="n">
        <f aca="false">IF(AA18=1,AA87/In_DSCR,"")</f>
        <v>1890.29198600318</v>
      </c>
      <c r="AB88" s="49" t="n">
        <f aca="false">IF(AB18=1,AB87/In_DSCR,"")</f>
        <v>1910.53520997075</v>
      </c>
      <c r="AC88" s="49" t="n">
        <f aca="false">IF(AC18=1,AC87/In_DSCR,"")</f>
        <v>1930.77358943339</v>
      </c>
      <c r="AD88" s="49" t="n">
        <f aca="false">IF(AD18=1,AD87/In_DSCR,"")</f>
        <v>1923.84419034537</v>
      </c>
      <c r="AE88" s="49" t="n">
        <f aca="false">IF(AE18=1,AE87/In_DSCR,"")</f>
        <v>1868.63262271151</v>
      </c>
      <c r="AF88" s="49" t="n">
        <f aca="false">IF(AF18=1,AF87/In_DSCR,"")</f>
        <v>1863.4803274283</v>
      </c>
      <c r="AG88" s="49" t="n">
        <f aca="false">IF(AG18=1,AG87/In_DSCR,"")</f>
        <v>1882.44027427765</v>
      </c>
      <c r="AH88" s="49" t="n">
        <f aca="false">IF(AH18=1,AH87/In_DSCR,"")</f>
        <v>1875.5646530899</v>
      </c>
      <c r="AI88" s="49" t="n">
        <f aca="false">IF(AI18=1,AI87/In_DSCR,"")</f>
        <v>1846.29624007915</v>
      </c>
      <c r="AJ88" s="49" t="n">
        <f aca="false">IF(AJ18=1,AJ87/In_DSCR,"")</f>
        <v>1888.76674121198</v>
      </c>
      <c r="AK88" s="49" t="n">
        <f aca="false">IF(AK18=1,AK87/In_DSCR,"")</f>
        <v>1907.99948148224</v>
      </c>
      <c r="AL88" s="49" t="n">
        <f aca="false">IF(AL18=1,AL87/In_DSCR,"")</f>
        <v>1901.04313020394</v>
      </c>
      <c r="AM88" s="49" t="n">
        <f aca="false">IF(AM18=1,AM87/In_DSCR,"")</f>
        <v>1870.99723346301</v>
      </c>
      <c r="AN88" s="49" t="n">
        <f aca="false">IF(AN18=1,AN87/In_DSCR,"")</f>
        <v>1890.25220606226</v>
      </c>
      <c r="AO88" s="49" t="n">
        <f aca="false">IF(AO18=1,AO87/In_DSCR,"")</f>
        <v>1909.49593209954</v>
      </c>
      <c r="AP88" s="49" t="n">
        <f aca="false">IF(AP18=1,AP87/In_DSCR,"")</f>
        <v>1902.45655854562</v>
      </c>
      <c r="AQ88" s="49" t="n">
        <f aca="false">IF(AQ18=1,AQ87/In_DSCR,"")</f>
        <v>1872.14517792909</v>
      </c>
      <c r="AR88" s="49" t="n">
        <f aca="false">IF(AR18=1,AR87/In_DSCR,"")</f>
        <v>1891.40781249006</v>
      </c>
      <c r="AS88" s="49" t="n">
        <f aca="false">IF(AS18=1,AS87/In_DSCR,"")</f>
        <v>1910.65862752917</v>
      </c>
      <c r="AT88" s="49" t="n">
        <f aca="false">IF(AT18=1,AT87/In_DSCR,"")</f>
        <v>1903.53383115776</v>
      </c>
      <c r="AU88" s="49" t="n">
        <f aca="false">IF(AU18=1,AU87/In_DSCR,"")</f>
        <v>1893.21266014288</v>
      </c>
      <c r="AV88" s="49" t="n">
        <f aca="false">IF(AV18=1,AV87/In_DSCR,"")</f>
        <v>1892.21892643144</v>
      </c>
      <c r="AW88" s="49" t="n">
        <f aca="false">IF(AW18=1,AW87/In_DSCR,"")</f>
        <v>1911.47275903885</v>
      </c>
      <c r="AX88" s="49" t="n">
        <f aca="false">IF(AX18=1,AX87/In_DSCR,"")</f>
        <v>1904.260025405</v>
      </c>
      <c r="AY88" s="49" t="n">
        <f aca="false">IF(AY18=1,AY87/In_DSCR,"")</f>
        <v>1873.40464984545</v>
      </c>
      <c r="AZ88" s="49" t="n">
        <f aca="false">IF(AZ18=1,AZ87/In_DSCR,"")</f>
        <v>1892.67030097653</v>
      </c>
      <c r="BA88" s="49" t="n">
        <f aca="false">IF(BA18=1,BA87/In_DSCR,"")</f>
        <v>1911.92289760999</v>
      </c>
      <c r="BB88" s="49" t="n">
        <f aca="false">IF(BB18=1,BB87/In_DSCR,"")</f>
        <v>1904.61959253483</v>
      </c>
      <c r="BC88" s="49" t="n">
        <f aca="false">IF(BC18=1,BC87/In_DSCR,"")</f>
        <v>1873.48541213884</v>
      </c>
      <c r="BD88" s="49" t="n">
        <f aca="false">IF(BD18=1,BD87/In_DSCR,"")</f>
        <v>1892.74604893291</v>
      </c>
      <c r="BE88" s="49" t="n">
        <f aca="false">IF(BE18=1,BE87/In_DSCR,"")</f>
        <v>1911.99296616359</v>
      </c>
      <c r="BF88" s="49" t="n">
        <f aca="false">IF(BF18=1,BF87/In_DSCR,"")</f>
        <v>1904.59632960432</v>
      </c>
      <c r="BG88" s="49" t="n">
        <f aca="false">IF(BG18=1,BG87/In_DSCR,"")</f>
        <v>1873.17859919497</v>
      </c>
      <c r="BH88" s="49" t="n">
        <f aca="false">IF(BH18=1,BH87/In_DSCR,"")</f>
        <v>1892.42961408718</v>
      </c>
      <c r="BI88" s="49" t="n">
        <f aca="false">IF(BI18=1,BI87/In_DSCR,"")</f>
        <v>1911.6662104682</v>
      </c>
      <c r="BJ88" s="49" t="n">
        <f aca="false">IF(BJ18=1,BJ87/In_DSCR,"")</f>
        <v>1904.1733500736</v>
      </c>
      <c r="BK88" s="49" t="n">
        <f aca="false">IF(BK18=1,BK87/In_DSCR,"")</f>
        <v>1892.91598646841</v>
      </c>
      <c r="BL88" s="49" t="n">
        <f aca="false">IF(BL18=1,BL87/In_DSCR,"")</f>
        <v>1891.70374110063</v>
      </c>
      <c r="BM88" s="49" t="n">
        <f aca="false">IF(BM18=1,BM87/In_DSCR,"")</f>
        <v>1910.92516866514</v>
      </c>
      <c r="BN88" s="49" t="n">
        <f aca="false">IF(BN18=1,BN87/In_DSCR,"")</f>
        <v>1903.33305300046</v>
      </c>
      <c r="BO88" s="49" t="n">
        <f aca="false">IF(BO18=1,BO87/In_DSCR,"")</f>
        <v>1871.33332355598</v>
      </c>
      <c r="BP88" s="49" t="n">
        <f aca="false">IF(BP18=1,BP87/In_DSCR,"")</f>
        <v>1890.55044397204</v>
      </c>
      <c r="BQ88" s="49" t="n">
        <f aca="false">IF(BQ18=1,BQ87/In_DSCR,"")</f>
        <v>1909.75163934289</v>
      </c>
      <c r="BR88" s="49" t="n">
        <f aca="false">IF(BR18=1,BR87/In_DSCR,"")</f>
        <v>1902.05709076739</v>
      </c>
      <c r="BS88" s="49" t="n">
        <f aca="false">IF(BS18=1,BS87/In_DSCR,"")</f>
        <v>1869.75856155238</v>
      </c>
      <c r="BT88" s="49" t="n">
        <f aca="false">IF(BT18=1,BT87/In_DSCR,"")</f>
        <v>1888.9509729969</v>
      </c>
      <c r="BU88" s="49" t="n">
        <f aca="false">IF(BU18=1,BU87/In_DSCR,"")</f>
        <v>1908.12664808942</v>
      </c>
      <c r="BV88" s="49" t="n">
        <f aca="false">IF(BV18=1,BV87/In_DSCR,"")</f>
        <v>1900.32633526865</v>
      </c>
      <c r="BW88" s="49" t="n">
        <f aca="false">IF(BW18=1,BW87/In_DSCR,"")</f>
        <v>1867.72355885974</v>
      </c>
      <c r="BX88" s="49" t="n">
        <f aca="false">IF(BX18=1,BX87/In_DSCR,"")</f>
        <v>1886.88578014908</v>
      </c>
      <c r="BY88" s="49" t="n">
        <f aca="false">IF(BY18=1,BY87/In_DSCR,"")</f>
        <v>1906.03041244734</v>
      </c>
      <c r="BZ88" s="49" t="n">
        <f aca="false">IF(BZ18=1,BZ87/In_DSCR,"")</f>
        <v>1898.12084248153</v>
      </c>
      <c r="CA88" s="49" t="n">
        <f aca="false">IF(CA18=1,CA87/In_DSCR,"")</f>
        <v>1885.81328826065</v>
      </c>
      <c r="CB88" s="49" t="n">
        <f aca="false">IF(CB18=1,CB87/In_DSCR,"")</f>
        <v>1884.33448280725</v>
      </c>
      <c r="CC88" s="49" t="n">
        <f aca="false">IF(CC18=1,CC87/In_DSCR,"")</f>
        <v>1903.44230519323</v>
      </c>
      <c r="CD88" s="49" t="n">
        <f aca="false">IF(CD18=1,CD87/In_DSCR,"")</f>
        <v>1895.41981534221</v>
      </c>
      <c r="CE88" s="49" t="n">
        <f aca="false">IF(CE18=1,CE87/In_DSCR,"")</f>
        <v>1862.19140883386</v>
      </c>
      <c r="CF88" s="49" t="n">
        <f aca="false">IF(CF18=1,CF87/In_DSCR,"")</f>
        <v>1881.27582574423</v>
      </c>
      <c r="CG88" s="49" t="n">
        <f aca="false">IF(CG18=1,CG87/In_DSCR,"")</f>
        <v>1900.34081585841</v>
      </c>
      <c r="CH88" s="49" t="str">
        <f aca="false">IF(CH18=1,CH87/In_DSCR,"")</f>
        <v/>
      </c>
      <c r="CI88" s="49" t="str">
        <f aca="false">IF(CI18=1,CI87/In_DSCR,"")</f>
        <v/>
      </c>
      <c r="CJ88" s="49" t="str">
        <f aca="false">IF(CJ18=1,CJ87/In_DSCR,"")</f>
        <v/>
      </c>
      <c r="CK88" s="49" t="str">
        <f aca="false">IF(CK18=1,CK87/In_DSCR,"")</f>
        <v/>
      </c>
      <c r="CL88" s="49" t="str">
        <f aca="false">IF(CL18=1,CL87/In_DSCR,"")</f>
        <v/>
      </c>
      <c r="CM88" s="49" t="str">
        <f aca="false">IF(CM18=1,CM87/In_DSCR,"")</f>
        <v/>
      </c>
      <c r="CN88" s="49" t="str">
        <f aca="false">IF(CN18=1,CN87/In_DSCR,"")</f>
        <v/>
      </c>
      <c r="CO88" s="49" t="str">
        <f aca="false">IF(CO18=1,CO87/In_DSCR,"")</f>
        <v/>
      </c>
      <c r="CP88" s="49" t="str">
        <f aca="false">IF(CP18=1,CP87/In_DSCR,"")</f>
        <v/>
      </c>
      <c r="CQ88" s="49" t="str">
        <f aca="false">IF(CQ18=1,CQ87/In_DSCR,"")</f>
        <v/>
      </c>
      <c r="CR88" s="49" t="str">
        <f aca="false">IF(CR18=1,CR87/In_DSCR,"")</f>
        <v/>
      </c>
      <c r="CS88" s="49" t="str">
        <f aca="false">IF(CS18=1,CS87/In_DSCR,"")</f>
        <v/>
      </c>
      <c r="CT88" s="49" t="str">
        <f aca="false">IF(CT18=1,CT87/In_DSCR,"")</f>
        <v/>
      </c>
      <c r="CU88" s="49" t="str">
        <f aca="false">IF(CU18=1,CU87/In_DSCR,"")</f>
        <v/>
      </c>
      <c r="CV88" s="49" t="str">
        <f aca="false">IF(CV18=1,CV87/In_DSCR,"")</f>
        <v/>
      </c>
      <c r="CW88" s="49" t="str">
        <f aca="false">IF(CW18=1,CW87/In_DSCR,"")</f>
        <v/>
      </c>
      <c r="CX88" s="49" t="str">
        <f aca="false">IF(CX18=1,CX87/In_DSCR,"")</f>
        <v/>
      </c>
      <c r="CY88" s="49" t="str">
        <f aca="false">IF(CY18=1,CY87/In_DSCR,"")</f>
        <v/>
      </c>
      <c r="CZ88" s="49" t="str">
        <f aca="false">IF(CZ18=1,CZ87/In_DSCR,"")</f>
        <v/>
      </c>
      <c r="DA88" s="49" t="str">
        <f aca="false">IF(DA18=1,DA87/In_DSCR,"")</f>
        <v/>
      </c>
      <c r="DB88" s="49" t="str">
        <f aca="false">IF(DB18=1,DB87/In_DSCR,"")</f>
        <v/>
      </c>
      <c r="DC88" s="49" t="str">
        <f aca="false">IF(DC18=1,DC87/In_DSCR,"")</f>
        <v/>
      </c>
      <c r="DD88" s="49" t="str">
        <f aca="false">IF(DD18=1,DD87/In_DSCR,"")</f>
        <v/>
      </c>
      <c r="DE88" s="49" t="str">
        <f aca="false">IF(DE18=1,DE87/In_DSCR,"")</f>
        <v/>
      </c>
      <c r="DF88" s="49" t="str">
        <f aca="false">IF(DF18=1,DF87/In_DSCR,"")</f>
        <v/>
      </c>
      <c r="DG88" s="49" t="str">
        <f aca="false">IF(DG18=1,DG87/In_DSCR,"")</f>
        <v/>
      </c>
      <c r="DH88" s="49" t="str">
        <f aca="false">IF(DH18=1,DH87/In_DSCR,"")</f>
        <v/>
      </c>
      <c r="DI88" s="49" t="str">
        <f aca="false">IF(DI18=1,DI87/In_DSCR,"")</f>
        <v/>
      </c>
      <c r="DJ88" s="49" t="str">
        <f aca="false">IF(DJ18=1,DJ87/In_DSCR,"")</f>
        <v/>
      </c>
      <c r="DK88" s="49" t="str">
        <f aca="false">IF(DK18=1,DK87/In_DSCR,"")</f>
        <v/>
      </c>
      <c r="DL88" s="49" t="str">
        <f aca="false">IF(DL18=1,DL87/In_DSCR,"")</f>
        <v/>
      </c>
      <c r="DM88" s="49" t="str">
        <f aca="false">IF(DM18=1,DM87/In_DSCR,"")</f>
        <v/>
      </c>
      <c r="DN88" s="49" t="str">
        <f aca="false">IF(DN18=1,DN87/In_DSCR,"")</f>
        <v/>
      </c>
      <c r="DO88" s="49" t="str">
        <f aca="false">IF(DO18=1,DO87/In_DSCR,"")</f>
        <v/>
      </c>
      <c r="DP88" s="49" t="str">
        <f aca="false">IF(DP18=1,DP87/In_DSCR,"")</f>
        <v/>
      </c>
      <c r="DQ88" s="49" t="str">
        <f aca="false">IF(DQ18=1,DQ87/In_DSCR,"")</f>
        <v/>
      </c>
      <c r="DR88" s="49" t="str">
        <f aca="false">IF(DR18=1,DR87/In_DSCR,"")</f>
        <v/>
      </c>
      <c r="DS88" s="49" t="str">
        <f aca="false">IF(DS18=1,DS87/In_DSCR,"")</f>
        <v/>
      </c>
      <c r="DT88" s="49" t="str">
        <f aca="false">IF(DT18=1,DT87/In_DSCR,"")</f>
        <v/>
      </c>
      <c r="DU88" s="49" t="str">
        <f aca="false">IF(DU18=1,DU87/In_DSCR,"")</f>
        <v/>
      </c>
      <c r="DV88" s="49" t="str">
        <f aca="false">IF(DV18=1,DV87/In_DSCR,"")</f>
        <v/>
      </c>
      <c r="DW88" s="49" t="str">
        <f aca="false">IF(DW18=1,DW87/In_DSCR,"")</f>
        <v/>
      </c>
      <c r="DX88" s="49" t="str">
        <f aca="false">IF(DX18=1,DX87/In_DSCR,"")</f>
        <v/>
      </c>
      <c r="DY88" s="49" t="str">
        <f aca="false">IF(DY18=1,DY87/In_DSCR,"")</f>
        <v/>
      </c>
      <c r="DZ88" s="49" t="str">
        <f aca="false">IF(DZ18=1,DZ87/In_DSCR,"")</f>
        <v/>
      </c>
      <c r="EA88" s="49" t="str">
        <f aca="false">IF(EA18=1,EA87/In_DSCR,"")</f>
        <v/>
      </c>
      <c r="EB88" s="49" t="str">
        <f aca="false">IF(EB18=1,EB87/In_DSCR,"")</f>
        <v/>
      </c>
      <c r="EC88" s="49" t="str">
        <f aca="false">IF(EC18=1,EC87/In_DSCR,"")</f>
        <v/>
      </c>
      <c r="ED88" s="49" t="str">
        <f aca="false">IF(ED18=1,ED87/In_DSCR,"")</f>
        <v/>
      </c>
      <c r="EE88" s="49" t="str">
        <f aca="false">IF(EE18=1,EE87/In_DSCR,"")</f>
        <v/>
      </c>
      <c r="EF88" s="49" t="str">
        <f aca="false">IF(EF18=1,EF87/In_DSCR,"")</f>
        <v/>
      </c>
      <c r="EG88" s="49" t="str">
        <f aca="false">IF(EG18=1,EG87/In_DSCR,"")</f>
        <v/>
      </c>
      <c r="EH88" s="49" t="str">
        <f aca="false">IF(EH18=1,EH87/In_DSCR,"")</f>
        <v/>
      </c>
      <c r="EI88" s="49" t="str">
        <f aca="false">IF(EI18=1,EI87/In_DSCR,"")</f>
        <v/>
      </c>
      <c r="EJ88" s="49" t="str">
        <f aca="false">IF(EJ18=1,EJ87/In_DSCR,"")</f>
        <v/>
      </c>
      <c r="EK88" s="49" t="str">
        <f aca="false">IF(EK18=1,EK87/In_DSCR,"")</f>
        <v/>
      </c>
      <c r="EL88" s="49" t="str">
        <f aca="false">IF(EL18=1,EL87/In_DSCR,"")</f>
        <v/>
      </c>
      <c r="EM88" s="49" t="str">
        <f aca="false">IF(EM18=1,EM87/In_DSCR,"")</f>
        <v/>
      </c>
      <c r="EN88" s="49" t="str">
        <f aca="false">IF(EN18=1,EN87/In_DSCR,"")</f>
        <v/>
      </c>
      <c r="EO88" s="49" t="str">
        <f aca="false">IF(EO18=1,EO87/In_DSCR,"")</f>
        <v/>
      </c>
    </row>
    <row r="89" customFormat="false" ht="15" hidden="false" customHeight="false" outlineLevel="0" collapsed="false">
      <c r="C89" s="1" t="s">
        <v>489</v>
      </c>
      <c r="D89" s="12" t="s">
        <v>33</v>
      </c>
      <c r="E89" s="49" t="n">
        <f aca="false">IF(In_Debt_Per_MW&gt;0,In_Debt_Per_MW*$F25,-$E70)</f>
        <v>78904.2480519649</v>
      </c>
    </row>
    <row r="90" customFormat="false" ht="15" hidden="false" customHeight="false" outlineLevel="0" collapsed="false">
      <c r="C90" s="26" t="s">
        <v>490</v>
      </c>
      <c r="D90" s="12" t="s">
        <v>27</v>
      </c>
      <c r="E90" s="34" t="n">
        <f aca="false">MIN(In_Gearing,$E88/-$E70,$E89/-$E70)</f>
        <v>0.55</v>
      </c>
      <c r="F90" s="34" t="n">
        <f aca="false">$E90*-$E70/$E88</f>
        <v>0.559184153202774</v>
      </c>
    </row>
    <row r="91" customFormat="false" ht="15" hidden="false" customHeight="false" outlineLevel="0" collapsed="false">
      <c r="C91" s="1" t="s">
        <v>491</v>
      </c>
      <c r="D91" s="12" t="s">
        <v>33</v>
      </c>
      <c r="E91" s="49" t="n">
        <f aca="false">$E90*-$E70</f>
        <v>43397.3364285807</v>
      </c>
      <c r="F91" s="49" t="n">
        <f aca="false">PMT($F22,In_Debt_Tenor*Months_In_Year/Months_Per_Period,-$E91)</f>
        <v>1032.41959957012</v>
      </c>
    </row>
    <row r="93" customFormat="false" ht="15" hidden="false" customHeight="false" outlineLevel="0" collapsed="false">
      <c r="A93" s="10" t="s">
        <v>13</v>
      </c>
      <c r="B93" s="10"/>
      <c r="C93" s="10" t="s">
        <v>366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customFormat="false" ht="15" hidden="false" customHeight="false" outlineLevel="0" collapsed="false">
      <c r="C94" s="1" t="s">
        <v>492</v>
      </c>
      <c r="D94" s="12" t="s">
        <v>33</v>
      </c>
      <c r="I94" s="49" t="n">
        <f aca="false">SUM(J94:EO94)</f>
        <v>-18547.8395456267</v>
      </c>
      <c r="J94" s="49" t="n">
        <f aca="false">-I103*$F22*(J$4&gt;In_COD)</f>
        <v>-0</v>
      </c>
      <c r="K94" s="49" t="n">
        <f aca="false">-J103*$F22*(K$4&gt;In_COD)</f>
        <v>-0</v>
      </c>
      <c r="L94" s="49" t="n">
        <f aca="false">-K103*$F22*(L$4&gt;In_COD)</f>
        <v>-0</v>
      </c>
      <c r="M94" s="49" t="n">
        <f aca="false">-L103*$F22*(M$4&gt;In_COD)</f>
        <v>-0</v>
      </c>
      <c r="N94" s="49" t="n">
        <f aca="false">-M103*$F22*(N$4&gt;In_COD)</f>
        <v>-0</v>
      </c>
      <c r="O94" s="49" t="n">
        <f aca="false">-N103*$F22*(O$4&gt;In_COD)</f>
        <v>-0</v>
      </c>
      <c r="P94" s="49" t="n">
        <f aca="false">-O103*$F22*(P$4&gt;In_COD)</f>
        <v>-0</v>
      </c>
      <c r="Q94" s="49" t="n">
        <f aca="false">-P103*$F22*(Q$4&gt;In_COD)</f>
        <v>-0</v>
      </c>
      <c r="R94" s="49" t="n">
        <f aca="false">-Q103*$F22*(R$4&gt;In_COD)</f>
        <v>-0</v>
      </c>
      <c r="S94" s="49" t="n">
        <f aca="false">-R103*$F22*(S$4&gt;In_COD)</f>
        <v>-0</v>
      </c>
      <c r="T94" s="49" t="n">
        <f aca="false">-S103*$F22*(T$4&gt;In_COD)</f>
        <v>-0</v>
      </c>
      <c r="U94" s="49" t="n">
        <f aca="false">-T103*$F22*(U$4&gt;In_COD)</f>
        <v>-0</v>
      </c>
      <c r="V94" s="49" t="n">
        <f aca="false">-U103*$F22*(V$4&gt;In_COD)</f>
        <v>-0</v>
      </c>
      <c r="W94" s="49" t="n">
        <f aca="false">-V103*$F22*(W$4&gt;In_COD)</f>
        <v>-0</v>
      </c>
      <c r="X94" s="49" t="n">
        <f aca="false">-W103*$F22*(X$4&gt;In_COD)</f>
        <v>-0</v>
      </c>
      <c r="Y94" s="49" t="n">
        <f aca="false">-X103*$F22*(Y$4&gt;In_COD)</f>
        <v>-0</v>
      </c>
      <c r="Z94" s="49" t="n">
        <f aca="false">-Y103*$F22*(Z$4&gt;In_COD)</f>
        <v>-542.466705357259</v>
      </c>
      <c r="AA94" s="49" t="n">
        <f aca="false">-Z103*$F22*(AA$4&gt;In_COD)</f>
        <v>-536.342294179598</v>
      </c>
      <c r="AB94" s="49" t="n">
        <f aca="false">-AA103*$F22*(AB$4&gt;In_COD)</f>
        <v>-530.141327862216</v>
      </c>
      <c r="AC94" s="49" t="n">
        <f aca="false">-AB103*$F22*(AC$4&gt;In_COD)</f>
        <v>-523.862849465868</v>
      </c>
      <c r="AD94" s="49" t="n">
        <f aca="false">-AC103*$F22*(AD$4&gt;In_COD)</f>
        <v>-517.505890089564</v>
      </c>
      <c r="AE94" s="49" t="n">
        <f aca="false">-AD103*$F22*(AE$4&gt;In_COD)</f>
        <v>-511.069468721057</v>
      </c>
      <c r="AF94" s="49" t="n">
        <f aca="false">-AE103*$F22*(AF$4&gt;In_COD)</f>
        <v>-504.552592085444</v>
      </c>
      <c r="AG94" s="49" t="n">
        <f aca="false">-AF103*$F22*(AG$4&gt;In_COD)</f>
        <v>-497.954254491885</v>
      </c>
      <c r="AH94" s="49" t="n">
        <f aca="false">-AG103*$F22*(AH$4&gt;In_COD)</f>
        <v>-491.273437678408</v>
      </c>
      <c r="AI94" s="49" t="n">
        <f aca="false">-AH103*$F22*(AI$4&gt;In_COD)</f>
        <v>-484.509110654761</v>
      </c>
      <c r="AJ94" s="49" t="n">
        <f aca="false">-AI103*$F22*(AJ$4&gt;In_COD)</f>
        <v>-477.660229543319</v>
      </c>
      <c r="AK94" s="49" t="n">
        <f aca="false">-AJ103*$F22*(AK$4&gt;In_COD)</f>
        <v>-470.725737417984</v>
      </c>
      <c r="AL94" s="49" t="n">
        <f aca="false">-AK103*$F22*(AL$4&gt;In_COD)</f>
        <v>-463.704564141082</v>
      </c>
      <c r="AM94" s="49" t="n">
        <f aca="false">-AL103*$F22*(AM$4&gt;In_COD)</f>
        <v>-456.595626198219</v>
      </c>
      <c r="AN94" s="49" t="n">
        <f aca="false">-AM103*$F22*(AN$4&gt;In_COD)</f>
        <v>-449.39782653107</v>
      </c>
      <c r="AO94" s="49" t="n">
        <f aca="false">-AN103*$F22*(AO$4&gt;In_COD)</f>
        <v>-442.110054368082</v>
      </c>
      <c r="AP94" s="49" t="n">
        <f aca="false">-AO103*$F22*(AP$4&gt;In_COD)</f>
        <v>-434.731185053057</v>
      </c>
      <c r="AQ94" s="49" t="n">
        <f aca="false">-AP103*$F22*(AQ$4&gt;In_COD)</f>
        <v>-427.260079871593</v>
      </c>
      <c r="AR94" s="49" t="n">
        <f aca="false">-AQ103*$F22*(AR$4&gt;In_COD)</f>
        <v>-419.695585875362</v>
      </c>
      <c r="AS94" s="49" t="n">
        <f aca="false">-AR103*$F22*(AS$4&gt;In_COD)</f>
        <v>-412.036535704177</v>
      </c>
      <c r="AT94" s="49" t="n">
        <f aca="false">-AS103*$F22*(AT$4&gt;In_COD)</f>
        <v>-404.281747405853</v>
      </c>
      <c r="AU94" s="49" t="n">
        <f aca="false">-AT103*$F22*(AU$4&gt;In_COD)</f>
        <v>-396.430024253799</v>
      </c>
      <c r="AV94" s="49" t="n">
        <f aca="false">-AU103*$F22*(AV$4&gt;In_COD)</f>
        <v>-388.480154562345</v>
      </c>
      <c r="AW94" s="49" t="n">
        <f aca="false">-AV103*$F22*(AW$4&gt;In_COD)</f>
        <v>-380.430911499748</v>
      </c>
      <c r="AX94" s="49" t="n">
        <f aca="false">-AW103*$F22*(AX$4&gt;In_COD)</f>
        <v>-372.281052898868</v>
      </c>
      <c r="AY94" s="49" t="n">
        <f aca="false">-AX103*$F22*(AY$4&gt;In_COD)</f>
        <v>-364.029321065478</v>
      </c>
      <c r="AZ94" s="49" t="n">
        <f aca="false">-AY103*$F22*(AZ$4&gt;In_COD)</f>
        <v>-355.67444258417</v>
      </c>
      <c r="BA94" s="49" t="n">
        <f aca="false">-AZ103*$F22*(BA$4&gt;In_COD)</f>
        <v>-347.215128121845</v>
      </c>
      <c r="BB94" s="49" t="n">
        <f aca="false">-BA103*$F22*(BB$4&gt;In_COD)</f>
        <v>-338.650072228742</v>
      </c>
      <c r="BC94" s="49" t="n">
        <f aca="false">-BB103*$F22*(BC$4&gt;In_COD)</f>
        <v>-329.977953136975</v>
      </c>
      <c r="BD94" s="49" t="n">
        <f aca="false">-BC103*$F22*(BD$4&gt;In_COD)</f>
        <v>-321.19743255656</v>
      </c>
      <c r="BE94" s="49" t="n">
        <f aca="false">-BD103*$F22*(BE$4&gt;In_COD)</f>
        <v>-312.307155468891</v>
      </c>
      <c r="BF94" s="49" t="n">
        <f aca="false">-BE103*$F22*(BF$4&gt;In_COD)</f>
        <v>-303.305749917625</v>
      </c>
      <c r="BG94" s="49" t="n">
        <f aca="false">-BF103*$F22*(BG$4&gt;In_COD)</f>
        <v>-294.191826796969</v>
      </c>
      <c r="BH94" s="49" t="n">
        <f aca="false">-BG103*$F22*(BH$4&gt;In_COD)</f>
        <v>-284.963979637305</v>
      </c>
      <c r="BI94" s="49" t="n">
        <f aca="false">-BH103*$F22*(BI$4&gt;In_COD)</f>
        <v>-275.620784388144</v>
      </c>
      <c r="BJ94" s="49" t="n">
        <f aca="false">-BI103*$F22*(BJ$4&gt;In_COD)</f>
        <v>-266.16079919837</v>
      </c>
      <c r="BK94" s="49" t="n">
        <f aca="false">-BJ103*$F22*(BK$4&gt;In_COD)</f>
        <v>-256.582564193723</v>
      </c>
      <c r="BL94" s="49" t="n">
        <f aca="false">-BK103*$F22*(BL$4&gt;In_COD)</f>
        <v>-246.884601251518</v>
      </c>
      <c r="BM94" s="49" t="n">
        <f aca="false">-BL103*$F22*(BM$4&gt;In_COD)</f>
        <v>-237.065413772535</v>
      </c>
      <c r="BN94" s="49" t="n">
        <f aca="false">-BM103*$F22*(BN$4&gt;In_COD)</f>
        <v>-227.123486450065</v>
      </c>
      <c r="BO94" s="49" t="n">
        <f aca="false">-BN103*$F22*(BO$4&gt;In_COD)</f>
        <v>-217.057285036064</v>
      </c>
      <c r="BP94" s="49" t="n">
        <f aca="false">-BO103*$F22*(BP$4&gt;In_COD)</f>
        <v>-206.865256104389</v>
      </c>
      <c r="BQ94" s="49" t="n">
        <f aca="false">-BP103*$F22*(BQ$4&gt;In_COD)</f>
        <v>-196.545826811067</v>
      </c>
      <c r="BR94" s="49" t="n">
        <f aca="false">-BQ103*$F22*(BR$4&gt;In_COD)</f>
        <v>-186.097404651579</v>
      </c>
      <c r="BS94" s="49" t="n">
        <f aca="false">-BR103*$F22*(BS$4&gt;In_COD)</f>
        <v>-175.518377215097</v>
      </c>
      <c r="BT94" s="49" t="n">
        <f aca="false">-BS103*$F22*(BT$4&gt;In_COD)</f>
        <v>-164.807111935659</v>
      </c>
      <c r="BU94" s="49" t="n">
        <f aca="false">-BT103*$F22*(BU$4&gt;In_COD)</f>
        <v>-153.961955840228</v>
      </c>
      <c r="BV94" s="49" t="n">
        <f aca="false">-BU103*$F22*(BV$4&gt;In_COD)</f>
        <v>-142.981235293605</v>
      </c>
      <c r="BW94" s="49" t="n">
        <f aca="false">-BV103*$F22*(BW$4&gt;In_COD)</f>
        <v>-131.863255740148</v>
      </c>
      <c r="BX94" s="49" t="n">
        <f aca="false">-BW103*$F22*(BX$4&gt;In_COD)</f>
        <v>-120.606301442273</v>
      </c>
      <c r="BY94" s="49" t="n">
        <f aca="false">-BX103*$F22*(BY$4&gt;In_COD)</f>
        <v>-109.208635215675</v>
      </c>
      <c r="BZ94" s="49" t="n">
        <f aca="false">-BY103*$F22*(BZ$4&gt;In_COD)</f>
        <v>-97.6684981612446</v>
      </c>
      <c r="CA94" s="49" t="n">
        <f aca="false">-BZ103*$F22*(CA$4&gt;In_COD)</f>
        <v>-85.9841093936336</v>
      </c>
      <c r="CB94" s="49" t="n">
        <f aca="false">-CA103*$F22*(CB$4&gt;In_COD)</f>
        <v>-74.1536657664275</v>
      </c>
      <c r="CC94" s="49" t="n">
        <f aca="false">-CB103*$F22*(CC$4&gt;In_COD)</f>
        <v>-62.1753415938813</v>
      </c>
      <c r="CD94" s="49" t="n">
        <f aca="false">-CC103*$F22*(CD$4&gt;In_COD)</f>
        <v>-50.0472883691782</v>
      </c>
      <c r="CE94" s="49" t="n">
        <f aca="false">-CD103*$F22*(CE$4&gt;In_COD)</f>
        <v>-37.7676344791664</v>
      </c>
      <c r="CF94" s="49" t="n">
        <f aca="false">-CE103*$F22*(CF$4&gt;In_COD)</f>
        <v>-25.3344849155294</v>
      </c>
      <c r="CG94" s="49" t="n">
        <f aca="false">-CF103*$F22*(CG$4&gt;In_COD)</f>
        <v>-12.745920982347</v>
      </c>
      <c r="CH94" s="49" t="n">
        <f aca="false">-CG103*$F22*(CH$4&gt;In_COD)</f>
        <v>-0</v>
      </c>
      <c r="CI94" s="49" t="n">
        <f aca="false">-CH103*$F22*(CI$4&gt;In_COD)</f>
        <v>-0</v>
      </c>
      <c r="CJ94" s="49" t="n">
        <f aca="false">-CI103*$F22*(CJ$4&gt;In_COD)</f>
        <v>-0</v>
      </c>
      <c r="CK94" s="49" t="n">
        <f aca="false">-CJ103*$F22*(CK$4&gt;In_COD)</f>
        <v>-0</v>
      </c>
      <c r="CL94" s="49" t="n">
        <f aca="false">-CK103*$F22*(CL$4&gt;In_COD)</f>
        <v>-0</v>
      </c>
      <c r="CM94" s="49" t="n">
        <f aca="false">-CL103*$F22*(CM$4&gt;In_COD)</f>
        <v>-0</v>
      </c>
      <c r="CN94" s="49" t="n">
        <f aca="false">-CM103*$F22*(CN$4&gt;In_COD)</f>
        <v>-0</v>
      </c>
      <c r="CO94" s="49" t="n">
        <f aca="false">-CN103*$F22*(CO$4&gt;In_COD)</f>
        <v>-0</v>
      </c>
      <c r="CP94" s="49" t="n">
        <f aca="false">-CO103*$F22*(CP$4&gt;In_COD)</f>
        <v>-0</v>
      </c>
      <c r="CQ94" s="49" t="n">
        <f aca="false">-CP103*$F22*(CQ$4&gt;In_COD)</f>
        <v>-0</v>
      </c>
      <c r="CR94" s="49" t="n">
        <f aca="false">-CQ103*$F22*(CR$4&gt;In_COD)</f>
        <v>-0</v>
      </c>
      <c r="CS94" s="49" t="n">
        <f aca="false">-CR103*$F22*(CS$4&gt;In_COD)</f>
        <v>-0</v>
      </c>
      <c r="CT94" s="49" t="n">
        <f aca="false">-CS103*$F22*(CT$4&gt;In_COD)</f>
        <v>-0</v>
      </c>
      <c r="CU94" s="49" t="n">
        <f aca="false">-CT103*$F22*(CU$4&gt;In_COD)</f>
        <v>-0</v>
      </c>
      <c r="CV94" s="49" t="n">
        <f aca="false">-CU103*$F22*(CV$4&gt;In_COD)</f>
        <v>-0</v>
      </c>
      <c r="CW94" s="49" t="n">
        <f aca="false">-CV103*$F22*(CW$4&gt;In_COD)</f>
        <v>-0</v>
      </c>
      <c r="CX94" s="49" t="n">
        <f aca="false">-CW103*$F22*(CX$4&gt;In_COD)</f>
        <v>-0</v>
      </c>
      <c r="CY94" s="49" t="n">
        <f aca="false">-CX103*$F22*(CY$4&gt;In_COD)</f>
        <v>-0</v>
      </c>
      <c r="CZ94" s="49" t="n">
        <f aca="false">-CY103*$F22*(CZ$4&gt;In_COD)</f>
        <v>-0</v>
      </c>
      <c r="DA94" s="49" t="n">
        <f aca="false">-CZ103*$F22*(DA$4&gt;In_COD)</f>
        <v>-0</v>
      </c>
      <c r="DB94" s="49" t="n">
        <f aca="false">-DA103*$F22*(DB$4&gt;In_COD)</f>
        <v>-0</v>
      </c>
      <c r="DC94" s="49" t="n">
        <f aca="false">-DB103*$F22*(DC$4&gt;In_COD)</f>
        <v>-0</v>
      </c>
      <c r="DD94" s="49" t="n">
        <f aca="false">-DC103*$F22*(DD$4&gt;In_COD)</f>
        <v>-0</v>
      </c>
      <c r="DE94" s="49" t="n">
        <f aca="false">-DD103*$F22*(DE$4&gt;In_COD)</f>
        <v>-0</v>
      </c>
      <c r="DF94" s="49" t="n">
        <f aca="false">-DE103*$F22*(DF$4&gt;In_COD)</f>
        <v>-0</v>
      </c>
      <c r="DG94" s="49" t="n">
        <f aca="false">-DF103*$F22*(DG$4&gt;In_COD)</f>
        <v>-0</v>
      </c>
      <c r="DH94" s="49" t="n">
        <f aca="false">-DG103*$F22*(DH$4&gt;In_COD)</f>
        <v>-0</v>
      </c>
      <c r="DI94" s="49" t="n">
        <f aca="false">-DH103*$F22*(DI$4&gt;In_COD)</f>
        <v>-0</v>
      </c>
      <c r="DJ94" s="49" t="n">
        <f aca="false">-DI103*$F22*(DJ$4&gt;In_COD)</f>
        <v>-0</v>
      </c>
      <c r="DK94" s="49" t="n">
        <f aca="false">-DJ103*$F22*(DK$4&gt;In_COD)</f>
        <v>-0</v>
      </c>
      <c r="DL94" s="49" t="n">
        <f aca="false">-DK103*$F22*(DL$4&gt;In_COD)</f>
        <v>-0</v>
      </c>
      <c r="DM94" s="49" t="n">
        <f aca="false">-DL103*$F22*(DM$4&gt;In_COD)</f>
        <v>-0</v>
      </c>
      <c r="DN94" s="49" t="n">
        <f aca="false">-DM103*$F22*(DN$4&gt;In_COD)</f>
        <v>-0</v>
      </c>
      <c r="DO94" s="49" t="n">
        <f aca="false">-DN103*$F22*(DO$4&gt;In_COD)</f>
        <v>-0</v>
      </c>
      <c r="DP94" s="49" t="n">
        <f aca="false">-DO103*$F22*(DP$4&gt;In_COD)</f>
        <v>-0</v>
      </c>
      <c r="DQ94" s="49" t="n">
        <f aca="false">-DP103*$F22*(DQ$4&gt;In_COD)</f>
        <v>-0</v>
      </c>
      <c r="DR94" s="49" t="n">
        <f aca="false">-DQ103*$F22*(DR$4&gt;In_COD)</f>
        <v>-0</v>
      </c>
      <c r="DS94" s="49" t="n">
        <f aca="false">-DR103*$F22*(DS$4&gt;In_COD)</f>
        <v>-0</v>
      </c>
      <c r="DT94" s="49" t="n">
        <f aca="false">-DS103*$F22*(DT$4&gt;In_COD)</f>
        <v>-0</v>
      </c>
      <c r="DU94" s="49" t="n">
        <f aca="false">-DT103*$F22*(DU$4&gt;In_COD)</f>
        <v>-0</v>
      </c>
      <c r="DV94" s="49" t="n">
        <f aca="false">-DU103*$F22*(DV$4&gt;In_COD)</f>
        <v>-0</v>
      </c>
      <c r="DW94" s="49" t="n">
        <f aca="false">-DV103*$F22*(DW$4&gt;In_COD)</f>
        <v>-0</v>
      </c>
      <c r="DX94" s="49" t="n">
        <f aca="false">-DW103*$F22*(DX$4&gt;In_COD)</f>
        <v>-0</v>
      </c>
      <c r="DY94" s="49" t="n">
        <f aca="false">-DX103*$F22*(DY$4&gt;In_COD)</f>
        <v>-0</v>
      </c>
      <c r="DZ94" s="49" t="n">
        <f aca="false">-DY103*$F22*(DZ$4&gt;In_COD)</f>
        <v>-0</v>
      </c>
      <c r="EA94" s="49" t="n">
        <f aca="false">-DZ103*$F22*(EA$4&gt;In_COD)</f>
        <v>-0</v>
      </c>
      <c r="EB94" s="49" t="n">
        <f aca="false">-EA103*$F22*(EB$4&gt;In_COD)</f>
        <v>-0</v>
      </c>
      <c r="EC94" s="49" t="n">
        <f aca="false">-EB103*$F22*(EC$4&gt;In_COD)</f>
        <v>-0</v>
      </c>
      <c r="ED94" s="49" t="n">
        <f aca="false">-EC103*$F22*(ED$4&gt;In_COD)</f>
        <v>-0</v>
      </c>
      <c r="EE94" s="49" t="n">
        <f aca="false">-ED103*$F22*(EE$4&gt;In_COD)</f>
        <v>-0</v>
      </c>
      <c r="EF94" s="49" t="n">
        <f aca="false">-EE103*$F22*(EF$4&gt;In_COD)</f>
        <v>-0</v>
      </c>
      <c r="EG94" s="49" t="n">
        <f aca="false">-EF103*$F22*(EG$4&gt;In_COD)</f>
        <v>-0</v>
      </c>
      <c r="EH94" s="49" t="n">
        <f aca="false">-EG103*$F22*(EH$4&gt;In_COD)</f>
        <v>-0</v>
      </c>
      <c r="EI94" s="49" t="n">
        <f aca="false">-EH103*$F22*(EI$4&gt;In_COD)</f>
        <v>-0</v>
      </c>
      <c r="EJ94" s="49" t="n">
        <f aca="false">-EI103*$F22*(EJ$4&gt;In_COD)</f>
        <v>-0</v>
      </c>
      <c r="EK94" s="49" t="n">
        <f aca="false">-EJ103*$F22*(EK$4&gt;In_COD)</f>
        <v>-0</v>
      </c>
      <c r="EL94" s="49" t="n">
        <f aca="false">-EK103*$F22*(EL$4&gt;In_COD)</f>
        <v>-0</v>
      </c>
      <c r="EM94" s="49" t="n">
        <f aca="false">-EL103*$F22*(EM$4&gt;In_COD)</f>
        <v>-0</v>
      </c>
      <c r="EN94" s="49" t="n">
        <f aca="false">-EM103*$F22*(EN$4&gt;In_COD)</f>
        <v>-0</v>
      </c>
      <c r="EO94" s="49" t="n">
        <f aca="false">-EN103*$F22*(EO$4&gt;In_COD)</f>
        <v>-0</v>
      </c>
    </row>
    <row r="95" customFormat="false" ht="15" hidden="false" customHeight="false" outlineLevel="0" collapsed="false">
      <c r="C95" s="1" t="s">
        <v>493</v>
      </c>
      <c r="D95" s="12" t="s">
        <v>33</v>
      </c>
      <c r="I95" s="49" t="n">
        <f aca="false">SUM(J95:EO95)</f>
        <v>-43397.3364285807</v>
      </c>
      <c r="J95" s="49" t="n">
        <f aca="false">-MIN(I103,$F91+J94)*J18</f>
        <v>-0</v>
      </c>
      <c r="K95" s="49" t="n">
        <f aca="false">-MIN(J103,$F91+K94)*K18</f>
        <v>-0</v>
      </c>
      <c r="L95" s="49" t="n">
        <f aca="false">-MIN(K103,$F91+L94)*L18</f>
        <v>-0</v>
      </c>
      <c r="M95" s="49" t="n">
        <f aca="false">-MIN(L103,$F91+M94)*M18</f>
        <v>-0</v>
      </c>
      <c r="N95" s="49" t="n">
        <f aca="false">-MIN(M103,$F91+N94)*N18</f>
        <v>-0</v>
      </c>
      <c r="O95" s="49" t="n">
        <f aca="false">-MIN(N103,$F91+O94)*O18</f>
        <v>-0</v>
      </c>
      <c r="P95" s="49" t="n">
        <f aca="false">-MIN(O103,$F91+P94)*P18</f>
        <v>-0</v>
      </c>
      <c r="Q95" s="49" t="n">
        <f aca="false">-MIN(P103,$F91+Q94)*Q18</f>
        <v>-0</v>
      </c>
      <c r="R95" s="49" t="n">
        <f aca="false">-MIN(Q103,$F91+R94)*R18</f>
        <v>-0</v>
      </c>
      <c r="S95" s="49" t="n">
        <f aca="false">-MIN(R103,$F91+S94)*S18</f>
        <v>-0</v>
      </c>
      <c r="T95" s="49" t="n">
        <f aca="false">-MIN(S103,$F91+T94)*T18</f>
        <v>-0</v>
      </c>
      <c r="U95" s="49" t="n">
        <f aca="false">-MIN(T103,$F91+U94)*U18</f>
        <v>-0</v>
      </c>
      <c r="V95" s="49" t="n">
        <f aca="false">-MIN(U103,$F91+V94)*V18</f>
        <v>-0</v>
      </c>
      <c r="W95" s="49" t="n">
        <f aca="false">-MIN(V103,$F91+W94)*W18</f>
        <v>-0</v>
      </c>
      <c r="X95" s="49" t="n">
        <f aca="false">-MIN(W103,$F91+X94)*X18</f>
        <v>-0</v>
      </c>
      <c r="Y95" s="49" t="n">
        <f aca="false">-MIN(X103,$F91+Y94)*Y18</f>
        <v>-0</v>
      </c>
      <c r="Z95" s="49" t="n">
        <f aca="false">-MIN(Y103,$F91+Z94)*Z18</f>
        <v>-489.952894212865</v>
      </c>
      <c r="AA95" s="49" t="n">
        <f aca="false">-MIN(Z103,$F91+AA94)*AA18</f>
        <v>-496.077305390526</v>
      </c>
      <c r="AB95" s="49" t="n">
        <f aca="false">-MIN(AA103,$F91+AB94)*AB18</f>
        <v>-502.278271707908</v>
      </c>
      <c r="AC95" s="49" t="n">
        <f aca="false">-MIN(AB103,$F91+AC94)*AC18</f>
        <v>-508.556750104257</v>
      </c>
      <c r="AD95" s="49" t="n">
        <f aca="false">-MIN(AC103,$F91+AD94)*AD18</f>
        <v>-514.91370948056</v>
      </c>
      <c r="AE95" s="49" t="n">
        <f aca="false">-MIN(AD103,$F91+AE94)*AE18</f>
        <v>-521.350130849067</v>
      </c>
      <c r="AF95" s="49" t="n">
        <f aca="false">-MIN(AE103,$F91+AF94)*AF18</f>
        <v>-527.86700748468</v>
      </c>
      <c r="AG95" s="49" t="n">
        <f aca="false">-MIN(AF103,$F91+AG94)*AG18</f>
        <v>-534.465345078239</v>
      </c>
      <c r="AH95" s="49" t="n">
        <f aca="false">-MIN(AG103,$F91+AH94)*AH18</f>
        <v>-541.146161891717</v>
      </c>
      <c r="AI95" s="49" t="n">
        <f aca="false">-MIN(AH103,$F91+AI94)*AI18</f>
        <v>-547.910488915363</v>
      </c>
      <c r="AJ95" s="49" t="n">
        <f aca="false">-MIN(AI103,$F91+AJ94)*AJ18</f>
        <v>-554.759370026805</v>
      </c>
      <c r="AK95" s="49" t="n">
        <f aca="false">-MIN(AJ103,$F91+AK94)*AK18</f>
        <v>-561.69386215214</v>
      </c>
      <c r="AL95" s="49" t="n">
        <f aca="false">-MIN(AK103,$F91+AL94)*AL18</f>
        <v>-568.715035429042</v>
      </c>
      <c r="AM95" s="49" t="n">
        <f aca="false">-MIN(AL103,$F91+AM94)*AM18</f>
        <v>-575.823973371905</v>
      </c>
      <c r="AN95" s="49" t="n">
        <f aca="false">-MIN(AM103,$F91+AN94)*AN18</f>
        <v>-583.021773039054</v>
      </c>
      <c r="AO95" s="49" t="n">
        <f aca="false">-MIN(AN103,$F91+AO94)*AO18</f>
        <v>-590.309545202042</v>
      </c>
      <c r="AP95" s="49" t="n">
        <f aca="false">-MIN(AO103,$F91+AP94)*AP18</f>
        <v>-597.688414517067</v>
      </c>
      <c r="AQ95" s="49" t="n">
        <f aca="false">-MIN(AP103,$F91+AQ94)*AQ18</f>
        <v>-605.159519698531</v>
      </c>
      <c r="AR95" s="49" t="n">
        <f aca="false">-MIN(AQ103,$F91+AR94)*AR18</f>
        <v>-612.724013694762</v>
      </c>
      <c r="AS95" s="49" t="n">
        <f aca="false">-MIN(AR103,$F91+AS94)*AS18</f>
        <v>-620.383063865947</v>
      </c>
      <c r="AT95" s="49" t="n">
        <f aca="false">-MIN(AS103,$F91+AT94)*AT18</f>
        <v>-628.137852164271</v>
      </c>
      <c r="AU95" s="49" t="n">
        <f aca="false">-MIN(AT103,$F91+AU94)*AU18</f>
        <v>-635.989575316325</v>
      </c>
      <c r="AV95" s="49" t="n">
        <f aca="false">-MIN(AU103,$F91+AV94)*AV18</f>
        <v>-643.939445007779</v>
      </c>
      <c r="AW95" s="49" t="n">
        <f aca="false">-MIN(AV103,$F91+AW94)*AW18</f>
        <v>-651.988688070376</v>
      </c>
      <c r="AX95" s="49" t="n">
        <f aca="false">-MIN(AW103,$F91+AX94)*AX18</f>
        <v>-660.138546671256</v>
      </c>
      <c r="AY95" s="49" t="n">
        <f aca="false">-MIN(AX103,$F91+AY94)*AY18</f>
        <v>-668.390278504646</v>
      </c>
      <c r="AZ95" s="49" t="n">
        <f aca="false">-MIN(AY103,$F91+AZ94)*AZ18</f>
        <v>-676.745156985954</v>
      </c>
      <c r="BA95" s="49" t="n">
        <f aca="false">-MIN(AZ103,$F91+BA94)*BA18</f>
        <v>-685.204471448279</v>
      </c>
      <c r="BB95" s="49" t="n">
        <f aca="false">-MIN(BA103,$F91+BB94)*BB18</f>
        <v>-693.769527341382</v>
      </c>
      <c r="BC95" s="49" t="n">
        <f aca="false">-MIN(BB103,$F91+BC94)*BC18</f>
        <v>-702.44164643315</v>
      </c>
      <c r="BD95" s="49" t="n">
        <f aca="false">-MIN(BC103,$F91+BD94)*BD18</f>
        <v>-711.222167013564</v>
      </c>
      <c r="BE95" s="49" t="n">
        <f aca="false">-MIN(BD103,$F91+BE94)*BE18</f>
        <v>-720.112444101234</v>
      </c>
      <c r="BF95" s="49" t="n">
        <f aca="false">-MIN(BE103,$F91+BF94)*BF18</f>
        <v>-729.113849652499</v>
      </c>
      <c r="BG95" s="49" t="n">
        <f aca="false">-MIN(BF103,$F91+BG94)*BG18</f>
        <v>-738.227772773155</v>
      </c>
      <c r="BH95" s="49" t="n">
        <f aca="false">-MIN(BG103,$F91+BH94)*BH18</f>
        <v>-747.45561993282</v>
      </c>
      <c r="BI95" s="49" t="n">
        <f aca="false">-MIN(BH103,$F91+BI94)*BI18</f>
        <v>-756.79881518198</v>
      </c>
      <c r="BJ95" s="49" t="n">
        <f aca="false">-MIN(BI103,$F91+BJ94)*BJ18</f>
        <v>-766.258800371755</v>
      </c>
      <c r="BK95" s="49" t="n">
        <f aca="false">-MIN(BJ103,$F91+BK94)*BK18</f>
        <v>-775.837035376401</v>
      </c>
      <c r="BL95" s="49" t="n">
        <f aca="false">-MIN(BK103,$F91+BL94)*BL18</f>
        <v>-785.534998318607</v>
      </c>
      <c r="BM95" s="49" t="n">
        <f aca="false">-MIN(BL103,$F91+BM94)*BM18</f>
        <v>-795.354185797589</v>
      </c>
      <c r="BN95" s="49" t="n">
        <f aca="false">-MIN(BM103,$F91+BN94)*BN18</f>
        <v>-805.296113120059</v>
      </c>
      <c r="BO95" s="49" t="n">
        <f aca="false">-MIN(BN103,$F91+BO94)*BO18</f>
        <v>-815.36231453406</v>
      </c>
      <c r="BP95" s="49" t="n">
        <f aca="false">-MIN(BO103,$F91+BP94)*BP18</f>
        <v>-825.554343465735</v>
      </c>
      <c r="BQ95" s="49" t="n">
        <f aca="false">-MIN(BP103,$F91+BQ94)*BQ18</f>
        <v>-835.873772759057</v>
      </c>
      <c r="BR95" s="49" t="n">
        <f aca="false">-MIN(BQ103,$F91+BR94)*BR18</f>
        <v>-846.322194918545</v>
      </c>
      <c r="BS95" s="49" t="n">
        <f aca="false">-MIN(BR103,$F91+BS94)*BS18</f>
        <v>-856.901222355027</v>
      </c>
      <c r="BT95" s="49" t="n">
        <f aca="false">-MIN(BS103,$F91+BT94)*BT18</f>
        <v>-867.612487634465</v>
      </c>
      <c r="BU95" s="49" t="n">
        <f aca="false">-MIN(BT103,$F91+BU94)*BU18</f>
        <v>-878.457643729896</v>
      </c>
      <c r="BV95" s="49" t="n">
        <f aca="false">-MIN(BU103,$F91+BV94)*BV18</f>
        <v>-889.43836427652</v>
      </c>
      <c r="BW95" s="49" t="n">
        <f aca="false">-MIN(BV103,$F91+BW94)*BW18</f>
        <v>-900.556343829976</v>
      </c>
      <c r="BX95" s="49" t="n">
        <f aca="false">-MIN(BW103,$F91+BX94)*BX18</f>
        <v>-911.813298127851</v>
      </c>
      <c r="BY95" s="49" t="n">
        <f aca="false">-MIN(BX103,$F91+BY94)*BY18</f>
        <v>-923.210964354449</v>
      </c>
      <c r="BZ95" s="49" t="n">
        <f aca="false">-MIN(BY103,$F91+BZ94)*BZ18</f>
        <v>-934.75110140888</v>
      </c>
      <c r="CA95" s="49" t="n">
        <f aca="false">-MIN(BZ103,$F91+CA94)*CA18</f>
        <v>-946.435490176491</v>
      </c>
      <c r="CB95" s="49" t="n">
        <f aca="false">-MIN(CA103,$F91+CB94)*CB18</f>
        <v>-958.265933803697</v>
      </c>
      <c r="CC95" s="49" t="n">
        <f aca="false">-MIN(CB103,$F91+CC94)*CC18</f>
        <v>-970.244257976243</v>
      </c>
      <c r="CD95" s="49" t="n">
        <f aca="false">-MIN(CC103,$F91+CD94)*CD18</f>
        <v>-982.372311200946</v>
      </c>
      <c r="CE95" s="49" t="n">
        <f aca="false">-MIN(CD103,$F91+CE94)*CE18</f>
        <v>-994.651965090958</v>
      </c>
      <c r="CF95" s="49" t="n">
        <f aca="false">-MIN(CE103,$F91+CF94)*CF18</f>
        <v>-1007.08511465459</v>
      </c>
      <c r="CG95" s="49" t="n">
        <f aca="false">-MIN(CF103,$F91+CG94)*CG18</f>
        <v>-1019.67367858776</v>
      </c>
      <c r="CH95" s="49" t="n">
        <f aca="false">-MIN(CG103,$F91+CH94)*CH18</f>
        <v>-0</v>
      </c>
      <c r="CI95" s="49" t="n">
        <f aca="false">-MIN(CH103,$F91+CI94)*CI18</f>
        <v>-0</v>
      </c>
      <c r="CJ95" s="49" t="n">
        <f aca="false">-MIN(CI103,$F91+CJ94)*CJ18</f>
        <v>-0</v>
      </c>
      <c r="CK95" s="49" t="n">
        <f aca="false">-MIN(CJ103,$F91+CK94)*CK18</f>
        <v>-0</v>
      </c>
      <c r="CL95" s="49" t="n">
        <f aca="false">-MIN(CK103,$F91+CL94)*CL18</f>
        <v>-0</v>
      </c>
      <c r="CM95" s="49" t="n">
        <f aca="false">-MIN(CL103,$F91+CM94)*CM18</f>
        <v>-0</v>
      </c>
      <c r="CN95" s="49" t="n">
        <f aca="false">-MIN(CM103,$F91+CN94)*CN18</f>
        <v>-0</v>
      </c>
      <c r="CO95" s="49" t="n">
        <f aca="false">-MIN(CN103,$F91+CO94)*CO18</f>
        <v>-0</v>
      </c>
      <c r="CP95" s="49" t="n">
        <f aca="false">-MIN(CO103,$F91+CP94)*CP18</f>
        <v>-0</v>
      </c>
      <c r="CQ95" s="49" t="n">
        <f aca="false">-MIN(CP103,$F91+CQ94)*CQ18</f>
        <v>-0</v>
      </c>
      <c r="CR95" s="49" t="n">
        <f aca="false">-MIN(CQ103,$F91+CR94)*CR18</f>
        <v>-0</v>
      </c>
      <c r="CS95" s="49" t="n">
        <f aca="false">-MIN(CR103,$F91+CS94)*CS18</f>
        <v>-0</v>
      </c>
      <c r="CT95" s="49" t="n">
        <f aca="false">-MIN(CS103,$F91+CT94)*CT18</f>
        <v>-0</v>
      </c>
      <c r="CU95" s="49" t="n">
        <f aca="false">-MIN(CT103,$F91+CU94)*CU18</f>
        <v>-0</v>
      </c>
      <c r="CV95" s="49" t="n">
        <f aca="false">-MIN(CU103,$F91+CV94)*CV18</f>
        <v>-0</v>
      </c>
      <c r="CW95" s="49" t="n">
        <f aca="false">-MIN(CV103,$F91+CW94)*CW18</f>
        <v>-0</v>
      </c>
      <c r="CX95" s="49" t="n">
        <f aca="false">-MIN(CW103,$F91+CX94)*CX18</f>
        <v>-0</v>
      </c>
      <c r="CY95" s="49" t="n">
        <f aca="false">-MIN(CX103,$F91+CY94)*CY18</f>
        <v>-0</v>
      </c>
      <c r="CZ95" s="49" t="n">
        <f aca="false">-MIN(CY103,$F91+CZ94)*CZ18</f>
        <v>-0</v>
      </c>
      <c r="DA95" s="49" t="n">
        <f aca="false">-MIN(CZ103,$F91+DA94)*DA18</f>
        <v>-0</v>
      </c>
      <c r="DB95" s="49" t="n">
        <f aca="false">-MIN(DA103,$F91+DB94)*DB18</f>
        <v>-0</v>
      </c>
      <c r="DC95" s="49" t="n">
        <f aca="false">-MIN(DB103,$F91+DC94)*DC18</f>
        <v>-0</v>
      </c>
      <c r="DD95" s="49" t="n">
        <f aca="false">-MIN(DC103,$F91+DD94)*DD18</f>
        <v>-0</v>
      </c>
      <c r="DE95" s="49" t="n">
        <f aca="false">-MIN(DD103,$F91+DE94)*DE18</f>
        <v>-0</v>
      </c>
      <c r="DF95" s="49" t="n">
        <f aca="false">-MIN(DE103,$F91+DF94)*DF18</f>
        <v>-0</v>
      </c>
      <c r="DG95" s="49" t="n">
        <f aca="false">-MIN(DF103,$F91+DG94)*DG18</f>
        <v>-0</v>
      </c>
      <c r="DH95" s="49" t="n">
        <f aca="false">-MIN(DG103,$F91+DH94)*DH18</f>
        <v>-0</v>
      </c>
      <c r="DI95" s="49" t="n">
        <f aca="false">-MIN(DH103,$F91+DI94)*DI18</f>
        <v>-0</v>
      </c>
      <c r="DJ95" s="49" t="n">
        <f aca="false">-MIN(DI103,$F91+DJ94)*DJ18</f>
        <v>-0</v>
      </c>
      <c r="DK95" s="49" t="n">
        <f aca="false">-MIN(DJ103,$F91+DK94)*DK18</f>
        <v>-0</v>
      </c>
      <c r="DL95" s="49" t="n">
        <f aca="false">-MIN(DK103,$F91+DL94)*DL18</f>
        <v>-0</v>
      </c>
      <c r="DM95" s="49" t="n">
        <f aca="false">-MIN(DL103,$F91+DM94)*DM18</f>
        <v>-0</v>
      </c>
      <c r="DN95" s="49" t="n">
        <f aca="false">-MIN(DM103,$F91+DN94)*DN18</f>
        <v>-0</v>
      </c>
      <c r="DO95" s="49" t="n">
        <f aca="false">-MIN(DN103,$F91+DO94)*DO18</f>
        <v>-0</v>
      </c>
      <c r="DP95" s="49" t="n">
        <f aca="false">-MIN(DO103,$F91+DP94)*DP18</f>
        <v>-0</v>
      </c>
      <c r="DQ95" s="49" t="n">
        <f aca="false">-MIN(DP103,$F91+DQ94)*DQ18</f>
        <v>-0</v>
      </c>
      <c r="DR95" s="49" t="n">
        <f aca="false">-MIN(DQ103,$F91+DR94)*DR18</f>
        <v>-0</v>
      </c>
      <c r="DS95" s="49" t="n">
        <f aca="false">-MIN(DR103,$F91+DS94)*DS18</f>
        <v>-0</v>
      </c>
      <c r="DT95" s="49" t="n">
        <f aca="false">-MIN(DS103,$F91+DT94)*DT18</f>
        <v>-0</v>
      </c>
      <c r="DU95" s="49" t="n">
        <f aca="false">-MIN(DT103,$F91+DU94)*DU18</f>
        <v>-0</v>
      </c>
      <c r="DV95" s="49" t="n">
        <f aca="false">-MIN(DU103,$F91+DV94)*DV18</f>
        <v>-0</v>
      </c>
      <c r="DW95" s="49" t="n">
        <f aca="false">-MIN(DV103,$F91+DW94)*DW18</f>
        <v>-0</v>
      </c>
      <c r="DX95" s="49" t="n">
        <f aca="false">-MIN(DW103,$F91+DX94)*DX18</f>
        <v>-0</v>
      </c>
      <c r="DY95" s="49" t="n">
        <f aca="false">-MIN(DX103,$F91+DY94)*DY18</f>
        <v>-0</v>
      </c>
      <c r="DZ95" s="49" t="n">
        <f aca="false">-MIN(DY103,$F91+DZ94)*DZ18</f>
        <v>-0</v>
      </c>
      <c r="EA95" s="49" t="n">
        <f aca="false">-MIN(DZ103,$F91+EA94)*EA18</f>
        <v>-0</v>
      </c>
      <c r="EB95" s="49" t="n">
        <f aca="false">-MIN(EA103,$F91+EB94)*EB18</f>
        <v>-0</v>
      </c>
      <c r="EC95" s="49" t="n">
        <f aca="false">-MIN(EB103,$F91+EC94)*EC18</f>
        <v>-0</v>
      </c>
      <c r="ED95" s="49" t="n">
        <f aca="false">-MIN(EC103,$F91+ED94)*ED18</f>
        <v>-0</v>
      </c>
      <c r="EE95" s="49" t="n">
        <f aca="false">-MIN(ED103,$F91+EE94)*EE18</f>
        <v>-0</v>
      </c>
      <c r="EF95" s="49" t="n">
        <f aca="false">-MIN(EE103,$F91+EF94)*EF18</f>
        <v>-0</v>
      </c>
      <c r="EG95" s="49" t="n">
        <f aca="false">-MIN(EF103,$F91+EG94)*EG18</f>
        <v>-0</v>
      </c>
      <c r="EH95" s="49" t="n">
        <f aca="false">-MIN(EG103,$F91+EH94)*EH18</f>
        <v>-0</v>
      </c>
      <c r="EI95" s="49" t="n">
        <f aca="false">-MIN(EH103,$F91+EI94)*EI18</f>
        <v>-0</v>
      </c>
      <c r="EJ95" s="49" t="n">
        <f aca="false">-MIN(EI103,$F91+EJ94)*EJ18</f>
        <v>-0</v>
      </c>
      <c r="EK95" s="49" t="n">
        <f aca="false">-MIN(EJ103,$F91+EK94)*EK18</f>
        <v>-0</v>
      </c>
      <c r="EL95" s="49" t="n">
        <f aca="false">-MIN(EK103,$F91+EL94)*EL18</f>
        <v>-0</v>
      </c>
      <c r="EM95" s="49" t="n">
        <f aca="false">-MIN(EL103,$F91+EM94)*EM18</f>
        <v>-0</v>
      </c>
      <c r="EN95" s="49" t="n">
        <f aca="false">-MIN(EM103,$F91+EN94)*EN18</f>
        <v>-0</v>
      </c>
      <c r="EO95" s="49" t="n">
        <f aca="false">-MIN(EN103,$F91+EO94)*EO18</f>
        <v>-0</v>
      </c>
    </row>
    <row r="96" customFormat="false" ht="15" hidden="false" customHeight="false" outlineLevel="0" collapsed="false">
      <c r="C96" s="1" t="s">
        <v>494</v>
      </c>
      <c r="D96" s="12" t="s">
        <v>33</v>
      </c>
      <c r="I96" s="49" t="n">
        <f aca="false">SUM(J96:EO96)</f>
        <v>-61945.1759742074</v>
      </c>
      <c r="J96" s="49" t="n">
        <f aca="false">J94+J95</f>
        <v>-0</v>
      </c>
      <c r="K96" s="49" t="n">
        <f aca="false">K94+K95</f>
        <v>-0</v>
      </c>
      <c r="L96" s="49" t="n">
        <f aca="false">L94+L95</f>
        <v>-0</v>
      </c>
      <c r="M96" s="49" t="n">
        <f aca="false">M94+M95</f>
        <v>-0</v>
      </c>
      <c r="N96" s="49" t="n">
        <f aca="false">N94+N95</f>
        <v>-0</v>
      </c>
      <c r="O96" s="49" t="n">
        <f aca="false">O94+O95</f>
        <v>-0</v>
      </c>
      <c r="P96" s="49" t="n">
        <f aca="false">P94+P95</f>
        <v>-0</v>
      </c>
      <c r="Q96" s="49" t="n">
        <f aca="false">Q94+Q95</f>
        <v>-0</v>
      </c>
      <c r="R96" s="49" t="n">
        <f aca="false">R94+R95</f>
        <v>-0</v>
      </c>
      <c r="S96" s="49" t="n">
        <f aca="false">S94+S95</f>
        <v>-0</v>
      </c>
      <c r="T96" s="49" t="n">
        <f aca="false">T94+T95</f>
        <v>-0</v>
      </c>
      <c r="U96" s="49" t="n">
        <f aca="false">U94+U95</f>
        <v>-0</v>
      </c>
      <c r="V96" s="49" t="n">
        <f aca="false">V94+V95</f>
        <v>-0</v>
      </c>
      <c r="W96" s="49" t="n">
        <f aca="false">W94+W95</f>
        <v>-0</v>
      </c>
      <c r="X96" s="49" t="n">
        <f aca="false">X94+X95</f>
        <v>-0</v>
      </c>
      <c r="Y96" s="49" t="n">
        <f aca="false">Y94+Y95</f>
        <v>-0</v>
      </c>
      <c r="Z96" s="49" t="n">
        <f aca="false">Z94+Z95</f>
        <v>-1032.41959957012</v>
      </c>
      <c r="AA96" s="49" t="n">
        <f aca="false">AA94+AA95</f>
        <v>-1032.41959957012</v>
      </c>
      <c r="AB96" s="49" t="n">
        <f aca="false">AB94+AB95</f>
        <v>-1032.41959957012</v>
      </c>
      <c r="AC96" s="49" t="n">
        <f aca="false">AC94+AC95</f>
        <v>-1032.41959957012</v>
      </c>
      <c r="AD96" s="49" t="n">
        <f aca="false">AD94+AD95</f>
        <v>-1032.41959957012</v>
      </c>
      <c r="AE96" s="49" t="n">
        <f aca="false">AE94+AE95</f>
        <v>-1032.41959957012</v>
      </c>
      <c r="AF96" s="49" t="n">
        <f aca="false">AF94+AF95</f>
        <v>-1032.41959957012</v>
      </c>
      <c r="AG96" s="49" t="n">
        <f aca="false">AG94+AG95</f>
        <v>-1032.41959957012</v>
      </c>
      <c r="AH96" s="49" t="n">
        <f aca="false">AH94+AH95</f>
        <v>-1032.41959957012</v>
      </c>
      <c r="AI96" s="49" t="n">
        <f aca="false">AI94+AI95</f>
        <v>-1032.41959957012</v>
      </c>
      <c r="AJ96" s="49" t="n">
        <f aca="false">AJ94+AJ95</f>
        <v>-1032.41959957012</v>
      </c>
      <c r="AK96" s="49" t="n">
        <f aca="false">AK94+AK95</f>
        <v>-1032.41959957012</v>
      </c>
      <c r="AL96" s="49" t="n">
        <f aca="false">AL94+AL95</f>
        <v>-1032.41959957012</v>
      </c>
      <c r="AM96" s="49" t="n">
        <f aca="false">AM94+AM95</f>
        <v>-1032.41959957012</v>
      </c>
      <c r="AN96" s="49" t="n">
        <f aca="false">AN94+AN95</f>
        <v>-1032.41959957012</v>
      </c>
      <c r="AO96" s="49" t="n">
        <f aca="false">AO94+AO95</f>
        <v>-1032.41959957012</v>
      </c>
      <c r="AP96" s="49" t="n">
        <f aca="false">AP94+AP95</f>
        <v>-1032.41959957012</v>
      </c>
      <c r="AQ96" s="49" t="n">
        <f aca="false">AQ94+AQ95</f>
        <v>-1032.41959957012</v>
      </c>
      <c r="AR96" s="49" t="n">
        <f aca="false">AR94+AR95</f>
        <v>-1032.41959957012</v>
      </c>
      <c r="AS96" s="49" t="n">
        <f aca="false">AS94+AS95</f>
        <v>-1032.41959957012</v>
      </c>
      <c r="AT96" s="49" t="n">
        <f aca="false">AT94+AT95</f>
        <v>-1032.41959957012</v>
      </c>
      <c r="AU96" s="49" t="n">
        <f aca="false">AU94+AU95</f>
        <v>-1032.41959957012</v>
      </c>
      <c r="AV96" s="49" t="n">
        <f aca="false">AV94+AV95</f>
        <v>-1032.41959957012</v>
      </c>
      <c r="AW96" s="49" t="n">
        <f aca="false">AW94+AW95</f>
        <v>-1032.41959957012</v>
      </c>
      <c r="AX96" s="49" t="n">
        <f aca="false">AX94+AX95</f>
        <v>-1032.41959957012</v>
      </c>
      <c r="AY96" s="49" t="n">
        <f aca="false">AY94+AY95</f>
        <v>-1032.41959957012</v>
      </c>
      <c r="AZ96" s="49" t="n">
        <f aca="false">AZ94+AZ95</f>
        <v>-1032.41959957012</v>
      </c>
      <c r="BA96" s="49" t="n">
        <f aca="false">BA94+BA95</f>
        <v>-1032.41959957012</v>
      </c>
      <c r="BB96" s="49" t="n">
        <f aca="false">BB94+BB95</f>
        <v>-1032.41959957012</v>
      </c>
      <c r="BC96" s="49" t="n">
        <f aca="false">BC94+BC95</f>
        <v>-1032.41959957012</v>
      </c>
      <c r="BD96" s="49" t="n">
        <f aca="false">BD94+BD95</f>
        <v>-1032.41959957012</v>
      </c>
      <c r="BE96" s="49" t="n">
        <f aca="false">BE94+BE95</f>
        <v>-1032.41959957012</v>
      </c>
      <c r="BF96" s="49" t="n">
        <f aca="false">BF94+BF95</f>
        <v>-1032.41959957012</v>
      </c>
      <c r="BG96" s="49" t="n">
        <f aca="false">BG94+BG95</f>
        <v>-1032.41959957012</v>
      </c>
      <c r="BH96" s="49" t="n">
        <f aca="false">BH94+BH95</f>
        <v>-1032.41959957012</v>
      </c>
      <c r="BI96" s="49" t="n">
        <f aca="false">BI94+BI95</f>
        <v>-1032.41959957012</v>
      </c>
      <c r="BJ96" s="49" t="n">
        <f aca="false">BJ94+BJ95</f>
        <v>-1032.41959957012</v>
      </c>
      <c r="BK96" s="49" t="n">
        <f aca="false">BK94+BK95</f>
        <v>-1032.41959957012</v>
      </c>
      <c r="BL96" s="49" t="n">
        <f aca="false">BL94+BL95</f>
        <v>-1032.41959957012</v>
      </c>
      <c r="BM96" s="49" t="n">
        <f aca="false">BM94+BM95</f>
        <v>-1032.41959957012</v>
      </c>
      <c r="BN96" s="49" t="n">
        <f aca="false">BN94+BN95</f>
        <v>-1032.41959957012</v>
      </c>
      <c r="BO96" s="49" t="n">
        <f aca="false">BO94+BO95</f>
        <v>-1032.41959957012</v>
      </c>
      <c r="BP96" s="49" t="n">
        <f aca="false">BP94+BP95</f>
        <v>-1032.41959957012</v>
      </c>
      <c r="BQ96" s="49" t="n">
        <f aca="false">BQ94+BQ95</f>
        <v>-1032.41959957012</v>
      </c>
      <c r="BR96" s="49" t="n">
        <f aca="false">BR94+BR95</f>
        <v>-1032.41959957012</v>
      </c>
      <c r="BS96" s="49" t="n">
        <f aca="false">BS94+BS95</f>
        <v>-1032.41959957012</v>
      </c>
      <c r="BT96" s="49" t="n">
        <f aca="false">BT94+BT95</f>
        <v>-1032.41959957012</v>
      </c>
      <c r="BU96" s="49" t="n">
        <f aca="false">BU94+BU95</f>
        <v>-1032.41959957012</v>
      </c>
      <c r="BV96" s="49" t="n">
        <f aca="false">BV94+BV95</f>
        <v>-1032.41959957012</v>
      </c>
      <c r="BW96" s="49" t="n">
        <f aca="false">BW94+BW95</f>
        <v>-1032.41959957012</v>
      </c>
      <c r="BX96" s="49" t="n">
        <f aca="false">BX94+BX95</f>
        <v>-1032.41959957012</v>
      </c>
      <c r="BY96" s="49" t="n">
        <f aca="false">BY94+BY95</f>
        <v>-1032.41959957012</v>
      </c>
      <c r="BZ96" s="49" t="n">
        <f aca="false">BZ94+BZ95</f>
        <v>-1032.41959957012</v>
      </c>
      <c r="CA96" s="49" t="n">
        <f aca="false">CA94+CA95</f>
        <v>-1032.41959957012</v>
      </c>
      <c r="CB96" s="49" t="n">
        <f aca="false">CB94+CB95</f>
        <v>-1032.41959957012</v>
      </c>
      <c r="CC96" s="49" t="n">
        <f aca="false">CC94+CC95</f>
        <v>-1032.41959957012</v>
      </c>
      <c r="CD96" s="49" t="n">
        <f aca="false">CD94+CD95</f>
        <v>-1032.41959957012</v>
      </c>
      <c r="CE96" s="49" t="n">
        <f aca="false">CE94+CE95</f>
        <v>-1032.41959957012</v>
      </c>
      <c r="CF96" s="49" t="n">
        <f aca="false">CF94+CF95</f>
        <v>-1032.41959957012</v>
      </c>
      <c r="CG96" s="49" t="n">
        <f aca="false">CG94+CG95</f>
        <v>-1032.41959957011</v>
      </c>
      <c r="CH96" s="49" t="n">
        <f aca="false">CH94+CH95</f>
        <v>-0</v>
      </c>
      <c r="CI96" s="49" t="n">
        <f aca="false">CI94+CI95</f>
        <v>-0</v>
      </c>
      <c r="CJ96" s="49" t="n">
        <f aca="false">CJ94+CJ95</f>
        <v>-0</v>
      </c>
      <c r="CK96" s="49" t="n">
        <f aca="false">CK94+CK95</f>
        <v>-0</v>
      </c>
      <c r="CL96" s="49" t="n">
        <f aca="false">CL94+CL95</f>
        <v>-0</v>
      </c>
      <c r="CM96" s="49" t="n">
        <f aca="false">CM94+CM95</f>
        <v>-0</v>
      </c>
      <c r="CN96" s="49" t="n">
        <f aca="false">CN94+CN95</f>
        <v>-0</v>
      </c>
      <c r="CO96" s="49" t="n">
        <f aca="false">CO94+CO95</f>
        <v>-0</v>
      </c>
      <c r="CP96" s="49" t="n">
        <f aca="false">CP94+CP95</f>
        <v>-0</v>
      </c>
      <c r="CQ96" s="49" t="n">
        <f aca="false">CQ94+CQ95</f>
        <v>-0</v>
      </c>
      <c r="CR96" s="49" t="n">
        <f aca="false">CR94+CR95</f>
        <v>-0</v>
      </c>
      <c r="CS96" s="49" t="n">
        <f aca="false">CS94+CS95</f>
        <v>-0</v>
      </c>
      <c r="CT96" s="49" t="n">
        <f aca="false">CT94+CT95</f>
        <v>-0</v>
      </c>
      <c r="CU96" s="49" t="n">
        <f aca="false">CU94+CU95</f>
        <v>-0</v>
      </c>
      <c r="CV96" s="49" t="n">
        <f aca="false">CV94+CV95</f>
        <v>-0</v>
      </c>
      <c r="CW96" s="49" t="n">
        <f aca="false">CW94+CW95</f>
        <v>-0</v>
      </c>
      <c r="CX96" s="49" t="n">
        <f aca="false">CX94+CX95</f>
        <v>-0</v>
      </c>
      <c r="CY96" s="49" t="n">
        <f aca="false">CY94+CY95</f>
        <v>-0</v>
      </c>
      <c r="CZ96" s="49" t="n">
        <f aca="false">CZ94+CZ95</f>
        <v>-0</v>
      </c>
      <c r="DA96" s="49" t="n">
        <f aca="false">DA94+DA95</f>
        <v>-0</v>
      </c>
      <c r="DB96" s="49" t="n">
        <f aca="false">DB94+DB95</f>
        <v>-0</v>
      </c>
      <c r="DC96" s="49" t="n">
        <f aca="false">DC94+DC95</f>
        <v>-0</v>
      </c>
      <c r="DD96" s="49" t="n">
        <f aca="false">DD94+DD95</f>
        <v>-0</v>
      </c>
      <c r="DE96" s="49" t="n">
        <f aca="false">DE94+DE95</f>
        <v>-0</v>
      </c>
      <c r="DF96" s="49" t="n">
        <f aca="false">DF94+DF95</f>
        <v>-0</v>
      </c>
      <c r="DG96" s="49" t="n">
        <f aca="false">DG94+DG95</f>
        <v>-0</v>
      </c>
      <c r="DH96" s="49" t="n">
        <f aca="false">DH94+DH95</f>
        <v>-0</v>
      </c>
      <c r="DI96" s="49" t="n">
        <f aca="false">DI94+DI95</f>
        <v>-0</v>
      </c>
      <c r="DJ96" s="49" t="n">
        <f aca="false">DJ94+DJ95</f>
        <v>-0</v>
      </c>
      <c r="DK96" s="49" t="n">
        <f aca="false">DK94+DK95</f>
        <v>-0</v>
      </c>
      <c r="DL96" s="49" t="n">
        <f aca="false">DL94+DL95</f>
        <v>-0</v>
      </c>
      <c r="DM96" s="49" t="n">
        <f aca="false">DM94+DM95</f>
        <v>-0</v>
      </c>
      <c r="DN96" s="49" t="n">
        <f aca="false">DN94+DN95</f>
        <v>-0</v>
      </c>
      <c r="DO96" s="49" t="n">
        <f aca="false">DO94+DO95</f>
        <v>-0</v>
      </c>
      <c r="DP96" s="49" t="n">
        <f aca="false">DP94+DP95</f>
        <v>-0</v>
      </c>
      <c r="DQ96" s="49" t="n">
        <f aca="false">DQ94+DQ95</f>
        <v>-0</v>
      </c>
      <c r="DR96" s="49" t="n">
        <f aca="false">DR94+DR95</f>
        <v>-0</v>
      </c>
      <c r="DS96" s="49" t="n">
        <f aca="false">DS94+DS95</f>
        <v>-0</v>
      </c>
      <c r="DT96" s="49" t="n">
        <f aca="false">DT94+DT95</f>
        <v>-0</v>
      </c>
      <c r="DU96" s="49" t="n">
        <f aca="false">DU94+DU95</f>
        <v>-0</v>
      </c>
      <c r="DV96" s="49" t="n">
        <f aca="false">DV94+DV95</f>
        <v>-0</v>
      </c>
      <c r="DW96" s="49" t="n">
        <f aca="false">DW94+DW95</f>
        <v>-0</v>
      </c>
      <c r="DX96" s="49" t="n">
        <f aca="false">DX94+DX95</f>
        <v>-0</v>
      </c>
      <c r="DY96" s="49" t="n">
        <f aca="false">DY94+DY95</f>
        <v>-0</v>
      </c>
      <c r="DZ96" s="49" t="n">
        <f aca="false">DZ94+DZ95</f>
        <v>-0</v>
      </c>
      <c r="EA96" s="49" t="n">
        <f aca="false">EA94+EA95</f>
        <v>-0</v>
      </c>
      <c r="EB96" s="49" t="n">
        <f aca="false">EB94+EB95</f>
        <v>-0</v>
      </c>
      <c r="EC96" s="49" t="n">
        <f aca="false">EC94+EC95</f>
        <v>-0</v>
      </c>
      <c r="ED96" s="49" t="n">
        <f aca="false">ED94+ED95</f>
        <v>-0</v>
      </c>
      <c r="EE96" s="49" t="n">
        <f aca="false">EE94+EE95</f>
        <v>-0</v>
      </c>
      <c r="EF96" s="49" t="n">
        <f aca="false">EF94+EF95</f>
        <v>-0</v>
      </c>
      <c r="EG96" s="49" t="n">
        <f aca="false">EG94+EG95</f>
        <v>-0</v>
      </c>
      <c r="EH96" s="49" t="n">
        <f aca="false">EH94+EH95</f>
        <v>-0</v>
      </c>
      <c r="EI96" s="49" t="n">
        <f aca="false">EI94+EI95</f>
        <v>-0</v>
      </c>
      <c r="EJ96" s="49" t="n">
        <f aca="false">EJ94+EJ95</f>
        <v>-0</v>
      </c>
      <c r="EK96" s="49" t="n">
        <f aca="false">EK94+EK95</f>
        <v>-0</v>
      </c>
      <c r="EL96" s="49" t="n">
        <f aca="false">EL94+EL95</f>
        <v>-0</v>
      </c>
      <c r="EM96" s="49" t="n">
        <f aca="false">EM94+EM95</f>
        <v>-0</v>
      </c>
      <c r="EN96" s="49" t="n">
        <f aca="false">EN94+EN95</f>
        <v>-0</v>
      </c>
      <c r="EO96" s="49" t="n">
        <f aca="false">EO94+EO95</f>
        <v>-0</v>
      </c>
    </row>
    <row r="97" customFormat="false" ht="15" hidden="false" customHeight="false" outlineLevel="0" collapsed="false">
      <c r="C97" s="1" t="s">
        <v>495</v>
      </c>
      <c r="D97" s="12" t="s">
        <v>33</v>
      </c>
      <c r="I97" s="49" t="n">
        <f aca="false">SUM(J97:EO97)</f>
        <v>0</v>
      </c>
      <c r="J97" s="49" t="n">
        <f aca="false">-MIN(I103+J95,In_Sweep*MAX(0,J87+J96))*(J$4&gt;In_COD)</f>
        <v>0</v>
      </c>
      <c r="K97" s="49" t="n">
        <f aca="false">-MIN(J103+K95,In_Sweep*MAX(0,K87+K96))*(K$4&gt;In_COD)</f>
        <v>0</v>
      </c>
      <c r="L97" s="49" t="n">
        <f aca="false">-MIN(K103+L95,In_Sweep*MAX(0,L87+L96))*(L$4&gt;In_COD)</f>
        <v>0</v>
      </c>
      <c r="M97" s="49" t="n">
        <f aca="false">-MIN(L103+M95,In_Sweep*MAX(0,M87+M96))*(M$4&gt;In_COD)</f>
        <v>0</v>
      </c>
      <c r="N97" s="49" t="n">
        <f aca="false">-MIN(M103+N95,In_Sweep*MAX(0,N87+N96))*(N$4&gt;In_COD)</f>
        <v>0</v>
      </c>
      <c r="O97" s="49" t="n">
        <f aca="false">-MIN(N103+O95,In_Sweep*MAX(0,O87+O96))*(O$4&gt;In_COD)</f>
        <v>0</v>
      </c>
      <c r="P97" s="49" t="n">
        <f aca="false">-MIN(O103+P95,In_Sweep*MAX(0,P87+P96))*(P$4&gt;In_COD)</f>
        <v>0</v>
      </c>
      <c r="Q97" s="49" t="n">
        <f aca="false">-MIN(P103+Q95,In_Sweep*MAX(0,Q87+Q96))*(Q$4&gt;In_COD)</f>
        <v>0</v>
      </c>
      <c r="R97" s="49" t="n">
        <f aca="false">-MIN(Q103+R95,In_Sweep*MAX(0,R87+R96))*(R$4&gt;In_COD)</f>
        <v>0</v>
      </c>
      <c r="S97" s="49" t="n">
        <f aca="false">-MIN(R103+S95,In_Sweep*MAX(0,S87+S96))*(S$4&gt;In_COD)</f>
        <v>0</v>
      </c>
      <c r="T97" s="49" t="n">
        <f aca="false">-MIN(S103+T95,In_Sweep*MAX(0,T87+T96))*(T$4&gt;In_COD)</f>
        <v>0</v>
      </c>
      <c r="U97" s="49" t="n">
        <f aca="false">-MIN(T103+U95,In_Sweep*MAX(0,U87+U96))*(U$4&gt;In_COD)</f>
        <v>0</v>
      </c>
      <c r="V97" s="49" t="n">
        <f aca="false">-MIN(U103+V95,In_Sweep*MAX(0,V87+V96))*(V$4&gt;In_COD)</f>
        <v>0</v>
      </c>
      <c r="W97" s="49" t="n">
        <f aca="false">-MIN(V103+W95,In_Sweep*MAX(0,W87+W96))*(W$4&gt;In_COD)</f>
        <v>0</v>
      </c>
      <c r="X97" s="49" t="n">
        <f aca="false">-MIN(W103+X95,In_Sweep*MAX(0,X87+X96))*(X$4&gt;In_COD)</f>
        <v>0</v>
      </c>
      <c r="Y97" s="49" t="n">
        <f aca="false">-MIN(X103+Y95,In_Sweep*MAX(0,Y87+Y96))*(Y$4&gt;In_COD)</f>
        <v>0</v>
      </c>
      <c r="Z97" s="49" t="n">
        <f aca="false">-MIN(Y103+Z95,In_Sweep*MAX(0,Z87+Z96))*(Z$4&gt;In_COD)</f>
        <v>-0</v>
      </c>
      <c r="AA97" s="49" t="n">
        <f aca="false">-MIN(Z103+AA95,In_Sweep*MAX(0,AA87+AA96))*(AA$4&gt;In_COD)</f>
        <v>-0</v>
      </c>
      <c r="AB97" s="49" t="n">
        <f aca="false">-MIN(AA103+AB95,In_Sweep*MAX(0,AB87+AB96))*(AB$4&gt;In_COD)</f>
        <v>-0</v>
      </c>
      <c r="AC97" s="49" t="n">
        <f aca="false">-MIN(AB103+AC95,In_Sweep*MAX(0,AC87+AC96))*(AC$4&gt;In_COD)</f>
        <v>-0</v>
      </c>
      <c r="AD97" s="49" t="n">
        <f aca="false">-MIN(AC103+AD95,In_Sweep*MAX(0,AD87+AD96))*(AD$4&gt;In_COD)</f>
        <v>-0</v>
      </c>
      <c r="AE97" s="49" t="n">
        <f aca="false">-MIN(AD103+AE95,In_Sweep*MAX(0,AE87+AE96))*(AE$4&gt;In_COD)</f>
        <v>-0</v>
      </c>
      <c r="AF97" s="49" t="n">
        <f aca="false">-MIN(AE103+AF95,In_Sweep*MAX(0,AF87+AF96))*(AF$4&gt;In_COD)</f>
        <v>-0</v>
      </c>
      <c r="AG97" s="49" t="n">
        <f aca="false">-MIN(AF103+AG95,In_Sweep*MAX(0,AG87+AG96))*(AG$4&gt;In_COD)</f>
        <v>-0</v>
      </c>
      <c r="AH97" s="49" t="n">
        <f aca="false">-MIN(AG103+AH95,In_Sweep*MAX(0,AH87+AH96))*(AH$4&gt;In_COD)</f>
        <v>-0</v>
      </c>
      <c r="AI97" s="49" t="n">
        <f aca="false">-MIN(AH103+AI95,In_Sweep*MAX(0,AI87+AI96))*(AI$4&gt;In_COD)</f>
        <v>-0</v>
      </c>
      <c r="AJ97" s="49" t="n">
        <f aca="false">-MIN(AI103+AJ95,In_Sweep*MAX(0,AJ87+AJ96))*(AJ$4&gt;In_COD)</f>
        <v>-0</v>
      </c>
      <c r="AK97" s="49" t="n">
        <f aca="false">-MIN(AJ103+AK95,In_Sweep*MAX(0,AK87+AK96))*(AK$4&gt;In_COD)</f>
        <v>-0</v>
      </c>
      <c r="AL97" s="49" t="n">
        <f aca="false">-MIN(AK103+AL95,In_Sweep*MAX(0,AL87+AL96))*(AL$4&gt;In_COD)</f>
        <v>-0</v>
      </c>
      <c r="AM97" s="49" t="n">
        <f aca="false">-MIN(AL103+AM95,In_Sweep*MAX(0,AM87+AM96))*(AM$4&gt;In_COD)</f>
        <v>-0</v>
      </c>
      <c r="AN97" s="49" t="n">
        <f aca="false">-MIN(AM103+AN95,In_Sweep*MAX(0,AN87+AN96))*(AN$4&gt;In_COD)</f>
        <v>-0</v>
      </c>
      <c r="AO97" s="49" t="n">
        <f aca="false">-MIN(AN103+AO95,In_Sweep*MAX(0,AO87+AO96))*(AO$4&gt;In_COD)</f>
        <v>-0</v>
      </c>
      <c r="AP97" s="49" t="n">
        <f aca="false">-MIN(AO103+AP95,In_Sweep*MAX(0,AP87+AP96))*(AP$4&gt;In_COD)</f>
        <v>-0</v>
      </c>
      <c r="AQ97" s="49" t="n">
        <f aca="false">-MIN(AP103+AQ95,In_Sweep*MAX(0,AQ87+AQ96))*(AQ$4&gt;In_COD)</f>
        <v>-0</v>
      </c>
      <c r="AR97" s="49" t="n">
        <f aca="false">-MIN(AQ103+AR95,In_Sweep*MAX(0,AR87+AR96))*(AR$4&gt;In_COD)</f>
        <v>-0</v>
      </c>
      <c r="AS97" s="49" t="n">
        <f aca="false">-MIN(AR103+AS95,In_Sweep*MAX(0,AS87+AS96))*(AS$4&gt;In_COD)</f>
        <v>-0</v>
      </c>
      <c r="AT97" s="49" t="n">
        <f aca="false">-MIN(AS103+AT95,In_Sweep*MAX(0,AT87+AT96))*(AT$4&gt;In_COD)</f>
        <v>-0</v>
      </c>
      <c r="AU97" s="49" t="n">
        <f aca="false">-MIN(AT103+AU95,In_Sweep*MAX(0,AU87+AU96))*(AU$4&gt;In_COD)</f>
        <v>-0</v>
      </c>
      <c r="AV97" s="49" t="n">
        <f aca="false">-MIN(AU103+AV95,In_Sweep*MAX(0,AV87+AV96))*(AV$4&gt;In_COD)</f>
        <v>-0</v>
      </c>
      <c r="AW97" s="49" t="n">
        <f aca="false">-MIN(AV103+AW95,In_Sweep*MAX(0,AW87+AW96))*(AW$4&gt;In_COD)</f>
        <v>-0</v>
      </c>
      <c r="AX97" s="49" t="n">
        <f aca="false">-MIN(AW103+AX95,In_Sweep*MAX(0,AX87+AX96))*(AX$4&gt;In_COD)</f>
        <v>-0</v>
      </c>
      <c r="AY97" s="49" t="n">
        <f aca="false">-MIN(AX103+AY95,In_Sweep*MAX(0,AY87+AY96))*(AY$4&gt;In_COD)</f>
        <v>-0</v>
      </c>
      <c r="AZ97" s="49" t="n">
        <f aca="false">-MIN(AY103+AZ95,In_Sweep*MAX(0,AZ87+AZ96))*(AZ$4&gt;In_COD)</f>
        <v>-0</v>
      </c>
      <c r="BA97" s="49" t="n">
        <f aca="false">-MIN(AZ103+BA95,In_Sweep*MAX(0,BA87+BA96))*(BA$4&gt;In_COD)</f>
        <v>-0</v>
      </c>
      <c r="BB97" s="49" t="n">
        <f aca="false">-MIN(BA103+BB95,In_Sweep*MAX(0,BB87+BB96))*(BB$4&gt;In_COD)</f>
        <v>-0</v>
      </c>
      <c r="BC97" s="49" t="n">
        <f aca="false">-MIN(BB103+BC95,In_Sweep*MAX(0,BC87+BC96))*(BC$4&gt;In_COD)</f>
        <v>-0</v>
      </c>
      <c r="BD97" s="49" t="n">
        <f aca="false">-MIN(BC103+BD95,In_Sweep*MAX(0,BD87+BD96))*(BD$4&gt;In_COD)</f>
        <v>-0</v>
      </c>
      <c r="BE97" s="49" t="n">
        <f aca="false">-MIN(BD103+BE95,In_Sweep*MAX(0,BE87+BE96))*(BE$4&gt;In_COD)</f>
        <v>-0</v>
      </c>
      <c r="BF97" s="49" t="n">
        <f aca="false">-MIN(BE103+BF95,In_Sweep*MAX(0,BF87+BF96))*(BF$4&gt;In_COD)</f>
        <v>-0</v>
      </c>
      <c r="BG97" s="49" t="n">
        <f aca="false">-MIN(BF103+BG95,In_Sweep*MAX(0,BG87+BG96))*(BG$4&gt;In_COD)</f>
        <v>-0</v>
      </c>
      <c r="BH97" s="49" t="n">
        <f aca="false">-MIN(BG103+BH95,In_Sweep*MAX(0,BH87+BH96))*(BH$4&gt;In_COD)</f>
        <v>-0</v>
      </c>
      <c r="BI97" s="49" t="n">
        <f aca="false">-MIN(BH103+BI95,In_Sweep*MAX(0,BI87+BI96))*(BI$4&gt;In_COD)</f>
        <v>-0</v>
      </c>
      <c r="BJ97" s="49" t="n">
        <f aca="false">-MIN(BI103+BJ95,In_Sweep*MAX(0,BJ87+BJ96))*(BJ$4&gt;In_COD)</f>
        <v>-0</v>
      </c>
      <c r="BK97" s="49" t="n">
        <f aca="false">-MIN(BJ103+BK95,In_Sweep*MAX(0,BK87+BK96))*(BK$4&gt;In_COD)</f>
        <v>-0</v>
      </c>
      <c r="BL97" s="49" t="n">
        <f aca="false">-MIN(BK103+BL95,In_Sweep*MAX(0,BL87+BL96))*(BL$4&gt;In_COD)</f>
        <v>-0</v>
      </c>
      <c r="BM97" s="49" t="n">
        <f aca="false">-MIN(BL103+BM95,In_Sweep*MAX(0,BM87+BM96))*(BM$4&gt;In_COD)</f>
        <v>-0</v>
      </c>
      <c r="BN97" s="49" t="n">
        <f aca="false">-MIN(BM103+BN95,In_Sweep*MAX(0,BN87+BN96))*(BN$4&gt;In_COD)</f>
        <v>-0</v>
      </c>
      <c r="BO97" s="49" t="n">
        <f aca="false">-MIN(BN103+BO95,In_Sweep*MAX(0,BO87+BO96))*(BO$4&gt;In_COD)</f>
        <v>-0</v>
      </c>
      <c r="BP97" s="49" t="n">
        <f aca="false">-MIN(BO103+BP95,In_Sweep*MAX(0,BP87+BP96))*(BP$4&gt;In_COD)</f>
        <v>-0</v>
      </c>
      <c r="BQ97" s="49" t="n">
        <f aca="false">-MIN(BP103+BQ95,In_Sweep*MAX(0,BQ87+BQ96))*(BQ$4&gt;In_COD)</f>
        <v>-0</v>
      </c>
      <c r="BR97" s="49" t="n">
        <f aca="false">-MIN(BQ103+BR95,In_Sweep*MAX(0,BR87+BR96))*(BR$4&gt;In_COD)</f>
        <v>-0</v>
      </c>
      <c r="BS97" s="49" t="n">
        <f aca="false">-MIN(BR103+BS95,In_Sweep*MAX(0,BS87+BS96))*(BS$4&gt;In_COD)</f>
        <v>-0</v>
      </c>
      <c r="BT97" s="49" t="n">
        <f aca="false">-MIN(BS103+BT95,In_Sweep*MAX(0,BT87+BT96))*(BT$4&gt;In_COD)</f>
        <v>-0</v>
      </c>
      <c r="BU97" s="49" t="n">
        <f aca="false">-MIN(BT103+BU95,In_Sweep*MAX(0,BU87+BU96))*(BU$4&gt;In_COD)</f>
        <v>-0</v>
      </c>
      <c r="BV97" s="49" t="n">
        <f aca="false">-MIN(BU103+BV95,In_Sweep*MAX(0,BV87+BV96))*(BV$4&gt;In_COD)</f>
        <v>-0</v>
      </c>
      <c r="BW97" s="49" t="n">
        <f aca="false">-MIN(BV103+BW95,In_Sweep*MAX(0,BW87+BW96))*(BW$4&gt;In_COD)</f>
        <v>-0</v>
      </c>
      <c r="BX97" s="49" t="n">
        <f aca="false">-MIN(BW103+BX95,In_Sweep*MAX(0,BX87+BX96))*(BX$4&gt;In_COD)</f>
        <v>-0</v>
      </c>
      <c r="BY97" s="49" t="n">
        <f aca="false">-MIN(BX103+BY95,In_Sweep*MAX(0,BY87+BY96))*(BY$4&gt;In_COD)</f>
        <v>-0</v>
      </c>
      <c r="BZ97" s="49" t="n">
        <f aca="false">-MIN(BY103+BZ95,In_Sweep*MAX(0,BZ87+BZ96))*(BZ$4&gt;In_COD)</f>
        <v>-0</v>
      </c>
      <c r="CA97" s="49" t="n">
        <f aca="false">-MIN(BZ103+CA95,In_Sweep*MAX(0,CA87+CA96))*(CA$4&gt;In_COD)</f>
        <v>-0</v>
      </c>
      <c r="CB97" s="49" t="n">
        <f aca="false">-MIN(CA103+CB95,In_Sweep*MAX(0,CB87+CB96))*(CB$4&gt;In_COD)</f>
        <v>-0</v>
      </c>
      <c r="CC97" s="49" t="n">
        <f aca="false">-MIN(CB103+CC95,In_Sweep*MAX(0,CC87+CC96))*(CC$4&gt;In_COD)</f>
        <v>-0</v>
      </c>
      <c r="CD97" s="49" t="n">
        <f aca="false">-MIN(CC103+CD95,In_Sweep*MAX(0,CD87+CD96))*(CD$4&gt;In_COD)</f>
        <v>-0</v>
      </c>
      <c r="CE97" s="49" t="n">
        <f aca="false">-MIN(CD103+CE95,In_Sweep*MAX(0,CE87+CE96))*(CE$4&gt;In_COD)</f>
        <v>-0</v>
      </c>
      <c r="CF97" s="49" t="n">
        <f aca="false">-MIN(CE103+CF95,In_Sweep*MAX(0,CF87+CF96))*(CF$4&gt;In_COD)</f>
        <v>-0</v>
      </c>
      <c r="CG97" s="49" t="n">
        <f aca="false">-MIN(CF103+CG95,In_Sweep*MAX(0,CG87+CG96))*(CG$4&gt;In_COD)</f>
        <v>-0</v>
      </c>
      <c r="CH97" s="49" t="n">
        <f aca="false">-MIN(CG103+CH95,In_Sweep*MAX(0,CH87+CH96))*(CH$4&gt;In_COD)</f>
        <v>-0</v>
      </c>
      <c r="CI97" s="49" t="n">
        <f aca="false">-MIN(CH103+CI95,In_Sweep*MAX(0,CI87+CI96))*(CI$4&gt;In_COD)</f>
        <v>-0</v>
      </c>
      <c r="CJ97" s="49" t="n">
        <f aca="false">-MIN(CI103+CJ95,In_Sweep*MAX(0,CJ87+CJ96))*(CJ$4&gt;In_COD)</f>
        <v>-0</v>
      </c>
      <c r="CK97" s="49" t="n">
        <f aca="false">-MIN(CJ103+CK95,In_Sweep*MAX(0,CK87+CK96))*(CK$4&gt;In_COD)</f>
        <v>-0</v>
      </c>
      <c r="CL97" s="49" t="n">
        <f aca="false">-MIN(CK103+CL95,In_Sweep*MAX(0,CL87+CL96))*(CL$4&gt;In_COD)</f>
        <v>-0</v>
      </c>
      <c r="CM97" s="49" t="n">
        <f aca="false">-MIN(CL103+CM95,In_Sweep*MAX(0,CM87+CM96))*(CM$4&gt;In_COD)</f>
        <v>-0</v>
      </c>
      <c r="CN97" s="49" t="n">
        <f aca="false">-MIN(CM103+CN95,In_Sweep*MAX(0,CN87+CN96))*(CN$4&gt;In_COD)</f>
        <v>-0</v>
      </c>
      <c r="CO97" s="49" t="n">
        <f aca="false">-MIN(CN103+CO95,In_Sweep*MAX(0,CO87+CO96))*(CO$4&gt;In_COD)</f>
        <v>-0</v>
      </c>
      <c r="CP97" s="49" t="n">
        <f aca="false">-MIN(CO103+CP95,In_Sweep*MAX(0,CP87+CP96))*(CP$4&gt;In_COD)</f>
        <v>-0</v>
      </c>
      <c r="CQ97" s="49" t="n">
        <f aca="false">-MIN(CP103+CQ95,In_Sweep*MAX(0,CQ87+CQ96))*(CQ$4&gt;In_COD)</f>
        <v>-0</v>
      </c>
      <c r="CR97" s="49" t="n">
        <f aca="false">-MIN(CQ103+CR95,In_Sweep*MAX(0,CR87+CR96))*(CR$4&gt;In_COD)</f>
        <v>-0</v>
      </c>
      <c r="CS97" s="49" t="n">
        <f aca="false">-MIN(CR103+CS95,In_Sweep*MAX(0,CS87+CS96))*(CS$4&gt;In_COD)</f>
        <v>-0</v>
      </c>
      <c r="CT97" s="49" t="n">
        <f aca="false">-MIN(CS103+CT95,In_Sweep*MAX(0,CT87+CT96))*(CT$4&gt;In_COD)</f>
        <v>-0</v>
      </c>
      <c r="CU97" s="49" t="n">
        <f aca="false">-MIN(CT103+CU95,In_Sweep*MAX(0,CU87+CU96))*(CU$4&gt;In_COD)</f>
        <v>-0</v>
      </c>
      <c r="CV97" s="49" t="n">
        <f aca="false">-MIN(CU103+CV95,In_Sweep*MAX(0,CV87+CV96))*(CV$4&gt;In_COD)</f>
        <v>-0</v>
      </c>
      <c r="CW97" s="49" t="n">
        <f aca="false">-MIN(CV103+CW95,In_Sweep*MAX(0,CW87+CW96))*(CW$4&gt;In_COD)</f>
        <v>-0</v>
      </c>
      <c r="CX97" s="49" t="n">
        <f aca="false">-MIN(CW103+CX95,In_Sweep*MAX(0,CX87+CX96))*(CX$4&gt;In_COD)</f>
        <v>-0</v>
      </c>
      <c r="CY97" s="49" t="n">
        <f aca="false">-MIN(CX103+CY95,In_Sweep*MAX(0,CY87+CY96))*(CY$4&gt;In_COD)</f>
        <v>-0</v>
      </c>
      <c r="CZ97" s="49" t="n">
        <f aca="false">-MIN(CY103+CZ95,In_Sweep*MAX(0,CZ87+CZ96))*(CZ$4&gt;In_COD)</f>
        <v>-0</v>
      </c>
      <c r="DA97" s="49" t="n">
        <f aca="false">-MIN(CZ103+DA95,In_Sweep*MAX(0,DA87+DA96))*(DA$4&gt;In_COD)</f>
        <v>-0</v>
      </c>
      <c r="DB97" s="49" t="n">
        <f aca="false">-MIN(DA103+DB95,In_Sweep*MAX(0,DB87+DB96))*(DB$4&gt;In_COD)</f>
        <v>-0</v>
      </c>
      <c r="DC97" s="49" t="n">
        <f aca="false">-MIN(DB103+DC95,In_Sweep*MAX(0,DC87+DC96))*(DC$4&gt;In_COD)</f>
        <v>-0</v>
      </c>
      <c r="DD97" s="49" t="n">
        <f aca="false">-MIN(DC103+DD95,In_Sweep*MAX(0,DD87+DD96))*(DD$4&gt;In_COD)</f>
        <v>-0</v>
      </c>
      <c r="DE97" s="49" t="n">
        <f aca="false">-MIN(DD103+DE95,In_Sweep*MAX(0,DE87+DE96))*(DE$4&gt;In_COD)</f>
        <v>-0</v>
      </c>
      <c r="DF97" s="49" t="n">
        <f aca="false">-MIN(DE103+DF95,In_Sweep*MAX(0,DF87+DF96))*(DF$4&gt;In_COD)</f>
        <v>-0</v>
      </c>
      <c r="DG97" s="49" t="n">
        <f aca="false">-MIN(DF103+DG95,In_Sweep*MAX(0,DG87+DG96))*(DG$4&gt;In_COD)</f>
        <v>-0</v>
      </c>
      <c r="DH97" s="49" t="n">
        <f aca="false">-MIN(DG103+DH95,In_Sweep*MAX(0,DH87+DH96))*(DH$4&gt;In_COD)</f>
        <v>-0</v>
      </c>
      <c r="DI97" s="49" t="n">
        <f aca="false">-MIN(DH103+DI95,In_Sweep*MAX(0,DI87+DI96))*(DI$4&gt;In_COD)</f>
        <v>-0</v>
      </c>
      <c r="DJ97" s="49" t="n">
        <f aca="false">-MIN(DI103+DJ95,In_Sweep*MAX(0,DJ87+DJ96))*(DJ$4&gt;In_COD)</f>
        <v>-0</v>
      </c>
      <c r="DK97" s="49" t="n">
        <f aca="false">-MIN(DJ103+DK95,In_Sweep*MAX(0,DK87+DK96))*(DK$4&gt;In_COD)</f>
        <v>-0</v>
      </c>
      <c r="DL97" s="49" t="n">
        <f aca="false">-MIN(DK103+DL95,In_Sweep*MAX(0,DL87+DL96))*(DL$4&gt;In_COD)</f>
        <v>-0</v>
      </c>
      <c r="DM97" s="49" t="n">
        <f aca="false">-MIN(DL103+DM95,In_Sweep*MAX(0,DM87+DM96))*(DM$4&gt;In_COD)</f>
        <v>-0</v>
      </c>
      <c r="DN97" s="49" t="n">
        <f aca="false">-MIN(DM103+DN95,In_Sweep*MAX(0,DN87+DN96))*(DN$4&gt;In_COD)</f>
        <v>-0</v>
      </c>
      <c r="DO97" s="49" t="n">
        <f aca="false">-MIN(DN103+DO95,In_Sweep*MAX(0,DO87+DO96))*(DO$4&gt;In_COD)</f>
        <v>-0</v>
      </c>
      <c r="DP97" s="49" t="n">
        <f aca="false">-MIN(DO103+DP95,In_Sweep*MAX(0,DP87+DP96))*(DP$4&gt;In_COD)</f>
        <v>-0</v>
      </c>
      <c r="DQ97" s="49" t="n">
        <f aca="false">-MIN(DP103+DQ95,In_Sweep*MAX(0,DQ87+DQ96))*(DQ$4&gt;In_COD)</f>
        <v>-0</v>
      </c>
      <c r="DR97" s="49" t="n">
        <f aca="false">-MIN(DQ103+DR95,In_Sweep*MAX(0,DR87+DR96))*(DR$4&gt;In_COD)</f>
        <v>-0</v>
      </c>
      <c r="DS97" s="49" t="n">
        <f aca="false">-MIN(DR103+DS95,In_Sweep*MAX(0,DS87+DS96))*(DS$4&gt;In_COD)</f>
        <v>-0</v>
      </c>
      <c r="DT97" s="49" t="n">
        <f aca="false">-MIN(DS103+DT95,In_Sweep*MAX(0,DT87+DT96))*(DT$4&gt;In_COD)</f>
        <v>-0</v>
      </c>
      <c r="DU97" s="49" t="n">
        <f aca="false">-MIN(DT103+DU95,In_Sweep*MAX(0,DU87+DU96))*(DU$4&gt;In_COD)</f>
        <v>-0</v>
      </c>
      <c r="DV97" s="49" t="n">
        <f aca="false">-MIN(DU103+DV95,In_Sweep*MAX(0,DV87+DV96))*(DV$4&gt;In_COD)</f>
        <v>-0</v>
      </c>
      <c r="DW97" s="49" t="n">
        <f aca="false">-MIN(DV103+DW95,In_Sweep*MAX(0,DW87+DW96))*(DW$4&gt;In_COD)</f>
        <v>-0</v>
      </c>
      <c r="DX97" s="49" t="n">
        <f aca="false">-MIN(DW103+DX95,In_Sweep*MAX(0,DX87+DX96))*(DX$4&gt;In_COD)</f>
        <v>-0</v>
      </c>
      <c r="DY97" s="49" t="n">
        <f aca="false">-MIN(DX103+DY95,In_Sweep*MAX(0,DY87+DY96))*(DY$4&gt;In_COD)</f>
        <v>-0</v>
      </c>
      <c r="DZ97" s="49" t="n">
        <f aca="false">-MIN(DY103+DZ95,In_Sweep*MAX(0,DZ87+DZ96))*(DZ$4&gt;In_COD)</f>
        <v>-0</v>
      </c>
      <c r="EA97" s="49" t="n">
        <f aca="false">-MIN(DZ103+EA95,In_Sweep*MAX(0,EA87+EA96))*(EA$4&gt;In_COD)</f>
        <v>-0</v>
      </c>
      <c r="EB97" s="49" t="n">
        <f aca="false">-MIN(EA103+EB95,In_Sweep*MAX(0,EB87+EB96))*(EB$4&gt;In_COD)</f>
        <v>-0</v>
      </c>
      <c r="EC97" s="49" t="n">
        <f aca="false">-MIN(EB103+EC95,In_Sweep*MAX(0,EC87+EC96))*(EC$4&gt;In_COD)</f>
        <v>-0</v>
      </c>
      <c r="ED97" s="49" t="n">
        <f aca="false">-MIN(EC103+ED95,In_Sweep*MAX(0,ED87+ED96))*(ED$4&gt;In_COD)</f>
        <v>-0</v>
      </c>
      <c r="EE97" s="49" t="n">
        <f aca="false">-MIN(ED103+EE95,In_Sweep*MAX(0,EE87+EE96))*(EE$4&gt;In_COD)</f>
        <v>-0</v>
      </c>
      <c r="EF97" s="49" t="n">
        <f aca="false">-MIN(EE103+EF95,In_Sweep*MAX(0,EF87+EF96))*(EF$4&gt;In_COD)</f>
        <v>-0</v>
      </c>
      <c r="EG97" s="49" t="n">
        <f aca="false">-MIN(EF103+EG95,In_Sweep*MAX(0,EG87+EG96))*(EG$4&gt;In_COD)</f>
        <v>-0</v>
      </c>
      <c r="EH97" s="49" t="n">
        <f aca="false">-MIN(EG103+EH95,In_Sweep*MAX(0,EH87+EH96))*(EH$4&gt;In_COD)</f>
        <v>-0</v>
      </c>
      <c r="EI97" s="49" t="n">
        <f aca="false">-MIN(EH103+EI95,In_Sweep*MAX(0,EI87+EI96))*(EI$4&gt;In_COD)</f>
        <v>-0</v>
      </c>
      <c r="EJ97" s="49" t="n">
        <f aca="false">-MIN(EI103+EJ95,In_Sweep*MAX(0,EJ87+EJ96))*(EJ$4&gt;In_COD)</f>
        <v>-0</v>
      </c>
      <c r="EK97" s="49" t="n">
        <f aca="false">-MIN(EJ103+EK95,In_Sweep*MAX(0,EK87+EK96))*(EK$4&gt;In_COD)</f>
        <v>-0</v>
      </c>
      <c r="EL97" s="49" t="n">
        <f aca="false">-MIN(EK103+EL95,In_Sweep*MAX(0,EL87+EL96))*(EL$4&gt;In_COD)</f>
        <v>-0</v>
      </c>
      <c r="EM97" s="49" t="n">
        <f aca="false">-MIN(EL103+EM95,In_Sweep*MAX(0,EM87+EM96))*(EM$4&gt;In_COD)</f>
        <v>-0</v>
      </c>
      <c r="EN97" s="49" t="n">
        <f aca="false">-MIN(EM103+EN95,In_Sweep*MAX(0,EN87+EN96))*(EN$4&gt;In_COD)</f>
        <v>-0</v>
      </c>
      <c r="EO97" s="49" t="n">
        <f aca="false">-MIN(EN103+EO95,In_Sweep*MAX(0,EO87+EO96))*(EO$4&gt;In_COD)</f>
        <v>-0</v>
      </c>
    </row>
    <row r="98" customFormat="false" ht="15" hidden="false" customHeight="false" outlineLevel="0" collapsed="false">
      <c r="C98" s="1" t="s">
        <v>496</v>
      </c>
      <c r="D98" s="12" t="s">
        <v>33</v>
      </c>
      <c r="I98" s="49" t="n">
        <f aca="false">SUM(J98:EO98)</f>
        <v>-61945.1759742074</v>
      </c>
      <c r="J98" s="49" t="n">
        <f aca="false">J96+J97</f>
        <v>0</v>
      </c>
      <c r="K98" s="49" t="n">
        <f aca="false">K96+K97</f>
        <v>0</v>
      </c>
      <c r="L98" s="49" t="n">
        <f aca="false">L96+L97</f>
        <v>0</v>
      </c>
      <c r="M98" s="49" t="n">
        <f aca="false">M96+M97</f>
        <v>0</v>
      </c>
      <c r="N98" s="49" t="n">
        <f aca="false">N96+N97</f>
        <v>0</v>
      </c>
      <c r="O98" s="49" t="n">
        <f aca="false">O96+O97</f>
        <v>0</v>
      </c>
      <c r="P98" s="49" t="n">
        <f aca="false">P96+P97</f>
        <v>0</v>
      </c>
      <c r="Q98" s="49" t="n">
        <f aca="false">Q96+Q97</f>
        <v>0</v>
      </c>
      <c r="R98" s="49" t="n">
        <f aca="false">R96+R97</f>
        <v>0</v>
      </c>
      <c r="S98" s="49" t="n">
        <f aca="false">S96+S97</f>
        <v>0</v>
      </c>
      <c r="T98" s="49" t="n">
        <f aca="false">T96+T97</f>
        <v>0</v>
      </c>
      <c r="U98" s="49" t="n">
        <f aca="false">U96+U97</f>
        <v>0</v>
      </c>
      <c r="V98" s="49" t="n">
        <f aca="false">V96+V97</f>
        <v>0</v>
      </c>
      <c r="W98" s="49" t="n">
        <f aca="false">W96+W97</f>
        <v>0</v>
      </c>
      <c r="X98" s="49" t="n">
        <f aca="false">X96+X97</f>
        <v>0</v>
      </c>
      <c r="Y98" s="49" t="n">
        <f aca="false">Y96+Y97</f>
        <v>0</v>
      </c>
      <c r="Z98" s="49" t="n">
        <f aca="false">Z96+Z97</f>
        <v>-1032.41959957012</v>
      </c>
      <c r="AA98" s="49" t="n">
        <f aca="false">AA96+AA97</f>
        <v>-1032.41959957012</v>
      </c>
      <c r="AB98" s="49" t="n">
        <f aca="false">AB96+AB97</f>
        <v>-1032.41959957012</v>
      </c>
      <c r="AC98" s="49" t="n">
        <f aca="false">AC96+AC97</f>
        <v>-1032.41959957012</v>
      </c>
      <c r="AD98" s="49" t="n">
        <f aca="false">AD96+AD97</f>
        <v>-1032.41959957012</v>
      </c>
      <c r="AE98" s="49" t="n">
        <f aca="false">AE96+AE97</f>
        <v>-1032.41959957012</v>
      </c>
      <c r="AF98" s="49" t="n">
        <f aca="false">AF96+AF97</f>
        <v>-1032.41959957012</v>
      </c>
      <c r="AG98" s="49" t="n">
        <f aca="false">AG96+AG97</f>
        <v>-1032.41959957012</v>
      </c>
      <c r="AH98" s="49" t="n">
        <f aca="false">AH96+AH97</f>
        <v>-1032.41959957012</v>
      </c>
      <c r="AI98" s="49" t="n">
        <f aca="false">AI96+AI97</f>
        <v>-1032.41959957012</v>
      </c>
      <c r="AJ98" s="49" t="n">
        <f aca="false">AJ96+AJ97</f>
        <v>-1032.41959957012</v>
      </c>
      <c r="AK98" s="49" t="n">
        <f aca="false">AK96+AK97</f>
        <v>-1032.41959957012</v>
      </c>
      <c r="AL98" s="49" t="n">
        <f aca="false">AL96+AL97</f>
        <v>-1032.41959957012</v>
      </c>
      <c r="AM98" s="49" t="n">
        <f aca="false">AM96+AM97</f>
        <v>-1032.41959957012</v>
      </c>
      <c r="AN98" s="49" t="n">
        <f aca="false">AN96+AN97</f>
        <v>-1032.41959957012</v>
      </c>
      <c r="AO98" s="49" t="n">
        <f aca="false">AO96+AO97</f>
        <v>-1032.41959957012</v>
      </c>
      <c r="AP98" s="49" t="n">
        <f aca="false">AP96+AP97</f>
        <v>-1032.41959957012</v>
      </c>
      <c r="AQ98" s="49" t="n">
        <f aca="false">AQ96+AQ97</f>
        <v>-1032.41959957012</v>
      </c>
      <c r="AR98" s="49" t="n">
        <f aca="false">AR96+AR97</f>
        <v>-1032.41959957012</v>
      </c>
      <c r="AS98" s="49" t="n">
        <f aca="false">AS96+AS97</f>
        <v>-1032.41959957012</v>
      </c>
      <c r="AT98" s="49" t="n">
        <f aca="false">AT96+AT97</f>
        <v>-1032.41959957012</v>
      </c>
      <c r="AU98" s="49" t="n">
        <f aca="false">AU96+AU97</f>
        <v>-1032.41959957012</v>
      </c>
      <c r="AV98" s="49" t="n">
        <f aca="false">AV96+AV97</f>
        <v>-1032.41959957012</v>
      </c>
      <c r="AW98" s="49" t="n">
        <f aca="false">AW96+AW97</f>
        <v>-1032.41959957012</v>
      </c>
      <c r="AX98" s="49" t="n">
        <f aca="false">AX96+AX97</f>
        <v>-1032.41959957012</v>
      </c>
      <c r="AY98" s="49" t="n">
        <f aca="false">AY96+AY97</f>
        <v>-1032.41959957012</v>
      </c>
      <c r="AZ98" s="49" t="n">
        <f aca="false">AZ96+AZ97</f>
        <v>-1032.41959957012</v>
      </c>
      <c r="BA98" s="49" t="n">
        <f aca="false">BA96+BA97</f>
        <v>-1032.41959957012</v>
      </c>
      <c r="BB98" s="49" t="n">
        <f aca="false">BB96+BB97</f>
        <v>-1032.41959957012</v>
      </c>
      <c r="BC98" s="49" t="n">
        <f aca="false">BC96+BC97</f>
        <v>-1032.41959957012</v>
      </c>
      <c r="BD98" s="49" t="n">
        <f aca="false">BD96+BD97</f>
        <v>-1032.41959957012</v>
      </c>
      <c r="BE98" s="49" t="n">
        <f aca="false">BE96+BE97</f>
        <v>-1032.41959957012</v>
      </c>
      <c r="BF98" s="49" t="n">
        <f aca="false">BF96+BF97</f>
        <v>-1032.41959957012</v>
      </c>
      <c r="BG98" s="49" t="n">
        <f aca="false">BG96+BG97</f>
        <v>-1032.41959957012</v>
      </c>
      <c r="BH98" s="49" t="n">
        <f aca="false">BH96+BH97</f>
        <v>-1032.41959957012</v>
      </c>
      <c r="BI98" s="49" t="n">
        <f aca="false">BI96+BI97</f>
        <v>-1032.41959957012</v>
      </c>
      <c r="BJ98" s="49" t="n">
        <f aca="false">BJ96+BJ97</f>
        <v>-1032.41959957012</v>
      </c>
      <c r="BK98" s="49" t="n">
        <f aca="false">BK96+BK97</f>
        <v>-1032.41959957012</v>
      </c>
      <c r="BL98" s="49" t="n">
        <f aca="false">BL96+BL97</f>
        <v>-1032.41959957012</v>
      </c>
      <c r="BM98" s="49" t="n">
        <f aca="false">BM96+BM97</f>
        <v>-1032.41959957012</v>
      </c>
      <c r="BN98" s="49" t="n">
        <f aca="false">BN96+BN97</f>
        <v>-1032.41959957012</v>
      </c>
      <c r="BO98" s="49" t="n">
        <f aca="false">BO96+BO97</f>
        <v>-1032.41959957012</v>
      </c>
      <c r="BP98" s="49" t="n">
        <f aca="false">BP96+BP97</f>
        <v>-1032.41959957012</v>
      </c>
      <c r="BQ98" s="49" t="n">
        <f aca="false">BQ96+BQ97</f>
        <v>-1032.41959957012</v>
      </c>
      <c r="BR98" s="49" t="n">
        <f aca="false">BR96+BR97</f>
        <v>-1032.41959957012</v>
      </c>
      <c r="BS98" s="49" t="n">
        <f aca="false">BS96+BS97</f>
        <v>-1032.41959957012</v>
      </c>
      <c r="BT98" s="49" t="n">
        <f aca="false">BT96+BT97</f>
        <v>-1032.41959957012</v>
      </c>
      <c r="BU98" s="49" t="n">
        <f aca="false">BU96+BU97</f>
        <v>-1032.41959957012</v>
      </c>
      <c r="BV98" s="49" t="n">
        <f aca="false">BV96+BV97</f>
        <v>-1032.41959957012</v>
      </c>
      <c r="BW98" s="49" t="n">
        <f aca="false">BW96+BW97</f>
        <v>-1032.41959957012</v>
      </c>
      <c r="BX98" s="49" t="n">
        <f aca="false">BX96+BX97</f>
        <v>-1032.41959957012</v>
      </c>
      <c r="BY98" s="49" t="n">
        <f aca="false">BY96+BY97</f>
        <v>-1032.41959957012</v>
      </c>
      <c r="BZ98" s="49" t="n">
        <f aca="false">BZ96+BZ97</f>
        <v>-1032.41959957012</v>
      </c>
      <c r="CA98" s="49" t="n">
        <f aca="false">CA96+CA97</f>
        <v>-1032.41959957012</v>
      </c>
      <c r="CB98" s="49" t="n">
        <f aca="false">CB96+CB97</f>
        <v>-1032.41959957012</v>
      </c>
      <c r="CC98" s="49" t="n">
        <f aca="false">CC96+CC97</f>
        <v>-1032.41959957012</v>
      </c>
      <c r="CD98" s="49" t="n">
        <f aca="false">CD96+CD97</f>
        <v>-1032.41959957012</v>
      </c>
      <c r="CE98" s="49" t="n">
        <f aca="false">CE96+CE97</f>
        <v>-1032.41959957012</v>
      </c>
      <c r="CF98" s="49" t="n">
        <f aca="false">CF96+CF97</f>
        <v>-1032.41959957012</v>
      </c>
      <c r="CG98" s="49" t="n">
        <f aca="false">CG96+CG97</f>
        <v>-1032.41959957011</v>
      </c>
      <c r="CH98" s="49" t="n">
        <f aca="false">CH96+CH97</f>
        <v>-0</v>
      </c>
      <c r="CI98" s="49" t="n">
        <f aca="false">CI96+CI97</f>
        <v>-0</v>
      </c>
      <c r="CJ98" s="49" t="n">
        <f aca="false">CJ96+CJ97</f>
        <v>-0</v>
      </c>
      <c r="CK98" s="49" t="n">
        <f aca="false">CK96+CK97</f>
        <v>-0</v>
      </c>
      <c r="CL98" s="49" t="n">
        <f aca="false">CL96+CL97</f>
        <v>-0</v>
      </c>
      <c r="CM98" s="49" t="n">
        <f aca="false">CM96+CM97</f>
        <v>-0</v>
      </c>
      <c r="CN98" s="49" t="n">
        <f aca="false">CN96+CN97</f>
        <v>-0</v>
      </c>
      <c r="CO98" s="49" t="n">
        <f aca="false">CO96+CO97</f>
        <v>-0</v>
      </c>
      <c r="CP98" s="49" t="n">
        <f aca="false">CP96+CP97</f>
        <v>-0</v>
      </c>
      <c r="CQ98" s="49" t="n">
        <f aca="false">CQ96+CQ97</f>
        <v>-0</v>
      </c>
      <c r="CR98" s="49" t="n">
        <f aca="false">CR96+CR97</f>
        <v>-0</v>
      </c>
      <c r="CS98" s="49" t="n">
        <f aca="false">CS96+CS97</f>
        <v>-0</v>
      </c>
      <c r="CT98" s="49" t="n">
        <f aca="false">CT96+CT97</f>
        <v>-0</v>
      </c>
      <c r="CU98" s="49" t="n">
        <f aca="false">CU96+CU97</f>
        <v>-0</v>
      </c>
      <c r="CV98" s="49" t="n">
        <f aca="false">CV96+CV97</f>
        <v>-0</v>
      </c>
      <c r="CW98" s="49" t="n">
        <f aca="false">CW96+CW97</f>
        <v>-0</v>
      </c>
      <c r="CX98" s="49" t="n">
        <f aca="false">CX96+CX97</f>
        <v>-0</v>
      </c>
      <c r="CY98" s="49" t="n">
        <f aca="false">CY96+CY97</f>
        <v>-0</v>
      </c>
      <c r="CZ98" s="49" t="n">
        <f aca="false">CZ96+CZ97</f>
        <v>-0</v>
      </c>
      <c r="DA98" s="49" t="n">
        <f aca="false">DA96+DA97</f>
        <v>-0</v>
      </c>
      <c r="DB98" s="49" t="n">
        <f aca="false">DB96+DB97</f>
        <v>-0</v>
      </c>
      <c r="DC98" s="49" t="n">
        <f aca="false">DC96+DC97</f>
        <v>-0</v>
      </c>
      <c r="DD98" s="49" t="n">
        <f aca="false">DD96+DD97</f>
        <v>-0</v>
      </c>
      <c r="DE98" s="49" t="n">
        <f aca="false">DE96+DE97</f>
        <v>-0</v>
      </c>
      <c r="DF98" s="49" t="n">
        <f aca="false">DF96+DF97</f>
        <v>-0</v>
      </c>
      <c r="DG98" s="49" t="n">
        <f aca="false">DG96+DG97</f>
        <v>-0</v>
      </c>
      <c r="DH98" s="49" t="n">
        <f aca="false">DH96+DH97</f>
        <v>-0</v>
      </c>
      <c r="DI98" s="49" t="n">
        <f aca="false">DI96+DI97</f>
        <v>-0</v>
      </c>
      <c r="DJ98" s="49" t="n">
        <f aca="false">DJ96+DJ97</f>
        <v>-0</v>
      </c>
      <c r="DK98" s="49" t="n">
        <f aca="false">DK96+DK97</f>
        <v>-0</v>
      </c>
      <c r="DL98" s="49" t="n">
        <f aca="false">DL96+DL97</f>
        <v>-0</v>
      </c>
      <c r="DM98" s="49" t="n">
        <f aca="false">DM96+DM97</f>
        <v>-0</v>
      </c>
      <c r="DN98" s="49" t="n">
        <f aca="false">DN96+DN97</f>
        <v>-0</v>
      </c>
      <c r="DO98" s="49" t="n">
        <f aca="false">DO96+DO97</f>
        <v>-0</v>
      </c>
      <c r="DP98" s="49" t="n">
        <f aca="false">DP96+DP97</f>
        <v>-0</v>
      </c>
      <c r="DQ98" s="49" t="n">
        <f aca="false">DQ96+DQ97</f>
        <v>-0</v>
      </c>
      <c r="DR98" s="49" t="n">
        <f aca="false">DR96+DR97</f>
        <v>-0</v>
      </c>
      <c r="DS98" s="49" t="n">
        <f aca="false">DS96+DS97</f>
        <v>-0</v>
      </c>
      <c r="DT98" s="49" t="n">
        <f aca="false">DT96+DT97</f>
        <v>-0</v>
      </c>
      <c r="DU98" s="49" t="n">
        <f aca="false">DU96+DU97</f>
        <v>-0</v>
      </c>
      <c r="DV98" s="49" t="n">
        <f aca="false">DV96+DV97</f>
        <v>-0</v>
      </c>
      <c r="DW98" s="49" t="n">
        <f aca="false">DW96+DW97</f>
        <v>-0</v>
      </c>
      <c r="DX98" s="49" t="n">
        <f aca="false">DX96+DX97</f>
        <v>-0</v>
      </c>
      <c r="DY98" s="49" t="n">
        <f aca="false">DY96+DY97</f>
        <v>-0</v>
      </c>
      <c r="DZ98" s="49" t="n">
        <f aca="false">DZ96+DZ97</f>
        <v>-0</v>
      </c>
      <c r="EA98" s="49" t="n">
        <f aca="false">EA96+EA97</f>
        <v>-0</v>
      </c>
      <c r="EB98" s="49" t="n">
        <f aca="false">EB96+EB97</f>
        <v>-0</v>
      </c>
      <c r="EC98" s="49" t="n">
        <f aca="false">EC96+EC97</f>
        <v>-0</v>
      </c>
      <c r="ED98" s="49" t="n">
        <f aca="false">ED96+ED97</f>
        <v>-0</v>
      </c>
      <c r="EE98" s="49" t="n">
        <f aca="false">EE96+EE97</f>
        <v>-0</v>
      </c>
      <c r="EF98" s="49" t="n">
        <f aca="false">EF96+EF97</f>
        <v>-0</v>
      </c>
      <c r="EG98" s="49" t="n">
        <f aca="false">EG96+EG97</f>
        <v>-0</v>
      </c>
      <c r="EH98" s="49" t="n">
        <f aca="false">EH96+EH97</f>
        <v>-0</v>
      </c>
      <c r="EI98" s="49" t="n">
        <f aca="false">EI96+EI97</f>
        <v>-0</v>
      </c>
      <c r="EJ98" s="49" t="n">
        <f aca="false">EJ96+EJ97</f>
        <v>-0</v>
      </c>
      <c r="EK98" s="49" t="n">
        <f aca="false">EK96+EK97</f>
        <v>-0</v>
      </c>
      <c r="EL98" s="49" t="n">
        <f aca="false">EL96+EL97</f>
        <v>-0</v>
      </c>
      <c r="EM98" s="49" t="n">
        <f aca="false">EM96+EM97</f>
        <v>-0</v>
      </c>
      <c r="EN98" s="49" t="n">
        <f aca="false">EN96+EN97</f>
        <v>-0</v>
      </c>
      <c r="EO98" s="49" t="n">
        <f aca="false">EO96+EO97</f>
        <v>-0</v>
      </c>
    </row>
    <row r="99" customFormat="false" ht="15" hidden="false" customHeight="false" outlineLevel="0" collapsed="false">
      <c r="C99" s="1" t="s">
        <v>497</v>
      </c>
      <c r="D99" s="12" t="s">
        <v>33</v>
      </c>
      <c r="J99" s="19" t="n">
        <f aca="false">I103</f>
        <v>0</v>
      </c>
      <c r="K99" s="19" t="n">
        <f aca="false">J103</f>
        <v>0</v>
      </c>
      <c r="L99" s="19" t="n">
        <f aca="false">K103</f>
        <v>0</v>
      </c>
      <c r="M99" s="19" t="n">
        <f aca="false">L103</f>
        <v>0</v>
      </c>
      <c r="N99" s="19" t="n">
        <f aca="false">M103</f>
        <v>0</v>
      </c>
      <c r="O99" s="19" t="n">
        <f aca="false">N103</f>
        <v>0</v>
      </c>
      <c r="P99" s="19" t="n">
        <f aca="false">O103</f>
        <v>0</v>
      </c>
      <c r="Q99" s="19" t="n">
        <f aca="false">P103</f>
        <v>0</v>
      </c>
      <c r="R99" s="19" t="n">
        <f aca="false">Q103</f>
        <v>0</v>
      </c>
      <c r="S99" s="19" t="n">
        <f aca="false">R103</f>
        <v>4485.81130136986</v>
      </c>
      <c r="T99" s="19" t="n">
        <f aca="false">S103</f>
        <v>13415.3303398973</v>
      </c>
      <c r="U99" s="19" t="n">
        <f aca="false">T103</f>
        <v>18020.0744520227</v>
      </c>
      <c r="V99" s="19" t="n">
        <f aca="false">U103</f>
        <v>22731.1366840428</v>
      </c>
      <c r="W99" s="19" t="n">
        <f aca="false">V103</f>
        <v>27501.0871939632</v>
      </c>
      <c r="X99" s="19" t="n">
        <f aca="false">W103</f>
        <v>32233.1444482713</v>
      </c>
      <c r="Y99" s="19" t="n">
        <f aca="false">X103</f>
        <v>37073.1112367514</v>
      </c>
      <c r="Z99" s="19" t="n">
        <f aca="false">Y103</f>
        <v>43397.3364285807</v>
      </c>
      <c r="AA99" s="19" t="n">
        <f aca="false">Z103</f>
        <v>42907.3835343678</v>
      </c>
      <c r="AB99" s="19" t="n">
        <f aca="false">AA103</f>
        <v>42411.3062289773</v>
      </c>
      <c r="AC99" s="19" t="n">
        <f aca="false">AB103</f>
        <v>41909.0279572694</v>
      </c>
      <c r="AD99" s="19" t="n">
        <f aca="false">AC103</f>
        <v>41400.4712071651</v>
      </c>
      <c r="AE99" s="19" t="n">
        <f aca="false">AD103</f>
        <v>40885.5574976846</v>
      </c>
      <c r="AF99" s="19" t="n">
        <f aca="false">AE103</f>
        <v>40364.2073668355</v>
      </c>
      <c r="AG99" s="19" t="n">
        <f aca="false">AF103</f>
        <v>39836.3403593508</v>
      </c>
      <c r="AH99" s="19" t="n">
        <f aca="false">AG103</f>
        <v>39301.8750142726</v>
      </c>
      <c r="AI99" s="19" t="n">
        <f aca="false">AH103</f>
        <v>38760.7288523809</v>
      </c>
      <c r="AJ99" s="19" t="n">
        <f aca="false">AI103</f>
        <v>38212.8183634655</v>
      </c>
      <c r="AK99" s="19" t="n">
        <f aca="false">AJ103</f>
        <v>37658.0589934387</v>
      </c>
      <c r="AL99" s="19" t="n">
        <f aca="false">AK103</f>
        <v>37096.3651312866</v>
      </c>
      <c r="AM99" s="19" t="n">
        <f aca="false">AL103</f>
        <v>36527.6500958575</v>
      </c>
      <c r="AN99" s="19" t="n">
        <f aca="false">AM103</f>
        <v>35951.8261224856</v>
      </c>
      <c r="AO99" s="19" t="n">
        <f aca="false">AN103</f>
        <v>35368.8043494466</v>
      </c>
      <c r="AP99" s="19" t="n">
        <f aca="false">AO103</f>
        <v>34778.4948042445</v>
      </c>
      <c r="AQ99" s="19" t="n">
        <f aca="false">AP103</f>
        <v>34180.8063897275</v>
      </c>
      <c r="AR99" s="19" t="n">
        <f aca="false">AQ103</f>
        <v>33575.6468700289</v>
      </c>
      <c r="AS99" s="19" t="n">
        <f aca="false">AR103</f>
        <v>32962.9228563342</v>
      </c>
      <c r="AT99" s="19" t="n">
        <f aca="false">AS103</f>
        <v>32342.5397924682</v>
      </c>
      <c r="AU99" s="19" t="n">
        <f aca="false">AT103</f>
        <v>31714.401940304</v>
      </c>
      <c r="AV99" s="19" t="n">
        <f aca="false">AU103</f>
        <v>31078.4123649876</v>
      </c>
      <c r="AW99" s="19" t="n">
        <f aca="false">AV103</f>
        <v>30434.4729199798</v>
      </c>
      <c r="AX99" s="19" t="n">
        <f aca="false">AW103</f>
        <v>29782.4842319095</v>
      </c>
      <c r="AY99" s="19" t="n">
        <f aca="false">AX103</f>
        <v>29122.3456852382</v>
      </c>
      <c r="AZ99" s="19" t="n">
        <f aca="false">AY103</f>
        <v>28453.9554067336</v>
      </c>
      <c r="BA99" s="19" t="n">
        <f aca="false">AZ103</f>
        <v>27777.2102497476</v>
      </c>
      <c r="BB99" s="19" t="n">
        <f aca="false">BA103</f>
        <v>27092.0057782993</v>
      </c>
      <c r="BC99" s="19" t="n">
        <f aca="false">BB103</f>
        <v>26398.236250958</v>
      </c>
      <c r="BD99" s="19" t="n">
        <f aca="false">BC103</f>
        <v>25695.7946045248</v>
      </c>
      <c r="BE99" s="19" t="n">
        <f aca="false">BD103</f>
        <v>24984.5724375112</v>
      </c>
      <c r="BF99" s="19" t="n">
        <f aca="false">BE103</f>
        <v>24264.45999341</v>
      </c>
      <c r="BG99" s="19" t="n">
        <f aca="false">BF103</f>
        <v>23535.3461437575</v>
      </c>
      <c r="BH99" s="19" t="n">
        <f aca="false">BG103</f>
        <v>22797.1183709844</v>
      </c>
      <c r="BI99" s="19" t="n">
        <f aca="false">BH103</f>
        <v>22049.6627510515</v>
      </c>
      <c r="BJ99" s="19" t="n">
        <f aca="false">BI103</f>
        <v>21292.8639358696</v>
      </c>
      <c r="BK99" s="19" t="n">
        <f aca="false">BJ103</f>
        <v>20526.6051354978</v>
      </c>
      <c r="BL99" s="19" t="n">
        <f aca="false">BK103</f>
        <v>19750.7681001214</v>
      </c>
      <c r="BM99" s="19" t="n">
        <f aca="false">BL103</f>
        <v>18965.2331018028</v>
      </c>
      <c r="BN99" s="19" t="n">
        <f aca="false">BM103</f>
        <v>18169.8789160052</v>
      </c>
      <c r="BO99" s="19" t="n">
        <f aca="false">BN103</f>
        <v>17364.5828028852</v>
      </c>
      <c r="BP99" s="19" t="n">
        <f aca="false">BO103</f>
        <v>16549.2204883511</v>
      </c>
      <c r="BQ99" s="19" t="n">
        <f aca="false">BP103</f>
        <v>15723.6661448854</v>
      </c>
      <c r="BR99" s="19" t="n">
        <f aca="false">BQ103</f>
        <v>14887.7923721263</v>
      </c>
      <c r="BS99" s="19" t="n">
        <f aca="false">BR103</f>
        <v>14041.4701772078</v>
      </c>
      <c r="BT99" s="19" t="n">
        <f aca="false">BS103</f>
        <v>13184.5689548527</v>
      </c>
      <c r="BU99" s="19" t="n">
        <f aca="false">BT103</f>
        <v>12316.9564672183</v>
      </c>
      <c r="BV99" s="19" t="n">
        <f aca="false">BU103</f>
        <v>11438.4988234884</v>
      </c>
      <c r="BW99" s="19" t="n">
        <f aca="false">BV103</f>
        <v>10549.0604592118</v>
      </c>
      <c r="BX99" s="19" t="n">
        <f aca="false">BW103</f>
        <v>9648.50411538187</v>
      </c>
      <c r="BY99" s="19" t="n">
        <f aca="false">BX103</f>
        <v>8736.69081725402</v>
      </c>
      <c r="BZ99" s="19" t="n">
        <f aca="false">BY103</f>
        <v>7813.47985289957</v>
      </c>
      <c r="CA99" s="19" t="n">
        <f aca="false">BZ103</f>
        <v>6878.72875149069</v>
      </c>
      <c r="CB99" s="19" t="n">
        <f aca="false">CA103</f>
        <v>5932.2932613142</v>
      </c>
      <c r="CC99" s="19" t="n">
        <f aca="false">CB103</f>
        <v>4974.0273275105</v>
      </c>
      <c r="CD99" s="19" t="n">
        <f aca="false">CC103</f>
        <v>4003.78306953426</v>
      </c>
      <c r="CE99" s="19" t="n">
        <f aca="false">CD103</f>
        <v>3021.41075833331</v>
      </c>
      <c r="CF99" s="19" t="n">
        <f aca="false">CE103</f>
        <v>2026.75879324235</v>
      </c>
      <c r="CG99" s="19" t="n">
        <f aca="false">CF103</f>
        <v>1019.67367858776</v>
      </c>
      <c r="CH99" s="19" t="n">
        <f aca="false">CG103</f>
        <v>0</v>
      </c>
      <c r="CI99" s="19" t="n">
        <f aca="false">CH103</f>
        <v>0</v>
      </c>
      <c r="CJ99" s="19" t="n">
        <f aca="false">CI103</f>
        <v>0</v>
      </c>
      <c r="CK99" s="19" t="n">
        <f aca="false">CJ103</f>
        <v>0</v>
      </c>
      <c r="CL99" s="19" t="n">
        <f aca="false">CK103</f>
        <v>0</v>
      </c>
      <c r="CM99" s="19" t="n">
        <f aca="false">CL103</f>
        <v>0</v>
      </c>
      <c r="CN99" s="19" t="n">
        <f aca="false">CM103</f>
        <v>0</v>
      </c>
      <c r="CO99" s="19" t="n">
        <f aca="false">CN103</f>
        <v>0</v>
      </c>
      <c r="CP99" s="19" t="n">
        <f aca="false">CO103</f>
        <v>0</v>
      </c>
      <c r="CQ99" s="19" t="n">
        <f aca="false">CP103</f>
        <v>0</v>
      </c>
      <c r="CR99" s="19" t="n">
        <f aca="false">CQ103</f>
        <v>0</v>
      </c>
      <c r="CS99" s="19" t="n">
        <f aca="false">CR103</f>
        <v>0</v>
      </c>
      <c r="CT99" s="19" t="n">
        <f aca="false">CS103</f>
        <v>0</v>
      </c>
      <c r="CU99" s="19" t="n">
        <f aca="false">CT103</f>
        <v>0</v>
      </c>
      <c r="CV99" s="19" t="n">
        <f aca="false">CU103</f>
        <v>0</v>
      </c>
      <c r="CW99" s="19" t="n">
        <f aca="false">CV103</f>
        <v>0</v>
      </c>
      <c r="CX99" s="19" t="n">
        <f aca="false">CW103</f>
        <v>0</v>
      </c>
      <c r="CY99" s="19" t="n">
        <f aca="false">CX103</f>
        <v>0</v>
      </c>
      <c r="CZ99" s="19" t="n">
        <f aca="false">CY103</f>
        <v>0</v>
      </c>
      <c r="DA99" s="19" t="n">
        <f aca="false">CZ103</f>
        <v>0</v>
      </c>
      <c r="DB99" s="19" t="n">
        <f aca="false">DA103</f>
        <v>0</v>
      </c>
      <c r="DC99" s="19" t="n">
        <f aca="false">DB103</f>
        <v>0</v>
      </c>
      <c r="DD99" s="19" t="n">
        <f aca="false">DC103</f>
        <v>0</v>
      </c>
      <c r="DE99" s="19" t="n">
        <f aca="false">DD103</f>
        <v>0</v>
      </c>
      <c r="DF99" s="19" t="n">
        <f aca="false">DE103</f>
        <v>0</v>
      </c>
      <c r="DG99" s="19" t="n">
        <f aca="false">DF103</f>
        <v>0</v>
      </c>
      <c r="DH99" s="19" t="n">
        <f aca="false">DG103</f>
        <v>0</v>
      </c>
      <c r="DI99" s="19" t="n">
        <f aca="false">DH103</f>
        <v>0</v>
      </c>
      <c r="DJ99" s="19" t="n">
        <f aca="false">DI103</f>
        <v>0</v>
      </c>
      <c r="DK99" s="19" t="n">
        <f aca="false">DJ103</f>
        <v>0</v>
      </c>
      <c r="DL99" s="19" t="n">
        <f aca="false">DK103</f>
        <v>0</v>
      </c>
      <c r="DM99" s="19" t="n">
        <f aca="false">DL103</f>
        <v>0</v>
      </c>
      <c r="DN99" s="19" t="n">
        <f aca="false">DM103</f>
        <v>0</v>
      </c>
      <c r="DO99" s="19" t="n">
        <f aca="false">DN103</f>
        <v>0</v>
      </c>
      <c r="DP99" s="19" t="n">
        <f aca="false">DO103</f>
        <v>0</v>
      </c>
      <c r="DQ99" s="19" t="n">
        <f aca="false">DP103</f>
        <v>0</v>
      </c>
      <c r="DR99" s="19" t="n">
        <f aca="false">DQ103</f>
        <v>0</v>
      </c>
      <c r="DS99" s="19" t="n">
        <f aca="false">DR103</f>
        <v>0</v>
      </c>
      <c r="DT99" s="19" t="n">
        <f aca="false">DS103</f>
        <v>0</v>
      </c>
      <c r="DU99" s="19" t="n">
        <f aca="false">DT103</f>
        <v>0</v>
      </c>
      <c r="DV99" s="19" t="n">
        <f aca="false">DU103</f>
        <v>0</v>
      </c>
      <c r="DW99" s="19" t="n">
        <f aca="false">DV103</f>
        <v>0</v>
      </c>
      <c r="DX99" s="19" t="n">
        <f aca="false">DW103</f>
        <v>0</v>
      </c>
      <c r="DY99" s="19" t="n">
        <f aca="false">DX103</f>
        <v>0</v>
      </c>
      <c r="DZ99" s="19" t="n">
        <f aca="false">DY103</f>
        <v>0</v>
      </c>
      <c r="EA99" s="19" t="n">
        <f aca="false">DZ103</f>
        <v>0</v>
      </c>
      <c r="EB99" s="19" t="n">
        <f aca="false">EA103</f>
        <v>0</v>
      </c>
      <c r="EC99" s="19" t="n">
        <f aca="false">EB103</f>
        <v>0</v>
      </c>
      <c r="ED99" s="19" t="n">
        <f aca="false">EC103</f>
        <v>0</v>
      </c>
      <c r="EE99" s="19" t="n">
        <f aca="false">ED103</f>
        <v>0</v>
      </c>
      <c r="EF99" s="19" t="n">
        <f aca="false">EE103</f>
        <v>0</v>
      </c>
      <c r="EG99" s="19" t="n">
        <f aca="false">EF103</f>
        <v>0</v>
      </c>
      <c r="EH99" s="19" t="n">
        <f aca="false">EG103</f>
        <v>0</v>
      </c>
      <c r="EI99" s="19" t="n">
        <f aca="false">EH103</f>
        <v>0</v>
      </c>
      <c r="EJ99" s="19" t="n">
        <f aca="false">EI103</f>
        <v>0</v>
      </c>
      <c r="EK99" s="19" t="n">
        <f aca="false">EJ103</f>
        <v>0</v>
      </c>
      <c r="EL99" s="19" t="n">
        <f aca="false">EK103</f>
        <v>0</v>
      </c>
      <c r="EM99" s="19" t="n">
        <f aca="false">EL103</f>
        <v>0</v>
      </c>
      <c r="EN99" s="19" t="n">
        <f aca="false">EM103</f>
        <v>0</v>
      </c>
      <c r="EO99" s="19" t="n">
        <f aca="false">EN103</f>
        <v>0</v>
      </c>
    </row>
    <row r="100" customFormat="false" ht="15" hidden="false" customHeight="false" outlineLevel="0" collapsed="false">
      <c r="C100" s="1" t="s">
        <v>498</v>
      </c>
      <c r="D100" s="12" t="s">
        <v>33</v>
      </c>
      <c r="I100" s="49" t="n">
        <f aca="false">SUM(J100:EO100)</f>
        <v>41454.0902328767</v>
      </c>
      <c r="J100" s="49" t="n">
        <f aca="false">-$E90*J70</f>
        <v>0</v>
      </c>
      <c r="K100" s="49" t="n">
        <f aca="false">-$E90*K70</f>
        <v>0</v>
      </c>
      <c r="L100" s="49" t="n">
        <f aca="false">-$E90*L70</f>
        <v>0</v>
      </c>
      <c r="M100" s="49" t="n">
        <f aca="false">-$E90*M70</f>
        <v>0</v>
      </c>
      <c r="N100" s="49" t="n">
        <f aca="false">-$E90*N70</f>
        <v>0</v>
      </c>
      <c r="O100" s="49" t="n">
        <f aca="false">-$E90*O70</f>
        <v>0</v>
      </c>
      <c r="P100" s="49" t="n">
        <f aca="false">-$E90*P70</f>
        <v>0</v>
      </c>
      <c r="Q100" s="49" t="n">
        <f aca="false">-$E90*Q70</f>
        <v>0</v>
      </c>
      <c r="R100" s="49" t="n">
        <f aca="false">-$E90*R70</f>
        <v>4485.81130136986</v>
      </c>
      <c r="S100" s="49" t="n">
        <f aca="false">-$E90*S70</f>
        <v>8873.44639726028</v>
      </c>
      <c r="T100" s="49" t="n">
        <f aca="false">-$E90*T70</f>
        <v>4437.05248287671</v>
      </c>
      <c r="U100" s="49" t="n">
        <f aca="false">-$E90*U70</f>
        <v>4485.81130136986</v>
      </c>
      <c r="V100" s="49" t="n">
        <f aca="false">-$E90*V70</f>
        <v>4485.81130136986</v>
      </c>
      <c r="W100" s="49" t="n">
        <f aca="false">-$E90*W70</f>
        <v>4388.29366438356</v>
      </c>
      <c r="X100" s="49" t="n">
        <f aca="false">-$E90*X70</f>
        <v>4437.05248287671</v>
      </c>
      <c r="Y100" s="49" t="n">
        <f aca="false">-$E90*Y70</f>
        <v>5860.81130136986</v>
      </c>
      <c r="Z100" s="49" t="n">
        <f aca="false">-$E90*Z70</f>
        <v>0</v>
      </c>
      <c r="AA100" s="49" t="n">
        <f aca="false">-$E90*AA70</f>
        <v>0</v>
      </c>
      <c r="AB100" s="49" t="n">
        <f aca="false">-$E90*AB70</f>
        <v>0</v>
      </c>
      <c r="AC100" s="49" t="n">
        <f aca="false">-$E90*AC70</f>
        <v>0</v>
      </c>
      <c r="AD100" s="49" t="n">
        <f aca="false">-$E90*AD70</f>
        <v>0</v>
      </c>
      <c r="AE100" s="49" t="n">
        <f aca="false">-$E90*AE70</f>
        <v>0</v>
      </c>
      <c r="AF100" s="49" t="n">
        <f aca="false">-$E90*AF70</f>
        <v>0</v>
      </c>
      <c r="AG100" s="49" t="n">
        <f aca="false">-$E90*AG70</f>
        <v>0</v>
      </c>
      <c r="AH100" s="49" t="n">
        <f aca="false">-$E90*AH70</f>
        <v>0</v>
      </c>
      <c r="AI100" s="49" t="n">
        <f aca="false">-$E90*AI70</f>
        <v>0</v>
      </c>
      <c r="AJ100" s="49" t="n">
        <f aca="false">-$E90*AJ70</f>
        <v>0</v>
      </c>
      <c r="AK100" s="49" t="n">
        <f aca="false">-$E90*AK70</f>
        <v>0</v>
      </c>
      <c r="AL100" s="49" t="n">
        <f aca="false">-$E90*AL70</f>
        <v>0</v>
      </c>
      <c r="AM100" s="49" t="n">
        <f aca="false">-$E90*AM70</f>
        <v>0</v>
      </c>
      <c r="AN100" s="49" t="n">
        <f aca="false">-$E90*AN70</f>
        <v>0</v>
      </c>
      <c r="AO100" s="49" t="n">
        <f aca="false">-$E90*AO70</f>
        <v>0</v>
      </c>
      <c r="AP100" s="49" t="n">
        <f aca="false">-$E90*AP70</f>
        <v>0</v>
      </c>
      <c r="AQ100" s="49" t="n">
        <f aca="false">-$E90*AQ70</f>
        <v>0</v>
      </c>
      <c r="AR100" s="49" t="n">
        <f aca="false">-$E90*AR70</f>
        <v>0</v>
      </c>
      <c r="AS100" s="49" t="n">
        <f aca="false">-$E90*AS70</f>
        <v>0</v>
      </c>
      <c r="AT100" s="49" t="n">
        <f aca="false">-$E90*AT70</f>
        <v>0</v>
      </c>
      <c r="AU100" s="49" t="n">
        <f aca="false">-$E90*AU70</f>
        <v>0</v>
      </c>
      <c r="AV100" s="49" t="n">
        <f aca="false">-$E90*AV70</f>
        <v>0</v>
      </c>
      <c r="AW100" s="49" t="n">
        <f aca="false">-$E90*AW70</f>
        <v>0</v>
      </c>
      <c r="AX100" s="49" t="n">
        <f aca="false">-$E90*AX70</f>
        <v>0</v>
      </c>
      <c r="AY100" s="49" t="n">
        <f aca="false">-$E90*AY70</f>
        <v>0</v>
      </c>
      <c r="AZ100" s="49" t="n">
        <f aca="false">-$E90*AZ70</f>
        <v>0</v>
      </c>
      <c r="BA100" s="49" t="n">
        <f aca="false">-$E90*BA70</f>
        <v>0</v>
      </c>
      <c r="BB100" s="49" t="n">
        <f aca="false">-$E90*BB70</f>
        <v>0</v>
      </c>
      <c r="BC100" s="49" t="n">
        <f aca="false">-$E90*BC70</f>
        <v>0</v>
      </c>
      <c r="BD100" s="49" t="n">
        <f aca="false">-$E90*BD70</f>
        <v>0</v>
      </c>
      <c r="BE100" s="49" t="n">
        <f aca="false">-$E90*BE70</f>
        <v>0</v>
      </c>
      <c r="BF100" s="49" t="n">
        <f aca="false">-$E90*BF70</f>
        <v>0</v>
      </c>
      <c r="BG100" s="49" t="n">
        <f aca="false">-$E90*BG70</f>
        <v>0</v>
      </c>
      <c r="BH100" s="49" t="n">
        <f aca="false">-$E90*BH70</f>
        <v>0</v>
      </c>
      <c r="BI100" s="49" t="n">
        <f aca="false">-$E90*BI70</f>
        <v>0</v>
      </c>
      <c r="BJ100" s="49" t="n">
        <f aca="false">-$E90*BJ70</f>
        <v>0</v>
      </c>
      <c r="BK100" s="49" t="n">
        <f aca="false">-$E90*BK70</f>
        <v>0</v>
      </c>
      <c r="BL100" s="49" t="n">
        <f aca="false">-$E90*BL70</f>
        <v>0</v>
      </c>
      <c r="BM100" s="49" t="n">
        <f aca="false">-$E90*BM70</f>
        <v>0</v>
      </c>
      <c r="BN100" s="49" t="n">
        <f aca="false">-$E90*BN70</f>
        <v>0</v>
      </c>
      <c r="BO100" s="49" t="n">
        <f aca="false">-$E90*BO70</f>
        <v>0</v>
      </c>
      <c r="BP100" s="49" t="n">
        <f aca="false">-$E90*BP70</f>
        <v>0</v>
      </c>
      <c r="BQ100" s="49" t="n">
        <f aca="false">-$E90*BQ70</f>
        <v>0</v>
      </c>
      <c r="BR100" s="49" t="n">
        <f aca="false">-$E90*BR70</f>
        <v>0</v>
      </c>
      <c r="BS100" s="49" t="n">
        <f aca="false">-$E90*BS70</f>
        <v>0</v>
      </c>
      <c r="BT100" s="49" t="n">
        <f aca="false">-$E90*BT70</f>
        <v>0</v>
      </c>
      <c r="BU100" s="49" t="n">
        <f aca="false">-$E90*BU70</f>
        <v>0</v>
      </c>
      <c r="BV100" s="49" t="n">
        <f aca="false">-$E90*BV70</f>
        <v>0</v>
      </c>
      <c r="BW100" s="49" t="n">
        <f aca="false">-$E90*BW70</f>
        <v>0</v>
      </c>
      <c r="BX100" s="49" t="n">
        <f aca="false">-$E90*BX70</f>
        <v>0</v>
      </c>
      <c r="BY100" s="49" t="n">
        <f aca="false">-$E90*BY70</f>
        <v>0</v>
      </c>
      <c r="BZ100" s="49" t="n">
        <f aca="false">-$E90*BZ70</f>
        <v>0</v>
      </c>
      <c r="CA100" s="49" t="n">
        <f aca="false">-$E90*CA70</f>
        <v>0</v>
      </c>
      <c r="CB100" s="49" t="n">
        <f aca="false">-$E90*CB70</f>
        <v>0</v>
      </c>
      <c r="CC100" s="49" t="n">
        <f aca="false">-$E90*CC70</f>
        <v>0</v>
      </c>
      <c r="CD100" s="49" t="n">
        <f aca="false">-$E90*CD70</f>
        <v>0</v>
      </c>
      <c r="CE100" s="49" t="n">
        <f aca="false">-$E90*CE70</f>
        <v>0</v>
      </c>
      <c r="CF100" s="49" t="n">
        <f aca="false">-$E90*CF70</f>
        <v>0</v>
      </c>
      <c r="CG100" s="49" t="n">
        <f aca="false">-$E90*CG70</f>
        <v>0</v>
      </c>
      <c r="CH100" s="49" t="n">
        <f aca="false">-$E90*CH70</f>
        <v>0</v>
      </c>
      <c r="CI100" s="49" t="n">
        <f aca="false">-$E90*CI70</f>
        <v>0</v>
      </c>
      <c r="CJ100" s="49" t="n">
        <f aca="false">-$E90*CJ70</f>
        <v>0</v>
      </c>
      <c r="CK100" s="49" t="n">
        <f aca="false">-$E90*CK70</f>
        <v>0</v>
      </c>
      <c r="CL100" s="49" t="n">
        <f aca="false">-$E90*CL70</f>
        <v>0</v>
      </c>
      <c r="CM100" s="49" t="n">
        <f aca="false">-$E90*CM70</f>
        <v>0</v>
      </c>
      <c r="CN100" s="49" t="n">
        <f aca="false">-$E90*CN70</f>
        <v>0</v>
      </c>
      <c r="CO100" s="49" t="n">
        <f aca="false">-$E90*CO70</f>
        <v>0</v>
      </c>
      <c r="CP100" s="49" t="n">
        <f aca="false">-$E90*CP70</f>
        <v>0</v>
      </c>
      <c r="CQ100" s="49" t="n">
        <f aca="false">-$E90*CQ70</f>
        <v>0</v>
      </c>
      <c r="CR100" s="49" t="n">
        <f aca="false">-$E90*CR70</f>
        <v>0</v>
      </c>
      <c r="CS100" s="49" t="n">
        <f aca="false">-$E90*CS70</f>
        <v>0</v>
      </c>
      <c r="CT100" s="49" t="n">
        <f aca="false">-$E90*CT70</f>
        <v>0</v>
      </c>
      <c r="CU100" s="49" t="n">
        <f aca="false">-$E90*CU70</f>
        <v>0</v>
      </c>
      <c r="CV100" s="49" t="n">
        <f aca="false">-$E90*CV70</f>
        <v>0</v>
      </c>
      <c r="CW100" s="49" t="n">
        <f aca="false">-$E90*CW70</f>
        <v>0</v>
      </c>
      <c r="CX100" s="49" t="n">
        <f aca="false">-$E90*CX70</f>
        <v>0</v>
      </c>
      <c r="CY100" s="49" t="n">
        <f aca="false">-$E90*CY70</f>
        <v>0</v>
      </c>
      <c r="CZ100" s="49" t="n">
        <f aca="false">-$E90*CZ70</f>
        <v>0</v>
      </c>
      <c r="DA100" s="49" t="n">
        <f aca="false">-$E90*DA70</f>
        <v>0</v>
      </c>
      <c r="DB100" s="49" t="n">
        <f aca="false">-$E90*DB70</f>
        <v>0</v>
      </c>
      <c r="DC100" s="49" t="n">
        <f aca="false">-$E90*DC70</f>
        <v>0</v>
      </c>
      <c r="DD100" s="49" t="n">
        <f aca="false">-$E90*DD70</f>
        <v>0</v>
      </c>
      <c r="DE100" s="49" t="n">
        <f aca="false">-$E90*DE70</f>
        <v>0</v>
      </c>
      <c r="DF100" s="49" t="n">
        <f aca="false">-$E90*DF70</f>
        <v>0</v>
      </c>
      <c r="DG100" s="49" t="n">
        <f aca="false">-$E90*DG70</f>
        <v>0</v>
      </c>
      <c r="DH100" s="49" t="n">
        <f aca="false">-$E90*DH70</f>
        <v>0</v>
      </c>
      <c r="DI100" s="49" t="n">
        <f aca="false">-$E90*DI70</f>
        <v>0</v>
      </c>
      <c r="DJ100" s="49" t="n">
        <f aca="false">-$E90*DJ70</f>
        <v>0</v>
      </c>
      <c r="DK100" s="49" t="n">
        <f aca="false">-$E90*DK70</f>
        <v>0</v>
      </c>
      <c r="DL100" s="49" t="n">
        <f aca="false">-$E90*DL70</f>
        <v>0</v>
      </c>
      <c r="DM100" s="49" t="n">
        <f aca="false">-$E90*DM70</f>
        <v>0</v>
      </c>
      <c r="DN100" s="49" t="n">
        <f aca="false">-$E90*DN70</f>
        <v>0</v>
      </c>
      <c r="DO100" s="49" t="n">
        <f aca="false">-$E90*DO70</f>
        <v>0</v>
      </c>
      <c r="DP100" s="49" t="n">
        <f aca="false">-$E90*DP70</f>
        <v>0</v>
      </c>
      <c r="DQ100" s="49" t="n">
        <f aca="false">-$E90*DQ70</f>
        <v>0</v>
      </c>
      <c r="DR100" s="49" t="n">
        <f aca="false">-$E90*DR70</f>
        <v>0</v>
      </c>
      <c r="DS100" s="49" t="n">
        <f aca="false">-$E90*DS70</f>
        <v>0</v>
      </c>
      <c r="DT100" s="49" t="n">
        <f aca="false">-$E90*DT70</f>
        <v>0</v>
      </c>
      <c r="DU100" s="49" t="n">
        <f aca="false">-$E90*DU70</f>
        <v>0</v>
      </c>
      <c r="DV100" s="49" t="n">
        <f aca="false">-$E90*DV70</f>
        <v>0</v>
      </c>
      <c r="DW100" s="49" t="n">
        <f aca="false">-$E90*DW70</f>
        <v>0</v>
      </c>
      <c r="DX100" s="49" t="n">
        <f aca="false">-$E90*DX70</f>
        <v>0</v>
      </c>
      <c r="DY100" s="49" t="n">
        <f aca="false">-$E90*DY70</f>
        <v>0</v>
      </c>
      <c r="DZ100" s="49" t="n">
        <f aca="false">-$E90*DZ70</f>
        <v>0</v>
      </c>
      <c r="EA100" s="49" t="n">
        <f aca="false">-$E90*EA70</f>
        <v>0</v>
      </c>
      <c r="EB100" s="49" t="n">
        <f aca="false">-$E90*EB70</f>
        <v>0</v>
      </c>
      <c r="EC100" s="49" t="n">
        <f aca="false">-$E90*EC70</f>
        <v>0</v>
      </c>
      <c r="ED100" s="49" t="n">
        <f aca="false">-$E90*ED70</f>
        <v>0</v>
      </c>
      <c r="EE100" s="49" t="n">
        <f aca="false">-$E90*EE70</f>
        <v>0</v>
      </c>
      <c r="EF100" s="49" t="n">
        <f aca="false">-$E90*EF70</f>
        <v>0</v>
      </c>
      <c r="EG100" s="49" t="n">
        <f aca="false">-$E90*EG70</f>
        <v>0</v>
      </c>
      <c r="EH100" s="49" t="n">
        <f aca="false">-$E90*EH70</f>
        <v>0</v>
      </c>
      <c r="EI100" s="49" t="n">
        <f aca="false">-$E90*EI70</f>
        <v>0</v>
      </c>
      <c r="EJ100" s="49" t="n">
        <f aca="false">-$E90*EJ70</f>
        <v>0</v>
      </c>
      <c r="EK100" s="49" t="n">
        <f aca="false">-$E90*EK70</f>
        <v>0</v>
      </c>
      <c r="EL100" s="49" t="n">
        <f aca="false">-$E90*EL70</f>
        <v>0</v>
      </c>
      <c r="EM100" s="49" t="n">
        <f aca="false">-$E90*EM70</f>
        <v>0</v>
      </c>
      <c r="EN100" s="49" t="n">
        <f aca="false">-$E90*EN70</f>
        <v>0</v>
      </c>
      <c r="EO100" s="49" t="n">
        <f aca="false">-$E90*EO70</f>
        <v>0</v>
      </c>
    </row>
    <row r="101" customFormat="false" ht="15" hidden="false" customHeight="false" outlineLevel="0" collapsed="false">
      <c r="C101" s="1" t="s">
        <v>499</v>
      </c>
      <c r="D101" s="12" t="s">
        <v>33</v>
      </c>
      <c r="I101" s="49" t="n">
        <f aca="false">SUM(J101:EO101)</f>
        <v>1943.24619570398</v>
      </c>
      <c r="J101" s="49" t="n">
        <f aca="false">J99*$F22*(J$4&lt;=In_COD)</f>
        <v>0</v>
      </c>
      <c r="K101" s="49" t="n">
        <f aca="false">K99*$F22*(K$4&lt;=In_COD)</f>
        <v>0</v>
      </c>
      <c r="L101" s="49" t="n">
        <f aca="false">L99*$F22*(L$4&lt;=In_COD)</f>
        <v>0</v>
      </c>
      <c r="M101" s="49" t="n">
        <f aca="false">M99*$F22*(M$4&lt;=In_COD)</f>
        <v>0</v>
      </c>
      <c r="N101" s="49" t="n">
        <f aca="false">N99*$F22*(N$4&lt;=In_COD)</f>
        <v>0</v>
      </c>
      <c r="O101" s="49" t="n">
        <f aca="false">O99*$F22*(O$4&lt;=In_COD)</f>
        <v>0</v>
      </c>
      <c r="P101" s="49" t="n">
        <f aca="false">P99*$F22*(P$4&lt;=In_COD)</f>
        <v>0</v>
      </c>
      <c r="Q101" s="49" t="n">
        <f aca="false">Q99*$F22*(Q$4&lt;=In_COD)</f>
        <v>0</v>
      </c>
      <c r="R101" s="49" t="n">
        <f aca="false">R99*$F22*(R$4&lt;=In_COD)</f>
        <v>0</v>
      </c>
      <c r="S101" s="49" t="n">
        <f aca="false">S99*$F22*(S$4&lt;=In_COD)</f>
        <v>56.0726412671233</v>
      </c>
      <c r="T101" s="49" t="n">
        <f aca="false">T99*$F22*(T$4&lt;=In_COD)</f>
        <v>167.691629248716</v>
      </c>
      <c r="U101" s="49" t="n">
        <f aca="false">U99*$F22*(U$4&lt;=In_COD)</f>
        <v>225.250930650284</v>
      </c>
      <c r="V101" s="49" t="n">
        <f aca="false">V99*$F22*(V$4&lt;=In_COD)</f>
        <v>284.139208550536</v>
      </c>
      <c r="W101" s="49" t="n">
        <f aca="false">W99*$F22*(W$4&lt;=In_COD)</f>
        <v>343.763589924541</v>
      </c>
      <c r="X101" s="49" t="n">
        <f aca="false">X99*$F22*(X$4&lt;=In_COD)</f>
        <v>402.914305603392</v>
      </c>
      <c r="Y101" s="49" t="n">
        <f aca="false">Y99*$F22*(Y$4&lt;=In_COD)</f>
        <v>463.413890459393</v>
      </c>
      <c r="Z101" s="49" t="n">
        <f aca="false">Z99*$F22*(Z$4&lt;=In_COD)</f>
        <v>0</v>
      </c>
      <c r="AA101" s="49" t="n">
        <f aca="false">AA99*$F22*(AA$4&lt;=In_COD)</f>
        <v>0</v>
      </c>
      <c r="AB101" s="49" t="n">
        <f aca="false">AB99*$F22*(AB$4&lt;=In_COD)</f>
        <v>0</v>
      </c>
      <c r="AC101" s="49" t="n">
        <f aca="false">AC99*$F22*(AC$4&lt;=In_COD)</f>
        <v>0</v>
      </c>
      <c r="AD101" s="49" t="n">
        <f aca="false">AD99*$F22*(AD$4&lt;=In_COD)</f>
        <v>0</v>
      </c>
      <c r="AE101" s="49" t="n">
        <f aca="false">AE99*$F22*(AE$4&lt;=In_COD)</f>
        <v>0</v>
      </c>
      <c r="AF101" s="49" t="n">
        <f aca="false">AF99*$F22*(AF$4&lt;=In_COD)</f>
        <v>0</v>
      </c>
      <c r="AG101" s="49" t="n">
        <f aca="false">AG99*$F22*(AG$4&lt;=In_COD)</f>
        <v>0</v>
      </c>
      <c r="AH101" s="49" t="n">
        <f aca="false">AH99*$F22*(AH$4&lt;=In_COD)</f>
        <v>0</v>
      </c>
      <c r="AI101" s="49" t="n">
        <f aca="false">AI99*$F22*(AI$4&lt;=In_COD)</f>
        <v>0</v>
      </c>
      <c r="AJ101" s="49" t="n">
        <f aca="false">AJ99*$F22*(AJ$4&lt;=In_COD)</f>
        <v>0</v>
      </c>
      <c r="AK101" s="49" t="n">
        <f aca="false">AK99*$F22*(AK$4&lt;=In_COD)</f>
        <v>0</v>
      </c>
      <c r="AL101" s="49" t="n">
        <f aca="false">AL99*$F22*(AL$4&lt;=In_COD)</f>
        <v>0</v>
      </c>
      <c r="AM101" s="49" t="n">
        <f aca="false">AM99*$F22*(AM$4&lt;=In_COD)</f>
        <v>0</v>
      </c>
      <c r="AN101" s="49" t="n">
        <f aca="false">AN99*$F22*(AN$4&lt;=In_COD)</f>
        <v>0</v>
      </c>
      <c r="AO101" s="49" t="n">
        <f aca="false">AO99*$F22*(AO$4&lt;=In_COD)</f>
        <v>0</v>
      </c>
      <c r="AP101" s="49" t="n">
        <f aca="false">AP99*$F22*(AP$4&lt;=In_COD)</f>
        <v>0</v>
      </c>
      <c r="AQ101" s="49" t="n">
        <f aca="false">AQ99*$F22*(AQ$4&lt;=In_COD)</f>
        <v>0</v>
      </c>
      <c r="AR101" s="49" t="n">
        <f aca="false">AR99*$F22*(AR$4&lt;=In_COD)</f>
        <v>0</v>
      </c>
      <c r="AS101" s="49" t="n">
        <f aca="false">AS99*$F22*(AS$4&lt;=In_COD)</f>
        <v>0</v>
      </c>
      <c r="AT101" s="49" t="n">
        <f aca="false">AT99*$F22*(AT$4&lt;=In_COD)</f>
        <v>0</v>
      </c>
      <c r="AU101" s="49" t="n">
        <f aca="false">AU99*$F22*(AU$4&lt;=In_COD)</f>
        <v>0</v>
      </c>
      <c r="AV101" s="49" t="n">
        <f aca="false">AV99*$F22*(AV$4&lt;=In_COD)</f>
        <v>0</v>
      </c>
      <c r="AW101" s="49" t="n">
        <f aca="false">AW99*$F22*(AW$4&lt;=In_COD)</f>
        <v>0</v>
      </c>
      <c r="AX101" s="49" t="n">
        <f aca="false">AX99*$F22*(AX$4&lt;=In_COD)</f>
        <v>0</v>
      </c>
      <c r="AY101" s="49" t="n">
        <f aca="false">AY99*$F22*(AY$4&lt;=In_COD)</f>
        <v>0</v>
      </c>
      <c r="AZ101" s="49" t="n">
        <f aca="false">AZ99*$F22*(AZ$4&lt;=In_COD)</f>
        <v>0</v>
      </c>
      <c r="BA101" s="49" t="n">
        <f aca="false">BA99*$F22*(BA$4&lt;=In_COD)</f>
        <v>0</v>
      </c>
      <c r="BB101" s="49" t="n">
        <f aca="false">BB99*$F22*(BB$4&lt;=In_COD)</f>
        <v>0</v>
      </c>
      <c r="BC101" s="49" t="n">
        <f aca="false">BC99*$F22*(BC$4&lt;=In_COD)</f>
        <v>0</v>
      </c>
      <c r="BD101" s="49" t="n">
        <f aca="false">BD99*$F22*(BD$4&lt;=In_COD)</f>
        <v>0</v>
      </c>
      <c r="BE101" s="49" t="n">
        <f aca="false">BE99*$F22*(BE$4&lt;=In_COD)</f>
        <v>0</v>
      </c>
      <c r="BF101" s="49" t="n">
        <f aca="false">BF99*$F22*(BF$4&lt;=In_COD)</f>
        <v>0</v>
      </c>
      <c r="BG101" s="49" t="n">
        <f aca="false">BG99*$F22*(BG$4&lt;=In_COD)</f>
        <v>0</v>
      </c>
      <c r="BH101" s="49" t="n">
        <f aca="false">BH99*$F22*(BH$4&lt;=In_COD)</f>
        <v>0</v>
      </c>
      <c r="BI101" s="49" t="n">
        <f aca="false">BI99*$F22*(BI$4&lt;=In_COD)</f>
        <v>0</v>
      </c>
      <c r="BJ101" s="49" t="n">
        <f aca="false">BJ99*$F22*(BJ$4&lt;=In_COD)</f>
        <v>0</v>
      </c>
      <c r="BK101" s="49" t="n">
        <f aca="false">BK99*$F22*(BK$4&lt;=In_COD)</f>
        <v>0</v>
      </c>
      <c r="BL101" s="49" t="n">
        <f aca="false">BL99*$F22*(BL$4&lt;=In_COD)</f>
        <v>0</v>
      </c>
      <c r="BM101" s="49" t="n">
        <f aca="false">BM99*$F22*(BM$4&lt;=In_COD)</f>
        <v>0</v>
      </c>
      <c r="BN101" s="49" t="n">
        <f aca="false">BN99*$F22*(BN$4&lt;=In_COD)</f>
        <v>0</v>
      </c>
      <c r="BO101" s="49" t="n">
        <f aca="false">BO99*$F22*(BO$4&lt;=In_COD)</f>
        <v>0</v>
      </c>
      <c r="BP101" s="49" t="n">
        <f aca="false">BP99*$F22*(BP$4&lt;=In_COD)</f>
        <v>0</v>
      </c>
      <c r="BQ101" s="49" t="n">
        <f aca="false">BQ99*$F22*(BQ$4&lt;=In_COD)</f>
        <v>0</v>
      </c>
      <c r="BR101" s="49" t="n">
        <f aca="false">BR99*$F22*(BR$4&lt;=In_COD)</f>
        <v>0</v>
      </c>
      <c r="BS101" s="49" t="n">
        <f aca="false">BS99*$F22*(BS$4&lt;=In_COD)</f>
        <v>0</v>
      </c>
      <c r="BT101" s="49" t="n">
        <f aca="false">BT99*$F22*(BT$4&lt;=In_COD)</f>
        <v>0</v>
      </c>
      <c r="BU101" s="49" t="n">
        <f aca="false">BU99*$F22*(BU$4&lt;=In_COD)</f>
        <v>0</v>
      </c>
      <c r="BV101" s="49" t="n">
        <f aca="false">BV99*$F22*(BV$4&lt;=In_COD)</f>
        <v>0</v>
      </c>
      <c r="BW101" s="49" t="n">
        <f aca="false">BW99*$F22*(BW$4&lt;=In_COD)</f>
        <v>0</v>
      </c>
      <c r="BX101" s="49" t="n">
        <f aca="false">BX99*$F22*(BX$4&lt;=In_COD)</f>
        <v>0</v>
      </c>
      <c r="BY101" s="49" t="n">
        <f aca="false">BY99*$F22*(BY$4&lt;=In_COD)</f>
        <v>0</v>
      </c>
      <c r="BZ101" s="49" t="n">
        <f aca="false">BZ99*$F22*(BZ$4&lt;=In_COD)</f>
        <v>0</v>
      </c>
      <c r="CA101" s="49" t="n">
        <f aca="false">CA99*$F22*(CA$4&lt;=In_COD)</f>
        <v>0</v>
      </c>
      <c r="CB101" s="49" t="n">
        <f aca="false">CB99*$F22*(CB$4&lt;=In_COD)</f>
        <v>0</v>
      </c>
      <c r="CC101" s="49" t="n">
        <f aca="false">CC99*$F22*(CC$4&lt;=In_COD)</f>
        <v>0</v>
      </c>
      <c r="CD101" s="49" t="n">
        <f aca="false">CD99*$F22*(CD$4&lt;=In_COD)</f>
        <v>0</v>
      </c>
      <c r="CE101" s="49" t="n">
        <f aca="false">CE99*$F22*(CE$4&lt;=In_COD)</f>
        <v>0</v>
      </c>
      <c r="CF101" s="49" t="n">
        <f aca="false">CF99*$F22*(CF$4&lt;=In_COD)</f>
        <v>0</v>
      </c>
      <c r="CG101" s="49" t="n">
        <f aca="false">CG99*$F22*(CG$4&lt;=In_COD)</f>
        <v>0</v>
      </c>
      <c r="CH101" s="49" t="n">
        <f aca="false">CH99*$F22*(CH$4&lt;=In_COD)</f>
        <v>0</v>
      </c>
      <c r="CI101" s="49" t="n">
        <f aca="false">CI99*$F22*(CI$4&lt;=In_COD)</f>
        <v>0</v>
      </c>
      <c r="CJ101" s="49" t="n">
        <f aca="false">CJ99*$F22*(CJ$4&lt;=In_COD)</f>
        <v>0</v>
      </c>
      <c r="CK101" s="49" t="n">
        <f aca="false">CK99*$F22*(CK$4&lt;=In_COD)</f>
        <v>0</v>
      </c>
      <c r="CL101" s="49" t="n">
        <f aca="false">CL99*$F22*(CL$4&lt;=In_COD)</f>
        <v>0</v>
      </c>
      <c r="CM101" s="49" t="n">
        <f aca="false">CM99*$F22*(CM$4&lt;=In_COD)</f>
        <v>0</v>
      </c>
      <c r="CN101" s="49" t="n">
        <f aca="false">CN99*$F22*(CN$4&lt;=In_COD)</f>
        <v>0</v>
      </c>
      <c r="CO101" s="49" t="n">
        <f aca="false">CO99*$F22*(CO$4&lt;=In_COD)</f>
        <v>0</v>
      </c>
      <c r="CP101" s="49" t="n">
        <f aca="false">CP99*$F22*(CP$4&lt;=In_COD)</f>
        <v>0</v>
      </c>
      <c r="CQ101" s="49" t="n">
        <f aca="false">CQ99*$F22*(CQ$4&lt;=In_COD)</f>
        <v>0</v>
      </c>
      <c r="CR101" s="49" t="n">
        <f aca="false">CR99*$F22*(CR$4&lt;=In_COD)</f>
        <v>0</v>
      </c>
      <c r="CS101" s="49" t="n">
        <f aca="false">CS99*$F22*(CS$4&lt;=In_COD)</f>
        <v>0</v>
      </c>
      <c r="CT101" s="49" t="n">
        <f aca="false">CT99*$F22*(CT$4&lt;=In_COD)</f>
        <v>0</v>
      </c>
      <c r="CU101" s="49" t="n">
        <f aca="false">CU99*$F22*(CU$4&lt;=In_COD)</f>
        <v>0</v>
      </c>
      <c r="CV101" s="49" t="n">
        <f aca="false">CV99*$F22*(CV$4&lt;=In_COD)</f>
        <v>0</v>
      </c>
      <c r="CW101" s="49" t="n">
        <f aca="false">CW99*$F22*(CW$4&lt;=In_COD)</f>
        <v>0</v>
      </c>
      <c r="CX101" s="49" t="n">
        <f aca="false">CX99*$F22*(CX$4&lt;=In_COD)</f>
        <v>0</v>
      </c>
      <c r="CY101" s="49" t="n">
        <f aca="false">CY99*$F22*(CY$4&lt;=In_COD)</f>
        <v>0</v>
      </c>
      <c r="CZ101" s="49" t="n">
        <f aca="false">CZ99*$F22*(CZ$4&lt;=In_COD)</f>
        <v>0</v>
      </c>
      <c r="DA101" s="49" t="n">
        <f aca="false">DA99*$F22*(DA$4&lt;=In_COD)</f>
        <v>0</v>
      </c>
      <c r="DB101" s="49" t="n">
        <f aca="false">DB99*$F22*(DB$4&lt;=In_COD)</f>
        <v>0</v>
      </c>
      <c r="DC101" s="49" t="n">
        <f aca="false">DC99*$F22*(DC$4&lt;=In_COD)</f>
        <v>0</v>
      </c>
      <c r="DD101" s="49" t="n">
        <f aca="false">DD99*$F22*(DD$4&lt;=In_COD)</f>
        <v>0</v>
      </c>
      <c r="DE101" s="49" t="n">
        <f aca="false">DE99*$F22*(DE$4&lt;=In_COD)</f>
        <v>0</v>
      </c>
      <c r="DF101" s="49" t="n">
        <f aca="false">DF99*$F22*(DF$4&lt;=In_COD)</f>
        <v>0</v>
      </c>
      <c r="DG101" s="49" t="n">
        <f aca="false">DG99*$F22*(DG$4&lt;=In_COD)</f>
        <v>0</v>
      </c>
      <c r="DH101" s="49" t="n">
        <f aca="false">DH99*$F22*(DH$4&lt;=In_COD)</f>
        <v>0</v>
      </c>
      <c r="DI101" s="49" t="n">
        <f aca="false">DI99*$F22*(DI$4&lt;=In_COD)</f>
        <v>0</v>
      </c>
      <c r="DJ101" s="49" t="n">
        <f aca="false">DJ99*$F22*(DJ$4&lt;=In_COD)</f>
        <v>0</v>
      </c>
      <c r="DK101" s="49" t="n">
        <f aca="false">DK99*$F22*(DK$4&lt;=In_COD)</f>
        <v>0</v>
      </c>
      <c r="DL101" s="49" t="n">
        <f aca="false">DL99*$F22*(DL$4&lt;=In_COD)</f>
        <v>0</v>
      </c>
      <c r="DM101" s="49" t="n">
        <f aca="false">DM99*$F22*(DM$4&lt;=In_COD)</f>
        <v>0</v>
      </c>
      <c r="DN101" s="49" t="n">
        <f aca="false">DN99*$F22*(DN$4&lt;=In_COD)</f>
        <v>0</v>
      </c>
      <c r="DO101" s="49" t="n">
        <f aca="false">DO99*$F22*(DO$4&lt;=In_COD)</f>
        <v>0</v>
      </c>
      <c r="DP101" s="49" t="n">
        <f aca="false">DP99*$F22*(DP$4&lt;=In_COD)</f>
        <v>0</v>
      </c>
      <c r="DQ101" s="49" t="n">
        <f aca="false">DQ99*$F22*(DQ$4&lt;=In_COD)</f>
        <v>0</v>
      </c>
      <c r="DR101" s="49" t="n">
        <f aca="false">DR99*$F22*(DR$4&lt;=In_COD)</f>
        <v>0</v>
      </c>
      <c r="DS101" s="49" t="n">
        <f aca="false">DS99*$F22*(DS$4&lt;=In_COD)</f>
        <v>0</v>
      </c>
      <c r="DT101" s="49" t="n">
        <f aca="false">DT99*$F22*(DT$4&lt;=In_COD)</f>
        <v>0</v>
      </c>
      <c r="DU101" s="49" t="n">
        <f aca="false">DU99*$F22*(DU$4&lt;=In_COD)</f>
        <v>0</v>
      </c>
      <c r="DV101" s="49" t="n">
        <f aca="false">DV99*$F22*(DV$4&lt;=In_COD)</f>
        <v>0</v>
      </c>
      <c r="DW101" s="49" t="n">
        <f aca="false">DW99*$F22*(DW$4&lt;=In_COD)</f>
        <v>0</v>
      </c>
      <c r="DX101" s="49" t="n">
        <f aca="false">DX99*$F22*(DX$4&lt;=In_COD)</f>
        <v>0</v>
      </c>
      <c r="DY101" s="49" t="n">
        <f aca="false">DY99*$F22*(DY$4&lt;=In_COD)</f>
        <v>0</v>
      </c>
      <c r="DZ101" s="49" t="n">
        <f aca="false">DZ99*$F22*(DZ$4&lt;=In_COD)</f>
        <v>0</v>
      </c>
      <c r="EA101" s="49" t="n">
        <f aca="false">EA99*$F22*(EA$4&lt;=In_COD)</f>
        <v>0</v>
      </c>
      <c r="EB101" s="49" t="n">
        <f aca="false">EB99*$F22*(EB$4&lt;=In_COD)</f>
        <v>0</v>
      </c>
      <c r="EC101" s="49" t="n">
        <f aca="false">EC99*$F22*(EC$4&lt;=In_COD)</f>
        <v>0</v>
      </c>
      <c r="ED101" s="49" t="n">
        <f aca="false">ED99*$F22*(ED$4&lt;=In_COD)</f>
        <v>0</v>
      </c>
      <c r="EE101" s="49" t="n">
        <f aca="false">EE99*$F22*(EE$4&lt;=In_COD)</f>
        <v>0</v>
      </c>
      <c r="EF101" s="49" t="n">
        <f aca="false">EF99*$F22*(EF$4&lt;=In_COD)</f>
        <v>0</v>
      </c>
      <c r="EG101" s="49" t="n">
        <f aca="false">EG99*$F22*(EG$4&lt;=In_COD)</f>
        <v>0</v>
      </c>
      <c r="EH101" s="49" t="n">
        <f aca="false">EH99*$F22*(EH$4&lt;=In_COD)</f>
        <v>0</v>
      </c>
      <c r="EI101" s="49" t="n">
        <f aca="false">EI99*$F22*(EI$4&lt;=In_COD)</f>
        <v>0</v>
      </c>
      <c r="EJ101" s="49" t="n">
        <f aca="false">EJ99*$F22*(EJ$4&lt;=In_COD)</f>
        <v>0</v>
      </c>
      <c r="EK101" s="49" t="n">
        <f aca="false">EK99*$F22*(EK$4&lt;=In_COD)</f>
        <v>0</v>
      </c>
      <c r="EL101" s="49" t="n">
        <f aca="false">EL99*$F22*(EL$4&lt;=In_COD)</f>
        <v>0</v>
      </c>
      <c r="EM101" s="49" t="n">
        <f aca="false">EM99*$F22*(EM$4&lt;=In_COD)</f>
        <v>0</v>
      </c>
      <c r="EN101" s="49" t="n">
        <f aca="false">EN99*$F22*(EN$4&lt;=In_COD)</f>
        <v>0</v>
      </c>
      <c r="EO101" s="49" t="n">
        <f aca="false">EO99*$F22*(EO$4&lt;=In_COD)</f>
        <v>0</v>
      </c>
    </row>
    <row r="102" customFormat="false" ht="15" hidden="false" customHeight="false" outlineLevel="0" collapsed="false">
      <c r="C102" s="1" t="s">
        <v>500</v>
      </c>
      <c r="D102" s="12" t="s">
        <v>33</v>
      </c>
      <c r="I102" s="49" t="n">
        <f aca="false">SUM(J102:EO102)</f>
        <v>-43397.3364285807</v>
      </c>
      <c r="J102" s="49" t="n">
        <f aca="false">J95+J97</f>
        <v>0</v>
      </c>
      <c r="K102" s="49" t="n">
        <f aca="false">K95+K97</f>
        <v>0</v>
      </c>
      <c r="L102" s="49" t="n">
        <f aca="false">L95+L97</f>
        <v>0</v>
      </c>
      <c r="M102" s="49" t="n">
        <f aca="false">M95+M97</f>
        <v>0</v>
      </c>
      <c r="N102" s="49" t="n">
        <f aca="false">N95+N97</f>
        <v>0</v>
      </c>
      <c r="O102" s="49" t="n">
        <f aca="false">O95+O97</f>
        <v>0</v>
      </c>
      <c r="P102" s="49" t="n">
        <f aca="false">P95+P97</f>
        <v>0</v>
      </c>
      <c r="Q102" s="49" t="n">
        <f aca="false">Q95+Q97</f>
        <v>0</v>
      </c>
      <c r="R102" s="49" t="n">
        <f aca="false">R95+R97</f>
        <v>0</v>
      </c>
      <c r="S102" s="49" t="n">
        <f aca="false">S95+S97</f>
        <v>0</v>
      </c>
      <c r="T102" s="49" t="n">
        <f aca="false">T95+T97</f>
        <v>0</v>
      </c>
      <c r="U102" s="49" t="n">
        <f aca="false">U95+U97</f>
        <v>0</v>
      </c>
      <c r="V102" s="49" t="n">
        <f aca="false">V95+V97</f>
        <v>0</v>
      </c>
      <c r="W102" s="49" t="n">
        <f aca="false">W95+W97</f>
        <v>0</v>
      </c>
      <c r="X102" s="49" t="n">
        <f aca="false">X95+X97</f>
        <v>0</v>
      </c>
      <c r="Y102" s="49" t="n">
        <f aca="false">Y95+Y97</f>
        <v>0</v>
      </c>
      <c r="Z102" s="49" t="n">
        <f aca="false">Z95+Z97</f>
        <v>-489.952894212865</v>
      </c>
      <c r="AA102" s="49" t="n">
        <f aca="false">AA95+AA97</f>
        <v>-496.077305390526</v>
      </c>
      <c r="AB102" s="49" t="n">
        <f aca="false">AB95+AB97</f>
        <v>-502.278271707908</v>
      </c>
      <c r="AC102" s="49" t="n">
        <f aca="false">AC95+AC97</f>
        <v>-508.556750104257</v>
      </c>
      <c r="AD102" s="49" t="n">
        <f aca="false">AD95+AD97</f>
        <v>-514.91370948056</v>
      </c>
      <c r="AE102" s="49" t="n">
        <f aca="false">AE95+AE97</f>
        <v>-521.350130849067</v>
      </c>
      <c r="AF102" s="49" t="n">
        <f aca="false">AF95+AF97</f>
        <v>-527.86700748468</v>
      </c>
      <c r="AG102" s="49" t="n">
        <f aca="false">AG95+AG97</f>
        <v>-534.465345078239</v>
      </c>
      <c r="AH102" s="49" t="n">
        <f aca="false">AH95+AH97</f>
        <v>-541.146161891717</v>
      </c>
      <c r="AI102" s="49" t="n">
        <f aca="false">AI95+AI97</f>
        <v>-547.910488915363</v>
      </c>
      <c r="AJ102" s="49" t="n">
        <f aca="false">AJ95+AJ97</f>
        <v>-554.759370026805</v>
      </c>
      <c r="AK102" s="49" t="n">
        <f aca="false">AK95+AK97</f>
        <v>-561.69386215214</v>
      </c>
      <c r="AL102" s="49" t="n">
        <f aca="false">AL95+AL97</f>
        <v>-568.715035429042</v>
      </c>
      <c r="AM102" s="49" t="n">
        <f aca="false">AM95+AM97</f>
        <v>-575.823973371905</v>
      </c>
      <c r="AN102" s="49" t="n">
        <f aca="false">AN95+AN97</f>
        <v>-583.021773039054</v>
      </c>
      <c r="AO102" s="49" t="n">
        <f aca="false">AO95+AO97</f>
        <v>-590.309545202042</v>
      </c>
      <c r="AP102" s="49" t="n">
        <f aca="false">AP95+AP97</f>
        <v>-597.688414517067</v>
      </c>
      <c r="AQ102" s="49" t="n">
        <f aca="false">AQ95+AQ97</f>
        <v>-605.159519698531</v>
      </c>
      <c r="AR102" s="49" t="n">
        <f aca="false">AR95+AR97</f>
        <v>-612.724013694762</v>
      </c>
      <c r="AS102" s="49" t="n">
        <f aca="false">AS95+AS97</f>
        <v>-620.383063865947</v>
      </c>
      <c r="AT102" s="49" t="n">
        <f aca="false">AT95+AT97</f>
        <v>-628.137852164271</v>
      </c>
      <c r="AU102" s="49" t="n">
        <f aca="false">AU95+AU97</f>
        <v>-635.989575316325</v>
      </c>
      <c r="AV102" s="49" t="n">
        <f aca="false">AV95+AV97</f>
        <v>-643.939445007779</v>
      </c>
      <c r="AW102" s="49" t="n">
        <f aca="false">AW95+AW97</f>
        <v>-651.988688070376</v>
      </c>
      <c r="AX102" s="49" t="n">
        <f aca="false">AX95+AX97</f>
        <v>-660.138546671256</v>
      </c>
      <c r="AY102" s="49" t="n">
        <f aca="false">AY95+AY97</f>
        <v>-668.390278504646</v>
      </c>
      <c r="AZ102" s="49" t="n">
        <f aca="false">AZ95+AZ97</f>
        <v>-676.745156985954</v>
      </c>
      <c r="BA102" s="49" t="n">
        <f aca="false">BA95+BA97</f>
        <v>-685.204471448279</v>
      </c>
      <c r="BB102" s="49" t="n">
        <f aca="false">BB95+BB97</f>
        <v>-693.769527341382</v>
      </c>
      <c r="BC102" s="49" t="n">
        <f aca="false">BC95+BC97</f>
        <v>-702.44164643315</v>
      </c>
      <c r="BD102" s="49" t="n">
        <f aca="false">BD95+BD97</f>
        <v>-711.222167013564</v>
      </c>
      <c r="BE102" s="49" t="n">
        <f aca="false">BE95+BE97</f>
        <v>-720.112444101234</v>
      </c>
      <c r="BF102" s="49" t="n">
        <f aca="false">BF95+BF97</f>
        <v>-729.113849652499</v>
      </c>
      <c r="BG102" s="49" t="n">
        <f aca="false">BG95+BG97</f>
        <v>-738.227772773155</v>
      </c>
      <c r="BH102" s="49" t="n">
        <f aca="false">BH95+BH97</f>
        <v>-747.45561993282</v>
      </c>
      <c r="BI102" s="49" t="n">
        <f aca="false">BI95+BI97</f>
        <v>-756.79881518198</v>
      </c>
      <c r="BJ102" s="49" t="n">
        <f aca="false">BJ95+BJ97</f>
        <v>-766.258800371755</v>
      </c>
      <c r="BK102" s="49" t="n">
        <f aca="false">BK95+BK97</f>
        <v>-775.837035376401</v>
      </c>
      <c r="BL102" s="49" t="n">
        <f aca="false">BL95+BL97</f>
        <v>-785.534998318607</v>
      </c>
      <c r="BM102" s="49" t="n">
        <f aca="false">BM95+BM97</f>
        <v>-795.354185797589</v>
      </c>
      <c r="BN102" s="49" t="n">
        <f aca="false">BN95+BN97</f>
        <v>-805.296113120059</v>
      </c>
      <c r="BO102" s="49" t="n">
        <f aca="false">BO95+BO97</f>
        <v>-815.36231453406</v>
      </c>
      <c r="BP102" s="49" t="n">
        <f aca="false">BP95+BP97</f>
        <v>-825.554343465735</v>
      </c>
      <c r="BQ102" s="49" t="n">
        <f aca="false">BQ95+BQ97</f>
        <v>-835.873772759057</v>
      </c>
      <c r="BR102" s="49" t="n">
        <f aca="false">BR95+BR97</f>
        <v>-846.322194918545</v>
      </c>
      <c r="BS102" s="49" t="n">
        <f aca="false">BS95+BS97</f>
        <v>-856.901222355027</v>
      </c>
      <c r="BT102" s="49" t="n">
        <f aca="false">BT95+BT97</f>
        <v>-867.612487634465</v>
      </c>
      <c r="BU102" s="49" t="n">
        <f aca="false">BU95+BU97</f>
        <v>-878.457643729896</v>
      </c>
      <c r="BV102" s="49" t="n">
        <f aca="false">BV95+BV97</f>
        <v>-889.43836427652</v>
      </c>
      <c r="BW102" s="49" t="n">
        <f aca="false">BW95+BW97</f>
        <v>-900.556343829976</v>
      </c>
      <c r="BX102" s="49" t="n">
        <f aca="false">BX95+BX97</f>
        <v>-911.813298127851</v>
      </c>
      <c r="BY102" s="49" t="n">
        <f aca="false">BY95+BY97</f>
        <v>-923.210964354449</v>
      </c>
      <c r="BZ102" s="49" t="n">
        <f aca="false">BZ95+BZ97</f>
        <v>-934.75110140888</v>
      </c>
      <c r="CA102" s="49" t="n">
        <f aca="false">CA95+CA97</f>
        <v>-946.435490176491</v>
      </c>
      <c r="CB102" s="49" t="n">
        <f aca="false">CB95+CB97</f>
        <v>-958.265933803697</v>
      </c>
      <c r="CC102" s="49" t="n">
        <f aca="false">CC95+CC97</f>
        <v>-970.244257976243</v>
      </c>
      <c r="CD102" s="49" t="n">
        <f aca="false">CD95+CD97</f>
        <v>-982.372311200946</v>
      </c>
      <c r="CE102" s="49" t="n">
        <f aca="false">CE95+CE97</f>
        <v>-994.651965090958</v>
      </c>
      <c r="CF102" s="49" t="n">
        <f aca="false">CF95+CF97</f>
        <v>-1007.08511465459</v>
      </c>
      <c r="CG102" s="49" t="n">
        <f aca="false">CG95+CG97</f>
        <v>-1019.67367858776</v>
      </c>
      <c r="CH102" s="49" t="n">
        <f aca="false">CH95+CH97</f>
        <v>-0</v>
      </c>
      <c r="CI102" s="49" t="n">
        <f aca="false">CI95+CI97</f>
        <v>-0</v>
      </c>
      <c r="CJ102" s="49" t="n">
        <f aca="false">CJ95+CJ97</f>
        <v>-0</v>
      </c>
      <c r="CK102" s="49" t="n">
        <f aca="false">CK95+CK97</f>
        <v>-0</v>
      </c>
      <c r="CL102" s="49" t="n">
        <f aca="false">CL95+CL97</f>
        <v>-0</v>
      </c>
      <c r="CM102" s="49" t="n">
        <f aca="false">CM95+CM97</f>
        <v>-0</v>
      </c>
      <c r="CN102" s="49" t="n">
        <f aca="false">CN95+CN97</f>
        <v>-0</v>
      </c>
      <c r="CO102" s="49" t="n">
        <f aca="false">CO95+CO97</f>
        <v>-0</v>
      </c>
      <c r="CP102" s="49" t="n">
        <f aca="false">CP95+CP97</f>
        <v>-0</v>
      </c>
      <c r="CQ102" s="49" t="n">
        <f aca="false">CQ95+CQ97</f>
        <v>-0</v>
      </c>
      <c r="CR102" s="49" t="n">
        <f aca="false">CR95+CR97</f>
        <v>-0</v>
      </c>
      <c r="CS102" s="49" t="n">
        <f aca="false">CS95+CS97</f>
        <v>-0</v>
      </c>
      <c r="CT102" s="49" t="n">
        <f aca="false">CT95+CT97</f>
        <v>-0</v>
      </c>
      <c r="CU102" s="49" t="n">
        <f aca="false">CU95+CU97</f>
        <v>-0</v>
      </c>
      <c r="CV102" s="49" t="n">
        <f aca="false">CV95+CV97</f>
        <v>-0</v>
      </c>
      <c r="CW102" s="49" t="n">
        <f aca="false">CW95+CW97</f>
        <v>-0</v>
      </c>
      <c r="CX102" s="49" t="n">
        <f aca="false">CX95+CX97</f>
        <v>-0</v>
      </c>
      <c r="CY102" s="49" t="n">
        <f aca="false">CY95+CY97</f>
        <v>-0</v>
      </c>
      <c r="CZ102" s="49" t="n">
        <f aca="false">CZ95+CZ97</f>
        <v>-0</v>
      </c>
      <c r="DA102" s="49" t="n">
        <f aca="false">DA95+DA97</f>
        <v>-0</v>
      </c>
      <c r="DB102" s="49" t="n">
        <f aca="false">DB95+DB97</f>
        <v>-0</v>
      </c>
      <c r="DC102" s="49" t="n">
        <f aca="false">DC95+DC97</f>
        <v>-0</v>
      </c>
      <c r="DD102" s="49" t="n">
        <f aca="false">DD95+DD97</f>
        <v>-0</v>
      </c>
      <c r="DE102" s="49" t="n">
        <f aca="false">DE95+DE97</f>
        <v>-0</v>
      </c>
      <c r="DF102" s="49" t="n">
        <f aca="false">DF95+DF97</f>
        <v>-0</v>
      </c>
      <c r="DG102" s="49" t="n">
        <f aca="false">DG95+DG97</f>
        <v>-0</v>
      </c>
      <c r="DH102" s="49" t="n">
        <f aca="false">DH95+DH97</f>
        <v>-0</v>
      </c>
      <c r="DI102" s="49" t="n">
        <f aca="false">DI95+DI97</f>
        <v>-0</v>
      </c>
      <c r="DJ102" s="49" t="n">
        <f aca="false">DJ95+DJ97</f>
        <v>-0</v>
      </c>
      <c r="DK102" s="49" t="n">
        <f aca="false">DK95+DK97</f>
        <v>-0</v>
      </c>
      <c r="DL102" s="49" t="n">
        <f aca="false">DL95+DL97</f>
        <v>-0</v>
      </c>
      <c r="DM102" s="49" t="n">
        <f aca="false">DM95+DM97</f>
        <v>-0</v>
      </c>
      <c r="DN102" s="49" t="n">
        <f aca="false">DN95+DN97</f>
        <v>-0</v>
      </c>
      <c r="DO102" s="49" t="n">
        <f aca="false">DO95+DO97</f>
        <v>-0</v>
      </c>
      <c r="DP102" s="49" t="n">
        <f aca="false">DP95+DP97</f>
        <v>-0</v>
      </c>
      <c r="DQ102" s="49" t="n">
        <f aca="false">DQ95+DQ97</f>
        <v>-0</v>
      </c>
      <c r="DR102" s="49" t="n">
        <f aca="false">DR95+DR97</f>
        <v>-0</v>
      </c>
      <c r="DS102" s="49" t="n">
        <f aca="false">DS95+DS97</f>
        <v>-0</v>
      </c>
      <c r="DT102" s="49" t="n">
        <f aca="false">DT95+DT97</f>
        <v>-0</v>
      </c>
      <c r="DU102" s="49" t="n">
        <f aca="false">DU95+DU97</f>
        <v>-0</v>
      </c>
      <c r="DV102" s="49" t="n">
        <f aca="false">DV95+DV97</f>
        <v>-0</v>
      </c>
      <c r="DW102" s="49" t="n">
        <f aca="false">DW95+DW97</f>
        <v>-0</v>
      </c>
      <c r="DX102" s="49" t="n">
        <f aca="false">DX95+DX97</f>
        <v>-0</v>
      </c>
      <c r="DY102" s="49" t="n">
        <f aca="false">DY95+DY97</f>
        <v>-0</v>
      </c>
      <c r="DZ102" s="49" t="n">
        <f aca="false">DZ95+DZ97</f>
        <v>-0</v>
      </c>
      <c r="EA102" s="49" t="n">
        <f aca="false">EA95+EA97</f>
        <v>-0</v>
      </c>
      <c r="EB102" s="49" t="n">
        <f aca="false">EB95+EB97</f>
        <v>-0</v>
      </c>
      <c r="EC102" s="49" t="n">
        <f aca="false">EC95+EC97</f>
        <v>-0</v>
      </c>
      <c r="ED102" s="49" t="n">
        <f aca="false">ED95+ED97</f>
        <v>-0</v>
      </c>
      <c r="EE102" s="49" t="n">
        <f aca="false">EE95+EE97</f>
        <v>-0</v>
      </c>
      <c r="EF102" s="49" t="n">
        <f aca="false">EF95+EF97</f>
        <v>-0</v>
      </c>
      <c r="EG102" s="49" t="n">
        <f aca="false">EG95+EG97</f>
        <v>-0</v>
      </c>
      <c r="EH102" s="49" t="n">
        <f aca="false">EH95+EH97</f>
        <v>-0</v>
      </c>
      <c r="EI102" s="49" t="n">
        <f aca="false">EI95+EI97</f>
        <v>-0</v>
      </c>
      <c r="EJ102" s="49" t="n">
        <f aca="false">EJ95+EJ97</f>
        <v>-0</v>
      </c>
      <c r="EK102" s="49" t="n">
        <f aca="false">EK95+EK97</f>
        <v>-0</v>
      </c>
      <c r="EL102" s="49" t="n">
        <f aca="false">EL95+EL97</f>
        <v>-0</v>
      </c>
      <c r="EM102" s="49" t="n">
        <f aca="false">EM95+EM97</f>
        <v>-0</v>
      </c>
      <c r="EN102" s="49" t="n">
        <f aca="false">EN95+EN97</f>
        <v>-0</v>
      </c>
      <c r="EO102" s="49" t="n">
        <f aca="false">EO95+EO97</f>
        <v>-0</v>
      </c>
    </row>
    <row r="103" customFormat="false" ht="15" hidden="false" customHeight="false" outlineLevel="0" collapsed="false">
      <c r="C103" s="26" t="s">
        <v>501</v>
      </c>
      <c r="D103" s="12" t="s">
        <v>33</v>
      </c>
      <c r="E103" s="58" t="n">
        <f aca="false">SUMIF($J$4:$EO$4,In_COD,$J103:$EO103)</f>
        <v>43397.3364285807</v>
      </c>
      <c r="I103" s="60"/>
      <c r="J103" s="58" t="n">
        <f aca="false">SUM(J99:J102)</f>
        <v>0</v>
      </c>
      <c r="K103" s="58" t="n">
        <f aca="false">SUM(K99:K102)</f>
        <v>0</v>
      </c>
      <c r="L103" s="58" t="n">
        <f aca="false">SUM(L99:L102)</f>
        <v>0</v>
      </c>
      <c r="M103" s="58" t="n">
        <f aca="false">SUM(M99:M102)</f>
        <v>0</v>
      </c>
      <c r="N103" s="58" t="n">
        <f aca="false">SUM(N99:N102)</f>
        <v>0</v>
      </c>
      <c r="O103" s="58" t="n">
        <f aca="false">SUM(O99:O102)</f>
        <v>0</v>
      </c>
      <c r="P103" s="58" t="n">
        <f aca="false">SUM(P99:P102)</f>
        <v>0</v>
      </c>
      <c r="Q103" s="58" t="n">
        <f aca="false">SUM(Q99:Q102)</f>
        <v>0</v>
      </c>
      <c r="R103" s="58" t="n">
        <f aca="false">SUM(R99:R102)</f>
        <v>4485.81130136986</v>
      </c>
      <c r="S103" s="58" t="n">
        <f aca="false">SUM(S99:S102)</f>
        <v>13415.3303398973</v>
      </c>
      <c r="T103" s="58" t="n">
        <f aca="false">SUM(T99:T102)</f>
        <v>18020.0744520227</v>
      </c>
      <c r="U103" s="58" t="n">
        <f aca="false">SUM(U99:U102)</f>
        <v>22731.1366840428</v>
      </c>
      <c r="V103" s="58" t="n">
        <f aca="false">SUM(V99:V102)</f>
        <v>27501.0871939632</v>
      </c>
      <c r="W103" s="58" t="n">
        <f aca="false">SUM(W99:W102)</f>
        <v>32233.1444482713</v>
      </c>
      <c r="X103" s="58" t="n">
        <f aca="false">SUM(X99:X102)</f>
        <v>37073.1112367514</v>
      </c>
      <c r="Y103" s="58" t="n">
        <f aca="false">SUM(Y99:Y102)</f>
        <v>43397.3364285807</v>
      </c>
      <c r="Z103" s="58" t="n">
        <f aca="false">SUM(Z99:Z102)</f>
        <v>42907.3835343678</v>
      </c>
      <c r="AA103" s="58" t="n">
        <f aca="false">SUM(AA99:AA102)</f>
        <v>42411.3062289773</v>
      </c>
      <c r="AB103" s="58" t="n">
        <f aca="false">SUM(AB99:AB102)</f>
        <v>41909.0279572694</v>
      </c>
      <c r="AC103" s="58" t="n">
        <f aca="false">SUM(AC99:AC102)</f>
        <v>41400.4712071651</v>
      </c>
      <c r="AD103" s="58" t="n">
        <f aca="false">SUM(AD99:AD102)</f>
        <v>40885.5574976846</v>
      </c>
      <c r="AE103" s="58" t="n">
        <f aca="false">SUM(AE99:AE102)</f>
        <v>40364.2073668355</v>
      </c>
      <c r="AF103" s="58" t="n">
        <f aca="false">SUM(AF99:AF102)</f>
        <v>39836.3403593508</v>
      </c>
      <c r="AG103" s="58" t="n">
        <f aca="false">SUM(AG99:AG102)</f>
        <v>39301.8750142726</v>
      </c>
      <c r="AH103" s="58" t="n">
        <f aca="false">SUM(AH99:AH102)</f>
        <v>38760.7288523809</v>
      </c>
      <c r="AI103" s="58" t="n">
        <f aca="false">SUM(AI99:AI102)</f>
        <v>38212.8183634655</v>
      </c>
      <c r="AJ103" s="58" t="n">
        <f aca="false">SUM(AJ99:AJ102)</f>
        <v>37658.0589934387</v>
      </c>
      <c r="AK103" s="58" t="n">
        <f aca="false">SUM(AK99:AK102)</f>
        <v>37096.3651312866</v>
      </c>
      <c r="AL103" s="58" t="n">
        <f aca="false">SUM(AL99:AL102)</f>
        <v>36527.6500958575</v>
      </c>
      <c r="AM103" s="58" t="n">
        <f aca="false">SUM(AM99:AM102)</f>
        <v>35951.8261224856</v>
      </c>
      <c r="AN103" s="58" t="n">
        <f aca="false">SUM(AN99:AN102)</f>
        <v>35368.8043494466</v>
      </c>
      <c r="AO103" s="58" t="n">
        <f aca="false">SUM(AO99:AO102)</f>
        <v>34778.4948042445</v>
      </c>
      <c r="AP103" s="58" t="n">
        <f aca="false">SUM(AP99:AP102)</f>
        <v>34180.8063897275</v>
      </c>
      <c r="AQ103" s="58" t="n">
        <f aca="false">SUM(AQ99:AQ102)</f>
        <v>33575.6468700289</v>
      </c>
      <c r="AR103" s="58" t="n">
        <f aca="false">SUM(AR99:AR102)</f>
        <v>32962.9228563342</v>
      </c>
      <c r="AS103" s="58" t="n">
        <f aca="false">SUM(AS99:AS102)</f>
        <v>32342.5397924682</v>
      </c>
      <c r="AT103" s="58" t="n">
        <f aca="false">SUM(AT99:AT102)</f>
        <v>31714.401940304</v>
      </c>
      <c r="AU103" s="58" t="n">
        <f aca="false">SUM(AU99:AU102)</f>
        <v>31078.4123649876</v>
      </c>
      <c r="AV103" s="58" t="n">
        <f aca="false">SUM(AV99:AV102)</f>
        <v>30434.4729199798</v>
      </c>
      <c r="AW103" s="58" t="n">
        <f aca="false">SUM(AW99:AW102)</f>
        <v>29782.4842319095</v>
      </c>
      <c r="AX103" s="58" t="n">
        <f aca="false">SUM(AX99:AX102)</f>
        <v>29122.3456852382</v>
      </c>
      <c r="AY103" s="58" t="n">
        <f aca="false">SUM(AY99:AY102)</f>
        <v>28453.9554067336</v>
      </c>
      <c r="AZ103" s="58" t="n">
        <f aca="false">SUM(AZ99:AZ102)</f>
        <v>27777.2102497476</v>
      </c>
      <c r="BA103" s="58" t="n">
        <f aca="false">SUM(BA99:BA102)</f>
        <v>27092.0057782993</v>
      </c>
      <c r="BB103" s="58" t="n">
        <f aca="false">SUM(BB99:BB102)</f>
        <v>26398.236250958</v>
      </c>
      <c r="BC103" s="58" t="n">
        <f aca="false">SUM(BC99:BC102)</f>
        <v>25695.7946045248</v>
      </c>
      <c r="BD103" s="58" t="n">
        <f aca="false">SUM(BD99:BD102)</f>
        <v>24984.5724375112</v>
      </c>
      <c r="BE103" s="58" t="n">
        <f aca="false">SUM(BE99:BE102)</f>
        <v>24264.45999341</v>
      </c>
      <c r="BF103" s="58" t="n">
        <f aca="false">SUM(BF99:BF102)</f>
        <v>23535.3461437575</v>
      </c>
      <c r="BG103" s="58" t="n">
        <f aca="false">SUM(BG99:BG102)</f>
        <v>22797.1183709844</v>
      </c>
      <c r="BH103" s="58" t="n">
        <f aca="false">SUM(BH99:BH102)</f>
        <v>22049.6627510515</v>
      </c>
      <c r="BI103" s="58" t="n">
        <f aca="false">SUM(BI99:BI102)</f>
        <v>21292.8639358696</v>
      </c>
      <c r="BJ103" s="58" t="n">
        <f aca="false">SUM(BJ99:BJ102)</f>
        <v>20526.6051354978</v>
      </c>
      <c r="BK103" s="58" t="n">
        <f aca="false">SUM(BK99:BK102)</f>
        <v>19750.7681001214</v>
      </c>
      <c r="BL103" s="58" t="n">
        <f aca="false">SUM(BL99:BL102)</f>
        <v>18965.2331018028</v>
      </c>
      <c r="BM103" s="58" t="n">
        <f aca="false">SUM(BM99:BM102)</f>
        <v>18169.8789160052</v>
      </c>
      <c r="BN103" s="58" t="n">
        <f aca="false">SUM(BN99:BN102)</f>
        <v>17364.5828028852</v>
      </c>
      <c r="BO103" s="58" t="n">
        <f aca="false">SUM(BO99:BO102)</f>
        <v>16549.2204883511</v>
      </c>
      <c r="BP103" s="58" t="n">
        <f aca="false">SUM(BP99:BP102)</f>
        <v>15723.6661448854</v>
      </c>
      <c r="BQ103" s="58" t="n">
        <f aca="false">SUM(BQ99:BQ102)</f>
        <v>14887.7923721263</v>
      </c>
      <c r="BR103" s="58" t="n">
        <f aca="false">SUM(BR99:BR102)</f>
        <v>14041.4701772078</v>
      </c>
      <c r="BS103" s="58" t="n">
        <f aca="false">SUM(BS99:BS102)</f>
        <v>13184.5689548527</v>
      </c>
      <c r="BT103" s="58" t="n">
        <f aca="false">SUM(BT99:BT102)</f>
        <v>12316.9564672183</v>
      </c>
      <c r="BU103" s="58" t="n">
        <f aca="false">SUM(BU99:BU102)</f>
        <v>11438.4988234884</v>
      </c>
      <c r="BV103" s="58" t="n">
        <f aca="false">SUM(BV99:BV102)</f>
        <v>10549.0604592118</v>
      </c>
      <c r="BW103" s="58" t="n">
        <f aca="false">SUM(BW99:BW102)</f>
        <v>9648.50411538187</v>
      </c>
      <c r="BX103" s="58" t="n">
        <f aca="false">SUM(BX99:BX102)</f>
        <v>8736.69081725402</v>
      </c>
      <c r="BY103" s="58" t="n">
        <f aca="false">SUM(BY99:BY102)</f>
        <v>7813.47985289957</v>
      </c>
      <c r="BZ103" s="58" t="n">
        <f aca="false">SUM(BZ99:BZ102)</f>
        <v>6878.72875149069</v>
      </c>
      <c r="CA103" s="58" t="n">
        <f aca="false">SUM(CA99:CA102)</f>
        <v>5932.2932613142</v>
      </c>
      <c r="CB103" s="58" t="n">
        <f aca="false">SUM(CB99:CB102)</f>
        <v>4974.0273275105</v>
      </c>
      <c r="CC103" s="58" t="n">
        <f aca="false">SUM(CC99:CC102)</f>
        <v>4003.78306953426</v>
      </c>
      <c r="CD103" s="58" t="n">
        <f aca="false">SUM(CD99:CD102)</f>
        <v>3021.41075833331</v>
      </c>
      <c r="CE103" s="58" t="n">
        <f aca="false">SUM(CE99:CE102)</f>
        <v>2026.75879324235</v>
      </c>
      <c r="CF103" s="58" t="n">
        <f aca="false">SUM(CF99:CF102)</f>
        <v>1019.67367858776</v>
      </c>
      <c r="CG103" s="58" t="n">
        <f aca="false">SUM(CG99:CG102)</f>
        <v>0</v>
      </c>
      <c r="CH103" s="58" t="n">
        <f aca="false">SUM(CH99:CH102)</f>
        <v>0</v>
      </c>
      <c r="CI103" s="58" t="n">
        <f aca="false">SUM(CI99:CI102)</f>
        <v>0</v>
      </c>
      <c r="CJ103" s="58" t="n">
        <f aca="false">SUM(CJ99:CJ102)</f>
        <v>0</v>
      </c>
      <c r="CK103" s="58" t="n">
        <f aca="false">SUM(CK99:CK102)</f>
        <v>0</v>
      </c>
      <c r="CL103" s="58" t="n">
        <f aca="false">SUM(CL99:CL102)</f>
        <v>0</v>
      </c>
      <c r="CM103" s="58" t="n">
        <f aca="false">SUM(CM99:CM102)</f>
        <v>0</v>
      </c>
      <c r="CN103" s="58" t="n">
        <f aca="false">SUM(CN99:CN102)</f>
        <v>0</v>
      </c>
      <c r="CO103" s="58" t="n">
        <f aca="false">SUM(CO99:CO102)</f>
        <v>0</v>
      </c>
      <c r="CP103" s="58" t="n">
        <f aca="false">SUM(CP99:CP102)</f>
        <v>0</v>
      </c>
      <c r="CQ103" s="58" t="n">
        <f aca="false">SUM(CQ99:CQ102)</f>
        <v>0</v>
      </c>
      <c r="CR103" s="58" t="n">
        <f aca="false">SUM(CR99:CR102)</f>
        <v>0</v>
      </c>
      <c r="CS103" s="58" t="n">
        <f aca="false">SUM(CS99:CS102)</f>
        <v>0</v>
      </c>
      <c r="CT103" s="58" t="n">
        <f aca="false">SUM(CT99:CT102)</f>
        <v>0</v>
      </c>
      <c r="CU103" s="58" t="n">
        <f aca="false">SUM(CU99:CU102)</f>
        <v>0</v>
      </c>
      <c r="CV103" s="58" t="n">
        <f aca="false">SUM(CV99:CV102)</f>
        <v>0</v>
      </c>
      <c r="CW103" s="58" t="n">
        <f aca="false">SUM(CW99:CW102)</f>
        <v>0</v>
      </c>
      <c r="CX103" s="58" t="n">
        <f aca="false">SUM(CX99:CX102)</f>
        <v>0</v>
      </c>
      <c r="CY103" s="58" t="n">
        <f aca="false">SUM(CY99:CY102)</f>
        <v>0</v>
      </c>
      <c r="CZ103" s="58" t="n">
        <f aca="false">SUM(CZ99:CZ102)</f>
        <v>0</v>
      </c>
      <c r="DA103" s="58" t="n">
        <f aca="false">SUM(DA99:DA102)</f>
        <v>0</v>
      </c>
      <c r="DB103" s="58" t="n">
        <f aca="false">SUM(DB99:DB102)</f>
        <v>0</v>
      </c>
      <c r="DC103" s="58" t="n">
        <f aca="false">SUM(DC99:DC102)</f>
        <v>0</v>
      </c>
      <c r="DD103" s="58" t="n">
        <f aca="false">SUM(DD99:DD102)</f>
        <v>0</v>
      </c>
      <c r="DE103" s="58" t="n">
        <f aca="false">SUM(DE99:DE102)</f>
        <v>0</v>
      </c>
      <c r="DF103" s="58" t="n">
        <f aca="false">SUM(DF99:DF102)</f>
        <v>0</v>
      </c>
      <c r="DG103" s="58" t="n">
        <f aca="false">SUM(DG99:DG102)</f>
        <v>0</v>
      </c>
      <c r="DH103" s="58" t="n">
        <f aca="false">SUM(DH99:DH102)</f>
        <v>0</v>
      </c>
      <c r="DI103" s="58" t="n">
        <f aca="false">SUM(DI99:DI102)</f>
        <v>0</v>
      </c>
      <c r="DJ103" s="58" t="n">
        <f aca="false">SUM(DJ99:DJ102)</f>
        <v>0</v>
      </c>
      <c r="DK103" s="58" t="n">
        <f aca="false">SUM(DK99:DK102)</f>
        <v>0</v>
      </c>
      <c r="DL103" s="58" t="n">
        <f aca="false">SUM(DL99:DL102)</f>
        <v>0</v>
      </c>
      <c r="DM103" s="58" t="n">
        <f aca="false">SUM(DM99:DM102)</f>
        <v>0</v>
      </c>
      <c r="DN103" s="58" t="n">
        <f aca="false">SUM(DN99:DN102)</f>
        <v>0</v>
      </c>
      <c r="DO103" s="58" t="n">
        <f aca="false">SUM(DO99:DO102)</f>
        <v>0</v>
      </c>
      <c r="DP103" s="58" t="n">
        <f aca="false">SUM(DP99:DP102)</f>
        <v>0</v>
      </c>
      <c r="DQ103" s="58" t="n">
        <f aca="false">SUM(DQ99:DQ102)</f>
        <v>0</v>
      </c>
      <c r="DR103" s="58" t="n">
        <f aca="false">SUM(DR99:DR102)</f>
        <v>0</v>
      </c>
      <c r="DS103" s="58" t="n">
        <f aca="false">SUM(DS99:DS102)</f>
        <v>0</v>
      </c>
      <c r="DT103" s="58" t="n">
        <f aca="false">SUM(DT99:DT102)</f>
        <v>0</v>
      </c>
      <c r="DU103" s="58" t="n">
        <f aca="false">SUM(DU99:DU102)</f>
        <v>0</v>
      </c>
      <c r="DV103" s="58" t="n">
        <f aca="false">SUM(DV99:DV102)</f>
        <v>0</v>
      </c>
      <c r="DW103" s="58" t="n">
        <f aca="false">SUM(DW99:DW102)</f>
        <v>0</v>
      </c>
      <c r="DX103" s="58" t="n">
        <f aca="false">SUM(DX99:DX102)</f>
        <v>0</v>
      </c>
      <c r="DY103" s="58" t="n">
        <f aca="false">SUM(DY99:DY102)</f>
        <v>0</v>
      </c>
      <c r="DZ103" s="58" t="n">
        <f aca="false">SUM(DZ99:DZ102)</f>
        <v>0</v>
      </c>
      <c r="EA103" s="58" t="n">
        <f aca="false">SUM(EA99:EA102)</f>
        <v>0</v>
      </c>
      <c r="EB103" s="58" t="n">
        <f aca="false">SUM(EB99:EB102)</f>
        <v>0</v>
      </c>
      <c r="EC103" s="58" t="n">
        <f aca="false">SUM(EC99:EC102)</f>
        <v>0</v>
      </c>
      <c r="ED103" s="58" t="n">
        <f aca="false">SUM(ED99:ED102)</f>
        <v>0</v>
      </c>
      <c r="EE103" s="58" t="n">
        <f aca="false">SUM(EE99:EE102)</f>
        <v>0</v>
      </c>
      <c r="EF103" s="58" t="n">
        <f aca="false">SUM(EF99:EF102)</f>
        <v>0</v>
      </c>
      <c r="EG103" s="58" t="n">
        <f aca="false">SUM(EG99:EG102)</f>
        <v>0</v>
      </c>
      <c r="EH103" s="58" t="n">
        <f aca="false">SUM(EH99:EH102)</f>
        <v>0</v>
      </c>
      <c r="EI103" s="58" t="n">
        <f aca="false">SUM(EI99:EI102)</f>
        <v>0</v>
      </c>
      <c r="EJ103" s="58" t="n">
        <f aca="false">SUM(EJ99:EJ102)</f>
        <v>0</v>
      </c>
      <c r="EK103" s="58" t="n">
        <f aca="false">SUM(EK99:EK102)</f>
        <v>0</v>
      </c>
      <c r="EL103" s="58" t="n">
        <f aca="false">SUM(EL99:EL102)</f>
        <v>0</v>
      </c>
      <c r="EM103" s="58" t="n">
        <f aca="false">SUM(EM99:EM102)</f>
        <v>0</v>
      </c>
      <c r="EN103" s="58" t="n">
        <f aca="false">SUM(EN99:EN102)</f>
        <v>0</v>
      </c>
      <c r="EO103" s="58" t="n">
        <f aca="false">SUM(EO99:EO102)</f>
        <v>0</v>
      </c>
    </row>
    <row r="104" customFormat="false" ht="15" hidden="false" customHeight="false" outlineLevel="0" collapsed="false">
      <c r="C104" s="1" t="s">
        <v>502</v>
      </c>
      <c r="D104" s="12" t="s">
        <v>33</v>
      </c>
      <c r="I104" s="49" t="n">
        <f aca="false">SUM(J104:EO104)</f>
        <v>-759.453387500162</v>
      </c>
      <c r="J104" s="49" t="n">
        <f aca="false">-In_Upfront_Fee*$E103*(J99=0)*(J100&gt;0)</f>
        <v>-0</v>
      </c>
      <c r="K104" s="49" t="n">
        <f aca="false">-In_Upfront_Fee*$E103*(K99=0)*(K100&gt;0)</f>
        <v>-0</v>
      </c>
      <c r="L104" s="49" t="n">
        <f aca="false">-In_Upfront_Fee*$E103*(L99=0)*(L100&gt;0)</f>
        <v>-0</v>
      </c>
      <c r="M104" s="49" t="n">
        <f aca="false">-In_Upfront_Fee*$E103*(M99=0)*(M100&gt;0)</f>
        <v>-0</v>
      </c>
      <c r="N104" s="49" t="n">
        <f aca="false">-In_Upfront_Fee*$E103*(N99=0)*(N100&gt;0)</f>
        <v>-0</v>
      </c>
      <c r="O104" s="49" t="n">
        <f aca="false">-In_Upfront_Fee*$E103*(O99=0)*(O100&gt;0)</f>
        <v>-0</v>
      </c>
      <c r="P104" s="49" t="n">
        <f aca="false">-In_Upfront_Fee*$E103*(P99=0)*(P100&gt;0)</f>
        <v>-0</v>
      </c>
      <c r="Q104" s="49" t="n">
        <f aca="false">-In_Upfront_Fee*$E103*(Q99=0)*(Q100&gt;0)</f>
        <v>-0</v>
      </c>
      <c r="R104" s="49" t="n">
        <f aca="false">-In_Upfront_Fee*$E103*(R99=0)*(R100&gt;0)</f>
        <v>-759.453387500162</v>
      </c>
      <c r="S104" s="49" t="n">
        <f aca="false">-In_Upfront_Fee*$E103*(S99=0)*(S100&gt;0)</f>
        <v>-0</v>
      </c>
      <c r="T104" s="49" t="n">
        <f aca="false">-In_Upfront_Fee*$E103*(T99=0)*(T100&gt;0)</f>
        <v>-0</v>
      </c>
      <c r="U104" s="49" t="n">
        <f aca="false">-In_Upfront_Fee*$E103*(U99=0)*(U100&gt;0)</f>
        <v>-0</v>
      </c>
      <c r="V104" s="49" t="n">
        <f aca="false">-In_Upfront_Fee*$E103*(V99=0)*(V100&gt;0)</f>
        <v>-0</v>
      </c>
      <c r="W104" s="49" t="n">
        <f aca="false">-In_Upfront_Fee*$E103*(W99=0)*(W100&gt;0)</f>
        <v>-0</v>
      </c>
      <c r="X104" s="49" t="n">
        <f aca="false">-In_Upfront_Fee*$E103*(X99=0)*(X100&gt;0)</f>
        <v>-0</v>
      </c>
      <c r="Y104" s="49" t="n">
        <f aca="false">-In_Upfront_Fee*$E103*(Y99=0)*(Y100&gt;0)</f>
        <v>-0</v>
      </c>
      <c r="Z104" s="49" t="n">
        <f aca="false">-In_Upfront_Fee*$E103*(Z99=0)*(Z100&gt;0)</f>
        <v>-0</v>
      </c>
      <c r="AA104" s="49" t="n">
        <f aca="false">-In_Upfront_Fee*$E103*(AA99=0)*(AA100&gt;0)</f>
        <v>-0</v>
      </c>
      <c r="AB104" s="49" t="n">
        <f aca="false">-In_Upfront_Fee*$E103*(AB99=0)*(AB100&gt;0)</f>
        <v>-0</v>
      </c>
      <c r="AC104" s="49" t="n">
        <f aca="false">-In_Upfront_Fee*$E103*(AC99=0)*(AC100&gt;0)</f>
        <v>-0</v>
      </c>
      <c r="AD104" s="49" t="n">
        <f aca="false">-In_Upfront_Fee*$E103*(AD99=0)*(AD100&gt;0)</f>
        <v>-0</v>
      </c>
      <c r="AE104" s="49" t="n">
        <f aca="false">-In_Upfront_Fee*$E103*(AE99=0)*(AE100&gt;0)</f>
        <v>-0</v>
      </c>
      <c r="AF104" s="49" t="n">
        <f aca="false">-In_Upfront_Fee*$E103*(AF99=0)*(AF100&gt;0)</f>
        <v>-0</v>
      </c>
      <c r="AG104" s="49" t="n">
        <f aca="false">-In_Upfront_Fee*$E103*(AG99=0)*(AG100&gt;0)</f>
        <v>-0</v>
      </c>
      <c r="AH104" s="49" t="n">
        <f aca="false">-In_Upfront_Fee*$E103*(AH99=0)*(AH100&gt;0)</f>
        <v>-0</v>
      </c>
      <c r="AI104" s="49" t="n">
        <f aca="false">-In_Upfront_Fee*$E103*(AI99=0)*(AI100&gt;0)</f>
        <v>-0</v>
      </c>
      <c r="AJ104" s="49" t="n">
        <f aca="false">-In_Upfront_Fee*$E103*(AJ99=0)*(AJ100&gt;0)</f>
        <v>-0</v>
      </c>
      <c r="AK104" s="49" t="n">
        <f aca="false">-In_Upfront_Fee*$E103*(AK99=0)*(AK100&gt;0)</f>
        <v>-0</v>
      </c>
      <c r="AL104" s="49" t="n">
        <f aca="false">-In_Upfront_Fee*$E103*(AL99=0)*(AL100&gt;0)</f>
        <v>-0</v>
      </c>
      <c r="AM104" s="49" t="n">
        <f aca="false">-In_Upfront_Fee*$E103*(AM99=0)*(AM100&gt;0)</f>
        <v>-0</v>
      </c>
      <c r="AN104" s="49" t="n">
        <f aca="false">-In_Upfront_Fee*$E103*(AN99=0)*(AN100&gt;0)</f>
        <v>-0</v>
      </c>
      <c r="AO104" s="49" t="n">
        <f aca="false">-In_Upfront_Fee*$E103*(AO99=0)*(AO100&gt;0)</f>
        <v>-0</v>
      </c>
      <c r="AP104" s="49" t="n">
        <f aca="false">-In_Upfront_Fee*$E103*(AP99=0)*(AP100&gt;0)</f>
        <v>-0</v>
      </c>
      <c r="AQ104" s="49" t="n">
        <f aca="false">-In_Upfront_Fee*$E103*(AQ99=0)*(AQ100&gt;0)</f>
        <v>-0</v>
      </c>
      <c r="AR104" s="49" t="n">
        <f aca="false">-In_Upfront_Fee*$E103*(AR99=0)*(AR100&gt;0)</f>
        <v>-0</v>
      </c>
      <c r="AS104" s="49" t="n">
        <f aca="false">-In_Upfront_Fee*$E103*(AS99=0)*(AS100&gt;0)</f>
        <v>-0</v>
      </c>
      <c r="AT104" s="49" t="n">
        <f aca="false">-In_Upfront_Fee*$E103*(AT99=0)*(AT100&gt;0)</f>
        <v>-0</v>
      </c>
      <c r="AU104" s="49" t="n">
        <f aca="false">-In_Upfront_Fee*$E103*(AU99=0)*(AU100&gt;0)</f>
        <v>-0</v>
      </c>
      <c r="AV104" s="49" t="n">
        <f aca="false">-In_Upfront_Fee*$E103*(AV99=0)*(AV100&gt;0)</f>
        <v>-0</v>
      </c>
      <c r="AW104" s="49" t="n">
        <f aca="false">-In_Upfront_Fee*$E103*(AW99=0)*(AW100&gt;0)</f>
        <v>-0</v>
      </c>
      <c r="AX104" s="49" t="n">
        <f aca="false">-In_Upfront_Fee*$E103*(AX99=0)*(AX100&gt;0)</f>
        <v>-0</v>
      </c>
      <c r="AY104" s="49" t="n">
        <f aca="false">-In_Upfront_Fee*$E103*(AY99=0)*(AY100&gt;0)</f>
        <v>-0</v>
      </c>
      <c r="AZ104" s="49" t="n">
        <f aca="false">-In_Upfront_Fee*$E103*(AZ99=0)*(AZ100&gt;0)</f>
        <v>-0</v>
      </c>
      <c r="BA104" s="49" t="n">
        <f aca="false">-In_Upfront_Fee*$E103*(BA99=0)*(BA100&gt;0)</f>
        <v>-0</v>
      </c>
      <c r="BB104" s="49" t="n">
        <f aca="false">-In_Upfront_Fee*$E103*(BB99=0)*(BB100&gt;0)</f>
        <v>-0</v>
      </c>
      <c r="BC104" s="49" t="n">
        <f aca="false">-In_Upfront_Fee*$E103*(BC99=0)*(BC100&gt;0)</f>
        <v>-0</v>
      </c>
      <c r="BD104" s="49" t="n">
        <f aca="false">-In_Upfront_Fee*$E103*(BD99=0)*(BD100&gt;0)</f>
        <v>-0</v>
      </c>
      <c r="BE104" s="49" t="n">
        <f aca="false">-In_Upfront_Fee*$E103*(BE99=0)*(BE100&gt;0)</f>
        <v>-0</v>
      </c>
      <c r="BF104" s="49" t="n">
        <f aca="false">-In_Upfront_Fee*$E103*(BF99=0)*(BF100&gt;0)</f>
        <v>-0</v>
      </c>
      <c r="BG104" s="49" t="n">
        <f aca="false">-In_Upfront_Fee*$E103*(BG99=0)*(BG100&gt;0)</f>
        <v>-0</v>
      </c>
      <c r="BH104" s="49" t="n">
        <f aca="false">-In_Upfront_Fee*$E103*(BH99=0)*(BH100&gt;0)</f>
        <v>-0</v>
      </c>
      <c r="BI104" s="49" t="n">
        <f aca="false">-In_Upfront_Fee*$E103*(BI99=0)*(BI100&gt;0)</f>
        <v>-0</v>
      </c>
      <c r="BJ104" s="49" t="n">
        <f aca="false">-In_Upfront_Fee*$E103*(BJ99=0)*(BJ100&gt;0)</f>
        <v>-0</v>
      </c>
      <c r="BK104" s="49" t="n">
        <f aca="false">-In_Upfront_Fee*$E103*(BK99=0)*(BK100&gt;0)</f>
        <v>-0</v>
      </c>
      <c r="BL104" s="49" t="n">
        <f aca="false">-In_Upfront_Fee*$E103*(BL99=0)*(BL100&gt;0)</f>
        <v>-0</v>
      </c>
      <c r="BM104" s="49" t="n">
        <f aca="false">-In_Upfront_Fee*$E103*(BM99=0)*(BM100&gt;0)</f>
        <v>-0</v>
      </c>
      <c r="BN104" s="49" t="n">
        <f aca="false">-In_Upfront_Fee*$E103*(BN99=0)*(BN100&gt;0)</f>
        <v>-0</v>
      </c>
      <c r="BO104" s="49" t="n">
        <f aca="false">-In_Upfront_Fee*$E103*(BO99=0)*(BO100&gt;0)</f>
        <v>-0</v>
      </c>
      <c r="BP104" s="49" t="n">
        <f aca="false">-In_Upfront_Fee*$E103*(BP99=0)*(BP100&gt;0)</f>
        <v>-0</v>
      </c>
      <c r="BQ104" s="49" t="n">
        <f aca="false">-In_Upfront_Fee*$E103*(BQ99=0)*(BQ100&gt;0)</f>
        <v>-0</v>
      </c>
      <c r="BR104" s="49" t="n">
        <f aca="false">-In_Upfront_Fee*$E103*(BR99=0)*(BR100&gt;0)</f>
        <v>-0</v>
      </c>
      <c r="BS104" s="49" t="n">
        <f aca="false">-In_Upfront_Fee*$E103*(BS99=0)*(BS100&gt;0)</f>
        <v>-0</v>
      </c>
      <c r="BT104" s="49" t="n">
        <f aca="false">-In_Upfront_Fee*$E103*(BT99=0)*(BT100&gt;0)</f>
        <v>-0</v>
      </c>
      <c r="BU104" s="49" t="n">
        <f aca="false">-In_Upfront_Fee*$E103*(BU99=0)*(BU100&gt;0)</f>
        <v>-0</v>
      </c>
      <c r="BV104" s="49" t="n">
        <f aca="false">-In_Upfront_Fee*$E103*(BV99=0)*(BV100&gt;0)</f>
        <v>-0</v>
      </c>
      <c r="BW104" s="49" t="n">
        <f aca="false">-In_Upfront_Fee*$E103*(BW99=0)*(BW100&gt;0)</f>
        <v>-0</v>
      </c>
      <c r="BX104" s="49" t="n">
        <f aca="false">-In_Upfront_Fee*$E103*(BX99=0)*(BX100&gt;0)</f>
        <v>-0</v>
      </c>
      <c r="BY104" s="49" t="n">
        <f aca="false">-In_Upfront_Fee*$E103*(BY99=0)*(BY100&gt;0)</f>
        <v>-0</v>
      </c>
      <c r="BZ104" s="49" t="n">
        <f aca="false">-In_Upfront_Fee*$E103*(BZ99=0)*(BZ100&gt;0)</f>
        <v>-0</v>
      </c>
      <c r="CA104" s="49" t="n">
        <f aca="false">-In_Upfront_Fee*$E103*(CA99=0)*(CA100&gt;0)</f>
        <v>-0</v>
      </c>
      <c r="CB104" s="49" t="n">
        <f aca="false">-In_Upfront_Fee*$E103*(CB99=0)*(CB100&gt;0)</f>
        <v>-0</v>
      </c>
      <c r="CC104" s="49" t="n">
        <f aca="false">-In_Upfront_Fee*$E103*(CC99=0)*(CC100&gt;0)</f>
        <v>-0</v>
      </c>
      <c r="CD104" s="49" t="n">
        <f aca="false">-In_Upfront_Fee*$E103*(CD99=0)*(CD100&gt;0)</f>
        <v>-0</v>
      </c>
      <c r="CE104" s="49" t="n">
        <f aca="false">-In_Upfront_Fee*$E103*(CE99=0)*(CE100&gt;0)</f>
        <v>-0</v>
      </c>
      <c r="CF104" s="49" t="n">
        <f aca="false">-In_Upfront_Fee*$E103*(CF99=0)*(CF100&gt;0)</f>
        <v>-0</v>
      </c>
      <c r="CG104" s="49" t="n">
        <f aca="false">-In_Upfront_Fee*$E103*(CG99=0)*(CG100&gt;0)</f>
        <v>-0</v>
      </c>
      <c r="CH104" s="49" t="n">
        <f aca="false">-In_Upfront_Fee*$E103*(CH99=0)*(CH100&gt;0)</f>
        <v>-0</v>
      </c>
      <c r="CI104" s="49" t="n">
        <f aca="false">-In_Upfront_Fee*$E103*(CI99=0)*(CI100&gt;0)</f>
        <v>-0</v>
      </c>
      <c r="CJ104" s="49" t="n">
        <f aca="false">-In_Upfront_Fee*$E103*(CJ99=0)*(CJ100&gt;0)</f>
        <v>-0</v>
      </c>
      <c r="CK104" s="49" t="n">
        <f aca="false">-In_Upfront_Fee*$E103*(CK99=0)*(CK100&gt;0)</f>
        <v>-0</v>
      </c>
      <c r="CL104" s="49" t="n">
        <f aca="false">-In_Upfront_Fee*$E103*(CL99=0)*(CL100&gt;0)</f>
        <v>-0</v>
      </c>
      <c r="CM104" s="49" t="n">
        <f aca="false">-In_Upfront_Fee*$E103*(CM99=0)*(CM100&gt;0)</f>
        <v>-0</v>
      </c>
      <c r="CN104" s="49" t="n">
        <f aca="false">-In_Upfront_Fee*$E103*(CN99=0)*(CN100&gt;0)</f>
        <v>-0</v>
      </c>
      <c r="CO104" s="49" t="n">
        <f aca="false">-In_Upfront_Fee*$E103*(CO99=0)*(CO100&gt;0)</f>
        <v>-0</v>
      </c>
      <c r="CP104" s="49" t="n">
        <f aca="false">-In_Upfront_Fee*$E103*(CP99=0)*(CP100&gt;0)</f>
        <v>-0</v>
      </c>
      <c r="CQ104" s="49" t="n">
        <f aca="false">-In_Upfront_Fee*$E103*(CQ99=0)*(CQ100&gt;0)</f>
        <v>-0</v>
      </c>
      <c r="CR104" s="49" t="n">
        <f aca="false">-In_Upfront_Fee*$E103*(CR99=0)*(CR100&gt;0)</f>
        <v>-0</v>
      </c>
      <c r="CS104" s="49" t="n">
        <f aca="false">-In_Upfront_Fee*$E103*(CS99=0)*(CS100&gt;0)</f>
        <v>-0</v>
      </c>
      <c r="CT104" s="49" t="n">
        <f aca="false">-In_Upfront_Fee*$E103*(CT99=0)*(CT100&gt;0)</f>
        <v>-0</v>
      </c>
      <c r="CU104" s="49" t="n">
        <f aca="false">-In_Upfront_Fee*$E103*(CU99=0)*(CU100&gt;0)</f>
        <v>-0</v>
      </c>
      <c r="CV104" s="49" t="n">
        <f aca="false">-In_Upfront_Fee*$E103*(CV99=0)*(CV100&gt;0)</f>
        <v>-0</v>
      </c>
      <c r="CW104" s="49" t="n">
        <f aca="false">-In_Upfront_Fee*$E103*(CW99=0)*(CW100&gt;0)</f>
        <v>-0</v>
      </c>
      <c r="CX104" s="49" t="n">
        <f aca="false">-In_Upfront_Fee*$E103*(CX99=0)*(CX100&gt;0)</f>
        <v>-0</v>
      </c>
      <c r="CY104" s="49" t="n">
        <f aca="false">-In_Upfront_Fee*$E103*(CY99=0)*(CY100&gt;0)</f>
        <v>-0</v>
      </c>
      <c r="CZ104" s="49" t="n">
        <f aca="false">-In_Upfront_Fee*$E103*(CZ99=0)*(CZ100&gt;0)</f>
        <v>-0</v>
      </c>
      <c r="DA104" s="49" t="n">
        <f aca="false">-In_Upfront_Fee*$E103*(DA99=0)*(DA100&gt;0)</f>
        <v>-0</v>
      </c>
      <c r="DB104" s="49" t="n">
        <f aca="false">-In_Upfront_Fee*$E103*(DB99=0)*(DB100&gt;0)</f>
        <v>-0</v>
      </c>
      <c r="DC104" s="49" t="n">
        <f aca="false">-In_Upfront_Fee*$E103*(DC99=0)*(DC100&gt;0)</f>
        <v>-0</v>
      </c>
      <c r="DD104" s="49" t="n">
        <f aca="false">-In_Upfront_Fee*$E103*(DD99=0)*(DD100&gt;0)</f>
        <v>-0</v>
      </c>
      <c r="DE104" s="49" t="n">
        <f aca="false">-In_Upfront_Fee*$E103*(DE99=0)*(DE100&gt;0)</f>
        <v>-0</v>
      </c>
      <c r="DF104" s="49" t="n">
        <f aca="false">-In_Upfront_Fee*$E103*(DF99=0)*(DF100&gt;0)</f>
        <v>-0</v>
      </c>
      <c r="DG104" s="49" t="n">
        <f aca="false">-In_Upfront_Fee*$E103*(DG99=0)*(DG100&gt;0)</f>
        <v>-0</v>
      </c>
      <c r="DH104" s="49" t="n">
        <f aca="false">-In_Upfront_Fee*$E103*(DH99=0)*(DH100&gt;0)</f>
        <v>-0</v>
      </c>
      <c r="DI104" s="49" t="n">
        <f aca="false">-In_Upfront_Fee*$E103*(DI99=0)*(DI100&gt;0)</f>
        <v>-0</v>
      </c>
      <c r="DJ104" s="49" t="n">
        <f aca="false">-In_Upfront_Fee*$E103*(DJ99=0)*(DJ100&gt;0)</f>
        <v>-0</v>
      </c>
      <c r="DK104" s="49" t="n">
        <f aca="false">-In_Upfront_Fee*$E103*(DK99=0)*(DK100&gt;0)</f>
        <v>-0</v>
      </c>
      <c r="DL104" s="49" t="n">
        <f aca="false">-In_Upfront_Fee*$E103*(DL99=0)*(DL100&gt;0)</f>
        <v>-0</v>
      </c>
      <c r="DM104" s="49" t="n">
        <f aca="false">-In_Upfront_Fee*$E103*(DM99=0)*(DM100&gt;0)</f>
        <v>-0</v>
      </c>
      <c r="DN104" s="49" t="n">
        <f aca="false">-In_Upfront_Fee*$E103*(DN99=0)*(DN100&gt;0)</f>
        <v>-0</v>
      </c>
      <c r="DO104" s="49" t="n">
        <f aca="false">-In_Upfront_Fee*$E103*(DO99=0)*(DO100&gt;0)</f>
        <v>-0</v>
      </c>
      <c r="DP104" s="49" t="n">
        <f aca="false">-In_Upfront_Fee*$E103*(DP99=0)*(DP100&gt;0)</f>
        <v>-0</v>
      </c>
      <c r="DQ104" s="49" t="n">
        <f aca="false">-In_Upfront_Fee*$E103*(DQ99=0)*(DQ100&gt;0)</f>
        <v>-0</v>
      </c>
      <c r="DR104" s="49" t="n">
        <f aca="false">-In_Upfront_Fee*$E103*(DR99=0)*(DR100&gt;0)</f>
        <v>-0</v>
      </c>
      <c r="DS104" s="49" t="n">
        <f aca="false">-In_Upfront_Fee*$E103*(DS99=0)*(DS100&gt;0)</f>
        <v>-0</v>
      </c>
      <c r="DT104" s="49" t="n">
        <f aca="false">-In_Upfront_Fee*$E103*(DT99=0)*(DT100&gt;0)</f>
        <v>-0</v>
      </c>
      <c r="DU104" s="49" t="n">
        <f aca="false">-In_Upfront_Fee*$E103*(DU99=0)*(DU100&gt;0)</f>
        <v>-0</v>
      </c>
      <c r="DV104" s="49" t="n">
        <f aca="false">-In_Upfront_Fee*$E103*(DV99=0)*(DV100&gt;0)</f>
        <v>-0</v>
      </c>
      <c r="DW104" s="49" t="n">
        <f aca="false">-In_Upfront_Fee*$E103*(DW99=0)*(DW100&gt;0)</f>
        <v>-0</v>
      </c>
      <c r="DX104" s="49" t="n">
        <f aca="false">-In_Upfront_Fee*$E103*(DX99=0)*(DX100&gt;0)</f>
        <v>-0</v>
      </c>
      <c r="DY104" s="49" t="n">
        <f aca="false">-In_Upfront_Fee*$E103*(DY99=0)*(DY100&gt;0)</f>
        <v>-0</v>
      </c>
      <c r="DZ104" s="49" t="n">
        <f aca="false">-In_Upfront_Fee*$E103*(DZ99=0)*(DZ100&gt;0)</f>
        <v>-0</v>
      </c>
      <c r="EA104" s="49" t="n">
        <f aca="false">-In_Upfront_Fee*$E103*(EA99=0)*(EA100&gt;0)</f>
        <v>-0</v>
      </c>
      <c r="EB104" s="49" t="n">
        <f aca="false">-In_Upfront_Fee*$E103*(EB99=0)*(EB100&gt;0)</f>
        <v>-0</v>
      </c>
      <c r="EC104" s="49" t="n">
        <f aca="false">-In_Upfront_Fee*$E103*(EC99=0)*(EC100&gt;0)</f>
        <v>-0</v>
      </c>
      <c r="ED104" s="49" t="n">
        <f aca="false">-In_Upfront_Fee*$E103*(ED99=0)*(ED100&gt;0)</f>
        <v>-0</v>
      </c>
      <c r="EE104" s="49" t="n">
        <f aca="false">-In_Upfront_Fee*$E103*(EE99=0)*(EE100&gt;0)</f>
        <v>-0</v>
      </c>
      <c r="EF104" s="49" t="n">
        <f aca="false">-In_Upfront_Fee*$E103*(EF99=0)*(EF100&gt;0)</f>
        <v>-0</v>
      </c>
      <c r="EG104" s="49" t="n">
        <f aca="false">-In_Upfront_Fee*$E103*(EG99=0)*(EG100&gt;0)</f>
        <v>-0</v>
      </c>
      <c r="EH104" s="49" t="n">
        <f aca="false">-In_Upfront_Fee*$E103*(EH99=0)*(EH100&gt;0)</f>
        <v>-0</v>
      </c>
      <c r="EI104" s="49" t="n">
        <f aca="false">-In_Upfront_Fee*$E103*(EI99=0)*(EI100&gt;0)</f>
        <v>-0</v>
      </c>
      <c r="EJ104" s="49" t="n">
        <f aca="false">-In_Upfront_Fee*$E103*(EJ99=0)*(EJ100&gt;0)</f>
        <v>-0</v>
      </c>
      <c r="EK104" s="49" t="n">
        <f aca="false">-In_Upfront_Fee*$E103*(EK99=0)*(EK100&gt;0)</f>
        <v>-0</v>
      </c>
      <c r="EL104" s="49" t="n">
        <f aca="false">-In_Upfront_Fee*$E103*(EL99=0)*(EL100&gt;0)</f>
        <v>-0</v>
      </c>
      <c r="EM104" s="49" t="n">
        <f aca="false">-In_Upfront_Fee*$E103*(EM99=0)*(EM100&gt;0)</f>
        <v>-0</v>
      </c>
      <c r="EN104" s="49" t="n">
        <f aca="false">-In_Upfront_Fee*$E103*(EN99=0)*(EN100&gt;0)</f>
        <v>-0</v>
      </c>
      <c r="EO104" s="49" t="n">
        <f aca="false">-In_Upfront_Fee*$E103*(EO99=0)*(EO100&gt;0)</f>
        <v>-0</v>
      </c>
    </row>
    <row r="105" customFormat="false" ht="15" hidden="false" customHeight="false" outlineLevel="0" collapsed="false">
      <c r="C105" s="1" t="s">
        <v>503</v>
      </c>
      <c r="D105" s="12" t="s">
        <v>33</v>
      </c>
      <c r="I105" s="49" t="n">
        <f aca="false">SUM(J105:EO105)</f>
        <v>-405.26981433054</v>
      </c>
      <c r="J105" s="49" t="n">
        <f aca="false">-In_Commitment_Fee*($I100-SUM($J100:J100)+J100)*J$6*(J12&gt;0)</f>
        <v>-0</v>
      </c>
      <c r="K105" s="49" t="n">
        <f aca="false">-In_Commitment_Fee*($I100-SUM($J100:K100)+K100)*K$6*(K12&gt;0)</f>
        <v>-0</v>
      </c>
      <c r="L105" s="49" t="n">
        <f aca="false">-In_Commitment_Fee*($I100-SUM($J100:L100)+L100)*L$6*(L12&gt;0)</f>
        <v>-0</v>
      </c>
      <c r="M105" s="49" t="n">
        <f aca="false">-In_Commitment_Fee*($I100-SUM($J100:M100)+M100)*M$6*(M12&gt;0)</f>
        <v>-0</v>
      </c>
      <c r="N105" s="49" t="n">
        <f aca="false">-In_Commitment_Fee*($I100-SUM($J100:N100)+N100)*N$6*(N12&gt;0)</f>
        <v>-0</v>
      </c>
      <c r="O105" s="49" t="n">
        <f aca="false">-In_Commitment_Fee*($I100-SUM($J100:O100)+O100)*O$6*(O12&gt;0)</f>
        <v>-0</v>
      </c>
      <c r="P105" s="49" t="n">
        <f aca="false">-In_Commitment_Fee*($I100-SUM($J100:P100)+P100)*P$6*(P12&gt;0)</f>
        <v>-0</v>
      </c>
      <c r="Q105" s="49" t="n">
        <f aca="false">-In_Commitment_Fee*($I100-SUM($J100:Q100)+Q100)*Q$6*(Q12&gt;0)</f>
        <v>-0</v>
      </c>
      <c r="R105" s="49" t="n">
        <f aca="false">-In_Commitment_Fee*($I100-SUM($J100:R100)+R100)*R$6*(R12&gt;0)</f>
        <v>-94.0383197611559</v>
      </c>
      <c r="S105" s="49" t="n">
        <f aca="false">-In_Commitment_Fee*($I100-SUM($J100:S100)+S100)*S$6*(S12&gt;0)</f>
        <v>-82.0391943411522</v>
      </c>
      <c r="T105" s="49" t="n">
        <f aca="false">-In_Commitment_Fee*($I100-SUM($J100:T100)+T100)*T$6*(T12&gt;0)</f>
        <v>-63.0401858782135</v>
      </c>
      <c r="U105" s="49" t="n">
        <f aca="false">-In_Commitment_Fee*($I100-SUM($J100:U100)+U100)*U$6*(U12&gt;0)</f>
        <v>-53.6675120069431</v>
      </c>
      <c r="V105" s="49" t="n">
        <f aca="false">-In_Commitment_Fee*($I100-SUM($J100:V100)+V100)*V$6*(V12&gt;0)</f>
        <v>-43.4914797945205</v>
      </c>
      <c r="W105" s="49" t="n">
        <f aca="false">-In_Commitment_Fee*($I100-SUM($J100:W100)+W100)*W$6*(W12&gt;0)</f>
        <v>-32.5911987216175</v>
      </c>
      <c r="X105" s="49" t="n">
        <f aca="false">-In_Commitment_Fee*($I100-SUM($J100:X100)+X100)*X$6*(X12&gt;0)</f>
        <v>-23.1067135323231</v>
      </c>
      <c r="Y105" s="49" t="n">
        <f aca="false">-In_Commitment_Fee*($I100-SUM($J100:Y100)+Y100)*Y$6*(Y12&gt;0)</f>
        <v>-13.2952102946144</v>
      </c>
      <c r="Z105" s="49" t="n">
        <f aca="false">-In_Commitment_Fee*($I100-SUM($J100:Z100)+Z100)*Z$6*(Z12&gt;0)</f>
        <v>-0</v>
      </c>
      <c r="AA105" s="49" t="n">
        <f aca="false">-In_Commitment_Fee*($I100-SUM($J100:AA100)+AA100)*AA$6*(AA12&gt;0)</f>
        <v>-0</v>
      </c>
      <c r="AB105" s="49" t="n">
        <f aca="false">-In_Commitment_Fee*($I100-SUM($J100:AB100)+AB100)*AB$6*(AB12&gt;0)</f>
        <v>-0</v>
      </c>
      <c r="AC105" s="49" t="n">
        <f aca="false">-In_Commitment_Fee*($I100-SUM($J100:AC100)+AC100)*AC$6*(AC12&gt;0)</f>
        <v>-0</v>
      </c>
      <c r="AD105" s="49" t="n">
        <f aca="false">-In_Commitment_Fee*($I100-SUM($J100:AD100)+AD100)*AD$6*(AD12&gt;0)</f>
        <v>-0</v>
      </c>
      <c r="AE105" s="49" t="n">
        <f aca="false">-In_Commitment_Fee*($I100-SUM($J100:AE100)+AE100)*AE$6*(AE12&gt;0)</f>
        <v>-0</v>
      </c>
      <c r="AF105" s="49" t="n">
        <f aca="false">-In_Commitment_Fee*($I100-SUM($J100:AF100)+AF100)*AF$6*(AF12&gt;0)</f>
        <v>-0</v>
      </c>
      <c r="AG105" s="49" t="n">
        <f aca="false">-In_Commitment_Fee*($I100-SUM($J100:AG100)+AG100)*AG$6*(AG12&gt;0)</f>
        <v>-0</v>
      </c>
      <c r="AH105" s="49" t="n">
        <f aca="false">-In_Commitment_Fee*($I100-SUM($J100:AH100)+AH100)*AH$6*(AH12&gt;0)</f>
        <v>-0</v>
      </c>
      <c r="AI105" s="49" t="n">
        <f aca="false">-In_Commitment_Fee*($I100-SUM($J100:AI100)+AI100)*AI$6*(AI12&gt;0)</f>
        <v>-0</v>
      </c>
      <c r="AJ105" s="49" t="n">
        <f aca="false">-In_Commitment_Fee*($I100-SUM($J100:AJ100)+AJ100)*AJ$6*(AJ12&gt;0)</f>
        <v>-0</v>
      </c>
      <c r="AK105" s="49" t="n">
        <f aca="false">-In_Commitment_Fee*($I100-SUM($J100:AK100)+AK100)*AK$6*(AK12&gt;0)</f>
        <v>-0</v>
      </c>
      <c r="AL105" s="49" t="n">
        <f aca="false">-In_Commitment_Fee*($I100-SUM($J100:AL100)+AL100)*AL$6*(AL12&gt;0)</f>
        <v>-0</v>
      </c>
      <c r="AM105" s="49" t="n">
        <f aca="false">-In_Commitment_Fee*($I100-SUM($J100:AM100)+AM100)*AM$6*(AM12&gt;0)</f>
        <v>-0</v>
      </c>
      <c r="AN105" s="49" t="n">
        <f aca="false">-In_Commitment_Fee*($I100-SUM($J100:AN100)+AN100)*AN$6*(AN12&gt;0)</f>
        <v>-0</v>
      </c>
      <c r="AO105" s="49" t="n">
        <f aca="false">-In_Commitment_Fee*($I100-SUM($J100:AO100)+AO100)*AO$6*(AO12&gt;0)</f>
        <v>-0</v>
      </c>
      <c r="AP105" s="49" t="n">
        <f aca="false">-In_Commitment_Fee*($I100-SUM($J100:AP100)+AP100)*AP$6*(AP12&gt;0)</f>
        <v>-0</v>
      </c>
      <c r="AQ105" s="49" t="n">
        <f aca="false">-In_Commitment_Fee*($I100-SUM($J100:AQ100)+AQ100)*AQ$6*(AQ12&gt;0)</f>
        <v>-0</v>
      </c>
      <c r="AR105" s="49" t="n">
        <f aca="false">-In_Commitment_Fee*($I100-SUM($J100:AR100)+AR100)*AR$6*(AR12&gt;0)</f>
        <v>-0</v>
      </c>
      <c r="AS105" s="49" t="n">
        <f aca="false">-In_Commitment_Fee*($I100-SUM($J100:AS100)+AS100)*AS$6*(AS12&gt;0)</f>
        <v>-0</v>
      </c>
      <c r="AT105" s="49" t="n">
        <f aca="false">-In_Commitment_Fee*($I100-SUM($J100:AT100)+AT100)*AT$6*(AT12&gt;0)</f>
        <v>-0</v>
      </c>
      <c r="AU105" s="49" t="n">
        <f aca="false">-In_Commitment_Fee*($I100-SUM($J100:AU100)+AU100)*AU$6*(AU12&gt;0)</f>
        <v>-0</v>
      </c>
      <c r="AV105" s="49" t="n">
        <f aca="false">-In_Commitment_Fee*($I100-SUM($J100:AV100)+AV100)*AV$6*(AV12&gt;0)</f>
        <v>-0</v>
      </c>
      <c r="AW105" s="49" t="n">
        <f aca="false">-In_Commitment_Fee*($I100-SUM($J100:AW100)+AW100)*AW$6*(AW12&gt;0)</f>
        <v>-0</v>
      </c>
      <c r="AX105" s="49" t="n">
        <f aca="false">-In_Commitment_Fee*($I100-SUM($J100:AX100)+AX100)*AX$6*(AX12&gt;0)</f>
        <v>-0</v>
      </c>
      <c r="AY105" s="49" t="n">
        <f aca="false">-In_Commitment_Fee*($I100-SUM($J100:AY100)+AY100)*AY$6*(AY12&gt;0)</f>
        <v>-0</v>
      </c>
      <c r="AZ105" s="49" t="n">
        <f aca="false">-In_Commitment_Fee*($I100-SUM($J100:AZ100)+AZ100)*AZ$6*(AZ12&gt;0)</f>
        <v>-0</v>
      </c>
      <c r="BA105" s="49" t="n">
        <f aca="false">-In_Commitment_Fee*($I100-SUM($J100:BA100)+BA100)*BA$6*(BA12&gt;0)</f>
        <v>-0</v>
      </c>
      <c r="BB105" s="49" t="n">
        <f aca="false">-In_Commitment_Fee*($I100-SUM($J100:BB100)+BB100)*BB$6*(BB12&gt;0)</f>
        <v>-0</v>
      </c>
      <c r="BC105" s="49" t="n">
        <f aca="false">-In_Commitment_Fee*($I100-SUM($J100:BC100)+BC100)*BC$6*(BC12&gt;0)</f>
        <v>-0</v>
      </c>
      <c r="BD105" s="49" t="n">
        <f aca="false">-In_Commitment_Fee*($I100-SUM($J100:BD100)+BD100)*BD$6*(BD12&gt;0)</f>
        <v>-0</v>
      </c>
      <c r="BE105" s="49" t="n">
        <f aca="false">-In_Commitment_Fee*($I100-SUM($J100:BE100)+BE100)*BE$6*(BE12&gt;0)</f>
        <v>-0</v>
      </c>
      <c r="BF105" s="49" t="n">
        <f aca="false">-In_Commitment_Fee*($I100-SUM($J100:BF100)+BF100)*BF$6*(BF12&gt;0)</f>
        <v>-0</v>
      </c>
      <c r="BG105" s="49" t="n">
        <f aca="false">-In_Commitment_Fee*($I100-SUM($J100:BG100)+BG100)*BG$6*(BG12&gt;0)</f>
        <v>-0</v>
      </c>
      <c r="BH105" s="49" t="n">
        <f aca="false">-In_Commitment_Fee*($I100-SUM($J100:BH100)+BH100)*BH$6*(BH12&gt;0)</f>
        <v>-0</v>
      </c>
      <c r="BI105" s="49" t="n">
        <f aca="false">-In_Commitment_Fee*($I100-SUM($J100:BI100)+BI100)*BI$6*(BI12&gt;0)</f>
        <v>-0</v>
      </c>
      <c r="BJ105" s="49" t="n">
        <f aca="false">-In_Commitment_Fee*($I100-SUM($J100:BJ100)+BJ100)*BJ$6*(BJ12&gt;0)</f>
        <v>-0</v>
      </c>
      <c r="BK105" s="49" t="n">
        <f aca="false">-In_Commitment_Fee*($I100-SUM($J100:BK100)+BK100)*BK$6*(BK12&gt;0)</f>
        <v>-0</v>
      </c>
      <c r="BL105" s="49" t="n">
        <f aca="false">-In_Commitment_Fee*($I100-SUM($J100:BL100)+BL100)*BL$6*(BL12&gt;0)</f>
        <v>-0</v>
      </c>
      <c r="BM105" s="49" t="n">
        <f aca="false">-In_Commitment_Fee*($I100-SUM($J100:BM100)+BM100)*BM$6*(BM12&gt;0)</f>
        <v>-0</v>
      </c>
      <c r="BN105" s="49" t="n">
        <f aca="false">-In_Commitment_Fee*($I100-SUM($J100:BN100)+BN100)*BN$6*(BN12&gt;0)</f>
        <v>-0</v>
      </c>
      <c r="BO105" s="49" t="n">
        <f aca="false">-In_Commitment_Fee*($I100-SUM($J100:BO100)+BO100)*BO$6*(BO12&gt;0)</f>
        <v>-0</v>
      </c>
      <c r="BP105" s="49" t="n">
        <f aca="false">-In_Commitment_Fee*($I100-SUM($J100:BP100)+BP100)*BP$6*(BP12&gt;0)</f>
        <v>-0</v>
      </c>
      <c r="BQ105" s="49" t="n">
        <f aca="false">-In_Commitment_Fee*($I100-SUM($J100:BQ100)+BQ100)*BQ$6*(BQ12&gt;0)</f>
        <v>-0</v>
      </c>
      <c r="BR105" s="49" t="n">
        <f aca="false">-In_Commitment_Fee*($I100-SUM($J100:BR100)+BR100)*BR$6*(BR12&gt;0)</f>
        <v>-0</v>
      </c>
      <c r="BS105" s="49" t="n">
        <f aca="false">-In_Commitment_Fee*($I100-SUM($J100:BS100)+BS100)*BS$6*(BS12&gt;0)</f>
        <v>-0</v>
      </c>
      <c r="BT105" s="49" t="n">
        <f aca="false">-In_Commitment_Fee*($I100-SUM($J100:BT100)+BT100)*BT$6*(BT12&gt;0)</f>
        <v>-0</v>
      </c>
      <c r="BU105" s="49" t="n">
        <f aca="false">-In_Commitment_Fee*($I100-SUM($J100:BU100)+BU100)*BU$6*(BU12&gt;0)</f>
        <v>-0</v>
      </c>
      <c r="BV105" s="49" t="n">
        <f aca="false">-In_Commitment_Fee*($I100-SUM($J100:BV100)+BV100)*BV$6*(BV12&gt;0)</f>
        <v>-0</v>
      </c>
      <c r="BW105" s="49" t="n">
        <f aca="false">-In_Commitment_Fee*($I100-SUM($J100:BW100)+BW100)*BW$6*(BW12&gt;0)</f>
        <v>-0</v>
      </c>
      <c r="BX105" s="49" t="n">
        <f aca="false">-In_Commitment_Fee*($I100-SUM($J100:BX100)+BX100)*BX$6*(BX12&gt;0)</f>
        <v>-0</v>
      </c>
      <c r="BY105" s="49" t="n">
        <f aca="false">-In_Commitment_Fee*($I100-SUM($J100:BY100)+BY100)*BY$6*(BY12&gt;0)</f>
        <v>-0</v>
      </c>
      <c r="BZ105" s="49" t="n">
        <f aca="false">-In_Commitment_Fee*($I100-SUM($J100:BZ100)+BZ100)*BZ$6*(BZ12&gt;0)</f>
        <v>-0</v>
      </c>
      <c r="CA105" s="49" t="n">
        <f aca="false">-In_Commitment_Fee*($I100-SUM($J100:CA100)+CA100)*CA$6*(CA12&gt;0)</f>
        <v>-0</v>
      </c>
      <c r="CB105" s="49" t="n">
        <f aca="false">-In_Commitment_Fee*($I100-SUM($J100:CB100)+CB100)*CB$6*(CB12&gt;0)</f>
        <v>-0</v>
      </c>
      <c r="CC105" s="49" t="n">
        <f aca="false">-In_Commitment_Fee*($I100-SUM($J100:CC100)+CC100)*CC$6*(CC12&gt;0)</f>
        <v>-0</v>
      </c>
      <c r="CD105" s="49" t="n">
        <f aca="false">-In_Commitment_Fee*($I100-SUM($J100:CD100)+CD100)*CD$6*(CD12&gt;0)</f>
        <v>-0</v>
      </c>
      <c r="CE105" s="49" t="n">
        <f aca="false">-In_Commitment_Fee*($I100-SUM($J100:CE100)+CE100)*CE$6*(CE12&gt;0)</f>
        <v>-0</v>
      </c>
      <c r="CF105" s="49" t="n">
        <f aca="false">-In_Commitment_Fee*($I100-SUM($J100:CF100)+CF100)*CF$6*(CF12&gt;0)</f>
        <v>-0</v>
      </c>
      <c r="CG105" s="49" t="n">
        <f aca="false">-In_Commitment_Fee*($I100-SUM($J100:CG100)+CG100)*CG$6*(CG12&gt;0)</f>
        <v>-0</v>
      </c>
      <c r="CH105" s="49" t="n">
        <f aca="false">-In_Commitment_Fee*($I100-SUM($J100:CH100)+CH100)*CH$6*(CH12&gt;0)</f>
        <v>-0</v>
      </c>
      <c r="CI105" s="49" t="n">
        <f aca="false">-In_Commitment_Fee*($I100-SUM($J100:CI100)+CI100)*CI$6*(CI12&gt;0)</f>
        <v>-0</v>
      </c>
      <c r="CJ105" s="49" t="n">
        <f aca="false">-In_Commitment_Fee*($I100-SUM($J100:CJ100)+CJ100)*CJ$6*(CJ12&gt;0)</f>
        <v>-0</v>
      </c>
      <c r="CK105" s="49" t="n">
        <f aca="false">-In_Commitment_Fee*($I100-SUM($J100:CK100)+CK100)*CK$6*(CK12&gt;0)</f>
        <v>-0</v>
      </c>
      <c r="CL105" s="49" t="n">
        <f aca="false">-In_Commitment_Fee*($I100-SUM($J100:CL100)+CL100)*CL$6*(CL12&gt;0)</f>
        <v>-0</v>
      </c>
      <c r="CM105" s="49" t="n">
        <f aca="false">-In_Commitment_Fee*($I100-SUM($J100:CM100)+CM100)*CM$6*(CM12&gt;0)</f>
        <v>-0</v>
      </c>
      <c r="CN105" s="49" t="n">
        <f aca="false">-In_Commitment_Fee*($I100-SUM($J100:CN100)+CN100)*CN$6*(CN12&gt;0)</f>
        <v>-0</v>
      </c>
      <c r="CO105" s="49" t="n">
        <f aca="false">-In_Commitment_Fee*($I100-SUM($J100:CO100)+CO100)*CO$6*(CO12&gt;0)</f>
        <v>-0</v>
      </c>
      <c r="CP105" s="49" t="n">
        <f aca="false">-In_Commitment_Fee*($I100-SUM($J100:CP100)+CP100)*CP$6*(CP12&gt;0)</f>
        <v>-0</v>
      </c>
      <c r="CQ105" s="49" t="n">
        <f aca="false">-In_Commitment_Fee*($I100-SUM($J100:CQ100)+CQ100)*CQ$6*(CQ12&gt;0)</f>
        <v>-0</v>
      </c>
      <c r="CR105" s="49" t="n">
        <f aca="false">-In_Commitment_Fee*($I100-SUM($J100:CR100)+CR100)*CR$6*(CR12&gt;0)</f>
        <v>-0</v>
      </c>
      <c r="CS105" s="49" t="n">
        <f aca="false">-In_Commitment_Fee*($I100-SUM($J100:CS100)+CS100)*CS$6*(CS12&gt;0)</f>
        <v>-0</v>
      </c>
      <c r="CT105" s="49" t="n">
        <f aca="false">-In_Commitment_Fee*($I100-SUM($J100:CT100)+CT100)*CT$6*(CT12&gt;0)</f>
        <v>-0</v>
      </c>
      <c r="CU105" s="49" t="n">
        <f aca="false">-In_Commitment_Fee*($I100-SUM($J100:CU100)+CU100)*CU$6*(CU12&gt;0)</f>
        <v>-0</v>
      </c>
      <c r="CV105" s="49" t="n">
        <f aca="false">-In_Commitment_Fee*($I100-SUM($J100:CV100)+CV100)*CV$6*(CV12&gt;0)</f>
        <v>-0</v>
      </c>
      <c r="CW105" s="49" t="n">
        <f aca="false">-In_Commitment_Fee*($I100-SUM($J100:CW100)+CW100)*CW$6*(CW12&gt;0)</f>
        <v>-0</v>
      </c>
      <c r="CX105" s="49" t="n">
        <f aca="false">-In_Commitment_Fee*($I100-SUM($J100:CX100)+CX100)*CX$6*(CX12&gt;0)</f>
        <v>-0</v>
      </c>
      <c r="CY105" s="49" t="n">
        <f aca="false">-In_Commitment_Fee*($I100-SUM($J100:CY100)+CY100)*CY$6*(CY12&gt;0)</f>
        <v>-0</v>
      </c>
      <c r="CZ105" s="49" t="n">
        <f aca="false">-In_Commitment_Fee*($I100-SUM($J100:CZ100)+CZ100)*CZ$6*(CZ12&gt;0)</f>
        <v>-0</v>
      </c>
      <c r="DA105" s="49" t="n">
        <f aca="false">-In_Commitment_Fee*($I100-SUM($J100:DA100)+DA100)*DA$6*(DA12&gt;0)</f>
        <v>-0</v>
      </c>
      <c r="DB105" s="49" t="n">
        <f aca="false">-In_Commitment_Fee*($I100-SUM($J100:DB100)+DB100)*DB$6*(DB12&gt;0)</f>
        <v>-0</v>
      </c>
      <c r="DC105" s="49" t="n">
        <f aca="false">-In_Commitment_Fee*($I100-SUM($J100:DC100)+DC100)*DC$6*(DC12&gt;0)</f>
        <v>-0</v>
      </c>
      <c r="DD105" s="49" t="n">
        <f aca="false">-In_Commitment_Fee*($I100-SUM($J100:DD100)+DD100)*DD$6*(DD12&gt;0)</f>
        <v>-0</v>
      </c>
      <c r="DE105" s="49" t="n">
        <f aca="false">-In_Commitment_Fee*($I100-SUM($J100:DE100)+DE100)*DE$6*(DE12&gt;0)</f>
        <v>-0</v>
      </c>
      <c r="DF105" s="49" t="n">
        <f aca="false">-In_Commitment_Fee*($I100-SUM($J100:DF100)+DF100)*DF$6*(DF12&gt;0)</f>
        <v>-0</v>
      </c>
      <c r="DG105" s="49" t="n">
        <f aca="false">-In_Commitment_Fee*($I100-SUM($J100:DG100)+DG100)*DG$6*(DG12&gt;0)</f>
        <v>-0</v>
      </c>
      <c r="DH105" s="49" t="n">
        <f aca="false">-In_Commitment_Fee*($I100-SUM($J100:DH100)+DH100)*DH$6*(DH12&gt;0)</f>
        <v>-0</v>
      </c>
      <c r="DI105" s="49" t="n">
        <f aca="false">-In_Commitment_Fee*($I100-SUM($J100:DI100)+DI100)*DI$6*(DI12&gt;0)</f>
        <v>-0</v>
      </c>
      <c r="DJ105" s="49" t="n">
        <f aca="false">-In_Commitment_Fee*($I100-SUM($J100:DJ100)+DJ100)*DJ$6*(DJ12&gt;0)</f>
        <v>-0</v>
      </c>
      <c r="DK105" s="49" t="n">
        <f aca="false">-In_Commitment_Fee*($I100-SUM($J100:DK100)+DK100)*DK$6*(DK12&gt;0)</f>
        <v>-0</v>
      </c>
      <c r="DL105" s="49" t="n">
        <f aca="false">-In_Commitment_Fee*($I100-SUM($J100:DL100)+DL100)*DL$6*(DL12&gt;0)</f>
        <v>-0</v>
      </c>
      <c r="DM105" s="49" t="n">
        <f aca="false">-In_Commitment_Fee*($I100-SUM($J100:DM100)+DM100)*DM$6*(DM12&gt;0)</f>
        <v>-0</v>
      </c>
      <c r="DN105" s="49" t="n">
        <f aca="false">-In_Commitment_Fee*($I100-SUM($J100:DN100)+DN100)*DN$6*(DN12&gt;0)</f>
        <v>-0</v>
      </c>
      <c r="DO105" s="49" t="n">
        <f aca="false">-In_Commitment_Fee*($I100-SUM($J100:DO100)+DO100)*DO$6*(DO12&gt;0)</f>
        <v>-0</v>
      </c>
      <c r="DP105" s="49" t="n">
        <f aca="false">-In_Commitment_Fee*($I100-SUM($J100:DP100)+DP100)*DP$6*(DP12&gt;0)</f>
        <v>-0</v>
      </c>
      <c r="DQ105" s="49" t="n">
        <f aca="false">-In_Commitment_Fee*($I100-SUM($J100:DQ100)+DQ100)*DQ$6*(DQ12&gt;0)</f>
        <v>-0</v>
      </c>
      <c r="DR105" s="49" t="n">
        <f aca="false">-In_Commitment_Fee*($I100-SUM($J100:DR100)+DR100)*DR$6*(DR12&gt;0)</f>
        <v>-0</v>
      </c>
      <c r="DS105" s="49" t="n">
        <f aca="false">-In_Commitment_Fee*($I100-SUM($J100:DS100)+DS100)*DS$6*(DS12&gt;0)</f>
        <v>-0</v>
      </c>
      <c r="DT105" s="49" t="n">
        <f aca="false">-In_Commitment_Fee*($I100-SUM($J100:DT100)+DT100)*DT$6*(DT12&gt;0)</f>
        <v>-0</v>
      </c>
      <c r="DU105" s="49" t="n">
        <f aca="false">-In_Commitment_Fee*($I100-SUM($J100:DU100)+DU100)*DU$6*(DU12&gt;0)</f>
        <v>-0</v>
      </c>
      <c r="DV105" s="49" t="n">
        <f aca="false">-In_Commitment_Fee*($I100-SUM($J100:DV100)+DV100)*DV$6*(DV12&gt;0)</f>
        <v>-0</v>
      </c>
      <c r="DW105" s="49" t="n">
        <f aca="false">-In_Commitment_Fee*($I100-SUM($J100:DW100)+DW100)*DW$6*(DW12&gt;0)</f>
        <v>-0</v>
      </c>
      <c r="DX105" s="49" t="n">
        <f aca="false">-In_Commitment_Fee*($I100-SUM($J100:DX100)+DX100)*DX$6*(DX12&gt;0)</f>
        <v>-0</v>
      </c>
      <c r="DY105" s="49" t="n">
        <f aca="false">-In_Commitment_Fee*($I100-SUM($J100:DY100)+DY100)*DY$6*(DY12&gt;0)</f>
        <v>-0</v>
      </c>
      <c r="DZ105" s="49" t="n">
        <f aca="false">-In_Commitment_Fee*($I100-SUM($J100:DZ100)+DZ100)*DZ$6*(DZ12&gt;0)</f>
        <v>-0</v>
      </c>
      <c r="EA105" s="49" t="n">
        <f aca="false">-In_Commitment_Fee*($I100-SUM($J100:EA100)+EA100)*EA$6*(EA12&gt;0)</f>
        <v>-0</v>
      </c>
      <c r="EB105" s="49" t="n">
        <f aca="false">-In_Commitment_Fee*($I100-SUM($J100:EB100)+EB100)*EB$6*(EB12&gt;0)</f>
        <v>-0</v>
      </c>
      <c r="EC105" s="49" t="n">
        <f aca="false">-In_Commitment_Fee*($I100-SUM($J100:EC100)+EC100)*EC$6*(EC12&gt;0)</f>
        <v>-0</v>
      </c>
      <c r="ED105" s="49" t="n">
        <f aca="false">-In_Commitment_Fee*($I100-SUM($J100:ED100)+ED100)*ED$6*(ED12&gt;0)</f>
        <v>-0</v>
      </c>
      <c r="EE105" s="49" t="n">
        <f aca="false">-In_Commitment_Fee*($I100-SUM($J100:EE100)+EE100)*EE$6*(EE12&gt;0)</f>
        <v>-0</v>
      </c>
      <c r="EF105" s="49" t="n">
        <f aca="false">-In_Commitment_Fee*($I100-SUM($J100:EF100)+EF100)*EF$6*(EF12&gt;0)</f>
        <v>-0</v>
      </c>
      <c r="EG105" s="49" t="n">
        <f aca="false">-In_Commitment_Fee*($I100-SUM($J100:EG100)+EG100)*EG$6*(EG12&gt;0)</f>
        <v>-0</v>
      </c>
      <c r="EH105" s="49" t="n">
        <f aca="false">-In_Commitment_Fee*($I100-SUM($J100:EH100)+EH100)*EH$6*(EH12&gt;0)</f>
        <v>-0</v>
      </c>
      <c r="EI105" s="49" t="n">
        <f aca="false">-In_Commitment_Fee*($I100-SUM($J100:EI100)+EI100)*EI$6*(EI12&gt;0)</f>
        <v>-0</v>
      </c>
      <c r="EJ105" s="49" t="n">
        <f aca="false">-In_Commitment_Fee*($I100-SUM($J100:EJ100)+EJ100)*EJ$6*(EJ12&gt;0)</f>
        <v>-0</v>
      </c>
      <c r="EK105" s="49" t="n">
        <f aca="false">-In_Commitment_Fee*($I100-SUM($J100:EK100)+EK100)*EK$6*(EK12&gt;0)</f>
        <v>-0</v>
      </c>
      <c r="EL105" s="49" t="n">
        <f aca="false">-In_Commitment_Fee*($I100-SUM($J100:EL100)+EL100)*EL$6*(EL12&gt;0)</f>
        <v>-0</v>
      </c>
      <c r="EM105" s="49" t="n">
        <f aca="false">-In_Commitment_Fee*($I100-SUM($J100:EM100)+EM100)*EM$6*(EM12&gt;0)</f>
        <v>-0</v>
      </c>
      <c r="EN105" s="49" t="n">
        <f aca="false">-In_Commitment_Fee*($I100-SUM($J100:EN100)+EN100)*EN$6*(EN12&gt;0)</f>
        <v>-0</v>
      </c>
      <c r="EO105" s="49" t="n">
        <f aca="false">-In_Commitment_Fee*($I100-SUM($J100:EO100)+EO100)*EO$6*(EO12&gt;0)</f>
        <v>-0</v>
      </c>
    </row>
    <row r="106" customFormat="false" ht="15" hidden="false" customHeight="false" outlineLevel="0" collapsed="false">
      <c r="C106" s="1" t="s">
        <v>504</v>
      </c>
      <c r="D106" s="12" t="s">
        <v>33</v>
      </c>
      <c r="E106" s="49" t="n">
        <f aca="false">-SUMIFS($J96:$EO96,$J$4:$EO$4,"&gt;"&amp;In_COD,$J$4:$EO$4,"&lt;="&amp;EDATE(In_COD,In_DSRA_Months))</f>
        <v>1032.41959957012</v>
      </c>
      <c r="I106" s="49" t="n">
        <f aca="false">SUM(J106:EO106)</f>
        <v>0</v>
      </c>
      <c r="J106" s="49" t="n">
        <f aca="false">$E106*(J19-J14)</f>
        <v>0</v>
      </c>
      <c r="K106" s="49" t="n">
        <f aca="false">$E106*(K19-K14)</f>
        <v>0</v>
      </c>
      <c r="L106" s="49" t="n">
        <f aca="false">$E106*(L19-L14)</f>
        <v>0</v>
      </c>
      <c r="M106" s="49" t="n">
        <f aca="false">$E106*(M19-M14)</f>
        <v>0</v>
      </c>
      <c r="N106" s="49" t="n">
        <f aca="false">$E106*(N19-N14)</f>
        <v>0</v>
      </c>
      <c r="O106" s="49" t="n">
        <f aca="false">$E106*(O19-O14)</f>
        <v>0</v>
      </c>
      <c r="P106" s="49" t="n">
        <f aca="false">$E106*(P19-P14)</f>
        <v>0</v>
      </c>
      <c r="Q106" s="49" t="n">
        <f aca="false">$E106*(Q19-Q14)</f>
        <v>0</v>
      </c>
      <c r="R106" s="49" t="n">
        <f aca="false">$E106*(R19-R14)</f>
        <v>0</v>
      </c>
      <c r="S106" s="49" t="n">
        <f aca="false">$E106*(S19-S14)</f>
        <v>0</v>
      </c>
      <c r="T106" s="49" t="n">
        <f aca="false">$E106*(T19-T14)</f>
        <v>0</v>
      </c>
      <c r="U106" s="49" t="n">
        <f aca="false">$E106*(U19-U14)</f>
        <v>0</v>
      </c>
      <c r="V106" s="49" t="n">
        <f aca="false">$E106*(V19-V14)</f>
        <v>0</v>
      </c>
      <c r="W106" s="49" t="n">
        <f aca="false">$E106*(W19-W14)</f>
        <v>0</v>
      </c>
      <c r="X106" s="49" t="n">
        <f aca="false">$E106*(X19-X14)</f>
        <v>0</v>
      </c>
      <c r="Y106" s="49" t="n">
        <f aca="false">$E106*(Y19-Y14)</f>
        <v>-1032.41959957012</v>
      </c>
      <c r="Z106" s="49" t="n">
        <f aca="false">$E106*(Z19-Z14)</f>
        <v>0</v>
      </c>
      <c r="AA106" s="49" t="n">
        <f aca="false">$E106*(AA19-AA14)</f>
        <v>0</v>
      </c>
      <c r="AB106" s="49" t="n">
        <f aca="false">$E106*(AB19-AB14)</f>
        <v>0</v>
      </c>
      <c r="AC106" s="49" t="n">
        <f aca="false">$E106*(AC19-AC14)</f>
        <v>0</v>
      </c>
      <c r="AD106" s="49" t="n">
        <f aca="false">$E106*(AD19-AD14)</f>
        <v>0</v>
      </c>
      <c r="AE106" s="49" t="n">
        <f aca="false">$E106*(AE19-AE14)</f>
        <v>0</v>
      </c>
      <c r="AF106" s="49" t="n">
        <f aca="false">$E106*(AF19-AF14)</f>
        <v>0</v>
      </c>
      <c r="AG106" s="49" t="n">
        <f aca="false">$E106*(AG19-AG14)</f>
        <v>0</v>
      </c>
      <c r="AH106" s="49" t="n">
        <f aca="false">$E106*(AH19-AH14)</f>
        <v>0</v>
      </c>
      <c r="AI106" s="49" t="n">
        <f aca="false">$E106*(AI19-AI14)</f>
        <v>0</v>
      </c>
      <c r="AJ106" s="49" t="n">
        <f aca="false">$E106*(AJ19-AJ14)</f>
        <v>0</v>
      </c>
      <c r="AK106" s="49" t="n">
        <f aca="false">$E106*(AK19-AK14)</f>
        <v>0</v>
      </c>
      <c r="AL106" s="49" t="n">
        <f aca="false">$E106*(AL19-AL14)</f>
        <v>0</v>
      </c>
      <c r="AM106" s="49" t="n">
        <f aca="false">$E106*(AM19-AM14)</f>
        <v>0</v>
      </c>
      <c r="AN106" s="49" t="n">
        <f aca="false">$E106*(AN19-AN14)</f>
        <v>0</v>
      </c>
      <c r="AO106" s="49" t="n">
        <f aca="false">$E106*(AO19-AO14)</f>
        <v>0</v>
      </c>
      <c r="AP106" s="49" t="n">
        <f aca="false">$E106*(AP19-AP14)</f>
        <v>0</v>
      </c>
      <c r="AQ106" s="49" t="n">
        <f aca="false">$E106*(AQ19-AQ14)</f>
        <v>0</v>
      </c>
      <c r="AR106" s="49" t="n">
        <f aca="false">$E106*(AR19-AR14)</f>
        <v>0</v>
      </c>
      <c r="AS106" s="49" t="n">
        <f aca="false">$E106*(AS19-AS14)</f>
        <v>0</v>
      </c>
      <c r="AT106" s="49" t="n">
        <f aca="false">$E106*(AT19-AT14)</f>
        <v>0</v>
      </c>
      <c r="AU106" s="49" t="n">
        <f aca="false">$E106*(AU19-AU14)</f>
        <v>0</v>
      </c>
      <c r="AV106" s="49" t="n">
        <f aca="false">$E106*(AV19-AV14)</f>
        <v>0</v>
      </c>
      <c r="AW106" s="49" t="n">
        <f aca="false">$E106*(AW19-AW14)</f>
        <v>0</v>
      </c>
      <c r="AX106" s="49" t="n">
        <f aca="false">$E106*(AX19-AX14)</f>
        <v>0</v>
      </c>
      <c r="AY106" s="49" t="n">
        <f aca="false">$E106*(AY19-AY14)</f>
        <v>0</v>
      </c>
      <c r="AZ106" s="49" t="n">
        <f aca="false">$E106*(AZ19-AZ14)</f>
        <v>0</v>
      </c>
      <c r="BA106" s="49" t="n">
        <f aca="false">$E106*(BA19-BA14)</f>
        <v>0</v>
      </c>
      <c r="BB106" s="49" t="n">
        <f aca="false">$E106*(BB19-BB14)</f>
        <v>0</v>
      </c>
      <c r="BC106" s="49" t="n">
        <f aca="false">$E106*(BC19-BC14)</f>
        <v>0</v>
      </c>
      <c r="BD106" s="49" t="n">
        <f aca="false">$E106*(BD19-BD14)</f>
        <v>0</v>
      </c>
      <c r="BE106" s="49" t="n">
        <f aca="false">$E106*(BE19-BE14)</f>
        <v>0</v>
      </c>
      <c r="BF106" s="49" t="n">
        <f aca="false">$E106*(BF19-BF14)</f>
        <v>0</v>
      </c>
      <c r="BG106" s="49" t="n">
        <f aca="false">$E106*(BG19-BG14)</f>
        <v>0</v>
      </c>
      <c r="BH106" s="49" t="n">
        <f aca="false">$E106*(BH19-BH14)</f>
        <v>0</v>
      </c>
      <c r="BI106" s="49" t="n">
        <f aca="false">$E106*(BI19-BI14)</f>
        <v>0</v>
      </c>
      <c r="BJ106" s="49" t="n">
        <f aca="false">$E106*(BJ19-BJ14)</f>
        <v>0</v>
      </c>
      <c r="BK106" s="49" t="n">
        <f aca="false">$E106*(BK19-BK14)</f>
        <v>0</v>
      </c>
      <c r="BL106" s="49" t="n">
        <f aca="false">$E106*(BL19-BL14)</f>
        <v>0</v>
      </c>
      <c r="BM106" s="49" t="n">
        <f aca="false">$E106*(BM19-BM14)</f>
        <v>0</v>
      </c>
      <c r="BN106" s="49" t="n">
        <f aca="false">$E106*(BN19-BN14)</f>
        <v>0</v>
      </c>
      <c r="BO106" s="49" t="n">
        <f aca="false">$E106*(BO19-BO14)</f>
        <v>0</v>
      </c>
      <c r="BP106" s="49" t="n">
        <f aca="false">$E106*(BP19-BP14)</f>
        <v>0</v>
      </c>
      <c r="BQ106" s="49" t="n">
        <f aca="false">$E106*(BQ19-BQ14)</f>
        <v>0</v>
      </c>
      <c r="BR106" s="49" t="n">
        <f aca="false">$E106*(BR19-BR14)</f>
        <v>0</v>
      </c>
      <c r="BS106" s="49" t="n">
        <f aca="false">$E106*(BS19-BS14)</f>
        <v>0</v>
      </c>
      <c r="BT106" s="49" t="n">
        <f aca="false">$E106*(BT19-BT14)</f>
        <v>0</v>
      </c>
      <c r="BU106" s="49" t="n">
        <f aca="false">$E106*(BU19-BU14)</f>
        <v>0</v>
      </c>
      <c r="BV106" s="49" t="n">
        <f aca="false">$E106*(BV19-BV14)</f>
        <v>0</v>
      </c>
      <c r="BW106" s="49" t="n">
        <f aca="false">$E106*(BW19-BW14)</f>
        <v>0</v>
      </c>
      <c r="BX106" s="49" t="n">
        <f aca="false">$E106*(BX19-BX14)</f>
        <v>0</v>
      </c>
      <c r="BY106" s="49" t="n">
        <f aca="false">$E106*(BY19-BY14)</f>
        <v>0</v>
      </c>
      <c r="BZ106" s="49" t="n">
        <f aca="false">$E106*(BZ19-BZ14)</f>
        <v>0</v>
      </c>
      <c r="CA106" s="49" t="n">
        <f aca="false">$E106*(CA19-CA14)</f>
        <v>0</v>
      </c>
      <c r="CB106" s="49" t="n">
        <f aca="false">$E106*(CB19-CB14)</f>
        <v>0</v>
      </c>
      <c r="CC106" s="49" t="n">
        <f aca="false">$E106*(CC19-CC14)</f>
        <v>0</v>
      </c>
      <c r="CD106" s="49" t="n">
        <f aca="false">$E106*(CD19-CD14)</f>
        <v>0</v>
      </c>
      <c r="CE106" s="49" t="n">
        <f aca="false">$E106*(CE19-CE14)</f>
        <v>0</v>
      </c>
      <c r="CF106" s="49" t="n">
        <f aca="false">$E106*(CF19-CF14)</f>
        <v>0</v>
      </c>
      <c r="CG106" s="49" t="n">
        <f aca="false">$E106*(CG19-CG14)</f>
        <v>1032.41959957012</v>
      </c>
      <c r="CH106" s="49" t="n">
        <f aca="false">$E106*(CH19-CH14)</f>
        <v>0</v>
      </c>
      <c r="CI106" s="49" t="n">
        <f aca="false">$E106*(CI19-CI14)</f>
        <v>0</v>
      </c>
      <c r="CJ106" s="49" t="n">
        <f aca="false">$E106*(CJ19-CJ14)</f>
        <v>0</v>
      </c>
      <c r="CK106" s="49" t="n">
        <f aca="false">$E106*(CK19-CK14)</f>
        <v>0</v>
      </c>
      <c r="CL106" s="49" t="n">
        <f aca="false">$E106*(CL19-CL14)</f>
        <v>0</v>
      </c>
      <c r="CM106" s="49" t="n">
        <f aca="false">$E106*(CM19-CM14)</f>
        <v>0</v>
      </c>
      <c r="CN106" s="49" t="n">
        <f aca="false">$E106*(CN19-CN14)</f>
        <v>0</v>
      </c>
      <c r="CO106" s="49" t="n">
        <f aca="false">$E106*(CO19-CO14)</f>
        <v>0</v>
      </c>
      <c r="CP106" s="49" t="n">
        <f aca="false">$E106*(CP19-CP14)</f>
        <v>0</v>
      </c>
      <c r="CQ106" s="49" t="n">
        <f aca="false">$E106*(CQ19-CQ14)</f>
        <v>0</v>
      </c>
      <c r="CR106" s="49" t="n">
        <f aca="false">$E106*(CR19-CR14)</f>
        <v>0</v>
      </c>
      <c r="CS106" s="49" t="n">
        <f aca="false">$E106*(CS19-CS14)</f>
        <v>0</v>
      </c>
      <c r="CT106" s="49" t="n">
        <f aca="false">$E106*(CT19-CT14)</f>
        <v>0</v>
      </c>
      <c r="CU106" s="49" t="n">
        <f aca="false">$E106*(CU19-CU14)</f>
        <v>0</v>
      </c>
      <c r="CV106" s="49" t="n">
        <f aca="false">$E106*(CV19-CV14)</f>
        <v>0</v>
      </c>
      <c r="CW106" s="49" t="n">
        <f aca="false">$E106*(CW19-CW14)</f>
        <v>0</v>
      </c>
      <c r="CX106" s="49" t="n">
        <f aca="false">$E106*(CX19-CX14)</f>
        <v>0</v>
      </c>
      <c r="CY106" s="49" t="n">
        <f aca="false">$E106*(CY19-CY14)</f>
        <v>0</v>
      </c>
      <c r="CZ106" s="49" t="n">
        <f aca="false">$E106*(CZ19-CZ14)</f>
        <v>0</v>
      </c>
      <c r="DA106" s="49" t="n">
        <f aca="false">$E106*(DA19-DA14)</f>
        <v>0</v>
      </c>
      <c r="DB106" s="49" t="n">
        <f aca="false">$E106*(DB19-DB14)</f>
        <v>0</v>
      </c>
      <c r="DC106" s="49" t="n">
        <f aca="false">$E106*(DC19-DC14)</f>
        <v>0</v>
      </c>
      <c r="DD106" s="49" t="n">
        <f aca="false">$E106*(DD19-DD14)</f>
        <v>0</v>
      </c>
      <c r="DE106" s="49" t="n">
        <f aca="false">$E106*(DE19-DE14)</f>
        <v>0</v>
      </c>
      <c r="DF106" s="49" t="n">
        <f aca="false">$E106*(DF19-DF14)</f>
        <v>0</v>
      </c>
      <c r="DG106" s="49" t="n">
        <f aca="false">$E106*(DG19-DG14)</f>
        <v>0</v>
      </c>
      <c r="DH106" s="49" t="n">
        <f aca="false">$E106*(DH19-DH14)</f>
        <v>0</v>
      </c>
      <c r="DI106" s="49" t="n">
        <f aca="false">$E106*(DI19-DI14)</f>
        <v>0</v>
      </c>
      <c r="DJ106" s="49" t="n">
        <f aca="false">$E106*(DJ19-DJ14)</f>
        <v>0</v>
      </c>
      <c r="DK106" s="49" t="n">
        <f aca="false">$E106*(DK19-DK14)</f>
        <v>0</v>
      </c>
      <c r="DL106" s="49" t="n">
        <f aca="false">$E106*(DL19-DL14)</f>
        <v>0</v>
      </c>
      <c r="DM106" s="49" t="n">
        <f aca="false">$E106*(DM19-DM14)</f>
        <v>0</v>
      </c>
      <c r="DN106" s="49" t="n">
        <f aca="false">$E106*(DN19-DN14)</f>
        <v>0</v>
      </c>
      <c r="DO106" s="49" t="n">
        <f aca="false">$E106*(DO19-DO14)</f>
        <v>0</v>
      </c>
      <c r="DP106" s="49" t="n">
        <f aca="false">$E106*(DP19-DP14)</f>
        <v>0</v>
      </c>
      <c r="DQ106" s="49" t="n">
        <f aca="false">$E106*(DQ19-DQ14)</f>
        <v>0</v>
      </c>
      <c r="DR106" s="49" t="n">
        <f aca="false">$E106*(DR19-DR14)</f>
        <v>0</v>
      </c>
      <c r="DS106" s="49" t="n">
        <f aca="false">$E106*(DS19-DS14)</f>
        <v>0</v>
      </c>
      <c r="DT106" s="49" t="n">
        <f aca="false">$E106*(DT19-DT14)</f>
        <v>0</v>
      </c>
      <c r="DU106" s="49" t="n">
        <f aca="false">$E106*(DU19-DU14)</f>
        <v>0</v>
      </c>
      <c r="DV106" s="49" t="n">
        <f aca="false">$E106*(DV19-DV14)</f>
        <v>0</v>
      </c>
      <c r="DW106" s="49" t="n">
        <f aca="false">$E106*(DW19-DW14)</f>
        <v>0</v>
      </c>
      <c r="DX106" s="49" t="n">
        <f aca="false">$E106*(DX19-DX14)</f>
        <v>0</v>
      </c>
      <c r="DY106" s="49" t="n">
        <f aca="false">$E106*(DY19-DY14)</f>
        <v>0</v>
      </c>
      <c r="DZ106" s="49" t="n">
        <f aca="false">$E106*(DZ19-DZ14)</f>
        <v>0</v>
      </c>
      <c r="EA106" s="49" t="n">
        <f aca="false">$E106*(EA19-EA14)</f>
        <v>0</v>
      </c>
      <c r="EB106" s="49" t="n">
        <f aca="false">$E106*(EB19-EB14)</f>
        <v>0</v>
      </c>
      <c r="EC106" s="49" t="n">
        <f aca="false">$E106*(EC19-EC14)</f>
        <v>0</v>
      </c>
      <c r="ED106" s="49" t="n">
        <f aca="false">$E106*(ED19-ED14)</f>
        <v>0</v>
      </c>
      <c r="EE106" s="49" t="n">
        <f aca="false">$E106*(EE19-EE14)</f>
        <v>0</v>
      </c>
      <c r="EF106" s="49" t="n">
        <f aca="false">$E106*(EF19-EF14)</f>
        <v>0</v>
      </c>
      <c r="EG106" s="49" t="n">
        <f aca="false">$E106*(EG19-EG14)</f>
        <v>0</v>
      </c>
      <c r="EH106" s="49" t="n">
        <f aca="false">$E106*(EH19-EH14)</f>
        <v>0</v>
      </c>
      <c r="EI106" s="49" t="n">
        <f aca="false">$E106*(EI19-EI14)</f>
        <v>0</v>
      </c>
      <c r="EJ106" s="49" t="n">
        <f aca="false">$E106*(EJ19-EJ14)</f>
        <v>0</v>
      </c>
      <c r="EK106" s="49" t="n">
        <f aca="false">$E106*(EK19-EK14)</f>
        <v>0</v>
      </c>
      <c r="EL106" s="49" t="n">
        <f aca="false">$E106*(EL19-EL14)</f>
        <v>0</v>
      </c>
      <c r="EM106" s="49" t="n">
        <f aca="false">$E106*(EM19-EM14)</f>
        <v>0</v>
      </c>
      <c r="EN106" s="49" t="n">
        <f aca="false">$E106*(EN19-EN14)</f>
        <v>0</v>
      </c>
      <c r="EO106" s="49" t="n">
        <f aca="false">$E106*(EO19-EO14)</f>
        <v>0</v>
      </c>
    </row>
    <row r="107" customFormat="false" ht="15" hidden="false" customHeight="false" outlineLevel="0" collapsed="false">
      <c r="C107" s="1" t="s">
        <v>505</v>
      </c>
      <c r="D107" s="12" t="s">
        <v>13</v>
      </c>
      <c r="E107" s="54" t="n">
        <f aca="false">MIN($J107:$EO107)</f>
        <v>2.14598356038329</v>
      </c>
      <c r="J107" s="54" t="str">
        <f aca="false">IF(J96&lt;0,J87/-J96,"")</f>
        <v/>
      </c>
      <c r="K107" s="54" t="str">
        <f aca="false">IF(K96&lt;0,K87/-K96,"")</f>
        <v/>
      </c>
      <c r="L107" s="54" t="str">
        <f aca="false">IF(L96&lt;0,L87/-L96,"")</f>
        <v/>
      </c>
      <c r="M107" s="54" t="str">
        <f aca="false">IF(M96&lt;0,M87/-M96,"")</f>
        <v/>
      </c>
      <c r="N107" s="54" t="str">
        <f aca="false">IF(N96&lt;0,N87/-N96,"")</f>
        <v/>
      </c>
      <c r="O107" s="54" t="str">
        <f aca="false">IF(O96&lt;0,O87/-O96,"")</f>
        <v/>
      </c>
      <c r="P107" s="54" t="str">
        <f aca="false">IF(P96&lt;0,P87/-P96,"")</f>
        <v/>
      </c>
      <c r="Q107" s="54" t="str">
        <f aca="false">IF(Q96&lt;0,Q87/-Q96,"")</f>
        <v/>
      </c>
      <c r="R107" s="54" t="str">
        <f aca="false">IF(R96&lt;0,R87/-R96,"")</f>
        <v/>
      </c>
      <c r="S107" s="54" t="str">
        <f aca="false">IF(S96&lt;0,S87/-S96,"")</f>
        <v/>
      </c>
      <c r="T107" s="54" t="str">
        <f aca="false">IF(T96&lt;0,T87/-T96,"")</f>
        <v/>
      </c>
      <c r="U107" s="54" t="str">
        <f aca="false">IF(U96&lt;0,U87/-U96,"")</f>
        <v/>
      </c>
      <c r="V107" s="54" t="str">
        <f aca="false">IF(V96&lt;0,V87/-V96,"")</f>
        <v/>
      </c>
      <c r="W107" s="54" t="str">
        <f aca="false">IF(W96&lt;0,W87/-W96,"")</f>
        <v/>
      </c>
      <c r="X107" s="54" t="str">
        <f aca="false">IF(X96&lt;0,X87/-X96,"")</f>
        <v/>
      </c>
      <c r="Y107" s="54" t="str">
        <f aca="false">IF(Y96&lt;0,Y87/-Y96,"")</f>
        <v/>
      </c>
      <c r="Z107" s="54" t="n">
        <f aca="false">IF(Z96&lt;0,Z87/-Z96,"")</f>
        <v>2.23102811719097</v>
      </c>
      <c r="AA107" s="54" t="n">
        <f aca="false">IF(AA96&lt;0,AA87/-AA96,"")</f>
        <v>2.19712061273178</v>
      </c>
      <c r="AB107" s="54" t="n">
        <f aca="false">IF(AB96&lt;0,AB87/-AB96,"")</f>
        <v>2.22064967859919</v>
      </c>
      <c r="AC107" s="54" t="n">
        <f aca="false">IF(AC96&lt;0,AC87/-AC96,"")</f>
        <v>2.24417311361077</v>
      </c>
      <c r="AD107" s="54" t="n">
        <f aca="false">IF(AD96&lt;0,AD87/-AD96,"")</f>
        <v>2.23611894754391</v>
      </c>
      <c r="AE107" s="54" t="n">
        <f aca="false">IF(AE96&lt;0,AE87/-AE96,"")</f>
        <v>2.17194554247854</v>
      </c>
      <c r="AF107" s="54" t="n">
        <f aca="false">IF(AF96&lt;0,AF87/-AF96,"")</f>
        <v>2.16595693635132</v>
      </c>
      <c r="AG107" s="54" t="n">
        <f aca="false">IF(AG96&lt;0,AG87/-AG96,"")</f>
        <v>2.18799442598121</v>
      </c>
      <c r="AH107" s="54" t="n">
        <f aca="false">IF(AH96&lt;0,AH87/-AH96,"")</f>
        <v>2.18000276694187</v>
      </c>
      <c r="AI107" s="54" t="n">
        <f aca="false">IF(AI96&lt;0,AI87/-AI96,"")</f>
        <v>2.14598356038329</v>
      </c>
      <c r="AJ107" s="54" t="n">
        <f aca="false">IF(AJ96&lt;0,AJ87/-AJ96,"")</f>
        <v>2.19534779308539</v>
      </c>
      <c r="AK107" s="54" t="n">
        <f aca="false">IF(AK96&lt;0,AK87/-AK96,"")</f>
        <v>2.2177023554493</v>
      </c>
      <c r="AL107" s="54" t="n">
        <f aca="false">IF(AL96&lt;0,AL87/-AL96,"")</f>
        <v>2.2096168623635</v>
      </c>
      <c r="AM107" s="54" t="n">
        <f aca="false">IF(AM96&lt;0,AM87/-AM96,"")</f>
        <v>2.17469397238338</v>
      </c>
      <c r="AN107" s="54" t="n">
        <f aca="false">IF(AN96&lt;0,AN87/-AN96,"")</f>
        <v>2.19707437578595</v>
      </c>
      <c r="AO107" s="54" t="n">
        <f aca="false">IF(AO96&lt;0,AO87/-AO96,"")</f>
        <v>2.21944170710584</v>
      </c>
      <c r="AP107" s="54" t="n">
        <f aca="false">IF(AP96&lt;0,AP87/-AP96,"")</f>
        <v>2.21125971572539</v>
      </c>
      <c r="AQ107" s="54" t="n">
        <f aca="false">IF(AQ96&lt;0,AQ87/-AQ96,"")</f>
        <v>2.17602824902814</v>
      </c>
      <c r="AR107" s="54" t="n">
        <f aca="false">IF(AR96&lt;0,AR87/-AR96,"")</f>
        <v>2.1984175580676</v>
      </c>
      <c r="AS107" s="54" t="n">
        <f aca="false">IF(AS96&lt;0,AS87/-AS96,"")</f>
        <v>2.22079312906271</v>
      </c>
      <c r="AT107" s="54" t="n">
        <f aca="false">IF(AT96&lt;0,AT87/-AT96,"")</f>
        <v>2.21251184919427</v>
      </c>
      <c r="AU107" s="54" t="n">
        <f aca="false">IF(AU96&lt;0,AU87/-AU96,"")</f>
        <v>2.20051536518427</v>
      </c>
      <c r="AV107" s="54" t="n">
        <f aca="false">IF(AV96&lt;0,AV87/-AV96,"")</f>
        <v>2.19936033049274</v>
      </c>
      <c r="AW107" s="54" t="n">
        <f aca="false">IF(AW96&lt;0,AW87/-AW96,"")</f>
        <v>2.22173940886215</v>
      </c>
      <c r="AX107" s="54" t="n">
        <f aca="false">IF(AX96&lt;0,AX87/-AX96,"")</f>
        <v>2.21335591792084</v>
      </c>
      <c r="AY107" s="54" t="n">
        <f aca="false">IF(AY96&lt;0,AY87/-AY96,"")</f>
        <v>2.17749215604836</v>
      </c>
      <c r="AZ107" s="54" t="n">
        <f aca="false">IF(AZ96&lt;0,AZ87/-AZ96,"")</f>
        <v>2.1998849713019</v>
      </c>
      <c r="BA107" s="54" t="n">
        <f aca="false">IF(BA96&lt;0,BA87/-BA96,"")</f>
        <v>2.22226261307639</v>
      </c>
      <c r="BB107" s="54" t="n">
        <f aca="false">IF(BB96&lt;0,BB87/-BB96,"")</f>
        <v>2.21377384930841</v>
      </c>
      <c r="BC107" s="54" t="n">
        <f aca="false">IF(BC96&lt;0,BC87/-BC96,"")</f>
        <v>2.17758602752475</v>
      </c>
      <c r="BD107" s="54" t="n">
        <f aca="false">IF(BD96&lt;0,BD87/-BD96,"")</f>
        <v>2.19997301452356</v>
      </c>
      <c r="BE107" s="54" t="n">
        <f aca="false">IF(BE96&lt;0,BE87/-BE96,"")</f>
        <v>2.22234405502534</v>
      </c>
      <c r="BF107" s="54" t="n">
        <f aca="false">IF(BF96&lt;0,BF87/-BF96,"")</f>
        <v>2.21374681038294</v>
      </c>
      <c r="BG107" s="54" t="n">
        <f aca="false">IF(BG96&lt;0,BG87/-BG96,"")</f>
        <v>2.17722941328303</v>
      </c>
      <c r="BH107" s="54" t="n">
        <f aca="false">IF(BH96&lt;0,BH87/-BH96,"")</f>
        <v>2.19960521657102</v>
      </c>
      <c r="BI107" s="54" t="n">
        <f aca="false">IF(BI96&lt;0,BI87/-BI96,"")</f>
        <v>2.22196426096232</v>
      </c>
      <c r="BJ107" s="54" t="n">
        <f aca="false">IF(BJ96&lt;0,BJ87/-BJ96,"")</f>
        <v>2.21325517361327</v>
      </c>
      <c r="BK107" s="54" t="n">
        <f aca="false">IF(BK96&lt;0,BK87/-BK96,"")</f>
        <v>2.20017053599901</v>
      </c>
      <c r="BL107" s="54" t="n">
        <f aca="false">IF(BL96&lt;0,BL87/-BL96,"")</f>
        <v>2.19876152125158</v>
      </c>
      <c r="BM107" s="54" t="n">
        <f aca="false">IF(BM96&lt;0,BM87/-BM96,"")</f>
        <v>2.2211029346527</v>
      </c>
      <c r="BN107" s="54" t="n">
        <f aca="false">IF(BN96&lt;0,BN87/-BN96,"")</f>
        <v>2.2122784811055</v>
      </c>
      <c r="BO107" s="54" t="n">
        <f aca="false">IF(BO96&lt;0,BO87/-BO96,"")</f>
        <v>2.17508461598579</v>
      </c>
      <c r="BP107" s="54" t="n">
        <f aca="false">IF(BP96&lt;0,BP87/-BP96,"")</f>
        <v>2.19742102311024</v>
      </c>
      <c r="BQ107" s="54" t="n">
        <f aca="false">IF(BQ96&lt;0,BQ87/-BQ96,"")</f>
        <v>2.21973892026622</v>
      </c>
      <c r="BR107" s="54" t="n">
        <f aca="false">IF(BR96&lt;0,BR87/-BR96,"")</f>
        <v>2.21079540709149</v>
      </c>
      <c r="BS107" s="54" t="n">
        <f aca="false">IF(BS96&lt;0,BS87/-BS96,"")</f>
        <v>2.17325424158655</v>
      </c>
      <c r="BT107" s="54" t="n">
        <f aca="false">IF(BT96&lt;0,BT87/-BT96,"")</f>
        <v>2.19556192902585</v>
      </c>
      <c r="BU107" s="54" t="n">
        <f aca="false">IF(BU96&lt;0,BU87/-BU96,"")</f>
        <v>2.2178501635001</v>
      </c>
      <c r="BV107" s="54" t="n">
        <f aca="false">IF(BV96&lt;0,BV87/-BV96,"")</f>
        <v>2.20878371862746</v>
      </c>
      <c r="BW107" s="54" t="n">
        <f aca="false">IF(BW96&lt;0,BW87/-BW96,"")</f>
        <v>2.17088892109845</v>
      </c>
      <c r="BX107" s="54" t="n">
        <f aca="false">IF(BX96&lt;0,BX87/-BX96,"")</f>
        <v>2.19316151797359</v>
      </c>
      <c r="BY107" s="54" t="n">
        <f aca="false">IF(BY96&lt;0,BY87/-BY96,"")</f>
        <v>2.21541367084581</v>
      </c>
      <c r="BZ107" s="54" t="n">
        <f aca="false">IF(BZ96&lt;0,BZ87/-BZ96,"")</f>
        <v>2.20622023441461</v>
      </c>
      <c r="CA107" s="54" t="n">
        <f aca="false">IF(CA96&lt;0,CA87/-CA96,"")</f>
        <v>2.19191494122645</v>
      </c>
      <c r="CB107" s="54" t="n">
        <f aca="false">IF(CB96&lt;0,CB87/-CB96,"")</f>
        <v>2.1901960988635</v>
      </c>
      <c r="CC107" s="54" t="n">
        <f aca="false">IF(CC96&lt;0,CC87/-CC96,"")</f>
        <v>2.21240546690797</v>
      </c>
      <c r="CD107" s="54" t="n">
        <f aca="false">IF(CD96&lt;0,CD87/-CD96,"")</f>
        <v>2.20308078164896</v>
      </c>
      <c r="CE107" s="54" t="n">
        <f aca="false">IF(CE96&lt;0,CE87/-CE96,"")</f>
        <v>2.16445880292382</v>
      </c>
      <c r="CF107" s="54" t="n">
        <f aca="false">IF(CF96&lt;0,CF87/-CF96,"")</f>
        <v>2.18664096636005</v>
      </c>
      <c r="CG107" s="54" t="n">
        <f aca="false">IF(CG96&lt;0,CG87/-CG96,"")</f>
        <v>2.20880054967925</v>
      </c>
      <c r="CH107" s="54" t="str">
        <f aca="false">IF(CH96&lt;0,CH87/-CH96,"")</f>
        <v/>
      </c>
      <c r="CI107" s="54" t="str">
        <f aca="false">IF(CI96&lt;0,CI87/-CI96,"")</f>
        <v/>
      </c>
      <c r="CJ107" s="54" t="str">
        <f aca="false">IF(CJ96&lt;0,CJ87/-CJ96,"")</f>
        <v/>
      </c>
      <c r="CK107" s="54" t="str">
        <f aca="false">IF(CK96&lt;0,CK87/-CK96,"")</f>
        <v/>
      </c>
      <c r="CL107" s="54" t="str">
        <f aca="false">IF(CL96&lt;0,CL87/-CL96,"")</f>
        <v/>
      </c>
      <c r="CM107" s="54" t="str">
        <f aca="false">IF(CM96&lt;0,CM87/-CM96,"")</f>
        <v/>
      </c>
      <c r="CN107" s="54" t="str">
        <f aca="false">IF(CN96&lt;0,CN87/-CN96,"")</f>
        <v/>
      </c>
      <c r="CO107" s="54" t="str">
        <f aca="false">IF(CO96&lt;0,CO87/-CO96,"")</f>
        <v/>
      </c>
      <c r="CP107" s="54" t="str">
        <f aca="false">IF(CP96&lt;0,CP87/-CP96,"")</f>
        <v/>
      </c>
      <c r="CQ107" s="54" t="str">
        <f aca="false">IF(CQ96&lt;0,CQ87/-CQ96,"")</f>
        <v/>
      </c>
      <c r="CR107" s="54" t="str">
        <f aca="false">IF(CR96&lt;0,CR87/-CR96,"")</f>
        <v/>
      </c>
      <c r="CS107" s="54" t="str">
        <f aca="false">IF(CS96&lt;0,CS87/-CS96,"")</f>
        <v/>
      </c>
      <c r="CT107" s="54" t="str">
        <f aca="false">IF(CT96&lt;0,CT87/-CT96,"")</f>
        <v/>
      </c>
      <c r="CU107" s="54" t="str">
        <f aca="false">IF(CU96&lt;0,CU87/-CU96,"")</f>
        <v/>
      </c>
      <c r="CV107" s="54" t="str">
        <f aca="false">IF(CV96&lt;0,CV87/-CV96,"")</f>
        <v/>
      </c>
      <c r="CW107" s="54" t="str">
        <f aca="false">IF(CW96&lt;0,CW87/-CW96,"")</f>
        <v/>
      </c>
      <c r="CX107" s="54" t="str">
        <f aca="false">IF(CX96&lt;0,CX87/-CX96,"")</f>
        <v/>
      </c>
      <c r="CY107" s="54" t="str">
        <f aca="false">IF(CY96&lt;0,CY87/-CY96,"")</f>
        <v/>
      </c>
      <c r="CZ107" s="54" t="str">
        <f aca="false">IF(CZ96&lt;0,CZ87/-CZ96,"")</f>
        <v/>
      </c>
      <c r="DA107" s="54" t="str">
        <f aca="false">IF(DA96&lt;0,DA87/-DA96,"")</f>
        <v/>
      </c>
      <c r="DB107" s="54" t="str">
        <f aca="false">IF(DB96&lt;0,DB87/-DB96,"")</f>
        <v/>
      </c>
      <c r="DC107" s="54" t="str">
        <f aca="false">IF(DC96&lt;0,DC87/-DC96,"")</f>
        <v/>
      </c>
      <c r="DD107" s="54" t="str">
        <f aca="false">IF(DD96&lt;0,DD87/-DD96,"")</f>
        <v/>
      </c>
      <c r="DE107" s="54" t="str">
        <f aca="false">IF(DE96&lt;0,DE87/-DE96,"")</f>
        <v/>
      </c>
      <c r="DF107" s="54" t="str">
        <f aca="false">IF(DF96&lt;0,DF87/-DF96,"")</f>
        <v/>
      </c>
      <c r="DG107" s="54" t="str">
        <f aca="false">IF(DG96&lt;0,DG87/-DG96,"")</f>
        <v/>
      </c>
      <c r="DH107" s="54" t="str">
        <f aca="false">IF(DH96&lt;0,DH87/-DH96,"")</f>
        <v/>
      </c>
      <c r="DI107" s="54" t="str">
        <f aca="false">IF(DI96&lt;0,DI87/-DI96,"")</f>
        <v/>
      </c>
      <c r="DJ107" s="54" t="str">
        <f aca="false">IF(DJ96&lt;0,DJ87/-DJ96,"")</f>
        <v/>
      </c>
      <c r="DK107" s="54" t="str">
        <f aca="false">IF(DK96&lt;0,DK87/-DK96,"")</f>
        <v/>
      </c>
      <c r="DL107" s="54" t="str">
        <f aca="false">IF(DL96&lt;0,DL87/-DL96,"")</f>
        <v/>
      </c>
      <c r="DM107" s="54" t="str">
        <f aca="false">IF(DM96&lt;0,DM87/-DM96,"")</f>
        <v/>
      </c>
      <c r="DN107" s="54" t="str">
        <f aca="false">IF(DN96&lt;0,DN87/-DN96,"")</f>
        <v/>
      </c>
      <c r="DO107" s="54" t="str">
        <f aca="false">IF(DO96&lt;0,DO87/-DO96,"")</f>
        <v/>
      </c>
      <c r="DP107" s="54" t="str">
        <f aca="false">IF(DP96&lt;0,DP87/-DP96,"")</f>
        <v/>
      </c>
      <c r="DQ107" s="54" t="str">
        <f aca="false">IF(DQ96&lt;0,DQ87/-DQ96,"")</f>
        <v/>
      </c>
      <c r="DR107" s="54" t="str">
        <f aca="false">IF(DR96&lt;0,DR87/-DR96,"")</f>
        <v/>
      </c>
      <c r="DS107" s="54" t="str">
        <f aca="false">IF(DS96&lt;0,DS87/-DS96,"")</f>
        <v/>
      </c>
      <c r="DT107" s="54" t="str">
        <f aca="false">IF(DT96&lt;0,DT87/-DT96,"")</f>
        <v/>
      </c>
      <c r="DU107" s="54" t="str">
        <f aca="false">IF(DU96&lt;0,DU87/-DU96,"")</f>
        <v/>
      </c>
      <c r="DV107" s="54" t="str">
        <f aca="false">IF(DV96&lt;0,DV87/-DV96,"")</f>
        <v/>
      </c>
      <c r="DW107" s="54" t="str">
        <f aca="false">IF(DW96&lt;0,DW87/-DW96,"")</f>
        <v/>
      </c>
      <c r="DX107" s="54" t="str">
        <f aca="false">IF(DX96&lt;0,DX87/-DX96,"")</f>
        <v/>
      </c>
      <c r="DY107" s="54" t="str">
        <f aca="false">IF(DY96&lt;0,DY87/-DY96,"")</f>
        <v/>
      </c>
      <c r="DZ107" s="54" t="str">
        <f aca="false">IF(DZ96&lt;0,DZ87/-DZ96,"")</f>
        <v/>
      </c>
      <c r="EA107" s="54" t="str">
        <f aca="false">IF(EA96&lt;0,EA87/-EA96,"")</f>
        <v/>
      </c>
      <c r="EB107" s="54" t="str">
        <f aca="false">IF(EB96&lt;0,EB87/-EB96,"")</f>
        <v/>
      </c>
      <c r="EC107" s="54" t="str">
        <f aca="false">IF(EC96&lt;0,EC87/-EC96,"")</f>
        <v/>
      </c>
      <c r="ED107" s="54" t="str">
        <f aca="false">IF(ED96&lt;0,ED87/-ED96,"")</f>
        <v/>
      </c>
      <c r="EE107" s="54" t="str">
        <f aca="false">IF(EE96&lt;0,EE87/-EE96,"")</f>
        <v/>
      </c>
      <c r="EF107" s="54" t="str">
        <f aca="false">IF(EF96&lt;0,EF87/-EF96,"")</f>
        <v/>
      </c>
      <c r="EG107" s="54" t="str">
        <f aca="false">IF(EG96&lt;0,EG87/-EG96,"")</f>
        <v/>
      </c>
      <c r="EH107" s="54" t="str">
        <f aca="false">IF(EH96&lt;0,EH87/-EH96,"")</f>
        <v/>
      </c>
      <c r="EI107" s="54" t="str">
        <f aca="false">IF(EI96&lt;0,EI87/-EI96,"")</f>
        <v/>
      </c>
      <c r="EJ107" s="54" t="str">
        <f aca="false">IF(EJ96&lt;0,EJ87/-EJ96,"")</f>
        <v/>
      </c>
      <c r="EK107" s="54" t="str">
        <f aca="false">IF(EK96&lt;0,EK87/-EK96,"")</f>
        <v/>
      </c>
      <c r="EL107" s="54" t="str">
        <f aca="false">IF(EL96&lt;0,EL87/-EL96,"")</f>
        <v/>
      </c>
      <c r="EM107" s="54" t="str">
        <f aca="false">IF(EM96&lt;0,EM87/-EM96,"")</f>
        <v/>
      </c>
      <c r="EN107" s="54" t="str">
        <f aca="false">IF(EN96&lt;0,EN87/-EN96,"")</f>
        <v/>
      </c>
      <c r="EO107" s="54" t="str">
        <f aca="false">IF(EO96&lt;0,EO87/-EO96,"")</f>
        <v/>
      </c>
    </row>
    <row r="109" customFormat="false" ht="15" hidden="false" customHeight="false" outlineLevel="0" collapsed="false">
      <c r="A109" s="10" t="s">
        <v>13</v>
      </c>
      <c r="B109" s="10"/>
      <c r="C109" s="10" t="s">
        <v>506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customFormat="false" ht="15" hidden="false" customHeight="false" outlineLevel="0" collapsed="false">
      <c r="C110" s="1" t="s">
        <v>507</v>
      </c>
      <c r="D110" s="12" t="s">
        <v>33</v>
      </c>
      <c r="E110" s="49" t="n">
        <f aca="false">$I101-($I68+$I58+$I69+$I55+$I48+$I49+$I50)</f>
        <v>83080.7577025533</v>
      </c>
      <c r="I110" s="49" t="n">
        <f aca="false">SUM(J110:EO110)</f>
        <v>-83080.7577025533</v>
      </c>
      <c r="J110" s="49" t="n">
        <f aca="false">-$E110*J20</f>
        <v>-0</v>
      </c>
      <c r="K110" s="49" t="n">
        <f aca="false">-$E110*K20</f>
        <v>-0</v>
      </c>
      <c r="L110" s="49" t="n">
        <f aca="false">-$E110*L20</f>
        <v>-0</v>
      </c>
      <c r="M110" s="49" t="n">
        <f aca="false">-$E110*M20</f>
        <v>-0</v>
      </c>
      <c r="N110" s="49" t="n">
        <f aca="false">-$E110*N20</f>
        <v>-0</v>
      </c>
      <c r="O110" s="49" t="n">
        <f aca="false">-$E110*O20</f>
        <v>-0</v>
      </c>
      <c r="P110" s="49" t="n">
        <f aca="false">-$E110*P20</f>
        <v>-0</v>
      </c>
      <c r="Q110" s="49" t="n">
        <f aca="false">-$E110*Q20</f>
        <v>-0</v>
      </c>
      <c r="R110" s="49" t="n">
        <f aca="false">-$E110*R20</f>
        <v>-0</v>
      </c>
      <c r="S110" s="49" t="n">
        <f aca="false">-$E110*S20</f>
        <v>-0</v>
      </c>
      <c r="T110" s="49" t="n">
        <f aca="false">-$E110*T20</f>
        <v>-0</v>
      </c>
      <c r="U110" s="49" t="n">
        <f aca="false">-$E110*U20</f>
        <v>-0</v>
      </c>
      <c r="V110" s="49" t="n">
        <f aca="false">-$E110*V20</f>
        <v>-0</v>
      </c>
      <c r="W110" s="49" t="n">
        <f aca="false">-$E110*W20</f>
        <v>-0</v>
      </c>
      <c r="X110" s="49" t="n">
        <f aca="false">-$E110*X20</f>
        <v>-0</v>
      </c>
      <c r="Y110" s="49" t="n">
        <f aca="false">-$E110*Y20</f>
        <v>-0</v>
      </c>
      <c r="Z110" s="49" t="n">
        <f aca="false">-$E110*Z20</f>
        <v>-1046.32850220875</v>
      </c>
      <c r="AA110" s="49" t="n">
        <f aca="false">-$E110*AA20</f>
        <v>-1023.5822304216</v>
      </c>
      <c r="AB110" s="49" t="n">
        <f aca="false">-$E110*AB20</f>
        <v>-1034.95536631517</v>
      </c>
      <c r="AC110" s="49" t="n">
        <f aca="false">-$E110*AC20</f>
        <v>-1046.32850220875</v>
      </c>
      <c r="AD110" s="49" t="n">
        <f aca="false">-$E110*AD20</f>
        <v>-1046.32850220875</v>
      </c>
      <c r="AE110" s="49" t="n">
        <f aca="false">-$E110*AE20</f>
        <v>-1034.95536631517</v>
      </c>
      <c r="AF110" s="49" t="n">
        <f aca="false">-$E110*AF20</f>
        <v>-1034.95536631517</v>
      </c>
      <c r="AG110" s="49" t="n">
        <f aca="false">-$E110*AG20</f>
        <v>-1046.32850220875</v>
      </c>
      <c r="AH110" s="49" t="n">
        <f aca="false">-$E110*AH20</f>
        <v>-1046.32850220875</v>
      </c>
      <c r="AI110" s="49" t="n">
        <f aca="false">-$E110*AI20</f>
        <v>-1023.5822304216</v>
      </c>
      <c r="AJ110" s="49" t="n">
        <f aca="false">-$E110*AJ20</f>
        <v>-1034.95536631517</v>
      </c>
      <c r="AK110" s="49" t="n">
        <f aca="false">-$E110*AK20</f>
        <v>-1046.32850220875</v>
      </c>
      <c r="AL110" s="49" t="n">
        <f aca="false">-$E110*AL20</f>
        <v>-1046.32850220875</v>
      </c>
      <c r="AM110" s="49" t="n">
        <f aca="false">-$E110*AM20</f>
        <v>-1023.5822304216</v>
      </c>
      <c r="AN110" s="49" t="n">
        <f aca="false">-$E110*AN20</f>
        <v>-1034.95536631517</v>
      </c>
      <c r="AO110" s="49" t="n">
        <f aca="false">-$E110*AO20</f>
        <v>-1046.32850220875</v>
      </c>
      <c r="AP110" s="49" t="n">
        <f aca="false">-$E110*AP20</f>
        <v>-1046.32850220875</v>
      </c>
      <c r="AQ110" s="49" t="n">
        <f aca="false">-$E110*AQ20</f>
        <v>-1023.5822304216</v>
      </c>
      <c r="AR110" s="49" t="n">
        <f aca="false">-$E110*AR20</f>
        <v>-1034.95536631517</v>
      </c>
      <c r="AS110" s="49" t="n">
        <f aca="false">-$E110*AS20</f>
        <v>-1046.32850220875</v>
      </c>
      <c r="AT110" s="49" t="n">
        <f aca="false">-$E110*AT20</f>
        <v>-1046.32850220875</v>
      </c>
      <c r="AU110" s="49" t="n">
        <f aca="false">-$E110*AU20</f>
        <v>-1034.95536631517</v>
      </c>
      <c r="AV110" s="49" t="n">
        <f aca="false">-$E110*AV20</f>
        <v>-1034.95536631517</v>
      </c>
      <c r="AW110" s="49" t="n">
        <f aca="false">-$E110*AW20</f>
        <v>-1046.32850220875</v>
      </c>
      <c r="AX110" s="49" t="n">
        <f aca="false">-$E110*AX20</f>
        <v>-1046.32850220875</v>
      </c>
      <c r="AY110" s="49" t="n">
        <f aca="false">-$E110*AY20</f>
        <v>-1023.5822304216</v>
      </c>
      <c r="AZ110" s="49" t="n">
        <f aca="false">-$E110*AZ20</f>
        <v>-1034.95536631517</v>
      </c>
      <c r="BA110" s="49" t="n">
        <f aca="false">-$E110*BA20</f>
        <v>-1046.32850220875</v>
      </c>
      <c r="BB110" s="49" t="n">
        <f aca="false">-$E110*BB20</f>
        <v>-1046.32850220875</v>
      </c>
      <c r="BC110" s="49" t="n">
        <f aca="false">-$E110*BC20</f>
        <v>-1023.5822304216</v>
      </c>
      <c r="BD110" s="49" t="n">
        <f aca="false">-$E110*BD20</f>
        <v>-1034.95536631517</v>
      </c>
      <c r="BE110" s="49" t="n">
        <f aca="false">-$E110*BE20</f>
        <v>-1046.32850220875</v>
      </c>
      <c r="BF110" s="49" t="n">
        <f aca="false">-$E110*BF20</f>
        <v>-1046.32850220875</v>
      </c>
      <c r="BG110" s="49" t="n">
        <f aca="false">-$E110*BG20</f>
        <v>-1023.5822304216</v>
      </c>
      <c r="BH110" s="49" t="n">
        <f aca="false">-$E110*BH20</f>
        <v>-1034.95536631517</v>
      </c>
      <c r="BI110" s="49" t="n">
        <f aca="false">-$E110*BI20</f>
        <v>-1046.32850220875</v>
      </c>
      <c r="BJ110" s="49" t="n">
        <f aca="false">-$E110*BJ20</f>
        <v>-1046.32850220875</v>
      </c>
      <c r="BK110" s="49" t="n">
        <f aca="false">-$E110*BK20</f>
        <v>-1034.95536631517</v>
      </c>
      <c r="BL110" s="49" t="n">
        <f aca="false">-$E110*BL20</f>
        <v>-1034.95536631517</v>
      </c>
      <c r="BM110" s="49" t="n">
        <f aca="false">-$E110*BM20</f>
        <v>-1046.32850220875</v>
      </c>
      <c r="BN110" s="49" t="n">
        <f aca="false">-$E110*BN20</f>
        <v>-1046.32850220875</v>
      </c>
      <c r="BO110" s="49" t="n">
        <f aca="false">-$E110*BO20</f>
        <v>-1023.5822304216</v>
      </c>
      <c r="BP110" s="49" t="n">
        <f aca="false">-$E110*BP20</f>
        <v>-1034.95536631517</v>
      </c>
      <c r="BQ110" s="49" t="n">
        <f aca="false">-$E110*BQ20</f>
        <v>-1046.32850220875</v>
      </c>
      <c r="BR110" s="49" t="n">
        <f aca="false">-$E110*BR20</f>
        <v>-1046.32850220875</v>
      </c>
      <c r="BS110" s="49" t="n">
        <f aca="false">-$E110*BS20</f>
        <v>-1023.5822304216</v>
      </c>
      <c r="BT110" s="49" t="n">
        <f aca="false">-$E110*BT20</f>
        <v>-1034.95536631517</v>
      </c>
      <c r="BU110" s="49" t="n">
        <f aca="false">-$E110*BU20</f>
        <v>-1046.32850220875</v>
      </c>
      <c r="BV110" s="49" t="n">
        <f aca="false">-$E110*BV20</f>
        <v>-1046.32850220875</v>
      </c>
      <c r="BW110" s="49" t="n">
        <f aca="false">-$E110*BW20</f>
        <v>-1023.5822304216</v>
      </c>
      <c r="BX110" s="49" t="n">
        <f aca="false">-$E110*BX20</f>
        <v>-1034.95536631517</v>
      </c>
      <c r="BY110" s="49" t="n">
        <f aca="false">-$E110*BY20</f>
        <v>-1046.32850220875</v>
      </c>
      <c r="BZ110" s="49" t="n">
        <f aca="false">-$E110*BZ20</f>
        <v>-1046.32850220875</v>
      </c>
      <c r="CA110" s="49" t="n">
        <f aca="false">-$E110*CA20</f>
        <v>-1034.95536631517</v>
      </c>
      <c r="CB110" s="49" t="n">
        <f aca="false">-$E110*CB20</f>
        <v>-1034.95536631517</v>
      </c>
      <c r="CC110" s="49" t="n">
        <f aca="false">-$E110*CC20</f>
        <v>-1046.32850220875</v>
      </c>
      <c r="CD110" s="49" t="n">
        <f aca="false">-$E110*CD20</f>
        <v>-1046.32850220875</v>
      </c>
      <c r="CE110" s="49" t="n">
        <f aca="false">-$E110*CE20</f>
        <v>-1023.5822304216</v>
      </c>
      <c r="CF110" s="49" t="n">
        <f aca="false">-$E110*CF20</f>
        <v>-1034.95536631517</v>
      </c>
      <c r="CG110" s="49" t="n">
        <f aca="false">-$E110*CG20</f>
        <v>-1046.32850220875</v>
      </c>
      <c r="CH110" s="49" t="n">
        <f aca="false">-$E110*CH20</f>
        <v>-1046.32850220875</v>
      </c>
      <c r="CI110" s="49" t="n">
        <f aca="false">-$E110*CI20</f>
        <v>-1023.5822304216</v>
      </c>
      <c r="CJ110" s="49" t="n">
        <f aca="false">-$E110*CJ20</f>
        <v>-1034.95536631517</v>
      </c>
      <c r="CK110" s="49" t="n">
        <f aca="false">-$E110*CK20</f>
        <v>-1046.32850220875</v>
      </c>
      <c r="CL110" s="49" t="n">
        <f aca="false">-$E110*CL20</f>
        <v>-1046.32850220875</v>
      </c>
      <c r="CM110" s="49" t="n">
        <f aca="false">-$E110*CM20</f>
        <v>-1023.5822304216</v>
      </c>
      <c r="CN110" s="49" t="n">
        <f aca="false">-$E110*CN20</f>
        <v>-1034.95536631517</v>
      </c>
      <c r="CO110" s="49" t="n">
        <f aca="false">-$E110*CO20</f>
        <v>-1046.32850220875</v>
      </c>
      <c r="CP110" s="49" t="n">
        <f aca="false">-$E110*CP20</f>
        <v>-1046.32850220875</v>
      </c>
      <c r="CQ110" s="49" t="n">
        <f aca="false">-$E110*CQ20</f>
        <v>-1034.95536631517</v>
      </c>
      <c r="CR110" s="49" t="n">
        <f aca="false">-$E110*CR20</f>
        <v>-1034.95536631517</v>
      </c>
      <c r="CS110" s="49" t="n">
        <f aca="false">-$E110*CS20</f>
        <v>-1046.32850220875</v>
      </c>
      <c r="CT110" s="49" t="n">
        <f aca="false">-$E110*CT20</f>
        <v>-1046.32850220875</v>
      </c>
      <c r="CU110" s="49" t="n">
        <f aca="false">-$E110*CU20</f>
        <v>-1023.5822304216</v>
      </c>
      <c r="CV110" s="49" t="n">
        <f aca="false">-$E110*CV20</f>
        <v>-1034.95536631517</v>
      </c>
      <c r="CW110" s="49" t="n">
        <f aca="false">-$E110*CW20</f>
        <v>-1046.32850220875</v>
      </c>
      <c r="CX110" s="49" t="n">
        <f aca="false">-$E110*CX20</f>
        <v>-1046.32850220875</v>
      </c>
      <c r="CY110" s="49" t="n">
        <f aca="false">-$E110*CY20</f>
        <v>-1023.5822304216</v>
      </c>
      <c r="CZ110" s="49" t="n">
        <f aca="false">-$E110*CZ20</f>
        <v>-1034.95536631517</v>
      </c>
      <c r="DA110" s="49" t="n">
        <f aca="false">-$E110*DA20</f>
        <v>-1046.32850220875</v>
      </c>
      <c r="DB110" s="49" t="n">
        <f aca="false">-$E110*DB20</f>
        <v>-0</v>
      </c>
      <c r="DC110" s="49" t="n">
        <f aca="false">-$E110*DC20</f>
        <v>-0</v>
      </c>
      <c r="DD110" s="49" t="n">
        <f aca="false">-$E110*DD20</f>
        <v>-0</v>
      </c>
      <c r="DE110" s="49" t="n">
        <f aca="false">-$E110*DE20</f>
        <v>-0</v>
      </c>
      <c r="DF110" s="49" t="n">
        <f aca="false">-$E110*DF20</f>
        <v>-0</v>
      </c>
      <c r="DG110" s="49" t="n">
        <f aca="false">-$E110*DG20</f>
        <v>-0</v>
      </c>
      <c r="DH110" s="49" t="n">
        <f aca="false">-$E110*DH20</f>
        <v>-0</v>
      </c>
      <c r="DI110" s="49" t="n">
        <f aca="false">-$E110*DI20</f>
        <v>-0</v>
      </c>
      <c r="DJ110" s="49" t="n">
        <f aca="false">-$E110*DJ20</f>
        <v>-0</v>
      </c>
      <c r="DK110" s="49" t="n">
        <f aca="false">-$E110*DK20</f>
        <v>-0</v>
      </c>
      <c r="DL110" s="49" t="n">
        <f aca="false">-$E110*DL20</f>
        <v>-0</v>
      </c>
      <c r="DM110" s="49" t="n">
        <f aca="false">-$E110*DM20</f>
        <v>-0</v>
      </c>
      <c r="DN110" s="49" t="n">
        <f aca="false">-$E110*DN20</f>
        <v>-0</v>
      </c>
      <c r="DO110" s="49" t="n">
        <f aca="false">-$E110*DO20</f>
        <v>-0</v>
      </c>
      <c r="DP110" s="49" t="n">
        <f aca="false">-$E110*DP20</f>
        <v>-0</v>
      </c>
      <c r="DQ110" s="49" t="n">
        <f aca="false">-$E110*DQ20</f>
        <v>-0</v>
      </c>
      <c r="DR110" s="49" t="n">
        <f aca="false">-$E110*DR20</f>
        <v>-0</v>
      </c>
      <c r="DS110" s="49" t="n">
        <f aca="false">-$E110*DS20</f>
        <v>-0</v>
      </c>
      <c r="DT110" s="49" t="n">
        <f aca="false">-$E110*DT20</f>
        <v>-0</v>
      </c>
      <c r="DU110" s="49" t="n">
        <f aca="false">-$E110*DU20</f>
        <v>-0</v>
      </c>
      <c r="DV110" s="49" t="n">
        <f aca="false">-$E110*DV20</f>
        <v>-0</v>
      </c>
      <c r="DW110" s="49" t="n">
        <f aca="false">-$E110*DW20</f>
        <v>-0</v>
      </c>
      <c r="DX110" s="49" t="n">
        <f aca="false">-$E110*DX20</f>
        <v>-0</v>
      </c>
      <c r="DY110" s="49" t="n">
        <f aca="false">-$E110*DY20</f>
        <v>-0</v>
      </c>
      <c r="DZ110" s="49" t="n">
        <f aca="false">-$E110*DZ20</f>
        <v>-0</v>
      </c>
      <c r="EA110" s="49" t="n">
        <f aca="false">-$E110*EA20</f>
        <v>-0</v>
      </c>
      <c r="EB110" s="49" t="n">
        <f aca="false">-$E110*EB20</f>
        <v>-0</v>
      </c>
      <c r="EC110" s="49" t="n">
        <f aca="false">-$E110*EC20</f>
        <v>-0</v>
      </c>
      <c r="ED110" s="49" t="n">
        <f aca="false">-$E110*ED20</f>
        <v>-0</v>
      </c>
      <c r="EE110" s="49" t="n">
        <f aca="false">-$E110*EE20</f>
        <v>-0</v>
      </c>
      <c r="EF110" s="49" t="n">
        <f aca="false">-$E110*EF20</f>
        <v>-0</v>
      </c>
      <c r="EG110" s="49" t="n">
        <f aca="false">-$E110*EG20</f>
        <v>-0</v>
      </c>
      <c r="EH110" s="49" t="n">
        <f aca="false">-$E110*EH20</f>
        <v>-0</v>
      </c>
      <c r="EI110" s="49" t="n">
        <f aca="false">-$E110*EI20</f>
        <v>-0</v>
      </c>
      <c r="EJ110" s="49" t="n">
        <f aca="false">-$E110*EJ20</f>
        <v>-0</v>
      </c>
      <c r="EK110" s="49" t="n">
        <f aca="false">-$E110*EK20</f>
        <v>-0</v>
      </c>
      <c r="EL110" s="49" t="n">
        <f aca="false">-$E110*EL20</f>
        <v>-0</v>
      </c>
      <c r="EM110" s="49" t="n">
        <f aca="false">-$E110*EM20</f>
        <v>-0</v>
      </c>
      <c r="EN110" s="49" t="n">
        <f aca="false">-$E110*EN20</f>
        <v>-0</v>
      </c>
      <c r="EO110" s="49" t="n">
        <f aca="false">-$E110*EO20</f>
        <v>-0</v>
      </c>
    </row>
    <row r="111" customFormat="false" ht="15" hidden="false" customHeight="false" outlineLevel="0" collapsed="false">
      <c r="C111" s="1" t="s">
        <v>508</v>
      </c>
      <c r="D111" s="12" t="s">
        <v>33</v>
      </c>
      <c r="I111" s="49" t="n">
        <f aca="false">SUM(J111:EO111)</f>
        <v>191748.876151791</v>
      </c>
      <c r="J111" s="49" t="n">
        <f aca="false">J83+J110+J94+J104+J105+J52+J59</f>
        <v>-12.8099380746857</v>
      </c>
      <c r="K111" s="49" t="n">
        <f aca="false">K83+K110+K94+K104+K105+K52+K59</f>
        <v>-19.6746856821167</v>
      </c>
      <c r="L111" s="49" t="n">
        <f aca="false">L83+L110+L94+L104+L105+L52+L59</f>
        <v>-33.1554888346782</v>
      </c>
      <c r="M111" s="49" t="n">
        <f aca="false">M83+M110+M94+M104+M105+M52+M59</f>
        <v>-33.5198348658285</v>
      </c>
      <c r="N111" s="49" t="n">
        <f aca="false">N83+N110+N94+N104+N105+N52+N59</f>
        <v>-33.5198348658285</v>
      </c>
      <c r="O111" s="49" t="n">
        <f aca="false">O83+O110+O94+O104+O105+O52+O59</f>
        <v>-33.1554888346782</v>
      </c>
      <c r="P111" s="49" t="n">
        <f aca="false">P83+P110+P94+P104+P105+P52+P59</f>
        <v>-33.1554888346782</v>
      </c>
      <c r="Q111" s="49" t="n">
        <f aca="false">Q83+Q110+Q94+Q104+Q105+Q52+Q59</f>
        <v>-33.5198348658285</v>
      </c>
      <c r="R111" s="49" t="n">
        <f aca="false">R83+R110+R94+R104+R105+R52+R59</f>
        <v>-928.575842568013</v>
      </c>
      <c r="S111" s="49" t="n">
        <f aca="false">S83+S110+S94+S104+S105+S52+S59</f>
        <v>-156.507584054135</v>
      </c>
      <c r="T111" s="49" t="n">
        <f aca="false">T83+T110+T94+T104+T105+T52+T59</f>
        <v>-138.336002143563</v>
      </c>
      <c r="U111" s="49" t="n">
        <f aca="false">U83+U110+U94+U104+U105+U52+U59</f>
        <v>-129.790754824659</v>
      </c>
      <c r="V111" s="49" t="n">
        <f aca="false">V83+V110+V94+V104+V105+V52+V59</f>
        <v>-119.614722612237</v>
      </c>
      <c r="W111" s="49" t="n">
        <f aca="false">W83+W110+W94+W104+W105+W52+W59</f>
        <v>-108.101519607337</v>
      </c>
      <c r="X111" s="49" t="n">
        <f aca="false">X83+X110+X94+X104+X105+X52+X59</f>
        <v>-99.4560379834396</v>
      </c>
      <c r="Y111" s="49" t="n">
        <f aca="false">Y83+Y110+Y94+Y104+Y105+Y52+Y59</f>
        <v>-90.4835383111278</v>
      </c>
      <c r="Z111" s="49" t="n">
        <f aca="false">Z83+Z110+Z94+Z104+Z105+Z52+Z59</f>
        <v>772.499403042138</v>
      </c>
      <c r="AA111" s="49" t="n">
        <f aca="false">AA83+AA110+AA94+AA104+AA105+AA52+AA59</f>
        <v>765.865793083904</v>
      </c>
      <c r="AB111" s="49" t="n">
        <f aca="false">AB83+AB110+AB94+AB104+AB105+AB52+AB59</f>
        <v>786.535738148658</v>
      </c>
      <c r="AC111" s="49" t="n">
        <f aca="false">AC83+AC110+AC94+AC104+AC105+AC52+AC59</f>
        <v>807.283195292379</v>
      </c>
      <c r="AD111" s="49" t="n">
        <f aca="false">AD83+AD110+AD94+AD104+AD105+AD52+AD59</f>
        <v>805.166093098526</v>
      </c>
      <c r="AE111" s="49" t="n">
        <f aca="false">AE83+AE110+AE94+AE104+AE105+AE52+AE59</f>
        <v>813.093046321261</v>
      </c>
      <c r="AF111" s="49" t="n">
        <f aca="false">AF83+AF110+AF94+AF104+AF105+AF52+AF59</f>
        <v>819.609922956874</v>
      </c>
      <c r="AG111" s="49" t="n">
        <f aca="false">AG83+AG110+AG94+AG104+AG105+AG52+AG59</f>
        <v>840.759496979469</v>
      </c>
      <c r="AH111" s="49" t="n">
        <f aca="false">AH83+AH110+AH94+AH104+AH105+AH52+AH59</f>
        <v>838.912522142035</v>
      </c>
      <c r="AI111" s="49" t="n">
        <f aca="false">AI83+AI110+AI94+AI104+AI105+AI52+AI59</f>
        <v>832.310761198378</v>
      </c>
      <c r="AJ111" s="49" t="n">
        <f aca="false">AJ83+AJ110+AJ94+AJ104+AJ105+AJ52+AJ59</f>
        <v>886.946463053978</v>
      </c>
      <c r="AK111" s="49" t="n">
        <f aca="false">AK83+AK110+AK94+AK104+AK105+AK52+AK59</f>
        <v>908.876633119943</v>
      </c>
      <c r="AL111" s="49" t="n">
        <f aca="false">AL83+AL110+AL94+AL104+AL105+AL52+AL59</f>
        <v>907.316105758698</v>
      </c>
      <c r="AM111" s="49" t="n">
        <f aca="false">AM83+AM110+AM94+AM104+AM105+AM52+AM59</f>
        <v>900.022145336225</v>
      </c>
      <c r="AN111" s="49" t="n">
        <f aca="false">AN83+AN110+AN94+AN104+AN105+AN52+AN59</f>
        <v>922.293475798201</v>
      </c>
      <c r="AO111" s="49" t="n">
        <f aca="false">AO83+AO110+AO94+AO104+AO105+AO52+AO59</f>
        <v>944.654778756017</v>
      </c>
      <c r="AP111" s="49" t="n">
        <f aca="false">AP83+AP110+AP94+AP104+AP105+AP52+AP59</f>
        <v>943.39786234464</v>
      </c>
      <c r="AQ111" s="49" t="n">
        <f aca="false">AQ83+AQ110+AQ94+AQ104+AQ105+AQ52+AQ59</f>
        <v>936.155180260841</v>
      </c>
      <c r="AR111" s="49" t="n">
        <f aca="false">AR83+AR110+AR94+AR104+AR105+AR52+AR59</f>
        <v>958.868732702989</v>
      </c>
      <c r="AS111" s="49" t="n">
        <f aca="false">AS83+AS110+AS94+AS104+AS105+AS52+AS59</f>
        <v>981.676841320089</v>
      </c>
      <c r="AT111" s="49" t="n">
        <f aca="false">AT83+AT110+AT94+AT104+AT105+AT52+AT59</f>
        <v>980.741585617301</v>
      </c>
      <c r="AU111" s="49" t="n">
        <f aca="false">AU83+AU110+AU94+AU104+AU105+AU52+AU59</f>
        <v>988.788001885267</v>
      </c>
      <c r="AV111" s="49" t="n">
        <f aca="false">AV83+AV110+AV94+AV104+AV105+AV52+AV59</f>
        <v>996.737871576721</v>
      </c>
      <c r="AW111" s="49" t="n">
        <f aca="false">AW83+AW110+AW94+AW104+AW105+AW52+AW59</f>
        <v>1020.00929075074</v>
      </c>
      <c r="AX111" s="49" t="n">
        <f aca="false">AX83+AX110+AX94+AX104+AX105+AX52+AX59</f>
        <v>1019.41467691574</v>
      </c>
      <c r="AY111" s="49" t="n">
        <f aca="false">AY83+AY110+AY94+AY104+AY105+AY52+AY59</f>
        <v>1012.3223862676</v>
      </c>
      <c r="AZ111" s="49" t="n">
        <f aca="false">AZ83+AZ110+AZ94+AZ104+AZ105+AZ52+AZ59</f>
        <v>1035.97006149705</v>
      </c>
      <c r="BA111" s="49" t="n">
        <f aca="false">BA83+BA110+BA94+BA104+BA105+BA52+BA59</f>
        <v>1059.72217270752</v>
      </c>
      <c r="BB111" s="49" t="n">
        <f aca="false">BB83+BB110+BB94+BB104+BB105+BB52+BB59</f>
        <v>1059.48816071095</v>
      </c>
      <c r="BC111" s="49" t="n">
        <f aca="false">BC83+BC110+BC94+BC104+BC105+BC52+BC59</f>
        <v>1052.49683648003</v>
      </c>
      <c r="BD111" s="49" t="n">
        <f aca="false">BD83+BD110+BD94+BD104+BD105+BD52+BD59</f>
        <v>1076.63818805619</v>
      </c>
      <c r="BE111" s="49" t="n">
        <f aca="false">BE83+BE110+BE94+BE104+BE105+BE52+BE59</f>
        <v>1100.8892961396</v>
      </c>
      <c r="BF111" s="49" t="n">
        <f aca="false">BF83+BF110+BF94+BF104+BF105+BF52+BF59</f>
        <v>1101.03687458684</v>
      </c>
      <c r="BG111" s="49" t="n">
        <f aca="false">BG83+BG110+BG94+BG104+BG105+BG52+BG59</f>
        <v>1094.16501390046</v>
      </c>
      <c r="BH111" s="49" t="n">
        <f aca="false">BH83+BH110+BH94+BH104+BH105+BH52+BH59</f>
        <v>1118.81904817898</v>
      </c>
      <c r="BI111" s="49" t="n">
        <f aca="false">BI83+BI110+BI94+BI104+BI105+BI52+BI59</f>
        <v>1143.588430547</v>
      </c>
      <c r="BJ111" s="49" t="n">
        <f aca="false">BJ83+BJ110+BJ94+BJ104+BJ105+BJ52+BJ59</f>
        <v>1144.13966903671</v>
      </c>
      <c r="BK111" s="49" t="n">
        <f aca="false">BK83+BK110+BK94+BK104+BK105+BK52+BK59</f>
        <v>1152.89559206258</v>
      </c>
      <c r="BL111" s="49" t="n">
        <f aca="false">BL83+BL110+BL94+BL104+BL105+BL52+BL59</f>
        <v>1162.59355500478</v>
      </c>
      <c r="BM111" s="49" t="n">
        <f aca="false">BM83+BM110+BM94+BM104+BM105+BM52+BM59</f>
        <v>1187.90151343164</v>
      </c>
      <c r="BN111" s="49" t="n">
        <f aca="false">BN83+BN110+BN94+BN104+BN105+BN52+BN59</f>
        <v>1188.87961757851</v>
      </c>
      <c r="BO111" s="49" t="n">
        <f aca="false">BO83+BO110+BO94+BO104+BO105+BO52+BO59</f>
        <v>1182.30643859943</v>
      </c>
      <c r="BP111" s="49" t="n">
        <f aca="false">BP83+BP110+BP94+BP104+BP105+BP52+BP59</f>
        <v>1208.04695334928</v>
      </c>
      <c r="BQ111" s="49" t="n">
        <f aca="false">BQ83+BQ110+BQ94+BQ104+BQ105+BQ52+BQ59</f>
        <v>1233.91486846077</v>
      </c>
      <c r="BR111" s="49" t="n">
        <f aca="false">BR83+BR110+BR94+BR104+BR105+BR52+BR59</f>
        <v>1235.34423771828</v>
      </c>
      <c r="BS111" s="49" t="n">
        <f aca="false">BS83+BS110+BS94+BS104+BS105+BS52+BS59</f>
        <v>1228.95254850136</v>
      </c>
      <c r="BT111" s="49" t="n">
        <f aca="false">BT83+BT110+BT94+BT104+BT105+BT52+BT59</f>
        <v>1255.26904628876</v>
      </c>
      <c r="BU111" s="49" t="n">
        <f aca="false">BU83+BU110+BU94+BU104+BU105+BU52+BU59</f>
        <v>1281.71943489215</v>
      </c>
      <c r="BV111" s="49" t="n">
        <f aca="false">BV83+BV110+BV94+BV104+BV105+BV52+BV59</f>
        <v>1283.62572331767</v>
      </c>
      <c r="BW111" s="49" t="n">
        <f aca="false">BW83+BW110+BW94+BW104+BW105+BW52+BW59</f>
        <v>1277.43856996463</v>
      </c>
      <c r="BX111" s="49" t="n">
        <f aca="false">BX83+BX110+BX94+BX104+BX105+BX52+BX59</f>
        <v>1304.354433437</v>
      </c>
      <c r="BY111" s="49" t="n">
        <f aca="false">BY83+BY110+BY94+BY104+BY105+BY52+BY59</f>
        <v>1331.4110088381</v>
      </c>
      <c r="BZ111" s="49" t="n">
        <f aca="false">BZ83+BZ110+BZ94+BZ104+BZ105+BZ52+BZ59</f>
        <v>1333.82118895041</v>
      </c>
      <c r="CA111" s="49" t="n">
        <f aca="false">CA83+CA110+CA94+CA104+CA105+CA52+CA59</f>
        <v>1343.57231788703</v>
      </c>
      <c r="CB111" s="49" t="n">
        <f aca="false">CB83+CB110+CB94+CB104+CB105+CB52+CB59</f>
        <v>1355.40276151424</v>
      </c>
      <c r="CC111" s="49" t="n">
        <f aca="false">CC83+CC110+CC94+CC104+CC105+CC52+CC59</f>
        <v>1383.09049697558</v>
      </c>
      <c r="CD111" s="49" t="n">
        <f aca="false">CD83+CD110+CD94+CD104+CD105+CD52+CD59</f>
        <v>1386.03292686203</v>
      </c>
      <c r="CE111" s="49" t="n">
        <f aca="false">CE83+CE110+CE94+CE104+CE105+CE52+CE59</f>
        <v>1380.32920670573</v>
      </c>
      <c r="CF111" s="49" t="n">
        <f aca="false">CF83+CF110+CF94+CF104+CF105+CF52+CF59</f>
        <v>1408.51898783809</v>
      </c>
      <c r="CG111" s="49" t="n">
        <f aca="false">CG83+CG110+CG94+CG104+CG105+CG52+CG59</f>
        <v>1436.86418333999</v>
      </c>
      <c r="CH111" s="49" t="n">
        <f aca="false">CH83+CH110+CH94+CH104+CH105+CH52+CH59</f>
        <v>1440.36867717893</v>
      </c>
      <c r="CI111" s="49" t="n">
        <f aca="false">CI83+CI110+CI94+CI104+CI105+CI52+CI59</f>
        <v>1422.04139193661</v>
      </c>
      <c r="CJ111" s="49" t="n">
        <f aca="false">CJ83+CJ110+CJ94+CJ104+CJ105+CJ52+CJ59</f>
        <v>1437.84185184702</v>
      </c>
      <c r="CK111" s="49" t="n">
        <f aca="false">CK83+CK110+CK94+CK104+CK105+CK52+CK59</f>
        <v>1453.64231175743</v>
      </c>
      <c r="CL111" s="49" t="n">
        <f aca="false">CL83+CL110+CL94+CL104+CL105+CL52+CL59</f>
        <v>1444.34494770862</v>
      </c>
      <c r="CM111" s="49" t="n">
        <f aca="false">CM83+CM110+CM94+CM104+CM105+CM52+CM59</f>
        <v>1425.67049862352</v>
      </c>
      <c r="CN111" s="49" t="n">
        <f aca="false">CN83+CN110+CN94+CN104+CN105+CN52+CN59</f>
        <v>1441.51128194156</v>
      </c>
      <c r="CO111" s="49" t="n">
        <f aca="false">CO83+CO110+CO94+CO104+CO105+CO52+CO59</f>
        <v>1457.3520652596</v>
      </c>
      <c r="CP111" s="49" t="n">
        <f aca="false">CP83+CP110+CP94+CP104+CP105+CP52+CP59</f>
        <v>1447.99863566011</v>
      </c>
      <c r="CQ111" s="49" t="n">
        <f aca="false">CQ83+CQ110+CQ94+CQ104+CQ105+CQ52+CQ59</f>
        <v>1444.85121070055</v>
      </c>
      <c r="CR111" s="49" t="n">
        <f aca="false">CR83+CR110+CR94+CR104+CR105+CR52+CR59</f>
        <v>1444.85121070055</v>
      </c>
      <c r="CS111" s="49" t="n">
        <f aca="false">CS83+CS110+CS94+CS104+CS105+CS52+CS59</f>
        <v>1460.72869653242</v>
      </c>
      <c r="CT111" s="49" t="n">
        <f aca="false">CT83+CT110+CT94+CT104+CT105+CT52+CT59</f>
        <v>1451.31907734169</v>
      </c>
      <c r="CU111" s="49" t="n">
        <f aca="false">CU83+CU110+CU94+CU104+CU105+CU52+CU59</f>
        <v>1431.94036090531</v>
      </c>
      <c r="CV111" s="49" t="n">
        <f aca="false">CV83+CV110+CV94+CV104+CV105+CV52+CV59</f>
        <v>1447.85080935981</v>
      </c>
      <c r="CW111" s="49" t="n">
        <f aca="false">CW83+CW110+CW94+CW104+CW105+CW52+CW59</f>
        <v>1463.76125781432</v>
      </c>
      <c r="CX111" s="49" t="n">
        <f aca="false">CX83+CX110+CX94+CX104+CX105+CX52+CX59</f>
        <v>1454.29532974987</v>
      </c>
      <c r="CY111" s="49" t="n">
        <f aca="false">CY83+CY110+CY94+CY104+CY105+CY52+CY59</f>
        <v>1434.55941677741</v>
      </c>
      <c r="CZ111" s="49" t="n">
        <f aca="false">CZ83+CZ110+CZ94+CZ104+CZ105+CZ52+CZ59</f>
        <v>1450.49896585272</v>
      </c>
      <c r="DA111" s="49" t="n">
        <f aca="false">DA83+DA110+DA94+DA104+DA105+DA52+DA59</f>
        <v>1466.43851492802</v>
      </c>
      <c r="DB111" s="49" t="n">
        <f aca="false">DB83+DB110+DB94+DB104+DB105+DB52+DB59</f>
        <v>2503.24466583138</v>
      </c>
      <c r="DC111" s="49" t="n">
        <f aca="false">DC83+DC110+DC94+DC104+DC105+DC52+DC59</f>
        <v>2460.4018457948</v>
      </c>
      <c r="DD111" s="49" t="n">
        <f aca="false">DD83+DD110+DD94+DD104+DD105+DD52+DD59</f>
        <v>2487.73964408141</v>
      </c>
      <c r="DE111" s="49" t="n">
        <f aca="false">DE83+DE110+DE94+DE104+DE105+DE52+DE59</f>
        <v>2515.07744236802</v>
      </c>
      <c r="DF111" s="49" t="n">
        <f aca="false">DF83+DF110+DF94+DF104+DF105+DF52+DF59</f>
        <v>2505.49855853058</v>
      </c>
      <c r="DG111" s="49" t="n">
        <f aca="false">DG83+DG110+DG94+DG104+DG105+DG52+DG59</f>
        <v>2489.65041143909</v>
      </c>
      <c r="DH111" s="49" t="n">
        <f aca="false">DH83+DH110+DH94+DH104+DH105+DH52+DH59</f>
        <v>2489.65041143909</v>
      </c>
      <c r="DI111" s="49" t="n">
        <f aca="false">DI83+DI110+DI94+DI104+DI105+DI52+DI59</f>
        <v>2517.00920716919</v>
      </c>
      <c r="DJ111" s="49" t="n">
        <f aca="false">DJ83+DJ110+DJ94+DJ104+DJ105+DJ52+DJ59</f>
        <v>2507.37368674959</v>
      </c>
      <c r="DK111" s="49" t="n">
        <f aca="false">DK83+DK110+DK94+DK104+DK105+DK52+DK59</f>
        <v>2463.79908392978</v>
      </c>
      <c r="DL111" s="49" t="n">
        <f aca="false">DL83+DL110+DL94+DL104+DL105+DL52+DL59</f>
        <v>2491.17462930678</v>
      </c>
      <c r="DM111" s="49" t="n">
        <f aca="false">DM83+DM110+DM94+DM104+DM105+DM52+DM59</f>
        <v>2518.55017468378</v>
      </c>
      <c r="DN111" s="49" t="n">
        <f aca="false">DN83+DN110+DN94+DN104+DN105+DN52+DN59</f>
        <v>2508.85791904168</v>
      </c>
      <c r="DO111" s="49" t="n">
        <f aca="false">DO83+DO110+DO94+DO104+DO105+DO52+DO59</f>
        <v>2464.91206834606</v>
      </c>
      <c r="DP111" s="49" t="n">
        <f aca="false">DP83+DP110+DP94+DP104+DP105+DP52+DP59</f>
        <v>2492.29998021657</v>
      </c>
      <c r="DQ111" s="49" t="n">
        <f aca="false">DQ83+DQ110+DQ94+DQ104+DQ105+DQ52+DQ59</f>
        <v>2519.68789208708</v>
      </c>
      <c r="DR111" s="49" t="n">
        <f aca="false">DR83+DR110+DR94+DR104+DR105+DR52+DR59</f>
        <v>2509.93880816483</v>
      </c>
      <c r="DS111" s="49" t="n">
        <f aca="false">DS83+DS110+DS94+DS104+DS105+DS52+DS59</f>
        <v>2465.61807007059</v>
      </c>
      <c r="DT111" s="49" t="n">
        <f aca="false">DT83+DT110+DT94+DT104+DT105+DT52+DT59</f>
        <v>2493.01382640471</v>
      </c>
      <c r="DU111" s="49" t="n">
        <f aca="false">DU83+DU110+DU94+DU104+DU105+DU52+DU59</f>
        <v>2520.40958273882</v>
      </c>
      <c r="DV111" s="49" t="n">
        <f aca="false">DV83+DV110+DV94+DV104+DV105+DV52+DV59</f>
        <v>2510.60358323846</v>
      </c>
      <c r="DW111" s="49" t="n">
        <f aca="false">DW83+DW110+DW94+DW104+DW105+DW52+DW59</f>
        <v>2493.30320185874</v>
      </c>
      <c r="DX111" s="49" t="n">
        <f aca="false">DX83+DX110+DX94+DX104+DX105+DX52+DX59</f>
        <v>2493.30320185874</v>
      </c>
      <c r="DY111" s="49" t="n">
        <f aca="false">DY83+DY110+DY94+DY104+DY105+DY52+DY59</f>
        <v>2520.70213814291</v>
      </c>
      <c r="DZ111" s="49" t="n">
        <f aca="false">DZ83+DZ110+DZ94+DZ104+DZ105+DZ52+DZ59</f>
        <v>2510.83914170753</v>
      </c>
      <c r="EA111" s="49" t="n">
        <f aca="false">EA83+EA110+EA94+EA104+EA105+EA52+EA59</f>
        <v>2465.75749862902</v>
      </c>
      <c r="EB111" s="49" t="n">
        <f aca="false">EB83+EB110+EB94+EB104+EB105+EB52+EB59</f>
        <v>2493.15480416935</v>
      </c>
      <c r="EC111" s="49" t="n">
        <f aca="false">EC83+EC110+EC94+EC104+EC105+EC52+EC59</f>
        <v>2520.55210970967</v>
      </c>
      <c r="ED111" s="49" t="n">
        <f aca="false">ED83+ED110+ED94+ED104+ED105+ED52+ED59</f>
        <v>2510.63204110907</v>
      </c>
      <c r="EE111" s="49" t="n">
        <f aca="false">EE83+EE110+EE94+EE104+EE105+EE52+EE59</f>
        <v>2465.16427204807</v>
      </c>
      <c r="EF111" s="49" t="n">
        <f aca="false">EF83+EF110+EF94+EF104+EF105+EF52+EF59</f>
        <v>2492.55498618193</v>
      </c>
      <c r="EG111" s="49" t="n">
        <f aca="false">EG83+EG110+EG94+EG104+EG105+EG52+EG59</f>
        <v>2519.9457003158</v>
      </c>
      <c r="EH111" s="49" t="n">
        <f aca="false">EH83+EH110+EH94+EH104+EH105+EH52+EH59</f>
        <v>2509.96849063659</v>
      </c>
      <c r="EI111" s="49" t="n">
        <f aca="false">EI83+EI110+EI94+EI104+EI105+EI52+EI59</f>
        <v>2464.11073922956</v>
      </c>
      <c r="EJ111" s="49" t="n">
        <f aca="false">EJ83+EJ110+EJ94+EJ104+EJ105+EJ52+EJ59</f>
        <v>2491.48974744322</v>
      </c>
      <c r="EK111" s="49" t="n">
        <f aca="false">EK83+EK110+EK94+EK104+EK105+EK52+EK59</f>
        <v>2518.86875565688</v>
      </c>
      <c r="EL111" s="49" t="n">
        <f aca="false">EL83+EL110+EL94+EL104+EL105+EL52+EL59</f>
        <v>2508.8343424972</v>
      </c>
      <c r="EM111" s="49" t="n">
        <f aca="false">EM83+EM110+EM94+EM104+EM105+EM52+EM59</f>
        <v>2489.94472543768</v>
      </c>
      <c r="EN111" s="49" t="n">
        <f aca="false">EN83+EN110+EN94+EN104+EN105+EN52+EN59</f>
        <v>2489.94472543768</v>
      </c>
      <c r="EO111" s="49" t="n">
        <f aca="false">EO83+EO110+EO94+EO104+EO105+EO52+EO59</f>
        <v>2517.30675538755</v>
      </c>
    </row>
    <row r="112" customFormat="false" ht="15" hidden="false" customHeight="false" outlineLevel="0" collapsed="false">
      <c r="C112" s="1" t="s">
        <v>509</v>
      </c>
      <c r="D112" s="12" t="s">
        <v>33</v>
      </c>
      <c r="J112" s="19" t="n">
        <f aca="false">I116</f>
        <v>0</v>
      </c>
      <c r="K112" s="19" t="n">
        <f aca="false">J116</f>
        <v>12.8099380746857</v>
      </c>
      <c r="L112" s="19" t="n">
        <f aca="false">K116</f>
        <v>32.4846237568024</v>
      </c>
      <c r="M112" s="19" t="n">
        <f aca="false">L116</f>
        <v>65.6401125914806</v>
      </c>
      <c r="N112" s="19" t="n">
        <f aca="false">M116</f>
        <v>99.1599474573091</v>
      </c>
      <c r="O112" s="19" t="n">
        <f aca="false">N116</f>
        <v>132.679782323138</v>
      </c>
      <c r="P112" s="19" t="n">
        <f aca="false">O116</f>
        <v>165.835271157816</v>
      </c>
      <c r="Q112" s="19" t="n">
        <f aca="false">P116</f>
        <v>198.990759992494</v>
      </c>
      <c r="R112" s="19" t="n">
        <f aca="false">Q116</f>
        <v>232.510594858322</v>
      </c>
      <c r="S112" s="19" t="n">
        <f aca="false">R116</f>
        <v>1161.08643742634</v>
      </c>
      <c r="T112" s="19" t="n">
        <f aca="false">S116</f>
        <v>1317.59402148047</v>
      </c>
      <c r="U112" s="19" t="n">
        <f aca="false">T116</f>
        <v>1455.93002362403</v>
      </c>
      <c r="V112" s="19" t="n">
        <f aca="false">U116</f>
        <v>1585.72077844869</v>
      </c>
      <c r="W112" s="19" t="n">
        <f aca="false">V116</f>
        <v>1705.33550106093</v>
      </c>
      <c r="X112" s="19" t="n">
        <f aca="false">W116</f>
        <v>1813.43702066827</v>
      </c>
      <c r="Y112" s="19" t="n">
        <f aca="false">X116</f>
        <v>1912.89305865171</v>
      </c>
      <c r="Z112" s="19" t="n">
        <f aca="false">Y116</f>
        <v>2003.37659696283</v>
      </c>
      <c r="AA112" s="19" t="n">
        <f aca="false">Z116</f>
        <v>1617.12689544177</v>
      </c>
      <c r="AB112" s="19" t="n">
        <f aca="false">AA116</f>
        <v>1234.19399889981</v>
      </c>
      <c r="AC112" s="19" t="n">
        <f aca="false">AB116</f>
        <v>840.926129825485</v>
      </c>
      <c r="AD112" s="19" t="n">
        <f aca="false">AC116</f>
        <v>437.284532179296</v>
      </c>
      <c r="AE112" s="19" t="n">
        <f aca="false">AD116</f>
        <v>34.7014856300324</v>
      </c>
      <c r="AF112" s="19" t="n">
        <f aca="false">AE116</f>
        <v>0</v>
      </c>
      <c r="AG112" s="19" t="n">
        <f aca="false">AF116</f>
        <v>0</v>
      </c>
      <c r="AH112" s="19" t="n">
        <f aca="false">AG116</f>
        <v>0</v>
      </c>
      <c r="AI112" s="19" t="n">
        <f aca="false">AH116</f>
        <v>0</v>
      </c>
      <c r="AJ112" s="19" t="n">
        <f aca="false">AI116</f>
        <v>0</v>
      </c>
      <c r="AK112" s="19" t="n">
        <f aca="false">AJ116</f>
        <v>0</v>
      </c>
      <c r="AL112" s="19" t="n">
        <f aca="false">AK116</f>
        <v>0</v>
      </c>
      <c r="AM112" s="19" t="n">
        <f aca="false">AL116</f>
        <v>0</v>
      </c>
      <c r="AN112" s="19" t="n">
        <f aca="false">AM116</f>
        <v>0</v>
      </c>
      <c r="AO112" s="19" t="n">
        <f aca="false">AN116</f>
        <v>0</v>
      </c>
      <c r="AP112" s="19" t="n">
        <f aca="false">AO116</f>
        <v>0</v>
      </c>
      <c r="AQ112" s="19" t="n">
        <f aca="false">AP116</f>
        <v>0</v>
      </c>
      <c r="AR112" s="19" t="n">
        <f aca="false">AQ116</f>
        <v>0</v>
      </c>
      <c r="AS112" s="19" t="n">
        <f aca="false">AR116</f>
        <v>0</v>
      </c>
      <c r="AT112" s="19" t="n">
        <f aca="false">AS116</f>
        <v>0</v>
      </c>
      <c r="AU112" s="19" t="n">
        <f aca="false">AT116</f>
        <v>0</v>
      </c>
      <c r="AV112" s="19" t="n">
        <f aca="false">AU116</f>
        <v>0</v>
      </c>
      <c r="AW112" s="19" t="n">
        <f aca="false">AV116</f>
        <v>0</v>
      </c>
      <c r="AX112" s="19" t="n">
        <f aca="false">AW116</f>
        <v>0</v>
      </c>
      <c r="AY112" s="19" t="n">
        <f aca="false">AX116</f>
        <v>0</v>
      </c>
      <c r="AZ112" s="19" t="n">
        <f aca="false">AY116</f>
        <v>0</v>
      </c>
      <c r="BA112" s="19" t="n">
        <f aca="false">AZ116</f>
        <v>0</v>
      </c>
      <c r="BB112" s="19" t="n">
        <f aca="false">BA116</f>
        <v>0</v>
      </c>
      <c r="BC112" s="19" t="n">
        <f aca="false">BB116</f>
        <v>0</v>
      </c>
      <c r="BD112" s="19" t="n">
        <f aca="false">BC116</f>
        <v>0</v>
      </c>
      <c r="BE112" s="19" t="n">
        <f aca="false">BD116</f>
        <v>0</v>
      </c>
      <c r="BF112" s="19" t="n">
        <f aca="false">BE116</f>
        <v>0</v>
      </c>
      <c r="BG112" s="19" t="n">
        <f aca="false">BF116</f>
        <v>0</v>
      </c>
      <c r="BH112" s="19" t="n">
        <f aca="false">BG116</f>
        <v>0</v>
      </c>
      <c r="BI112" s="19" t="n">
        <f aca="false">BH116</f>
        <v>0</v>
      </c>
      <c r="BJ112" s="19" t="n">
        <f aca="false">BI116</f>
        <v>0</v>
      </c>
      <c r="BK112" s="19" t="n">
        <f aca="false">BJ116</f>
        <v>0</v>
      </c>
      <c r="BL112" s="19" t="n">
        <f aca="false">BK116</f>
        <v>0</v>
      </c>
      <c r="BM112" s="19" t="n">
        <f aca="false">BL116</f>
        <v>0</v>
      </c>
      <c r="BN112" s="19" t="n">
        <f aca="false">BM116</f>
        <v>0</v>
      </c>
      <c r="BO112" s="19" t="n">
        <f aca="false">BN116</f>
        <v>0</v>
      </c>
      <c r="BP112" s="19" t="n">
        <f aca="false">BO116</f>
        <v>0</v>
      </c>
      <c r="BQ112" s="19" t="n">
        <f aca="false">BP116</f>
        <v>0</v>
      </c>
      <c r="BR112" s="19" t="n">
        <f aca="false">BQ116</f>
        <v>0</v>
      </c>
      <c r="BS112" s="19" t="n">
        <f aca="false">BR116</f>
        <v>0</v>
      </c>
      <c r="BT112" s="19" t="n">
        <f aca="false">BS116</f>
        <v>0</v>
      </c>
      <c r="BU112" s="19" t="n">
        <f aca="false">BT116</f>
        <v>0</v>
      </c>
      <c r="BV112" s="19" t="n">
        <f aca="false">BU116</f>
        <v>0</v>
      </c>
      <c r="BW112" s="19" t="n">
        <f aca="false">BV116</f>
        <v>0</v>
      </c>
      <c r="BX112" s="19" t="n">
        <f aca="false">BW116</f>
        <v>0</v>
      </c>
      <c r="BY112" s="19" t="n">
        <f aca="false">BX116</f>
        <v>0</v>
      </c>
      <c r="BZ112" s="19" t="n">
        <f aca="false">BY116</f>
        <v>0</v>
      </c>
      <c r="CA112" s="19" t="n">
        <f aca="false">BZ116</f>
        <v>0</v>
      </c>
      <c r="CB112" s="19" t="n">
        <f aca="false">CA116</f>
        <v>0</v>
      </c>
      <c r="CC112" s="19" t="n">
        <f aca="false">CB116</f>
        <v>0</v>
      </c>
      <c r="CD112" s="19" t="n">
        <f aca="false">CC116</f>
        <v>0</v>
      </c>
      <c r="CE112" s="19" t="n">
        <f aca="false">CD116</f>
        <v>0</v>
      </c>
      <c r="CF112" s="19" t="n">
        <f aca="false">CE116</f>
        <v>0</v>
      </c>
      <c r="CG112" s="19" t="n">
        <f aca="false">CF116</f>
        <v>0</v>
      </c>
      <c r="CH112" s="19" t="n">
        <f aca="false">CG116</f>
        <v>0</v>
      </c>
      <c r="CI112" s="19" t="n">
        <f aca="false">CH116</f>
        <v>0</v>
      </c>
      <c r="CJ112" s="19" t="n">
        <f aca="false">CI116</f>
        <v>0</v>
      </c>
      <c r="CK112" s="19" t="n">
        <f aca="false">CJ116</f>
        <v>0</v>
      </c>
      <c r="CL112" s="19" t="n">
        <f aca="false">CK116</f>
        <v>0</v>
      </c>
      <c r="CM112" s="19" t="n">
        <f aca="false">CL116</f>
        <v>0</v>
      </c>
      <c r="CN112" s="19" t="n">
        <f aca="false">CM116</f>
        <v>0</v>
      </c>
      <c r="CO112" s="19" t="n">
        <f aca="false">CN116</f>
        <v>0</v>
      </c>
      <c r="CP112" s="19" t="n">
        <f aca="false">CO116</f>
        <v>0</v>
      </c>
      <c r="CQ112" s="19" t="n">
        <f aca="false">CP116</f>
        <v>0</v>
      </c>
      <c r="CR112" s="19" t="n">
        <f aca="false">CQ116</f>
        <v>0</v>
      </c>
      <c r="CS112" s="19" t="n">
        <f aca="false">CR116</f>
        <v>0</v>
      </c>
      <c r="CT112" s="19" t="n">
        <f aca="false">CS116</f>
        <v>0</v>
      </c>
      <c r="CU112" s="19" t="n">
        <f aca="false">CT116</f>
        <v>0</v>
      </c>
      <c r="CV112" s="19" t="n">
        <f aca="false">CU116</f>
        <v>0</v>
      </c>
      <c r="CW112" s="19" t="n">
        <f aca="false">CV116</f>
        <v>0</v>
      </c>
      <c r="CX112" s="19" t="n">
        <f aca="false">CW116</f>
        <v>0</v>
      </c>
      <c r="CY112" s="19" t="n">
        <f aca="false">CX116</f>
        <v>0</v>
      </c>
      <c r="CZ112" s="19" t="n">
        <f aca="false">CY116</f>
        <v>0</v>
      </c>
      <c r="DA112" s="19" t="n">
        <f aca="false">CZ116</f>
        <v>0</v>
      </c>
      <c r="DB112" s="19" t="n">
        <f aca="false">DA116</f>
        <v>0</v>
      </c>
      <c r="DC112" s="19" t="n">
        <f aca="false">DB116</f>
        <v>0</v>
      </c>
      <c r="DD112" s="19" t="n">
        <f aca="false">DC116</f>
        <v>0</v>
      </c>
      <c r="DE112" s="19" t="n">
        <f aca="false">DD116</f>
        <v>0</v>
      </c>
      <c r="DF112" s="19" t="n">
        <f aca="false">DE116</f>
        <v>0</v>
      </c>
      <c r="DG112" s="19" t="n">
        <f aca="false">DF116</f>
        <v>0</v>
      </c>
      <c r="DH112" s="19" t="n">
        <f aca="false">DG116</f>
        <v>0</v>
      </c>
      <c r="DI112" s="19" t="n">
        <f aca="false">DH116</f>
        <v>0</v>
      </c>
      <c r="DJ112" s="19" t="n">
        <f aca="false">DI116</f>
        <v>0</v>
      </c>
      <c r="DK112" s="19" t="n">
        <f aca="false">DJ116</f>
        <v>0</v>
      </c>
      <c r="DL112" s="19" t="n">
        <f aca="false">DK116</f>
        <v>0</v>
      </c>
      <c r="DM112" s="19" t="n">
        <f aca="false">DL116</f>
        <v>0</v>
      </c>
      <c r="DN112" s="19" t="n">
        <f aca="false">DM116</f>
        <v>0</v>
      </c>
      <c r="DO112" s="19" t="n">
        <f aca="false">DN116</f>
        <v>0</v>
      </c>
      <c r="DP112" s="19" t="n">
        <f aca="false">DO116</f>
        <v>0</v>
      </c>
      <c r="DQ112" s="19" t="n">
        <f aca="false">DP116</f>
        <v>0</v>
      </c>
      <c r="DR112" s="19" t="n">
        <f aca="false">DQ116</f>
        <v>0</v>
      </c>
      <c r="DS112" s="19" t="n">
        <f aca="false">DR116</f>
        <v>0</v>
      </c>
      <c r="DT112" s="19" t="n">
        <f aca="false">DS116</f>
        <v>0</v>
      </c>
      <c r="DU112" s="19" t="n">
        <f aca="false">DT116</f>
        <v>0</v>
      </c>
      <c r="DV112" s="19" t="n">
        <f aca="false">DU116</f>
        <v>0</v>
      </c>
      <c r="DW112" s="19" t="n">
        <f aca="false">DV116</f>
        <v>0</v>
      </c>
      <c r="DX112" s="19" t="n">
        <f aca="false">DW116</f>
        <v>0</v>
      </c>
      <c r="DY112" s="19" t="n">
        <f aca="false">DX116</f>
        <v>0</v>
      </c>
      <c r="DZ112" s="19" t="n">
        <f aca="false">DY116</f>
        <v>0</v>
      </c>
      <c r="EA112" s="19" t="n">
        <f aca="false">DZ116</f>
        <v>0</v>
      </c>
      <c r="EB112" s="19" t="n">
        <f aca="false">EA116</f>
        <v>0</v>
      </c>
      <c r="EC112" s="19" t="n">
        <f aca="false">EB116</f>
        <v>0</v>
      </c>
      <c r="ED112" s="19" t="n">
        <f aca="false">EC116</f>
        <v>0</v>
      </c>
      <c r="EE112" s="19" t="n">
        <f aca="false">ED116</f>
        <v>0</v>
      </c>
      <c r="EF112" s="19" t="n">
        <f aca="false">EE116</f>
        <v>0</v>
      </c>
      <c r="EG112" s="19" t="n">
        <f aca="false">EF116</f>
        <v>0</v>
      </c>
      <c r="EH112" s="19" t="n">
        <f aca="false">EG116</f>
        <v>0</v>
      </c>
      <c r="EI112" s="19" t="n">
        <f aca="false">EH116</f>
        <v>0</v>
      </c>
      <c r="EJ112" s="19" t="n">
        <f aca="false">EI116</f>
        <v>0</v>
      </c>
      <c r="EK112" s="19" t="n">
        <f aca="false">EJ116</f>
        <v>0</v>
      </c>
      <c r="EL112" s="19" t="n">
        <f aca="false">EK116</f>
        <v>0</v>
      </c>
      <c r="EM112" s="19" t="n">
        <f aca="false">EL116</f>
        <v>0</v>
      </c>
      <c r="EN112" s="19" t="n">
        <f aca="false">EM116</f>
        <v>0</v>
      </c>
      <c r="EO112" s="19" t="n">
        <f aca="false">EN116</f>
        <v>0</v>
      </c>
    </row>
    <row r="113" customFormat="false" ht="15" hidden="false" customHeight="false" outlineLevel="0" collapsed="false">
      <c r="C113" s="1" t="s">
        <v>510</v>
      </c>
      <c r="D113" s="12" t="s">
        <v>33</v>
      </c>
      <c r="I113" s="49" t="n">
        <f aca="false">SUM(J113:EO113)</f>
        <v>2003.37659696283</v>
      </c>
      <c r="J113" s="49" t="n">
        <f aca="false">MAX(0,-J111)</f>
        <v>12.8099380746857</v>
      </c>
      <c r="K113" s="49" t="n">
        <f aca="false">MAX(0,-K111)</f>
        <v>19.6746856821167</v>
      </c>
      <c r="L113" s="49" t="n">
        <f aca="false">MAX(0,-L111)</f>
        <v>33.1554888346782</v>
      </c>
      <c r="M113" s="49" t="n">
        <f aca="false">MAX(0,-M111)</f>
        <v>33.5198348658285</v>
      </c>
      <c r="N113" s="49" t="n">
        <f aca="false">MAX(0,-N111)</f>
        <v>33.5198348658285</v>
      </c>
      <c r="O113" s="49" t="n">
        <f aca="false">MAX(0,-O111)</f>
        <v>33.1554888346782</v>
      </c>
      <c r="P113" s="49" t="n">
        <f aca="false">MAX(0,-P111)</f>
        <v>33.1554888346782</v>
      </c>
      <c r="Q113" s="49" t="n">
        <f aca="false">MAX(0,-Q111)</f>
        <v>33.5198348658285</v>
      </c>
      <c r="R113" s="49" t="n">
        <f aca="false">MAX(0,-R111)</f>
        <v>928.575842568013</v>
      </c>
      <c r="S113" s="49" t="n">
        <f aca="false">MAX(0,-S111)</f>
        <v>156.507584054135</v>
      </c>
      <c r="T113" s="49" t="n">
        <f aca="false">MAX(0,-T111)</f>
        <v>138.336002143563</v>
      </c>
      <c r="U113" s="49" t="n">
        <f aca="false">MAX(0,-U111)</f>
        <v>129.790754824659</v>
      </c>
      <c r="V113" s="49" t="n">
        <f aca="false">MAX(0,-V111)</f>
        <v>119.614722612237</v>
      </c>
      <c r="W113" s="49" t="n">
        <f aca="false">MAX(0,-W111)</f>
        <v>108.101519607337</v>
      </c>
      <c r="X113" s="49" t="n">
        <f aca="false">MAX(0,-X111)</f>
        <v>99.4560379834396</v>
      </c>
      <c r="Y113" s="49" t="n">
        <f aca="false">MAX(0,-Y111)</f>
        <v>90.4835383111278</v>
      </c>
      <c r="Z113" s="49" t="n">
        <f aca="false">MAX(0,-Z111)</f>
        <v>0</v>
      </c>
      <c r="AA113" s="49" t="n">
        <f aca="false">MAX(0,-AA111)</f>
        <v>0</v>
      </c>
      <c r="AB113" s="49" t="n">
        <f aca="false">MAX(0,-AB111)</f>
        <v>0</v>
      </c>
      <c r="AC113" s="49" t="n">
        <f aca="false">MAX(0,-AC111)</f>
        <v>0</v>
      </c>
      <c r="AD113" s="49" t="n">
        <f aca="false">MAX(0,-AD111)</f>
        <v>0</v>
      </c>
      <c r="AE113" s="49" t="n">
        <f aca="false">MAX(0,-AE111)</f>
        <v>0</v>
      </c>
      <c r="AF113" s="49" t="n">
        <f aca="false">MAX(0,-AF111)</f>
        <v>0</v>
      </c>
      <c r="AG113" s="49" t="n">
        <f aca="false">MAX(0,-AG111)</f>
        <v>0</v>
      </c>
      <c r="AH113" s="49" t="n">
        <f aca="false">MAX(0,-AH111)</f>
        <v>0</v>
      </c>
      <c r="AI113" s="49" t="n">
        <f aca="false">MAX(0,-AI111)</f>
        <v>0</v>
      </c>
      <c r="AJ113" s="49" t="n">
        <f aca="false">MAX(0,-AJ111)</f>
        <v>0</v>
      </c>
      <c r="AK113" s="49" t="n">
        <f aca="false">MAX(0,-AK111)</f>
        <v>0</v>
      </c>
      <c r="AL113" s="49" t="n">
        <f aca="false">MAX(0,-AL111)</f>
        <v>0</v>
      </c>
      <c r="AM113" s="49" t="n">
        <f aca="false">MAX(0,-AM111)</f>
        <v>0</v>
      </c>
      <c r="AN113" s="49" t="n">
        <f aca="false">MAX(0,-AN111)</f>
        <v>0</v>
      </c>
      <c r="AO113" s="49" t="n">
        <f aca="false">MAX(0,-AO111)</f>
        <v>0</v>
      </c>
      <c r="AP113" s="49" t="n">
        <f aca="false">MAX(0,-AP111)</f>
        <v>0</v>
      </c>
      <c r="AQ113" s="49" t="n">
        <f aca="false">MAX(0,-AQ111)</f>
        <v>0</v>
      </c>
      <c r="AR113" s="49" t="n">
        <f aca="false">MAX(0,-AR111)</f>
        <v>0</v>
      </c>
      <c r="AS113" s="49" t="n">
        <f aca="false">MAX(0,-AS111)</f>
        <v>0</v>
      </c>
      <c r="AT113" s="49" t="n">
        <f aca="false">MAX(0,-AT111)</f>
        <v>0</v>
      </c>
      <c r="AU113" s="49" t="n">
        <f aca="false">MAX(0,-AU111)</f>
        <v>0</v>
      </c>
      <c r="AV113" s="49" t="n">
        <f aca="false">MAX(0,-AV111)</f>
        <v>0</v>
      </c>
      <c r="AW113" s="49" t="n">
        <f aca="false">MAX(0,-AW111)</f>
        <v>0</v>
      </c>
      <c r="AX113" s="49" t="n">
        <f aca="false">MAX(0,-AX111)</f>
        <v>0</v>
      </c>
      <c r="AY113" s="49" t="n">
        <f aca="false">MAX(0,-AY111)</f>
        <v>0</v>
      </c>
      <c r="AZ113" s="49" t="n">
        <f aca="false">MAX(0,-AZ111)</f>
        <v>0</v>
      </c>
      <c r="BA113" s="49" t="n">
        <f aca="false">MAX(0,-BA111)</f>
        <v>0</v>
      </c>
      <c r="BB113" s="49" t="n">
        <f aca="false">MAX(0,-BB111)</f>
        <v>0</v>
      </c>
      <c r="BC113" s="49" t="n">
        <f aca="false">MAX(0,-BC111)</f>
        <v>0</v>
      </c>
      <c r="BD113" s="49" t="n">
        <f aca="false">MAX(0,-BD111)</f>
        <v>0</v>
      </c>
      <c r="BE113" s="49" t="n">
        <f aca="false">MAX(0,-BE111)</f>
        <v>0</v>
      </c>
      <c r="BF113" s="49" t="n">
        <f aca="false">MAX(0,-BF111)</f>
        <v>0</v>
      </c>
      <c r="BG113" s="49" t="n">
        <f aca="false">MAX(0,-BG111)</f>
        <v>0</v>
      </c>
      <c r="BH113" s="49" t="n">
        <f aca="false">MAX(0,-BH111)</f>
        <v>0</v>
      </c>
      <c r="BI113" s="49" t="n">
        <f aca="false">MAX(0,-BI111)</f>
        <v>0</v>
      </c>
      <c r="BJ113" s="49" t="n">
        <f aca="false">MAX(0,-BJ111)</f>
        <v>0</v>
      </c>
      <c r="BK113" s="49" t="n">
        <f aca="false">MAX(0,-BK111)</f>
        <v>0</v>
      </c>
      <c r="BL113" s="49" t="n">
        <f aca="false">MAX(0,-BL111)</f>
        <v>0</v>
      </c>
      <c r="BM113" s="49" t="n">
        <f aca="false">MAX(0,-BM111)</f>
        <v>0</v>
      </c>
      <c r="BN113" s="49" t="n">
        <f aca="false">MAX(0,-BN111)</f>
        <v>0</v>
      </c>
      <c r="BO113" s="49" t="n">
        <f aca="false">MAX(0,-BO111)</f>
        <v>0</v>
      </c>
      <c r="BP113" s="49" t="n">
        <f aca="false">MAX(0,-BP111)</f>
        <v>0</v>
      </c>
      <c r="BQ113" s="49" t="n">
        <f aca="false">MAX(0,-BQ111)</f>
        <v>0</v>
      </c>
      <c r="BR113" s="49" t="n">
        <f aca="false">MAX(0,-BR111)</f>
        <v>0</v>
      </c>
      <c r="BS113" s="49" t="n">
        <f aca="false">MAX(0,-BS111)</f>
        <v>0</v>
      </c>
      <c r="BT113" s="49" t="n">
        <f aca="false">MAX(0,-BT111)</f>
        <v>0</v>
      </c>
      <c r="BU113" s="49" t="n">
        <f aca="false">MAX(0,-BU111)</f>
        <v>0</v>
      </c>
      <c r="BV113" s="49" t="n">
        <f aca="false">MAX(0,-BV111)</f>
        <v>0</v>
      </c>
      <c r="BW113" s="49" t="n">
        <f aca="false">MAX(0,-BW111)</f>
        <v>0</v>
      </c>
      <c r="BX113" s="49" t="n">
        <f aca="false">MAX(0,-BX111)</f>
        <v>0</v>
      </c>
      <c r="BY113" s="49" t="n">
        <f aca="false">MAX(0,-BY111)</f>
        <v>0</v>
      </c>
      <c r="BZ113" s="49" t="n">
        <f aca="false">MAX(0,-BZ111)</f>
        <v>0</v>
      </c>
      <c r="CA113" s="49" t="n">
        <f aca="false">MAX(0,-CA111)</f>
        <v>0</v>
      </c>
      <c r="CB113" s="49" t="n">
        <f aca="false">MAX(0,-CB111)</f>
        <v>0</v>
      </c>
      <c r="CC113" s="49" t="n">
        <f aca="false">MAX(0,-CC111)</f>
        <v>0</v>
      </c>
      <c r="CD113" s="49" t="n">
        <f aca="false">MAX(0,-CD111)</f>
        <v>0</v>
      </c>
      <c r="CE113" s="49" t="n">
        <f aca="false">MAX(0,-CE111)</f>
        <v>0</v>
      </c>
      <c r="CF113" s="49" t="n">
        <f aca="false">MAX(0,-CF111)</f>
        <v>0</v>
      </c>
      <c r="CG113" s="49" t="n">
        <f aca="false">MAX(0,-CG111)</f>
        <v>0</v>
      </c>
      <c r="CH113" s="49" t="n">
        <f aca="false">MAX(0,-CH111)</f>
        <v>0</v>
      </c>
      <c r="CI113" s="49" t="n">
        <f aca="false">MAX(0,-CI111)</f>
        <v>0</v>
      </c>
      <c r="CJ113" s="49" t="n">
        <f aca="false">MAX(0,-CJ111)</f>
        <v>0</v>
      </c>
      <c r="CK113" s="49" t="n">
        <f aca="false">MAX(0,-CK111)</f>
        <v>0</v>
      </c>
      <c r="CL113" s="49" t="n">
        <f aca="false">MAX(0,-CL111)</f>
        <v>0</v>
      </c>
      <c r="CM113" s="49" t="n">
        <f aca="false">MAX(0,-CM111)</f>
        <v>0</v>
      </c>
      <c r="CN113" s="49" t="n">
        <f aca="false">MAX(0,-CN111)</f>
        <v>0</v>
      </c>
      <c r="CO113" s="49" t="n">
        <f aca="false">MAX(0,-CO111)</f>
        <v>0</v>
      </c>
      <c r="CP113" s="49" t="n">
        <f aca="false">MAX(0,-CP111)</f>
        <v>0</v>
      </c>
      <c r="CQ113" s="49" t="n">
        <f aca="false">MAX(0,-CQ111)</f>
        <v>0</v>
      </c>
      <c r="CR113" s="49" t="n">
        <f aca="false">MAX(0,-CR111)</f>
        <v>0</v>
      </c>
      <c r="CS113" s="49" t="n">
        <f aca="false">MAX(0,-CS111)</f>
        <v>0</v>
      </c>
      <c r="CT113" s="49" t="n">
        <f aca="false">MAX(0,-CT111)</f>
        <v>0</v>
      </c>
      <c r="CU113" s="49" t="n">
        <f aca="false">MAX(0,-CU111)</f>
        <v>0</v>
      </c>
      <c r="CV113" s="49" t="n">
        <f aca="false">MAX(0,-CV111)</f>
        <v>0</v>
      </c>
      <c r="CW113" s="49" t="n">
        <f aca="false">MAX(0,-CW111)</f>
        <v>0</v>
      </c>
      <c r="CX113" s="49" t="n">
        <f aca="false">MAX(0,-CX111)</f>
        <v>0</v>
      </c>
      <c r="CY113" s="49" t="n">
        <f aca="false">MAX(0,-CY111)</f>
        <v>0</v>
      </c>
      <c r="CZ113" s="49" t="n">
        <f aca="false">MAX(0,-CZ111)</f>
        <v>0</v>
      </c>
      <c r="DA113" s="49" t="n">
        <f aca="false">MAX(0,-DA111)</f>
        <v>0</v>
      </c>
      <c r="DB113" s="49" t="n">
        <f aca="false">MAX(0,-DB111)</f>
        <v>0</v>
      </c>
      <c r="DC113" s="49" t="n">
        <f aca="false">MAX(0,-DC111)</f>
        <v>0</v>
      </c>
      <c r="DD113" s="49" t="n">
        <f aca="false">MAX(0,-DD111)</f>
        <v>0</v>
      </c>
      <c r="DE113" s="49" t="n">
        <f aca="false">MAX(0,-DE111)</f>
        <v>0</v>
      </c>
      <c r="DF113" s="49" t="n">
        <f aca="false">MAX(0,-DF111)</f>
        <v>0</v>
      </c>
      <c r="DG113" s="49" t="n">
        <f aca="false">MAX(0,-DG111)</f>
        <v>0</v>
      </c>
      <c r="DH113" s="49" t="n">
        <f aca="false">MAX(0,-DH111)</f>
        <v>0</v>
      </c>
      <c r="DI113" s="49" t="n">
        <f aca="false">MAX(0,-DI111)</f>
        <v>0</v>
      </c>
      <c r="DJ113" s="49" t="n">
        <f aca="false">MAX(0,-DJ111)</f>
        <v>0</v>
      </c>
      <c r="DK113" s="49" t="n">
        <f aca="false">MAX(0,-DK111)</f>
        <v>0</v>
      </c>
      <c r="DL113" s="49" t="n">
        <f aca="false">MAX(0,-DL111)</f>
        <v>0</v>
      </c>
      <c r="DM113" s="49" t="n">
        <f aca="false">MAX(0,-DM111)</f>
        <v>0</v>
      </c>
      <c r="DN113" s="49" t="n">
        <f aca="false">MAX(0,-DN111)</f>
        <v>0</v>
      </c>
      <c r="DO113" s="49" t="n">
        <f aca="false">MAX(0,-DO111)</f>
        <v>0</v>
      </c>
      <c r="DP113" s="49" t="n">
        <f aca="false">MAX(0,-DP111)</f>
        <v>0</v>
      </c>
      <c r="DQ113" s="49" t="n">
        <f aca="false">MAX(0,-DQ111)</f>
        <v>0</v>
      </c>
      <c r="DR113" s="49" t="n">
        <f aca="false">MAX(0,-DR111)</f>
        <v>0</v>
      </c>
      <c r="DS113" s="49" t="n">
        <f aca="false">MAX(0,-DS111)</f>
        <v>0</v>
      </c>
      <c r="DT113" s="49" t="n">
        <f aca="false">MAX(0,-DT111)</f>
        <v>0</v>
      </c>
      <c r="DU113" s="49" t="n">
        <f aca="false">MAX(0,-DU111)</f>
        <v>0</v>
      </c>
      <c r="DV113" s="49" t="n">
        <f aca="false">MAX(0,-DV111)</f>
        <v>0</v>
      </c>
      <c r="DW113" s="49" t="n">
        <f aca="false">MAX(0,-DW111)</f>
        <v>0</v>
      </c>
      <c r="DX113" s="49" t="n">
        <f aca="false">MAX(0,-DX111)</f>
        <v>0</v>
      </c>
      <c r="DY113" s="49" t="n">
        <f aca="false">MAX(0,-DY111)</f>
        <v>0</v>
      </c>
      <c r="DZ113" s="49" t="n">
        <f aca="false">MAX(0,-DZ111)</f>
        <v>0</v>
      </c>
      <c r="EA113" s="49" t="n">
        <f aca="false">MAX(0,-EA111)</f>
        <v>0</v>
      </c>
      <c r="EB113" s="49" t="n">
        <f aca="false">MAX(0,-EB111)</f>
        <v>0</v>
      </c>
      <c r="EC113" s="49" t="n">
        <f aca="false">MAX(0,-EC111)</f>
        <v>0</v>
      </c>
      <c r="ED113" s="49" t="n">
        <f aca="false">MAX(0,-ED111)</f>
        <v>0</v>
      </c>
      <c r="EE113" s="49" t="n">
        <f aca="false">MAX(0,-EE111)</f>
        <v>0</v>
      </c>
      <c r="EF113" s="49" t="n">
        <f aca="false">MAX(0,-EF111)</f>
        <v>0</v>
      </c>
      <c r="EG113" s="49" t="n">
        <f aca="false">MAX(0,-EG111)</f>
        <v>0</v>
      </c>
      <c r="EH113" s="49" t="n">
        <f aca="false">MAX(0,-EH111)</f>
        <v>0</v>
      </c>
      <c r="EI113" s="49" t="n">
        <f aca="false">MAX(0,-EI111)</f>
        <v>0</v>
      </c>
      <c r="EJ113" s="49" t="n">
        <f aca="false">MAX(0,-EJ111)</f>
        <v>0</v>
      </c>
      <c r="EK113" s="49" t="n">
        <f aca="false">MAX(0,-EK111)</f>
        <v>0</v>
      </c>
      <c r="EL113" s="49" t="n">
        <f aca="false">MAX(0,-EL111)</f>
        <v>0</v>
      </c>
      <c r="EM113" s="49" t="n">
        <f aca="false">MAX(0,-EM111)</f>
        <v>0</v>
      </c>
      <c r="EN113" s="49" t="n">
        <f aca="false">MAX(0,-EN111)</f>
        <v>0</v>
      </c>
      <c r="EO113" s="49" t="n">
        <f aca="false">MAX(0,-EO111)</f>
        <v>0</v>
      </c>
    </row>
    <row r="114" customFormat="false" ht="15" hidden="false" customHeight="false" outlineLevel="0" collapsed="false">
      <c r="C114" s="1" t="s">
        <v>511</v>
      </c>
      <c r="D114" s="12" t="s">
        <v>33</v>
      </c>
      <c r="I114" s="49" t="n">
        <f aca="false">SUM(J114:EO114)</f>
        <v>-2003.37659696283</v>
      </c>
      <c r="J114" s="49" t="n">
        <f aca="false">-MIN(J112,In_Loss_Cap*MAX(0,J111))</f>
        <v>-0</v>
      </c>
      <c r="K114" s="49" t="n">
        <f aca="false">-MIN(K112,In_Loss_Cap*MAX(0,K111))</f>
        <v>-0</v>
      </c>
      <c r="L114" s="49" t="n">
        <f aca="false">-MIN(L112,In_Loss_Cap*MAX(0,L111))</f>
        <v>-0</v>
      </c>
      <c r="M114" s="49" t="n">
        <f aca="false">-MIN(M112,In_Loss_Cap*MAX(0,M111))</f>
        <v>-0</v>
      </c>
      <c r="N114" s="49" t="n">
        <f aca="false">-MIN(N112,In_Loss_Cap*MAX(0,N111))</f>
        <v>-0</v>
      </c>
      <c r="O114" s="49" t="n">
        <f aca="false">-MIN(O112,In_Loss_Cap*MAX(0,O111))</f>
        <v>-0</v>
      </c>
      <c r="P114" s="49" t="n">
        <f aca="false">-MIN(P112,In_Loss_Cap*MAX(0,P111))</f>
        <v>-0</v>
      </c>
      <c r="Q114" s="49" t="n">
        <f aca="false">-MIN(Q112,In_Loss_Cap*MAX(0,Q111))</f>
        <v>-0</v>
      </c>
      <c r="R114" s="49" t="n">
        <f aca="false">-MIN(R112,In_Loss_Cap*MAX(0,R111))</f>
        <v>-0</v>
      </c>
      <c r="S114" s="49" t="n">
        <f aca="false">-MIN(S112,In_Loss_Cap*MAX(0,S111))</f>
        <v>-0</v>
      </c>
      <c r="T114" s="49" t="n">
        <f aca="false">-MIN(T112,In_Loss_Cap*MAX(0,T111))</f>
        <v>-0</v>
      </c>
      <c r="U114" s="49" t="n">
        <f aca="false">-MIN(U112,In_Loss_Cap*MAX(0,U111))</f>
        <v>-0</v>
      </c>
      <c r="V114" s="49" t="n">
        <f aca="false">-MIN(V112,In_Loss_Cap*MAX(0,V111))</f>
        <v>-0</v>
      </c>
      <c r="W114" s="49" t="n">
        <f aca="false">-MIN(W112,In_Loss_Cap*MAX(0,W111))</f>
        <v>-0</v>
      </c>
      <c r="X114" s="49" t="n">
        <f aca="false">-MIN(X112,In_Loss_Cap*MAX(0,X111))</f>
        <v>-0</v>
      </c>
      <c r="Y114" s="49" t="n">
        <f aca="false">-MIN(Y112,In_Loss_Cap*MAX(0,Y111))</f>
        <v>-0</v>
      </c>
      <c r="Z114" s="49" t="n">
        <f aca="false">-MIN(Z112,In_Loss_Cap*MAX(0,Z111))</f>
        <v>-386.249701521069</v>
      </c>
      <c r="AA114" s="49" t="n">
        <f aca="false">-MIN(AA112,In_Loss_Cap*MAX(0,AA111))</f>
        <v>-382.932896541952</v>
      </c>
      <c r="AB114" s="49" t="n">
        <f aca="false">-MIN(AB112,In_Loss_Cap*MAX(0,AB111))</f>
        <v>-393.267869074329</v>
      </c>
      <c r="AC114" s="49" t="n">
        <f aca="false">-MIN(AC112,In_Loss_Cap*MAX(0,AC111))</f>
        <v>-403.64159764619</v>
      </c>
      <c r="AD114" s="49" t="n">
        <f aca="false">-MIN(AD112,In_Loss_Cap*MAX(0,AD111))</f>
        <v>-402.583046549263</v>
      </c>
      <c r="AE114" s="49" t="n">
        <f aca="false">-MIN(AE112,In_Loss_Cap*MAX(0,AE111))</f>
        <v>-34.7014856300324</v>
      </c>
      <c r="AF114" s="49" t="n">
        <f aca="false">-MIN(AF112,In_Loss_Cap*MAX(0,AF111))</f>
        <v>-0</v>
      </c>
      <c r="AG114" s="49" t="n">
        <f aca="false">-MIN(AG112,In_Loss_Cap*MAX(0,AG111))</f>
        <v>-0</v>
      </c>
      <c r="AH114" s="49" t="n">
        <f aca="false">-MIN(AH112,In_Loss_Cap*MAX(0,AH111))</f>
        <v>-0</v>
      </c>
      <c r="AI114" s="49" t="n">
        <f aca="false">-MIN(AI112,In_Loss_Cap*MAX(0,AI111))</f>
        <v>-0</v>
      </c>
      <c r="AJ114" s="49" t="n">
        <f aca="false">-MIN(AJ112,In_Loss_Cap*MAX(0,AJ111))</f>
        <v>-0</v>
      </c>
      <c r="AK114" s="49" t="n">
        <f aca="false">-MIN(AK112,In_Loss_Cap*MAX(0,AK111))</f>
        <v>-0</v>
      </c>
      <c r="AL114" s="49" t="n">
        <f aca="false">-MIN(AL112,In_Loss_Cap*MAX(0,AL111))</f>
        <v>-0</v>
      </c>
      <c r="AM114" s="49" t="n">
        <f aca="false">-MIN(AM112,In_Loss_Cap*MAX(0,AM111))</f>
        <v>-0</v>
      </c>
      <c r="AN114" s="49" t="n">
        <f aca="false">-MIN(AN112,In_Loss_Cap*MAX(0,AN111))</f>
        <v>-0</v>
      </c>
      <c r="AO114" s="49" t="n">
        <f aca="false">-MIN(AO112,In_Loss_Cap*MAX(0,AO111))</f>
        <v>-0</v>
      </c>
      <c r="AP114" s="49" t="n">
        <f aca="false">-MIN(AP112,In_Loss_Cap*MAX(0,AP111))</f>
        <v>-0</v>
      </c>
      <c r="AQ114" s="49" t="n">
        <f aca="false">-MIN(AQ112,In_Loss_Cap*MAX(0,AQ111))</f>
        <v>-0</v>
      </c>
      <c r="AR114" s="49" t="n">
        <f aca="false">-MIN(AR112,In_Loss_Cap*MAX(0,AR111))</f>
        <v>-0</v>
      </c>
      <c r="AS114" s="49" t="n">
        <f aca="false">-MIN(AS112,In_Loss_Cap*MAX(0,AS111))</f>
        <v>-0</v>
      </c>
      <c r="AT114" s="49" t="n">
        <f aca="false">-MIN(AT112,In_Loss_Cap*MAX(0,AT111))</f>
        <v>-0</v>
      </c>
      <c r="AU114" s="49" t="n">
        <f aca="false">-MIN(AU112,In_Loss_Cap*MAX(0,AU111))</f>
        <v>-0</v>
      </c>
      <c r="AV114" s="49" t="n">
        <f aca="false">-MIN(AV112,In_Loss_Cap*MAX(0,AV111))</f>
        <v>-0</v>
      </c>
      <c r="AW114" s="49" t="n">
        <f aca="false">-MIN(AW112,In_Loss_Cap*MAX(0,AW111))</f>
        <v>-0</v>
      </c>
      <c r="AX114" s="49" t="n">
        <f aca="false">-MIN(AX112,In_Loss_Cap*MAX(0,AX111))</f>
        <v>-0</v>
      </c>
      <c r="AY114" s="49" t="n">
        <f aca="false">-MIN(AY112,In_Loss_Cap*MAX(0,AY111))</f>
        <v>-0</v>
      </c>
      <c r="AZ114" s="49" t="n">
        <f aca="false">-MIN(AZ112,In_Loss_Cap*MAX(0,AZ111))</f>
        <v>-0</v>
      </c>
      <c r="BA114" s="49" t="n">
        <f aca="false">-MIN(BA112,In_Loss_Cap*MAX(0,BA111))</f>
        <v>-0</v>
      </c>
      <c r="BB114" s="49" t="n">
        <f aca="false">-MIN(BB112,In_Loss_Cap*MAX(0,BB111))</f>
        <v>-0</v>
      </c>
      <c r="BC114" s="49" t="n">
        <f aca="false">-MIN(BC112,In_Loss_Cap*MAX(0,BC111))</f>
        <v>-0</v>
      </c>
      <c r="BD114" s="49" t="n">
        <f aca="false">-MIN(BD112,In_Loss_Cap*MAX(0,BD111))</f>
        <v>-0</v>
      </c>
      <c r="BE114" s="49" t="n">
        <f aca="false">-MIN(BE112,In_Loss_Cap*MAX(0,BE111))</f>
        <v>-0</v>
      </c>
      <c r="BF114" s="49" t="n">
        <f aca="false">-MIN(BF112,In_Loss_Cap*MAX(0,BF111))</f>
        <v>-0</v>
      </c>
      <c r="BG114" s="49" t="n">
        <f aca="false">-MIN(BG112,In_Loss_Cap*MAX(0,BG111))</f>
        <v>-0</v>
      </c>
      <c r="BH114" s="49" t="n">
        <f aca="false">-MIN(BH112,In_Loss_Cap*MAX(0,BH111))</f>
        <v>-0</v>
      </c>
      <c r="BI114" s="49" t="n">
        <f aca="false">-MIN(BI112,In_Loss_Cap*MAX(0,BI111))</f>
        <v>-0</v>
      </c>
      <c r="BJ114" s="49" t="n">
        <f aca="false">-MIN(BJ112,In_Loss_Cap*MAX(0,BJ111))</f>
        <v>-0</v>
      </c>
      <c r="BK114" s="49" t="n">
        <f aca="false">-MIN(BK112,In_Loss_Cap*MAX(0,BK111))</f>
        <v>-0</v>
      </c>
      <c r="BL114" s="49" t="n">
        <f aca="false">-MIN(BL112,In_Loss_Cap*MAX(0,BL111))</f>
        <v>-0</v>
      </c>
      <c r="BM114" s="49" t="n">
        <f aca="false">-MIN(BM112,In_Loss_Cap*MAX(0,BM111))</f>
        <v>-0</v>
      </c>
      <c r="BN114" s="49" t="n">
        <f aca="false">-MIN(BN112,In_Loss_Cap*MAX(0,BN111))</f>
        <v>-0</v>
      </c>
      <c r="BO114" s="49" t="n">
        <f aca="false">-MIN(BO112,In_Loss_Cap*MAX(0,BO111))</f>
        <v>-0</v>
      </c>
      <c r="BP114" s="49" t="n">
        <f aca="false">-MIN(BP112,In_Loss_Cap*MAX(0,BP111))</f>
        <v>-0</v>
      </c>
      <c r="BQ114" s="49" t="n">
        <f aca="false">-MIN(BQ112,In_Loss_Cap*MAX(0,BQ111))</f>
        <v>-0</v>
      </c>
      <c r="BR114" s="49" t="n">
        <f aca="false">-MIN(BR112,In_Loss_Cap*MAX(0,BR111))</f>
        <v>-0</v>
      </c>
      <c r="BS114" s="49" t="n">
        <f aca="false">-MIN(BS112,In_Loss_Cap*MAX(0,BS111))</f>
        <v>-0</v>
      </c>
      <c r="BT114" s="49" t="n">
        <f aca="false">-MIN(BT112,In_Loss_Cap*MAX(0,BT111))</f>
        <v>-0</v>
      </c>
      <c r="BU114" s="49" t="n">
        <f aca="false">-MIN(BU112,In_Loss_Cap*MAX(0,BU111))</f>
        <v>-0</v>
      </c>
      <c r="BV114" s="49" t="n">
        <f aca="false">-MIN(BV112,In_Loss_Cap*MAX(0,BV111))</f>
        <v>-0</v>
      </c>
      <c r="BW114" s="49" t="n">
        <f aca="false">-MIN(BW112,In_Loss_Cap*MAX(0,BW111))</f>
        <v>-0</v>
      </c>
      <c r="BX114" s="49" t="n">
        <f aca="false">-MIN(BX112,In_Loss_Cap*MAX(0,BX111))</f>
        <v>-0</v>
      </c>
      <c r="BY114" s="49" t="n">
        <f aca="false">-MIN(BY112,In_Loss_Cap*MAX(0,BY111))</f>
        <v>-0</v>
      </c>
      <c r="BZ114" s="49" t="n">
        <f aca="false">-MIN(BZ112,In_Loss_Cap*MAX(0,BZ111))</f>
        <v>-0</v>
      </c>
      <c r="CA114" s="49" t="n">
        <f aca="false">-MIN(CA112,In_Loss_Cap*MAX(0,CA111))</f>
        <v>-0</v>
      </c>
      <c r="CB114" s="49" t="n">
        <f aca="false">-MIN(CB112,In_Loss_Cap*MAX(0,CB111))</f>
        <v>-0</v>
      </c>
      <c r="CC114" s="49" t="n">
        <f aca="false">-MIN(CC112,In_Loss_Cap*MAX(0,CC111))</f>
        <v>-0</v>
      </c>
      <c r="CD114" s="49" t="n">
        <f aca="false">-MIN(CD112,In_Loss_Cap*MAX(0,CD111))</f>
        <v>-0</v>
      </c>
      <c r="CE114" s="49" t="n">
        <f aca="false">-MIN(CE112,In_Loss_Cap*MAX(0,CE111))</f>
        <v>-0</v>
      </c>
      <c r="CF114" s="49" t="n">
        <f aca="false">-MIN(CF112,In_Loss_Cap*MAX(0,CF111))</f>
        <v>-0</v>
      </c>
      <c r="CG114" s="49" t="n">
        <f aca="false">-MIN(CG112,In_Loss_Cap*MAX(0,CG111))</f>
        <v>-0</v>
      </c>
      <c r="CH114" s="49" t="n">
        <f aca="false">-MIN(CH112,In_Loss_Cap*MAX(0,CH111))</f>
        <v>-0</v>
      </c>
      <c r="CI114" s="49" t="n">
        <f aca="false">-MIN(CI112,In_Loss_Cap*MAX(0,CI111))</f>
        <v>-0</v>
      </c>
      <c r="CJ114" s="49" t="n">
        <f aca="false">-MIN(CJ112,In_Loss_Cap*MAX(0,CJ111))</f>
        <v>-0</v>
      </c>
      <c r="CK114" s="49" t="n">
        <f aca="false">-MIN(CK112,In_Loss_Cap*MAX(0,CK111))</f>
        <v>-0</v>
      </c>
      <c r="CL114" s="49" t="n">
        <f aca="false">-MIN(CL112,In_Loss_Cap*MAX(0,CL111))</f>
        <v>-0</v>
      </c>
      <c r="CM114" s="49" t="n">
        <f aca="false">-MIN(CM112,In_Loss_Cap*MAX(0,CM111))</f>
        <v>-0</v>
      </c>
      <c r="CN114" s="49" t="n">
        <f aca="false">-MIN(CN112,In_Loss_Cap*MAX(0,CN111))</f>
        <v>-0</v>
      </c>
      <c r="CO114" s="49" t="n">
        <f aca="false">-MIN(CO112,In_Loss_Cap*MAX(0,CO111))</f>
        <v>-0</v>
      </c>
      <c r="CP114" s="49" t="n">
        <f aca="false">-MIN(CP112,In_Loss_Cap*MAX(0,CP111))</f>
        <v>-0</v>
      </c>
      <c r="CQ114" s="49" t="n">
        <f aca="false">-MIN(CQ112,In_Loss_Cap*MAX(0,CQ111))</f>
        <v>-0</v>
      </c>
      <c r="CR114" s="49" t="n">
        <f aca="false">-MIN(CR112,In_Loss_Cap*MAX(0,CR111))</f>
        <v>-0</v>
      </c>
      <c r="CS114" s="49" t="n">
        <f aca="false">-MIN(CS112,In_Loss_Cap*MAX(0,CS111))</f>
        <v>-0</v>
      </c>
      <c r="CT114" s="49" t="n">
        <f aca="false">-MIN(CT112,In_Loss_Cap*MAX(0,CT111))</f>
        <v>-0</v>
      </c>
      <c r="CU114" s="49" t="n">
        <f aca="false">-MIN(CU112,In_Loss_Cap*MAX(0,CU111))</f>
        <v>-0</v>
      </c>
      <c r="CV114" s="49" t="n">
        <f aca="false">-MIN(CV112,In_Loss_Cap*MAX(0,CV111))</f>
        <v>-0</v>
      </c>
      <c r="CW114" s="49" t="n">
        <f aca="false">-MIN(CW112,In_Loss_Cap*MAX(0,CW111))</f>
        <v>-0</v>
      </c>
      <c r="CX114" s="49" t="n">
        <f aca="false">-MIN(CX112,In_Loss_Cap*MAX(0,CX111))</f>
        <v>-0</v>
      </c>
      <c r="CY114" s="49" t="n">
        <f aca="false">-MIN(CY112,In_Loss_Cap*MAX(0,CY111))</f>
        <v>-0</v>
      </c>
      <c r="CZ114" s="49" t="n">
        <f aca="false">-MIN(CZ112,In_Loss_Cap*MAX(0,CZ111))</f>
        <v>-0</v>
      </c>
      <c r="DA114" s="49" t="n">
        <f aca="false">-MIN(DA112,In_Loss_Cap*MAX(0,DA111))</f>
        <v>-0</v>
      </c>
      <c r="DB114" s="49" t="n">
        <f aca="false">-MIN(DB112,In_Loss_Cap*MAX(0,DB111))</f>
        <v>-0</v>
      </c>
      <c r="DC114" s="49" t="n">
        <f aca="false">-MIN(DC112,In_Loss_Cap*MAX(0,DC111))</f>
        <v>-0</v>
      </c>
      <c r="DD114" s="49" t="n">
        <f aca="false">-MIN(DD112,In_Loss_Cap*MAX(0,DD111))</f>
        <v>-0</v>
      </c>
      <c r="DE114" s="49" t="n">
        <f aca="false">-MIN(DE112,In_Loss_Cap*MAX(0,DE111))</f>
        <v>-0</v>
      </c>
      <c r="DF114" s="49" t="n">
        <f aca="false">-MIN(DF112,In_Loss_Cap*MAX(0,DF111))</f>
        <v>-0</v>
      </c>
      <c r="DG114" s="49" t="n">
        <f aca="false">-MIN(DG112,In_Loss_Cap*MAX(0,DG111))</f>
        <v>-0</v>
      </c>
      <c r="DH114" s="49" t="n">
        <f aca="false">-MIN(DH112,In_Loss_Cap*MAX(0,DH111))</f>
        <v>-0</v>
      </c>
      <c r="DI114" s="49" t="n">
        <f aca="false">-MIN(DI112,In_Loss_Cap*MAX(0,DI111))</f>
        <v>-0</v>
      </c>
      <c r="DJ114" s="49" t="n">
        <f aca="false">-MIN(DJ112,In_Loss_Cap*MAX(0,DJ111))</f>
        <v>-0</v>
      </c>
      <c r="DK114" s="49" t="n">
        <f aca="false">-MIN(DK112,In_Loss_Cap*MAX(0,DK111))</f>
        <v>-0</v>
      </c>
      <c r="DL114" s="49" t="n">
        <f aca="false">-MIN(DL112,In_Loss_Cap*MAX(0,DL111))</f>
        <v>-0</v>
      </c>
      <c r="DM114" s="49" t="n">
        <f aca="false">-MIN(DM112,In_Loss_Cap*MAX(0,DM111))</f>
        <v>-0</v>
      </c>
      <c r="DN114" s="49" t="n">
        <f aca="false">-MIN(DN112,In_Loss_Cap*MAX(0,DN111))</f>
        <v>-0</v>
      </c>
      <c r="DO114" s="49" t="n">
        <f aca="false">-MIN(DO112,In_Loss_Cap*MAX(0,DO111))</f>
        <v>-0</v>
      </c>
      <c r="DP114" s="49" t="n">
        <f aca="false">-MIN(DP112,In_Loss_Cap*MAX(0,DP111))</f>
        <v>-0</v>
      </c>
      <c r="DQ114" s="49" t="n">
        <f aca="false">-MIN(DQ112,In_Loss_Cap*MAX(0,DQ111))</f>
        <v>-0</v>
      </c>
      <c r="DR114" s="49" t="n">
        <f aca="false">-MIN(DR112,In_Loss_Cap*MAX(0,DR111))</f>
        <v>-0</v>
      </c>
      <c r="DS114" s="49" t="n">
        <f aca="false">-MIN(DS112,In_Loss_Cap*MAX(0,DS111))</f>
        <v>-0</v>
      </c>
      <c r="DT114" s="49" t="n">
        <f aca="false">-MIN(DT112,In_Loss_Cap*MAX(0,DT111))</f>
        <v>-0</v>
      </c>
      <c r="DU114" s="49" t="n">
        <f aca="false">-MIN(DU112,In_Loss_Cap*MAX(0,DU111))</f>
        <v>-0</v>
      </c>
      <c r="DV114" s="49" t="n">
        <f aca="false">-MIN(DV112,In_Loss_Cap*MAX(0,DV111))</f>
        <v>-0</v>
      </c>
      <c r="DW114" s="49" t="n">
        <f aca="false">-MIN(DW112,In_Loss_Cap*MAX(0,DW111))</f>
        <v>-0</v>
      </c>
      <c r="DX114" s="49" t="n">
        <f aca="false">-MIN(DX112,In_Loss_Cap*MAX(0,DX111))</f>
        <v>-0</v>
      </c>
      <c r="DY114" s="49" t="n">
        <f aca="false">-MIN(DY112,In_Loss_Cap*MAX(0,DY111))</f>
        <v>-0</v>
      </c>
      <c r="DZ114" s="49" t="n">
        <f aca="false">-MIN(DZ112,In_Loss_Cap*MAX(0,DZ111))</f>
        <v>-0</v>
      </c>
      <c r="EA114" s="49" t="n">
        <f aca="false">-MIN(EA112,In_Loss_Cap*MAX(0,EA111))</f>
        <v>-0</v>
      </c>
      <c r="EB114" s="49" t="n">
        <f aca="false">-MIN(EB112,In_Loss_Cap*MAX(0,EB111))</f>
        <v>-0</v>
      </c>
      <c r="EC114" s="49" t="n">
        <f aca="false">-MIN(EC112,In_Loss_Cap*MAX(0,EC111))</f>
        <v>-0</v>
      </c>
      <c r="ED114" s="49" t="n">
        <f aca="false">-MIN(ED112,In_Loss_Cap*MAX(0,ED111))</f>
        <v>-0</v>
      </c>
      <c r="EE114" s="49" t="n">
        <f aca="false">-MIN(EE112,In_Loss_Cap*MAX(0,EE111))</f>
        <v>-0</v>
      </c>
      <c r="EF114" s="49" t="n">
        <f aca="false">-MIN(EF112,In_Loss_Cap*MAX(0,EF111))</f>
        <v>-0</v>
      </c>
      <c r="EG114" s="49" t="n">
        <f aca="false">-MIN(EG112,In_Loss_Cap*MAX(0,EG111))</f>
        <v>-0</v>
      </c>
      <c r="EH114" s="49" t="n">
        <f aca="false">-MIN(EH112,In_Loss_Cap*MAX(0,EH111))</f>
        <v>-0</v>
      </c>
      <c r="EI114" s="49" t="n">
        <f aca="false">-MIN(EI112,In_Loss_Cap*MAX(0,EI111))</f>
        <v>-0</v>
      </c>
      <c r="EJ114" s="49" t="n">
        <f aca="false">-MIN(EJ112,In_Loss_Cap*MAX(0,EJ111))</f>
        <v>-0</v>
      </c>
      <c r="EK114" s="49" t="n">
        <f aca="false">-MIN(EK112,In_Loss_Cap*MAX(0,EK111))</f>
        <v>-0</v>
      </c>
      <c r="EL114" s="49" t="n">
        <f aca="false">-MIN(EL112,In_Loss_Cap*MAX(0,EL111))</f>
        <v>-0</v>
      </c>
      <c r="EM114" s="49" t="n">
        <f aca="false">-MIN(EM112,In_Loss_Cap*MAX(0,EM111))</f>
        <v>-0</v>
      </c>
      <c r="EN114" s="49" t="n">
        <f aca="false">-MIN(EN112,In_Loss_Cap*MAX(0,EN111))</f>
        <v>-0</v>
      </c>
      <c r="EO114" s="49" t="n">
        <f aca="false">-MIN(EO112,In_Loss_Cap*MAX(0,EO111))</f>
        <v>-0</v>
      </c>
    </row>
    <row r="115" customFormat="false" ht="15" hidden="false" customHeight="false" outlineLevel="0" collapsed="false">
      <c r="C115" s="1" t="s">
        <v>512</v>
      </c>
      <c r="D115" s="12" t="s">
        <v>33</v>
      </c>
      <c r="E115" s="47" t="n">
        <f aca="false">EDATE(In_NTP,In_Loss_Years*Months_In_Year)</f>
        <v>48852</v>
      </c>
      <c r="I115" s="49" t="n">
        <f aca="false">SUM(J115:EO115)</f>
        <v>0</v>
      </c>
      <c r="J115" s="49" t="n">
        <f aca="false">-(J112+J113+J114)*N(AND(J$3&lt;=$E115,J$4&gt;=$E115))</f>
        <v>-0</v>
      </c>
      <c r="K115" s="49" t="n">
        <f aca="false">-(K112+K113+K114)*N(AND(K$3&lt;=$E115,K$4&gt;=$E115))</f>
        <v>-0</v>
      </c>
      <c r="L115" s="49" t="n">
        <f aca="false">-(L112+L113+L114)*N(AND(L$3&lt;=$E115,L$4&gt;=$E115))</f>
        <v>-0</v>
      </c>
      <c r="M115" s="49" t="n">
        <f aca="false">-(M112+M113+M114)*N(AND(M$3&lt;=$E115,M$4&gt;=$E115))</f>
        <v>-0</v>
      </c>
      <c r="N115" s="49" t="n">
        <f aca="false">-(N112+N113+N114)*N(AND(N$3&lt;=$E115,N$4&gt;=$E115))</f>
        <v>-0</v>
      </c>
      <c r="O115" s="49" t="n">
        <f aca="false">-(O112+O113+O114)*N(AND(O$3&lt;=$E115,O$4&gt;=$E115))</f>
        <v>-0</v>
      </c>
      <c r="P115" s="49" t="n">
        <f aca="false">-(P112+P113+P114)*N(AND(P$3&lt;=$E115,P$4&gt;=$E115))</f>
        <v>-0</v>
      </c>
      <c r="Q115" s="49" t="n">
        <f aca="false">-(Q112+Q113+Q114)*N(AND(Q$3&lt;=$E115,Q$4&gt;=$E115))</f>
        <v>-0</v>
      </c>
      <c r="R115" s="49" t="n">
        <f aca="false">-(R112+R113+R114)*N(AND(R$3&lt;=$E115,R$4&gt;=$E115))</f>
        <v>-0</v>
      </c>
      <c r="S115" s="49" t="n">
        <f aca="false">-(S112+S113+S114)*N(AND(S$3&lt;=$E115,S$4&gt;=$E115))</f>
        <v>-0</v>
      </c>
      <c r="T115" s="49" t="n">
        <f aca="false">-(T112+T113+T114)*N(AND(T$3&lt;=$E115,T$4&gt;=$E115))</f>
        <v>-0</v>
      </c>
      <c r="U115" s="49" t="n">
        <f aca="false">-(U112+U113+U114)*N(AND(U$3&lt;=$E115,U$4&gt;=$E115))</f>
        <v>-0</v>
      </c>
      <c r="V115" s="49" t="n">
        <f aca="false">-(V112+V113+V114)*N(AND(V$3&lt;=$E115,V$4&gt;=$E115))</f>
        <v>-0</v>
      </c>
      <c r="W115" s="49" t="n">
        <f aca="false">-(W112+W113+W114)*N(AND(W$3&lt;=$E115,W$4&gt;=$E115))</f>
        <v>-0</v>
      </c>
      <c r="X115" s="49" t="n">
        <f aca="false">-(X112+X113+X114)*N(AND(X$3&lt;=$E115,X$4&gt;=$E115))</f>
        <v>-0</v>
      </c>
      <c r="Y115" s="49" t="n">
        <f aca="false">-(Y112+Y113+Y114)*N(AND(Y$3&lt;=$E115,Y$4&gt;=$E115))</f>
        <v>-0</v>
      </c>
      <c r="Z115" s="49" t="n">
        <f aca="false">-(Z112+Z113+Z114)*N(AND(Z$3&lt;=$E115,Z$4&gt;=$E115))</f>
        <v>-0</v>
      </c>
      <c r="AA115" s="49" t="n">
        <f aca="false">-(AA112+AA113+AA114)*N(AND(AA$3&lt;=$E115,AA$4&gt;=$E115))</f>
        <v>-0</v>
      </c>
      <c r="AB115" s="49" t="n">
        <f aca="false">-(AB112+AB113+AB114)*N(AND(AB$3&lt;=$E115,AB$4&gt;=$E115))</f>
        <v>-0</v>
      </c>
      <c r="AC115" s="49" t="n">
        <f aca="false">-(AC112+AC113+AC114)*N(AND(AC$3&lt;=$E115,AC$4&gt;=$E115))</f>
        <v>-0</v>
      </c>
      <c r="AD115" s="49" t="n">
        <f aca="false">-(AD112+AD113+AD114)*N(AND(AD$3&lt;=$E115,AD$4&gt;=$E115))</f>
        <v>-0</v>
      </c>
      <c r="AE115" s="49" t="n">
        <f aca="false">-(AE112+AE113+AE114)*N(AND(AE$3&lt;=$E115,AE$4&gt;=$E115))</f>
        <v>-0</v>
      </c>
      <c r="AF115" s="49" t="n">
        <f aca="false">-(AF112+AF113+AF114)*N(AND(AF$3&lt;=$E115,AF$4&gt;=$E115))</f>
        <v>-0</v>
      </c>
      <c r="AG115" s="49" t="n">
        <f aca="false">-(AG112+AG113+AG114)*N(AND(AG$3&lt;=$E115,AG$4&gt;=$E115))</f>
        <v>-0</v>
      </c>
      <c r="AH115" s="49" t="n">
        <f aca="false">-(AH112+AH113+AH114)*N(AND(AH$3&lt;=$E115,AH$4&gt;=$E115))</f>
        <v>-0</v>
      </c>
      <c r="AI115" s="49" t="n">
        <f aca="false">-(AI112+AI113+AI114)*N(AND(AI$3&lt;=$E115,AI$4&gt;=$E115))</f>
        <v>-0</v>
      </c>
      <c r="AJ115" s="49" t="n">
        <f aca="false">-(AJ112+AJ113+AJ114)*N(AND(AJ$3&lt;=$E115,AJ$4&gt;=$E115))</f>
        <v>-0</v>
      </c>
      <c r="AK115" s="49" t="n">
        <f aca="false">-(AK112+AK113+AK114)*N(AND(AK$3&lt;=$E115,AK$4&gt;=$E115))</f>
        <v>-0</v>
      </c>
      <c r="AL115" s="49" t="n">
        <f aca="false">-(AL112+AL113+AL114)*N(AND(AL$3&lt;=$E115,AL$4&gt;=$E115))</f>
        <v>-0</v>
      </c>
      <c r="AM115" s="49" t="n">
        <f aca="false">-(AM112+AM113+AM114)*N(AND(AM$3&lt;=$E115,AM$4&gt;=$E115))</f>
        <v>-0</v>
      </c>
      <c r="AN115" s="49" t="n">
        <f aca="false">-(AN112+AN113+AN114)*N(AND(AN$3&lt;=$E115,AN$4&gt;=$E115))</f>
        <v>-0</v>
      </c>
      <c r="AO115" s="49" t="n">
        <f aca="false">-(AO112+AO113+AO114)*N(AND(AO$3&lt;=$E115,AO$4&gt;=$E115))</f>
        <v>-0</v>
      </c>
      <c r="AP115" s="49" t="n">
        <f aca="false">-(AP112+AP113+AP114)*N(AND(AP$3&lt;=$E115,AP$4&gt;=$E115))</f>
        <v>-0</v>
      </c>
      <c r="AQ115" s="49" t="n">
        <f aca="false">-(AQ112+AQ113+AQ114)*N(AND(AQ$3&lt;=$E115,AQ$4&gt;=$E115))</f>
        <v>-0</v>
      </c>
      <c r="AR115" s="49" t="n">
        <f aca="false">-(AR112+AR113+AR114)*N(AND(AR$3&lt;=$E115,AR$4&gt;=$E115))</f>
        <v>-0</v>
      </c>
      <c r="AS115" s="49" t="n">
        <f aca="false">-(AS112+AS113+AS114)*N(AND(AS$3&lt;=$E115,AS$4&gt;=$E115))</f>
        <v>-0</v>
      </c>
      <c r="AT115" s="49" t="n">
        <f aca="false">-(AT112+AT113+AT114)*N(AND(AT$3&lt;=$E115,AT$4&gt;=$E115))</f>
        <v>-0</v>
      </c>
      <c r="AU115" s="49" t="n">
        <f aca="false">-(AU112+AU113+AU114)*N(AND(AU$3&lt;=$E115,AU$4&gt;=$E115))</f>
        <v>-0</v>
      </c>
      <c r="AV115" s="49" t="n">
        <f aca="false">-(AV112+AV113+AV114)*N(AND(AV$3&lt;=$E115,AV$4&gt;=$E115))</f>
        <v>-0</v>
      </c>
      <c r="AW115" s="49" t="n">
        <f aca="false">-(AW112+AW113+AW114)*N(AND(AW$3&lt;=$E115,AW$4&gt;=$E115))</f>
        <v>-0</v>
      </c>
      <c r="AX115" s="49" t="n">
        <f aca="false">-(AX112+AX113+AX114)*N(AND(AX$3&lt;=$E115,AX$4&gt;=$E115))</f>
        <v>-0</v>
      </c>
      <c r="AY115" s="49" t="n">
        <f aca="false">-(AY112+AY113+AY114)*N(AND(AY$3&lt;=$E115,AY$4&gt;=$E115))</f>
        <v>-0</v>
      </c>
      <c r="AZ115" s="49" t="n">
        <f aca="false">-(AZ112+AZ113+AZ114)*N(AND(AZ$3&lt;=$E115,AZ$4&gt;=$E115))</f>
        <v>-0</v>
      </c>
      <c r="BA115" s="49" t="n">
        <f aca="false">-(BA112+BA113+BA114)*N(AND(BA$3&lt;=$E115,BA$4&gt;=$E115))</f>
        <v>-0</v>
      </c>
      <c r="BB115" s="49" t="n">
        <f aca="false">-(BB112+BB113+BB114)*N(AND(BB$3&lt;=$E115,BB$4&gt;=$E115))</f>
        <v>-0</v>
      </c>
      <c r="BC115" s="49" t="n">
        <f aca="false">-(BC112+BC113+BC114)*N(AND(BC$3&lt;=$E115,BC$4&gt;=$E115))</f>
        <v>-0</v>
      </c>
      <c r="BD115" s="49" t="n">
        <f aca="false">-(BD112+BD113+BD114)*N(AND(BD$3&lt;=$E115,BD$4&gt;=$E115))</f>
        <v>-0</v>
      </c>
      <c r="BE115" s="49" t="n">
        <f aca="false">-(BE112+BE113+BE114)*N(AND(BE$3&lt;=$E115,BE$4&gt;=$E115))</f>
        <v>-0</v>
      </c>
      <c r="BF115" s="49" t="n">
        <f aca="false">-(BF112+BF113+BF114)*N(AND(BF$3&lt;=$E115,BF$4&gt;=$E115))</f>
        <v>-0</v>
      </c>
      <c r="BG115" s="49" t="n">
        <f aca="false">-(BG112+BG113+BG114)*N(AND(BG$3&lt;=$E115,BG$4&gt;=$E115))</f>
        <v>-0</v>
      </c>
      <c r="BH115" s="49" t="n">
        <f aca="false">-(BH112+BH113+BH114)*N(AND(BH$3&lt;=$E115,BH$4&gt;=$E115))</f>
        <v>-0</v>
      </c>
      <c r="BI115" s="49" t="n">
        <f aca="false">-(BI112+BI113+BI114)*N(AND(BI$3&lt;=$E115,BI$4&gt;=$E115))</f>
        <v>-0</v>
      </c>
      <c r="BJ115" s="49" t="n">
        <f aca="false">-(BJ112+BJ113+BJ114)*N(AND(BJ$3&lt;=$E115,BJ$4&gt;=$E115))</f>
        <v>-0</v>
      </c>
      <c r="BK115" s="49" t="n">
        <f aca="false">-(BK112+BK113+BK114)*N(AND(BK$3&lt;=$E115,BK$4&gt;=$E115))</f>
        <v>-0</v>
      </c>
      <c r="BL115" s="49" t="n">
        <f aca="false">-(BL112+BL113+BL114)*N(AND(BL$3&lt;=$E115,BL$4&gt;=$E115))</f>
        <v>-0</v>
      </c>
      <c r="BM115" s="49" t="n">
        <f aca="false">-(BM112+BM113+BM114)*N(AND(BM$3&lt;=$E115,BM$4&gt;=$E115))</f>
        <v>-0</v>
      </c>
      <c r="BN115" s="49" t="n">
        <f aca="false">-(BN112+BN113+BN114)*N(AND(BN$3&lt;=$E115,BN$4&gt;=$E115))</f>
        <v>-0</v>
      </c>
      <c r="BO115" s="49" t="n">
        <f aca="false">-(BO112+BO113+BO114)*N(AND(BO$3&lt;=$E115,BO$4&gt;=$E115))</f>
        <v>-0</v>
      </c>
      <c r="BP115" s="49" t="n">
        <f aca="false">-(BP112+BP113+BP114)*N(AND(BP$3&lt;=$E115,BP$4&gt;=$E115))</f>
        <v>-0</v>
      </c>
      <c r="BQ115" s="49" t="n">
        <f aca="false">-(BQ112+BQ113+BQ114)*N(AND(BQ$3&lt;=$E115,BQ$4&gt;=$E115))</f>
        <v>-0</v>
      </c>
      <c r="BR115" s="49" t="n">
        <f aca="false">-(BR112+BR113+BR114)*N(AND(BR$3&lt;=$E115,BR$4&gt;=$E115))</f>
        <v>-0</v>
      </c>
      <c r="BS115" s="49" t="n">
        <f aca="false">-(BS112+BS113+BS114)*N(AND(BS$3&lt;=$E115,BS$4&gt;=$E115))</f>
        <v>-0</v>
      </c>
      <c r="BT115" s="49" t="n">
        <f aca="false">-(BT112+BT113+BT114)*N(AND(BT$3&lt;=$E115,BT$4&gt;=$E115))</f>
        <v>-0</v>
      </c>
      <c r="BU115" s="49" t="n">
        <f aca="false">-(BU112+BU113+BU114)*N(AND(BU$3&lt;=$E115,BU$4&gt;=$E115))</f>
        <v>-0</v>
      </c>
      <c r="BV115" s="49" t="n">
        <f aca="false">-(BV112+BV113+BV114)*N(AND(BV$3&lt;=$E115,BV$4&gt;=$E115))</f>
        <v>-0</v>
      </c>
      <c r="BW115" s="49" t="n">
        <f aca="false">-(BW112+BW113+BW114)*N(AND(BW$3&lt;=$E115,BW$4&gt;=$E115))</f>
        <v>-0</v>
      </c>
      <c r="BX115" s="49" t="n">
        <f aca="false">-(BX112+BX113+BX114)*N(AND(BX$3&lt;=$E115,BX$4&gt;=$E115))</f>
        <v>-0</v>
      </c>
      <c r="BY115" s="49" t="n">
        <f aca="false">-(BY112+BY113+BY114)*N(AND(BY$3&lt;=$E115,BY$4&gt;=$E115))</f>
        <v>-0</v>
      </c>
      <c r="BZ115" s="49" t="n">
        <f aca="false">-(BZ112+BZ113+BZ114)*N(AND(BZ$3&lt;=$E115,BZ$4&gt;=$E115))</f>
        <v>-0</v>
      </c>
      <c r="CA115" s="49" t="n">
        <f aca="false">-(CA112+CA113+CA114)*N(AND(CA$3&lt;=$E115,CA$4&gt;=$E115))</f>
        <v>-0</v>
      </c>
      <c r="CB115" s="49" t="n">
        <f aca="false">-(CB112+CB113+CB114)*N(AND(CB$3&lt;=$E115,CB$4&gt;=$E115))</f>
        <v>-0</v>
      </c>
      <c r="CC115" s="49" t="n">
        <f aca="false">-(CC112+CC113+CC114)*N(AND(CC$3&lt;=$E115,CC$4&gt;=$E115))</f>
        <v>-0</v>
      </c>
      <c r="CD115" s="49" t="n">
        <f aca="false">-(CD112+CD113+CD114)*N(AND(CD$3&lt;=$E115,CD$4&gt;=$E115))</f>
        <v>-0</v>
      </c>
      <c r="CE115" s="49" t="n">
        <f aca="false">-(CE112+CE113+CE114)*N(AND(CE$3&lt;=$E115,CE$4&gt;=$E115))</f>
        <v>-0</v>
      </c>
      <c r="CF115" s="49" t="n">
        <f aca="false">-(CF112+CF113+CF114)*N(AND(CF$3&lt;=$E115,CF$4&gt;=$E115))</f>
        <v>-0</v>
      </c>
      <c r="CG115" s="49" t="n">
        <f aca="false">-(CG112+CG113+CG114)*N(AND(CG$3&lt;=$E115,CG$4&gt;=$E115))</f>
        <v>-0</v>
      </c>
      <c r="CH115" s="49" t="n">
        <f aca="false">-(CH112+CH113+CH114)*N(AND(CH$3&lt;=$E115,CH$4&gt;=$E115))</f>
        <v>-0</v>
      </c>
      <c r="CI115" s="49" t="n">
        <f aca="false">-(CI112+CI113+CI114)*N(AND(CI$3&lt;=$E115,CI$4&gt;=$E115))</f>
        <v>-0</v>
      </c>
      <c r="CJ115" s="49" t="n">
        <f aca="false">-(CJ112+CJ113+CJ114)*N(AND(CJ$3&lt;=$E115,CJ$4&gt;=$E115))</f>
        <v>-0</v>
      </c>
      <c r="CK115" s="49" t="n">
        <f aca="false">-(CK112+CK113+CK114)*N(AND(CK$3&lt;=$E115,CK$4&gt;=$E115))</f>
        <v>-0</v>
      </c>
      <c r="CL115" s="49" t="n">
        <f aca="false">-(CL112+CL113+CL114)*N(AND(CL$3&lt;=$E115,CL$4&gt;=$E115))</f>
        <v>-0</v>
      </c>
      <c r="CM115" s="49" t="n">
        <f aca="false">-(CM112+CM113+CM114)*N(AND(CM$3&lt;=$E115,CM$4&gt;=$E115))</f>
        <v>-0</v>
      </c>
      <c r="CN115" s="49" t="n">
        <f aca="false">-(CN112+CN113+CN114)*N(AND(CN$3&lt;=$E115,CN$4&gt;=$E115))</f>
        <v>-0</v>
      </c>
      <c r="CO115" s="49" t="n">
        <f aca="false">-(CO112+CO113+CO114)*N(AND(CO$3&lt;=$E115,CO$4&gt;=$E115))</f>
        <v>-0</v>
      </c>
      <c r="CP115" s="49" t="n">
        <f aca="false">-(CP112+CP113+CP114)*N(AND(CP$3&lt;=$E115,CP$4&gt;=$E115))</f>
        <v>-0</v>
      </c>
      <c r="CQ115" s="49" t="n">
        <f aca="false">-(CQ112+CQ113+CQ114)*N(AND(CQ$3&lt;=$E115,CQ$4&gt;=$E115))</f>
        <v>-0</v>
      </c>
      <c r="CR115" s="49" t="n">
        <f aca="false">-(CR112+CR113+CR114)*N(AND(CR$3&lt;=$E115,CR$4&gt;=$E115))</f>
        <v>-0</v>
      </c>
      <c r="CS115" s="49" t="n">
        <f aca="false">-(CS112+CS113+CS114)*N(AND(CS$3&lt;=$E115,CS$4&gt;=$E115))</f>
        <v>-0</v>
      </c>
      <c r="CT115" s="49" t="n">
        <f aca="false">-(CT112+CT113+CT114)*N(AND(CT$3&lt;=$E115,CT$4&gt;=$E115))</f>
        <v>-0</v>
      </c>
      <c r="CU115" s="49" t="n">
        <f aca="false">-(CU112+CU113+CU114)*N(AND(CU$3&lt;=$E115,CU$4&gt;=$E115))</f>
        <v>-0</v>
      </c>
      <c r="CV115" s="49" t="n">
        <f aca="false">-(CV112+CV113+CV114)*N(AND(CV$3&lt;=$E115,CV$4&gt;=$E115))</f>
        <v>-0</v>
      </c>
      <c r="CW115" s="49" t="n">
        <f aca="false">-(CW112+CW113+CW114)*N(AND(CW$3&lt;=$E115,CW$4&gt;=$E115))</f>
        <v>-0</v>
      </c>
      <c r="CX115" s="49" t="n">
        <f aca="false">-(CX112+CX113+CX114)*N(AND(CX$3&lt;=$E115,CX$4&gt;=$E115))</f>
        <v>-0</v>
      </c>
      <c r="CY115" s="49" t="n">
        <f aca="false">-(CY112+CY113+CY114)*N(AND(CY$3&lt;=$E115,CY$4&gt;=$E115))</f>
        <v>-0</v>
      </c>
      <c r="CZ115" s="49" t="n">
        <f aca="false">-(CZ112+CZ113+CZ114)*N(AND(CZ$3&lt;=$E115,CZ$4&gt;=$E115))</f>
        <v>-0</v>
      </c>
      <c r="DA115" s="49" t="n">
        <f aca="false">-(DA112+DA113+DA114)*N(AND(DA$3&lt;=$E115,DA$4&gt;=$E115))</f>
        <v>-0</v>
      </c>
      <c r="DB115" s="49" t="n">
        <f aca="false">-(DB112+DB113+DB114)*N(AND(DB$3&lt;=$E115,DB$4&gt;=$E115))</f>
        <v>-0</v>
      </c>
      <c r="DC115" s="49" t="n">
        <f aca="false">-(DC112+DC113+DC114)*N(AND(DC$3&lt;=$E115,DC$4&gt;=$E115))</f>
        <v>-0</v>
      </c>
      <c r="DD115" s="49" t="n">
        <f aca="false">-(DD112+DD113+DD114)*N(AND(DD$3&lt;=$E115,DD$4&gt;=$E115))</f>
        <v>-0</v>
      </c>
      <c r="DE115" s="49" t="n">
        <f aca="false">-(DE112+DE113+DE114)*N(AND(DE$3&lt;=$E115,DE$4&gt;=$E115))</f>
        <v>-0</v>
      </c>
      <c r="DF115" s="49" t="n">
        <f aca="false">-(DF112+DF113+DF114)*N(AND(DF$3&lt;=$E115,DF$4&gt;=$E115))</f>
        <v>-0</v>
      </c>
      <c r="DG115" s="49" t="n">
        <f aca="false">-(DG112+DG113+DG114)*N(AND(DG$3&lt;=$E115,DG$4&gt;=$E115))</f>
        <v>-0</v>
      </c>
      <c r="DH115" s="49" t="n">
        <f aca="false">-(DH112+DH113+DH114)*N(AND(DH$3&lt;=$E115,DH$4&gt;=$E115))</f>
        <v>-0</v>
      </c>
      <c r="DI115" s="49" t="n">
        <f aca="false">-(DI112+DI113+DI114)*N(AND(DI$3&lt;=$E115,DI$4&gt;=$E115))</f>
        <v>-0</v>
      </c>
      <c r="DJ115" s="49" t="n">
        <f aca="false">-(DJ112+DJ113+DJ114)*N(AND(DJ$3&lt;=$E115,DJ$4&gt;=$E115))</f>
        <v>-0</v>
      </c>
      <c r="DK115" s="49" t="n">
        <f aca="false">-(DK112+DK113+DK114)*N(AND(DK$3&lt;=$E115,DK$4&gt;=$E115))</f>
        <v>-0</v>
      </c>
      <c r="DL115" s="49" t="n">
        <f aca="false">-(DL112+DL113+DL114)*N(AND(DL$3&lt;=$E115,DL$4&gt;=$E115))</f>
        <v>-0</v>
      </c>
      <c r="DM115" s="49" t="n">
        <f aca="false">-(DM112+DM113+DM114)*N(AND(DM$3&lt;=$E115,DM$4&gt;=$E115))</f>
        <v>-0</v>
      </c>
      <c r="DN115" s="49" t="n">
        <f aca="false">-(DN112+DN113+DN114)*N(AND(DN$3&lt;=$E115,DN$4&gt;=$E115))</f>
        <v>-0</v>
      </c>
      <c r="DO115" s="49" t="n">
        <f aca="false">-(DO112+DO113+DO114)*N(AND(DO$3&lt;=$E115,DO$4&gt;=$E115))</f>
        <v>-0</v>
      </c>
      <c r="DP115" s="49" t="n">
        <f aca="false">-(DP112+DP113+DP114)*N(AND(DP$3&lt;=$E115,DP$4&gt;=$E115))</f>
        <v>-0</v>
      </c>
      <c r="DQ115" s="49" t="n">
        <f aca="false">-(DQ112+DQ113+DQ114)*N(AND(DQ$3&lt;=$E115,DQ$4&gt;=$E115))</f>
        <v>-0</v>
      </c>
      <c r="DR115" s="49" t="n">
        <f aca="false">-(DR112+DR113+DR114)*N(AND(DR$3&lt;=$E115,DR$4&gt;=$E115))</f>
        <v>-0</v>
      </c>
      <c r="DS115" s="49" t="n">
        <f aca="false">-(DS112+DS113+DS114)*N(AND(DS$3&lt;=$E115,DS$4&gt;=$E115))</f>
        <v>-0</v>
      </c>
      <c r="DT115" s="49" t="n">
        <f aca="false">-(DT112+DT113+DT114)*N(AND(DT$3&lt;=$E115,DT$4&gt;=$E115))</f>
        <v>-0</v>
      </c>
      <c r="DU115" s="49" t="n">
        <f aca="false">-(DU112+DU113+DU114)*N(AND(DU$3&lt;=$E115,DU$4&gt;=$E115))</f>
        <v>-0</v>
      </c>
      <c r="DV115" s="49" t="n">
        <f aca="false">-(DV112+DV113+DV114)*N(AND(DV$3&lt;=$E115,DV$4&gt;=$E115))</f>
        <v>-0</v>
      </c>
      <c r="DW115" s="49" t="n">
        <f aca="false">-(DW112+DW113+DW114)*N(AND(DW$3&lt;=$E115,DW$4&gt;=$E115))</f>
        <v>-0</v>
      </c>
      <c r="DX115" s="49" t="n">
        <f aca="false">-(DX112+DX113+DX114)*N(AND(DX$3&lt;=$E115,DX$4&gt;=$E115))</f>
        <v>-0</v>
      </c>
      <c r="DY115" s="49" t="n">
        <f aca="false">-(DY112+DY113+DY114)*N(AND(DY$3&lt;=$E115,DY$4&gt;=$E115))</f>
        <v>-0</v>
      </c>
      <c r="DZ115" s="49" t="n">
        <f aca="false">-(DZ112+DZ113+DZ114)*N(AND(DZ$3&lt;=$E115,DZ$4&gt;=$E115))</f>
        <v>-0</v>
      </c>
      <c r="EA115" s="49" t="n">
        <f aca="false">-(EA112+EA113+EA114)*N(AND(EA$3&lt;=$E115,EA$4&gt;=$E115))</f>
        <v>-0</v>
      </c>
      <c r="EB115" s="49" t="n">
        <f aca="false">-(EB112+EB113+EB114)*N(AND(EB$3&lt;=$E115,EB$4&gt;=$E115))</f>
        <v>-0</v>
      </c>
      <c r="EC115" s="49" t="n">
        <f aca="false">-(EC112+EC113+EC114)*N(AND(EC$3&lt;=$E115,EC$4&gt;=$E115))</f>
        <v>-0</v>
      </c>
      <c r="ED115" s="49" t="n">
        <f aca="false">-(ED112+ED113+ED114)*N(AND(ED$3&lt;=$E115,ED$4&gt;=$E115))</f>
        <v>-0</v>
      </c>
      <c r="EE115" s="49" t="n">
        <f aca="false">-(EE112+EE113+EE114)*N(AND(EE$3&lt;=$E115,EE$4&gt;=$E115))</f>
        <v>-0</v>
      </c>
      <c r="EF115" s="49" t="n">
        <f aca="false">-(EF112+EF113+EF114)*N(AND(EF$3&lt;=$E115,EF$4&gt;=$E115))</f>
        <v>-0</v>
      </c>
      <c r="EG115" s="49" t="n">
        <f aca="false">-(EG112+EG113+EG114)*N(AND(EG$3&lt;=$E115,EG$4&gt;=$E115))</f>
        <v>-0</v>
      </c>
      <c r="EH115" s="49" t="n">
        <f aca="false">-(EH112+EH113+EH114)*N(AND(EH$3&lt;=$E115,EH$4&gt;=$E115))</f>
        <v>-0</v>
      </c>
      <c r="EI115" s="49" t="n">
        <f aca="false">-(EI112+EI113+EI114)*N(AND(EI$3&lt;=$E115,EI$4&gt;=$E115))</f>
        <v>-0</v>
      </c>
      <c r="EJ115" s="49" t="n">
        <f aca="false">-(EJ112+EJ113+EJ114)*N(AND(EJ$3&lt;=$E115,EJ$4&gt;=$E115))</f>
        <v>-0</v>
      </c>
      <c r="EK115" s="49" t="n">
        <f aca="false">-(EK112+EK113+EK114)*N(AND(EK$3&lt;=$E115,EK$4&gt;=$E115))</f>
        <v>-0</v>
      </c>
      <c r="EL115" s="49" t="n">
        <f aca="false">-(EL112+EL113+EL114)*N(AND(EL$3&lt;=$E115,EL$4&gt;=$E115))</f>
        <v>-0</v>
      </c>
      <c r="EM115" s="49" t="n">
        <f aca="false">-(EM112+EM113+EM114)*N(AND(EM$3&lt;=$E115,EM$4&gt;=$E115))</f>
        <v>-0</v>
      </c>
      <c r="EN115" s="49" t="n">
        <f aca="false">-(EN112+EN113+EN114)*N(AND(EN$3&lt;=$E115,EN$4&gt;=$E115))</f>
        <v>-0</v>
      </c>
      <c r="EO115" s="49" t="n">
        <f aca="false">-(EO112+EO113+EO114)*N(AND(EO$3&lt;=$E115,EO$4&gt;=$E115))</f>
        <v>-0</v>
      </c>
    </row>
    <row r="116" customFormat="false" ht="15" hidden="false" customHeight="false" outlineLevel="0" collapsed="false">
      <c r="C116" s="1" t="s">
        <v>513</v>
      </c>
      <c r="D116" s="12" t="s">
        <v>33</v>
      </c>
      <c r="I116" s="60"/>
      <c r="J116" s="49" t="n">
        <f aca="false">SUM(J112:J115)</f>
        <v>12.8099380746857</v>
      </c>
      <c r="K116" s="49" t="n">
        <f aca="false">SUM(K112:K115)</f>
        <v>32.4846237568024</v>
      </c>
      <c r="L116" s="49" t="n">
        <f aca="false">SUM(L112:L115)</f>
        <v>65.6401125914806</v>
      </c>
      <c r="M116" s="49" t="n">
        <f aca="false">SUM(M112:M115)</f>
        <v>99.1599474573091</v>
      </c>
      <c r="N116" s="49" t="n">
        <f aca="false">SUM(N112:N115)</f>
        <v>132.679782323138</v>
      </c>
      <c r="O116" s="49" t="n">
        <f aca="false">SUM(O112:O115)</f>
        <v>165.835271157816</v>
      </c>
      <c r="P116" s="49" t="n">
        <f aca="false">SUM(P112:P115)</f>
        <v>198.990759992494</v>
      </c>
      <c r="Q116" s="49" t="n">
        <f aca="false">SUM(Q112:Q115)</f>
        <v>232.510594858322</v>
      </c>
      <c r="R116" s="49" t="n">
        <f aca="false">SUM(R112:R115)</f>
        <v>1161.08643742634</v>
      </c>
      <c r="S116" s="49" t="n">
        <f aca="false">SUM(S112:S115)</f>
        <v>1317.59402148047</v>
      </c>
      <c r="T116" s="49" t="n">
        <f aca="false">SUM(T112:T115)</f>
        <v>1455.93002362403</v>
      </c>
      <c r="U116" s="49" t="n">
        <f aca="false">SUM(U112:U115)</f>
        <v>1585.72077844869</v>
      </c>
      <c r="V116" s="49" t="n">
        <f aca="false">SUM(V112:V115)</f>
        <v>1705.33550106093</v>
      </c>
      <c r="W116" s="49" t="n">
        <f aca="false">SUM(W112:W115)</f>
        <v>1813.43702066827</v>
      </c>
      <c r="X116" s="49" t="n">
        <f aca="false">SUM(X112:X115)</f>
        <v>1912.89305865171</v>
      </c>
      <c r="Y116" s="49" t="n">
        <f aca="false">SUM(Y112:Y115)</f>
        <v>2003.37659696283</v>
      </c>
      <c r="Z116" s="49" t="n">
        <f aca="false">SUM(Z112:Z115)</f>
        <v>1617.12689544177</v>
      </c>
      <c r="AA116" s="49" t="n">
        <f aca="false">SUM(AA112:AA115)</f>
        <v>1234.19399889981</v>
      </c>
      <c r="AB116" s="49" t="n">
        <f aca="false">SUM(AB112:AB115)</f>
        <v>840.926129825485</v>
      </c>
      <c r="AC116" s="49" t="n">
        <f aca="false">SUM(AC112:AC115)</f>
        <v>437.284532179296</v>
      </c>
      <c r="AD116" s="49" t="n">
        <f aca="false">SUM(AD112:AD115)</f>
        <v>34.7014856300324</v>
      </c>
      <c r="AE116" s="49" t="n">
        <f aca="false">SUM(AE112:AE115)</f>
        <v>0</v>
      </c>
      <c r="AF116" s="49" t="n">
        <f aca="false">SUM(AF112:AF115)</f>
        <v>0</v>
      </c>
      <c r="AG116" s="49" t="n">
        <f aca="false">SUM(AG112:AG115)</f>
        <v>0</v>
      </c>
      <c r="AH116" s="49" t="n">
        <f aca="false">SUM(AH112:AH115)</f>
        <v>0</v>
      </c>
      <c r="AI116" s="49" t="n">
        <f aca="false">SUM(AI112:AI115)</f>
        <v>0</v>
      </c>
      <c r="AJ116" s="49" t="n">
        <f aca="false">SUM(AJ112:AJ115)</f>
        <v>0</v>
      </c>
      <c r="AK116" s="49" t="n">
        <f aca="false">SUM(AK112:AK115)</f>
        <v>0</v>
      </c>
      <c r="AL116" s="49" t="n">
        <f aca="false">SUM(AL112:AL115)</f>
        <v>0</v>
      </c>
      <c r="AM116" s="49" t="n">
        <f aca="false">SUM(AM112:AM115)</f>
        <v>0</v>
      </c>
      <c r="AN116" s="49" t="n">
        <f aca="false">SUM(AN112:AN115)</f>
        <v>0</v>
      </c>
      <c r="AO116" s="49" t="n">
        <f aca="false">SUM(AO112:AO115)</f>
        <v>0</v>
      </c>
      <c r="AP116" s="49" t="n">
        <f aca="false">SUM(AP112:AP115)</f>
        <v>0</v>
      </c>
      <c r="AQ116" s="49" t="n">
        <f aca="false">SUM(AQ112:AQ115)</f>
        <v>0</v>
      </c>
      <c r="AR116" s="49" t="n">
        <f aca="false">SUM(AR112:AR115)</f>
        <v>0</v>
      </c>
      <c r="AS116" s="49" t="n">
        <f aca="false">SUM(AS112:AS115)</f>
        <v>0</v>
      </c>
      <c r="AT116" s="49" t="n">
        <f aca="false">SUM(AT112:AT115)</f>
        <v>0</v>
      </c>
      <c r="AU116" s="49" t="n">
        <f aca="false">SUM(AU112:AU115)</f>
        <v>0</v>
      </c>
      <c r="AV116" s="49" t="n">
        <f aca="false">SUM(AV112:AV115)</f>
        <v>0</v>
      </c>
      <c r="AW116" s="49" t="n">
        <f aca="false">SUM(AW112:AW115)</f>
        <v>0</v>
      </c>
      <c r="AX116" s="49" t="n">
        <f aca="false">SUM(AX112:AX115)</f>
        <v>0</v>
      </c>
      <c r="AY116" s="49" t="n">
        <f aca="false">SUM(AY112:AY115)</f>
        <v>0</v>
      </c>
      <c r="AZ116" s="49" t="n">
        <f aca="false">SUM(AZ112:AZ115)</f>
        <v>0</v>
      </c>
      <c r="BA116" s="49" t="n">
        <f aca="false">SUM(BA112:BA115)</f>
        <v>0</v>
      </c>
      <c r="BB116" s="49" t="n">
        <f aca="false">SUM(BB112:BB115)</f>
        <v>0</v>
      </c>
      <c r="BC116" s="49" t="n">
        <f aca="false">SUM(BC112:BC115)</f>
        <v>0</v>
      </c>
      <c r="BD116" s="49" t="n">
        <f aca="false">SUM(BD112:BD115)</f>
        <v>0</v>
      </c>
      <c r="BE116" s="49" t="n">
        <f aca="false">SUM(BE112:BE115)</f>
        <v>0</v>
      </c>
      <c r="BF116" s="49" t="n">
        <f aca="false">SUM(BF112:BF115)</f>
        <v>0</v>
      </c>
      <c r="BG116" s="49" t="n">
        <f aca="false">SUM(BG112:BG115)</f>
        <v>0</v>
      </c>
      <c r="BH116" s="49" t="n">
        <f aca="false">SUM(BH112:BH115)</f>
        <v>0</v>
      </c>
      <c r="BI116" s="49" t="n">
        <f aca="false">SUM(BI112:BI115)</f>
        <v>0</v>
      </c>
      <c r="BJ116" s="49" t="n">
        <f aca="false">SUM(BJ112:BJ115)</f>
        <v>0</v>
      </c>
      <c r="BK116" s="49" t="n">
        <f aca="false">SUM(BK112:BK115)</f>
        <v>0</v>
      </c>
      <c r="BL116" s="49" t="n">
        <f aca="false">SUM(BL112:BL115)</f>
        <v>0</v>
      </c>
      <c r="BM116" s="49" t="n">
        <f aca="false">SUM(BM112:BM115)</f>
        <v>0</v>
      </c>
      <c r="BN116" s="49" t="n">
        <f aca="false">SUM(BN112:BN115)</f>
        <v>0</v>
      </c>
      <c r="BO116" s="49" t="n">
        <f aca="false">SUM(BO112:BO115)</f>
        <v>0</v>
      </c>
      <c r="BP116" s="49" t="n">
        <f aca="false">SUM(BP112:BP115)</f>
        <v>0</v>
      </c>
      <c r="BQ116" s="49" t="n">
        <f aca="false">SUM(BQ112:BQ115)</f>
        <v>0</v>
      </c>
      <c r="BR116" s="49" t="n">
        <f aca="false">SUM(BR112:BR115)</f>
        <v>0</v>
      </c>
      <c r="BS116" s="49" t="n">
        <f aca="false">SUM(BS112:BS115)</f>
        <v>0</v>
      </c>
      <c r="BT116" s="49" t="n">
        <f aca="false">SUM(BT112:BT115)</f>
        <v>0</v>
      </c>
      <c r="BU116" s="49" t="n">
        <f aca="false">SUM(BU112:BU115)</f>
        <v>0</v>
      </c>
      <c r="BV116" s="49" t="n">
        <f aca="false">SUM(BV112:BV115)</f>
        <v>0</v>
      </c>
      <c r="BW116" s="49" t="n">
        <f aca="false">SUM(BW112:BW115)</f>
        <v>0</v>
      </c>
      <c r="BX116" s="49" t="n">
        <f aca="false">SUM(BX112:BX115)</f>
        <v>0</v>
      </c>
      <c r="BY116" s="49" t="n">
        <f aca="false">SUM(BY112:BY115)</f>
        <v>0</v>
      </c>
      <c r="BZ116" s="49" t="n">
        <f aca="false">SUM(BZ112:BZ115)</f>
        <v>0</v>
      </c>
      <c r="CA116" s="49" t="n">
        <f aca="false">SUM(CA112:CA115)</f>
        <v>0</v>
      </c>
      <c r="CB116" s="49" t="n">
        <f aca="false">SUM(CB112:CB115)</f>
        <v>0</v>
      </c>
      <c r="CC116" s="49" t="n">
        <f aca="false">SUM(CC112:CC115)</f>
        <v>0</v>
      </c>
      <c r="CD116" s="49" t="n">
        <f aca="false">SUM(CD112:CD115)</f>
        <v>0</v>
      </c>
      <c r="CE116" s="49" t="n">
        <f aca="false">SUM(CE112:CE115)</f>
        <v>0</v>
      </c>
      <c r="CF116" s="49" t="n">
        <f aca="false">SUM(CF112:CF115)</f>
        <v>0</v>
      </c>
      <c r="CG116" s="49" t="n">
        <f aca="false">SUM(CG112:CG115)</f>
        <v>0</v>
      </c>
      <c r="CH116" s="49" t="n">
        <f aca="false">SUM(CH112:CH115)</f>
        <v>0</v>
      </c>
      <c r="CI116" s="49" t="n">
        <f aca="false">SUM(CI112:CI115)</f>
        <v>0</v>
      </c>
      <c r="CJ116" s="49" t="n">
        <f aca="false">SUM(CJ112:CJ115)</f>
        <v>0</v>
      </c>
      <c r="CK116" s="49" t="n">
        <f aca="false">SUM(CK112:CK115)</f>
        <v>0</v>
      </c>
      <c r="CL116" s="49" t="n">
        <f aca="false">SUM(CL112:CL115)</f>
        <v>0</v>
      </c>
      <c r="CM116" s="49" t="n">
        <f aca="false">SUM(CM112:CM115)</f>
        <v>0</v>
      </c>
      <c r="CN116" s="49" t="n">
        <f aca="false">SUM(CN112:CN115)</f>
        <v>0</v>
      </c>
      <c r="CO116" s="49" t="n">
        <f aca="false">SUM(CO112:CO115)</f>
        <v>0</v>
      </c>
      <c r="CP116" s="49" t="n">
        <f aca="false">SUM(CP112:CP115)</f>
        <v>0</v>
      </c>
      <c r="CQ116" s="49" t="n">
        <f aca="false">SUM(CQ112:CQ115)</f>
        <v>0</v>
      </c>
      <c r="CR116" s="49" t="n">
        <f aca="false">SUM(CR112:CR115)</f>
        <v>0</v>
      </c>
      <c r="CS116" s="49" t="n">
        <f aca="false">SUM(CS112:CS115)</f>
        <v>0</v>
      </c>
      <c r="CT116" s="49" t="n">
        <f aca="false">SUM(CT112:CT115)</f>
        <v>0</v>
      </c>
      <c r="CU116" s="49" t="n">
        <f aca="false">SUM(CU112:CU115)</f>
        <v>0</v>
      </c>
      <c r="CV116" s="49" t="n">
        <f aca="false">SUM(CV112:CV115)</f>
        <v>0</v>
      </c>
      <c r="CW116" s="49" t="n">
        <f aca="false">SUM(CW112:CW115)</f>
        <v>0</v>
      </c>
      <c r="CX116" s="49" t="n">
        <f aca="false">SUM(CX112:CX115)</f>
        <v>0</v>
      </c>
      <c r="CY116" s="49" t="n">
        <f aca="false">SUM(CY112:CY115)</f>
        <v>0</v>
      </c>
      <c r="CZ116" s="49" t="n">
        <f aca="false">SUM(CZ112:CZ115)</f>
        <v>0</v>
      </c>
      <c r="DA116" s="49" t="n">
        <f aca="false">SUM(DA112:DA115)</f>
        <v>0</v>
      </c>
      <c r="DB116" s="49" t="n">
        <f aca="false">SUM(DB112:DB115)</f>
        <v>0</v>
      </c>
      <c r="DC116" s="49" t="n">
        <f aca="false">SUM(DC112:DC115)</f>
        <v>0</v>
      </c>
      <c r="DD116" s="49" t="n">
        <f aca="false">SUM(DD112:DD115)</f>
        <v>0</v>
      </c>
      <c r="DE116" s="49" t="n">
        <f aca="false">SUM(DE112:DE115)</f>
        <v>0</v>
      </c>
      <c r="DF116" s="49" t="n">
        <f aca="false">SUM(DF112:DF115)</f>
        <v>0</v>
      </c>
      <c r="DG116" s="49" t="n">
        <f aca="false">SUM(DG112:DG115)</f>
        <v>0</v>
      </c>
      <c r="DH116" s="49" t="n">
        <f aca="false">SUM(DH112:DH115)</f>
        <v>0</v>
      </c>
      <c r="DI116" s="49" t="n">
        <f aca="false">SUM(DI112:DI115)</f>
        <v>0</v>
      </c>
      <c r="DJ116" s="49" t="n">
        <f aca="false">SUM(DJ112:DJ115)</f>
        <v>0</v>
      </c>
      <c r="DK116" s="49" t="n">
        <f aca="false">SUM(DK112:DK115)</f>
        <v>0</v>
      </c>
      <c r="DL116" s="49" t="n">
        <f aca="false">SUM(DL112:DL115)</f>
        <v>0</v>
      </c>
      <c r="DM116" s="49" t="n">
        <f aca="false">SUM(DM112:DM115)</f>
        <v>0</v>
      </c>
      <c r="DN116" s="49" t="n">
        <f aca="false">SUM(DN112:DN115)</f>
        <v>0</v>
      </c>
      <c r="DO116" s="49" t="n">
        <f aca="false">SUM(DO112:DO115)</f>
        <v>0</v>
      </c>
      <c r="DP116" s="49" t="n">
        <f aca="false">SUM(DP112:DP115)</f>
        <v>0</v>
      </c>
      <c r="DQ116" s="49" t="n">
        <f aca="false">SUM(DQ112:DQ115)</f>
        <v>0</v>
      </c>
      <c r="DR116" s="49" t="n">
        <f aca="false">SUM(DR112:DR115)</f>
        <v>0</v>
      </c>
      <c r="DS116" s="49" t="n">
        <f aca="false">SUM(DS112:DS115)</f>
        <v>0</v>
      </c>
      <c r="DT116" s="49" t="n">
        <f aca="false">SUM(DT112:DT115)</f>
        <v>0</v>
      </c>
      <c r="DU116" s="49" t="n">
        <f aca="false">SUM(DU112:DU115)</f>
        <v>0</v>
      </c>
      <c r="DV116" s="49" t="n">
        <f aca="false">SUM(DV112:DV115)</f>
        <v>0</v>
      </c>
      <c r="DW116" s="49" t="n">
        <f aca="false">SUM(DW112:DW115)</f>
        <v>0</v>
      </c>
      <c r="DX116" s="49" t="n">
        <f aca="false">SUM(DX112:DX115)</f>
        <v>0</v>
      </c>
      <c r="DY116" s="49" t="n">
        <f aca="false">SUM(DY112:DY115)</f>
        <v>0</v>
      </c>
      <c r="DZ116" s="49" t="n">
        <f aca="false">SUM(DZ112:DZ115)</f>
        <v>0</v>
      </c>
      <c r="EA116" s="49" t="n">
        <f aca="false">SUM(EA112:EA115)</f>
        <v>0</v>
      </c>
      <c r="EB116" s="49" t="n">
        <f aca="false">SUM(EB112:EB115)</f>
        <v>0</v>
      </c>
      <c r="EC116" s="49" t="n">
        <f aca="false">SUM(EC112:EC115)</f>
        <v>0</v>
      </c>
      <c r="ED116" s="49" t="n">
        <f aca="false">SUM(ED112:ED115)</f>
        <v>0</v>
      </c>
      <c r="EE116" s="49" t="n">
        <f aca="false">SUM(EE112:EE115)</f>
        <v>0</v>
      </c>
      <c r="EF116" s="49" t="n">
        <f aca="false">SUM(EF112:EF115)</f>
        <v>0</v>
      </c>
      <c r="EG116" s="49" t="n">
        <f aca="false">SUM(EG112:EG115)</f>
        <v>0</v>
      </c>
      <c r="EH116" s="49" t="n">
        <f aca="false">SUM(EH112:EH115)</f>
        <v>0</v>
      </c>
      <c r="EI116" s="49" t="n">
        <f aca="false">SUM(EI112:EI115)</f>
        <v>0</v>
      </c>
      <c r="EJ116" s="49" t="n">
        <f aca="false">SUM(EJ112:EJ115)</f>
        <v>0</v>
      </c>
      <c r="EK116" s="49" t="n">
        <f aca="false">SUM(EK112:EK115)</f>
        <v>0</v>
      </c>
      <c r="EL116" s="49" t="n">
        <f aca="false">SUM(EL112:EL115)</f>
        <v>0</v>
      </c>
      <c r="EM116" s="49" t="n">
        <f aca="false">SUM(EM112:EM115)</f>
        <v>0</v>
      </c>
      <c r="EN116" s="49" t="n">
        <f aca="false">SUM(EN112:EN115)</f>
        <v>0</v>
      </c>
      <c r="EO116" s="49" t="n">
        <f aca="false">SUM(EO112:EO115)</f>
        <v>0</v>
      </c>
    </row>
    <row r="117" customFormat="false" ht="15" hidden="false" customHeight="false" outlineLevel="0" collapsed="false">
      <c r="C117" s="1" t="s">
        <v>514</v>
      </c>
      <c r="D117" s="12" t="s">
        <v>33</v>
      </c>
      <c r="J117" s="49" t="n">
        <f aca="false">-In_CIT*(MAX(0,J111)+J114)-In_RH_On*In_RH_Rate*MAX(0,J111)</f>
        <v>-0</v>
      </c>
      <c r="K117" s="49" t="n">
        <f aca="false">-In_CIT*(MAX(0,K111)+K114)-In_RH_On*In_RH_Rate*MAX(0,K111)</f>
        <v>-0</v>
      </c>
      <c r="L117" s="49" t="n">
        <f aca="false">-In_CIT*(MAX(0,L111)+L114)-In_RH_On*In_RH_Rate*MAX(0,L111)</f>
        <v>-0</v>
      </c>
      <c r="M117" s="49" t="n">
        <f aca="false">-In_CIT*(MAX(0,M111)+M114)-In_RH_On*In_RH_Rate*MAX(0,M111)</f>
        <v>-0</v>
      </c>
      <c r="N117" s="49" t="n">
        <f aca="false">-In_CIT*(MAX(0,N111)+N114)-In_RH_On*In_RH_Rate*MAX(0,N111)</f>
        <v>-0</v>
      </c>
      <c r="O117" s="49" t="n">
        <f aca="false">-In_CIT*(MAX(0,O111)+O114)-In_RH_On*In_RH_Rate*MAX(0,O111)</f>
        <v>-0</v>
      </c>
      <c r="P117" s="49" t="n">
        <f aca="false">-In_CIT*(MAX(0,P111)+P114)-In_RH_On*In_RH_Rate*MAX(0,P111)</f>
        <v>-0</v>
      </c>
      <c r="Q117" s="49" t="n">
        <f aca="false">-In_CIT*(MAX(0,Q111)+Q114)-In_RH_On*In_RH_Rate*MAX(0,Q111)</f>
        <v>-0</v>
      </c>
      <c r="R117" s="49" t="n">
        <f aca="false">-In_CIT*(MAX(0,R111)+R114)-In_RH_On*In_RH_Rate*MAX(0,R111)</f>
        <v>-0</v>
      </c>
      <c r="S117" s="49" t="n">
        <f aca="false">-In_CIT*(MAX(0,S111)+S114)-In_RH_On*In_RH_Rate*MAX(0,S111)</f>
        <v>-0</v>
      </c>
      <c r="T117" s="49" t="n">
        <f aca="false">-In_CIT*(MAX(0,T111)+T114)-In_RH_On*In_RH_Rate*MAX(0,T111)</f>
        <v>-0</v>
      </c>
      <c r="U117" s="49" t="n">
        <f aca="false">-In_CIT*(MAX(0,U111)+U114)-In_RH_On*In_RH_Rate*MAX(0,U111)</f>
        <v>-0</v>
      </c>
      <c r="V117" s="49" t="n">
        <f aca="false">-In_CIT*(MAX(0,V111)+V114)-In_RH_On*In_RH_Rate*MAX(0,V111)</f>
        <v>-0</v>
      </c>
      <c r="W117" s="49" t="n">
        <f aca="false">-In_CIT*(MAX(0,W111)+W114)-In_RH_On*In_RH_Rate*MAX(0,W111)</f>
        <v>-0</v>
      </c>
      <c r="X117" s="49" t="n">
        <f aca="false">-In_CIT*(MAX(0,X111)+X114)-In_RH_On*In_RH_Rate*MAX(0,X111)</f>
        <v>-0</v>
      </c>
      <c r="Y117" s="49" t="n">
        <f aca="false">-In_CIT*(MAX(0,Y111)+Y114)-In_RH_On*In_RH_Rate*MAX(0,Y111)</f>
        <v>-0</v>
      </c>
      <c r="Z117" s="49" t="n">
        <f aca="false">-In_CIT*(MAX(0,Z111)+Z114)-In_RH_On*In_RH_Rate*MAX(0,Z111)</f>
        <v>-57.9374552281603</v>
      </c>
      <c r="AA117" s="49" t="n">
        <f aca="false">-In_CIT*(MAX(0,AA111)+AA114)-In_RH_On*In_RH_Rate*MAX(0,AA111)</f>
        <v>-57.4399344812928</v>
      </c>
      <c r="AB117" s="49" t="n">
        <f aca="false">-In_CIT*(MAX(0,AB111)+AB114)-In_RH_On*In_RH_Rate*MAX(0,AB111)</f>
        <v>-58.9901803611493</v>
      </c>
      <c r="AC117" s="49" t="n">
        <f aca="false">-In_CIT*(MAX(0,AC111)+AC114)-In_RH_On*In_RH_Rate*MAX(0,AC111)</f>
        <v>-60.5462396469284</v>
      </c>
      <c r="AD117" s="49" t="n">
        <f aca="false">-In_CIT*(MAX(0,AD111)+AD114)-In_RH_On*In_RH_Rate*MAX(0,AD111)</f>
        <v>-60.3874569823895</v>
      </c>
      <c r="AE117" s="49" t="n">
        <f aca="false">-In_CIT*(MAX(0,AE111)+AE114)-In_RH_On*In_RH_Rate*MAX(0,AE111)</f>
        <v>-116.758734103684</v>
      </c>
      <c r="AF117" s="49" t="n">
        <f aca="false">-In_CIT*(MAX(0,AF111)+AF114)-In_RH_On*In_RH_Rate*MAX(0,AF111)</f>
        <v>-122.941488443531</v>
      </c>
      <c r="AG117" s="49" t="n">
        <f aca="false">-In_CIT*(MAX(0,AG111)+AG114)-In_RH_On*In_RH_Rate*MAX(0,AG111)</f>
        <v>-126.11392454692</v>
      </c>
      <c r="AH117" s="49" t="n">
        <f aca="false">-In_CIT*(MAX(0,AH111)+AH114)-In_RH_On*In_RH_Rate*MAX(0,AH111)</f>
        <v>-125.836878321305</v>
      </c>
      <c r="AI117" s="49" t="n">
        <f aca="false">-In_CIT*(MAX(0,AI111)+AI114)-In_RH_On*In_RH_Rate*MAX(0,AI111)</f>
        <v>-124.846614179757</v>
      </c>
      <c r="AJ117" s="49" t="n">
        <f aca="false">-In_CIT*(MAX(0,AJ111)+AJ114)-In_RH_On*In_RH_Rate*MAX(0,AJ111)</f>
        <v>-133.041969458097</v>
      </c>
      <c r="AK117" s="49" t="n">
        <f aca="false">-In_CIT*(MAX(0,AK111)+AK114)-In_RH_On*In_RH_Rate*MAX(0,AK111)</f>
        <v>-136.331494967991</v>
      </c>
      <c r="AL117" s="49" t="n">
        <f aca="false">-In_CIT*(MAX(0,AL111)+AL114)-In_RH_On*In_RH_Rate*MAX(0,AL111)</f>
        <v>-136.097415863805</v>
      </c>
      <c r="AM117" s="49" t="n">
        <f aca="false">-In_CIT*(MAX(0,AM111)+AM114)-In_RH_On*In_RH_Rate*MAX(0,AM111)</f>
        <v>-135.003321800434</v>
      </c>
      <c r="AN117" s="49" t="n">
        <f aca="false">-In_CIT*(MAX(0,AN111)+AN114)-In_RH_On*In_RH_Rate*MAX(0,AN111)</f>
        <v>-138.34402136973</v>
      </c>
      <c r="AO117" s="49" t="n">
        <f aca="false">-In_CIT*(MAX(0,AO111)+AO114)-In_RH_On*In_RH_Rate*MAX(0,AO111)</f>
        <v>-141.698216813403</v>
      </c>
      <c r="AP117" s="49" t="n">
        <f aca="false">-In_CIT*(MAX(0,AP111)+AP114)-In_RH_On*In_RH_Rate*MAX(0,AP111)</f>
        <v>-141.509679351696</v>
      </c>
      <c r="AQ117" s="49" t="n">
        <f aca="false">-In_CIT*(MAX(0,AQ111)+AQ114)-In_RH_On*In_RH_Rate*MAX(0,AQ111)</f>
        <v>-140.423277039126</v>
      </c>
      <c r="AR117" s="49" t="n">
        <f aca="false">-In_CIT*(MAX(0,AR111)+AR114)-In_RH_On*In_RH_Rate*MAX(0,AR111)</f>
        <v>-143.830309905448</v>
      </c>
      <c r="AS117" s="49" t="n">
        <f aca="false">-In_CIT*(MAX(0,AS111)+AS114)-In_RH_On*In_RH_Rate*MAX(0,AS111)</f>
        <v>-147.251526198013</v>
      </c>
      <c r="AT117" s="49" t="n">
        <f aca="false">-In_CIT*(MAX(0,AT111)+AT114)-In_RH_On*In_RH_Rate*MAX(0,AT111)</f>
        <v>-147.111237842595</v>
      </c>
      <c r="AU117" s="49" t="n">
        <f aca="false">-In_CIT*(MAX(0,AU111)+AU114)-In_RH_On*In_RH_Rate*MAX(0,AU111)</f>
        <v>-148.31820028279</v>
      </c>
      <c r="AV117" s="49" t="n">
        <f aca="false">-In_CIT*(MAX(0,AV111)+AV114)-In_RH_On*In_RH_Rate*MAX(0,AV111)</f>
        <v>-149.510680736508</v>
      </c>
      <c r="AW117" s="49" t="n">
        <f aca="false">-In_CIT*(MAX(0,AW111)+AW114)-In_RH_On*In_RH_Rate*MAX(0,AW111)</f>
        <v>-153.001393612611</v>
      </c>
      <c r="AX117" s="49" t="n">
        <f aca="false">-In_CIT*(MAX(0,AX111)+AX114)-In_RH_On*In_RH_Rate*MAX(0,AX111)</f>
        <v>-152.912201537361</v>
      </c>
      <c r="AY117" s="49" t="n">
        <f aca="false">-In_CIT*(MAX(0,AY111)+AY114)-In_RH_On*In_RH_Rate*MAX(0,AY111)</f>
        <v>-151.84835794014</v>
      </c>
      <c r="AZ117" s="49" t="n">
        <f aca="false">-In_CIT*(MAX(0,AZ111)+AZ114)-In_RH_On*In_RH_Rate*MAX(0,AZ111)</f>
        <v>-155.395509224558</v>
      </c>
      <c r="BA117" s="49" t="n">
        <f aca="false">-In_CIT*(MAX(0,BA111)+BA114)-In_RH_On*In_RH_Rate*MAX(0,BA111)</f>
        <v>-158.958325906128</v>
      </c>
      <c r="BB117" s="49" t="n">
        <f aca="false">-In_CIT*(MAX(0,BB111)+BB114)-In_RH_On*In_RH_Rate*MAX(0,BB111)</f>
        <v>-158.923224106642</v>
      </c>
      <c r="BC117" s="49" t="n">
        <f aca="false">-In_CIT*(MAX(0,BC111)+BC114)-In_RH_On*In_RH_Rate*MAX(0,BC111)</f>
        <v>-157.874525472005</v>
      </c>
      <c r="BD117" s="49" t="n">
        <f aca="false">-In_CIT*(MAX(0,BD111)+BD114)-In_RH_On*In_RH_Rate*MAX(0,BD111)</f>
        <v>-161.495728208429</v>
      </c>
      <c r="BE117" s="49" t="n">
        <f aca="false">-In_CIT*(MAX(0,BE111)+BE114)-In_RH_On*In_RH_Rate*MAX(0,BE111)</f>
        <v>-165.133394420941</v>
      </c>
      <c r="BF117" s="49" t="n">
        <f aca="false">-In_CIT*(MAX(0,BF111)+BF114)-In_RH_On*In_RH_Rate*MAX(0,BF111)</f>
        <v>-165.155531188027</v>
      </c>
      <c r="BG117" s="49" t="n">
        <f aca="false">-In_CIT*(MAX(0,BG111)+BG114)-In_RH_On*In_RH_Rate*MAX(0,BG111)</f>
        <v>-164.124752085069</v>
      </c>
      <c r="BH117" s="49" t="n">
        <f aca="false">-In_CIT*(MAX(0,BH111)+BH114)-In_RH_On*In_RH_Rate*MAX(0,BH111)</f>
        <v>-167.822857226847</v>
      </c>
      <c r="BI117" s="49" t="n">
        <f aca="false">-In_CIT*(MAX(0,BI111)+BI114)-In_RH_On*In_RH_Rate*MAX(0,BI111)</f>
        <v>-171.53826458205</v>
      </c>
      <c r="BJ117" s="49" t="n">
        <f aca="false">-In_CIT*(MAX(0,BJ111)+BJ114)-In_RH_On*In_RH_Rate*MAX(0,BJ111)</f>
        <v>-171.620950355506</v>
      </c>
      <c r="BK117" s="49" t="n">
        <f aca="false">-In_CIT*(MAX(0,BK111)+BK114)-In_RH_On*In_RH_Rate*MAX(0,BK111)</f>
        <v>-172.934338809386</v>
      </c>
      <c r="BL117" s="49" t="n">
        <f aca="false">-In_CIT*(MAX(0,BL111)+BL114)-In_RH_On*In_RH_Rate*MAX(0,BL111)</f>
        <v>-174.389033250717</v>
      </c>
      <c r="BM117" s="49" t="n">
        <f aca="false">-In_CIT*(MAX(0,BM111)+BM114)-In_RH_On*In_RH_Rate*MAX(0,BM111)</f>
        <v>-178.185227014745</v>
      </c>
      <c r="BN117" s="49" t="n">
        <f aca="false">-In_CIT*(MAX(0,BN111)+BN114)-In_RH_On*In_RH_Rate*MAX(0,BN111)</f>
        <v>-178.331942636776</v>
      </c>
      <c r="BO117" s="49" t="n">
        <f aca="false">-In_CIT*(MAX(0,BO111)+BO114)-In_RH_On*In_RH_Rate*MAX(0,BO111)</f>
        <v>-177.345965789915</v>
      </c>
      <c r="BP117" s="49" t="n">
        <f aca="false">-In_CIT*(MAX(0,BP111)+BP114)-In_RH_On*In_RH_Rate*MAX(0,BP111)</f>
        <v>-181.207043002392</v>
      </c>
      <c r="BQ117" s="49" t="n">
        <f aca="false">-In_CIT*(MAX(0,BQ111)+BQ114)-In_RH_On*In_RH_Rate*MAX(0,BQ111)</f>
        <v>-185.087230269116</v>
      </c>
      <c r="BR117" s="49" t="n">
        <f aca="false">-In_CIT*(MAX(0,BR111)+BR114)-In_RH_On*In_RH_Rate*MAX(0,BR111)</f>
        <v>-185.301635657742</v>
      </c>
      <c r="BS117" s="49" t="n">
        <f aca="false">-In_CIT*(MAX(0,BS111)+BS114)-In_RH_On*In_RH_Rate*MAX(0,BS111)</f>
        <v>-184.342882275204</v>
      </c>
      <c r="BT117" s="49" t="n">
        <f aca="false">-In_CIT*(MAX(0,BT111)+BT114)-In_RH_On*In_RH_Rate*MAX(0,BT111)</f>
        <v>-188.290356943314</v>
      </c>
      <c r="BU117" s="49" t="n">
        <f aca="false">-In_CIT*(MAX(0,BU111)+BU114)-In_RH_On*In_RH_Rate*MAX(0,BU111)</f>
        <v>-192.257915233823</v>
      </c>
      <c r="BV117" s="49" t="n">
        <f aca="false">-In_CIT*(MAX(0,BV111)+BV114)-In_RH_On*In_RH_Rate*MAX(0,BV111)</f>
        <v>-192.543858497651</v>
      </c>
      <c r="BW117" s="49" t="n">
        <f aca="false">-In_CIT*(MAX(0,BW111)+BW114)-In_RH_On*In_RH_Rate*MAX(0,BW111)</f>
        <v>-191.615785494695</v>
      </c>
      <c r="BX117" s="49" t="n">
        <f aca="false">-In_CIT*(MAX(0,BX111)+BX114)-In_RH_On*In_RH_Rate*MAX(0,BX111)</f>
        <v>-195.653165015551</v>
      </c>
      <c r="BY117" s="49" t="n">
        <f aca="false">-In_CIT*(MAX(0,BY111)+BY114)-In_RH_On*In_RH_Rate*MAX(0,BY111)</f>
        <v>-199.711651325715</v>
      </c>
      <c r="BZ117" s="49" t="n">
        <f aca="false">-In_CIT*(MAX(0,BZ111)+BZ114)-In_RH_On*In_RH_Rate*MAX(0,BZ111)</f>
        <v>-200.073178342561</v>
      </c>
      <c r="CA117" s="49" t="n">
        <f aca="false">-In_CIT*(MAX(0,CA111)+CA114)-In_RH_On*In_RH_Rate*MAX(0,CA111)</f>
        <v>-201.535847683055</v>
      </c>
      <c r="CB117" s="49" t="n">
        <f aca="false">-In_CIT*(MAX(0,CB111)+CB114)-In_RH_On*In_RH_Rate*MAX(0,CB111)</f>
        <v>-203.310414227136</v>
      </c>
      <c r="CC117" s="49" t="n">
        <f aca="false">-In_CIT*(MAX(0,CC111)+CC114)-In_RH_On*In_RH_Rate*MAX(0,CC111)</f>
        <v>-207.463574546337</v>
      </c>
      <c r="CD117" s="49" t="n">
        <f aca="false">-In_CIT*(MAX(0,CD111)+CD114)-In_RH_On*In_RH_Rate*MAX(0,CD111)</f>
        <v>-207.904939029305</v>
      </c>
      <c r="CE117" s="49" t="n">
        <f aca="false">-In_CIT*(MAX(0,CE111)+CE114)-In_RH_On*In_RH_Rate*MAX(0,CE111)</f>
        <v>-207.049381005859</v>
      </c>
      <c r="CF117" s="49" t="n">
        <f aca="false">-In_CIT*(MAX(0,CF111)+CF114)-In_RH_On*In_RH_Rate*MAX(0,CF111)</f>
        <v>-211.277848175713</v>
      </c>
      <c r="CG117" s="49" t="n">
        <f aca="false">-In_CIT*(MAX(0,CG111)+CG114)-In_RH_On*In_RH_Rate*MAX(0,CG111)</f>
        <v>-215.529627500998</v>
      </c>
      <c r="CH117" s="49" t="n">
        <f aca="false">-In_CIT*(MAX(0,CH111)+CH114)-In_RH_On*In_RH_Rate*MAX(0,CH111)</f>
        <v>-216.055301576839</v>
      </c>
      <c r="CI117" s="49" t="n">
        <f aca="false">-In_CIT*(MAX(0,CI111)+CI114)-In_RH_On*In_RH_Rate*MAX(0,CI111)</f>
        <v>-213.306208790492</v>
      </c>
      <c r="CJ117" s="49" t="n">
        <f aca="false">-In_CIT*(MAX(0,CJ111)+CJ114)-In_RH_On*In_RH_Rate*MAX(0,CJ111)</f>
        <v>-215.676277777053</v>
      </c>
      <c r="CK117" s="49" t="n">
        <f aca="false">-In_CIT*(MAX(0,CK111)+CK114)-In_RH_On*In_RH_Rate*MAX(0,CK111)</f>
        <v>-218.046346763614</v>
      </c>
      <c r="CL117" s="49" t="n">
        <f aca="false">-In_CIT*(MAX(0,CL111)+CL114)-In_RH_On*In_RH_Rate*MAX(0,CL111)</f>
        <v>-216.651742156292</v>
      </c>
      <c r="CM117" s="49" t="n">
        <f aca="false">-In_CIT*(MAX(0,CM111)+CM114)-In_RH_On*In_RH_Rate*MAX(0,CM111)</f>
        <v>-213.850574793528</v>
      </c>
      <c r="CN117" s="49" t="n">
        <f aca="false">-In_CIT*(MAX(0,CN111)+CN114)-In_RH_On*In_RH_Rate*MAX(0,CN111)</f>
        <v>-216.226692291234</v>
      </c>
      <c r="CO117" s="49" t="n">
        <f aca="false">-In_CIT*(MAX(0,CO111)+CO114)-In_RH_On*In_RH_Rate*MAX(0,CO111)</f>
        <v>-218.60280978894</v>
      </c>
      <c r="CP117" s="49" t="n">
        <f aca="false">-In_CIT*(MAX(0,CP111)+CP114)-In_RH_On*In_RH_Rate*MAX(0,CP111)</f>
        <v>-217.199795349016</v>
      </c>
      <c r="CQ117" s="49" t="n">
        <f aca="false">-In_CIT*(MAX(0,CQ111)+CQ114)-In_RH_On*In_RH_Rate*MAX(0,CQ111)</f>
        <v>-216.727681605082</v>
      </c>
      <c r="CR117" s="49" t="n">
        <f aca="false">-In_CIT*(MAX(0,CR111)+CR114)-In_RH_On*In_RH_Rate*MAX(0,CR111)</f>
        <v>-216.727681605082</v>
      </c>
      <c r="CS117" s="49" t="n">
        <f aca="false">-In_CIT*(MAX(0,CS111)+CS114)-In_RH_On*In_RH_Rate*MAX(0,CS111)</f>
        <v>-219.109304479863</v>
      </c>
      <c r="CT117" s="49" t="n">
        <f aca="false">-In_CIT*(MAX(0,CT111)+CT114)-In_RH_On*In_RH_Rate*MAX(0,CT111)</f>
        <v>-217.697861601253</v>
      </c>
      <c r="CU117" s="49" t="n">
        <f aca="false">-In_CIT*(MAX(0,CU111)+CU114)-In_RH_On*In_RH_Rate*MAX(0,CU111)</f>
        <v>-214.791054135796</v>
      </c>
      <c r="CV117" s="49" t="n">
        <f aca="false">-In_CIT*(MAX(0,CV111)+CV114)-In_RH_On*In_RH_Rate*MAX(0,CV111)</f>
        <v>-217.177621403972</v>
      </c>
      <c r="CW117" s="49" t="n">
        <f aca="false">-In_CIT*(MAX(0,CW111)+CW114)-In_RH_On*In_RH_Rate*MAX(0,CW111)</f>
        <v>-219.564188672147</v>
      </c>
      <c r="CX117" s="49" t="n">
        <f aca="false">-In_CIT*(MAX(0,CX111)+CX114)-In_RH_On*In_RH_Rate*MAX(0,CX111)</f>
        <v>-218.144299462481</v>
      </c>
      <c r="CY117" s="49" t="n">
        <f aca="false">-In_CIT*(MAX(0,CY111)+CY114)-In_RH_On*In_RH_Rate*MAX(0,CY111)</f>
        <v>-215.183912516612</v>
      </c>
      <c r="CZ117" s="49" t="n">
        <f aca="false">-In_CIT*(MAX(0,CZ111)+CZ114)-In_RH_On*In_RH_Rate*MAX(0,CZ111)</f>
        <v>-217.574844877908</v>
      </c>
      <c r="DA117" s="49" t="n">
        <f aca="false">-In_CIT*(MAX(0,DA111)+DA114)-In_RH_On*In_RH_Rate*MAX(0,DA111)</f>
        <v>-219.965777239204</v>
      </c>
      <c r="DB117" s="49" t="n">
        <f aca="false">-In_CIT*(MAX(0,DB111)+DB114)-In_RH_On*In_RH_Rate*MAX(0,DB111)</f>
        <v>-375.486699874707</v>
      </c>
      <c r="DC117" s="49" t="n">
        <f aca="false">-In_CIT*(MAX(0,DC111)+DC114)-In_RH_On*In_RH_Rate*MAX(0,DC111)</f>
        <v>-369.06027686922</v>
      </c>
      <c r="DD117" s="49" t="n">
        <f aca="false">-In_CIT*(MAX(0,DD111)+DD114)-In_RH_On*In_RH_Rate*MAX(0,DD111)</f>
        <v>-373.160946612211</v>
      </c>
      <c r="DE117" s="49" t="n">
        <f aca="false">-In_CIT*(MAX(0,DE111)+DE114)-In_RH_On*In_RH_Rate*MAX(0,DE111)</f>
        <v>-377.261616355202</v>
      </c>
      <c r="DF117" s="49" t="n">
        <f aca="false">-In_CIT*(MAX(0,DF111)+DF114)-In_RH_On*In_RH_Rate*MAX(0,DF111)</f>
        <v>-375.824783779587</v>
      </c>
      <c r="DG117" s="49" t="n">
        <f aca="false">-In_CIT*(MAX(0,DG111)+DG114)-In_RH_On*In_RH_Rate*MAX(0,DG111)</f>
        <v>-373.447561715864</v>
      </c>
      <c r="DH117" s="49" t="n">
        <f aca="false">-In_CIT*(MAX(0,DH111)+DH114)-In_RH_On*In_RH_Rate*MAX(0,DH111)</f>
        <v>-373.447561715864</v>
      </c>
      <c r="DI117" s="49" t="n">
        <f aca="false">-In_CIT*(MAX(0,DI111)+DI114)-In_RH_On*In_RH_Rate*MAX(0,DI111)</f>
        <v>-377.551381075379</v>
      </c>
      <c r="DJ117" s="49" t="n">
        <f aca="false">-In_CIT*(MAX(0,DJ111)+DJ114)-In_RH_On*In_RH_Rate*MAX(0,DJ111)</f>
        <v>-376.106053012439</v>
      </c>
      <c r="DK117" s="49" t="n">
        <f aca="false">-In_CIT*(MAX(0,DK111)+DK114)-In_RH_On*In_RH_Rate*MAX(0,DK111)</f>
        <v>-369.569862589467</v>
      </c>
      <c r="DL117" s="49" t="n">
        <f aca="false">-In_CIT*(MAX(0,DL111)+DL114)-In_RH_On*In_RH_Rate*MAX(0,DL111)</f>
        <v>-373.676194396017</v>
      </c>
      <c r="DM117" s="49" t="n">
        <f aca="false">-In_CIT*(MAX(0,DM111)+DM114)-In_RH_On*In_RH_Rate*MAX(0,DM111)</f>
        <v>-377.782526202566</v>
      </c>
      <c r="DN117" s="49" t="n">
        <f aca="false">-In_CIT*(MAX(0,DN111)+DN114)-In_RH_On*In_RH_Rate*MAX(0,DN111)</f>
        <v>-376.328687856252</v>
      </c>
      <c r="DO117" s="49" t="n">
        <f aca="false">-In_CIT*(MAX(0,DO111)+DO114)-In_RH_On*In_RH_Rate*MAX(0,DO111)</f>
        <v>-369.736810251909</v>
      </c>
      <c r="DP117" s="49" t="n">
        <f aca="false">-In_CIT*(MAX(0,DP111)+DP114)-In_RH_On*In_RH_Rate*MAX(0,DP111)</f>
        <v>-373.844997032485</v>
      </c>
      <c r="DQ117" s="49" t="n">
        <f aca="false">-In_CIT*(MAX(0,DQ111)+DQ114)-In_RH_On*In_RH_Rate*MAX(0,DQ111)</f>
        <v>-377.953183813062</v>
      </c>
      <c r="DR117" s="49" t="n">
        <f aca="false">-In_CIT*(MAX(0,DR111)+DR114)-In_RH_On*In_RH_Rate*MAX(0,DR111)</f>
        <v>-376.490821224724</v>
      </c>
      <c r="DS117" s="49" t="n">
        <f aca="false">-In_CIT*(MAX(0,DS111)+DS114)-In_RH_On*In_RH_Rate*MAX(0,DS111)</f>
        <v>-369.842710510588</v>
      </c>
      <c r="DT117" s="49" t="n">
        <f aca="false">-In_CIT*(MAX(0,DT111)+DT114)-In_RH_On*In_RH_Rate*MAX(0,DT111)</f>
        <v>-373.952073960706</v>
      </c>
      <c r="DU117" s="49" t="n">
        <f aca="false">-In_CIT*(MAX(0,DU111)+DU114)-In_RH_On*In_RH_Rate*MAX(0,DU111)</f>
        <v>-378.061437410824</v>
      </c>
      <c r="DV117" s="49" t="n">
        <f aca="false">-In_CIT*(MAX(0,DV111)+DV114)-In_RH_On*In_RH_Rate*MAX(0,DV111)</f>
        <v>-376.590537485769</v>
      </c>
      <c r="DW117" s="49" t="n">
        <f aca="false">-In_CIT*(MAX(0,DW111)+DW114)-In_RH_On*In_RH_Rate*MAX(0,DW111)</f>
        <v>-373.995480278812</v>
      </c>
      <c r="DX117" s="49" t="n">
        <f aca="false">-In_CIT*(MAX(0,DX111)+DX114)-In_RH_On*In_RH_Rate*MAX(0,DX111)</f>
        <v>-373.995480278812</v>
      </c>
      <c r="DY117" s="49" t="n">
        <f aca="false">-In_CIT*(MAX(0,DY111)+DY114)-In_RH_On*In_RH_Rate*MAX(0,DY111)</f>
        <v>-378.105320721436</v>
      </c>
      <c r="DZ117" s="49" t="n">
        <f aca="false">-In_CIT*(MAX(0,DZ111)+DZ114)-In_RH_On*In_RH_Rate*MAX(0,DZ111)</f>
        <v>-376.625871256129</v>
      </c>
      <c r="EA117" s="49" t="n">
        <f aca="false">-In_CIT*(MAX(0,EA111)+EA114)-In_RH_On*In_RH_Rate*MAX(0,EA111)</f>
        <v>-369.863624794354</v>
      </c>
      <c r="EB117" s="49" t="n">
        <f aca="false">-In_CIT*(MAX(0,EB111)+EB114)-In_RH_On*In_RH_Rate*MAX(0,EB111)</f>
        <v>-373.973220625402</v>
      </c>
      <c r="EC117" s="49" t="n">
        <f aca="false">-In_CIT*(MAX(0,EC111)+EC114)-In_RH_On*In_RH_Rate*MAX(0,EC111)</f>
        <v>-378.082816456451</v>
      </c>
      <c r="ED117" s="49" t="n">
        <f aca="false">-In_CIT*(MAX(0,ED111)+ED114)-In_RH_On*In_RH_Rate*MAX(0,ED111)</f>
        <v>-376.59480616636</v>
      </c>
      <c r="EE117" s="49" t="n">
        <f aca="false">-In_CIT*(MAX(0,EE111)+EE114)-In_RH_On*In_RH_Rate*MAX(0,EE111)</f>
        <v>-369.77464080721</v>
      </c>
      <c r="EF117" s="49" t="n">
        <f aca="false">-In_CIT*(MAX(0,EF111)+EF114)-In_RH_On*In_RH_Rate*MAX(0,EF111)</f>
        <v>-373.88324792729</v>
      </c>
      <c r="EG117" s="49" t="n">
        <f aca="false">-In_CIT*(MAX(0,EG111)+EG114)-In_RH_On*In_RH_Rate*MAX(0,EG111)</f>
        <v>-377.99185504737</v>
      </c>
      <c r="EH117" s="49" t="n">
        <f aca="false">-In_CIT*(MAX(0,EH111)+EH114)-In_RH_On*In_RH_Rate*MAX(0,EH111)</f>
        <v>-376.495273595489</v>
      </c>
      <c r="EI117" s="49" t="n">
        <f aca="false">-In_CIT*(MAX(0,EI111)+EI114)-In_RH_On*In_RH_Rate*MAX(0,EI111)</f>
        <v>-369.616610884434</v>
      </c>
      <c r="EJ117" s="49" t="n">
        <f aca="false">-In_CIT*(MAX(0,EJ111)+EJ114)-In_RH_On*In_RH_Rate*MAX(0,EJ111)</f>
        <v>-373.723462116483</v>
      </c>
      <c r="EK117" s="49" t="n">
        <f aca="false">-In_CIT*(MAX(0,EK111)+EK114)-In_RH_On*In_RH_Rate*MAX(0,EK111)</f>
        <v>-377.830313348532</v>
      </c>
      <c r="EL117" s="49" t="n">
        <f aca="false">-In_CIT*(MAX(0,EL111)+EL114)-In_RH_On*In_RH_Rate*MAX(0,EL111)</f>
        <v>-376.325151374579</v>
      </c>
      <c r="EM117" s="49" t="n">
        <f aca="false">-In_CIT*(MAX(0,EM111)+EM114)-In_RH_On*In_RH_Rate*MAX(0,EM111)</f>
        <v>-373.491708815652</v>
      </c>
      <c r="EN117" s="49" t="n">
        <f aca="false">-In_CIT*(MAX(0,EN111)+EN114)-In_RH_On*In_RH_Rate*MAX(0,EN111)</f>
        <v>-373.491708815652</v>
      </c>
      <c r="EO117" s="49" t="n">
        <f aca="false">-In_CIT*(MAX(0,EO111)+EO114)-In_RH_On*In_RH_Rate*MAX(0,EO111)</f>
        <v>-377.596013308132</v>
      </c>
    </row>
    <row r="118" customFormat="false" ht="15" hidden="false" customHeight="false" outlineLevel="0" collapsed="false">
      <c r="C118" s="1" t="s">
        <v>515</v>
      </c>
      <c r="D118" s="12" t="s">
        <v>33</v>
      </c>
      <c r="I118" s="49" t="n">
        <f aca="false">SUM(J118:EO118)</f>
        <v>5.11590769747272E-013</v>
      </c>
      <c r="J118" s="49" t="n">
        <f aca="false">ABS(J117-J86)</f>
        <v>0</v>
      </c>
      <c r="K118" s="49" t="n">
        <f aca="false">ABS(K117-K86)</f>
        <v>0</v>
      </c>
      <c r="L118" s="49" t="n">
        <f aca="false">ABS(L117-L86)</f>
        <v>0</v>
      </c>
      <c r="M118" s="49" t="n">
        <f aca="false">ABS(M117-M86)</f>
        <v>0</v>
      </c>
      <c r="N118" s="49" t="n">
        <f aca="false">ABS(N117-N86)</f>
        <v>0</v>
      </c>
      <c r="O118" s="49" t="n">
        <f aca="false">ABS(O117-O86)</f>
        <v>0</v>
      </c>
      <c r="P118" s="49" t="n">
        <f aca="false">ABS(P117-P86)</f>
        <v>0</v>
      </c>
      <c r="Q118" s="49" t="n">
        <f aca="false">ABS(Q117-Q86)</f>
        <v>0</v>
      </c>
      <c r="R118" s="49" t="n">
        <f aca="false">ABS(R117-R86)</f>
        <v>0</v>
      </c>
      <c r="S118" s="49" t="n">
        <f aca="false">ABS(S117-S86)</f>
        <v>0</v>
      </c>
      <c r="T118" s="49" t="n">
        <f aca="false">ABS(T117-T86)</f>
        <v>0</v>
      </c>
      <c r="U118" s="49" t="n">
        <f aca="false">ABS(U117-U86)</f>
        <v>0</v>
      </c>
      <c r="V118" s="49" t="n">
        <f aca="false">ABS(V117-V86)</f>
        <v>0</v>
      </c>
      <c r="W118" s="49" t="n">
        <f aca="false">ABS(W117-W86)</f>
        <v>0</v>
      </c>
      <c r="X118" s="49" t="n">
        <f aca="false">ABS(X117-X86)</f>
        <v>0</v>
      </c>
      <c r="Y118" s="49" t="n">
        <f aca="false">ABS(Y117-Y86)</f>
        <v>0</v>
      </c>
      <c r="Z118" s="49" t="n">
        <f aca="false">ABS(Z117-Z86)</f>
        <v>0</v>
      </c>
      <c r="AA118" s="49" t="n">
        <f aca="false">ABS(AA117-AA86)</f>
        <v>0</v>
      </c>
      <c r="AB118" s="49" t="n">
        <f aca="false">ABS(AB117-AB86)</f>
        <v>0</v>
      </c>
      <c r="AC118" s="49" t="n">
        <f aca="false">ABS(AC117-AC86)</f>
        <v>0</v>
      </c>
      <c r="AD118" s="49" t="n">
        <f aca="false">ABS(AD117-AD86)</f>
        <v>0</v>
      </c>
      <c r="AE118" s="49" t="n">
        <f aca="false">ABS(AE117-AE86)</f>
        <v>0</v>
      </c>
      <c r="AF118" s="49" t="n">
        <f aca="false">ABS(AF117-AF86)</f>
        <v>0</v>
      </c>
      <c r="AG118" s="49" t="n">
        <f aca="false">ABS(AG117-AG86)</f>
        <v>0</v>
      </c>
      <c r="AH118" s="49" t="n">
        <f aca="false">ABS(AH117-AH86)</f>
        <v>0</v>
      </c>
      <c r="AI118" s="49" t="n">
        <f aca="false">ABS(AI117-AI86)</f>
        <v>0</v>
      </c>
      <c r="AJ118" s="49" t="n">
        <f aca="false">ABS(AJ117-AJ86)</f>
        <v>0</v>
      </c>
      <c r="AK118" s="49" t="n">
        <f aca="false">ABS(AK117-AK86)</f>
        <v>0</v>
      </c>
      <c r="AL118" s="49" t="n">
        <f aca="false">ABS(AL117-AL86)</f>
        <v>0</v>
      </c>
      <c r="AM118" s="49" t="n">
        <f aca="false">ABS(AM117-AM86)</f>
        <v>0</v>
      </c>
      <c r="AN118" s="49" t="n">
        <f aca="false">ABS(AN117-AN86)</f>
        <v>0</v>
      </c>
      <c r="AO118" s="49" t="n">
        <f aca="false">ABS(AO117-AO86)</f>
        <v>5.11590769747272E-013</v>
      </c>
      <c r="AP118" s="49" t="n">
        <f aca="false">ABS(AP117-AP86)</f>
        <v>0</v>
      </c>
      <c r="AQ118" s="49" t="n">
        <f aca="false">ABS(AQ117-AQ86)</f>
        <v>0</v>
      </c>
      <c r="AR118" s="49" t="n">
        <f aca="false">ABS(AR117-AR86)</f>
        <v>0</v>
      </c>
      <c r="AS118" s="49" t="n">
        <f aca="false">ABS(AS117-AS86)</f>
        <v>0</v>
      </c>
      <c r="AT118" s="49" t="n">
        <f aca="false">ABS(AT117-AT86)</f>
        <v>0</v>
      </c>
      <c r="AU118" s="49" t="n">
        <f aca="false">ABS(AU117-AU86)</f>
        <v>0</v>
      </c>
      <c r="AV118" s="49" t="n">
        <f aca="false">ABS(AV117-AV86)</f>
        <v>0</v>
      </c>
      <c r="AW118" s="49" t="n">
        <f aca="false">ABS(AW117-AW86)</f>
        <v>0</v>
      </c>
      <c r="AX118" s="49" t="n">
        <f aca="false">ABS(AX117-AX86)</f>
        <v>0</v>
      </c>
      <c r="AY118" s="49" t="n">
        <f aca="false">ABS(AY117-AY86)</f>
        <v>0</v>
      </c>
      <c r="AZ118" s="49" t="n">
        <f aca="false">ABS(AZ117-AZ86)</f>
        <v>0</v>
      </c>
      <c r="BA118" s="49" t="n">
        <f aca="false">ABS(BA117-BA86)</f>
        <v>0</v>
      </c>
      <c r="BB118" s="49" t="n">
        <f aca="false">ABS(BB117-BB86)</f>
        <v>0</v>
      </c>
      <c r="BC118" s="49" t="n">
        <f aca="false">ABS(BC117-BC86)</f>
        <v>0</v>
      </c>
      <c r="BD118" s="49" t="n">
        <f aca="false">ABS(BD117-BD86)</f>
        <v>0</v>
      </c>
      <c r="BE118" s="49" t="n">
        <f aca="false">ABS(BE117-BE86)</f>
        <v>0</v>
      </c>
      <c r="BF118" s="49" t="n">
        <f aca="false">ABS(BF117-BF86)</f>
        <v>0</v>
      </c>
      <c r="BG118" s="49" t="n">
        <f aca="false">ABS(BG117-BG86)</f>
        <v>0</v>
      </c>
      <c r="BH118" s="49" t="n">
        <f aca="false">ABS(BH117-BH86)</f>
        <v>0</v>
      </c>
      <c r="BI118" s="49" t="n">
        <f aca="false">ABS(BI117-BI86)</f>
        <v>0</v>
      </c>
      <c r="BJ118" s="49" t="n">
        <f aca="false">ABS(BJ117-BJ86)</f>
        <v>0</v>
      </c>
      <c r="BK118" s="49" t="n">
        <f aca="false">ABS(BK117-BK86)</f>
        <v>0</v>
      </c>
      <c r="BL118" s="49" t="n">
        <f aca="false">ABS(BL117-BL86)</f>
        <v>0</v>
      </c>
      <c r="BM118" s="49" t="n">
        <f aca="false">ABS(BM117-BM86)</f>
        <v>0</v>
      </c>
      <c r="BN118" s="49" t="n">
        <f aca="false">ABS(BN117-BN86)</f>
        <v>0</v>
      </c>
      <c r="BO118" s="49" t="n">
        <f aca="false">ABS(BO117-BO86)</f>
        <v>0</v>
      </c>
      <c r="BP118" s="49" t="n">
        <f aca="false">ABS(BP117-BP86)</f>
        <v>0</v>
      </c>
      <c r="BQ118" s="49" t="n">
        <f aca="false">ABS(BQ117-BQ86)</f>
        <v>0</v>
      </c>
      <c r="BR118" s="49" t="n">
        <f aca="false">ABS(BR117-BR86)</f>
        <v>0</v>
      </c>
      <c r="BS118" s="49" t="n">
        <f aca="false">ABS(BS117-BS86)</f>
        <v>0</v>
      </c>
      <c r="BT118" s="49" t="n">
        <f aca="false">ABS(BT117-BT86)</f>
        <v>0</v>
      </c>
      <c r="BU118" s="49" t="n">
        <f aca="false">ABS(BU117-BU86)</f>
        <v>0</v>
      </c>
      <c r="BV118" s="49" t="n">
        <f aca="false">ABS(BV117-BV86)</f>
        <v>0</v>
      </c>
      <c r="BW118" s="49" t="n">
        <f aca="false">ABS(BW117-BW86)</f>
        <v>0</v>
      </c>
      <c r="BX118" s="49" t="n">
        <f aca="false">ABS(BX117-BX86)</f>
        <v>0</v>
      </c>
      <c r="BY118" s="49" t="n">
        <f aca="false">ABS(BY117-BY86)</f>
        <v>0</v>
      </c>
      <c r="BZ118" s="49" t="n">
        <f aca="false">ABS(BZ117-BZ86)</f>
        <v>0</v>
      </c>
      <c r="CA118" s="49" t="n">
        <f aca="false">ABS(CA117-CA86)</f>
        <v>0</v>
      </c>
      <c r="CB118" s="49" t="n">
        <f aca="false">ABS(CB117-CB86)</f>
        <v>0</v>
      </c>
      <c r="CC118" s="49" t="n">
        <f aca="false">ABS(CC117-CC86)</f>
        <v>0</v>
      </c>
      <c r="CD118" s="49" t="n">
        <f aca="false">ABS(CD117-CD86)</f>
        <v>0</v>
      </c>
      <c r="CE118" s="49" t="n">
        <f aca="false">ABS(CE117-CE86)</f>
        <v>0</v>
      </c>
      <c r="CF118" s="49" t="n">
        <f aca="false">ABS(CF117-CF86)</f>
        <v>0</v>
      </c>
      <c r="CG118" s="49" t="n">
        <f aca="false">ABS(CG117-CG86)</f>
        <v>0</v>
      </c>
      <c r="CH118" s="49" t="n">
        <f aca="false">ABS(CH117-CH86)</f>
        <v>0</v>
      </c>
      <c r="CI118" s="49" t="n">
        <f aca="false">ABS(CI117-CI86)</f>
        <v>0</v>
      </c>
      <c r="CJ118" s="49" t="n">
        <f aca="false">ABS(CJ117-CJ86)</f>
        <v>0</v>
      </c>
      <c r="CK118" s="49" t="n">
        <f aca="false">ABS(CK117-CK86)</f>
        <v>0</v>
      </c>
      <c r="CL118" s="49" t="n">
        <f aca="false">ABS(CL117-CL86)</f>
        <v>0</v>
      </c>
      <c r="CM118" s="49" t="n">
        <f aca="false">ABS(CM117-CM86)</f>
        <v>0</v>
      </c>
      <c r="CN118" s="49" t="n">
        <f aca="false">ABS(CN117-CN86)</f>
        <v>0</v>
      </c>
      <c r="CO118" s="49" t="n">
        <f aca="false">ABS(CO117-CO86)</f>
        <v>0</v>
      </c>
      <c r="CP118" s="49" t="n">
        <f aca="false">ABS(CP117-CP86)</f>
        <v>0</v>
      </c>
      <c r="CQ118" s="49" t="n">
        <f aca="false">ABS(CQ117-CQ86)</f>
        <v>0</v>
      </c>
      <c r="CR118" s="49" t="n">
        <f aca="false">ABS(CR117-CR86)</f>
        <v>0</v>
      </c>
      <c r="CS118" s="49" t="n">
        <f aca="false">ABS(CS117-CS86)</f>
        <v>0</v>
      </c>
      <c r="CT118" s="49" t="n">
        <f aca="false">ABS(CT117-CT86)</f>
        <v>0</v>
      </c>
      <c r="CU118" s="49" t="n">
        <f aca="false">ABS(CU117-CU86)</f>
        <v>0</v>
      </c>
      <c r="CV118" s="49" t="n">
        <f aca="false">ABS(CV117-CV86)</f>
        <v>0</v>
      </c>
      <c r="CW118" s="49" t="n">
        <f aca="false">ABS(CW117-CW86)</f>
        <v>0</v>
      </c>
      <c r="CX118" s="49" t="n">
        <f aca="false">ABS(CX117-CX86)</f>
        <v>0</v>
      </c>
      <c r="CY118" s="49" t="n">
        <f aca="false">ABS(CY117-CY86)</f>
        <v>0</v>
      </c>
      <c r="CZ118" s="49" t="n">
        <f aca="false">ABS(CZ117-CZ86)</f>
        <v>0</v>
      </c>
      <c r="DA118" s="49" t="n">
        <f aca="false">ABS(DA117-DA86)</f>
        <v>0</v>
      </c>
      <c r="DB118" s="49" t="n">
        <f aca="false">ABS(DB117-DB86)</f>
        <v>0</v>
      </c>
      <c r="DC118" s="49" t="n">
        <f aca="false">ABS(DC117-DC86)</f>
        <v>0</v>
      </c>
      <c r="DD118" s="49" t="n">
        <f aca="false">ABS(DD117-DD86)</f>
        <v>0</v>
      </c>
      <c r="DE118" s="49" t="n">
        <f aca="false">ABS(DE117-DE86)</f>
        <v>0</v>
      </c>
      <c r="DF118" s="49" t="n">
        <f aca="false">ABS(DF117-DF86)</f>
        <v>0</v>
      </c>
      <c r="DG118" s="49" t="n">
        <f aca="false">ABS(DG117-DG86)</f>
        <v>0</v>
      </c>
      <c r="DH118" s="49" t="n">
        <f aca="false">ABS(DH117-DH86)</f>
        <v>0</v>
      </c>
      <c r="DI118" s="49" t="n">
        <f aca="false">ABS(DI117-DI86)</f>
        <v>0</v>
      </c>
      <c r="DJ118" s="49" t="n">
        <f aca="false">ABS(DJ117-DJ86)</f>
        <v>0</v>
      </c>
      <c r="DK118" s="49" t="n">
        <f aca="false">ABS(DK117-DK86)</f>
        <v>0</v>
      </c>
      <c r="DL118" s="49" t="n">
        <f aca="false">ABS(DL117-DL86)</f>
        <v>0</v>
      </c>
      <c r="DM118" s="49" t="n">
        <f aca="false">ABS(DM117-DM86)</f>
        <v>0</v>
      </c>
      <c r="DN118" s="49" t="n">
        <f aca="false">ABS(DN117-DN86)</f>
        <v>0</v>
      </c>
      <c r="DO118" s="49" t="n">
        <f aca="false">ABS(DO117-DO86)</f>
        <v>0</v>
      </c>
      <c r="DP118" s="49" t="n">
        <f aca="false">ABS(DP117-DP86)</f>
        <v>0</v>
      </c>
      <c r="DQ118" s="49" t="n">
        <f aca="false">ABS(DQ117-DQ86)</f>
        <v>0</v>
      </c>
      <c r="DR118" s="49" t="n">
        <f aca="false">ABS(DR117-DR86)</f>
        <v>0</v>
      </c>
      <c r="DS118" s="49" t="n">
        <f aca="false">ABS(DS117-DS86)</f>
        <v>0</v>
      </c>
      <c r="DT118" s="49" t="n">
        <f aca="false">ABS(DT117-DT86)</f>
        <v>0</v>
      </c>
      <c r="DU118" s="49" t="n">
        <f aca="false">ABS(DU117-DU86)</f>
        <v>0</v>
      </c>
      <c r="DV118" s="49" t="n">
        <f aca="false">ABS(DV117-DV86)</f>
        <v>0</v>
      </c>
      <c r="DW118" s="49" t="n">
        <f aca="false">ABS(DW117-DW86)</f>
        <v>0</v>
      </c>
      <c r="DX118" s="49" t="n">
        <f aca="false">ABS(DX117-DX86)</f>
        <v>0</v>
      </c>
      <c r="DY118" s="49" t="n">
        <f aca="false">ABS(DY117-DY86)</f>
        <v>0</v>
      </c>
      <c r="DZ118" s="49" t="n">
        <f aca="false">ABS(DZ117-DZ86)</f>
        <v>0</v>
      </c>
      <c r="EA118" s="49" t="n">
        <f aca="false">ABS(EA117-EA86)</f>
        <v>0</v>
      </c>
      <c r="EB118" s="49" t="n">
        <f aca="false">ABS(EB117-EB86)</f>
        <v>0</v>
      </c>
      <c r="EC118" s="49" t="n">
        <f aca="false">ABS(EC117-EC86)</f>
        <v>0</v>
      </c>
      <c r="ED118" s="49" t="n">
        <f aca="false">ABS(ED117-ED86)</f>
        <v>0</v>
      </c>
      <c r="EE118" s="49" t="n">
        <f aca="false">ABS(EE117-EE86)</f>
        <v>0</v>
      </c>
      <c r="EF118" s="49" t="n">
        <f aca="false">ABS(EF117-EF86)</f>
        <v>0</v>
      </c>
      <c r="EG118" s="49" t="n">
        <f aca="false">ABS(EG117-EG86)</f>
        <v>0</v>
      </c>
      <c r="EH118" s="49" t="n">
        <f aca="false">ABS(EH117-EH86)</f>
        <v>0</v>
      </c>
      <c r="EI118" s="49" t="n">
        <f aca="false">ABS(EI117-EI86)</f>
        <v>0</v>
      </c>
      <c r="EJ118" s="49" t="n">
        <f aca="false">ABS(EJ117-EJ86)</f>
        <v>0</v>
      </c>
      <c r="EK118" s="49" t="n">
        <f aca="false">ABS(EK117-EK86)</f>
        <v>0</v>
      </c>
      <c r="EL118" s="49" t="n">
        <f aca="false">ABS(EL117-EL86)</f>
        <v>0</v>
      </c>
      <c r="EM118" s="49" t="n">
        <f aca="false">ABS(EM117-EM86)</f>
        <v>0</v>
      </c>
      <c r="EN118" s="49" t="n">
        <f aca="false">ABS(EN117-EN86)</f>
        <v>0</v>
      </c>
      <c r="EO118" s="49" t="n">
        <f aca="false">ABS(EO117-EO86)</f>
        <v>0</v>
      </c>
    </row>
    <row r="120" customFormat="false" ht="15" hidden="false" customHeight="false" outlineLevel="0" collapsed="false">
      <c r="A120" s="10" t="s">
        <v>13</v>
      </c>
      <c r="B120" s="10"/>
      <c r="C120" s="10" t="s">
        <v>516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96</v>
      </c>
      <c r="D121" s="12" t="s">
        <v>33</v>
      </c>
      <c r="E121" s="49" t="n">
        <f aca="false">-($I48+$I49+$I50)</f>
        <v>5150</v>
      </c>
    </row>
    <row r="122" customFormat="false" ht="15" hidden="false" customHeight="false" outlineLevel="0" collapsed="false">
      <c r="C122" s="1" t="s">
        <v>97</v>
      </c>
      <c r="D122" s="12" t="s">
        <v>33</v>
      </c>
      <c r="E122" s="49" t="n">
        <f aca="false">-($I52+$I55+$E59)</f>
        <v>1114.92155376243</v>
      </c>
    </row>
    <row r="123" customFormat="false" ht="15" hidden="false" customHeight="false" outlineLevel="0" collapsed="false">
      <c r="C123" s="1" t="s">
        <v>98</v>
      </c>
      <c r="D123" s="12" t="s">
        <v>33</v>
      </c>
      <c r="E123" s="49" t="n">
        <f aca="false">-$I68</f>
        <v>64716.25</v>
      </c>
    </row>
    <row r="124" customFormat="false" ht="15" hidden="false" customHeight="false" outlineLevel="0" collapsed="false">
      <c r="C124" s="1" t="s">
        <v>99</v>
      </c>
      <c r="D124" s="12" t="s">
        <v>33</v>
      </c>
      <c r="E124" s="49" t="n">
        <f aca="false">-$I58</f>
        <v>8154.82315068493</v>
      </c>
    </row>
    <row r="125" customFormat="false" ht="15" hidden="false" customHeight="false" outlineLevel="0" collapsed="false">
      <c r="C125" s="1" t="s">
        <v>100</v>
      </c>
      <c r="D125" s="12" t="s">
        <v>33</v>
      </c>
      <c r="E125" s="49" t="n">
        <f aca="false">-$I69</f>
        <v>2500</v>
      </c>
    </row>
    <row r="126" customFormat="false" ht="15" hidden="false" customHeight="false" outlineLevel="0" collapsed="false">
      <c r="C126" s="1" t="s">
        <v>101</v>
      </c>
      <c r="D126" s="12" t="s">
        <v>33</v>
      </c>
      <c r="E126" s="49" t="n">
        <f aca="false">$I101-$I104-$I105</f>
        <v>3107.96939753469</v>
      </c>
    </row>
    <row r="127" customFormat="false" ht="15" hidden="false" customHeight="false" outlineLevel="0" collapsed="false">
      <c r="C127" s="1" t="s">
        <v>102</v>
      </c>
      <c r="D127" s="12" t="s">
        <v>33</v>
      </c>
      <c r="E127" s="49" t="n">
        <f aca="false">-SUMIF($J$4:$EO$4,"&lt;="&amp;In_COD,$J83:$EO83)</f>
        <v>340.170197534084</v>
      </c>
    </row>
    <row r="128" customFormat="false" ht="15" hidden="false" customHeight="false" outlineLevel="0" collapsed="false">
      <c r="C128" s="26" t="s">
        <v>103</v>
      </c>
      <c r="D128" s="12" t="s">
        <v>33</v>
      </c>
      <c r="E128" s="58" t="n">
        <f aca="false">SUM($E121:$E127)</f>
        <v>85084.1342995161</v>
      </c>
    </row>
    <row r="129" customFormat="false" ht="15" hidden="false" customHeight="false" outlineLevel="0" collapsed="false">
      <c r="C129" s="1" t="s">
        <v>517</v>
      </c>
      <c r="D129" s="12" t="s">
        <v>33</v>
      </c>
      <c r="E129" s="49" t="n">
        <f aca="false">$E128-$E103</f>
        <v>41686.7978709354</v>
      </c>
      <c r="F129" s="49" t="n">
        <f aca="false">$E129+$E106</f>
        <v>42719.2174705056</v>
      </c>
    </row>
    <row r="130" customFormat="false" ht="15" hidden="false" customHeight="false" outlineLevel="0" collapsed="false">
      <c r="C130" s="1" t="s">
        <v>107</v>
      </c>
      <c r="D130" s="12" t="s">
        <v>27</v>
      </c>
      <c r="E130" s="50" t="n">
        <f aca="false">$E103/$E128</f>
        <v>0.510052041850856</v>
      </c>
    </row>
    <row r="131" customFormat="false" ht="15" hidden="false" customHeight="false" outlineLevel="0" collapsed="false">
      <c r="C131" s="1" t="s">
        <v>518</v>
      </c>
      <c r="D131" s="12" t="s">
        <v>33</v>
      </c>
      <c r="E131" s="49" t="n">
        <f aca="false">$E88*In_DSCR/In_DSCR_Max_Low</f>
        <v>84663.6095819607</v>
      </c>
      <c r="F131" s="49" t="n">
        <f aca="false">$E88*In_DSCR/In_DSCR_Max_High</f>
        <v>77608.308783464</v>
      </c>
    </row>
    <row r="132" customFormat="false" ht="15" hidden="false" customHeight="false" outlineLevel="0" collapsed="false">
      <c r="C132" s="1" t="s">
        <v>519</v>
      </c>
      <c r="D132" s="12" t="s">
        <v>27</v>
      </c>
      <c r="E132" s="50" t="n">
        <f aca="false">$E131/$E128</f>
        <v>0.995057542501695</v>
      </c>
      <c r="F132" s="50" t="n">
        <f aca="false">$F131/$E128</f>
        <v>0.912136080626554</v>
      </c>
    </row>
    <row r="134" customFormat="false" ht="15" hidden="false" customHeight="false" outlineLevel="0" collapsed="false">
      <c r="A134" s="10" t="s">
        <v>13</v>
      </c>
      <c r="B134" s="10"/>
      <c r="C134" s="10" t="s">
        <v>125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520</v>
      </c>
      <c r="D135" s="12" t="s">
        <v>33</v>
      </c>
      <c r="I135" s="49" t="n">
        <f aca="false">SUM(J135:EO135)</f>
        <v>-41686.7978709354</v>
      </c>
      <c r="J135" s="49" t="n">
        <f aca="false">(J63+J70+J100+J104+J105+J83)*(J$4&lt;=In_COD)</f>
        <v>-4662.80993807469</v>
      </c>
      <c r="K135" s="49" t="n">
        <f aca="false">(K63+K70+K100+K104+K105+K83)*(K$4&lt;=In_COD)</f>
        <v>-706.535577057768</v>
      </c>
      <c r="L135" s="49" t="n">
        <f aca="false">(L63+L70+L100+L104+L105+L83)*(L$4&lt;=In_COD)</f>
        <v>-104.360496659404</v>
      </c>
      <c r="M135" s="49" t="n">
        <f aca="false">(M63+M70+M100+M104+M105+M83)*(M$4&lt;=In_COD)</f>
        <v>-105.507315304013</v>
      </c>
      <c r="N135" s="49" t="n">
        <f aca="false">(N63+N70+N100+N104+N105+N83)*(N$4&lt;=In_COD)</f>
        <v>-105.507315304013</v>
      </c>
      <c r="O135" s="49" t="n">
        <f aca="false">(O63+O70+O100+O104+O105+O83)*(O$4&lt;=In_COD)</f>
        <v>-104.360496659404</v>
      </c>
      <c r="P135" s="49" t="n">
        <f aca="false">(P63+P70+P100+P104+P105+P83)*(P$4&lt;=In_COD)</f>
        <v>-104.360496659404</v>
      </c>
      <c r="Q135" s="49" t="n">
        <f aca="false">(Q63+Q70+Q100+Q104+Q105+Q83)*(Q$4&lt;=In_COD)</f>
        <v>-105.507315304013</v>
      </c>
      <c r="R135" s="49" t="n">
        <f aca="false">(R63+R70+R100+R104+R105+R83)*(R$4&lt;=In_COD)</f>
        <v>-4598.78508914336</v>
      </c>
      <c r="S135" s="49" t="n">
        <f aca="false">(S63+S70+S100+S104+S105+S83)*(S$4&lt;=In_COD)</f>
        <v>-7416.60009090345</v>
      </c>
      <c r="T135" s="49" t="n">
        <f aca="false">(T63+T70+T100+T104+T105+T83)*(T$4&lt;=In_COD)</f>
        <v>-3768.65166995178</v>
      </c>
      <c r="U135" s="49" t="n">
        <f aca="false">(U63+U70+U100+U104+U105+U83)*(U$4&lt;=In_COD)</f>
        <v>-3800.0000014</v>
      </c>
      <c r="V135" s="49" t="n">
        <f aca="false">(V63+V70+V100+V104+V105+V83)*(V$4&lt;=In_COD)</f>
        <v>-3789.82396918758</v>
      </c>
      <c r="W135" s="49" t="n">
        <f aca="false">(W63+W70+W100+W104+W105+W83)*(W$4&lt;=In_COD)</f>
        <v>-3698.52360864843</v>
      </c>
      <c r="X135" s="49" t="n">
        <f aca="false">(X63+X70+X100+X104+X105+X83)*(X$4&lt;=In_COD)</f>
        <v>-3729.77170579166</v>
      </c>
      <c r="Y135" s="49" t="n">
        <f aca="false">(Y63+Y70+Y100+Y104+Y105+Y83)*(Y$4&lt;=In_COD)</f>
        <v>-4885.69278488647</v>
      </c>
      <c r="Z135" s="49" t="n">
        <f aca="false">(Z63+Z70+Z100+Z104+Z105+Z83)*(Z$4&lt;=In_COD)</f>
        <v>0</v>
      </c>
      <c r="AA135" s="49" t="n">
        <f aca="false">(AA63+AA70+AA100+AA104+AA105+AA83)*(AA$4&lt;=In_COD)</f>
        <v>0</v>
      </c>
      <c r="AB135" s="49" t="n">
        <f aca="false">(AB63+AB70+AB100+AB104+AB105+AB83)*(AB$4&lt;=In_COD)</f>
        <v>0</v>
      </c>
      <c r="AC135" s="49" t="n">
        <f aca="false">(AC63+AC70+AC100+AC104+AC105+AC83)*(AC$4&lt;=In_COD)</f>
        <v>0</v>
      </c>
      <c r="AD135" s="49" t="n">
        <f aca="false">(AD63+AD70+AD100+AD104+AD105+AD83)*(AD$4&lt;=In_COD)</f>
        <v>0</v>
      </c>
      <c r="AE135" s="49" t="n">
        <f aca="false">(AE63+AE70+AE100+AE104+AE105+AE83)*(AE$4&lt;=In_COD)</f>
        <v>0</v>
      </c>
      <c r="AF135" s="49" t="n">
        <f aca="false">(AF63+AF70+AF100+AF104+AF105+AF83)*(AF$4&lt;=In_COD)</f>
        <v>0</v>
      </c>
      <c r="AG135" s="49" t="n">
        <f aca="false">(AG63+AG70+AG100+AG104+AG105+AG83)*(AG$4&lt;=In_COD)</f>
        <v>0</v>
      </c>
      <c r="AH135" s="49" t="n">
        <f aca="false">(AH63+AH70+AH100+AH104+AH105+AH83)*(AH$4&lt;=In_COD)</f>
        <v>0</v>
      </c>
      <c r="AI135" s="49" t="n">
        <f aca="false">(AI63+AI70+AI100+AI104+AI105+AI83)*(AI$4&lt;=In_COD)</f>
        <v>0</v>
      </c>
      <c r="AJ135" s="49" t="n">
        <f aca="false">(AJ63+AJ70+AJ100+AJ104+AJ105+AJ83)*(AJ$4&lt;=In_COD)</f>
        <v>0</v>
      </c>
      <c r="AK135" s="49" t="n">
        <f aca="false">(AK63+AK70+AK100+AK104+AK105+AK83)*(AK$4&lt;=In_COD)</f>
        <v>0</v>
      </c>
      <c r="AL135" s="49" t="n">
        <f aca="false">(AL63+AL70+AL100+AL104+AL105+AL83)*(AL$4&lt;=In_COD)</f>
        <v>0</v>
      </c>
      <c r="AM135" s="49" t="n">
        <f aca="false">(AM63+AM70+AM100+AM104+AM105+AM83)*(AM$4&lt;=In_COD)</f>
        <v>0</v>
      </c>
      <c r="AN135" s="49" t="n">
        <f aca="false">(AN63+AN70+AN100+AN104+AN105+AN83)*(AN$4&lt;=In_COD)</f>
        <v>0</v>
      </c>
      <c r="AO135" s="49" t="n">
        <f aca="false">(AO63+AO70+AO100+AO104+AO105+AO83)*(AO$4&lt;=In_COD)</f>
        <v>0</v>
      </c>
      <c r="AP135" s="49" t="n">
        <f aca="false">(AP63+AP70+AP100+AP104+AP105+AP83)*(AP$4&lt;=In_COD)</f>
        <v>0</v>
      </c>
      <c r="AQ135" s="49" t="n">
        <f aca="false">(AQ63+AQ70+AQ100+AQ104+AQ105+AQ83)*(AQ$4&lt;=In_COD)</f>
        <v>0</v>
      </c>
      <c r="AR135" s="49" t="n">
        <f aca="false">(AR63+AR70+AR100+AR104+AR105+AR83)*(AR$4&lt;=In_COD)</f>
        <v>0</v>
      </c>
      <c r="AS135" s="49" t="n">
        <f aca="false">(AS63+AS70+AS100+AS104+AS105+AS83)*(AS$4&lt;=In_COD)</f>
        <v>0</v>
      </c>
      <c r="AT135" s="49" t="n">
        <f aca="false">(AT63+AT70+AT100+AT104+AT105+AT83)*(AT$4&lt;=In_COD)</f>
        <v>0</v>
      </c>
      <c r="AU135" s="49" t="n">
        <f aca="false">(AU63+AU70+AU100+AU104+AU105+AU83)*(AU$4&lt;=In_COD)</f>
        <v>0</v>
      </c>
      <c r="AV135" s="49" t="n">
        <f aca="false">(AV63+AV70+AV100+AV104+AV105+AV83)*(AV$4&lt;=In_COD)</f>
        <v>0</v>
      </c>
      <c r="AW135" s="49" t="n">
        <f aca="false">(AW63+AW70+AW100+AW104+AW105+AW83)*(AW$4&lt;=In_COD)</f>
        <v>0</v>
      </c>
      <c r="AX135" s="49" t="n">
        <f aca="false">(AX63+AX70+AX100+AX104+AX105+AX83)*(AX$4&lt;=In_COD)</f>
        <v>0</v>
      </c>
      <c r="AY135" s="49" t="n">
        <f aca="false">(AY63+AY70+AY100+AY104+AY105+AY83)*(AY$4&lt;=In_COD)</f>
        <v>0</v>
      </c>
      <c r="AZ135" s="49" t="n">
        <f aca="false">(AZ63+AZ70+AZ100+AZ104+AZ105+AZ83)*(AZ$4&lt;=In_COD)</f>
        <v>0</v>
      </c>
      <c r="BA135" s="49" t="n">
        <f aca="false">(BA63+BA70+BA100+BA104+BA105+BA83)*(BA$4&lt;=In_COD)</f>
        <v>0</v>
      </c>
      <c r="BB135" s="49" t="n">
        <f aca="false">(BB63+BB70+BB100+BB104+BB105+BB83)*(BB$4&lt;=In_COD)</f>
        <v>0</v>
      </c>
      <c r="BC135" s="49" t="n">
        <f aca="false">(BC63+BC70+BC100+BC104+BC105+BC83)*(BC$4&lt;=In_COD)</f>
        <v>0</v>
      </c>
      <c r="BD135" s="49" t="n">
        <f aca="false">(BD63+BD70+BD100+BD104+BD105+BD83)*(BD$4&lt;=In_COD)</f>
        <v>0</v>
      </c>
      <c r="BE135" s="49" t="n">
        <f aca="false">(BE63+BE70+BE100+BE104+BE105+BE83)*(BE$4&lt;=In_COD)</f>
        <v>0</v>
      </c>
      <c r="BF135" s="49" t="n">
        <f aca="false">(BF63+BF70+BF100+BF104+BF105+BF83)*(BF$4&lt;=In_COD)</f>
        <v>0</v>
      </c>
      <c r="BG135" s="49" t="n">
        <f aca="false">(BG63+BG70+BG100+BG104+BG105+BG83)*(BG$4&lt;=In_COD)</f>
        <v>0</v>
      </c>
      <c r="BH135" s="49" t="n">
        <f aca="false">(BH63+BH70+BH100+BH104+BH105+BH83)*(BH$4&lt;=In_COD)</f>
        <v>0</v>
      </c>
      <c r="BI135" s="49" t="n">
        <f aca="false">(BI63+BI70+BI100+BI104+BI105+BI83)*(BI$4&lt;=In_COD)</f>
        <v>0</v>
      </c>
      <c r="BJ135" s="49" t="n">
        <f aca="false">(BJ63+BJ70+BJ100+BJ104+BJ105+BJ83)*(BJ$4&lt;=In_COD)</f>
        <v>0</v>
      </c>
      <c r="BK135" s="49" t="n">
        <f aca="false">(BK63+BK70+BK100+BK104+BK105+BK83)*(BK$4&lt;=In_COD)</f>
        <v>0</v>
      </c>
      <c r="BL135" s="49" t="n">
        <f aca="false">(BL63+BL70+BL100+BL104+BL105+BL83)*(BL$4&lt;=In_COD)</f>
        <v>0</v>
      </c>
      <c r="BM135" s="49" t="n">
        <f aca="false">(BM63+BM70+BM100+BM104+BM105+BM83)*(BM$4&lt;=In_COD)</f>
        <v>0</v>
      </c>
      <c r="BN135" s="49" t="n">
        <f aca="false">(BN63+BN70+BN100+BN104+BN105+BN83)*(BN$4&lt;=In_COD)</f>
        <v>0</v>
      </c>
      <c r="BO135" s="49" t="n">
        <f aca="false">(BO63+BO70+BO100+BO104+BO105+BO83)*(BO$4&lt;=In_COD)</f>
        <v>0</v>
      </c>
      <c r="BP135" s="49" t="n">
        <f aca="false">(BP63+BP70+BP100+BP104+BP105+BP83)*(BP$4&lt;=In_COD)</f>
        <v>0</v>
      </c>
      <c r="BQ135" s="49" t="n">
        <f aca="false">(BQ63+BQ70+BQ100+BQ104+BQ105+BQ83)*(BQ$4&lt;=In_COD)</f>
        <v>0</v>
      </c>
      <c r="BR135" s="49" t="n">
        <f aca="false">(BR63+BR70+BR100+BR104+BR105+BR83)*(BR$4&lt;=In_COD)</f>
        <v>0</v>
      </c>
      <c r="BS135" s="49" t="n">
        <f aca="false">(BS63+BS70+BS100+BS104+BS105+BS83)*(BS$4&lt;=In_COD)</f>
        <v>0</v>
      </c>
      <c r="BT135" s="49" t="n">
        <f aca="false">(BT63+BT70+BT100+BT104+BT105+BT83)*(BT$4&lt;=In_COD)</f>
        <v>0</v>
      </c>
      <c r="BU135" s="49" t="n">
        <f aca="false">(BU63+BU70+BU100+BU104+BU105+BU83)*(BU$4&lt;=In_COD)</f>
        <v>0</v>
      </c>
      <c r="BV135" s="49" t="n">
        <f aca="false">(BV63+BV70+BV100+BV104+BV105+BV83)*(BV$4&lt;=In_COD)</f>
        <v>0</v>
      </c>
      <c r="BW135" s="49" t="n">
        <f aca="false">(BW63+BW70+BW100+BW104+BW105+BW83)*(BW$4&lt;=In_COD)</f>
        <v>0</v>
      </c>
      <c r="BX135" s="49" t="n">
        <f aca="false">(BX63+BX70+BX100+BX104+BX105+BX83)*(BX$4&lt;=In_COD)</f>
        <v>0</v>
      </c>
      <c r="BY135" s="49" t="n">
        <f aca="false">(BY63+BY70+BY100+BY104+BY105+BY83)*(BY$4&lt;=In_COD)</f>
        <v>0</v>
      </c>
      <c r="BZ135" s="49" t="n">
        <f aca="false">(BZ63+BZ70+BZ100+BZ104+BZ105+BZ83)*(BZ$4&lt;=In_COD)</f>
        <v>0</v>
      </c>
      <c r="CA135" s="49" t="n">
        <f aca="false">(CA63+CA70+CA100+CA104+CA105+CA83)*(CA$4&lt;=In_COD)</f>
        <v>0</v>
      </c>
      <c r="CB135" s="49" t="n">
        <f aca="false">(CB63+CB70+CB100+CB104+CB105+CB83)*(CB$4&lt;=In_COD)</f>
        <v>0</v>
      </c>
      <c r="CC135" s="49" t="n">
        <f aca="false">(CC63+CC70+CC100+CC104+CC105+CC83)*(CC$4&lt;=In_COD)</f>
        <v>0</v>
      </c>
      <c r="CD135" s="49" t="n">
        <f aca="false">(CD63+CD70+CD100+CD104+CD105+CD83)*(CD$4&lt;=In_COD)</f>
        <v>0</v>
      </c>
      <c r="CE135" s="49" t="n">
        <f aca="false">(CE63+CE70+CE100+CE104+CE105+CE83)*(CE$4&lt;=In_COD)</f>
        <v>0</v>
      </c>
      <c r="CF135" s="49" t="n">
        <f aca="false">(CF63+CF70+CF100+CF104+CF105+CF83)*(CF$4&lt;=In_COD)</f>
        <v>0</v>
      </c>
      <c r="CG135" s="49" t="n">
        <f aca="false">(CG63+CG70+CG100+CG104+CG105+CG83)*(CG$4&lt;=In_COD)</f>
        <v>0</v>
      </c>
      <c r="CH135" s="49" t="n">
        <f aca="false">(CH63+CH70+CH100+CH104+CH105+CH83)*(CH$4&lt;=In_COD)</f>
        <v>0</v>
      </c>
      <c r="CI135" s="49" t="n">
        <f aca="false">(CI63+CI70+CI100+CI104+CI105+CI83)*(CI$4&lt;=In_COD)</f>
        <v>0</v>
      </c>
      <c r="CJ135" s="49" t="n">
        <f aca="false">(CJ63+CJ70+CJ100+CJ104+CJ105+CJ83)*(CJ$4&lt;=In_COD)</f>
        <v>0</v>
      </c>
      <c r="CK135" s="49" t="n">
        <f aca="false">(CK63+CK70+CK100+CK104+CK105+CK83)*(CK$4&lt;=In_COD)</f>
        <v>0</v>
      </c>
      <c r="CL135" s="49" t="n">
        <f aca="false">(CL63+CL70+CL100+CL104+CL105+CL83)*(CL$4&lt;=In_COD)</f>
        <v>0</v>
      </c>
      <c r="CM135" s="49" t="n">
        <f aca="false">(CM63+CM70+CM100+CM104+CM105+CM83)*(CM$4&lt;=In_COD)</f>
        <v>0</v>
      </c>
      <c r="CN135" s="49" t="n">
        <f aca="false">(CN63+CN70+CN100+CN104+CN105+CN83)*(CN$4&lt;=In_COD)</f>
        <v>0</v>
      </c>
      <c r="CO135" s="49" t="n">
        <f aca="false">(CO63+CO70+CO100+CO104+CO105+CO83)*(CO$4&lt;=In_COD)</f>
        <v>0</v>
      </c>
      <c r="CP135" s="49" t="n">
        <f aca="false">(CP63+CP70+CP100+CP104+CP105+CP83)*(CP$4&lt;=In_COD)</f>
        <v>0</v>
      </c>
      <c r="CQ135" s="49" t="n">
        <f aca="false">(CQ63+CQ70+CQ100+CQ104+CQ105+CQ83)*(CQ$4&lt;=In_COD)</f>
        <v>0</v>
      </c>
      <c r="CR135" s="49" t="n">
        <f aca="false">(CR63+CR70+CR100+CR104+CR105+CR83)*(CR$4&lt;=In_COD)</f>
        <v>0</v>
      </c>
      <c r="CS135" s="49" t="n">
        <f aca="false">(CS63+CS70+CS100+CS104+CS105+CS83)*(CS$4&lt;=In_COD)</f>
        <v>0</v>
      </c>
      <c r="CT135" s="49" t="n">
        <f aca="false">(CT63+CT70+CT100+CT104+CT105+CT83)*(CT$4&lt;=In_COD)</f>
        <v>0</v>
      </c>
      <c r="CU135" s="49" t="n">
        <f aca="false">(CU63+CU70+CU100+CU104+CU105+CU83)*(CU$4&lt;=In_COD)</f>
        <v>0</v>
      </c>
      <c r="CV135" s="49" t="n">
        <f aca="false">(CV63+CV70+CV100+CV104+CV105+CV83)*(CV$4&lt;=In_COD)</f>
        <v>0</v>
      </c>
      <c r="CW135" s="49" t="n">
        <f aca="false">(CW63+CW70+CW100+CW104+CW105+CW83)*(CW$4&lt;=In_COD)</f>
        <v>0</v>
      </c>
      <c r="CX135" s="49" t="n">
        <f aca="false">(CX63+CX70+CX100+CX104+CX105+CX83)*(CX$4&lt;=In_COD)</f>
        <v>0</v>
      </c>
      <c r="CY135" s="49" t="n">
        <f aca="false">(CY63+CY70+CY100+CY104+CY105+CY83)*(CY$4&lt;=In_COD)</f>
        <v>0</v>
      </c>
      <c r="CZ135" s="49" t="n">
        <f aca="false">(CZ63+CZ70+CZ100+CZ104+CZ105+CZ83)*(CZ$4&lt;=In_COD)</f>
        <v>0</v>
      </c>
      <c r="DA135" s="49" t="n">
        <f aca="false">(DA63+DA70+DA100+DA104+DA105+DA83)*(DA$4&lt;=In_COD)</f>
        <v>0</v>
      </c>
      <c r="DB135" s="49" t="n">
        <f aca="false">(DB63+DB70+DB100+DB104+DB105+DB83)*(DB$4&lt;=In_COD)</f>
        <v>0</v>
      </c>
      <c r="DC135" s="49" t="n">
        <f aca="false">(DC63+DC70+DC100+DC104+DC105+DC83)*(DC$4&lt;=In_COD)</f>
        <v>0</v>
      </c>
      <c r="DD135" s="49" t="n">
        <f aca="false">(DD63+DD70+DD100+DD104+DD105+DD83)*(DD$4&lt;=In_COD)</f>
        <v>0</v>
      </c>
      <c r="DE135" s="49" t="n">
        <f aca="false">(DE63+DE70+DE100+DE104+DE105+DE83)*(DE$4&lt;=In_COD)</f>
        <v>0</v>
      </c>
      <c r="DF135" s="49" t="n">
        <f aca="false">(DF63+DF70+DF100+DF104+DF105+DF83)*(DF$4&lt;=In_COD)</f>
        <v>0</v>
      </c>
      <c r="DG135" s="49" t="n">
        <f aca="false">(DG63+DG70+DG100+DG104+DG105+DG83)*(DG$4&lt;=In_COD)</f>
        <v>0</v>
      </c>
      <c r="DH135" s="49" t="n">
        <f aca="false">(DH63+DH70+DH100+DH104+DH105+DH83)*(DH$4&lt;=In_COD)</f>
        <v>0</v>
      </c>
      <c r="DI135" s="49" t="n">
        <f aca="false">(DI63+DI70+DI100+DI104+DI105+DI83)*(DI$4&lt;=In_COD)</f>
        <v>0</v>
      </c>
      <c r="DJ135" s="49" t="n">
        <f aca="false">(DJ63+DJ70+DJ100+DJ104+DJ105+DJ83)*(DJ$4&lt;=In_COD)</f>
        <v>0</v>
      </c>
      <c r="DK135" s="49" t="n">
        <f aca="false">(DK63+DK70+DK100+DK104+DK105+DK83)*(DK$4&lt;=In_COD)</f>
        <v>0</v>
      </c>
      <c r="DL135" s="49" t="n">
        <f aca="false">(DL63+DL70+DL100+DL104+DL105+DL83)*(DL$4&lt;=In_COD)</f>
        <v>0</v>
      </c>
      <c r="DM135" s="49" t="n">
        <f aca="false">(DM63+DM70+DM100+DM104+DM105+DM83)*(DM$4&lt;=In_COD)</f>
        <v>0</v>
      </c>
      <c r="DN135" s="49" t="n">
        <f aca="false">(DN63+DN70+DN100+DN104+DN105+DN83)*(DN$4&lt;=In_COD)</f>
        <v>0</v>
      </c>
      <c r="DO135" s="49" t="n">
        <f aca="false">(DO63+DO70+DO100+DO104+DO105+DO83)*(DO$4&lt;=In_COD)</f>
        <v>0</v>
      </c>
      <c r="DP135" s="49" t="n">
        <f aca="false">(DP63+DP70+DP100+DP104+DP105+DP83)*(DP$4&lt;=In_COD)</f>
        <v>0</v>
      </c>
      <c r="DQ135" s="49" t="n">
        <f aca="false">(DQ63+DQ70+DQ100+DQ104+DQ105+DQ83)*(DQ$4&lt;=In_COD)</f>
        <v>0</v>
      </c>
      <c r="DR135" s="49" t="n">
        <f aca="false">(DR63+DR70+DR100+DR104+DR105+DR83)*(DR$4&lt;=In_COD)</f>
        <v>0</v>
      </c>
      <c r="DS135" s="49" t="n">
        <f aca="false">(DS63+DS70+DS100+DS104+DS105+DS83)*(DS$4&lt;=In_COD)</f>
        <v>0</v>
      </c>
      <c r="DT135" s="49" t="n">
        <f aca="false">(DT63+DT70+DT100+DT104+DT105+DT83)*(DT$4&lt;=In_COD)</f>
        <v>0</v>
      </c>
      <c r="DU135" s="49" t="n">
        <f aca="false">(DU63+DU70+DU100+DU104+DU105+DU83)*(DU$4&lt;=In_COD)</f>
        <v>0</v>
      </c>
      <c r="DV135" s="49" t="n">
        <f aca="false">(DV63+DV70+DV100+DV104+DV105+DV83)*(DV$4&lt;=In_COD)</f>
        <v>0</v>
      </c>
      <c r="DW135" s="49" t="n">
        <f aca="false">(DW63+DW70+DW100+DW104+DW105+DW83)*(DW$4&lt;=In_COD)</f>
        <v>0</v>
      </c>
      <c r="DX135" s="49" t="n">
        <f aca="false">(DX63+DX70+DX100+DX104+DX105+DX83)*(DX$4&lt;=In_COD)</f>
        <v>0</v>
      </c>
      <c r="DY135" s="49" t="n">
        <f aca="false">(DY63+DY70+DY100+DY104+DY105+DY83)*(DY$4&lt;=In_COD)</f>
        <v>0</v>
      </c>
      <c r="DZ135" s="49" t="n">
        <f aca="false">(DZ63+DZ70+DZ100+DZ104+DZ105+DZ83)*(DZ$4&lt;=In_COD)</f>
        <v>0</v>
      </c>
      <c r="EA135" s="49" t="n">
        <f aca="false">(EA63+EA70+EA100+EA104+EA105+EA83)*(EA$4&lt;=In_COD)</f>
        <v>0</v>
      </c>
      <c r="EB135" s="49" t="n">
        <f aca="false">(EB63+EB70+EB100+EB104+EB105+EB83)*(EB$4&lt;=In_COD)</f>
        <v>0</v>
      </c>
      <c r="EC135" s="49" t="n">
        <f aca="false">(EC63+EC70+EC100+EC104+EC105+EC83)*(EC$4&lt;=In_COD)</f>
        <v>0</v>
      </c>
      <c r="ED135" s="49" t="n">
        <f aca="false">(ED63+ED70+ED100+ED104+ED105+ED83)*(ED$4&lt;=In_COD)</f>
        <v>0</v>
      </c>
      <c r="EE135" s="49" t="n">
        <f aca="false">(EE63+EE70+EE100+EE104+EE105+EE83)*(EE$4&lt;=In_COD)</f>
        <v>0</v>
      </c>
      <c r="EF135" s="49" t="n">
        <f aca="false">(EF63+EF70+EF100+EF104+EF105+EF83)*(EF$4&lt;=In_COD)</f>
        <v>0</v>
      </c>
      <c r="EG135" s="49" t="n">
        <f aca="false">(EG63+EG70+EG100+EG104+EG105+EG83)*(EG$4&lt;=In_COD)</f>
        <v>0</v>
      </c>
      <c r="EH135" s="49" t="n">
        <f aca="false">(EH63+EH70+EH100+EH104+EH105+EH83)*(EH$4&lt;=In_COD)</f>
        <v>0</v>
      </c>
      <c r="EI135" s="49" t="n">
        <f aca="false">(EI63+EI70+EI100+EI104+EI105+EI83)*(EI$4&lt;=In_COD)</f>
        <v>0</v>
      </c>
      <c r="EJ135" s="49" t="n">
        <f aca="false">(EJ63+EJ70+EJ100+EJ104+EJ105+EJ83)*(EJ$4&lt;=In_COD)</f>
        <v>0</v>
      </c>
      <c r="EK135" s="49" t="n">
        <f aca="false">(EK63+EK70+EK100+EK104+EK105+EK83)*(EK$4&lt;=In_COD)</f>
        <v>0</v>
      </c>
      <c r="EL135" s="49" t="n">
        <f aca="false">(EL63+EL70+EL100+EL104+EL105+EL83)*(EL$4&lt;=In_COD)</f>
        <v>0</v>
      </c>
      <c r="EM135" s="49" t="n">
        <f aca="false">(EM63+EM70+EM100+EM104+EM105+EM83)*(EM$4&lt;=In_COD)</f>
        <v>0</v>
      </c>
      <c r="EN135" s="49" t="n">
        <f aca="false">(EN63+EN70+EN100+EN104+EN105+EN83)*(EN$4&lt;=In_COD)</f>
        <v>0</v>
      </c>
      <c r="EO135" s="49" t="n">
        <f aca="false">(EO63+EO70+EO100+EO104+EO105+EO83)*(EO$4&lt;=In_COD)</f>
        <v>0</v>
      </c>
    </row>
    <row r="136" customFormat="false" ht="15" hidden="false" customHeight="false" outlineLevel="0" collapsed="false">
      <c r="C136" s="1" t="s">
        <v>521</v>
      </c>
      <c r="D136" s="12" t="s">
        <v>33</v>
      </c>
      <c r="E136" s="49" t="n">
        <f aca="false">IF($E44=1,In_COD_Price,In_COD_Price_CN)*$F25*(1-$E29)</f>
        <v>114975</v>
      </c>
    </row>
    <row r="137" customFormat="false" ht="15" hidden="false" customHeight="false" outlineLevel="0" collapsed="false">
      <c r="C137" s="1" t="s">
        <v>522</v>
      </c>
      <c r="D137" s="12" t="s">
        <v>33</v>
      </c>
      <c r="E137" s="49" t="n">
        <f aca="false">$E136+$I62-$E103-In_Sale_Costs</f>
        <v>71077.6635714193</v>
      </c>
    </row>
    <row r="138" customFormat="false" ht="15" hidden="false" customHeight="false" outlineLevel="0" collapsed="false">
      <c r="C138" s="1" t="s">
        <v>128</v>
      </c>
      <c r="D138" s="12" t="s">
        <v>33</v>
      </c>
      <c r="E138" s="49" t="n">
        <f aca="false">-In_CIT*In_Sale_Gain_Taxed*MAX(0,$E137+$I135)</f>
        <v>-0</v>
      </c>
    </row>
    <row r="139" customFormat="false" ht="15" hidden="false" customHeight="false" outlineLevel="0" collapsed="false">
      <c r="C139" s="26" t="s">
        <v>523</v>
      </c>
      <c r="D139" s="12" t="s">
        <v>33</v>
      </c>
      <c r="I139" s="58" t="n">
        <f aca="false">SUM(J139:EO139)</f>
        <v>29390.8657004839</v>
      </c>
      <c r="J139" s="58" t="n">
        <f aca="false">J135+($E137+$E138)*J14</f>
        <v>-4662.80993807469</v>
      </c>
      <c r="K139" s="58" t="n">
        <f aca="false">K135+($E137+$E138)*K14</f>
        <v>-706.535577057768</v>
      </c>
      <c r="L139" s="58" t="n">
        <f aca="false">L135+($E137+$E138)*L14</f>
        <v>-104.360496659404</v>
      </c>
      <c r="M139" s="58" t="n">
        <f aca="false">M135+($E137+$E138)*M14</f>
        <v>-105.507315304013</v>
      </c>
      <c r="N139" s="58" t="n">
        <f aca="false">N135+($E137+$E138)*N14</f>
        <v>-105.507315304013</v>
      </c>
      <c r="O139" s="58" t="n">
        <f aca="false">O135+($E137+$E138)*O14</f>
        <v>-104.360496659404</v>
      </c>
      <c r="P139" s="58" t="n">
        <f aca="false">P135+($E137+$E138)*P14</f>
        <v>-104.360496659404</v>
      </c>
      <c r="Q139" s="58" t="n">
        <f aca="false">Q135+($E137+$E138)*Q14</f>
        <v>-105.507315304013</v>
      </c>
      <c r="R139" s="58" t="n">
        <f aca="false">R135+($E137+$E138)*R14</f>
        <v>-4598.78508914336</v>
      </c>
      <c r="S139" s="58" t="n">
        <f aca="false">S135+($E137+$E138)*S14</f>
        <v>-7416.60009090345</v>
      </c>
      <c r="T139" s="58" t="n">
        <f aca="false">T135+($E137+$E138)*T14</f>
        <v>-3768.65166995178</v>
      </c>
      <c r="U139" s="58" t="n">
        <f aca="false">U135+($E137+$E138)*U14</f>
        <v>-3800.0000014</v>
      </c>
      <c r="V139" s="58" t="n">
        <f aca="false">V135+($E137+$E138)*V14</f>
        <v>-3789.82396918758</v>
      </c>
      <c r="W139" s="58" t="n">
        <f aca="false">W135+($E137+$E138)*W14</f>
        <v>-3698.52360864843</v>
      </c>
      <c r="X139" s="58" t="n">
        <f aca="false">X135+($E137+$E138)*X14</f>
        <v>-3729.77170579166</v>
      </c>
      <c r="Y139" s="58" t="n">
        <f aca="false">Y135+($E137+$E138)*Y14</f>
        <v>66191.9707865328</v>
      </c>
      <c r="Z139" s="58" t="n">
        <f aca="false">Z135+($E137+$E138)*Z14</f>
        <v>0</v>
      </c>
      <c r="AA139" s="58" t="n">
        <f aca="false">AA135+($E137+$E138)*AA14</f>
        <v>0</v>
      </c>
      <c r="AB139" s="58" t="n">
        <f aca="false">AB135+($E137+$E138)*AB14</f>
        <v>0</v>
      </c>
      <c r="AC139" s="58" t="n">
        <f aca="false">AC135+($E137+$E138)*AC14</f>
        <v>0</v>
      </c>
      <c r="AD139" s="58" t="n">
        <f aca="false">AD135+($E137+$E138)*AD14</f>
        <v>0</v>
      </c>
      <c r="AE139" s="58" t="n">
        <f aca="false">AE135+($E137+$E138)*AE14</f>
        <v>0</v>
      </c>
      <c r="AF139" s="58" t="n">
        <f aca="false">AF135+($E137+$E138)*AF14</f>
        <v>0</v>
      </c>
      <c r="AG139" s="58" t="n">
        <f aca="false">AG135+($E137+$E138)*AG14</f>
        <v>0</v>
      </c>
      <c r="AH139" s="58" t="n">
        <f aca="false">AH135+($E137+$E138)*AH14</f>
        <v>0</v>
      </c>
      <c r="AI139" s="58" t="n">
        <f aca="false">AI135+($E137+$E138)*AI14</f>
        <v>0</v>
      </c>
      <c r="AJ139" s="58" t="n">
        <f aca="false">AJ135+($E137+$E138)*AJ14</f>
        <v>0</v>
      </c>
      <c r="AK139" s="58" t="n">
        <f aca="false">AK135+($E137+$E138)*AK14</f>
        <v>0</v>
      </c>
      <c r="AL139" s="58" t="n">
        <f aca="false">AL135+($E137+$E138)*AL14</f>
        <v>0</v>
      </c>
      <c r="AM139" s="58" t="n">
        <f aca="false">AM135+($E137+$E138)*AM14</f>
        <v>0</v>
      </c>
      <c r="AN139" s="58" t="n">
        <f aca="false">AN135+($E137+$E138)*AN14</f>
        <v>0</v>
      </c>
      <c r="AO139" s="58" t="n">
        <f aca="false">AO135+($E137+$E138)*AO14</f>
        <v>0</v>
      </c>
      <c r="AP139" s="58" t="n">
        <f aca="false">AP135+($E137+$E138)*AP14</f>
        <v>0</v>
      </c>
      <c r="AQ139" s="58" t="n">
        <f aca="false">AQ135+($E137+$E138)*AQ14</f>
        <v>0</v>
      </c>
      <c r="AR139" s="58" t="n">
        <f aca="false">AR135+($E137+$E138)*AR14</f>
        <v>0</v>
      </c>
      <c r="AS139" s="58" t="n">
        <f aca="false">AS135+($E137+$E138)*AS14</f>
        <v>0</v>
      </c>
      <c r="AT139" s="58" t="n">
        <f aca="false">AT135+($E137+$E138)*AT14</f>
        <v>0</v>
      </c>
      <c r="AU139" s="58" t="n">
        <f aca="false">AU135+($E137+$E138)*AU14</f>
        <v>0</v>
      </c>
      <c r="AV139" s="58" t="n">
        <f aca="false">AV135+($E137+$E138)*AV14</f>
        <v>0</v>
      </c>
      <c r="AW139" s="58" t="n">
        <f aca="false">AW135+($E137+$E138)*AW14</f>
        <v>0</v>
      </c>
      <c r="AX139" s="58" t="n">
        <f aca="false">AX135+($E137+$E138)*AX14</f>
        <v>0</v>
      </c>
      <c r="AY139" s="58" t="n">
        <f aca="false">AY135+($E137+$E138)*AY14</f>
        <v>0</v>
      </c>
      <c r="AZ139" s="58" t="n">
        <f aca="false">AZ135+($E137+$E138)*AZ14</f>
        <v>0</v>
      </c>
      <c r="BA139" s="58" t="n">
        <f aca="false">BA135+($E137+$E138)*BA14</f>
        <v>0</v>
      </c>
      <c r="BB139" s="58" t="n">
        <f aca="false">BB135+($E137+$E138)*BB14</f>
        <v>0</v>
      </c>
      <c r="BC139" s="58" t="n">
        <f aca="false">BC135+($E137+$E138)*BC14</f>
        <v>0</v>
      </c>
      <c r="BD139" s="58" t="n">
        <f aca="false">BD135+($E137+$E138)*BD14</f>
        <v>0</v>
      </c>
      <c r="BE139" s="58" t="n">
        <f aca="false">BE135+($E137+$E138)*BE14</f>
        <v>0</v>
      </c>
      <c r="BF139" s="58" t="n">
        <f aca="false">BF135+($E137+$E138)*BF14</f>
        <v>0</v>
      </c>
      <c r="BG139" s="58" t="n">
        <f aca="false">BG135+($E137+$E138)*BG14</f>
        <v>0</v>
      </c>
      <c r="BH139" s="58" t="n">
        <f aca="false">BH135+($E137+$E138)*BH14</f>
        <v>0</v>
      </c>
      <c r="BI139" s="58" t="n">
        <f aca="false">BI135+($E137+$E138)*BI14</f>
        <v>0</v>
      </c>
      <c r="BJ139" s="58" t="n">
        <f aca="false">BJ135+($E137+$E138)*BJ14</f>
        <v>0</v>
      </c>
      <c r="BK139" s="58" t="n">
        <f aca="false">BK135+($E137+$E138)*BK14</f>
        <v>0</v>
      </c>
      <c r="BL139" s="58" t="n">
        <f aca="false">BL135+($E137+$E138)*BL14</f>
        <v>0</v>
      </c>
      <c r="BM139" s="58" t="n">
        <f aca="false">BM135+($E137+$E138)*BM14</f>
        <v>0</v>
      </c>
      <c r="BN139" s="58" t="n">
        <f aca="false">BN135+($E137+$E138)*BN14</f>
        <v>0</v>
      </c>
      <c r="BO139" s="58" t="n">
        <f aca="false">BO135+($E137+$E138)*BO14</f>
        <v>0</v>
      </c>
      <c r="BP139" s="58" t="n">
        <f aca="false">BP135+($E137+$E138)*BP14</f>
        <v>0</v>
      </c>
      <c r="BQ139" s="58" t="n">
        <f aca="false">BQ135+($E137+$E138)*BQ14</f>
        <v>0</v>
      </c>
      <c r="BR139" s="58" t="n">
        <f aca="false">BR135+($E137+$E138)*BR14</f>
        <v>0</v>
      </c>
      <c r="BS139" s="58" t="n">
        <f aca="false">BS135+($E137+$E138)*BS14</f>
        <v>0</v>
      </c>
      <c r="BT139" s="58" t="n">
        <f aca="false">BT135+($E137+$E138)*BT14</f>
        <v>0</v>
      </c>
      <c r="BU139" s="58" t="n">
        <f aca="false">BU135+($E137+$E138)*BU14</f>
        <v>0</v>
      </c>
      <c r="BV139" s="58" t="n">
        <f aca="false">BV135+($E137+$E138)*BV14</f>
        <v>0</v>
      </c>
      <c r="BW139" s="58" t="n">
        <f aca="false">BW135+($E137+$E138)*BW14</f>
        <v>0</v>
      </c>
      <c r="BX139" s="58" t="n">
        <f aca="false">BX135+($E137+$E138)*BX14</f>
        <v>0</v>
      </c>
      <c r="BY139" s="58" t="n">
        <f aca="false">BY135+($E137+$E138)*BY14</f>
        <v>0</v>
      </c>
      <c r="BZ139" s="58" t="n">
        <f aca="false">BZ135+($E137+$E138)*BZ14</f>
        <v>0</v>
      </c>
      <c r="CA139" s="58" t="n">
        <f aca="false">CA135+($E137+$E138)*CA14</f>
        <v>0</v>
      </c>
      <c r="CB139" s="58" t="n">
        <f aca="false">CB135+($E137+$E138)*CB14</f>
        <v>0</v>
      </c>
      <c r="CC139" s="58" t="n">
        <f aca="false">CC135+($E137+$E138)*CC14</f>
        <v>0</v>
      </c>
      <c r="CD139" s="58" t="n">
        <f aca="false">CD135+($E137+$E138)*CD14</f>
        <v>0</v>
      </c>
      <c r="CE139" s="58" t="n">
        <f aca="false">CE135+($E137+$E138)*CE14</f>
        <v>0</v>
      </c>
      <c r="CF139" s="58" t="n">
        <f aca="false">CF135+($E137+$E138)*CF14</f>
        <v>0</v>
      </c>
      <c r="CG139" s="58" t="n">
        <f aca="false">CG135+($E137+$E138)*CG14</f>
        <v>0</v>
      </c>
      <c r="CH139" s="58" t="n">
        <f aca="false">CH135+($E137+$E138)*CH14</f>
        <v>0</v>
      </c>
      <c r="CI139" s="58" t="n">
        <f aca="false">CI135+($E137+$E138)*CI14</f>
        <v>0</v>
      </c>
      <c r="CJ139" s="58" t="n">
        <f aca="false">CJ135+($E137+$E138)*CJ14</f>
        <v>0</v>
      </c>
      <c r="CK139" s="58" t="n">
        <f aca="false">CK135+($E137+$E138)*CK14</f>
        <v>0</v>
      </c>
      <c r="CL139" s="58" t="n">
        <f aca="false">CL135+($E137+$E138)*CL14</f>
        <v>0</v>
      </c>
      <c r="CM139" s="58" t="n">
        <f aca="false">CM135+($E137+$E138)*CM14</f>
        <v>0</v>
      </c>
      <c r="CN139" s="58" t="n">
        <f aca="false">CN135+($E137+$E138)*CN14</f>
        <v>0</v>
      </c>
      <c r="CO139" s="58" t="n">
        <f aca="false">CO135+($E137+$E138)*CO14</f>
        <v>0</v>
      </c>
      <c r="CP139" s="58" t="n">
        <f aca="false">CP135+($E137+$E138)*CP14</f>
        <v>0</v>
      </c>
      <c r="CQ139" s="58" t="n">
        <f aca="false">CQ135+($E137+$E138)*CQ14</f>
        <v>0</v>
      </c>
      <c r="CR139" s="58" t="n">
        <f aca="false">CR135+($E137+$E138)*CR14</f>
        <v>0</v>
      </c>
      <c r="CS139" s="58" t="n">
        <f aca="false">CS135+($E137+$E138)*CS14</f>
        <v>0</v>
      </c>
      <c r="CT139" s="58" t="n">
        <f aca="false">CT135+($E137+$E138)*CT14</f>
        <v>0</v>
      </c>
      <c r="CU139" s="58" t="n">
        <f aca="false">CU135+($E137+$E138)*CU14</f>
        <v>0</v>
      </c>
      <c r="CV139" s="58" t="n">
        <f aca="false">CV135+($E137+$E138)*CV14</f>
        <v>0</v>
      </c>
      <c r="CW139" s="58" t="n">
        <f aca="false">CW135+($E137+$E138)*CW14</f>
        <v>0</v>
      </c>
      <c r="CX139" s="58" t="n">
        <f aca="false">CX135+($E137+$E138)*CX14</f>
        <v>0</v>
      </c>
      <c r="CY139" s="58" t="n">
        <f aca="false">CY135+($E137+$E138)*CY14</f>
        <v>0</v>
      </c>
      <c r="CZ139" s="58" t="n">
        <f aca="false">CZ135+($E137+$E138)*CZ14</f>
        <v>0</v>
      </c>
      <c r="DA139" s="58" t="n">
        <f aca="false">DA135+($E137+$E138)*DA14</f>
        <v>0</v>
      </c>
      <c r="DB139" s="58" t="n">
        <f aca="false">DB135+($E137+$E138)*DB14</f>
        <v>0</v>
      </c>
      <c r="DC139" s="58" t="n">
        <f aca="false">DC135+($E137+$E138)*DC14</f>
        <v>0</v>
      </c>
      <c r="DD139" s="58" t="n">
        <f aca="false">DD135+($E137+$E138)*DD14</f>
        <v>0</v>
      </c>
      <c r="DE139" s="58" t="n">
        <f aca="false">DE135+($E137+$E138)*DE14</f>
        <v>0</v>
      </c>
      <c r="DF139" s="58" t="n">
        <f aca="false">DF135+($E137+$E138)*DF14</f>
        <v>0</v>
      </c>
      <c r="DG139" s="58" t="n">
        <f aca="false">DG135+($E137+$E138)*DG14</f>
        <v>0</v>
      </c>
      <c r="DH139" s="58" t="n">
        <f aca="false">DH135+($E137+$E138)*DH14</f>
        <v>0</v>
      </c>
      <c r="DI139" s="58" t="n">
        <f aca="false">DI135+($E137+$E138)*DI14</f>
        <v>0</v>
      </c>
      <c r="DJ139" s="58" t="n">
        <f aca="false">DJ135+($E137+$E138)*DJ14</f>
        <v>0</v>
      </c>
      <c r="DK139" s="58" t="n">
        <f aca="false">DK135+($E137+$E138)*DK14</f>
        <v>0</v>
      </c>
      <c r="DL139" s="58" t="n">
        <f aca="false">DL135+($E137+$E138)*DL14</f>
        <v>0</v>
      </c>
      <c r="DM139" s="58" t="n">
        <f aca="false">DM135+($E137+$E138)*DM14</f>
        <v>0</v>
      </c>
      <c r="DN139" s="58" t="n">
        <f aca="false">DN135+($E137+$E138)*DN14</f>
        <v>0</v>
      </c>
      <c r="DO139" s="58" t="n">
        <f aca="false">DO135+($E137+$E138)*DO14</f>
        <v>0</v>
      </c>
      <c r="DP139" s="58" t="n">
        <f aca="false">DP135+($E137+$E138)*DP14</f>
        <v>0</v>
      </c>
      <c r="DQ139" s="58" t="n">
        <f aca="false">DQ135+($E137+$E138)*DQ14</f>
        <v>0</v>
      </c>
      <c r="DR139" s="58" t="n">
        <f aca="false">DR135+($E137+$E138)*DR14</f>
        <v>0</v>
      </c>
      <c r="DS139" s="58" t="n">
        <f aca="false">DS135+($E137+$E138)*DS14</f>
        <v>0</v>
      </c>
      <c r="DT139" s="58" t="n">
        <f aca="false">DT135+($E137+$E138)*DT14</f>
        <v>0</v>
      </c>
      <c r="DU139" s="58" t="n">
        <f aca="false">DU135+($E137+$E138)*DU14</f>
        <v>0</v>
      </c>
      <c r="DV139" s="58" t="n">
        <f aca="false">DV135+($E137+$E138)*DV14</f>
        <v>0</v>
      </c>
      <c r="DW139" s="58" t="n">
        <f aca="false">DW135+($E137+$E138)*DW14</f>
        <v>0</v>
      </c>
      <c r="DX139" s="58" t="n">
        <f aca="false">DX135+($E137+$E138)*DX14</f>
        <v>0</v>
      </c>
      <c r="DY139" s="58" t="n">
        <f aca="false">DY135+($E137+$E138)*DY14</f>
        <v>0</v>
      </c>
      <c r="DZ139" s="58" t="n">
        <f aca="false">DZ135+($E137+$E138)*DZ14</f>
        <v>0</v>
      </c>
      <c r="EA139" s="58" t="n">
        <f aca="false">EA135+($E137+$E138)*EA14</f>
        <v>0</v>
      </c>
      <c r="EB139" s="58" t="n">
        <f aca="false">EB135+($E137+$E138)*EB14</f>
        <v>0</v>
      </c>
      <c r="EC139" s="58" t="n">
        <f aca="false">EC135+($E137+$E138)*EC14</f>
        <v>0</v>
      </c>
      <c r="ED139" s="58" t="n">
        <f aca="false">ED135+($E137+$E138)*ED14</f>
        <v>0</v>
      </c>
      <c r="EE139" s="58" t="n">
        <f aca="false">EE135+($E137+$E138)*EE14</f>
        <v>0</v>
      </c>
      <c r="EF139" s="58" t="n">
        <f aca="false">EF135+($E137+$E138)*EF14</f>
        <v>0</v>
      </c>
      <c r="EG139" s="58" t="n">
        <f aca="false">EG135+($E137+$E138)*EG14</f>
        <v>0</v>
      </c>
      <c r="EH139" s="58" t="n">
        <f aca="false">EH135+($E137+$E138)*EH14</f>
        <v>0</v>
      </c>
      <c r="EI139" s="58" t="n">
        <f aca="false">EI135+($E137+$E138)*EI14</f>
        <v>0</v>
      </c>
      <c r="EJ139" s="58" t="n">
        <f aca="false">EJ135+($E137+$E138)*EJ14</f>
        <v>0</v>
      </c>
      <c r="EK139" s="58" t="n">
        <f aca="false">EK135+($E137+$E138)*EK14</f>
        <v>0</v>
      </c>
      <c r="EL139" s="58" t="n">
        <f aca="false">EL135+($E137+$E138)*EL14</f>
        <v>0</v>
      </c>
      <c r="EM139" s="58" t="n">
        <f aca="false">EM135+($E137+$E138)*EM14</f>
        <v>0</v>
      </c>
      <c r="EN139" s="58" t="n">
        <f aca="false">EN135+($E137+$E138)*EN14</f>
        <v>0</v>
      </c>
      <c r="EO139" s="58" t="n">
        <f aca="false">EO135+($E137+$E138)*EO14</f>
        <v>0</v>
      </c>
    </row>
    <row r="140" customFormat="false" ht="15" hidden="false" customHeight="false" outlineLevel="0" collapsed="false">
      <c r="C140" s="26" t="s">
        <v>87</v>
      </c>
      <c r="D140" s="12" t="s">
        <v>27</v>
      </c>
      <c r="E140" s="34" t="n">
        <f aca="false">XIRR($J139:$EO139,$J$4:$EO$4)</f>
        <v>0.410318082809979</v>
      </c>
    </row>
    <row r="141" customFormat="false" ht="15" hidden="false" customHeight="false" outlineLevel="0" collapsed="false">
      <c r="C141" s="26" t="s">
        <v>88</v>
      </c>
      <c r="D141" s="12" t="s">
        <v>13</v>
      </c>
      <c r="E141" s="61" t="n">
        <f aca="false">($E137+$E138)/-$I135</f>
        <v>1.70504013744302</v>
      </c>
    </row>
    <row r="142" customFormat="false" ht="15" hidden="false" customHeight="false" outlineLevel="0" collapsed="false">
      <c r="C142" s="26" t="s">
        <v>89</v>
      </c>
      <c r="D142" s="12" t="s">
        <v>33</v>
      </c>
      <c r="E142" s="58" t="n">
        <f aca="false">XNPV(In_Discount_Rate,$J139:$EO139,$J$4:$EO$4)</f>
        <v>18560.4545699145</v>
      </c>
    </row>
    <row r="143" customFormat="false" ht="15" hidden="false" customHeight="false" outlineLevel="0" collapsed="false">
      <c r="A143" s="62"/>
      <c r="B143" s="62"/>
      <c r="C143" s="62" t="s">
        <v>524</v>
      </c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</row>
    <row r="144" customFormat="false" ht="15" hidden="false" customHeight="false" outlineLevel="0" collapsed="false">
      <c r="C144" s="1" t="s">
        <v>525</v>
      </c>
      <c r="D144" s="12" t="s">
        <v>33</v>
      </c>
      <c r="I144" s="49" t="n">
        <f aca="false">SUM(J144:EO144)</f>
        <v>151643.518574165</v>
      </c>
      <c r="J144" s="49" t="n">
        <f aca="false">(J83+J59+J62+J117)*(J$4&gt;In_COD)-($E136+$I62)*J14</f>
        <v>-0</v>
      </c>
      <c r="K144" s="49" t="n">
        <f aca="false">(K83+K59+K62+K117)*(K$4&gt;In_COD)-($E136+$I62)*K14</f>
        <v>-0</v>
      </c>
      <c r="L144" s="49" t="n">
        <f aca="false">(L83+L59+L62+L117)*(L$4&gt;In_COD)-($E136+$I62)*L14</f>
        <v>-0</v>
      </c>
      <c r="M144" s="49" t="n">
        <f aca="false">(M83+M59+M62+M117)*(M$4&gt;In_COD)-($E136+$I62)*M14</f>
        <v>-0</v>
      </c>
      <c r="N144" s="49" t="n">
        <f aca="false">(N83+N59+N62+N117)*(N$4&gt;In_COD)-($E136+$I62)*N14</f>
        <v>-0</v>
      </c>
      <c r="O144" s="49" t="n">
        <f aca="false">(O83+O59+O62+O117)*(O$4&gt;In_COD)-($E136+$I62)*O14</f>
        <v>-0</v>
      </c>
      <c r="P144" s="49" t="n">
        <f aca="false">(P83+P59+P62+P117)*(P$4&gt;In_COD)-($E136+$I62)*P14</f>
        <v>-0</v>
      </c>
      <c r="Q144" s="49" t="n">
        <f aca="false">(Q83+Q59+Q62+Q117)*(Q$4&gt;In_COD)-($E136+$I62)*Q14</f>
        <v>-0</v>
      </c>
      <c r="R144" s="49" t="n">
        <f aca="false">(R83+R59+R62+R117)*(R$4&gt;In_COD)-($E136+$I62)*R14</f>
        <v>-0</v>
      </c>
      <c r="S144" s="49" t="n">
        <f aca="false">(S83+S59+S62+S117)*(S$4&gt;In_COD)-($E136+$I62)*S14</f>
        <v>-0</v>
      </c>
      <c r="T144" s="49" t="n">
        <f aca="false">(T83+T59+T62+T117)*(T$4&gt;In_COD)-($E136+$I62)*T14</f>
        <v>-0</v>
      </c>
      <c r="U144" s="49" t="n">
        <f aca="false">(U83+U59+U62+U117)*(U$4&gt;In_COD)-($E136+$I62)*U14</f>
        <v>-0</v>
      </c>
      <c r="V144" s="49" t="n">
        <f aca="false">(V83+V59+V62+V117)*(V$4&gt;In_COD)-($E136+$I62)*V14</f>
        <v>-0</v>
      </c>
      <c r="W144" s="49" t="n">
        <f aca="false">(W83+W59+W62+W117)*(W$4&gt;In_COD)-($E136+$I62)*W14</f>
        <v>-0</v>
      </c>
      <c r="X144" s="49" t="n">
        <f aca="false">(X83+X59+X62+X117)*(X$4&gt;In_COD)-($E136+$I62)*X14</f>
        <v>-0</v>
      </c>
      <c r="Y144" s="49" t="n">
        <f aca="false">(Y83+Y59+Y62+Y117)*(Y$4&gt;In_COD)-($E136+$I62)*Y14</f>
        <v>-114975</v>
      </c>
      <c r="Z144" s="49" t="n">
        <f aca="false">(Z83+Z59+Z62+Z117)*(Z$4&gt;In_COD)-($E136+$I62)*Z14</f>
        <v>2303.35715537998</v>
      </c>
      <c r="AA144" s="49" t="n">
        <f aca="false">(AA83+AA59+AA62+AA117)*(AA$4&gt;In_COD)-($E136+$I62)*AA14</f>
        <v>2268.35038320381</v>
      </c>
      <c r="AB144" s="49" t="n">
        <f aca="false">(AB83+AB59+AB62+AB117)*(AB$4&gt;In_COD)-($E136+$I62)*AB14</f>
        <v>2292.6422519649</v>
      </c>
      <c r="AC144" s="49" t="n">
        <f aca="false">(AC83+AC59+AC62+AC117)*(AC$4&gt;In_COD)-($E136+$I62)*AC14</f>
        <v>2316.92830732007</v>
      </c>
      <c r="AD144" s="49" t="n">
        <f aca="false">(AD83+AD59+AD62+AD117)*(AD$4&gt;In_COD)-($E136+$I62)*AD14</f>
        <v>2308.61302841445</v>
      </c>
      <c r="AE144" s="49" t="n">
        <f aca="false">(AE83+AE59+AE62+AE117)*(AE$4&gt;In_COD)-($E136+$I62)*AE14</f>
        <v>2242.35914725381</v>
      </c>
      <c r="AF144" s="49" t="n">
        <f aca="false">(AF83+AF59+AF62+AF117)*(AF$4&gt;In_COD)-($E136+$I62)*AF14</f>
        <v>2236.17639291396</v>
      </c>
      <c r="AG144" s="49" t="n">
        <f aca="false">(AG83+AG59+AG62+AG117)*(AG$4&gt;In_COD)-($E136+$I62)*AG14</f>
        <v>2258.92832913318</v>
      </c>
      <c r="AH144" s="49" t="n">
        <f aca="false">(AH83+AH59+AH62+AH117)*(AH$4&gt;In_COD)-($E136+$I62)*AH14</f>
        <v>2250.67758370789</v>
      </c>
      <c r="AI144" s="49" t="n">
        <f aca="false">(AI83+AI59+AI62+AI117)*(AI$4&gt;In_COD)-($E136+$I62)*AI14</f>
        <v>2215.55548809498</v>
      </c>
      <c r="AJ144" s="49" t="n">
        <f aca="false">(AJ83+AJ59+AJ62+AJ117)*(AJ$4&gt;In_COD)-($E136+$I62)*AJ14</f>
        <v>2266.52008945437</v>
      </c>
      <c r="AK144" s="49" t="n">
        <f aca="false">(AK83+AK59+AK62+AK117)*(AK$4&gt;In_COD)-($E136+$I62)*AK14</f>
        <v>2289.59937777868</v>
      </c>
      <c r="AL144" s="49" t="n">
        <f aca="false">(AL83+AL59+AL62+AL117)*(AL$4&gt;In_COD)-($E136+$I62)*AL14</f>
        <v>2281.25175624472</v>
      </c>
      <c r="AM144" s="49" t="n">
        <f aca="false">(AM83+AM59+AM62+AM117)*(AM$4&gt;In_COD)-($E136+$I62)*AM14</f>
        <v>2245.19668015561</v>
      </c>
      <c r="AN144" s="49" t="n">
        <f aca="false">(AN83+AN59+AN62+AN117)*(AN$4&gt;In_COD)-($E136+$I62)*AN14</f>
        <v>2268.30264727472</v>
      </c>
      <c r="AO144" s="49" t="n">
        <f aca="false">(AO83+AO59+AO62+AO117)*(AO$4&gt;In_COD)-($E136+$I62)*AO14</f>
        <v>2291.39511851944</v>
      </c>
      <c r="AP144" s="49" t="n">
        <f aca="false">(AP83+AP59+AP62+AP117)*(AP$4&gt;In_COD)-($E136+$I62)*AP14</f>
        <v>2282.94787025475</v>
      </c>
      <c r="AQ144" s="49" t="n">
        <f aca="false">(AQ83+AQ59+AQ62+AQ117)*(AQ$4&gt;In_COD)-($E136+$I62)*AQ14</f>
        <v>2246.57421351491</v>
      </c>
      <c r="AR144" s="49" t="n">
        <f aca="false">(AR83+AR59+AR62+AR117)*(AR$4&gt;In_COD)-($E136+$I62)*AR14</f>
        <v>2269.68937498808</v>
      </c>
      <c r="AS144" s="49" t="n">
        <f aca="false">(AS83+AS59+AS62+AS117)*(AS$4&gt;In_COD)-($E136+$I62)*AS14</f>
        <v>2292.790353035</v>
      </c>
      <c r="AT144" s="49" t="n">
        <f aca="false">(AT83+AT59+AT62+AT117)*(AT$4&gt;In_COD)-($E136+$I62)*AT14</f>
        <v>2284.24059738931</v>
      </c>
      <c r="AU144" s="49" t="n">
        <f aca="false">(AU83+AU59+AU62+AU117)*(AU$4&gt;In_COD)-($E136+$I62)*AU14</f>
        <v>2271.85519217145</v>
      </c>
      <c r="AV144" s="49" t="n">
        <f aca="false">(AV83+AV59+AV62+AV117)*(AV$4&gt;In_COD)-($E136+$I62)*AV14</f>
        <v>2270.66271171773</v>
      </c>
      <c r="AW144" s="49" t="n">
        <f aca="false">(AW83+AW59+AW62+AW117)*(AW$4&gt;In_COD)-($E136+$I62)*AW14</f>
        <v>2293.76731084662</v>
      </c>
      <c r="AX144" s="49" t="n">
        <f aca="false">(AX83+AX59+AX62+AX117)*(AX$4&gt;In_COD)-($E136+$I62)*AX14</f>
        <v>2285.112030486</v>
      </c>
      <c r="AY144" s="49" t="n">
        <f aca="false">(AY83+AY59+AY62+AY117)*(AY$4&gt;In_COD)-($E136+$I62)*AY14</f>
        <v>2248.08557981454</v>
      </c>
      <c r="AZ144" s="49" t="n">
        <f aca="false">(AZ83+AZ59+AZ62+AZ117)*(AZ$4&gt;In_COD)-($E136+$I62)*AZ14</f>
        <v>2271.20436117184</v>
      </c>
      <c r="BA144" s="49" t="n">
        <f aca="false">(BA83+BA59+BA62+BA117)*(BA$4&gt;In_COD)-($E136+$I62)*BA14</f>
        <v>2294.30747713199</v>
      </c>
      <c r="BB144" s="49" t="n">
        <f aca="false">(BB83+BB59+BB62+BB117)*(BB$4&gt;In_COD)-($E136+$I62)*BB14</f>
        <v>2285.5435110418</v>
      </c>
      <c r="BC144" s="49" t="n">
        <f aca="false">(BC83+BC59+BC62+BC117)*(BC$4&gt;In_COD)-($E136+$I62)*BC14</f>
        <v>2248.1824945666</v>
      </c>
      <c r="BD144" s="49" t="n">
        <f aca="false">(BD83+BD59+BD62+BD117)*(BD$4&gt;In_COD)-($E136+$I62)*BD14</f>
        <v>2271.2952587195</v>
      </c>
      <c r="BE144" s="49" t="n">
        <f aca="false">(BE83+BE59+BE62+BE117)*(BE$4&gt;In_COD)-($E136+$I62)*BE14</f>
        <v>2294.3915593963</v>
      </c>
      <c r="BF144" s="49" t="n">
        <f aca="false">(BF83+BF59+BF62+BF117)*(BF$4&gt;In_COD)-($E136+$I62)*BF14</f>
        <v>2285.51559552519</v>
      </c>
      <c r="BG144" s="49" t="n">
        <f aca="false">(BG83+BG59+BG62+BG117)*(BG$4&gt;In_COD)-($E136+$I62)*BG14</f>
        <v>2247.81431903396</v>
      </c>
      <c r="BH144" s="49" t="n">
        <f aca="false">(BH83+BH59+BH62+BH117)*(BH$4&gt;In_COD)-($E136+$I62)*BH14</f>
        <v>2270.91553690461</v>
      </c>
      <c r="BI144" s="49" t="n">
        <f aca="false">(BI83+BI59+BI62+BI117)*(BI$4&gt;In_COD)-($E136+$I62)*BI14</f>
        <v>2293.99945256184</v>
      </c>
      <c r="BJ144" s="49" t="n">
        <f aca="false">(BJ83+BJ59+BJ62+BJ117)*(BJ$4&gt;In_COD)-($E136+$I62)*BJ14</f>
        <v>2285.00802008832</v>
      </c>
      <c r="BK144" s="49" t="n">
        <f aca="false">(BK83+BK59+BK62+BK117)*(BK$4&gt;In_COD)-($E136+$I62)*BK14</f>
        <v>2271.49918376209</v>
      </c>
      <c r="BL144" s="49" t="n">
        <f aca="false">(BL83+BL59+BL62+BL117)*(BL$4&gt;In_COD)-($E136+$I62)*BL14</f>
        <v>2270.04448932076</v>
      </c>
      <c r="BM144" s="49" t="n">
        <f aca="false">(BM83+BM59+BM62+BM117)*(BM$4&gt;In_COD)-($E136+$I62)*BM14</f>
        <v>2293.11020239817</v>
      </c>
      <c r="BN144" s="49" t="n">
        <f aca="false">(BN83+BN59+BN62+BN117)*(BN$4&gt;In_COD)-($E136+$I62)*BN14</f>
        <v>2283.99966360055</v>
      </c>
      <c r="BO144" s="49" t="n">
        <f aca="false">(BO83+BO59+BO62+BO117)*(BO$4&gt;In_COD)-($E136+$I62)*BO14</f>
        <v>2245.59998826718</v>
      </c>
      <c r="BP144" s="49" t="n">
        <f aca="false">(BP83+BP59+BP62+BP117)*(BP$4&gt;In_COD)-($E136+$I62)*BP14</f>
        <v>2268.66053276645</v>
      </c>
      <c r="BQ144" s="49" t="n">
        <f aca="false">(BQ83+BQ59+BQ62+BQ117)*(BQ$4&gt;In_COD)-($E136+$I62)*BQ14</f>
        <v>2291.70196721147</v>
      </c>
      <c r="BR144" s="49" t="n">
        <f aca="false">(BR83+BR59+BR62+BR117)*(BR$4&gt;In_COD)-($E136+$I62)*BR14</f>
        <v>2282.46850892087</v>
      </c>
      <c r="BS144" s="49" t="n">
        <f aca="false">(BS83+BS59+BS62+BS117)*(BS$4&gt;In_COD)-($E136+$I62)*BS14</f>
        <v>2243.71027386286</v>
      </c>
      <c r="BT144" s="49" t="n">
        <f aca="false">(BT83+BT59+BT62+BT117)*(BT$4&gt;In_COD)-($E136+$I62)*BT14</f>
        <v>2266.74116759628</v>
      </c>
      <c r="BU144" s="49" t="n">
        <f aca="false">(BU83+BU59+BU62+BU117)*(BU$4&gt;In_COD)-($E136+$I62)*BU14</f>
        <v>2289.75197770731</v>
      </c>
      <c r="BV144" s="49" t="n">
        <f aca="false">(BV83+BV59+BV62+BV117)*(BV$4&gt;In_COD)-($E136+$I62)*BV14</f>
        <v>2280.39160232237</v>
      </c>
      <c r="BW144" s="49" t="n">
        <f aca="false">(BW83+BW59+BW62+BW117)*(BW$4&gt;In_COD)-($E136+$I62)*BW14</f>
        <v>2241.26827063169</v>
      </c>
      <c r="BX144" s="49" t="n">
        <f aca="false">(BX83+BX59+BX62+BX117)*(BX$4&gt;In_COD)-($E136+$I62)*BX14</f>
        <v>2264.2629361789</v>
      </c>
      <c r="BY144" s="49" t="n">
        <f aca="false">(BY83+BY59+BY62+BY117)*(BY$4&gt;In_COD)-($E136+$I62)*BY14</f>
        <v>2287.23649493681</v>
      </c>
      <c r="BZ144" s="49" t="n">
        <f aca="false">(BZ83+BZ59+BZ62+BZ117)*(BZ$4&gt;In_COD)-($E136+$I62)*BZ14</f>
        <v>2277.74501097784</v>
      </c>
      <c r="CA144" s="49" t="n">
        <f aca="false">(CA83+CA59+CA62+CA117)*(CA$4&gt;In_COD)-($E136+$I62)*CA14</f>
        <v>2262.97594591279</v>
      </c>
      <c r="CB144" s="49" t="n">
        <f aca="false">(CB83+CB59+CB62+CB117)*(CB$4&gt;In_COD)-($E136+$I62)*CB14</f>
        <v>2261.2013793687</v>
      </c>
      <c r="CC144" s="49" t="n">
        <f aca="false">(CC83+CC59+CC62+CC117)*(CC$4&gt;In_COD)-($E136+$I62)*CC14</f>
        <v>2284.13076623188</v>
      </c>
      <c r="CD144" s="49" t="n">
        <f aca="false">(CD83+CD59+CD62+CD117)*(CD$4&gt;In_COD)-($E136+$I62)*CD14</f>
        <v>2274.50377841065</v>
      </c>
      <c r="CE144" s="49" t="n">
        <f aca="false">(CE83+CE59+CE62+CE117)*(CE$4&gt;In_COD)-($E136+$I62)*CE14</f>
        <v>2234.62969060064</v>
      </c>
      <c r="CF144" s="49" t="n">
        <f aca="false">(CF83+CF59+CF62+CF117)*(CF$4&gt;In_COD)-($E136+$I62)*CF14</f>
        <v>2257.53099089308</v>
      </c>
      <c r="CG144" s="49" t="n">
        <f aca="false">(CG83+CG59+CG62+CG117)*(CG$4&gt;In_COD)-($E136+$I62)*CG14</f>
        <v>2280.40897903009</v>
      </c>
      <c r="CH144" s="49" t="n">
        <f aca="false">(CH83+CH59+CH62+CH117)*(CH$4&gt;In_COD)-($E136+$I62)*CH14</f>
        <v>2270.64187781084</v>
      </c>
      <c r="CI144" s="49" t="n">
        <f aca="false">(CI83+CI59+CI62+CI117)*(CI$4&gt;In_COD)-($E136+$I62)*CI14</f>
        <v>2232.31741356772</v>
      </c>
      <c r="CJ144" s="49" t="n">
        <f aca="false">(CJ83+CJ59+CJ62+CJ117)*(CJ$4&gt;In_COD)-($E136+$I62)*CJ14</f>
        <v>2257.12094038514</v>
      </c>
      <c r="CK144" s="49" t="n">
        <f aca="false">(CK83+CK59+CK62+CK117)*(CK$4&gt;In_COD)-($E136+$I62)*CK14</f>
        <v>2281.92446720256</v>
      </c>
      <c r="CL144" s="49" t="n">
        <f aca="false">(CL83+CL59+CL62+CL117)*(CL$4&gt;In_COD)-($E136+$I62)*CL14</f>
        <v>2274.02170776107</v>
      </c>
      <c r="CM144" s="49" t="n">
        <f aca="false">(CM83+CM59+CM62+CM117)*(CM$4&gt;In_COD)-($E136+$I62)*CM14</f>
        <v>2235.40215425159</v>
      </c>
      <c r="CN144" s="49" t="n">
        <f aca="false">(CN83+CN59+CN62+CN117)*(CN$4&gt;In_COD)-($E136+$I62)*CN14</f>
        <v>2260.2399559655</v>
      </c>
      <c r="CO144" s="49" t="n">
        <f aca="false">(CO83+CO59+CO62+CO117)*(CO$4&gt;In_COD)-($E136+$I62)*CO14</f>
        <v>2285.07775767941</v>
      </c>
      <c r="CP144" s="49" t="n">
        <f aca="false">(CP83+CP59+CP62+CP117)*(CP$4&gt;In_COD)-($E136+$I62)*CP14</f>
        <v>2277.12734251984</v>
      </c>
      <c r="CQ144" s="49" t="n">
        <f aca="false">(CQ83+CQ59+CQ62+CQ117)*(CQ$4&gt;In_COD)-($E136+$I62)*CQ14</f>
        <v>2263.07889541064</v>
      </c>
      <c r="CR144" s="49" t="n">
        <f aca="false">(CR83+CR59+CR62+CR117)*(CR$4&gt;In_COD)-($E136+$I62)*CR14</f>
        <v>2263.07889541064</v>
      </c>
      <c r="CS144" s="49" t="n">
        <f aca="false">(CS83+CS59+CS62+CS117)*(CS$4&gt;In_COD)-($E136+$I62)*CS14</f>
        <v>2287.94789426131</v>
      </c>
      <c r="CT144" s="49" t="n">
        <f aca="false">(CT83+CT59+CT62+CT117)*(CT$4&gt;In_COD)-($E136+$I62)*CT14</f>
        <v>2279.94971794918</v>
      </c>
      <c r="CU144" s="49" t="n">
        <f aca="false">(CU83+CU59+CU62+CU117)*(CU$4&gt;In_COD)-($E136+$I62)*CU14</f>
        <v>2240.73153719111</v>
      </c>
      <c r="CV144" s="49" t="n">
        <f aca="false">(CV83+CV59+CV62+CV117)*(CV$4&gt;In_COD)-($E136+$I62)*CV14</f>
        <v>2265.62855427102</v>
      </c>
      <c r="CW144" s="49" t="n">
        <f aca="false">(CW83+CW59+CW62+CW117)*(CW$4&gt;In_COD)-($E136+$I62)*CW14</f>
        <v>2290.52557135092</v>
      </c>
      <c r="CX144" s="49" t="n">
        <f aca="false">(CX83+CX59+CX62+CX117)*(CX$4&gt;In_COD)-($E136+$I62)*CX14</f>
        <v>2282.47953249614</v>
      </c>
      <c r="CY144" s="49" t="n">
        <f aca="false">(CY83+CY59+CY62+CY117)*(CY$4&gt;In_COD)-($E136+$I62)*CY14</f>
        <v>2242.9577346824</v>
      </c>
      <c r="CZ144" s="49" t="n">
        <f aca="false">(CZ83+CZ59+CZ62+CZ117)*(CZ$4&gt;In_COD)-($E136+$I62)*CZ14</f>
        <v>2267.87948728999</v>
      </c>
      <c r="DA144" s="49" t="n">
        <f aca="false">(DA83+DA59+DA62+DA117)*(DA$4&gt;In_COD)-($E136+$I62)*DA14</f>
        <v>2292.80123989757</v>
      </c>
      <c r="DB144" s="49" t="n">
        <f aca="false">(DB83+DB59+DB62+DB117)*(DB$4&gt;In_COD)-($E136+$I62)*DB14</f>
        <v>2127.75796595667</v>
      </c>
      <c r="DC144" s="49" t="n">
        <f aca="false">(DC83+DC59+DC62+DC117)*(DC$4&gt;In_COD)-($E136+$I62)*DC14</f>
        <v>2091.34156892558</v>
      </c>
      <c r="DD144" s="49" t="n">
        <f aca="false">(DD83+DD59+DD62+DD117)*(DD$4&gt;In_COD)-($E136+$I62)*DD14</f>
        <v>2114.5786974692</v>
      </c>
      <c r="DE144" s="49" t="n">
        <f aca="false">(DE83+DE59+DE62+DE117)*(DE$4&gt;In_COD)-($E136+$I62)*DE14</f>
        <v>2137.81582601281</v>
      </c>
      <c r="DF144" s="49" t="n">
        <f aca="false">(DF83+DF59+DF62+DF117)*(DF$4&gt;In_COD)-($E136+$I62)*DF14</f>
        <v>2129.67377475099</v>
      </c>
      <c r="DG144" s="49" t="n">
        <f aca="false">(DG83+DG59+DG62+DG117)*(DG$4&gt;In_COD)-($E136+$I62)*DG14</f>
        <v>2116.20284972323</v>
      </c>
      <c r="DH144" s="49" t="n">
        <f aca="false">(DH83+DH59+DH62+DH117)*(DH$4&gt;In_COD)-($E136+$I62)*DH14</f>
        <v>2116.20284972323</v>
      </c>
      <c r="DI144" s="49" t="n">
        <f aca="false">(DI83+DI59+DI62+DI117)*(DI$4&gt;In_COD)-($E136+$I62)*DI14</f>
        <v>2139.45782609381</v>
      </c>
      <c r="DJ144" s="49" t="n">
        <f aca="false">(DJ83+DJ59+DJ62+DJ117)*(DJ$4&gt;In_COD)-($E136+$I62)*DJ14</f>
        <v>2131.26763373715</v>
      </c>
      <c r="DK144" s="49" t="n">
        <f aca="false">(DK83+DK59+DK62+DK117)*(DK$4&gt;In_COD)-($E136+$I62)*DK14</f>
        <v>2094.22922134031</v>
      </c>
      <c r="DL144" s="49" t="n">
        <f aca="false">(DL83+DL59+DL62+DL117)*(DL$4&gt;In_COD)-($E136+$I62)*DL14</f>
        <v>2117.49843491076</v>
      </c>
      <c r="DM144" s="49" t="n">
        <f aca="false">(DM83+DM59+DM62+DM117)*(DM$4&gt;In_COD)-($E136+$I62)*DM14</f>
        <v>2140.76764848121</v>
      </c>
      <c r="DN144" s="49" t="n">
        <f aca="false">(DN83+DN59+DN62+DN117)*(DN$4&gt;In_COD)-($E136+$I62)*DN14</f>
        <v>2132.52923118543</v>
      </c>
      <c r="DO144" s="49" t="n">
        <f aca="false">(DO83+DO59+DO62+DO117)*(DO$4&gt;In_COD)-($E136+$I62)*DO14</f>
        <v>2095.17525809415</v>
      </c>
      <c r="DP144" s="49" t="n">
        <f aca="false">(DP83+DP59+DP62+DP117)*(DP$4&gt;In_COD)-($E136+$I62)*DP14</f>
        <v>2118.45498318408</v>
      </c>
      <c r="DQ144" s="49" t="n">
        <f aca="false">(DQ83+DQ59+DQ62+DQ117)*(DQ$4&gt;In_COD)-($E136+$I62)*DQ14</f>
        <v>2141.73470827402</v>
      </c>
      <c r="DR144" s="49" t="n">
        <f aca="false">(DR83+DR59+DR62+DR117)*(DR$4&gt;In_COD)-($E136+$I62)*DR14</f>
        <v>2133.4479869401</v>
      </c>
      <c r="DS144" s="49" t="n">
        <f aca="false">(DS83+DS59+DS62+DS117)*(DS$4&gt;In_COD)-($E136+$I62)*DS14</f>
        <v>2095.77535956</v>
      </c>
      <c r="DT144" s="49" t="n">
        <f aca="false">(DT83+DT59+DT62+DT117)*(DT$4&gt;In_COD)-($E136+$I62)*DT14</f>
        <v>2119.061752444</v>
      </c>
      <c r="DU144" s="49" t="n">
        <f aca="false">(DU83+DU59+DU62+DU117)*(DU$4&gt;In_COD)-($E136+$I62)*DU14</f>
        <v>2142.348145328</v>
      </c>
      <c r="DV144" s="49" t="n">
        <f aca="false">(DV83+DV59+DV62+DV117)*(DV$4&gt;In_COD)-($E136+$I62)*DV14</f>
        <v>2134.01304575269</v>
      </c>
      <c r="DW144" s="49" t="n">
        <f aca="false">(DW83+DW59+DW62+DW117)*(DW$4&gt;In_COD)-($E136+$I62)*DW14</f>
        <v>2119.30772157993</v>
      </c>
      <c r="DX144" s="49" t="n">
        <f aca="false">(DX83+DX59+DX62+DX117)*(DX$4&gt;In_COD)-($E136+$I62)*DX14</f>
        <v>2119.30772157993</v>
      </c>
      <c r="DY144" s="49" t="n">
        <f aca="false">(DY83+DY59+DY62+DY117)*(DY$4&gt;In_COD)-($E136+$I62)*DY14</f>
        <v>2142.59681742147</v>
      </c>
      <c r="DZ144" s="49" t="n">
        <f aca="false">(DZ83+DZ59+DZ62+DZ117)*(DZ$4&gt;In_COD)-($E136+$I62)*DZ14</f>
        <v>2134.2132704514</v>
      </c>
      <c r="EA144" s="49" t="n">
        <f aca="false">(EA83+EA59+EA62+EA117)*(EA$4&gt;In_COD)-($E136+$I62)*EA14</f>
        <v>2095.89387383467</v>
      </c>
      <c r="EB144" s="49" t="n">
        <f aca="false">(EB83+EB59+EB62+EB117)*(EB$4&gt;In_COD)-($E136+$I62)*EB14</f>
        <v>2119.18158354395</v>
      </c>
      <c r="EC144" s="49" t="n">
        <f aca="false">(EC83+EC59+EC62+EC117)*(EC$4&gt;In_COD)-($E136+$I62)*EC14</f>
        <v>2142.46929325322</v>
      </c>
      <c r="ED144" s="49" t="n">
        <f aca="false">(ED83+ED59+ED62+ED117)*(ED$4&gt;In_COD)-($E136+$I62)*ED14</f>
        <v>2134.03723494271</v>
      </c>
      <c r="EE144" s="49" t="n">
        <f aca="false">(EE83+EE59+EE62+EE117)*(EE$4&gt;In_COD)-($E136+$I62)*EE14</f>
        <v>2095.38963124086</v>
      </c>
      <c r="EF144" s="49" t="n">
        <f aca="false">(EF83+EF59+EF62+EF117)*(EF$4&gt;In_COD)-($E136+$I62)*EF14</f>
        <v>2118.67173825464</v>
      </c>
      <c r="EG144" s="49" t="n">
        <f aca="false">(EG83+EG59+EG62+EG117)*(EG$4&gt;In_COD)-($E136+$I62)*EG14</f>
        <v>2141.95384526843</v>
      </c>
      <c r="EH144" s="49" t="n">
        <f aca="false">(EH83+EH59+EH62+EH117)*(EH$4&gt;In_COD)-($E136+$I62)*EH14</f>
        <v>2133.4732170411</v>
      </c>
      <c r="EI144" s="49" t="n">
        <f aca="false">(EI83+EI59+EI62+EI117)*(EI$4&gt;In_COD)-($E136+$I62)*EI14</f>
        <v>2094.49412834513</v>
      </c>
      <c r="EJ144" s="49" t="n">
        <f aca="false">(EJ83+EJ59+EJ62+EJ117)*(EJ$4&gt;In_COD)-($E136+$I62)*EJ14</f>
        <v>2117.76628532674</v>
      </c>
      <c r="EK144" s="49" t="n">
        <f aca="false">(EK83+EK59+EK62+EK117)*(EK$4&gt;In_COD)-($E136+$I62)*EK14</f>
        <v>2141.03844230835</v>
      </c>
      <c r="EL144" s="49" t="n">
        <f aca="false">(EL83+EL59+EL62+EL117)*(EL$4&gt;In_COD)-($E136+$I62)*EL14</f>
        <v>2132.50919112262</v>
      </c>
      <c r="EM144" s="49" t="n">
        <f aca="false">(EM83+EM59+EM62+EM117)*(EM$4&gt;In_COD)-($E136+$I62)*EM14</f>
        <v>2116.45301662203</v>
      </c>
      <c r="EN144" s="49" t="n">
        <f aca="false">(EN83+EN59+EN62+EN117)*(EN$4&gt;In_COD)-($E136+$I62)*EN14</f>
        <v>2116.45301662203</v>
      </c>
      <c r="EO144" s="49" t="n">
        <f aca="false">(EO83+EO59+EO62+EO117)*(EO$4&gt;In_COD)-($E136+$I62)*EO14</f>
        <v>2139.71074207941</v>
      </c>
    </row>
    <row r="145" customFormat="false" ht="15" hidden="false" customHeight="false" outlineLevel="0" collapsed="false">
      <c r="C145" s="26" t="s">
        <v>129</v>
      </c>
      <c r="D145" s="12" t="s">
        <v>27</v>
      </c>
      <c r="E145" s="34" t="n">
        <f aca="false">XIRR(INDEX($J144:$EO144,$E15):$EO144,INDEX($J$4:$EO$4,$E15):$EO$4)</f>
        <v>0.0695907325382153</v>
      </c>
    </row>
    <row r="146" customFormat="false" ht="15" hidden="false" customHeight="false" outlineLevel="0" collapsed="false">
      <c r="C146" s="1" t="s">
        <v>526</v>
      </c>
      <c r="D146" s="12" t="s">
        <v>33</v>
      </c>
      <c r="I146" s="49" t="n">
        <f aca="false">SUM(J146:EO146)</f>
        <v>133095.679028538</v>
      </c>
      <c r="J146" s="49" t="n">
        <f aca="false">J144+J98+J106+$E103*J14</f>
        <v>0</v>
      </c>
      <c r="K146" s="49" t="n">
        <f aca="false">K144+K98+K106+$E103*K14</f>
        <v>0</v>
      </c>
      <c r="L146" s="49" t="n">
        <f aca="false">L144+L98+L106+$E103*L14</f>
        <v>0</v>
      </c>
      <c r="M146" s="49" t="n">
        <f aca="false">M144+M98+M106+$E103*M14</f>
        <v>0</v>
      </c>
      <c r="N146" s="49" t="n">
        <f aca="false">N144+N98+N106+$E103*N14</f>
        <v>0</v>
      </c>
      <c r="O146" s="49" t="n">
        <f aca="false">O144+O98+O106+$E103*O14</f>
        <v>0</v>
      </c>
      <c r="P146" s="49" t="n">
        <f aca="false">P144+P98+P106+$E103*P14</f>
        <v>0</v>
      </c>
      <c r="Q146" s="49" t="n">
        <f aca="false">Q144+Q98+Q106+$E103*Q14</f>
        <v>0</v>
      </c>
      <c r="R146" s="49" t="n">
        <f aca="false">R144+R98+R106+$E103*R14</f>
        <v>0</v>
      </c>
      <c r="S146" s="49" t="n">
        <f aca="false">S144+S98+S106+$E103*S14</f>
        <v>0</v>
      </c>
      <c r="T146" s="49" t="n">
        <f aca="false">T144+T98+T106+$E103*T14</f>
        <v>0</v>
      </c>
      <c r="U146" s="49" t="n">
        <f aca="false">U144+U98+U106+$E103*U14</f>
        <v>0</v>
      </c>
      <c r="V146" s="49" t="n">
        <f aca="false">V144+V98+V106+$E103*V14</f>
        <v>0</v>
      </c>
      <c r="W146" s="49" t="n">
        <f aca="false">W144+W98+W106+$E103*W14</f>
        <v>0</v>
      </c>
      <c r="X146" s="49" t="n">
        <f aca="false">X144+X98+X106+$E103*X14</f>
        <v>0</v>
      </c>
      <c r="Y146" s="49" t="n">
        <f aca="false">Y144+Y98+Y106+$E103*Y14</f>
        <v>-72610.0831709894</v>
      </c>
      <c r="Z146" s="49" t="n">
        <f aca="false">Z144+Z98+Z106+$E103*Z14</f>
        <v>1270.93755580986</v>
      </c>
      <c r="AA146" s="49" t="n">
        <f aca="false">AA144+AA98+AA106+$E103*AA14</f>
        <v>1235.93078363369</v>
      </c>
      <c r="AB146" s="49" t="n">
        <f aca="false">AB144+AB98+AB106+$E103*AB14</f>
        <v>1260.22265239478</v>
      </c>
      <c r="AC146" s="49" t="n">
        <f aca="false">AC144+AC98+AC106+$E103*AC14</f>
        <v>1284.50870774994</v>
      </c>
      <c r="AD146" s="49" t="n">
        <f aca="false">AD144+AD98+AD106+$E103*AD14</f>
        <v>1276.19342884433</v>
      </c>
      <c r="AE146" s="49" t="n">
        <f aca="false">AE144+AE98+AE106+$E103*AE14</f>
        <v>1209.93954768368</v>
      </c>
      <c r="AF146" s="49" t="n">
        <f aca="false">AF144+AF98+AF106+$E103*AF14</f>
        <v>1203.75679334384</v>
      </c>
      <c r="AG146" s="49" t="n">
        <f aca="false">AG144+AG98+AG106+$E103*AG14</f>
        <v>1226.50872956306</v>
      </c>
      <c r="AH146" s="49" t="n">
        <f aca="false">AH144+AH98+AH106+$E103*AH14</f>
        <v>1218.25798413776</v>
      </c>
      <c r="AI146" s="49" t="n">
        <f aca="false">AI144+AI98+AI106+$E103*AI14</f>
        <v>1183.13588852486</v>
      </c>
      <c r="AJ146" s="49" t="n">
        <f aca="false">AJ144+AJ98+AJ106+$E103*AJ14</f>
        <v>1234.10048988425</v>
      </c>
      <c r="AK146" s="49" t="n">
        <f aca="false">AK144+AK98+AK106+$E103*AK14</f>
        <v>1257.17977820856</v>
      </c>
      <c r="AL146" s="49" t="n">
        <f aca="false">AL144+AL98+AL106+$E103*AL14</f>
        <v>1248.8321566746</v>
      </c>
      <c r="AM146" s="49" t="n">
        <f aca="false">AM144+AM98+AM106+$E103*AM14</f>
        <v>1212.77708058549</v>
      </c>
      <c r="AN146" s="49" t="n">
        <f aca="false">AN144+AN98+AN106+$E103*AN14</f>
        <v>1235.88304770459</v>
      </c>
      <c r="AO146" s="49" t="n">
        <f aca="false">AO144+AO98+AO106+$E103*AO14</f>
        <v>1258.97551894932</v>
      </c>
      <c r="AP146" s="49" t="n">
        <f aca="false">AP144+AP98+AP106+$E103*AP14</f>
        <v>1250.52827068462</v>
      </c>
      <c r="AQ146" s="49" t="n">
        <f aca="false">AQ144+AQ98+AQ106+$E103*AQ14</f>
        <v>1214.15461394479</v>
      </c>
      <c r="AR146" s="49" t="n">
        <f aca="false">AR144+AR98+AR106+$E103*AR14</f>
        <v>1237.26977541795</v>
      </c>
      <c r="AS146" s="49" t="n">
        <f aca="false">AS144+AS98+AS106+$E103*AS14</f>
        <v>1260.37075346488</v>
      </c>
      <c r="AT146" s="49" t="n">
        <f aca="false">AT144+AT98+AT106+$E103*AT14</f>
        <v>1251.82099781918</v>
      </c>
      <c r="AU146" s="49" t="n">
        <f aca="false">AU144+AU98+AU106+$E103*AU14</f>
        <v>1239.43559260133</v>
      </c>
      <c r="AV146" s="49" t="n">
        <f aca="false">AV144+AV98+AV106+$E103*AV14</f>
        <v>1238.24311214761</v>
      </c>
      <c r="AW146" s="49" t="n">
        <f aca="false">AW144+AW98+AW106+$E103*AW14</f>
        <v>1261.3477112765</v>
      </c>
      <c r="AX146" s="49" t="n">
        <f aca="false">AX144+AX98+AX106+$E103*AX14</f>
        <v>1252.69243091587</v>
      </c>
      <c r="AY146" s="49" t="n">
        <f aca="false">AY144+AY98+AY106+$E103*AY14</f>
        <v>1215.66598024441</v>
      </c>
      <c r="AZ146" s="49" t="n">
        <f aca="false">AZ144+AZ98+AZ106+$E103*AZ14</f>
        <v>1238.78476160171</v>
      </c>
      <c r="BA146" s="49" t="n">
        <f aca="false">BA144+BA98+BA106+$E103*BA14</f>
        <v>1261.88787756186</v>
      </c>
      <c r="BB146" s="49" t="n">
        <f aca="false">BB144+BB98+BB106+$E103*BB14</f>
        <v>1253.12391147167</v>
      </c>
      <c r="BC146" s="49" t="n">
        <f aca="false">BC144+BC98+BC106+$E103*BC14</f>
        <v>1215.76289499648</v>
      </c>
      <c r="BD146" s="49" t="n">
        <f aca="false">BD144+BD98+BD106+$E103*BD14</f>
        <v>1238.87565914937</v>
      </c>
      <c r="BE146" s="49" t="n">
        <f aca="false">BE144+BE98+BE106+$E103*BE14</f>
        <v>1261.97195982618</v>
      </c>
      <c r="BF146" s="49" t="n">
        <f aca="false">BF144+BF98+BF106+$E103*BF14</f>
        <v>1253.09599595507</v>
      </c>
      <c r="BG146" s="49" t="n">
        <f aca="false">BG144+BG98+BG106+$E103*BG14</f>
        <v>1215.39471946384</v>
      </c>
      <c r="BH146" s="49" t="n">
        <f aca="false">BH144+BH98+BH106+$E103*BH14</f>
        <v>1238.49593733449</v>
      </c>
      <c r="BI146" s="49" t="n">
        <f aca="false">BI144+BI98+BI106+$E103*BI14</f>
        <v>1261.57985299172</v>
      </c>
      <c r="BJ146" s="49" t="n">
        <f aca="false">BJ144+BJ98+BJ106+$E103*BJ14</f>
        <v>1252.58842051819</v>
      </c>
      <c r="BK146" s="49" t="n">
        <f aca="false">BK144+BK98+BK106+$E103*BK14</f>
        <v>1239.07958419196</v>
      </c>
      <c r="BL146" s="49" t="n">
        <f aca="false">BL144+BL98+BL106+$E103*BL14</f>
        <v>1237.62488975063</v>
      </c>
      <c r="BM146" s="49" t="n">
        <f aca="false">BM144+BM98+BM106+$E103*BM14</f>
        <v>1260.69060282805</v>
      </c>
      <c r="BN146" s="49" t="n">
        <f aca="false">BN144+BN98+BN106+$E103*BN14</f>
        <v>1251.58006403042</v>
      </c>
      <c r="BO146" s="49" t="n">
        <f aca="false">BO144+BO98+BO106+$E103*BO14</f>
        <v>1213.18038869706</v>
      </c>
      <c r="BP146" s="49" t="n">
        <f aca="false">BP144+BP98+BP106+$E103*BP14</f>
        <v>1236.24093319633</v>
      </c>
      <c r="BQ146" s="49" t="n">
        <f aca="false">BQ144+BQ98+BQ106+$E103*BQ14</f>
        <v>1259.28236764135</v>
      </c>
      <c r="BR146" s="49" t="n">
        <f aca="false">BR144+BR98+BR106+$E103*BR14</f>
        <v>1250.04890935074</v>
      </c>
      <c r="BS146" s="49" t="n">
        <f aca="false">BS144+BS98+BS106+$E103*BS14</f>
        <v>1211.29067429273</v>
      </c>
      <c r="BT146" s="49" t="n">
        <f aca="false">BT144+BT98+BT106+$E103*BT14</f>
        <v>1234.32156802616</v>
      </c>
      <c r="BU146" s="49" t="n">
        <f aca="false">BU144+BU98+BU106+$E103*BU14</f>
        <v>1257.33237813718</v>
      </c>
      <c r="BV146" s="49" t="n">
        <f aca="false">BV144+BV98+BV106+$E103*BV14</f>
        <v>1247.97200275225</v>
      </c>
      <c r="BW146" s="49" t="n">
        <f aca="false">BW144+BW98+BW106+$E103*BW14</f>
        <v>1208.84867106156</v>
      </c>
      <c r="BX146" s="49" t="n">
        <f aca="false">BX144+BX98+BX106+$E103*BX14</f>
        <v>1231.84333660878</v>
      </c>
      <c r="BY146" s="49" t="n">
        <f aca="false">BY144+BY98+BY106+$E103*BY14</f>
        <v>1254.81689536668</v>
      </c>
      <c r="BZ146" s="49" t="n">
        <f aca="false">BZ144+BZ98+BZ106+$E103*BZ14</f>
        <v>1245.32541140771</v>
      </c>
      <c r="CA146" s="49" t="n">
        <f aca="false">CA144+CA98+CA106+$E103*CA14</f>
        <v>1230.55634634266</v>
      </c>
      <c r="CB146" s="49" t="n">
        <f aca="false">CB144+CB98+CB106+$E103*CB14</f>
        <v>1228.78177979858</v>
      </c>
      <c r="CC146" s="49" t="n">
        <f aca="false">CC144+CC98+CC106+$E103*CC14</f>
        <v>1251.71116666175</v>
      </c>
      <c r="CD146" s="49" t="n">
        <f aca="false">CD144+CD98+CD106+$E103*CD14</f>
        <v>1242.08417884053</v>
      </c>
      <c r="CE146" s="49" t="n">
        <f aca="false">CE144+CE98+CE106+$E103*CE14</f>
        <v>1202.21009103051</v>
      </c>
      <c r="CF146" s="49" t="n">
        <f aca="false">CF144+CF98+CF106+$E103*CF14</f>
        <v>1225.11139132295</v>
      </c>
      <c r="CG146" s="49" t="n">
        <f aca="false">CG144+CG98+CG106+$E103*CG14</f>
        <v>2280.4089790301</v>
      </c>
      <c r="CH146" s="49" t="n">
        <f aca="false">CH144+CH98+CH106+$E103*CH14</f>
        <v>2270.64187781084</v>
      </c>
      <c r="CI146" s="49" t="n">
        <f aca="false">CI144+CI98+CI106+$E103*CI14</f>
        <v>2232.31741356772</v>
      </c>
      <c r="CJ146" s="49" t="n">
        <f aca="false">CJ144+CJ98+CJ106+$E103*CJ14</f>
        <v>2257.12094038514</v>
      </c>
      <c r="CK146" s="49" t="n">
        <f aca="false">CK144+CK98+CK106+$E103*CK14</f>
        <v>2281.92446720256</v>
      </c>
      <c r="CL146" s="49" t="n">
        <f aca="false">CL144+CL98+CL106+$E103*CL14</f>
        <v>2274.02170776107</v>
      </c>
      <c r="CM146" s="49" t="n">
        <f aca="false">CM144+CM98+CM106+$E103*CM14</f>
        <v>2235.40215425159</v>
      </c>
      <c r="CN146" s="49" t="n">
        <f aca="false">CN144+CN98+CN106+$E103*CN14</f>
        <v>2260.2399559655</v>
      </c>
      <c r="CO146" s="49" t="n">
        <f aca="false">CO144+CO98+CO106+$E103*CO14</f>
        <v>2285.07775767941</v>
      </c>
      <c r="CP146" s="49" t="n">
        <f aca="false">CP144+CP98+CP106+$E103*CP14</f>
        <v>2277.12734251984</v>
      </c>
      <c r="CQ146" s="49" t="n">
        <f aca="false">CQ144+CQ98+CQ106+$E103*CQ14</f>
        <v>2263.07889541064</v>
      </c>
      <c r="CR146" s="49" t="n">
        <f aca="false">CR144+CR98+CR106+$E103*CR14</f>
        <v>2263.07889541064</v>
      </c>
      <c r="CS146" s="49" t="n">
        <f aca="false">CS144+CS98+CS106+$E103*CS14</f>
        <v>2287.94789426131</v>
      </c>
      <c r="CT146" s="49" t="n">
        <f aca="false">CT144+CT98+CT106+$E103*CT14</f>
        <v>2279.94971794918</v>
      </c>
      <c r="CU146" s="49" t="n">
        <f aca="false">CU144+CU98+CU106+$E103*CU14</f>
        <v>2240.73153719111</v>
      </c>
      <c r="CV146" s="49" t="n">
        <f aca="false">CV144+CV98+CV106+$E103*CV14</f>
        <v>2265.62855427102</v>
      </c>
      <c r="CW146" s="49" t="n">
        <f aca="false">CW144+CW98+CW106+$E103*CW14</f>
        <v>2290.52557135092</v>
      </c>
      <c r="CX146" s="49" t="n">
        <f aca="false">CX144+CX98+CX106+$E103*CX14</f>
        <v>2282.47953249614</v>
      </c>
      <c r="CY146" s="49" t="n">
        <f aca="false">CY144+CY98+CY106+$E103*CY14</f>
        <v>2242.9577346824</v>
      </c>
      <c r="CZ146" s="49" t="n">
        <f aca="false">CZ144+CZ98+CZ106+$E103*CZ14</f>
        <v>2267.87948728999</v>
      </c>
      <c r="DA146" s="49" t="n">
        <f aca="false">DA144+DA98+DA106+$E103*DA14</f>
        <v>2292.80123989757</v>
      </c>
      <c r="DB146" s="49" t="n">
        <f aca="false">DB144+DB98+DB106+$E103*DB14</f>
        <v>2127.75796595667</v>
      </c>
      <c r="DC146" s="49" t="n">
        <f aca="false">DC144+DC98+DC106+$E103*DC14</f>
        <v>2091.34156892558</v>
      </c>
      <c r="DD146" s="49" t="n">
        <f aca="false">DD144+DD98+DD106+$E103*DD14</f>
        <v>2114.5786974692</v>
      </c>
      <c r="DE146" s="49" t="n">
        <f aca="false">DE144+DE98+DE106+$E103*DE14</f>
        <v>2137.81582601281</v>
      </c>
      <c r="DF146" s="49" t="n">
        <f aca="false">DF144+DF98+DF106+$E103*DF14</f>
        <v>2129.67377475099</v>
      </c>
      <c r="DG146" s="49" t="n">
        <f aca="false">DG144+DG98+DG106+$E103*DG14</f>
        <v>2116.20284972323</v>
      </c>
      <c r="DH146" s="49" t="n">
        <f aca="false">DH144+DH98+DH106+$E103*DH14</f>
        <v>2116.20284972323</v>
      </c>
      <c r="DI146" s="49" t="n">
        <f aca="false">DI144+DI98+DI106+$E103*DI14</f>
        <v>2139.45782609381</v>
      </c>
      <c r="DJ146" s="49" t="n">
        <f aca="false">DJ144+DJ98+DJ106+$E103*DJ14</f>
        <v>2131.26763373715</v>
      </c>
      <c r="DK146" s="49" t="n">
        <f aca="false">DK144+DK98+DK106+$E103*DK14</f>
        <v>2094.22922134031</v>
      </c>
      <c r="DL146" s="49" t="n">
        <f aca="false">DL144+DL98+DL106+$E103*DL14</f>
        <v>2117.49843491076</v>
      </c>
      <c r="DM146" s="49" t="n">
        <f aca="false">DM144+DM98+DM106+$E103*DM14</f>
        <v>2140.76764848121</v>
      </c>
      <c r="DN146" s="49" t="n">
        <f aca="false">DN144+DN98+DN106+$E103*DN14</f>
        <v>2132.52923118543</v>
      </c>
      <c r="DO146" s="49" t="n">
        <f aca="false">DO144+DO98+DO106+$E103*DO14</f>
        <v>2095.17525809415</v>
      </c>
      <c r="DP146" s="49" t="n">
        <f aca="false">DP144+DP98+DP106+$E103*DP14</f>
        <v>2118.45498318408</v>
      </c>
      <c r="DQ146" s="49" t="n">
        <f aca="false">DQ144+DQ98+DQ106+$E103*DQ14</f>
        <v>2141.73470827402</v>
      </c>
      <c r="DR146" s="49" t="n">
        <f aca="false">DR144+DR98+DR106+$E103*DR14</f>
        <v>2133.4479869401</v>
      </c>
      <c r="DS146" s="49" t="n">
        <f aca="false">DS144+DS98+DS106+$E103*DS14</f>
        <v>2095.77535956</v>
      </c>
      <c r="DT146" s="49" t="n">
        <f aca="false">DT144+DT98+DT106+$E103*DT14</f>
        <v>2119.061752444</v>
      </c>
      <c r="DU146" s="49" t="n">
        <f aca="false">DU144+DU98+DU106+$E103*DU14</f>
        <v>2142.348145328</v>
      </c>
      <c r="DV146" s="49" t="n">
        <f aca="false">DV144+DV98+DV106+$E103*DV14</f>
        <v>2134.01304575269</v>
      </c>
      <c r="DW146" s="49" t="n">
        <f aca="false">DW144+DW98+DW106+$E103*DW14</f>
        <v>2119.30772157993</v>
      </c>
      <c r="DX146" s="49" t="n">
        <f aca="false">DX144+DX98+DX106+$E103*DX14</f>
        <v>2119.30772157993</v>
      </c>
      <c r="DY146" s="49" t="n">
        <f aca="false">DY144+DY98+DY106+$E103*DY14</f>
        <v>2142.59681742147</v>
      </c>
      <c r="DZ146" s="49" t="n">
        <f aca="false">DZ144+DZ98+DZ106+$E103*DZ14</f>
        <v>2134.2132704514</v>
      </c>
      <c r="EA146" s="49" t="n">
        <f aca="false">EA144+EA98+EA106+$E103*EA14</f>
        <v>2095.89387383467</v>
      </c>
      <c r="EB146" s="49" t="n">
        <f aca="false">EB144+EB98+EB106+$E103*EB14</f>
        <v>2119.18158354395</v>
      </c>
      <c r="EC146" s="49" t="n">
        <f aca="false">EC144+EC98+EC106+$E103*EC14</f>
        <v>2142.46929325322</v>
      </c>
      <c r="ED146" s="49" t="n">
        <f aca="false">ED144+ED98+ED106+$E103*ED14</f>
        <v>2134.03723494271</v>
      </c>
      <c r="EE146" s="49" t="n">
        <f aca="false">EE144+EE98+EE106+$E103*EE14</f>
        <v>2095.38963124086</v>
      </c>
      <c r="EF146" s="49" t="n">
        <f aca="false">EF144+EF98+EF106+$E103*EF14</f>
        <v>2118.67173825464</v>
      </c>
      <c r="EG146" s="49" t="n">
        <f aca="false">EG144+EG98+EG106+$E103*EG14</f>
        <v>2141.95384526843</v>
      </c>
      <c r="EH146" s="49" t="n">
        <f aca="false">EH144+EH98+EH106+$E103*EH14</f>
        <v>2133.4732170411</v>
      </c>
      <c r="EI146" s="49" t="n">
        <f aca="false">EI144+EI98+EI106+$E103*EI14</f>
        <v>2094.49412834513</v>
      </c>
      <c r="EJ146" s="49" t="n">
        <f aca="false">EJ144+EJ98+EJ106+$E103*EJ14</f>
        <v>2117.76628532674</v>
      </c>
      <c r="EK146" s="49" t="n">
        <f aca="false">EK144+EK98+EK106+$E103*EK14</f>
        <v>2141.03844230835</v>
      </c>
      <c r="EL146" s="49" t="n">
        <f aca="false">EL144+EL98+EL106+$E103*EL14</f>
        <v>2132.50919112262</v>
      </c>
      <c r="EM146" s="49" t="n">
        <f aca="false">EM144+EM98+EM106+$E103*EM14</f>
        <v>2116.45301662203</v>
      </c>
      <c r="EN146" s="49" t="n">
        <f aca="false">EN144+EN98+EN106+$E103*EN14</f>
        <v>2116.45301662203</v>
      </c>
      <c r="EO146" s="49" t="n">
        <f aca="false">EO144+EO98+EO106+$E103*EO14</f>
        <v>2139.71074207941</v>
      </c>
    </row>
    <row r="147" customFormat="false" ht="15" hidden="false" customHeight="false" outlineLevel="0" collapsed="false">
      <c r="C147" s="26" t="s">
        <v>527</v>
      </c>
      <c r="D147" s="12" t="s">
        <v>27</v>
      </c>
      <c r="E147" s="34" t="n">
        <f aca="false">XIRR(INDEX($J146:$EO146,$E15):$EO146,INDEX($J$4:$EO$4,$E15):$EO$4)</f>
        <v>0.0744377625136832</v>
      </c>
    </row>
    <row r="149" customFormat="false" ht="15" hidden="false" customHeight="false" outlineLevel="0" collapsed="false">
      <c r="A149" s="10" t="s">
        <v>13</v>
      </c>
      <c r="B149" s="10"/>
      <c r="C149" s="10" t="s">
        <v>528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</row>
    <row r="150" customFormat="false" ht="15" hidden="false" customHeight="false" outlineLevel="0" collapsed="false">
      <c r="C150" s="1" t="s">
        <v>529</v>
      </c>
      <c r="D150" s="12" t="s">
        <v>33</v>
      </c>
      <c r="I150" s="49" t="n">
        <f aca="false">SUM(J150:EO150)</f>
        <v>184642.353672183</v>
      </c>
      <c r="J150" s="49" t="n">
        <f aca="false">J63+J70+J83+J62+J117</f>
        <v>-4662.80993807469</v>
      </c>
      <c r="K150" s="49" t="n">
        <f aca="false">K63+K70+K83+K62+K117</f>
        <v>-706.535577057768</v>
      </c>
      <c r="L150" s="49" t="n">
        <f aca="false">L63+L70+L83+L62+L117</f>
        <v>-104.360496659404</v>
      </c>
      <c r="M150" s="49" t="n">
        <f aca="false">M63+M70+M83+M62+M117</f>
        <v>-105.507315304013</v>
      </c>
      <c r="N150" s="49" t="n">
        <f aca="false">N63+N70+N83+N62+N117</f>
        <v>-105.507315304013</v>
      </c>
      <c r="O150" s="49" t="n">
        <f aca="false">O63+O70+O83+O62+O117</f>
        <v>-104.360496659404</v>
      </c>
      <c r="P150" s="49" t="n">
        <f aca="false">P63+P70+P83+P62+P117</f>
        <v>-104.360496659404</v>
      </c>
      <c r="Q150" s="49" t="n">
        <f aca="false">Q63+Q70+Q83+Q62+Q117</f>
        <v>-105.507315304013</v>
      </c>
      <c r="R150" s="49" t="n">
        <f aca="false">R63+R70+R83+R62+R117</f>
        <v>-8231.1046832519</v>
      </c>
      <c r="S150" s="49" t="n">
        <f aca="false">S63+S70+S83+S62+S117</f>
        <v>-16208.0072938226</v>
      </c>
      <c r="T150" s="49" t="n">
        <f aca="false">T63+T70+T83+T62+T117</f>
        <v>-8142.66396695028</v>
      </c>
      <c r="U150" s="49" t="n">
        <f aca="false">U63+U70+U83+U62+U117</f>
        <v>-8232.14379076292</v>
      </c>
      <c r="V150" s="49" t="n">
        <f aca="false">V63+V70+V83+V62+V117</f>
        <v>-8232.14379076292</v>
      </c>
      <c r="W150" s="49" t="n">
        <f aca="false">W63+W70+W83+W62+W117</f>
        <v>-8054.22607431038</v>
      </c>
      <c r="X150" s="49" t="n">
        <f aca="false">X63+X70+X83+X62+X117</f>
        <v>-8143.71747513605</v>
      </c>
      <c r="Y150" s="49" t="n">
        <f aca="false">Y63+Y70+Y83+Y62+Y117</f>
        <v>-10733.2088759617</v>
      </c>
      <c r="Z150" s="49" t="n">
        <f aca="false">Z63+Z70+Z83+Z62+Z117</f>
        <v>2303.35715537998</v>
      </c>
      <c r="AA150" s="49" t="n">
        <f aca="false">AA63+AA70+AA83+AA62+AA117</f>
        <v>2268.35038320381</v>
      </c>
      <c r="AB150" s="49" t="n">
        <f aca="false">AB63+AB70+AB83+AB62+AB117</f>
        <v>2292.6422519649</v>
      </c>
      <c r="AC150" s="49" t="n">
        <f aca="false">AC63+AC70+AC83+AC62+AC117</f>
        <v>2316.92830732007</v>
      </c>
      <c r="AD150" s="49" t="n">
        <f aca="false">AD63+AD70+AD83+AD62+AD117</f>
        <v>2308.61302841445</v>
      </c>
      <c r="AE150" s="49" t="n">
        <f aca="false">AE63+AE70+AE83+AE62+AE117</f>
        <v>2242.35914725381</v>
      </c>
      <c r="AF150" s="49" t="n">
        <f aca="false">AF63+AF70+AF83+AF62+AF117</f>
        <v>2236.17639291396</v>
      </c>
      <c r="AG150" s="49" t="n">
        <f aca="false">AG63+AG70+AG83+AG62+AG117</f>
        <v>2258.92832913318</v>
      </c>
      <c r="AH150" s="49" t="n">
        <f aca="false">AH63+AH70+AH83+AH62+AH117</f>
        <v>2250.67758370789</v>
      </c>
      <c r="AI150" s="49" t="n">
        <f aca="false">AI63+AI70+AI83+AI62+AI117</f>
        <v>2215.55548809498</v>
      </c>
      <c r="AJ150" s="49" t="n">
        <f aca="false">AJ63+AJ70+AJ83+AJ62+AJ117</f>
        <v>2266.52008945437</v>
      </c>
      <c r="AK150" s="49" t="n">
        <f aca="false">AK63+AK70+AK83+AK62+AK117</f>
        <v>2289.59937777868</v>
      </c>
      <c r="AL150" s="49" t="n">
        <f aca="false">AL63+AL70+AL83+AL62+AL117</f>
        <v>2281.25175624472</v>
      </c>
      <c r="AM150" s="49" t="n">
        <f aca="false">AM63+AM70+AM83+AM62+AM117</f>
        <v>2245.19668015561</v>
      </c>
      <c r="AN150" s="49" t="n">
        <f aca="false">AN63+AN70+AN83+AN62+AN117</f>
        <v>2268.30264727472</v>
      </c>
      <c r="AO150" s="49" t="n">
        <f aca="false">AO63+AO70+AO83+AO62+AO117</f>
        <v>2291.39511851944</v>
      </c>
      <c r="AP150" s="49" t="n">
        <f aca="false">AP63+AP70+AP83+AP62+AP117</f>
        <v>2282.94787025475</v>
      </c>
      <c r="AQ150" s="49" t="n">
        <f aca="false">AQ63+AQ70+AQ83+AQ62+AQ117</f>
        <v>2246.57421351491</v>
      </c>
      <c r="AR150" s="49" t="n">
        <f aca="false">AR63+AR70+AR83+AR62+AR117</f>
        <v>2269.68937498808</v>
      </c>
      <c r="AS150" s="49" t="n">
        <f aca="false">AS63+AS70+AS83+AS62+AS117</f>
        <v>2292.790353035</v>
      </c>
      <c r="AT150" s="49" t="n">
        <f aca="false">AT63+AT70+AT83+AT62+AT117</f>
        <v>2284.24059738931</v>
      </c>
      <c r="AU150" s="49" t="n">
        <f aca="false">AU63+AU70+AU83+AU62+AU117</f>
        <v>2271.85519217145</v>
      </c>
      <c r="AV150" s="49" t="n">
        <f aca="false">AV63+AV70+AV83+AV62+AV117</f>
        <v>2270.66271171773</v>
      </c>
      <c r="AW150" s="49" t="n">
        <f aca="false">AW63+AW70+AW83+AW62+AW117</f>
        <v>2293.76731084662</v>
      </c>
      <c r="AX150" s="49" t="n">
        <f aca="false">AX63+AX70+AX83+AX62+AX117</f>
        <v>2285.112030486</v>
      </c>
      <c r="AY150" s="49" t="n">
        <f aca="false">AY63+AY70+AY83+AY62+AY117</f>
        <v>2248.08557981454</v>
      </c>
      <c r="AZ150" s="49" t="n">
        <f aca="false">AZ63+AZ70+AZ83+AZ62+AZ117</f>
        <v>2271.20436117184</v>
      </c>
      <c r="BA150" s="49" t="n">
        <f aca="false">BA63+BA70+BA83+BA62+BA117</f>
        <v>2294.30747713199</v>
      </c>
      <c r="BB150" s="49" t="n">
        <f aca="false">BB63+BB70+BB83+BB62+BB117</f>
        <v>2285.5435110418</v>
      </c>
      <c r="BC150" s="49" t="n">
        <f aca="false">BC63+BC70+BC83+BC62+BC117</f>
        <v>2248.1824945666</v>
      </c>
      <c r="BD150" s="49" t="n">
        <f aca="false">BD63+BD70+BD83+BD62+BD117</f>
        <v>2271.2952587195</v>
      </c>
      <c r="BE150" s="49" t="n">
        <f aca="false">BE63+BE70+BE83+BE62+BE117</f>
        <v>2294.3915593963</v>
      </c>
      <c r="BF150" s="49" t="n">
        <f aca="false">BF63+BF70+BF83+BF62+BF117</f>
        <v>2285.51559552519</v>
      </c>
      <c r="BG150" s="49" t="n">
        <f aca="false">BG63+BG70+BG83+BG62+BG117</f>
        <v>2247.81431903396</v>
      </c>
      <c r="BH150" s="49" t="n">
        <f aca="false">BH63+BH70+BH83+BH62+BH117</f>
        <v>2270.91553690461</v>
      </c>
      <c r="BI150" s="49" t="n">
        <f aca="false">BI63+BI70+BI83+BI62+BI117</f>
        <v>2293.99945256184</v>
      </c>
      <c r="BJ150" s="49" t="n">
        <f aca="false">BJ63+BJ70+BJ83+BJ62+BJ117</f>
        <v>2285.00802008832</v>
      </c>
      <c r="BK150" s="49" t="n">
        <f aca="false">BK63+BK70+BK83+BK62+BK117</f>
        <v>2271.49918376209</v>
      </c>
      <c r="BL150" s="49" t="n">
        <f aca="false">BL63+BL70+BL83+BL62+BL117</f>
        <v>2270.04448932076</v>
      </c>
      <c r="BM150" s="49" t="n">
        <f aca="false">BM63+BM70+BM83+BM62+BM117</f>
        <v>2293.11020239817</v>
      </c>
      <c r="BN150" s="49" t="n">
        <f aca="false">BN63+BN70+BN83+BN62+BN117</f>
        <v>2283.99966360055</v>
      </c>
      <c r="BO150" s="49" t="n">
        <f aca="false">BO63+BO70+BO83+BO62+BO117</f>
        <v>2245.59998826718</v>
      </c>
      <c r="BP150" s="49" t="n">
        <f aca="false">BP63+BP70+BP83+BP62+BP117</f>
        <v>2268.66053276645</v>
      </c>
      <c r="BQ150" s="49" t="n">
        <f aca="false">BQ63+BQ70+BQ83+BQ62+BQ117</f>
        <v>2291.70196721147</v>
      </c>
      <c r="BR150" s="49" t="n">
        <f aca="false">BR63+BR70+BR83+BR62+BR117</f>
        <v>2282.46850892087</v>
      </c>
      <c r="BS150" s="49" t="n">
        <f aca="false">BS63+BS70+BS83+BS62+BS117</f>
        <v>2243.71027386286</v>
      </c>
      <c r="BT150" s="49" t="n">
        <f aca="false">BT63+BT70+BT83+BT62+BT117</f>
        <v>2266.74116759628</v>
      </c>
      <c r="BU150" s="49" t="n">
        <f aca="false">BU63+BU70+BU83+BU62+BU117</f>
        <v>2289.75197770731</v>
      </c>
      <c r="BV150" s="49" t="n">
        <f aca="false">BV63+BV70+BV83+BV62+BV117</f>
        <v>2280.39160232237</v>
      </c>
      <c r="BW150" s="49" t="n">
        <f aca="false">BW63+BW70+BW83+BW62+BW117</f>
        <v>2241.26827063169</v>
      </c>
      <c r="BX150" s="49" t="n">
        <f aca="false">BX63+BX70+BX83+BX62+BX117</f>
        <v>2264.2629361789</v>
      </c>
      <c r="BY150" s="49" t="n">
        <f aca="false">BY63+BY70+BY83+BY62+BY117</f>
        <v>2287.23649493681</v>
      </c>
      <c r="BZ150" s="49" t="n">
        <f aca="false">BZ63+BZ70+BZ83+BZ62+BZ117</f>
        <v>2277.74501097784</v>
      </c>
      <c r="CA150" s="49" t="n">
        <f aca="false">CA63+CA70+CA83+CA62+CA117</f>
        <v>2262.97594591279</v>
      </c>
      <c r="CB150" s="49" t="n">
        <f aca="false">CB63+CB70+CB83+CB62+CB117</f>
        <v>2261.2013793687</v>
      </c>
      <c r="CC150" s="49" t="n">
        <f aca="false">CC63+CC70+CC83+CC62+CC117</f>
        <v>2284.13076623188</v>
      </c>
      <c r="CD150" s="49" t="n">
        <f aca="false">CD63+CD70+CD83+CD62+CD117</f>
        <v>2274.50377841065</v>
      </c>
      <c r="CE150" s="49" t="n">
        <f aca="false">CE63+CE70+CE83+CE62+CE117</f>
        <v>2234.62969060064</v>
      </c>
      <c r="CF150" s="49" t="n">
        <f aca="false">CF63+CF70+CF83+CF62+CF117</f>
        <v>2257.53099089308</v>
      </c>
      <c r="CG150" s="49" t="n">
        <f aca="false">CG63+CG70+CG83+CG62+CG117</f>
        <v>2280.40897903009</v>
      </c>
      <c r="CH150" s="49" t="n">
        <f aca="false">CH63+CH70+CH83+CH62+CH117</f>
        <v>2270.64187781084</v>
      </c>
      <c r="CI150" s="49" t="n">
        <f aca="false">CI63+CI70+CI83+CI62+CI117</f>
        <v>2232.31741356772</v>
      </c>
      <c r="CJ150" s="49" t="n">
        <f aca="false">CJ63+CJ70+CJ83+CJ62+CJ117</f>
        <v>2257.12094038514</v>
      </c>
      <c r="CK150" s="49" t="n">
        <f aca="false">CK63+CK70+CK83+CK62+CK117</f>
        <v>2281.92446720256</v>
      </c>
      <c r="CL150" s="49" t="n">
        <f aca="false">CL63+CL70+CL83+CL62+CL117</f>
        <v>2274.02170776107</v>
      </c>
      <c r="CM150" s="49" t="n">
        <f aca="false">CM63+CM70+CM83+CM62+CM117</f>
        <v>2235.40215425159</v>
      </c>
      <c r="CN150" s="49" t="n">
        <f aca="false">CN63+CN70+CN83+CN62+CN117</f>
        <v>2260.2399559655</v>
      </c>
      <c r="CO150" s="49" t="n">
        <f aca="false">CO63+CO70+CO83+CO62+CO117</f>
        <v>2285.07775767941</v>
      </c>
      <c r="CP150" s="49" t="n">
        <f aca="false">CP63+CP70+CP83+CP62+CP117</f>
        <v>2277.12734251984</v>
      </c>
      <c r="CQ150" s="49" t="n">
        <f aca="false">CQ63+CQ70+CQ83+CQ62+CQ117</f>
        <v>2263.07889541064</v>
      </c>
      <c r="CR150" s="49" t="n">
        <f aca="false">CR63+CR70+CR83+CR62+CR117</f>
        <v>2263.07889541064</v>
      </c>
      <c r="CS150" s="49" t="n">
        <f aca="false">CS63+CS70+CS83+CS62+CS117</f>
        <v>2287.94789426131</v>
      </c>
      <c r="CT150" s="49" t="n">
        <f aca="false">CT63+CT70+CT83+CT62+CT117</f>
        <v>2279.94971794918</v>
      </c>
      <c r="CU150" s="49" t="n">
        <f aca="false">CU63+CU70+CU83+CU62+CU117</f>
        <v>2240.73153719111</v>
      </c>
      <c r="CV150" s="49" t="n">
        <f aca="false">CV63+CV70+CV83+CV62+CV117</f>
        <v>2265.62855427102</v>
      </c>
      <c r="CW150" s="49" t="n">
        <f aca="false">CW63+CW70+CW83+CW62+CW117</f>
        <v>2290.52557135092</v>
      </c>
      <c r="CX150" s="49" t="n">
        <f aca="false">CX63+CX70+CX83+CX62+CX117</f>
        <v>2282.47953249614</v>
      </c>
      <c r="CY150" s="49" t="n">
        <f aca="false">CY63+CY70+CY83+CY62+CY117</f>
        <v>2242.9577346824</v>
      </c>
      <c r="CZ150" s="49" t="n">
        <f aca="false">CZ63+CZ70+CZ83+CZ62+CZ117</f>
        <v>2267.87948728999</v>
      </c>
      <c r="DA150" s="49" t="n">
        <f aca="false">DA63+DA70+DA83+DA62+DA117</f>
        <v>2292.80123989757</v>
      </c>
      <c r="DB150" s="49" t="n">
        <f aca="false">DB63+DB70+DB83+DB62+DB117</f>
        <v>2127.75796595667</v>
      </c>
      <c r="DC150" s="49" t="n">
        <f aca="false">DC63+DC70+DC83+DC62+DC117</f>
        <v>2091.34156892558</v>
      </c>
      <c r="DD150" s="49" t="n">
        <f aca="false">DD63+DD70+DD83+DD62+DD117</f>
        <v>2114.5786974692</v>
      </c>
      <c r="DE150" s="49" t="n">
        <f aca="false">DE63+DE70+DE83+DE62+DE117</f>
        <v>2137.81582601281</v>
      </c>
      <c r="DF150" s="49" t="n">
        <f aca="false">DF63+DF70+DF83+DF62+DF117</f>
        <v>2129.67377475099</v>
      </c>
      <c r="DG150" s="49" t="n">
        <f aca="false">DG63+DG70+DG83+DG62+DG117</f>
        <v>2116.20284972323</v>
      </c>
      <c r="DH150" s="49" t="n">
        <f aca="false">DH63+DH70+DH83+DH62+DH117</f>
        <v>2116.20284972323</v>
      </c>
      <c r="DI150" s="49" t="n">
        <f aca="false">DI63+DI70+DI83+DI62+DI117</f>
        <v>2139.45782609381</v>
      </c>
      <c r="DJ150" s="49" t="n">
        <f aca="false">DJ63+DJ70+DJ83+DJ62+DJ117</f>
        <v>2131.26763373715</v>
      </c>
      <c r="DK150" s="49" t="n">
        <f aca="false">DK63+DK70+DK83+DK62+DK117</f>
        <v>2094.22922134031</v>
      </c>
      <c r="DL150" s="49" t="n">
        <f aca="false">DL63+DL70+DL83+DL62+DL117</f>
        <v>2117.49843491076</v>
      </c>
      <c r="DM150" s="49" t="n">
        <f aca="false">DM63+DM70+DM83+DM62+DM117</f>
        <v>2140.76764848121</v>
      </c>
      <c r="DN150" s="49" t="n">
        <f aca="false">DN63+DN70+DN83+DN62+DN117</f>
        <v>2132.52923118543</v>
      </c>
      <c r="DO150" s="49" t="n">
        <f aca="false">DO63+DO70+DO83+DO62+DO117</f>
        <v>2095.17525809415</v>
      </c>
      <c r="DP150" s="49" t="n">
        <f aca="false">DP63+DP70+DP83+DP62+DP117</f>
        <v>2118.45498318408</v>
      </c>
      <c r="DQ150" s="49" t="n">
        <f aca="false">DQ63+DQ70+DQ83+DQ62+DQ117</f>
        <v>2141.73470827402</v>
      </c>
      <c r="DR150" s="49" t="n">
        <f aca="false">DR63+DR70+DR83+DR62+DR117</f>
        <v>2133.4479869401</v>
      </c>
      <c r="DS150" s="49" t="n">
        <f aca="false">DS63+DS70+DS83+DS62+DS117</f>
        <v>2095.77535956</v>
      </c>
      <c r="DT150" s="49" t="n">
        <f aca="false">DT63+DT70+DT83+DT62+DT117</f>
        <v>2119.061752444</v>
      </c>
      <c r="DU150" s="49" t="n">
        <f aca="false">DU63+DU70+DU83+DU62+DU117</f>
        <v>2142.348145328</v>
      </c>
      <c r="DV150" s="49" t="n">
        <f aca="false">DV63+DV70+DV83+DV62+DV117</f>
        <v>2134.01304575269</v>
      </c>
      <c r="DW150" s="49" t="n">
        <f aca="false">DW63+DW70+DW83+DW62+DW117</f>
        <v>2119.30772157993</v>
      </c>
      <c r="DX150" s="49" t="n">
        <f aca="false">DX63+DX70+DX83+DX62+DX117</f>
        <v>2119.30772157993</v>
      </c>
      <c r="DY150" s="49" t="n">
        <f aca="false">DY63+DY70+DY83+DY62+DY117</f>
        <v>2142.59681742147</v>
      </c>
      <c r="DZ150" s="49" t="n">
        <f aca="false">DZ63+DZ70+DZ83+DZ62+DZ117</f>
        <v>2134.2132704514</v>
      </c>
      <c r="EA150" s="49" t="n">
        <f aca="false">EA63+EA70+EA83+EA62+EA117</f>
        <v>2095.89387383467</v>
      </c>
      <c r="EB150" s="49" t="n">
        <f aca="false">EB63+EB70+EB83+EB62+EB117</f>
        <v>2119.18158354395</v>
      </c>
      <c r="EC150" s="49" t="n">
        <f aca="false">EC63+EC70+EC83+EC62+EC117</f>
        <v>2142.46929325322</v>
      </c>
      <c r="ED150" s="49" t="n">
        <f aca="false">ED63+ED70+ED83+ED62+ED117</f>
        <v>2134.03723494271</v>
      </c>
      <c r="EE150" s="49" t="n">
        <f aca="false">EE63+EE70+EE83+EE62+EE117</f>
        <v>2095.38963124086</v>
      </c>
      <c r="EF150" s="49" t="n">
        <f aca="false">EF63+EF70+EF83+EF62+EF117</f>
        <v>2118.67173825464</v>
      </c>
      <c r="EG150" s="49" t="n">
        <f aca="false">EG63+EG70+EG83+EG62+EG117</f>
        <v>2141.95384526843</v>
      </c>
      <c r="EH150" s="49" t="n">
        <f aca="false">EH63+EH70+EH83+EH62+EH117</f>
        <v>2133.4732170411</v>
      </c>
      <c r="EI150" s="49" t="n">
        <f aca="false">EI63+EI70+EI83+EI62+EI117</f>
        <v>2094.49412834513</v>
      </c>
      <c r="EJ150" s="49" t="n">
        <f aca="false">EJ63+EJ70+EJ83+EJ62+EJ117</f>
        <v>2117.76628532674</v>
      </c>
      <c r="EK150" s="49" t="n">
        <f aca="false">EK63+EK70+EK83+EK62+EK117</f>
        <v>2141.03844230835</v>
      </c>
      <c r="EL150" s="49" t="n">
        <f aca="false">EL63+EL70+EL83+EL62+EL117</f>
        <v>2132.50919112262</v>
      </c>
      <c r="EM150" s="49" t="n">
        <f aca="false">EM63+EM70+EM83+EM62+EM117</f>
        <v>2116.45301662203</v>
      </c>
      <c r="EN150" s="49" t="n">
        <f aca="false">EN63+EN70+EN83+EN62+EN117</f>
        <v>2116.45301662203</v>
      </c>
      <c r="EO150" s="49" t="n">
        <f aca="false">EO63+EO70+EO83+EO62+EO117</f>
        <v>2139.71074207941</v>
      </c>
    </row>
    <row r="151" customFormat="false" ht="15" hidden="false" customHeight="false" outlineLevel="0" collapsed="false">
      <c r="C151" s="26" t="s">
        <v>94</v>
      </c>
      <c r="D151" s="12" t="s">
        <v>27</v>
      </c>
      <c r="E151" s="34" t="n">
        <f aca="false">XIRR($J150:$EO150,$J$4:$EO$4)</f>
        <v>0.0959991268999354</v>
      </c>
    </row>
    <row r="152" customFormat="false" ht="15" hidden="false" customHeight="false" outlineLevel="0" collapsed="false">
      <c r="C152" s="26" t="s">
        <v>530</v>
      </c>
      <c r="D152" s="12" t="s">
        <v>33</v>
      </c>
      <c r="I152" s="58" t="n">
        <f aca="false">SUM(J152:EO152)</f>
        <v>162986.544729022</v>
      </c>
      <c r="J152" s="58" t="n">
        <f aca="false">J63+J70+J100+J104+J105+J83+J98+J106+J62+J117</f>
        <v>-4662.80993807469</v>
      </c>
      <c r="K152" s="58" t="n">
        <f aca="false">K63+K70+K100+K104+K105+K83+K98+K106+K62+K117</f>
        <v>-706.535577057768</v>
      </c>
      <c r="L152" s="58" t="n">
        <f aca="false">L63+L70+L100+L104+L105+L83+L98+L106+L62+L117</f>
        <v>-104.360496659404</v>
      </c>
      <c r="M152" s="58" t="n">
        <f aca="false">M63+M70+M100+M104+M105+M83+M98+M106+M62+M117</f>
        <v>-105.507315304013</v>
      </c>
      <c r="N152" s="58" t="n">
        <f aca="false">N63+N70+N100+N104+N105+N83+N98+N106+N62+N117</f>
        <v>-105.507315304013</v>
      </c>
      <c r="O152" s="58" t="n">
        <f aca="false">O63+O70+O100+O104+O105+O83+O98+O106+O62+O117</f>
        <v>-104.360496659404</v>
      </c>
      <c r="P152" s="58" t="n">
        <f aca="false">P63+P70+P100+P104+P105+P83+P98+P106+P62+P117</f>
        <v>-104.360496659404</v>
      </c>
      <c r="Q152" s="58" t="n">
        <f aca="false">Q63+Q70+Q100+Q104+Q105+Q83+Q98+Q106+Q62+Q117</f>
        <v>-105.507315304013</v>
      </c>
      <c r="R152" s="58" t="n">
        <f aca="false">R63+R70+R100+R104+R105+R83+R98+R106+R62+R117</f>
        <v>-4598.78508914336</v>
      </c>
      <c r="S152" s="58" t="n">
        <f aca="false">S63+S70+S100+S104+S105+S83+S98+S106+S62+S117</f>
        <v>-7416.60009090345</v>
      </c>
      <c r="T152" s="58" t="n">
        <f aca="false">T63+T70+T100+T104+T105+T83+T98+T106+T62+T117</f>
        <v>-3768.65166995178</v>
      </c>
      <c r="U152" s="58" t="n">
        <f aca="false">U63+U70+U100+U104+U105+U83+U98+U106+U62+U117</f>
        <v>-3800.0000014</v>
      </c>
      <c r="V152" s="58" t="n">
        <f aca="false">V63+V70+V100+V104+V105+V83+V98+V106+V62+V117</f>
        <v>-3789.82396918758</v>
      </c>
      <c r="W152" s="58" t="n">
        <f aca="false">W63+W70+W100+W104+W105+W83+W98+W106+W62+W117</f>
        <v>-3698.52360864843</v>
      </c>
      <c r="X152" s="58" t="n">
        <f aca="false">X63+X70+X100+X104+X105+X83+X98+X106+X62+X117</f>
        <v>-3729.77170579166</v>
      </c>
      <c r="Y152" s="58" t="n">
        <f aca="false">Y63+Y70+Y100+Y104+Y105+Y83+Y98+Y106+Y62+Y117</f>
        <v>-5918.1123844566</v>
      </c>
      <c r="Z152" s="58" t="n">
        <f aca="false">Z63+Z70+Z100+Z104+Z105+Z83+Z98+Z106+Z62+Z117</f>
        <v>1270.93755580986</v>
      </c>
      <c r="AA152" s="58" t="n">
        <f aca="false">AA63+AA70+AA100+AA104+AA105+AA83+AA98+AA106+AA62+AA117</f>
        <v>1235.93078363369</v>
      </c>
      <c r="AB152" s="58" t="n">
        <f aca="false">AB63+AB70+AB100+AB104+AB105+AB83+AB98+AB106+AB62+AB117</f>
        <v>1260.22265239478</v>
      </c>
      <c r="AC152" s="58" t="n">
        <f aca="false">AC63+AC70+AC100+AC104+AC105+AC83+AC98+AC106+AC62+AC117</f>
        <v>1284.50870774994</v>
      </c>
      <c r="AD152" s="58" t="n">
        <f aca="false">AD63+AD70+AD100+AD104+AD105+AD83+AD98+AD106+AD62+AD117</f>
        <v>1276.19342884433</v>
      </c>
      <c r="AE152" s="58" t="n">
        <f aca="false">AE63+AE70+AE100+AE104+AE105+AE83+AE98+AE106+AE62+AE117</f>
        <v>1209.93954768368</v>
      </c>
      <c r="AF152" s="58" t="n">
        <f aca="false">AF63+AF70+AF100+AF104+AF105+AF83+AF98+AF106+AF62+AF117</f>
        <v>1203.75679334384</v>
      </c>
      <c r="AG152" s="58" t="n">
        <f aca="false">AG63+AG70+AG100+AG104+AG105+AG83+AG98+AG106+AG62+AG117</f>
        <v>1226.50872956306</v>
      </c>
      <c r="AH152" s="58" t="n">
        <f aca="false">AH63+AH70+AH100+AH104+AH105+AH83+AH98+AH106+AH62+AH117</f>
        <v>1218.25798413776</v>
      </c>
      <c r="AI152" s="58" t="n">
        <f aca="false">AI63+AI70+AI100+AI104+AI105+AI83+AI98+AI106+AI62+AI117</f>
        <v>1183.13588852486</v>
      </c>
      <c r="AJ152" s="58" t="n">
        <f aca="false">AJ63+AJ70+AJ100+AJ104+AJ105+AJ83+AJ98+AJ106+AJ62+AJ117</f>
        <v>1234.10048988425</v>
      </c>
      <c r="AK152" s="58" t="n">
        <f aca="false">AK63+AK70+AK100+AK104+AK105+AK83+AK98+AK106+AK62+AK117</f>
        <v>1257.17977820856</v>
      </c>
      <c r="AL152" s="58" t="n">
        <f aca="false">AL63+AL70+AL100+AL104+AL105+AL83+AL98+AL106+AL62+AL117</f>
        <v>1248.8321566746</v>
      </c>
      <c r="AM152" s="58" t="n">
        <f aca="false">AM63+AM70+AM100+AM104+AM105+AM83+AM98+AM106+AM62+AM117</f>
        <v>1212.77708058549</v>
      </c>
      <c r="AN152" s="58" t="n">
        <f aca="false">AN63+AN70+AN100+AN104+AN105+AN83+AN98+AN106+AN62+AN117</f>
        <v>1235.88304770459</v>
      </c>
      <c r="AO152" s="58" t="n">
        <f aca="false">AO63+AO70+AO100+AO104+AO105+AO83+AO98+AO106+AO62+AO117</f>
        <v>1258.97551894932</v>
      </c>
      <c r="AP152" s="58" t="n">
        <f aca="false">AP63+AP70+AP100+AP104+AP105+AP83+AP98+AP106+AP62+AP117</f>
        <v>1250.52827068462</v>
      </c>
      <c r="AQ152" s="58" t="n">
        <f aca="false">AQ63+AQ70+AQ100+AQ104+AQ105+AQ83+AQ98+AQ106+AQ62+AQ117</f>
        <v>1214.15461394479</v>
      </c>
      <c r="AR152" s="58" t="n">
        <f aca="false">AR63+AR70+AR100+AR104+AR105+AR83+AR98+AR106+AR62+AR117</f>
        <v>1237.26977541795</v>
      </c>
      <c r="AS152" s="58" t="n">
        <f aca="false">AS63+AS70+AS100+AS104+AS105+AS83+AS98+AS106+AS62+AS117</f>
        <v>1260.37075346488</v>
      </c>
      <c r="AT152" s="58" t="n">
        <f aca="false">AT63+AT70+AT100+AT104+AT105+AT83+AT98+AT106+AT62+AT117</f>
        <v>1251.82099781918</v>
      </c>
      <c r="AU152" s="58" t="n">
        <f aca="false">AU63+AU70+AU100+AU104+AU105+AU83+AU98+AU106+AU62+AU117</f>
        <v>1239.43559260133</v>
      </c>
      <c r="AV152" s="58" t="n">
        <f aca="false">AV63+AV70+AV100+AV104+AV105+AV83+AV98+AV106+AV62+AV117</f>
        <v>1238.24311214761</v>
      </c>
      <c r="AW152" s="58" t="n">
        <f aca="false">AW63+AW70+AW100+AW104+AW105+AW83+AW98+AW106+AW62+AW117</f>
        <v>1261.3477112765</v>
      </c>
      <c r="AX152" s="58" t="n">
        <f aca="false">AX63+AX70+AX100+AX104+AX105+AX83+AX98+AX106+AX62+AX117</f>
        <v>1252.69243091587</v>
      </c>
      <c r="AY152" s="58" t="n">
        <f aca="false">AY63+AY70+AY100+AY104+AY105+AY83+AY98+AY106+AY62+AY117</f>
        <v>1215.66598024441</v>
      </c>
      <c r="AZ152" s="58" t="n">
        <f aca="false">AZ63+AZ70+AZ100+AZ104+AZ105+AZ83+AZ98+AZ106+AZ62+AZ117</f>
        <v>1238.78476160171</v>
      </c>
      <c r="BA152" s="58" t="n">
        <f aca="false">BA63+BA70+BA100+BA104+BA105+BA83+BA98+BA106+BA62+BA117</f>
        <v>1261.88787756186</v>
      </c>
      <c r="BB152" s="58" t="n">
        <f aca="false">BB63+BB70+BB100+BB104+BB105+BB83+BB98+BB106+BB62+BB117</f>
        <v>1253.12391147167</v>
      </c>
      <c r="BC152" s="58" t="n">
        <f aca="false">BC63+BC70+BC100+BC104+BC105+BC83+BC98+BC106+BC62+BC117</f>
        <v>1215.76289499648</v>
      </c>
      <c r="BD152" s="58" t="n">
        <f aca="false">BD63+BD70+BD100+BD104+BD105+BD83+BD98+BD106+BD62+BD117</f>
        <v>1238.87565914937</v>
      </c>
      <c r="BE152" s="58" t="n">
        <f aca="false">BE63+BE70+BE100+BE104+BE105+BE83+BE98+BE106+BE62+BE117</f>
        <v>1261.97195982618</v>
      </c>
      <c r="BF152" s="58" t="n">
        <f aca="false">BF63+BF70+BF100+BF104+BF105+BF83+BF98+BF106+BF62+BF117</f>
        <v>1253.09599595507</v>
      </c>
      <c r="BG152" s="58" t="n">
        <f aca="false">BG63+BG70+BG100+BG104+BG105+BG83+BG98+BG106+BG62+BG117</f>
        <v>1215.39471946384</v>
      </c>
      <c r="BH152" s="58" t="n">
        <f aca="false">BH63+BH70+BH100+BH104+BH105+BH83+BH98+BH106+BH62+BH117</f>
        <v>1238.49593733449</v>
      </c>
      <c r="BI152" s="58" t="n">
        <f aca="false">BI63+BI70+BI100+BI104+BI105+BI83+BI98+BI106+BI62+BI117</f>
        <v>1261.57985299172</v>
      </c>
      <c r="BJ152" s="58" t="n">
        <f aca="false">BJ63+BJ70+BJ100+BJ104+BJ105+BJ83+BJ98+BJ106+BJ62+BJ117</f>
        <v>1252.58842051819</v>
      </c>
      <c r="BK152" s="58" t="n">
        <f aca="false">BK63+BK70+BK100+BK104+BK105+BK83+BK98+BK106+BK62+BK117</f>
        <v>1239.07958419196</v>
      </c>
      <c r="BL152" s="58" t="n">
        <f aca="false">BL63+BL70+BL100+BL104+BL105+BL83+BL98+BL106+BL62+BL117</f>
        <v>1237.62488975063</v>
      </c>
      <c r="BM152" s="58" t="n">
        <f aca="false">BM63+BM70+BM100+BM104+BM105+BM83+BM98+BM106+BM62+BM117</f>
        <v>1260.69060282805</v>
      </c>
      <c r="BN152" s="58" t="n">
        <f aca="false">BN63+BN70+BN100+BN104+BN105+BN83+BN98+BN106+BN62+BN117</f>
        <v>1251.58006403042</v>
      </c>
      <c r="BO152" s="58" t="n">
        <f aca="false">BO63+BO70+BO100+BO104+BO105+BO83+BO98+BO106+BO62+BO117</f>
        <v>1213.18038869706</v>
      </c>
      <c r="BP152" s="58" t="n">
        <f aca="false">BP63+BP70+BP100+BP104+BP105+BP83+BP98+BP106+BP62+BP117</f>
        <v>1236.24093319633</v>
      </c>
      <c r="BQ152" s="58" t="n">
        <f aca="false">BQ63+BQ70+BQ100+BQ104+BQ105+BQ83+BQ98+BQ106+BQ62+BQ117</f>
        <v>1259.28236764135</v>
      </c>
      <c r="BR152" s="58" t="n">
        <f aca="false">BR63+BR70+BR100+BR104+BR105+BR83+BR98+BR106+BR62+BR117</f>
        <v>1250.04890935074</v>
      </c>
      <c r="BS152" s="58" t="n">
        <f aca="false">BS63+BS70+BS100+BS104+BS105+BS83+BS98+BS106+BS62+BS117</f>
        <v>1211.29067429273</v>
      </c>
      <c r="BT152" s="58" t="n">
        <f aca="false">BT63+BT70+BT100+BT104+BT105+BT83+BT98+BT106+BT62+BT117</f>
        <v>1234.32156802616</v>
      </c>
      <c r="BU152" s="58" t="n">
        <f aca="false">BU63+BU70+BU100+BU104+BU105+BU83+BU98+BU106+BU62+BU117</f>
        <v>1257.33237813718</v>
      </c>
      <c r="BV152" s="58" t="n">
        <f aca="false">BV63+BV70+BV100+BV104+BV105+BV83+BV98+BV106+BV62+BV117</f>
        <v>1247.97200275225</v>
      </c>
      <c r="BW152" s="58" t="n">
        <f aca="false">BW63+BW70+BW100+BW104+BW105+BW83+BW98+BW106+BW62+BW117</f>
        <v>1208.84867106156</v>
      </c>
      <c r="BX152" s="58" t="n">
        <f aca="false">BX63+BX70+BX100+BX104+BX105+BX83+BX98+BX106+BX62+BX117</f>
        <v>1231.84333660878</v>
      </c>
      <c r="BY152" s="58" t="n">
        <f aca="false">BY63+BY70+BY100+BY104+BY105+BY83+BY98+BY106+BY62+BY117</f>
        <v>1254.81689536668</v>
      </c>
      <c r="BZ152" s="58" t="n">
        <f aca="false">BZ63+BZ70+BZ100+BZ104+BZ105+BZ83+BZ98+BZ106+BZ62+BZ117</f>
        <v>1245.32541140772</v>
      </c>
      <c r="CA152" s="58" t="n">
        <f aca="false">CA63+CA70+CA100+CA104+CA105+CA83+CA98+CA106+CA62+CA117</f>
        <v>1230.55634634266</v>
      </c>
      <c r="CB152" s="58" t="n">
        <f aca="false">CB63+CB70+CB100+CB104+CB105+CB83+CB98+CB106+CB62+CB117</f>
        <v>1228.78177979858</v>
      </c>
      <c r="CC152" s="58" t="n">
        <f aca="false">CC63+CC70+CC100+CC104+CC105+CC83+CC98+CC106+CC62+CC117</f>
        <v>1251.71116666175</v>
      </c>
      <c r="CD152" s="58" t="n">
        <f aca="false">CD63+CD70+CD100+CD104+CD105+CD83+CD98+CD106+CD62+CD117</f>
        <v>1242.08417884053</v>
      </c>
      <c r="CE152" s="58" t="n">
        <f aca="false">CE63+CE70+CE100+CE104+CE105+CE83+CE98+CE106+CE62+CE117</f>
        <v>1202.21009103051</v>
      </c>
      <c r="CF152" s="58" t="n">
        <f aca="false">CF63+CF70+CF100+CF104+CF105+CF83+CF98+CF106+CF62+CF117</f>
        <v>1225.11139132295</v>
      </c>
      <c r="CG152" s="58" t="n">
        <f aca="false">CG63+CG70+CG100+CG104+CG105+CG83+CG98+CG106+CG62+CG117</f>
        <v>2280.4089790301</v>
      </c>
      <c r="CH152" s="58" t="n">
        <f aca="false">CH63+CH70+CH100+CH104+CH105+CH83+CH98+CH106+CH62+CH117</f>
        <v>2270.64187781084</v>
      </c>
      <c r="CI152" s="58" t="n">
        <f aca="false">CI63+CI70+CI100+CI104+CI105+CI83+CI98+CI106+CI62+CI117</f>
        <v>2232.31741356772</v>
      </c>
      <c r="CJ152" s="58" t="n">
        <f aca="false">CJ63+CJ70+CJ100+CJ104+CJ105+CJ83+CJ98+CJ106+CJ62+CJ117</f>
        <v>2257.12094038514</v>
      </c>
      <c r="CK152" s="58" t="n">
        <f aca="false">CK63+CK70+CK100+CK104+CK105+CK83+CK98+CK106+CK62+CK117</f>
        <v>2281.92446720256</v>
      </c>
      <c r="CL152" s="58" t="n">
        <f aca="false">CL63+CL70+CL100+CL104+CL105+CL83+CL98+CL106+CL62+CL117</f>
        <v>2274.02170776107</v>
      </c>
      <c r="CM152" s="58" t="n">
        <f aca="false">CM63+CM70+CM100+CM104+CM105+CM83+CM98+CM106+CM62+CM117</f>
        <v>2235.40215425159</v>
      </c>
      <c r="CN152" s="58" t="n">
        <f aca="false">CN63+CN70+CN100+CN104+CN105+CN83+CN98+CN106+CN62+CN117</f>
        <v>2260.2399559655</v>
      </c>
      <c r="CO152" s="58" t="n">
        <f aca="false">CO63+CO70+CO100+CO104+CO105+CO83+CO98+CO106+CO62+CO117</f>
        <v>2285.07775767941</v>
      </c>
      <c r="CP152" s="58" t="n">
        <f aca="false">CP63+CP70+CP100+CP104+CP105+CP83+CP98+CP106+CP62+CP117</f>
        <v>2277.12734251984</v>
      </c>
      <c r="CQ152" s="58" t="n">
        <f aca="false">CQ63+CQ70+CQ100+CQ104+CQ105+CQ83+CQ98+CQ106+CQ62+CQ117</f>
        <v>2263.07889541064</v>
      </c>
      <c r="CR152" s="58" t="n">
        <f aca="false">CR63+CR70+CR100+CR104+CR105+CR83+CR98+CR106+CR62+CR117</f>
        <v>2263.07889541064</v>
      </c>
      <c r="CS152" s="58" t="n">
        <f aca="false">CS63+CS70+CS100+CS104+CS105+CS83+CS98+CS106+CS62+CS117</f>
        <v>2287.94789426131</v>
      </c>
      <c r="CT152" s="58" t="n">
        <f aca="false">CT63+CT70+CT100+CT104+CT105+CT83+CT98+CT106+CT62+CT117</f>
        <v>2279.94971794918</v>
      </c>
      <c r="CU152" s="58" t="n">
        <f aca="false">CU63+CU70+CU100+CU104+CU105+CU83+CU98+CU106+CU62+CU117</f>
        <v>2240.73153719111</v>
      </c>
      <c r="CV152" s="58" t="n">
        <f aca="false">CV63+CV70+CV100+CV104+CV105+CV83+CV98+CV106+CV62+CV117</f>
        <v>2265.62855427102</v>
      </c>
      <c r="CW152" s="58" t="n">
        <f aca="false">CW63+CW70+CW100+CW104+CW105+CW83+CW98+CW106+CW62+CW117</f>
        <v>2290.52557135092</v>
      </c>
      <c r="CX152" s="58" t="n">
        <f aca="false">CX63+CX70+CX100+CX104+CX105+CX83+CX98+CX106+CX62+CX117</f>
        <v>2282.47953249614</v>
      </c>
      <c r="CY152" s="58" t="n">
        <f aca="false">CY63+CY70+CY100+CY104+CY105+CY83+CY98+CY106+CY62+CY117</f>
        <v>2242.9577346824</v>
      </c>
      <c r="CZ152" s="58" t="n">
        <f aca="false">CZ63+CZ70+CZ100+CZ104+CZ105+CZ83+CZ98+CZ106+CZ62+CZ117</f>
        <v>2267.87948728999</v>
      </c>
      <c r="DA152" s="58" t="n">
        <f aca="false">DA63+DA70+DA100+DA104+DA105+DA83+DA98+DA106+DA62+DA117</f>
        <v>2292.80123989757</v>
      </c>
      <c r="DB152" s="58" t="n">
        <f aca="false">DB63+DB70+DB100+DB104+DB105+DB83+DB98+DB106+DB62+DB117</f>
        <v>2127.75796595667</v>
      </c>
      <c r="DC152" s="58" t="n">
        <f aca="false">DC63+DC70+DC100+DC104+DC105+DC83+DC98+DC106+DC62+DC117</f>
        <v>2091.34156892558</v>
      </c>
      <c r="DD152" s="58" t="n">
        <f aca="false">DD63+DD70+DD100+DD104+DD105+DD83+DD98+DD106+DD62+DD117</f>
        <v>2114.5786974692</v>
      </c>
      <c r="DE152" s="58" t="n">
        <f aca="false">DE63+DE70+DE100+DE104+DE105+DE83+DE98+DE106+DE62+DE117</f>
        <v>2137.81582601281</v>
      </c>
      <c r="DF152" s="58" t="n">
        <f aca="false">DF63+DF70+DF100+DF104+DF105+DF83+DF98+DF106+DF62+DF117</f>
        <v>2129.67377475099</v>
      </c>
      <c r="DG152" s="58" t="n">
        <f aca="false">DG63+DG70+DG100+DG104+DG105+DG83+DG98+DG106+DG62+DG117</f>
        <v>2116.20284972323</v>
      </c>
      <c r="DH152" s="58" t="n">
        <f aca="false">DH63+DH70+DH100+DH104+DH105+DH83+DH98+DH106+DH62+DH117</f>
        <v>2116.20284972323</v>
      </c>
      <c r="DI152" s="58" t="n">
        <f aca="false">DI63+DI70+DI100+DI104+DI105+DI83+DI98+DI106+DI62+DI117</f>
        <v>2139.45782609381</v>
      </c>
      <c r="DJ152" s="58" t="n">
        <f aca="false">DJ63+DJ70+DJ100+DJ104+DJ105+DJ83+DJ98+DJ106+DJ62+DJ117</f>
        <v>2131.26763373715</v>
      </c>
      <c r="DK152" s="58" t="n">
        <f aca="false">DK63+DK70+DK100+DK104+DK105+DK83+DK98+DK106+DK62+DK117</f>
        <v>2094.22922134031</v>
      </c>
      <c r="DL152" s="58" t="n">
        <f aca="false">DL63+DL70+DL100+DL104+DL105+DL83+DL98+DL106+DL62+DL117</f>
        <v>2117.49843491076</v>
      </c>
      <c r="DM152" s="58" t="n">
        <f aca="false">DM63+DM70+DM100+DM104+DM105+DM83+DM98+DM106+DM62+DM117</f>
        <v>2140.76764848121</v>
      </c>
      <c r="DN152" s="58" t="n">
        <f aca="false">DN63+DN70+DN100+DN104+DN105+DN83+DN98+DN106+DN62+DN117</f>
        <v>2132.52923118543</v>
      </c>
      <c r="DO152" s="58" t="n">
        <f aca="false">DO63+DO70+DO100+DO104+DO105+DO83+DO98+DO106+DO62+DO117</f>
        <v>2095.17525809415</v>
      </c>
      <c r="DP152" s="58" t="n">
        <f aca="false">DP63+DP70+DP100+DP104+DP105+DP83+DP98+DP106+DP62+DP117</f>
        <v>2118.45498318408</v>
      </c>
      <c r="DQ152" s="58" t="n">
        <f aca="false">DQ63+DQ70+DQ100+DQ104+DQ105+DQ83+DQ98+DQ106+DQ62+DQ117</f>
        <v>2141.73470827402</v>
      </c>
      <c r="DR152" s="58" t="n">
        <f aca="false">DR63+DR70+DR100+DR104+DR105+DR83+DR98+DR106+DR62+DR117</f>
        <v>2133.4479869401</v>
      </c>
      <c r="DS152" s="58" t="n">
        <f aca="false">DS63+DS70+DS100+DS104+DS105+DS83+DS98+DS106+DS62+DS117</f>
        <v>2095.77535956</v>
      </c>
      <c r="DT152" s="58" t="n">
        <f aca="false">DT63+DT70+DT100+DT104+DT105+DT83+DT98+DT106+DT62+DT117</f>
        <v>2119.061752444</v>
      </c>
      <c r="DU152" s="58" t="n">
        <f aca="false">DU63+DU70+DU100+DU104+DU105+DU83+DU98+DU106+DU62+DU117</f>
        <v>2142.348145328</v>
      </c>
      <c r="DV152" s="58" t="n">
        <f aca="false">DV63+DV70+DV100+DV104+DV105+DV83+DV98+DV106+DV62+DV117</f>
        <v>2134.01304575269</v>
      </c>
      <c r="DW152" s="58" t="n">
        <f aca="false">DW63+DW70+DW100+DW104+DW105+DW83+DW98+DW106+DW62+DW117</f>
        <v>2119.30772157993</v>
      </c>
      <c r="DX152" s="58" t="n">
        <f aca="false">DX63+DX70+DX100+DX104+DX105+DX83+DX98+DX106+DX62+DX117</f>
        <v>2119.30772157993</v>
      </c>
      <c r="DY152" s="58" t="n">
        <f aca="false">DY63+DY70+DY100+DY104+DY105+DY83+DY98+DY106+DY62+DY117</f>
        <v>2142.59681742147</v>
      </c>
      <c r="DZ152" s="58" t="n">
        <f aca="false">DZ63+DZ70+DZ100+DZ104+DZ105+DZ83+DZ98+DZ106+DZ62+DZ117</f>
        <v>2134.2132704514</v>
      </c>
      <c r="EA152" s="58" t="n">
        <f aca="false">EA63+EA70+EA100+EA104+EA105+EA83+EA98+EA106+EA62+EA117</f>
        <v>2095.89387383467</v>
      </c>
      <c r="EB152" s="58" t="n">
        <f aca="false">EB63+EB70+EB100+EB104+EB105+EB83+EB98+EB106+EB62+EB117</f>
        <v>2119.18158354395</v>
      </c>
      <c r="EC152" s="58" t="n">
        <f aca="false">EC63+EC70+EC100+EC104+EC105+EC83+EC98+EC106+EC62+EC117</f>
        <v>2142.46929325322</v>
      </c>
      <c r="ED152" s="58" t="n">
        <f aca="false">ED63+ED70+ED100+ED104+ED105+ED83+ED98+ED106+ED62+ED117</f>
        <v>2134.03723494271</v>
      </c>
      <c r="EE152" s="58" t="n">
        <f aca="false">EE63+EE70+EE100+EE104+EE105+EE83+EE98+EE106+EE62+EE117</f>
        <v>2095.38963124086</v>
      </c>
      <c r="EF152" s="58" t="n">
        <f aca="false">EF63+EF70+EF100+EF104+EF105+EF83+EF98+EF106+EF62+EF117</f>
        <v>2118.67173825464</v>
      </c>
      <c r="EG152" s="58" t="n">
        <f aca="false">EG63+EG70+EG100+EG104+EG105+EG83+EG98+EG106+EG62+EG117</f>
        <v>2141.95384526843</v>
      </c>
      <c r="EH152" s="58" t="n">
        <f aca="false">EH63+EH70+EH100+EH104+EH105+EH83+EH98+EH106+EH62+EH117</f>
        <v>2133.4732170411</v>
      </c>
      <c r="EI152" s="58" t="n">
        <f aca="false">EI63+EI70+EI100+EI104+EI105+EI83+EI98+EI106+EI62+EI117</f>
        <v>2094.49412834513</v>
      </c>
      <c r="EJ152" s="58" t="n">
        <f aca="false">EJ63+EJ70+EJ100+EJ104+EJ105+EJ83+EJ98+EJ106+EJ62+EJ117</f>
        <v>2117.76628532674</v>
      </c>
      <c r="EK152" s="58" t="n">
        <f aca="false">EK63+EK70+EK100+EK104+EK105+EK83+EK98+EK106+EK62+EK117</f>
        <v>2141.03844230835</v>
      </c>
      <c r="EL152" s="58" t="n">
        <f aca="false">EL63+EL70+EL100+EL104+EL105+EL83+EL98+EL106+EL62+EL117</f>
        <v>2132.50919112262</v>
      </c>
      <c r="EM152" s="58" t="n">
        <f aca="false">EM63+EM70+EM100+EM104+EM105+EM83+EM98+EM106+EM62+EM117</f>
        <v>2116.45301662203</v>
      </c>
      <c r="EN152" s="58" t="n">
        <f aca="false">EN63+EN70+EN100+EN104+EN105+EN83+EN98+EN106+EN62+EN117</f>
        <v>2116.45301662203</v>
      </c>
      <c r="EO152" s="58" t="n">
        <f aca="false">EO63+EO70+EO100+EO104+EO105+EO83+EO98+EO106+EO62+EO117</f>
        <v>2139.71074207941</v>
      </c>
    </row>
    <row r="153" customFormat="false" ht="15" hidden="false" customHeight="false" outlineLevel="0" collapsed="false">
      <c r="C153" s="26" t="s">
        <v>91</v>
      </c>
      <c r="D153" s="12" t="s">
        <v>27</v>
      </c>
      <c r="E153" s="34" t="n">
        <f aca="false">XIRR($J152:$EO152,$J$4:$EO$4)</f>
        <v>0.113692971306157</v>
      </c>
    </row>
    <row r="154" customFormat="false" ht="15" hidden="false" customHeight="false" outlineLevel="0" collapsed="false">
      <c r="C154" s="26" t="s">
        <v>92</v>
      </c>
      <c r="D154" s="12" t="s">
        <v>13</v>
      </c>
      <c r="E154" s="61" t="n">
        <f aca="false">SUMIF($J152:$EO152,"&gt;0")/-SUMIF($J152:$EO152,"&lt;0")</f>
        <v>4.8152979942002</v>
      </c>
    </row>
    <row r="155" customFormat="false" ht="15" hidden="false" customHeight="false" outlineLevel="0" collapsed="false">
      <c r="C155" s="26" t="s">
        <v>93</v>
      </c>
      <c r="D155" s="12" t="s">
        <v>33</v>
      </c>
      <c r="E155" s="58" t="n">
        <f aca="false">XNPV(In_Discount_Rate,$J152:$EO152,$J$4:$EO$4)</f>
        <v>15737.1730773708</v>
      </c>
    </row>
    <row r="157" customFormat="false" ht="15" hidden="false" customHeight="false" outlineLevel="0" collapsed="false">
      <c r="C157" s="43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418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531</v>
      </c>
      <c r="F9" s="9" t="s">
        <v>532</v>
      </c>
    </row>
    <row r="11" customFormat="false" ht="15" hidden="false" customHeight="false" outlineLevel="0" collapsed="false">
      <c r="A11" s="10" t="s">
        <v>13</v>
      </c>
      <c r="B11" s="10"/>
      <c r="C11" s="10" t="s">
        <v>533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534</v>
      </c>
      <c r="D12" s="12" t="s">
        <v>43</v>
      </c>
      <c r="E12" s="28" t="str">
        <f aca="false">IF(F12=0,"OK","CHECK")</f>
        <v>OK</v>
      </c>
      <c r="F12" s="51" t="n">
        <f aca="false">N(Tax_1_Delta&gt;Tolerance)</f>
        <v>0</v>
      </c>
    </row>
    <row r="13" customFormat="false" ht="15" hidden="false" customHeight="false" outlineLevel="0" collapsed="false">
      <c r="C13" s="1" t="s">
        <v>535</v>
      </c>
      <c r="D13" s="12" t="s">
        <v>43</v>
      </c>
      <c r="E13" s="28" t="str">
        <f aca="false">IF(F13=0,"OK","CHECK")</f>
        <v>OK</v>
      </c>
      <c r="F13" s="51" t="n">
        <f aca="false">N(Tax_2_Delta&gt;Tolerance)</f>
        <v>0</v>
      </c>
    </row>
    <row r="14" customFormat="false" ht="15" hidden="false" customHeight="false" outlineLevel="0" collapsed="false">
      <c r="C14" s="1" t="s">
        <v>536</v>
      </c>
      <c r="D14" s="12" t="s">
        <v>43</v>
      </c>
      <c r="E14" s="28" t="str">
        <f aca="false">IF(F14=0,"OK","CHECK")</f>
        <v>OK</v>
      </c>
      <c r="F14" s="51" t="n">
        <f aca="false">N(Calc_1!$E45+Calc_1!$F45&gt;0)</f>
        <v>0</v>
      </c>
    </row>
    <row r="15" customFormat="false" ht="15" hidden="false" customHeight="false" outlineLevel="0" collapsed="false">
      <c r="C15" s="1" t="s">
        <v>537</v>
      </c>
      <c r="D15" s="12" t="s">
        <v>43</v>
      </c>
      <c r="E15" s="28" t="str">
        <f aca="false">IF(F15=0,"OK","CHECK")</f>
        <v>OK</v>
      </c>
      <c r="F15" s="51" t="n">
        <f aca="false">N(Calc_2!$E45+Calc_2!$F45&gt;0)</f>
        <v>0</v>
      </c>
    </row>
    <row r="16" customFormat="false" ht="15" hidden="false" customHeight="false" outlineLevel="0" collapsed="false">
      <c r="C16" s="1" t="s">
        <v>538</v>
      </c>
      <c r="D16" s="12" t="s">
        <v>43</v>
      </c>
      <c r="E16" s="28" t="str">
        <f aca="false">IF(F16=0,"OK","CHECK")</f>
        <v>OK</v>
      </c>
      <c r="F16" s="51" t="n">
        <f aca="false">N(COUNTIF(Calc_1!$J$4:$EO$4,In_COD)=0)</f>
        <v>0</v>
      </c>
    </row>
    <row r="17" customFormat="false" ht="15" hidden="false" customHeight="false" outlineLevel="0" collapsed="false">
      <c r="C17" s="1" t="s">
        <v>539</v>
      </c>
      <c r="D17" s="12" t="s">
        <v>43</v>
      </c>
      <c r="E17" s="28" t="str">
        <f aca="false">IF(F17=0,"OK","CHECK")</f>
        <v>OK</v>
      </c>
      <c r="F17" s="51" t="n">
        <f aca="false">N(COUNTIF(Calc_2!$J$4:$EO$4,In_COD)=0)</f>
        <v>0</v>
      </c>
    </row>
    <row r="18" customFormat="false" ht="15" hidden="false" customHeight="false" outlineLevel="0" collapsed="false">
      <c r="C18" s="1" t="s">
        <v>540</v>
      </c>
      <c r="D18" s="12" t="s">
        <v>43</v>
      </c>
      <c r="E18" s="28" t="str">
        <f aca="false">IF(F18=0,"OK","CHECK")</f>
        <v>OK</v>
      </c>
      <c r="F18" s="51" t="n">
        <f aca="false">N(Calc_1!$F90&gt;1+Tolerance)</f>
        <v>0</v>
      </c>
    </row>
    <row r="19" customFormat="false" ht="15" hidden="false" customHeight="false" outlineLevel="0" collapsed="false">
      <c r="C19" s="1" t="s">
        <v>541</v>
      </c>
      <c r="D19" s="12" t="s">
        <v>43</v>
      </c>
      <c r="E19" s="28" t="str">
        <f aca="false">IF(F19=0,"OK","CHECK")</f>
        <v>OK</v>
      </c>
      <c r="F19" s="51" t="n">
        <f aca="false">N(Calc_2!$F90&gt;1+Tolerance)</f>
        <v>0</v>
      </c>
    </row>
    <row r="20" customFormat="false" ht="15" hidden="false" customHeight="false" outlineLevel="0" collapsed="false">
      <c r="C20" s="1" t="s">
        <v>542</v>
      </c>
      <c r="D20" s="12" t="s">
        <v>43</v>
      </c>
      <c r="E20" s="28" t="str">
        <f aca="false">IF(F20=0,"OK","CHECK")</f>
        <v>OK</v>
      </c>
      <c r="F20" s="51" t="n">
        <f aca="false">SUM(J20:EO20)</f>
        <v>0</v>
      </c>
      <c r="J20" s="51" t="n">
        <f aca="false">N((Calc_1!J$4&gt;=Calc_1!$F18)*ABS(Calc_1!J103)&gt;Tolerance)</f>
        <v>0</v>
      </c>
      <c r="K20" s="51" t="n">
        <f aca="false">N((Calc_1!K$4&gt;=Calc_1!$F18)*ABS(Calc_1!K103)&gt;Tolerance)</f>
        <v>0</v>
      </c>
      <c r="L20" s="51" t="n">
        <f aca="false">N((Calc_1!L$4&gt;=Calc_1!$F18)*ABS(Calc_1!L103)&gt;Tolerance)</f>
        <v>0</v>
      </c>
      <c r="M20" s="51" t="n">
        <f aca="false">N((Calc_1!M$4&gt;=Calc_1!$F18)*ABS(Calc_1!M103)&gt;Tolerance)</f>
        <v>0</v>
      </c>
      <c r="N20" s="51" t="n">
        <f aca="false">N((Calc_1!N$4&gt;=Calc_1!$F18)*ABS(Calc_1!N103)&gt;Tolerance)</f>
        <v>0</v>
      </c>
      <c r="O20" s="51" t="n">
        <f aca="false">N((Calc_1!O$4&gt;=Calc_1!$F18)*ABS(Calc_1!O103)&gt;Tolerance)</f>
        <v>0</v>
      </c>
      <c r="P20" s="51" t="n">
        <f aca="false">N((Calc_1!P$4&gt;=Calc_1!$F18)*ABS(Calc_1!P103)&gt;Tolerance)</f>
        <v>0</v>
      </c>
      <c r="Q20" s="51" t="n">
        <f aca="false">N((Calc_1!Q$4&gt;=Calc_1!$F18)*ABS(Calc_1!Q103)&gt;Tolerance)</f>
        <v>0</v>
      </c>
      <c r="R20" s="51" t="n">
        <f aca="false">N((Calc_1!R$4&gt;=Calc_1!$F18)*ABS(Calc_1!R103)&gt;Tolerance)</f>
        <v>0</v>
      </c>
      <c r="S20" s="51" t="n">
        <f aca="false">N((Calc_1!S$4&gt;=Calc_1!$F18)*ABS(Calc_1!S103)&gt;Tolerance)</f>
        <v>0</v>
      </c>
      <c r="T20" s="51" t="n">
        <f aca="false">N((Calc_1!T$4&gt;=Calc_1!$F18)*ABS(Calc_1!T103)&gt;Tolerance)</f>
        <v>0</v>
      </c>
      <c r="U20" s="51" t="n">
        <f aca="false">N((Calc_1!U$4&gt;=Calc_1!$F18)*ABS(Calc_1!U103)&gt;Tolerance)</f>
        <v>0</v>
      </c>
      <c r="V20" s="51" t="n">
        <f aca="false">N((Calc_1!V$4&gt;=Calc_1!$F18)*ABS(Calc_1!V103)&gt;Tolerance)</f>
        <v>0</v>
      </c>
      <c r="W20" s="51" t="n">
        <f aca="false">N((Calc_1!W$4&gt;=Calc_1!$F18)*ABS(Calc_1!W103)&gt;Tolerance)</f>
        <v>0</v>
      </c>
      <c r="X20" s="51" t="n">
        <f aca="false">N((Calc_1!X$4&gt;=Calc_1!$F18)*ABS(Calc_1!X103)&gt;Tolerance)</f>
        <v>0</v>
      </c>
      <c r="Y20" s="51" t="n">
        <f aca="false">N((Calc_1!Y$4&gt;=Calc_1!$F18)*ABS(Calc_1!Y103)&gt;Tolerance)</f>
        <v>0</v>
      </c>
      <c r="Z20" s="51" t="n">
        <f aca="false">N((Calc_1!Z$4&gt;=Calc_1!$F18)*ABS(Calc_1!Z103)&gt;Tolerance)</f>
        <v>0</v>
      </c>
      <c r="AA20" s="51" t="n">
        <f aca="false">N((Calc_1!AA$4&gt;=Calc_1!$F18)*ABS(Calc_1!AA103)&gt;Tolerance)</f>
        <v>0</v>
      </c>
      <c r="AB20" s="51" t="n">
        <f aca="false">N((Calc_1!AB$4&gt;=Calc_1!$F18)*ABS(Calc_1!AB103)&gt;Tolerance)</f>
        <v>0</v>
      </c>
      <c r="AC20" s="51" t="n">
        <f aca="false">N((Calc_1!AC$4&gt;=Calc_1!$F18)*ABS(Calc_1!AC103)&gt;Tolerance)</f>
        <v>0</v>
      </c>
      <c r="AD20" s="51" t="n">
        <f aca="false">N((Calc_1!AD$4&gt;=Calc_1!$F18)*ABS(Calc_1!AD103)&gt;Tolerance)</f>
        <v>0</v>
      </c>
      <c r="AE20" s="51" t="n">
        <f aca="false">N((Calc_1!AE$4&gt;=Calc_1!$F18)*ABS(Calc_1!AE103)&gt;Tolerance)</f>
        <v>0</v>
      </c>
      <c r="AF20" s="51" t="n">
        <f aca="false">N((Calc_1!AF$4&gt;=Calc_1!$F18)*ABS(Calc_1!AF103)&gt;Tolerance)</f>
        <v>0</v>
      </c>
      <c r="AG20" s="51" t="n">
        <f aca="false">N((Calc_1!AG$4&gt;=Calc_1!$F18)*ABS(Calc_1!AG103)&gt;Tolerance)</f>
        <v>0</v>
      </c>
      <c r="AH20" s="51" t="n">
        <f aca="false">N((Calc_1!AH$4&gt;=Calc_1!$F18)*ABS(Calc_1!AH103)&gt;Tolerance)</f>
        <v>0</v>
      </c>
      <c r="AI20" s="51" t="n">
        <f aca="false">N((Calc_1!AI$4&gt;=Calc_1!$F18)*ABS(Calc_1!AI103)&gt;Tolerance)</f>
        <v>0</v>
      </c>
      <c r="AJ20" s="51" t="n">
        <f aca="false">N((Calc_1!AJ$4&gt;=Calc_1!$F18)*ABS(Calc_1!AJ103)&gt;Tolerance)</f>
        <v>0</v>
      </c>
      <c r="AK20" s="51" t="n">
        <f aca="false">N((Calc_1!AK$4&gt;=Calc_1!$F18)*ABS(Calc_1!AK103)&gt;Tolerance)</f>
        <v>0</v>
      </c>
      <c r="AL20" s="51" t="n">
        <f aca="false">N((Calc_1!AL$4&gt;=Calc_1!$F18)*ABS(Calc_1!AL103)&gt;Tolerance)</f>
        <v>0</v>
      </c>
      <c r="AM20" s="51" t="n">
        <f aca="false">N((Calc_1!AM$4&gt;=Calc_1!$F18)*ABS(Calc_1!AM103)&gt;Tolerance)</f>
        <v>0</v>
      </c>
      <c r="AN20" s="51" t="n">
        <f aca="false">N((Calc_1!AN$4&gt;=Calc_1!$F18)*ABS(Calc_1!AN103)&gt;Tolerance)</f>
        <v>0</v>
      </c>
      <c r="AO20" s="51" t="n">
        <f aca="false">N((Calc_1!AO$4&gt;=Calc_1!$F18)*ABS(Calc_1!AO103)&gt;Tolerance)</f>
        <v>0</v>
      </c>
      <c r="AP20" s="51" t="n">
        <f aca="false">N((Calc_1!AP$4&gt;=Calc_1!$F18)*ABS(Calc_1!AP103)&gt;Tolerance)</f>
        <v>0</v>
      </c>
      <c r="AQ20" s="51" t="n">
        <f aca="false">N((Calc_1!AQ$4&gt;=Calc_1!$F18)*ABS(Calc_1!AQ103)&gt;Tolerance)</f>
        <v>0</v>
      </c>
      <c r="AR20" s="51" t="n">
        <f aca="false">N((Calc_1!AR$4&gt;=Calc_1!$F18)*ABS(Calc_1!AR103)&gt;Tolerance)</f>
        <v>0</v>
      </c>
      <c r="AS20" s="51" t="n">
        <f aca="false">N((Calc_1!AS$4&gt;=Calc_1!$F18)*ABS(Calc_1!AS103)&gt;Tolerance)</f>
        <v>0</v>
      </c>
      <c r="AT20" s="51" t="n">
        <f aca="false">N((Calc_1!AT$4&gt;=Calc_1!$F18)*ABS(Calc_1!AT103)&gt;Tolerance)</f>
        <v>0</v>
      </c>
      <c r="AU20" s="51" t="n">
        <f aca="false">N((Calc_1!AU$4&gt;=Calc_1!$F18)*ABS(Calc_1!AU103)&gt;Tolerance)</f>
        <v>0</v>
      </c>
      <c r="AV20" s="51" t="n">
        <f aca="false">N((Calc_1!AV$4&gt;=Calc_1!$F18)*ABS(Calc_1!AV103)&gt;Tolerance)</f>
        <v>0</v>
      </c>
      <c r="AW20" s="51" t="n">
        <f aca="false">N((Calc_1!AW$4&gt;=Calc_1!$F18)*ABS(Calc_1!AW103)&gt;Tolerance)</f>
        <v>0</v>
      </c>
      <c r="AX20" s="51" t="n">
        <f aca="false">N((Calc_1!AX$4&gt;=Calc_1!$F18)*ABS(Calc_1!AX103)&gt;Tolerance)</f>
        <v>0</v>
      </c>
      <c r="AY20" s="51" t="n">
        <f aca="false">N((Calc_1!AY$4&gt;=Calc_1!$F18)*ABS(Calc_1!AY103)&gt;Tolerance)</f>
        <v>0</v>
      </c>
      <c r="AZ20" s="51" t="n">
        <f aca="false">N((Calc_1!AZ$4&gt;=Calc_1!$F18)*ABS(Calc_1!AZ103)&gt;Tolerance)</f>
        <v>0</v>
      </c>
      <c r="BA20" s="51" t="n">
        <f aca="false">N((Calc_1!BA$4&gt;=Calc_1!$F18)*ABS(Calc_1!BA103)&gt;Tolerance)</f>
        <v>0</v>
      </c>
      <c r="BB20" s="51" t="n">
        <f aca="false">N((Calc_1!BB$4&gt;=Calc_1!$F18)*ABS(Calc_1!BB103)&gt;Tolerance)</f>
        <v>0</v>
      </c>
      <c r="BC20" s="51" t="n">
        <f aca="false">N((Calc_1!BC$4&gt;=Calc_1!$F18)*ABS(Calc_1!BC103)&gt;Tolerance)</f>
        <v>0</v>
      </c>
      <c r="BD20" s="51" t="n">
        <f aca="false">N((Calc_1!BD$4&gt;=Calc_1!$F18)*ABS(Calc_1!BD103)&gt;Tolerance)</f>
        <v>0</v>
      </c>
      <c r="BE20" s="51" t="n">
        <f aca="false">N((Calc_1!BE$4&gt;=Calc_1!$F18)*ABS(Calc_1!BE103)&gt;Tolerance)</f>
        <v>0</v>
      </c>
      <c r="BF20" s="51" t="n">
        <f aca="false">N((Calc_1!BF$4&gt;=Calc_1!$F18)*ABS(Calc_1!BF103)&gt;Tolerance)</f>
        <v>0</v>
      </c>
      <c r="BG20" s="51" t="n">
        <f aca="false">N((Calc_1!BG$4&gt;=Calc_1!$F18)*ABS(Calc_1!BG103)&gt;Tolerance)</f>
        <v>0</v>
      </c>
      <c r="BH20" s="51" t="n">
        <f aca="false">N((Calc_1!BH$4&gt;=Calc_1!$F18)*ABS(Calc_1!BH103)&gt;Tolerance)</f>
        <v>0</v>
      </c>
      <c r="BI20" s="51" t="n">
        <f aca="false">N((Calc_1!BI$4&gt;=Calc_1!$F18)*ABS(Calc_1!BI103)&gt;Tolerance)</f>
        <v>0</v>
      </c>
      <c r="BJ20" s="51" t="n">
        <f aca="false">N((Calc_1!BJ$4&gt;=Calc_1!$F18)*ABS(Calc_1!BJ103)&gt;Tolerance)</f>
        <v>0</v>
      </c>
      <c r="BK20" s="51" t="n">
        <f aca="false">N((Calc_1!BK$4&gt;=Calc_1!$F18)*ABS(Calc_1!BK103)&gt;Tolerance)</f>
        <v>0</v>
      </c>
      <c r="BL20" s="51" t="n">
        <f aca="false">N((Calc_1!BL$4&gt;=Calc_1!$F18)*ABS(Calc_1!BL103)&gt;Tolerance)</f>
        <v>0</v>
      </c>
      <c r="BM20" s="51" t="n">
        <f aca="false">N((Calc_1!BM$4&gt;=Calc_1!$F18)*ABS(Calc_1!BM103)&gt;Tolerance)</f>
        <v>0</v>
      </c>
      <c r="BN20" s="51" t="n">
        <f aca="false">N((Calc_1!BN$4&gt;=Calc_1!$F18)*ABS(Calc_1!BN103)&gt;Tolerance)</f>
        <v>0</v>
      </c>
      <c r="BO20" s="51" t="n">
        <f aca="false">N((Calc_1!BO$4&gt;=Calc_1!$F18)*ABS(Calc_1!BO103)&gt;Tolerance)</f>
        <v>0</v>
      </c>
      <c r="BP20" s="51" t="n">
        <f aca="false">N((Calc_1!BP$4&gt;=Calc_1!$F18)*ABS(Calc_1!BP103)&gt;Tolerance)</f>
        <v>0</v>
      </c>
      <c r="BQ20" s="51" t="n">
        <f aca="false">N((Calc_1!BQ$4&gt;=Calc_1!$F18)*ABS(Calc_1!BQ103)&gt;Tolerance)</f>
        <v>0</v>
      </c>
      <c r="BR20" s="51" t="n">
        <f aca="false">N((Calc_1!BR$4&gt;=Calc_1!$F18)*ABS(Calc_1!BR103)&gt;Tolerance)</f>
        <v>0</v>
      </c>
      <c r="BS20" s="51" t="n">
        <f aca="false">N((Calc_1!BS$4&gt;=Calc_1!$F18)*ABS(Calc_1!BS103)&gt;Tolerance)</f>
        <v>0</v>
      </c>
      <c r="BT20" s="51" t="n">
        <f aca="false">N((Calc_1!BT$4&gt;=Calc_1!$F18)*ABS(Calc_1!BT103)&gt;Tolerance)</f>
        <v>0</v>
      </c>
      <c r="BU20" s="51" t="n">
        <f aca="false">N((Calc_1!BU$4&gt;=Calc_1!$F18)*ABS(Calc_1!BU103)&gt;Tolerance)</f>
        <v>0</v>
      </c>
      <c r="BV20" s="51" t="n">
        <f aca="false">N((Calc_1!BV$4&gt;=Calc_1!$F18)*ABS(Calc_1!BV103)&gt;Tolerance)</f>
        <v>0</v>
      </c>
      <c r="BW20" s="51" t="n">
        <f aca="false">N((Calc_1!BW$4&gt;=Calc_1!$F18)*ABS(Calc_1!BW103)&gt;Tolerance)</f>
        <v>0</v>
      </c>
      <c r="BX20" s="51" t="n">
        <f aca="false">N((Calc_1!BX$4&gt;=Calc_1!$F18)*ABS(Calc_1!BX103)&gt;Tolerance)</f>
        <v>0</v>
      </c>
      <c r="BY20" s="51" t="n">
        <f aca="false">N((Calc_1!BY$4&gt;=Calc_1!$F18)*ABS(Calc_1!BY103)&gt;Tolerance)</f>
        <v>0</v>
      </c>
      <c r="BZ20" s="51" t="n">
        <f aca="false">N((Calc_1!BZ$4&gt;=Calc_1!$F18)*ABS(Calc_1!BZ103)&gt;Tolerance)</f>
        <v>0</v>
      </c>
      <c r="CA20" s="51" t="n">
        <f aca="false">N((Calc_1!CA$4&gt;=Calc_1!$F18)*ABS(Calc_1!CA103)&gt;Tolerance)</f>
        <v>0</v>
      </c>
      <c r="CB20" s="51" t="n">
        <f aca="false">N((Calc_1!CB$4&gt;=Calc_1!$F18)*ABS(Calc_1!CB103)&gt;Tolerance)</f>
        <v>0</v>
      </c>
      <c r="CC20" s="51" t="n">
        <f aca="false">N((Calc_1!CC$4&gt;=Calc_1!$F18)*ABS(Calc_1!CC103)&gt;Tolerance)</f>
        <v>0</v>
      </c>
      <c r="CD20" s="51" t="n">
        <f aca="false">N((Calc_1!CD$4&gt;=Calc_1!$F18)*ABS(Calc_1!CD103)&gt;Tolerance)</f>
        <v>0</v>
      </c>
      <c r="CE20" s="51" t="n">
        <f aca="false">N((Calc_1!CE$4&gt;=Calc_1!$F18)*ABS(Calc_1!CE103)&gt;Tolerance)</f>
        <v>0</v>
      </c>
      <c r="CF20" s="51" t="n">
        <f aca="false">N((Calc_1!CF$4&gt;=Calc_1!$F18)*ABS(Calc_1!CF103)&gt;Tolerance)</f>
        <v>0</v>
      </c>
      <c r="CG20" s="51" t="n">
        <f aca="false">N((Calc_1!CG$4&gt;=Calc_1!$F18)*ABS(Calc_1!CG103)&gt;Tolerance)</f>
        <v>0</v>
      </c>
      <c r="CH20" s="51" t="n">
        <f aca="false">N((Calc_1!CH$4&gt;=Calc_1!$F18)*ABS(Calc_1!CH103)&gt;Tolerance)</f>
        <v>0</v>
      </c>
      <c r="CI20" s="51" t="n">
        <f aca="false">N((Calc_1!CI$4&gt;=Calc_1!$F18)*ABS(Calc_1!CI103)&gt;Tolerance)</f>
        <v>0</v>
      </c>
      <c r="CJ20" s="51" t="n">
        <f aca="false">N((Calc_1!CJ$4&gt;=Calc_1!$F18)*ABS(Calc_1!CJ103)&gt;Tolerance)</f>
        <v>0</v>
      </c>
      <c r="CK20" s="51" t="n">
        <f aca="false">N((Calc_1!CK$4&gt;=Calc_1!$F18)*ABS(Calc_1!CK103)&gt;Tolerance)</f>
        <v>0</v>
      </c>
      <c r="CL20" s="51" t="n">
        <f aca="false">N((Calc_1!CL$4&gt;=Calc_1!$F18)*ABS(Calc_1!CL103)&gt;Tolerance)</f>
        <v>0</v>
      </c>
      <c r="CM20" s="51" t="n">
        <f aca="false">N((Calc_1!CM$4&gt;=Calc_1!$F18)*ABS(Calc_1!CM103)&gt;Tolerance)</f>
        <v>0</v>
      </c>
      <c r="CN20" s="51" t="n">
        <f aca="false">N((Calc_1!CN$4&gt;=Calc_1!$F18)*ABS(Calc_1!CN103)&gt;Tolerance)</f>
        <v>0</v>
      </c>
      <c r="CO20" s="51" t="n">
        <f aca="false">N((Calc_1!CO$4&gt;=Calc_1!$F18)*ABS(Calc_1!CO103)&gt;Tolerance)</f>
        <v>0</v>
      </c>
      <c r="CP20" s="51" t="n">
        <f aca="false">N((Calc_1!CP$4&gt;=Calc_1!$F18)*ABS(Calc_1!CP103)&gt;Tolerance)</f>
        <v>0</v>
      </c>
      <c r="CQ20" s="51" t="n">
        <f aca="false">N((Calc_1!CQ$4&gt;=Calc_1!$F18)*ABS(Calc_1!CQ103)&gt;Tolerance)</f>
        <v>0</v>
      </c>
      <c r="CR20" s="51" t="n">
        <f aca="false">N((Calc_1!CR$4&gt;=Calc_1!$F18)*ABS(Calc_1!CR103)&gt;Tolerance)</f>
        <v>0</v>
      </c>
      <c r="CS20" s="51" t="n">
        <f aca="false">N((Calc_1!CS$4&gt;=Calc_1!$F18)*ABS(Calc_1!CS103)&gt;Tolerance)</f>
        <v>0</v>
      </c>
      <c r="CT20" s="51" t="n">
        <f aca="false">N((Calc_1!CT$4&gt;=Calc_1!$F18)*ABS(Calc_1!CT103)&gt;Tolerance)</f>
        <v>0</v>
      </c>
      <c r="CU20" s="51" t="n">
        <f aca="false">N((Calc_1!CU$4&gt;=Calc_1!$F18)*ABS(Calc_1!CU103)&gt;Tolerance)</f>
        <v>0</v>
      </c>
      <c r="CV20" s="51" t="n">
        <f aca="false">N((Calc_1!CV$4&gt;=Calc_1!$F18)*ABS(Calc_1!CV103)&gt;Tolerance)</f>
        <v>0</v>
      </c>
      <c r="CW20" s="51" t="n">
        <f aca="false">N((Calc_1!CW$4&gt;=Calc_1!$F18)*ABS(Calc_1!CW103)&gt;Tolerance)</f>
        <v>0</v>
      </c>
      <c r="CX20" s="51" t="n">
        <f aca="false">N((Calc_1!CX$4&gt;=Calc_1!$F18)*ABS(Calc_1!CX103)&gt;Tolerance)</f>
        <v>0</v>
      </c>
      <c r="CY20" s="51" t="n">
        <f aca="false">N((Calc_1!CY$4&gt;=Calc_1!$F18)*ABS(Calc_1!CY103)&gt;Tolerance)</f>
        <v>0</v>
      </c>
      <c r="CZ20" s="51" t="n">
        <f aca="false">N((Calc_1!CZ$4&gt;=Calc_1!$F18)*ABS(Calc_1!CZ103)&gt;Tolerance)</f>
        <v>0</v>
      </c>
      <c r="DA20" s="51" t="n">
        <f aca="false">N((Calc_1!DA$4&gt;=Calc_1!$F18)*ABS(Calc_1!DA103)&gt;Tolerance)</f>
        <v>0</v>
      </c>
      <c r="DB20" s="51" t="n">
        <f aca="false">N((Calc_1!DB$4&gt;=Calc_1!$F18)*ABS(Calc_1!DB103)&gt;Tolerance)</f>
        <v>0</v>
      </c>
      <c r="DC20" s="51" t="n">
        <f aca="false">N((Calc_1!DC$4&gt;=Calc_1!$F18)*ABS(Calc_1!DC103)&gt;Tolerance)</f>
        <v>0</v>
      </c>
      <c r="DD20" s="51" t="n">
        <f aca="false">N((Calc_1!DD$4&gt;=Calc_1!$F18)*ABS(Calc_1!DD103)&gt;Tolerance)</f>
        <v>0</v>
      </c>
      <c r="DE20" s="51" t="n">
        <f aca="false">N((Calc_1!DE$4&gt;=Calc_1!$F18)*ABS(Calc_1!DE103)&gt;Tolerance)</f>
        <v>0</v>
      </c>
      <c r="DF20" s="51" t="n">
        <f aca="false">N((Calc_1!DF$4&gt;=Calc_1!$F18)*ABS(Calc_1!DF103)&gt;Tolerance)</f>
        <v>0</v>
      </c>
      <c r="DG20" s="51" t="n">
        <f aca="false">N((Calc_1!DG$4&gt;=Calc_1!$F18)*ABS(Calc_1!DG103)&gt;Tolerance)</f>
        <v>0</v>
      </c>
      <c r="DH20" s="51" t="n">
        <f aca="false">N((Calc_1!DH$4&gt;=Calc_1!$F18)*ABS(Calc_1!DH103)&gt;Tolerance)</f>
        <v>0</v>
      </c>
      <c r="DI20" s="51" t="n">
        <f aca="false">N((Calc_1!DI$4&gt;=Calc_1!$F18)*ABS(Calc_1!DI103)&gt;Tolerance)</f>
        <v>0</v>
      </c>
      <c r="DJ20" s="51" t="n">
        <f aca="false">N((Calc_1!DJ$4&gt;=Calc_1!$F18)*ABS(Calc_1!DJ103)&gt;Tolerance)</f>
        <v>0</v>
      </c>
      <c r="DK20" s="51" t="n">
        <f aca="false">N((Calc_1!DK$4&gt;=Calc_1!$F18)*ABS(Calc_1!DK103)&gt;Tolerance)</f>
        <v>0</v>
      </c>
      <c r="DL20" s="51" t="n">
        <f aca="false">N((Calc_1!DL$4&gt;=Calc_1!$F18)*ABS(Calc_1!DL103)&gt;Tolerance)</f>
        <v>0</v>
      </c>
      <c r="DM20" s="51" t="n">
        <f aca="false">N((Calc_1!DM$4&gt;=Calc_1!$F18)*ABS(Calc_1!DM103)&gt;Tolerance)</f>
        <v>0</v>
      </c>
      <c r="DN20" s="51" t="n">
        <f aca="false">N((Calc_1!DN$4&gt;=Calc_1!$F18)*ABS(Calc_1!DN103)&gt;Tolerance)</f>
        <v>0</v>
      </c>
      <c r="DO20" s="51" t="n">
        <f aca="false">N((Calc_1!DO$4&gt;=Calc_1!$F18)*ABS(Calc_1!DO103)&gt;Tolerance)</f>
        <v>0</v>
      </c>
      <c r="DP20" s="51" t="n">
        <f aca="false">N((Calc_1!DP$4&gt;=Calc_1!$F18)*ABS(Calc_1!DP103)&gt;Tolerance)</f>
        <v>0</v>
      </c>
      <c r="DQ20" s="51" t="n">
        <f aca="false">N((Calc_1!DQ$4&gt;=Calc_1!$F18)*ABS(Calc_1!DQ103)&gt;Tolerance)</f>
        <v>0</v>
      </c>
      <c r="DR20" s="51" t="n">
        <f aca="false">N((Calc_1!DR$4&gt;=Calc_1!$F18)*ABS(Calc_1!DR103)&gt;Tolerance)</f>
        <v>0</v>
      </c>
      <c r="DS20" s="51" t="n">
        <f aca="false">N((Calc_1!DS$4&gt;=Calc_1!$F18)*ABS(Calc_1!DS103)&gt;Tolerance)</f>
        <v>0</v>
      </c>
      <c r="DT20" s="51" t="n">
        <f aca="false">N((Calc_1!DT$4&gt;=Calc_1!$F18)*ABS(Calc_1!DT103)&gt;Tolerance)</f>
        <v>0</v>
      </c>
      <c r="DU20" s="51" t="n">
        <f aca="false">N((Calc_1!DU$4&gt;=Calc_1!$F18)*ABS(Calc_1!DU103)&gt;Tolerance)</f>
        <v>0</v>
      </c>
      <c r="DV20" s="51" t="n">
        <f aca="false">N((Calc_1!DV$4&gt;=Calc_1!$F18)*ABS(Calc_1!DV103)&gt;Tolerance)</f>
        <v>0</v>
      </c>
      <c r="DW20" s="51" t="n">
        <f aca="false">N((Calc_1!DW$4&gt;=Calc_1!$F18)*ABS(Calc_1!DW103)&gt;Tolerance)</f>
        <v>0</v>
      </c>
      <c r="DX20" s="51" t="n">
        <f aca="false">N((Calc_1!DX$4&gt;=Calc_1!$F18)*ABS(Calc_1!DX103)&gt;Tolerance)</f>
        <v>0</v>
      </c>
      <c r="DY20" s="51" t="n">
        <f aca="false">N((Calc_1!DY$4&gt;=Calc_1!$F18)*ABS(Calc_1!DY103)&gt;Tolerance)</f>
        <v>0</v>
      </c>
      <c r="DZ20" s="51" t="n">
        <f aca="false">N((Calc_1!DZ$4&gt;=Calc_1!$F18)*ABS(Calc_1!DZ103)&gt;Tolerance)</f>
        <v>0</v>
      </c>
      <c r="EA20" s="51" t="n">
        <f aca="false">N((Calc_1!EA$4&gt;=Calc_1!$F18)*ABS(Calc_1!EA103)&gt;Tolerance)</f>
        <v>0</v>
      </c>
      <c r="EB20" s="51" t="n">
        <f aca="false">N((Calc_1!EB$4&gt;=Calc_1!$F18)*ABS(Calc_1!EB103)&gt;Tolerance)</f>
        <v>0</v>
      </c>
      <c r="EC20" s="51" t="n">
        <f aca="false">N((Calc_1!EC$4&gt;=Calc_1!$F18)*ABS(Calc_1!EC103)&gt;Tolerance)</f>
        <v>0</v>
      </c>
      <c r="ED20" s="51" t="n">
        <f aca="false">N((Calc_1!ED$4&gt;=Calc_1!$F18)*ABS(Calc_1!ED103)&gt;Tolerance)</f>
        <v>0</v>
      </c>
      <c r="EE20" s="51" t="n">
        <f aca="false">N((Calc_1!EE$4&gt;=Calc_1!$F18)*ABS(Calc_1!EE103)&gt;Tolerance)</f>
        <v>0</v>
      </c>
      <c r="EF20" s="51" t="n">
        <f aca="false">N((Calc_1!EF$4&gt;=Calc_1!$F18)*ABS(Calc_1!EF103)&gt;Tolerance)</f>
        <v>0</v>
      </c>
      <c r="EG20" s="51" t="n">
        <f aca="false">N((Calc_1!EG$4&gt;=Calc_1!$F18)*ABS(Calc_1!EG103)&gt;Tolerance)</f>
        <v>0</v>
      </c>
      <c r="EH20" s="51" t="n">
        <f aca="false">N((Calc_1!EH$4&gt;=Calc_1!$F18)*ABS(Calc_1!EH103)&gt;Tolerance)</f>
        <v>0</v>
      </c>
      <c r="EI20" s="51" t="n">
        <f aca="false">N((Calc_1!EI$4&gt;=Calc_1!$F18)*ABS(Calc_1!EI103)&gt;Tolerance)</f>
        <v>0</v>
      </c>
      <c r="EJ20" s="51" t="n">
        <f aca="false">N((Calc_1!EJ$4&gt;=Calc_1!$F18)*ABS(Calc_1!EJ103)&gt;Tolerance)</f>
        <v>0</v>
      </c>
      <c r="EK20" s="51" t="n">
        <f aca="false">N((Calc_1!EK$4&gt;=Calc_1!$F18)*ABS(Calc_1!EK103)&gt;Tolerance)</f>
        <v>0</v>
      </c>
      <c r="EL20" s="51" t="n">
        <f aca="false">N((Calc_1!EL$4&gt;=Calc_1!$F18)*ABS(Calc_1!EL103)&gt;Tolerance)</f>
        <v>0</v>
      </c>
      <c r="EM20" s="51" t="n">
        <f aca="false">N((Calc_1!EM$4&gt;=Calc_1!$F18)*ABS(Calc_1!EM103)&gt;Tolerance)</f>
        <v>0</v>
      </c>
      <c r="EN20" s="51" t="n">
        <f aca="false">N((Calc_1!EN$4&gt;=Calc_1!$F18)*ABS(Calc_1!EN103)&gt;Tolerance)</f>
        <v>0</v>
      </c>
      <c r="EO20" s="51" t="n">
        <f aca="false">N((Calc_1!EO$4&gt;=Calc_1!$F18)*ABS(Calc_1!EO103)&gt;Tolerance)</f>
        <v>0</v>
      </c>
    </row>
    <row r="21" customFormat="false" ht="15" hidden="false" customHeight="false" outlineLevel="0" collapsed="false">
      <c r="C21" s="1" t="s">
        <v>543</v>
      </c>
      <c r="D21" s="12" t="s">
        <v>43</v>
      </c>
      <c r="E21" s="28" t="str">
        <f aca="false">IF(F21=0,"OK","CHECK")</f>
        <v>OK</v>
      </c>
      <c r="F21" s="51" t="n">
        <f aca="false">SUM(J21:EO21)</f>
        <v>0</v>
      </c>
      <c r="J21" s="51" t="n">
        <f aca="false">N((Calc_2!J$4&gt;=Calc_2!$F18)*ABS(Calc_2!J103)&gt;Tolerance)</f>
        <v>0</v>
      </c>
      <c r="K21" s="51" t="n">
        <f aca="false">N((Calc_2!K$4&gt;=Calc_2!$F18)*ABS(Calc_2!K103)&gt;Tolerance)</f>
        <v>0</v>
      </c>
      <c r="L21" s="51" t="n">
        <f aca="false">N((Calc_2!L$4&gt;=Calc_2!$F18)*ABS(Calc_2!L103)&gt;Tolerance)</f>
        <v>0</v>
      </c>
      <c r="M21" s="51" t="n">
        <f aca="false">N((Calc_2!M$4&gt;=Calc_2!$F18)*ABS(Calc_2!M103)&gt;Tolerance)</f>
        <v>0</v>
      </c>
      <c r="N21" s="51" t="n">
        <f aca="false">N((Calc_2!N$4&gt;=Calc_2!$F18)*ABS(Calc_2!N103)&gt;Tolerance)</f>
        <v>0</v>
      </c>
      <c r="O21" s="51" t="n">
        <f aca="false">N((Calc_2!O$4&gt;=Calc_2!$F18)*ABS(Calc_2!O103)&gt;Tolerance)</f>
        <v>0</v>
      </c>
      <c r="P21" s="51" t="n">
        <f aca="false">N((Calc_2!P$4&gt;=Calc_2!$F18)*ABS(Calc_2!P103)&gt;Tolerance)</f>
        <v>0</v>
      </c>
      <c r="Q21" s="51" t="n">
        <f aca="false">N((Calc_2!Q$4&gt;=Calc_2!$F18)*ABS(Calc_2!Q103)&gt;Tolerance)</f>
        <v>0</v>
      </c>
      <c r="R21" s="51" t="n">
        <f aca="false">N((Calc_2!R$4&gt;=Calc_2!$F18)*ABS(Calc_2!R103)&gt;Tolerance)</f>
        <v>0</v>
      </c>
      <c r="S21" s="51" t="n">
        <f aca="false">N((Calc_2!S$4&gt;=Calc_2!$F18)*ABS(Calc_2!S103)&gt;Tolerance)</f>
        <v>0</v>
      </c>
      <c r="T21" s="51" t="n">
        <f aca="false">N((Calc_2!T$4&gt;=Calc_2!$F18)*ABS(Calc_2!T103)&gt;Tolerance)</f>
        <v>0</v>
      </c>
      <c r="U21" s="51" t="n">
        <f aca="false">N((Calc_2!U$4&gt;=Calc_2!$F18)*ABS(Calc_2!U103)&gt;Tolerance)</f>
        <v>0</v>
      </c>
      <c r="V21" s="51" t="n">
        <f aca="false">N((Calc_2!V$4&gt;=Calc_2!$F18)*ABS(Calc_2!V103)&gt;Tolerance)</f>
        <v>0</v>
      </c>
      <c r="W21" s="51" t="n">
        <f aca="false">N((Calc_2!W$4&gt;=Calc_2!$F18)*ABS(Calc_2!W103)&gt;Tolerance)</f>
        <v>0</v>
      </c>
      <c r="X21" s="51" t="n">
        <f aca="false">N((Calc_2!X$4&gt;=Calc_2!$F18)*ABS(Calc_2!X103)&gt;Tolerance)</f>
        <v>0</v>
      </c>
      <c r="Y21" s="51" t="n">
        <f aca="false">N((Calc_2!Y$4&gt;=Calc_2!$F18)*ABS(Calc_2!Y103)&gt;Tolerance)</f>
        <v>0</v>
      </c>
      <c r="Z21" s="51" t="n">
        <f aca="false">N((Calc_2!Z$4&gt;=Calc_2!$F18)*ABS(Calc_2!Z103)&gt;Tolerance)</f>
        <v>0</v>
      </c>
      <c r="AA21" s="51" t="n">
        <f aca="false">N((Calc_2!AA$4&gt;=Calc_2!$F18)*ABS(Calc_2!AA103)&gt;Tolerance)</f>
        <v>0</v>
      </c>
      <c r="AB21" s="51" t="n">
        <f aca="false">N((Calc_2!AB$4&gt;=Calc_2!$F18)*ABS(Calc_2!AB103)&gt;Tolerance)</f>
        <v>0</v>
      </c>
      <c r="AC21" s="51" t="n">
        <f aca="false">N((Calc_2!AC$4&gt;=Calc_2!$F18)*ABS(Calc_2!AC103)&gt;Tolerance)</f>
        <v>0</v>
      </c>
      <c r="AD21" s="51" t="n">
        <f aca="false">N((Calc_2!AD$4&gt;=Calc_2!$F18)*ABS(Calc_2!AD103)&gt;Tolerance)</f>
        <v>0</v>
      </c>
      <c r="AE21" s="51" t="n">
        <f aca="false">N((Calc_2!AE$4&gt;=Calc_2!$F18)*ABS(Calc_2!AE103)&gt;Tolerance)</f>
        <v>0</v>
      </c>
      <c r="AF21" s="51" t="n">
        <f aca="false">N((Calc_2!AF$4&gt;=Calc_2!$F18)*ABS(Calc_2!AF103)&gt;Tolerance)</f>
        <v>0</v>
      </c>
      <c r="AG21" s="51" t="n">
        <f aca="false">N((Calc_2!AG$4&gt;=Calc_2!$F18)*ABS(Calc_2!AG103)&gt;Tolerance)</f>
        <v>0</v>
      </c>
      <c r="AH21" s="51" t="n">
        <f aca="false">N((Calc_2!AH$4&gt;=Calc_2!$F18)*ABS(Calc_2!AH103)&gt;Tolerance)</f>
        <v>0</v>
      </c>
      <c r="AI21" s="51" t="n">
        <f aca="false">N((Calc_2!AI$4&gt;=Calc_2!$F18)*ABS(Calc_2!AI103)&gt;Tolerance)</f>
        <v>0</v>
      </c>
      <c r="AJ21" s="51" t="n">
        <f aca="false">N((Calc_2!AJ$4&gt;=Calc_2!$F18)*ABS(Calc_2!AJ103)&gt;Tolerance)</f>
        <v>0</v>
      </c>
      <c r="AK21" s="51" t="n">
        <f aca="false">N((Calc_2!AK$4&gt;=Calc_2!$F18)*ABS(Calc_2!AK103)&gt;Tolerance)</f>
        <v>0</v>
      </c>
      <c r="AL21" s="51" t="n">
        <f aca="false">N((Calc_2!AL$4&gt;=Calc_2!$F18)*ABS(Calc_2!AL103)&gt;Tolerance)</f>
        <v>0</v>
      </c>
      <c r="AM21" s="51" t="n">
        <f aca="false">N((Calc_2!AM$4&gt;=Calc_2!$F18)*ABS(Calc_2!AM103)&gt;Tolerance)</f>
        <v>0</v>
      </c>
      <c r="AN21" s="51" t="n">
        <f aca="false">N((Calc_2!AN$4&gt;=Calc_2!$F18)*ABS(Calc_2!AN103)&gt;Tolerance)</f>
        <v>0</v>
      </c>
      <c r="AO21" s="51" t="n">
        <f aca="false">N((Calc_2!AO$4&gt;=Calc_2!$F18)*ABS(Calc_2!AO103)&gt;Tolerance)</f>
        <v>0</v>
      </c>
      <c r="AP21" s="51" t="n">
        <f aca="false">N((Calc_2!AP$4&gt;=Calc_2!$F18)*ABS(Calc_2!AP103)&gt;Tolerance)</f>
        <v>0</v>
      </c>
      <c r="AQ21" s="51" t="n">
        <f aca="false">N((Calc_2!AQ$4&gt;=Calc_2!$F18)*ABS(Calc_2!AQ103)&gt;Tolerance)</f>
        <v>0</v>
      </c>
      <c r="AR21" s="51" t="n">
        <f aca="false">N((Calc_2!AR$4&gt;=Calc_2!$F18)*ABS(Calc_2!AR103)&gt;Tolerance)</f>
        <v>0</v>
      </c>
      <c r="AS21" s="51" t="n">
        <f aca="false">N((Calc_2!AS$4&gt;=Calc_2!$F18)*ABS(Calc_2!AS103)&gt;Tolerance)</f>
        <v>0</v>
      </c>
      <c r="AT21" s="51" t="n">
        <f aca="false">N((Calc_2!AT$4&gt;=Calc_2!$F18)*ABS(Calc_2!AT103)&gt;Tolerance)</f>
        <v>0</v>
      </c>
      <c r="AU21" s="51" t="n">
        <f aca="false">N((Calc_2!AU$4&gt;=Calc_2!$F18)*ABS(Calc_2!AU103)&gt;Tolerance)</f>
        <v>0</v>
      </c>
      <c r="AV21" s="51" t="n">
        <f aca="false">N((Calc_2!AV$4&gt;=Calc_2!$F18)*ABS(Calc_2!AV103)&gt;Tolerance)</f>
        <v>0</v>
      </c>
      <c r="AW21" s="51" t="n">
        <f aca="false">N((Calc_2!AW$4&gt;=Calc_2!$F18)*ABS(Calc_2!AW103)&gt;Tolerance)</f>
        <v>0</v>
      </c>
      <c r="AX21" s="51" t="n">
        <f aca="false">N((Calc_2!AX$4&gt;=Calc_2!$F18)*ABS(Calc_2!AX103)&gt;Tolerance)</f>
        <v>0</v>
      </c>
      <c r="AY21" s="51" t="n">
        <f aca="false">N((Calc_2!AY$4&gt;=Calc_2!$F18)*ABS(Calc_2!AY103)&gt;Tolerance)</f>
        <v>0</v>
      </c>
      <c r="AZ21" s="51" t="n">
        <f aca="false">N((Calc_2!AZ$4&gt;=Calc_2!$F18)*ABS(Calc_2!AZ103)&gt;Tolerance)</f>
        <v>0</v>
      </c>
      <c r="BA21" s="51" t="n">
        <f aca="false">N((Calc_2!BA$4&gt;=Calc_2!$F18)*ABS(Calc_2!BA103)&gt;Tolerance)</f>
        <v>0</v>
      </c>
      <c r="BB21" s="51" t="n">
        <f aca="false">N((Calc_2!BB$4&gt;=Calc_2!$F18)*ABS(Calc_2!BB103)&gt;Tolerance)</f>
        <v>0</v>
      </c>
      <c r="BC21" s="51" t="n">
        <f aca="false">N((Calc_2!BC$4&gt;=Calc_2!$F18)*ABS(Calc_2!BC103)&gt;Tolerance)</f>
        <v>0</v>
      </c>
      <c r="BD21" s="51" t="n">
        <f aca="false">N((Calc_2!BD$4&gt;=Calc_2!$F18)*ABS(Calc_2!BD103)&gt;Tolerance)</f>
        <v>0</v>
      </c>
      <c r="BE21" s="51" t="n">
        <f aca="false">N((Calc_2!BE$4&gt;=Calc_2!$F18)*ABS(Calc_2!BE103)&gt;Tolerance)</f>
        <v>0</v>
      </c>
      <c r="BF21" s="51" t="n">
        <f aca="false">N((Calc_2!BF$4&gt;=Calc_2!$F18)*ABS(Calc_2!BF103)&gt;Tolerance)</f>
        <v>0</v>
      </c>
      <c r="BG21" s="51" t="n">
        <f aca="false">N((Calc_2!BG$4&gt;=Calc_2!$F18)*ABS(Calc_2!BG103)&gt;Tolerance)</f>
        <v>0</v>
      </c>
      <c r="BH21" s="51" t="n">
        <f aca="false">N((Calc_2!BH$4&gt;=Calc_2!$F18)*ABS(Calc_2!BH103)&gt;Tolerance)</f>
        <v>0</v>
      </c>
      <c r="BI21" s="51" t="n">
        <f aca="false">N((Calc_2!BI$4&gt;=Calc_2!$F18)*ABS(Calc_2!BI103)&gt;Tolerance)</f>
        <v>0</v>
      </c>
      <c r="BJ21" s="51" t="n">
        <f aca="false">N((Calc_2!BJ$4&gt;=Calc_2!$F18)*ABS(Calc_2!BJ103)&gt;Tolerance)</f>
        <v>0</v>
      </c>
      <c r="BK21" s="51" t="n">
        <f aca="false">N((Calc_2!BK$4&gt;=Calc_2!$F18)*ABS(Calc_2!BK103)&gt;Tolerance)</f>
        <v>0</v>
      </c>
      <c r="BL21" s="51" t="n">
        <f aca="false">N((Calc_2!BL$4&gt;=Calc_2!$F18)*ABS(Calc_2!BL103)&gt;Tolerance)</f>
        <v>0</v>
      </c>
      <c r="BM21" s="51" t="n">
        <f aca="false">N((Calc_2!BM$4&gt;=Calc_2!$F18)*ABS(Calc_2!BM103)&gt;Tolerance)</f>
        <v>0</v>
      </c>
      <c r="BN21" s="51" t="n">
        <f aca="false">N((Calc_2!BN$4&gt;=Calc_2!$F18)*ABS(Calc_2!BN103)&gt;Tolerance)</f>
        <v>0</v>
      </c>
      <c r="BO21" s="51" t="n">
        <f aca="false">N((Calc_2!BO$4&gt;=Calc_2!$F18)*ABS(Calc_2!BO103)&gt;Tolerance)</f>
        <v>0</v>
      </c>
      <c r="BP21" s="51" t="n">
        <f aca="false">N((Calc_2!BP$4&gt;=Calc_2!$F18)*ABS(Calc_2!BP103)&gt;Tolerance)</f>
        <v>0</v>
      </c>
      <c r="BQ21" s="51" t="n">
        <f aca="false">N((Calc_2!BQ$4&gt;=Calc_2!$F18)*ABS(Calc_2!BQ103)&gt;Tolerance)</f>
        <v>0</v>
      </c>
      <c r="BR21" s="51" t="n">
        <f aca="false">N((Calc_2!BR$4&gt;=Calc_2!$F18)*ABS(Calc_2!BR103)&gt;Tolerance)</f>
        <v>0</v>
      </c>
      <c r="BS21" s="51" t="n">
        <f aca="false">N((Calc_2!BS$4&gt;=Calc_2!$F18)*ABS(Calc_2!BS103)&gt;Tolerance)</f>
        <v>0</v>
      </c>
      <c r="BT21" s="51" t="n">
        <f aca="false">N((Calc_2!BT$4&gt;=Calc_2!$F18)*ABS(Calc_2!BT103)&gt;Tolerance)</f>
        <v>0</v>
      </c>
      <c r="BU21" s="51" t="n">
        <f aca="false">N((Calc_2!BU$4&gt;=Calc_2!$F18)*ABS(Calc_2!BU103)&gt;Tolerance)</f>
        <v>0</v>
      </c>
      <c r="BV21" s="51" t="n">
        <f aca="false">N((Calc_2!BV$4&gt;=Calc_2!$F18)*ABS(Calc_2!BV103)&gt;Tolerance)</f>
        <v>0</v>
      </c>
      <c r="BW21" s="51" t="n">
        <f aca="false">N((Calc_2!BW$4&gt;=Calc_2!$F18)*ABS(Calc_2!BW103)&gt;Tolerance)</f>
        <v>0</v>
      </c>
      <c r="BX21" s="51" t="n">
        <f aca="false">N((Calc_2!BX$4&gt;=Calc_2!$F18)*ABS(Calc_2!BX103)&gt;Tolerance)</f>
        <v>0</v>
      </c>
      <c r="BY21" s="51" t="n">
        <f aca="false">N((Calc_2!BY$4&gt;=Calc_2!$F18)*ABS(Calc_2!BY103)&gt;Tolerance)</f>
        <v>0</v>
      </c>
      <c r="BZ21" s="51" t="n">
        <f aca="false">N((Calc_2!BZ$4&gt;=Calc_2!$F18)*ABS(Calc_2!BZ103)&gt;Tolerance)</f>
        <v>0</v>
      </c>
      <c r="CA21" s="51" t="n">
        <f aca="false">N((Calc_2!CA$4&gt;=Calc_2!$F18)*ABS(Calc_2!CA103)&gt;Tolerance)</f>
        <v>0</v>
      </c>
      <c r="CB21" s="51" t="n">
        <f aca="false">N((Calc_2!CB$4&gt;=Calc_2!$F18)*ABS(Calc_2!CB103)&gt;Tolerance)</f>
        <v>0</v>
      </c>
      <c r="CC21" s="51" t="n">
        <f aca="false">N((Calc_2!CC$4&gt;=Calc_2!$F18)*ABS(Calc_2!CC103)&gt;Tolerance)</f>
        <v>0</v>
      </c>
      <c r="CD21" s="51" t="n">
        <f aca="false">N((Calc_2!CD$4&gt;=Calc_2!$F18)*ABS(Calc_2!CD103)&gt;Tolerance)</f>
        <v>0</v>
      </c>
      <c r="CE21" s="51" t="n">
        <f aca="false">N((Calc_2!CE$4&gt;=Calc_2!$F18)*ABS(Calc_2!CE103)&gt;Tolerance)</f>
        <v>0</v>
      </c>
      <c r="CF21" s="51" t="n">
        <f aca="false">N((Calc_2!CF$4&gt;=Calc_2!$F18)*ABS(Calc_2!CF103)&gt;Tolerance)</f>
        <v>0</v>
      </c>
      <c r="CG21" s="51" t="n">
        <f aca="false">N((Calc_2!CG$4&gt;=Calc_2!$F18)*ABS(Calc_2!CG103)&gt;Tolerance)</f>
        <v>0</v>
      </c>
      <c r="CH21" s="51" t="n">
        <f aca="false">N((Calc_2!CH$4&gt;=Calc_2!$F18)*ABS(Calc_2!CH103)&gt;Tolerance)</f>
        <v>0</v>
      </c>
      <c r="CI21" s="51" t="n">
        <f aca="false">N((Calc_2!CI$4&gt;=Calc_2!$F18)*ABS(Calc_2!CI103)&gt;Tolerance)</f>
        <v>0</v>
      </c>
      <c r="CJ21" s="51" t="n">
        <f aca="false">N((Calc_2!CJ$4&gt;=Calc_2!$F18)*ABS(Calc_2!CJ103)&gt;Tolerance)</f>
        <v>0</v>
      </c>
      <c r="CK21" s="51" t="n">
        <f aca="false">N((Calc_2!CK$4&gt;=Calc_2!$F18)*ABS(Calc_2!CK103)&gt;Tolerance)</f>
        <v>0</v>
      </c>
      <c r="CL21" s="51" t="n">
        <f aca="false">N((Calc_2!CL$4&gt;=Calc_2!$F18)*ABS(Calc_2!CL103)&gt;Tolerance)</f>
        <v>0</v>
      </c>
      <c r="CM21" s="51" t="n">
        <f aca="false">N((Calc_2!CM$4&gt;=Calc_2!$F18)*ABS(Calc_2!CM103)&gt;Tolerance)</f>
        <v>0</v>
      </c>
      <c r="CN21" s="51" t="n">
        <f aca="false">N((Calc_2!CN$4&gt;=Calc_2!$F18)*ABS(Calc_2!CN103)&gt;Tolerance)</f>
        <v>0</v>
      </c>
      <c r="CO21" s="51" t="n">
        <f aca="false">N((Calc_2!CO$4&gt;=Calc_2!$F18)*ABS(Calc_2!CO103)&gt;Tolerance)</f>
        <v>0</v>
      </c>
      <c r="CP21" s="51" t="n">
        <f aca="false">N((Calc_2!CP$4&gt;=Calc_2!$F18)*ABS(Calc_2!CP103)&gt;Tolerance)</f>
        <v>0</v>
      </c>
      <c r="CQ21" s="51" t="n">
        <f aca="false">N((Calc_2!CQ$4&gt;=Calc_2!$F18)*ABS(Calc_2!CQ103)&gt;Tolerance)</f>
        <v>0</v>
      </c>
      <c r="CR21" s="51" t="n">
        <f aca="false">N((Calc_2!CR$4&gt;=Calc_2!$F18)*ABS(Calc_2!CR103)&gt;Tolerance)</f>
        <v>0</v>
      </c>
      <c r="CS21" s="51" t="n">
        <f aca="false">N((Calc_2!CS$4&gt;=Calc_2!$F18)*ABS(Calc_2!CS103)&gt;Tolerance)</f>
        <v>0</v>
      </c>
      <c r="CT21" s="51" t="n">
        <f aca="false">N((Calc_2!CT$4&gt;=Calc_2!$F18)*ABS(Calc_2!CT103)&gt;Tolerance)</f>
        <v>0</v>
      </c>
      <c r="CU21" s="51" t="n">
        <f aca="false">N((Calc_2!CU$4&gt;=Calc_2!$F18)*ABS(Calc_2!CU103)&gt;Tolerance)</f>
        <v>0</v>
      </c>
      <c r="CV21" s="51" t="n">
        <f aca="false">N((Calc_2!CV$4&gt;=Calc_2!$F18)*ABS(Calc_2!CV103)&gt;Tolerance)</f>
        <v>0</v>
      </c>
      <c r="CW21" s="51" t="n">
        <f aca="false">N((Calc_2!CW$4&gt;=Calc_2!$F18)*ABS(Calc_2!CW103)&gt;Tolerance)</f>
        <v>0</v>
      </c>
      <c r="CX21" s="51" t="n">
        <f aca="false">N((Calc_2!CX$4&gt;=Calc_2!$F18)*ABS(Calc_2!CX103)&gt;Tolerance)</f>
        <v>0</v>
      </c>
      <c r="CY21" s="51" t="n">
        <f aca="false">N((Calc_2!CY$4&gt;=Calc_2!$F18)*ABS(Calc_2!CY103)&gt;Tolerance)</f>
        <v>0</v>
      </c>
      <c r="CZ21" s="51" t="n">
        <f aca="false">N((Calc_2!CZ$4&gt;=Calc_2!$F18)*ABS(Calc_2!CZ103)&gt;Tolerance)</f>
        <v>0</v>
      </c>
      <c r="DA21" s="51" t="n">
        <f aca="false">N((Calc_2!DA$4&gt;=Calc_2!$F18)*ABS(Calc_2!DA103)&gt;Tolerance)</f>
        <v>0</v>
      </c>
      <c r="DB21" s="51" t="n">
        <f aca="false">N((Calc_2!DB$4&gt;=Calc_2!$F18)*ABS(Calc_2!DB103)&gt;Tolerance)</f>
        <v>0</v>
      </c>
      <c r="DC21" s="51" t="n">
        <f aca="false">N((Calc_2!DC$4&gt;=Calc_2!$F18)*ABS(Calc_2!DC103)&gt;Tolerance)</f>
        <v>0</v>
      </c>
      <c r="DD21" s="51" t="n">
        <f aca="false">N((Calc_2!DD$4&gt;=Calc_2!$F18)*ABS(Calc_2!DD103)&gt;Tolerance)</f>
        <v>0</v>
      </c>
      <c r="DE21" s="51" t="n">
        <f aca="false">N((Calc_2!DE$4&gt;=Calc_2!$F18)*ABS(Calc_2!DE103)&gt;Tolerance)</f>
        <v>0</v>
      </c>
      <c r="DF21" s="51" t="n">
        <f aca="false">N((Calc_2!DF$4&gt;=Calc_2!$F18)*ABS(Calc_2!DF103)&gt;Tolerance)</f>
        <v>0</v>
      </c>
      <c r="DG21" s="51" t="n">
        <f aca="false">N((Calc_2!DG$4&gt;=Calc_2!$F18)*ABS(Calc_2!DG103)&gt;Tolerance)</f>
        <v>0</v>
      </c>
      <c r="DH21" s="51" t="n">
        <f aca="false">N((Calc_2!DH$4&gt;=Calc_2!$F18)*ABS(Calc_2!DH103)&gt;Tolerance)</f>
        <v>0</v>
      </c>
      <c r="DI21" s="51" t="n">
        <f aca="false">N((Calc_2!DI$4&gt;=Calc_2!$F18)*ABS(Calc_2!DI103)&gt;Tolerance)</f>
        <v>0</v>
      </c>
      <c r="DJ21" s="51" t="n">
        <f aca="false">N((Calc_2!DJ$4&gt;=Calc_2!$F18)*ABS(Calc_2!DJ103)&gt;Tolerance)</f>
        <v>0</v>
      </c>
      <c r="DK21" s="51" t="n">
        <f aca="false">N((Calc_2!DK$4&gt;=Calc_2!$F18)*ABS(Calc_2!DK103)&gt;Tolerance)</f>
        <v>0</v>
      </c>
      <c r="DL21" s="51" t="n">
        <f aca="false">N((Calc_2!DL$4&gt;=Calc_2!$F18)*ABS(Calc_2!DL103)&gt;Tolerance)</f>
        <v>0</v>
      </c>
      <c r="DM21" s="51" t="n">
        <f aca="false">N((Calc_2!DM$4&gt;=Calc_2!$F18)*ABS(Calc_2!DM103)&gt;Tolerance)</f>
        <v>0</v>
      </c>
      <c r="DN21" s="51" t="n">
        <f aca="false">N((Calc_2!DN$4&gt;=Calc_2!$F18)*ABS(Calc_2!DN103)&gt;Tolerance)</f>
        <v>0</v>
      </c>
      <c r="DO21" s="51" t="n">
        <f aca="false">N((Calc_2!DO$4&gt;=Calc_2!$F18)*ABS(Calc_2!DO103)&gt;Tolerance)</f>
        <v>0</v>
      </c>
      <c r="DP21" s="51" t="n">
        <f aca="false">N((Calc_2!DP$4&gt;=Calc_2!$F18)*ABS(Calc_2!DP103)&gt;Tolerance)</f>
        <v>0</v>
      </c>
      <c r="DQ21" s="51" t="n">
        <f aca="false">N((Calc_2!DQ$4&gt;=Calc_2!$F18)*ABS(Calc_2!DQ103)&gt;Tolerance)</f>
        <v>0</v>
      </c>
      <c r="DR21" s="51" t="n">
        <f aca="false">N((Calc_2!DR$4&gt;=Calc_2!$F18)*ABS(Calc_2!DR103)&gt;Tolerance)</f>
        <v>0</v>
      </c>
      <c r="DS21" s="51" t="n">
        <f aca="false">N((Calc_2!DS$4&gt;=Calc_2!$F18)*ABS(Calc_2!DS103)&gt;Tolerance)</f>
        <v>0</v>
      </c>
      <c r="DT21" s="51" t="n">
        <f aca="false">N((Calc_2!DT$4&gt;=Calc_2!$F18)*ABS(Calc_2!DT103)&gt;Tolerance)</f>
        <v>0</v>
      </c>
      <c r="DU21" s="51" t="n">
        <f aca="false">N((Calc_2!DU$4&gt;=Calc_2!$F18)*ABS(Calc_2!DU103)&gt;Tolerance)</f>
        <v>0</v>
      </c>
      <c r="DV21" s="51" t="n">
        <f aca="false">N((Calc_2!DV$4&gt;=Calc_2!$F18)*ABS(Calc_2!DV103)&gt;Tolerance)</f>
        <v>0</v>
      </c>
      <c r="DW21" s="51" t="n">
        <f aca="false">N((Calc_2!DW$4&gt;=Calc_2!$F18)*ABS(Calc_2!DW103)&gt;Tolerance)</f>
        <v>0</v>
      </c>
      <c r="DX21" s="51" t="n">
        <f aca="false">N((Calc_2!DX$4&gt;=Calc_2!$F18)*ABS(Calc_2!DX103)&gt;Tolerance)</f>
        <v>0</v>
      </c>
      <c r="DY21" s="51" t="n">
        <f aca="false">N((Calc_2!DY$4&gt;=Calc_2!$F18)*ABS(Calc_2!DY103)&gt;Tolerance)</f>
        <v>0</v>
      </c>
      <c r="DZ21" s="51" t="n">
        <f aca="false">N((Calc_2!DZ$4&gt;=Calc_2!$F18)*ABS(Calc_2!DZ103)&gt;Tolerance)</f>
        <v>0</v>
      </c>
      <c r="EA21" s="51" t="n">
        <f aca="false">N((Calc_2!EA$4&gt;=Calc_2!$F18)*ABS(Calc_2!EA103)&gt;Tolerance)</f>
        <v>0</v>
      </c>
      <c r="EB21" s="51" t="n">
        <f aca="false">N((Calc_2!EB$4&gt;=Calc_2!$F18)*ABS(Calc_2!EB103)&gt;Tolerance)</f>
        <v>0</v>
      </c>
      <c r="EC21" s="51" t="n">
        <f aca="false">N((Calc_2!EC$4&gt;=Calc_2!$F18)*ABS(Calc_2!EC103)&gt;Tolerance)</f>
        <v>0</v>
      </c>
      <c r="ED21" s="51" t="n">
        <f aca="false">N((Calc_2!ED$4&gt;=Calc_2!$F18)*ABS(Calc_2!ED103)&gt;Tolerance)</f>
        <v>0</v>
      </c>
      <c r="EE21" s="51" t="n">
        <f aca="false">N((Calc_2!EE$4&gt;=Calc_2!$F18)*ABS(Calc_2!EE103)&gt;Tolerance)</f>
        <v>0</v>
      </c>
      <c r="EF21" s="51" t="n">
        <f aca="false">N((Calc_2!EF$4&gt;=Calc_2!$F18)*ABS(Calc_2!EF103)&gt;Tolerance)</f>
        <v>0</v>
      </c>
      <c r="EG21" s="51" t="n">
        <f aca="false">N((Calc_2!EG$4&gt;=Calc_2!$F18)*ABS(Calc_2!EG103)&gt;Tolerance)</f>
        <v>0</v>
      </c>
      <c r="EH21" s="51" t="n">
        <f aca="false">N((Calc_2!EH$4&gt;=Calc_2!$F18)*ABS(Calc_2!EH103)&gt;Tolerance)</f>
        <v>0</v>
      </c>
      <c r="EI21" s="51" t="n">
        <f aca="false">N((Calc_2!EI$4&gt;=Calc_2!$F18)*ABS(Calc_2!EI103)&gt;Tolerance)</f>
        <v>0</v>
      </c>
      <c r="EJ21" s="51" t="n">
        <f aca="false">N((Calc_2!EJ$4&gt;=Calc_2!$F18)*ABS(Calc_2!EJ103)&gt;Tolerance)</f>
        <v>0</v>
      </c>
      <c r="EK21" s="51" t="n">
        <f aca="false">N((Calc_2!EK$4&gt;=Calc_2!$F18)*ABS(Calc_2!EK103)&gt;Tolerance)</f>
        <v>0</v>
      </c>
      <c r="EL21" s="51" t="n">
        <f aca="false">N((Calc_2!EL$4&gt;=Calc_2!$F18)*ABS(Calc_2!EL103)&gt;Tolerance)</f>
        <v>0</v>
      </c>
      <c r="EM21" s="51" t="n">
        <f aca="false">N((Calc_2!EM$4&gt;=Calc_2!$F18)*ABS(Calc_2!EM103)&gt;Tolerance)</f>
        <v>0</v>
      </c>
      <c r="EN21" s="51" t="n">
        <f aca="false">N((Calc_2!EN$4&gt;=Calc_2!$F18)*ABS(Calc_2!EN103)&gt;Tolerance)</f>
        <v>0</v>
      </c>
      <c r="EO21" s="51" t="n">
        <f aca="false">N((Calc_2!EO$4&gt;=Calc_2!$F18)*ABS(Calc_2!EO103)&gt;Tolerance)</f>
        <v>0</v>
      </c>
    </row>
    <row r="22" customFormat="false" ht="15" hidden="false" customHeight="false" outlineLevel="0" collapsed="false">
      <c r="C22" s="1" t="s">
        <v>544</v>
      </c>
      <c r="D22" s="12" t="s">
        <v>43</v>
      </c>
      <c r="E22" s="28" t="str">
        <f aca="false">IF(F22=0,"OK","CHECK")</f>
        <v>OK</v>
      </c>
      <c r="F22" s="51" t="n">
        <f aca="false">N(Calc_1!$E107&lt;In_DSCR-Tolerance)</f>
        <v>0</v>
      </c>
    </row>
    <row r="23" customFormat="false" ht="15" hidden="false" customHeight="false" outlineLevel="0" collapsed="false">
      <c r="C23" s="1" t="s">
        <v>545</v>
      </c>
      <c r="D23" s="12" t="s">
        <v>43</v>
      </c>
      <c r="E23" s="28" t="str">
        <f aca="false">IF(F23=0,"OK","CHECK")</f>
        <v>OK</v>
      </c>
      <c r="F23" s="51" t="n">
        <f aca="false">N(Calc_2!$E107&lt;In_DSCR-Tolerance)</f>
        <v>0</v>
      </c>
    </row>
    <row r="24" customFormat="false" ht="15" hidden="false" customHeight="false" outlineLevel="0" collapsed="false">
      <c r="C24" s="1" t="s">
        <v>546</v>
      </c>
      <c r="D24" s="12" t="s">
        <v>43</v>
      </c>
      <c r="E24" s="28" t="str">
        <f aca="false">IF(F24=0,"OK","CHECK")</f>
        <v>OK</v>
      </c>
      <c r="F24" s="51" t="n">
        <f aca="false">N(ABS(Calc_1!$E128+Calc_1!$I135-Calc_1!$E103)&gt;Tolerance)</f>
        <v>0</v>
      </c>
    </row>
    <row r="25" customFormat="false" ht="15" hidden="false" customHeight="false" outlineLevel="0" collapsed="false">
      <c r="C25" s="1" t="s">
        <v>547</v>
      </c>
      <c r="D25" s="12" t="s">
        <v>43</v>
      </c>
      <c r="E25" s="28" t="str">
        <f aca="false">IF(F25=0,"OK","CHECK")</f>
        <v>OK</v>
      </c>
      <c r="F25" s="51" t="n">
        <f aca="false">N(ABS(Calc_2!$E128+Calc_2!$I135-Calc_2!$E103)&gt;Tolerance)</f>
        <v>0</v>
      </c>
    </row>
    <row r="26" customFormat="false" ht="15" hidden="false" customHeight="false" outlineLevel="0" collapsed="false">
      <c r="C26" s="1" t="s">
        <v>548</v>
      </c>
      <c r="D26" s="12" t="s">
        <v>43</v>
      </c>
      <c r="E26" s="28" t="str">
        <f aca="false">IF(F26=0,"OK","CHECK")</f>
        <v>OK</v>
      </c>
      <c r="F26" s="51" t="n">
        <f aca="false">N(ISERROR(Calc_1!$E140))+N(ISERROR(Calc_1!$E153))+N(ISERROR(Calc_1!$E151))+N(ISERROR(Calc_1!$E147))</f>
        <v>0</v>
      </c>
    </row>
    <row r="27" customFormat="false" ht="15" hidden="false" customHeight="false" outlineLevel="0" collapsed="false">
      <c r="C27" s="1" t="s">
        <v>549</v>
      </c>
      <c r="D27" s="12" t="s">
        <v>43</v>
      </c>
      <c r="E27" s="28" t="str">
        <f aca="false">IF(F27=0,"OK","CHECK")</f>
        <v>OK</v>
      </c>
      <c r="F27" s="51" t="n">
        <f aca="false">N(ISERROR(Calc_2!$E140))+N(ISERROR(Calc_2!$E153))+N(ISERROR(Calc_2!$E151))+N(ISERROR(Calc_2!$E147))</f>
        <v>0</v>
      </c>
    </row>
    <row r="28" customFormat="false" ht="15" hidden="false" customHeight="false" outlineLevel="0" collapsed="false">
      <c r="C28" s="1" t="s">
        <v>550</v>
      </c>
      <c r="D28" s="12" t="s">
        <v>43</v>
      </c>
      <c r="E28" s="28" t="str">
        <f aca="false">IF(F28=0,"OK","CHECK")</f>
        <v>OK</v>
      </c>
      <c r="F28" s="51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551</v>
      </c>
      <c r="F30" s="63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4" t="str">
        <f aca="false">IF(F32=0,"OK","CHECK")</f>
        <v>OK</v>
      </c>
      <c r="F32" s="63" t="n">
        <f aca="false">SUMPRODUCT(ABS(F12:F28))</f>
        <v>0</v>
      </c>
    </row>
    <row r="34" customFormat="false" ht="15" hidden="false" customHeight="false" outlineLevel="0" collapsed="false">
      <c r="C34" s="43" t="s">
        <v>188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2026-10-18T08:59:24Z</dcterms:created>
  <dc:creator>openpyxl</dc:creator>
  <dc:description/>
  <dc:language>en-US</dc:language>
  <cp:lastModifiedBy/>
  <dcterms:modified xsi:type="dcterms:W3CDTF">2026-10-18T08:59:32Z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