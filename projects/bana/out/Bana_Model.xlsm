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Dashboard!$H$113:$S$113</definedName>
    <definedName function="false" hidden="false" name="Buyer_IRR_L_2_Stored" vbProcedure="false">Dashboard!$H$114:$S$114</definedName>
    <definedName function="false" hidden="false" name="Buyer_IRR_U_1_Stored" vbProcedure="false">Dashboard!$H$111:$S$111</definedName>
    <definedName function="false" hidden="false" name="Buyer_IRR_U_2_Stored" vbProcedure="false">Dashboard!$H$112:$S$112</definedName>
    <definedName function="false" hidden="false" name="Checks_1_Stored" vbProcedure="false">Dashboard!$H$117:$S$117</definedName>
    <definedName function="false" hidden="false" name="Checks_2_Stored" vbProcedure="false">Dashboard!$H$118:$S$118</definedName>
    <definedName function="false" hidden="false" name="COD_IRR_1_Stored" vbProcedure="false">Dashboard!$H$99:$S$99</definedName>
    <definedName function="false" hidden="false" name="COD_IRR_2_Stored" vbProcedure="false">Dashboard!$H$100:$S$100</definedName>
    <definedName function="false" hidden="false" name="COD_MOIC_1_Stored" vbProcedure="false">Dashboard!$H$101:$S$101</definedName>
    <definedName function="false" hidden="false" name="COD_MOIC_2_Stored" vbProcedure="false">Dashboard!$H$102:$S$102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Dashboard!$H$107:$S$107</definedName>
    <definedName function="false" hidden="false" name="Debt_COD_2_Stored" vbProcedure="false">Dashboard!$H$108:$S$108</definedName>
    <definedName function="false" hidden="false" name="Equity_COD_1_Stored" vbProcedure="false">Dashboard!$H$109:$S$109</definedName>
    <definedName function="false" hidden="false" name="Equity_COD_2_Stored" vbProcedure="false">Dashboard!$H$110:$S$110</definedName>
    <definedName function="false" hidden="false" name="GoalSeek_Topics" vbProcedure="false">Inputs!$F$108</definedName>
    <definedName function="false" hidden="false" name="HTM_IRR_1_Stored" vbProcedure="false">Dashboard!$H$103:$S$103</definedName>
    <definedName function="false" hidden="false" name="HTM_IRR_2_Stored" vbProcedure="false">Dashboard!$H$104:$S$104</definedName>
    <definedName function="false" hidden="false" name="HTM_MOIC_1_Stored" vbProcedure="false">Dashboard!$H$105:$S$105</definedName>
    <definedName function="false" hidden="false" name="HTM_MOIC_2_Stored" vbProcedure="false">Dashboard!$H$106:$S$106</definedName>
    <definedName function="false" hidden="false" name="In_Admin" vbProcedure="false">Inputs!$F$87</definedName>
    <definedName function="false" hidden="false" name="In_Award_Date" vbProcedure="false">Inputs!$F$22</definedName>
    <definedName function="false" hidden="false" name="In_Bench_BESS" vbProcedure="false">Inputs!$F$59</definedName>
    <definedName function="false" hidden="false" name="In_Bench_Wind" vbProcedure="false">Inputs!$F$60</definedName>
    <definedName function="false" hidden="false" name="In_BESS_Built" vbProcedure="false">Inputs!$F$54</definedName>
    <definedName function="false" hidden="false" name="In_BESS_Capex" vbProcedure="false">Inputs!$F$76</definedName>
    <definedName function="false" hidden="false" name="In_Bid_Date" vbProcedure="false">Inputs!$F$21</definedName>
    <definedName function="false" hidden="false" name="In_Bid_Rate" vbProcedure="false">Inputs!$F$62</definedName>
    <definedName function="false" hidden="false" name="In_Bottleneck_Loss" vbProcedure="false">Inputs!$F$53</definedName>
    <definedName function="false" hidden="false" name="In_Capex_Contingency" vbProcedure="false">Inputs!$F$75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Inputs!$F$103</definedName>
    <definedName function="false" hidden="false" name="In_Curtailment" vbProcedure="false">Inputs!$F$80</definedName>
    <definedName function="false" hidden="false" name="In_DD" vbProcedure="false">Inputs!$F$35</definedName>
    <definedName function="false" hidden="false" name="In_Debt_Mult" vbProcedure="false">Inputs!$F$96</definedName>
    <definedName function="false" hidden="false" name="In_Debt_Rate" vbProcedure="false">Inputs!$F$101</definedName>
    <definedName function="false" hidden="false" name="In_Debt_Tenor" vbProcedure="false">Inputs!$F$100</definedName>
    <definedName function="false" hidden="false" name="In_Decision_Date" vbProcedure="false">Inputs!$F$23</definedName>
    <definedName function="false" hidden="false" name="In_Degradation" vbProcedure="false">Inputs!$F$81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Inputs!$F$65</definedName>
    <definedName function="false" hidden="false" name="In_Discount_Rate" vbProcedure="false">Inputs!$F$40</definedName>
    <definedName function="false" hidden="false" name="In_DSCR" vbProcedure="false">Inputs!$F$99</definedName>
    <definedName function="false" hidden="false" name="In_DSCR_Max_High" vbProcedure="false">Inputs!$F$98</definedName>
    <definedName function="false" hidden="false" name="In_DSCR_Max_Low" vbProcedure="false">Inputs!$F$97</definedName>
    <definedName function="false" hidden="false" name="In_DSRA_Months" vbProcedure="false">Inputs!$F$104</definedName>
    <definedName function="false" hidden="false" name="In_Fixed_Opex" vbProcedure="false">Inputs!$F$85</definedName>
    <definedName function="false" hidden="false" name="In_FX" vbProcedure="false">Inputs!$F$33</definedName>
    <definedName function="false" hidden="false" name="In_Gearing" vbProcedure="false">Inputs!$F$95</definedName>
    <definedName function="false" hidden="false" name="In_Guarantee_Fee" vbProcedure="false">Inputs!$F$67</definedName>
    <definedName function="false" hidden="false" name="In_HCSSZ_Date" vbProcedure="false">Inputs!$F$27</definedName>
    <definedName function="false" hidden="false" name="In_HIPA" vbProcedure="false">Inputs!$F$91</definedName>
    <definedName function="false" hidden="false" name="In_Indirect_Fee" vbProcedure="false">Inputs!$F$66</definedName>
    <definedName function="false" hidden="false" name="In_Innovation" vbProcedure="false">Inputs!$F$92</definedName>
    <definedName function="false" hidden="false" name="In_Lease" vbProcedure="false">Inputs!$F$86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Inputs!$F$90</definedName>
    <definedName function="false" hidden="false" name="In_Min_Hours" vbProcedure="false">Inputs!$F$55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Inputs!$F$88</definedName>
    <definedName function="false" hidden="false" name="In_Opex_Esc" vbProcedure="false">Inputs!$F$89</definedName>
    <definedName function="false" hidden="false" name="In_Other_Wind" vbProcedure="false">Inputs!$F$72</definedName>
    <definedName function="false" hidden="false" name="In_Overbuild_Built" vbProcedure="false">Inputs!$F$52</definedName>
    <definedName function="false" hidden="false" name="In_P50_Hours" vbProcedure="false">Inputs!$F$79</definedName>
    <definedName function="false" hidden="false" name="In_Part_Fee" vbProcedure="false">Inputs!$F$61</definedName>
    <definedName function="false" hidden="false" name="In_PB_Days" vbProcedure="false">Inputs!$F$24</definedName>
    <definedName function="false" hidden="false" name="In_PB_Rate" vbProcedure="false">Inputs!$F$63</definedName>
    <definedName function="false" hidden="false" name="In_PB_Release" vbProcedure="false">Inputs!$F$30</definedName>
    <definedName function="false" hidden="false" name="In_PPA_Esc" vbProcedure="false">Inputs!$F$83</definedName>
    <definedName function="false" hidden="false" name="In_PPA_Price" vbProcedure="false">Inputs!$F$82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Inputs!$F$58</definedName>
    <definedName function="false" hidden="false" name="In_Sanction_Regime" vbProcedure="false">Inputs!$F$57</definedName>
    <definedName function="false" hidden="false" name="In_Substation" vbProcedure="false">Inputs!$F$73</definedName>
    <definedName function="false" hidden="false" name="In_Substation_CN" vbProcedure="false">Inputs!$F$74</definedName>
    <definedName function="false" hidden="false" name="In_Tolerance_Cap" vbProcedure="false">Inputs!$F$56</definedName>
    <definedName function="false" hidden="false" name="In_TSO_Security" vbProcedure="false">Inputs!$F$64</definedName>
    <definedName function="false" hidden="false" name="In_Turbine" vbProcedure="false">Inputs!$F$70</definedName>
    <definedName function="false" hidden="false" name="In_Turbine_CN" vbProcedure="false">Inputs!$F$71</definedName>
    <definedName function="false" hidden="false" name="In_Upfront_Fee" vbProcedure="false">Inputs!$F$102</definedName>
    <definedName function="false" hidden="false" name="In_Var_Opex" vbProcedure="false">Inputs!$F$84</definedName>
    <definedName function="false" hidden="false" name="Live_Results" vbProcedure="false">Dashboard!$E$99:$E$118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Dashboard!$H$115:$S$115</definedName>
    <definedName function="false" hidden="false" name="Min_DSCR_2_Stored" vbProcedure="false">Dashboard!$H$116:$S$116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Dashboard!$E$32</definedName>
    <definedName function="false" hidden="false" name="Out_Bottleneck_Loss_2" vbProcedure="false">Dashboard!$F$32</definedName>
    <definedName function="false" hidden="false" name="Out_Buyer_IRR_L_1" vbProcedure="false">Dashboard!$E$75</definedName>
    <definedName function="false" hidden="false" name="Out_Buyer_IRR_L_2" vbProcedure="false">Dashboard!$F$75</definedName>
    <definedName function="false" hidden="false" name="Out_Buyer_IRR_U_1" vbProcedure="false">Dashboard!$E$74</definedName>
    <definedName function="false" hidden="false" name="Out_Buyer_IRR_U_2" vbProcedure="false">Dashboard!$F$74</definedName>
    <definedName function="false" hidden="false" name="Out_Capacity_Used_1" vbProcedure="false">Dashboard!$E$80</definedName>
    <definedName function="false" hidden="false" name="Out_Capacity_Used_2" vbProcedure="false">Dashboard!$F$80</definedName>
    <definedName function="false" hidden="false" name="Out_Checks_1" vbProcedure="false">Dashboard!$E$96</definedName>
    <definedName function="false" hidden="false" name="Out_Checks_2" vbProcedure="false">Dashboard!$F$96</definedName>
    <definedName function="false" hidden="false" name="Out_COD_IRR_1" vbProcedure="false">Dashboard!$E$38</definedName>
    <definedName function="false" hidden="false" name="Out_COD_IRR_2" vbProcedure="false">Dashboard!$F$38</definedName>
    <definedName function="false" hidden="false" name="Out_COD_MOIC_1" vbProcedure="false">Dashboard!$E$39</definedName>
    <definedName function="false" hidden="false" name="Out_COD_MOIC_2" vbProcedure="false">Dashboard!$F$39</definedName>
    <definedName function="false" hidden="false" name="Out_COD_NPV_1" vbProcedure="false">Dashboard!$E$40</definedName>
    <definedName function="false" hidden="false" name="Out_COD_NPV_2" vbProcedure="false">Dashboard!$F$40</definedName>
    <definedName function="false" hidden="false" name="Out_COD_Price_1" vbProcedure="false">Dashboard!$E$71</definedName>
    <definedName function="false" hidden="false" name="Out_COD_Price_2" vbProcedure="false">Dashboard!$F$71</definedName>
    <definedName function="false" hidden="false" name="Out_COD_Proceeds_1" vbProcedure="false">Dashboard!$E$72</definedName>
    <definedName function="false" hidden="false" name="Out_COD_Proceeds_2" vbProcedure="false">Dashboard!$F$72</definedName>
    <definedName function="false" hidden="false" name="Out_COD_Profit_1" vbProcedure="false">Dashboard!$E$37</definedName>
    <definedName function="false" hidden="false" name="Out_COD_Profit_2" vbProcedure="false">Dashboard!$F$37</definedName>
    <definedName function="false" hidden="false" name="Out_COD_Tax_1" vbProcedure="false">Dashboard!$E$73</definedName>
    <definedName function="false" hidden="false" name="Out_COD_Tax_2" vbProcedure="false">Dashboard!$F$73</definedName>
    <definedName function="false" hidden="false" name="Out_Debt_Capacity_1" vbProcedure="false">Dashboard!$E$78</definedName>
    <definedName function="false" hidden="false" name="Out_Debt_Capacity_2" vbProcedure="false">Dashboard!$F$78</definedName>
    <definedName function="false" hidden="false" name="Out_Debt_COD_1" vbProcedure="false">Dashboard!$E$56</definedName>
    <definedName function="false" hidden="false" name="Out_Debt_COD_2" vbProcedure="false">Dashboard!$F$56</definedName>
    <definedName function="false" hidden="false" name="Out_Debt_Max_High_1" vbProcedure="false">Dashboard!$E$85</definedName>
    <definedName function="false" hidden="false" name="Out_Debt_Max_High_2" vbProcedure="false">Dashboard!$F$85</definedName>
    <definedName function="false" hidden="false" name="Out_Debt_Max_High_Pct_1" vbProcedure="false">Dashboard!$E$86</definedName>
    <definedName function="false" hidden="false" name="Out_Debt_Max_High_Pct_2" vbProcedure="false">Dashboard!$F$86</definedName>
    <definedName function="false" hidden="false" name="Out_Debt_Max_Low_1" vbProcedure="false">Dashboard!$E$82</definedName>
    <definedName function="false" hidden="false" name="Out_Debt_Max_Low_2" vbProcedure="false">Dashboard!$F$82</definedName>
    <definedName function="false" hidden="false" name="Out_Debt_Max_Low_Pct_1" vbProcedure="false">Dashboard!$E$83</definedName>
    <definedName function="false" hidden="false" name="Out_Debt_Max_Low_Pct_2" vbProcedure="false">Dashboard!$F$83</definedName>
    <definedName function="false" hidden="false" name="Out_Debt_Share_1" vbProcedure="false">Dashboard!$E$79</definedName>
    <definedName function="false" hidden="false" name="Out_Debt_Share_2" vbProcedure="false">Dashboard!$F$79</definedName>
    <definedName function="false" hidden="false" name="Out_DSCR_Max_High_1" vbProcedure="false">Dashboard!$E$84</definedName>
    <definedName function="false" hidden="false" name="Out_DSCR_Max_High_2" vbProcedure="false">Dashboard!$F$84</definedName>
    <definedName function="false" hidden="false" name="Out_DSCR_Max_Low_1" vbProcedure="false">Dashboard!$E$81</definedName>
    <definedName function="false" hidden="false" name="Out_DSCR_Max_Low_2" vbProcedure="false">Dashboard!$F$81</definedName>
    <definedName function="false" hidden="false" name="Out_DSRA_1" vbProcedure="false">Dashboard!$E$87</definedName>
    <definedName function="false" hidden="false" name="Out_DSRA_2" vbProcedure="false">Dashboard!$F$87</definedName>
    <definedName function="false" hidden="false" name="Out_EBITDA_Life_1" vbProcedure="false">Dashboard!$E$93</definedName>
    <definedName function="false" hidden="false" name="Out_EBITDA_Life_2" vbProcedure="false">Dashboard!$F$93</definedName>
    <definedName function="false" hidden="false" name="Out_EBITDA_Year1_1" vbProcedure="false">Dashboard!$E$91</definedName>
    <definedName function="false" hidden="false" name="Out_EBITDA_Year1_2" vbProcedure="false">Dashboard!$F$91</definedName>
    <definedName function="false" hidden="false" name="Out_Equity_COD_1" vbProcedure="false">Dashboard!$E$57</definedName>
    <definedName function="false" hidden="false" name="Out_Equity_COD_2" vbProcedure="false">Dashboard!$F$57</definedName>
    <definedName function="false" hidden="false" name="Out_Equity_Peak_HTM_1" vbProcedure="false">Dashboard!$E$58</definedName>
    <definedName function="false" hidden="false" name="Out_Equity_Peak_HTM_2" vbProcedure="false">Dashboard!$F$58</definedName>
    <definedName function="false" hidden="false" name="Out_Gearing_Uses_1" vbProcedure="false">Dashboard!$E$59</definedName>
    <definedName function="false" hidden="false" name="Out_Gearing_Uses_2" vbProcedure="false">Dashboard!$F$59</definedName>
    <definedName function="false" hidden="false" name="Out_Gen_Year1_1" vbProcedure="false">Dashboard!$E$89</definedName>
    <definedName function="false" hidden="false" name="Out_Gen_Year1_2" vbProcedure="false">Dashboard!$F$89</definedName>
    <definedName function="false" hidden="false" name="Out_Guarantee_Fees_COD_1" vbProcedure="false">Dashboard!$E$68</definedName>
    <definedName function="false" hidden="false" name="Out_Guarantee_Fees_COD_2" vbProcedure="false">Dashboard!$F$68</definedName>
    <definedName function="false" hidden="false" name="Out_HTM_IRR_1" vbProcedure="false">Dashboard!$E$42</definedName>
    <definedName function="false" hidden="false" name="Out_HTM_IRR_2" vbProcedure="false">Dashboard!$F$42</definedName>
    <definedName function="false" hidden="false" name="Out_HTM_MOIC_1" vbProcedure="false">Dashboard!$E$43</definedName>
    <definedName function="false" hidden="false" name="Out_HTM_MOIC_2" vbProcedure="false">Dashboard!$F$43</definedName>
    <definedName function="false" hidden="false" name="Out_HTM_NPV_1" vbProcedure="false">Dashboard!$E$44</definedName>
    <definedName function="false" hidden="false" name="Out_HTM_NPV_2" vbProcedure="false">Dashboard!$F$44</definedName>
    <definedName function="false" hidden="false" name="Out_HTM_Profit_1" vbProcedure="false">Dashboard!$E$41</definedName>
    <definedName function="false" hidden="false" name="Out_HTM_Profit_2" vbProcedure="false">Dashboard!$F$41</definedName>
    <definedName function="false" hidden="false" name="Out_Min_DSCR_1" vbProcedure="false">Dashboard!$E$88</definedName>
    <definedName function="false" hidden="false" name="Out_Min_DSCR_2" vbProcedure="false">Dashboard!$F$88</definedName>
    <definedName function="false" hidden="false" name="Out_PB_Call_Full_1" vbProcedure="false">Dashboard!$E$34</definedName>
    <definedName function="false" hidden="false" name="Out_PB_Call_Full_2" vbProcedure="false">Dashboard!$F$34</definedName>
    <definedName function="false" hidden="false" name="Out_PB_Call_ProRata_1" vbProcedure="false">Dashboard!$E$33</definedName>
    <definedName function="false" hidden="false" name="Out_PB_Call_ProRata_2" vbProcedure="false">Dashboard!$F$33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Dashboard!$E$45</definedName>
    <definedName function="false" hidden="false" name="Out_Project_IRR_2" vbProcedure="false">Dashboard!$F$45</definedName>
    <definedName function="false" hidden="false" name="Out_Revenue_Life_1" vbProcedure="false">Dashboard!$E$92</definedName>
    <definedName function="false" hidden="false" name="Out_Revenue_Life_2" vbProcedure="false">Dashboard!$F$92</definedName>
    <definedName function="false" hidden="false" name="Out_Revenue_Year1_1" vbProcedure="false">Dashboard!$E$90</definedName>
    <definedName function="false" hidden="false" name="Out_Revenue_Year1_2" vbProcedure="false">Dashboard!$F$90</definedName>
    <definedName function="false" hidden="false" name="Out_Sec_bid_1" vbProcedure="false">Dashboard!$E$63</definedName>
    <definedName function="false" hidden="false" name="Out_Sec_bid_2" vbProcedure="false">Dashboard!$F$63</definedName>
    <definedName function="false" hidden="false" name="Out_Sec_direct_1" vbProcedure="false">Dashboard!$E$66</definedName>
    <definedName function="false" hidden="false" name="Out_Sec_direct_2" vbProcedure="false">Dashboard!$F$66</definedName>
    <definedName function="false" hidden="false" name="Out_Sec_fee_1" vbProcedure="false">Dashboard!$E$62</definedName>
    <definedName function="false" hidden="false" name="Out_Sec_fee_2" vbProcedure="false">Dashboard!$F$62</definedName>
    <definedName function="false" hidden="false" name="Out_Sec_indirect_1" vbProcedure="false">Dashboard!$E$67</definedName>
    <definedName function="false" hidden="false" name="Out_Sec_indirect_2" vbProcedure="false">Dashboard!$F$67</definedName>
    <definedName function="false" hidden="false" name="Out_Sec_pb_1" vbProcedure="false">Dashboard!$E$64</definedName>
    <definedName function="false" hidden="false" name="Out_Sec_pb_2" vbProcedure="false">Dashboard!$F$64</definedName>
    <definedName function="false" hidden="false" name="Out_Sec_tso_1" vbProcedure="false">Dashboard!$E$65</definedName>
    <definedName function="false" hidden="false" name="Out_Sec_tso_2" vbProcedure="false">Dashboard!$F$65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Dashboard!$E$94</definedName>
    <definedName function="false" hidden="false" name="Out_Tax_Life_2" vbProcedure="false">Dashboard!$F$94</definedName>
    <definedName function="false" hidden="false" name="Out_Tax_Losses_Lapsed_1" vbProcedure="false">Dashboard!$E$95</definedName>
    <definedName function="false" hidden="false" name="Out_Tax_Losses_Lapsed_2" vbProcedure="false">Dashboard!$F$95</definedName>
    <definedName function="false" hidden="false" name="Out_Uses_Capex_1" vbProcedure="false">Dashboard!$E$50</definedName>
    <definedName function="false" hidden="false" name="Out_Uses_Capex_2" vbProcedure="false">Dashboard!$F$50</definedName>
    <definedName function="false" hidden="false" name="Out_Uses_Connection_1" vbProcedure="false">Dashboard!$E$51</definedName>
    <definedName function="false" hidden="false" name="Out_Uses_Connection_2" vbProcedure="false">Dashboard!$F$51</definedName>
    <definedName function="false" hidden="false" name="Out_Uses_Development_1" vbProcedure="false">Dashboard!$E$48</definedName>
    <definedName function="false" hidden="false" name="Out_Uses_Development_2" vbProcedure="false">Dashboard!$F$48</definedName>
    <definedName function="false" hidden="false" name="Out_Uses_Financing_1" vbProcedure="false">Dashboard!$E$53</definedName>
    <definedName function="false" hidden="false" name="Out_Uses_Financing_2" vbProcedure="false">Dashboard!$F$53</definedName>
    <definedName function="false" hidden="false" name="Out_Uses_Lease_1" vbProcedure="false">Dashboard!$E$54</definedName>
    <definedName function="false" hidden="false" name="Out_Uses_Lease_2" vbProcedure="false">Dashboard!$F$54</definedName>
    <definedName function="false" hidden="false" name="Out_Uses_Municipal_1" vbProcedure="false">Dashboard!$E$52</definedName>
    <definedName function="false" hidden="false" name="Out_Uses_Municipal_2" vbProcedure="false">Dashboard!$F$52</definedName>
    <definedName function="false" hidden="false" name="Out_Uses_Securities_1" vbProcedure="false">Dashboard!$E$49</definedName>
    <definedName function="false" hidden="false" name="Out_Uses_Securities_2" vbProcedure="false">Dashboard!$F$49</definedName>
    <definedName function="false" hidden="false" name="Out_Uses_Total_1" vbProcedure="false">Dashboard!$E$55</definedName>
    <definedName function="false" hidden="false" name="Out_Uses_Total_2" vbProcedure="false">Dashboard!$F$55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oints_Decimals" vbProcedure="false">Inputs!$F$50</definedName>
    <definedName function="false" hidden="false" name="Scenario_Name" vbProcedure="false">Dashboard!$W$12</definedName>
    <definedName function="false" hidden="false" name="Scenario_Names" vbProcedure="false">Inputs!$H$7:$S$7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Inputs!$F$107</definedName>
    <definedName function="false" hidden="false" name="Stored_Results" vbProcedure="false">Dashboard!$H$99:$S$118</definedName>
    <definedName function="false" hidden="false" name="Tax_1_Copy" vbProcedure="false">Calc_1!$J$110:$EO$110</definedName>
    <definedName function="false" hidden="false" name="Tax_1_Delta" vbProcedure="false">Calc_1!$I$111</definedName>
    <definedName function="false" hidden="false" name="Tax_1_Paste" vbProcedure="false">Calc_1!$J$83:$EO$83</definedName>
    <definedName function="false" hidden="false" name="Tax_2_Copy" vbProcedure="false">Calc_2!$J$110:$EO$110</definedName>
    <definedName function="false" hidden="false" name="Tax_2_Delta" vbProcedure="false">Calc_2!$I$111</definedName>
    <definedName function="false" hidden="false" name="Tax_2_Paste" vbProcedure="false">Calc_2!$J$83:$EO$83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<sst xmlns="http://schemas.openxmlformats.org/spreadsheetml/2006/main" count="1208" uniqueCount="510">
  <si>
    <t xml:space="preserve">Project Bana</t>
  </si>
  <si>
    <t xml:space="preserve">50 MVA onshore wind, Ács Katódgyár – sale at COD vs hold to maturity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</si>
  <si>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</si>
  <si>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</si>
  <si>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</si>
  <si>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</si>
  <si>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</si>
  <si>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</si>
  <si>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</si>
  <si>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</si>
  <si>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</si>
  <si>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</si>
  <si>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</si>
  <si>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</si>
  <si>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</si>
  <si>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</si>
  <si>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</si>
  <si>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</si>
  <si>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</si>
  <si>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</si>
  <si>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</si>
  <si>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</si>
  <si>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</si>
  <si>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</si>
  <si>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</si>
  <si>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</si>
  <si>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</si>
  <si>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</si>
  <si>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</si>
  <si>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</si>
  <si>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</si>
  <si>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</si>
  <si>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</si>
  <si>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</si>
  <si>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</si>
  <si>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</si>
  <si>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</si>
  <si>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</si>
  <si>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</si>
  <si>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</si>
  <si>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</si>
  <si>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</si>
  <si>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</si>
  <si>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</si>
  <si>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</si>
  <si>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</si>
  <si>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</si>
  <si>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</si>
  <si>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</si>
  <si>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</si>
  <si>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</si>
  <si>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</si>
  <si>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</si>
  <si>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</si>
  <si>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</si>
  <si>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</si>
  <si>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</si>
  <si>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</si>
  <si>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</si>
  <si>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</si>
  <si>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</si>
  <si>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</si>
  <si>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</si>
  <si>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</si>
  <si>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</si>
  <si>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</si>
  <si>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</si>
  <si>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</si>
  <si>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</si>
  <si>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</si>
  <si>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</si>
  <si>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</si>
  <si>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</si>
  <si>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</si>
  <si>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</si>
  <si>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</si>
  <si>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Grid-bottleneck energy loss</t>
  </si>
  <si>
    <t xml:space="preserve">FX</t>
  </si>
  <si>
    <t xml:space="preserve">HUF/EUR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</si>
  <si>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</si>
  <si>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</si>
  <si>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</si>
  <si>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</si>
  <si>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</si>
  <si>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</si>
  <si>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</si>
  <si>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</si>
  <si>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</si>
  <si>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</si>
  <si>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</si>
  <si>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</si>
  <si>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</si>
  <si>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</si>
  <si>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</si>
  <si>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</si>
  <si>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</si>
  <si>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</si>
  <si>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</si>
  <si>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</si>
  <si>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</si>
  <si>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</si>
  <si>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</si>
  <si>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</si>
  <si>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</si>
  <si>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</si>
  <si>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</si>
  <si>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</si>
  <si>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</si>
  <si>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</si>
  <si>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</si>
  <si>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</si>
  <si>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</si>
  <si>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</si>
  <si>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</si>
  <si>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</si>
  <si>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</si>
  <si>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</si>
  <si>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</si>
  <si>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</si>
  <si>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</si>
  <si>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</si>
  <si>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</si>
  <si>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</si>
  <si>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</si>
  <si>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at the SPV's actual 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</si>
  <si>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</si>
  <si>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</si>
  <si>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</si>
  <si>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</si>
  <si>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</si>
  <si>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Info: DSCR for maximum debt, low</t>
  </si>
  <si>
    <t xml:space="preserve">Info: maximum debt at COD, low DSCR, no cap</t>
  </si>
  <si>
    <t xml:space="preserve">Info: maximum debt, share of total uses, low DSCR</t>
  </si>
  <si>
    <t xml:space="preserve">Info: DSCR for maximum debt, high</t>
  </si>
  <si>
    <t xml:space="preserve">Info: maximum debt at COD, high DSCR, no cap</t>
  </si>
  <si>
    <t xml:space="preserve">Info: maximum debt, share of total uses, high DSCR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</si>
  <si>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</si>
  <si>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</si>
  <si>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</si>
  <si>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</si>
  <si>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</si>
  <si>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</si>
  <si>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</si>
  <si>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</si>
  <si>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</si>
  <si>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</si>
  <si>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</si>
  <si>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</si>
  <si>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</si>
  <si>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</si>
  <si>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</si>
  <si>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</si>
  <si>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</si>
  <si>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</si>
  <si>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</si>
  <si>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</si>
  <si>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</si>
  <si>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</si>
  <si>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</si>
  <si>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</si>
  <si>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</si>
  <si>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at the SPV's actual tax – European turbine</t>
  </si>
  <si>
    <t xml:space="preserve">Buyer IRR, unlevered, at the SPV's actual 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</si>
  <si>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</si>
  <si>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</si>
  <si>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</si>
  <si>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</si>
  <si>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</si>
  <si>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</si>
  <si>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</si>
  <si>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</si>
  <si>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</si>
  <si>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</si>
  <si>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</si>
  <si>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</si>
  <si>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</si>
  <si>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</si>
  <si>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</si>
  <si>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</si>
  <si>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</si>
  <si>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</si>
  <si>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</si>
  <si>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</si>
  <si>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Robin Hood 31%</t>
  </si>
  <si>
    <t xml:space="preserve">CIT 9%</t>
  </si>
  <si>
    <t xml:space="preserve">Debt 6x EBITDA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</si>
  <si>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</si>
  <si>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</si>
  <si>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</si>
  <si>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</si>
  <si>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</si>
  <si>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</si>
  <si>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</si>
  <si>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</si>
  <si>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</si>
  <si>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</si>
  <si>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</si>
  <si>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</si>
  <si>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</si>
  <si>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</si>
  <si>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</si>
  <si>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</si>
  <si>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</si>
  <si>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</si>
  <si>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</si>
  <si>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</si>
  <si>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</si>
  <si>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</si>
  <si>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</si>
  <si>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</si>
  <si>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</si>
  <si>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</si>
  <si>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</si>
  <si>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</si>
  <si>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</si>
  <si>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</si>
  <si>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</si>
  <si>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</si>
  <si>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</si>
  <si>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</si>
  <si>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</si>
  <si>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</si>
  <si>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</si>
  <si>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</si>
  <si>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</si>
  <si>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</si>
  <si>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</si>
  <si>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</si>
  <si>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</si>
  <si>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</si>
  <si>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</si>
  <si>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</si>
  <si>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</si>
  <si>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</si>
  <si>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</si>
  <si>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</si>
  <si>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</si>
  <si>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</si>
  <si>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</si>
  <si>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</si>
  <si>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</si>
  <si>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tax: 9 % + possible Pillar Two top-up (proxy)</t>
  </si>
  <si>
    <t xml:space="preserve">User 14-Oct-26; set 11: Tao. 19. §</t>
  </si>
  <si>
    <t xml:space="preserve">Robin Hood tax applies (1 = yes)</t>
  </si>
  <si>
    <t xml:space="preserve">User 14-Oct-26: sensitivity only (Thtv.)</t>
  </si>
  <si>
    <t xml:space="preserve">Robin Hood tax on positive pre-tax profit</t>
  </si>
  <si>
    <t xml:space="preserve">Thtv.; 41 % to 2025, 31 % from 2026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</si>
  <si>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</si>
  <si>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</si>
  <si>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</si>
  <si>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</si>
  <si>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</si>
  <si>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</si>
  <si>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</si>
  <si>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</si>
  <si>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</si>
  <si>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</si>
  <si>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</si>
  <si>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</si>
  <si>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MVA</t>
  </si>
  <si>
    <t xml:space="preserve">MEKH Annex 1; Bana v3 Inputs E281</t>
  </si>
  <si>
    <t xml:space="preserve">Overbuild built, share of MVA (bid: Dashboard)</t>
  </si>
  <si>
    <t xml:space="preserve">Energy lost on overbuilt MW</t>
  </si>
  <si>
    <t xml:space="preserve">Bora!N18 (as Bora)</t>
  </si>
  <si>
    <t xml:space="preserve">BESS built (1 = yes)</t>
  </si>
  <si>
    <t xml:space="preserve">User 13-Oct-26 (as Bora)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</si>
  <si>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</si>
  <si>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</si>
  <si>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</si>
  <si>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</si>
  <si>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</si>
  <si>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</si>
  <si>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</si>
  <si>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</si>
  <si>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</si>
  <si>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</si>
  <si>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</si>
  <si>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</si>
  <si>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</si>
  <si>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</si>
  <si>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</si>
  <si>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</si>
  <si>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</si>
  <si>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</si>
  <si>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</si>
  <si>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</si>
  <si>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</si>
  <si>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</si>
  <si>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</si>
  <si>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</si>
  <si>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</si>
  <si>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</si>
  <si>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</si>
  <si>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</si>
  <si>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</si>
  <si>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</si>
  <si>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</si>
  <si>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</si>
  <si>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</si>
  <si>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</si>
  <si>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</si>
  <si>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</si>
  <si>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</si>
  <si>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</si>
  <si>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</si>
  <si>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</si>
  <si>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</si>
  <si>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</si>
  <si>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</si>
  <si>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User 12-Oct-26 (Bora)</t>
  </si>
  <si>
    <t xml:space="preserve">Operations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</si>
  <si>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</si>
  <si>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</si>
  <si>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</si>
  <si>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</si>
  <si>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</si>
  <si>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</si>
  <si>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</si>
  <si>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</si>
  <si>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</si>
  <si>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</si>
  <si>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</si>
  <si>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</si>
  <si>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</si>
  <si>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</si>
  <si>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</si>
  <si>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</si>
  <si>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</si>
  <si>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</si>
  <si>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</si>
  <si>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</si>
  <si>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</si>
  <si>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</si>
  <si>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</si>
  <si>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</si>
  <si>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</si>
  <si>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</si>
  <si>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cap of construction cost, both routes</t>
  </si>
  <si>
    <t xml:space="preserve">User 14-Oct-26</t>
  </si>
  <si>
    <t xml:space="preserve">Debt sized at first full-year EBITDA x (0 = off)</t>
  </si>
  <si>
    <t xml:space="preserve">Target DSCR for sizing and sculpting</t>
  </si>
  <si>
    <t xml:space="preserve">Rock Assumptions G549</t>
  </si>
  <si>
    <t xml:space="preserve">Rock G540; set 9: Bana v3 E220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</si>
  <si>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</si>
  <si>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</si>
  <si>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</si>
  <si>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</si>
  <si>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</si>
  <si>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</si>
  <si>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</si>
  <si>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</si>
  <si>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</si>
  <si>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</si>
  <si>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</si>
  <si>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</si>
  <si>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</si>
  <si>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</si>
  <si>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</si>
  <si>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</si>
  <si>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</si>
  <si>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</si>
  <si>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</si>
  <si>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</si>
  <si>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</si>
  <si>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</si>
  <si>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</si>
  <si>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</si>
  <si>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</si>
  <si>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</si>
  <si>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</si>
  <si>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</si>
  <si>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</si>
  <si>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</si>
  <si>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</si>
  <si>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</si>
  <si>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</si>
  <si>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</si>
  <si>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</si>
  <si>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</si>
  <si>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</si>
  <si>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</si>
  <si>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</si>
  <si>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</si>
  <si>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</si>
  <si>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</si>
  <si>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</si>
  <si>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</si>
  <si>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</si>
  <si>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</si>
  <si>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</si>
  <si>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</si>
  <si>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</si>
  <si>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</si>
  <si>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COD column on the timeline (buyer IRR start)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</si>
  <si>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</si>
  <si>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</si>
  <si>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</si>
  <si>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</si>
  <si>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</si>
  <si>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</si>
  <si>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</si>
  <si>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</si>
  <si>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</si>
  <si>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</si>
  <si>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</si>
  <si>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</si>
  <si>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</si>
  <si>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</si>
  <si>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</si>
  <si>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</si>
  <si>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</si>
  <si>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</si>
  <si>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</si>
  <si>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</si>
  <si>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</si>
  <si>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</si>
  <si>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</si>
  <si>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</si>
  <si>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</si>
  <si>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</si>
  <si>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</si>
  <si>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</si>
  <si>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</si>
  <si>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</si>
  <si>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</si>
  <si>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</si>
  <si>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</si>
  <si>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</si>
  <si>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</si>
  <si>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</si>
  <si>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</si>
  <si>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</si>
  <si>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</si>
  <si>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</si>
  <si>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</si>
  <si>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</si>
  <si>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</si>
  <si>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</si>
  <si>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</si>
  <si>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</si>
  <si>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</si>
  <si>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</si>
  <si>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</si>
  <si>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</si>
  <si>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</si>
  <si>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</si>
  <si>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</si>
  <si>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</si>
  <si>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</si>
  <si>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</si>
  <si>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Debt service at target DSCR (E: PV at COD = capacity)</t>
  </si>
  <si>
    <t xml:space="preserve">Debt target: EBITDA multiple (else the DSCR capacity)</t>
  </si>
  <si>
    <t xml:space="preserve">Debt share of construction cost (E), share of capacity used (F)</t>
  </si>
  <si>
    <t xml:space="preserve">Interest paid</t>
  </si>
  <si>
    <t xml:space="preserve">Debt service (sculpted)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</si>
  <si>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</si>
  <si>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</si>
  <si>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</si>
  <si>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</si>
  <si>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</si>
  <si>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</si>
  <si>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</si>
  <si>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</si>
  <si>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</si>
  <si>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</si>
  <si>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</si>
  <si>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</si>
  <si>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</si>
  <si>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</si>
  <si>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</si>
  <si>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</si>
  <si>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</si>
  <si>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</si>
  <si>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</si>
  <si>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</si>
  <si>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</si>
  <si>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Info: maximum debt at COD, no cap (E: low, F: high DSCR)</t>
  </si>
  <si>
    <t xml:space="preserve">Info: maximum debt, share of total uses (E: low, F: high)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</si>
  <si>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</si>
  <si>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</si>
  <si>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</si>
  <si>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</si>
  <si>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</si>
  <si>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price net of any PB call,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</si>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</sst>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W120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9" min="8" style="0" width="12"/>
    <col collapsed="false" customWidth="true" hidden="false" outlineLevel="0" max="20" min="20" style="0" width="3"/>
    <col collapsed="false" customWidth="true" hidden="false" outlineLevel="0" max="21" min="21" style="0" width="34"/>
    <col collapsed="false" customWidth="true" hidden="false" outlineLevel="0" max="22" min="22" style="0" width="10"/>
    <col collapsed="false" customWidth="true" hidden="false" outlineLevel="0" max="23" min="23" style="0" width="12"/>
    <col collapsed="false" customWidth="false" hidden="true" outlineLevel="1" max="16384" min="24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46309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U9" s="7" t="s">
        <v>11</v>
      </c>
      <c r="V9" s="7" t="s">
        <v>8</v>
      </c>
      <c r="W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S11" s="9"/>
      <c r="U11" s="9" t="s">
        <v>5</v>
      </c>
      <c r="V11" s="9"/>
      <c r="W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Calc_1!$F$32</f>
        <v>20</v>
      </c>
      <c r="J12" s="14" t="n">
        <f aca="false">Calc_2!$F$32</f>
        <v>20</v>
      </c>
      <c r="U12" s="13" t="s">
        <v>5</v>
      </c>
      <c r="V12" s="11" t="s">
        <v>21</v>
      </c>
      <c r="W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Calc_1!$F$33</f>
        <v>15</v>
      </c>
      <c r="J13" s="14" t="n">
        <f aca="false">Calc_2!$F$33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Calc_1!$F$34</f>
        <v>5</v>
      </c>
      <c r="J14" s="14" t="n">
        <f aca="false">Calc_2!$F$34</f>
        <v>5</v>
      </c>
      <c r="U14" s="9" t="s">
        <v>29</v>
      </c>
      <c r="V14" s="9"/>
      <c r="W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Calc_1!$F$35</f>
        <v>7.5</v>
      </c>
      <c r="J15" s="14" t="n">
        <f aca="false">Calc_2!$F$35</f>
        <v>7.5</v>
      </c>
      <c r="U15" s="13" t="s">
        <v>32</v>
      </c>
      <c r="V15" s="11" t="s">
        <v>33</v>
      </c>
      <c r="W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U16" s="13" t="s">
        <v>37</v>
      </c>
      <c r="V16" s="11" t="s">
        <v>38</v>
      </c>
      <c r="W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Calc_1!$F$37</f>
        <v>0</v>
      </c>
      <c r="J17" s="14" t="n">
        <f aca="false">Calc_2!$F$37</f>
        <v>0</v>
      </c>
      <c r="U17" s="13" t="s">
        <v>41</v>
      </c>
      <c r="V17" s="11" t="s">
        <v>27</v>
      </c>
      <c r="W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Calc_1!$F$36</f>
        <v>0</v>
      </c>
      <c r="J18" s="14" t="n">
        <f aca="false">Calc_2!$F$36</f>
        <v>0</v>
      </c>
      <c r="U18" s="13" t="s">
        <v>45</v>
      </c>
      <c r="V18" s="11" t="s">
        <v>43</v>
      </c>
      <c r="W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Calc_1!$F$38</f>
        <v>0</v>
      </c>
      <c r="J19" s="14" t="n">
        <f aca="false">Calc_2!$F$38</f>
        <v>0</v>
      </c>
      <c r="U19" s="13" t="s">
        <v>47</v>
      </c>
      <c r="V19" s="11" t="s">
        <v>19</v>
      </c>
      <c r="W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Calc_1!$F$39</f>
        <v>12</v>
      </c>
      <c r="J20" s="14" t="n">
        <f aca="false">Calc_2!$F$39</f>
        <v>0</v>
      </c>
      <c r="U20" s="13" t="s">
        <v>49</v>
      </c>
      <c r="V20" s="11" t="s">
        <v>19</v>
      </c>
      <c r="W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Calc_1!$F$40</f>
        <v>0</v>
      </c>
      <c r="J21" s="14" t="n">
        <f aca="false">Calc_2!$F$40</f>
        <v>0</v>
      </c>
      <c r="U21" s="13" t="s">
        <v>51</v>
      </c>
      <c r="V21" s="11" t="s">
        <v>19</v>
      </c>
      <c r="W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Calc_1!$E41</f>
        <v>59.5</v>
      </c>
      <c r="F22" s="26" t="n">
        <f aca="false">Calc_2!$E41</f>
        <v>47.5</v>
      </c>
      <c r="U22" s="13" t="s">
        <v>54</v>
      </c>
      <c r="V22" s="11" t="s">
        <v>19</v>
      </c>
      <c r="W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IF(Calc_1!$E42+Calc_1!$F42=0,"OK","CHECK")</f>
        <v>OK</v>
      </c>
      <c r="F23" s="27" t="str">
        <f aca="false">IF(Calc_2!$E42+Calc_2!$F42=0,"OK","CHECK")</f>
        <v>OK</v>
      </c>
      <c r="U23" s="13" t="s">
        <v>56</v>
      </c>
      <c r="V23" s="11" t="s">
        <v>57</v>
      </c>
      <c r="W23" s="18" t="n">
        <f aca="false">In_P50_Hours</f>
        <v>2600</v>
      </c>
    </row>
    <row r="24" customFormat="false" ht="15" hidden="false" customHeight="false" outlineLevel="0" collapsed="false">
      <c r="U24" s="0" t="s">
        <v>58</v>
      </c>
      <c r="V24" s="11" t="s">
        <v>24</v>
      </c>
      <c r="W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U25" s="13" t="s">
        <v>60</v>
      </c>
      <c r="V25" s="11" t="s">
        <v>27</v>
      </c>
      <c r="W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Calc_1!$E25</f>
        <v>60</v>
      </c>
      <c r="F26" s="28" t="n">
        <f aca="false">Calc_2!$E25</f>
        <v>60</v>
      </c>
      <c r="U26" s="13" t="s">
        <v>63</v>
      </c>
      <c r="V26" s="11" t="s">
        <v>13</v>
      </c>
      <c r="W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Calc_1!$F25</f>
        <v>55</v>
      </c>
      <c r="F27" s="28" t="n">
        <f aca="false">Calc_2!$F25</f>
        <v>55</v>
      </c>
      <c r="U27" s="13" t="s">
        <v>65</v>
      </c>
      <c r="V27" s="11" t="s">
        <v>66</v>
      </c>
      <c r="W27" s="30" t="n">
        <f aca="false">In_Debt_Tenor</f>
        <v>18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Calc_1!$E26</f>
        <v>10</v>
      </c>
      <c r="F28" s="28" t="n">
        <f aca="false">Calc_2!$E26</f>
        <v>10</v>
      </c>
      <c r="U28" s="13" t="s">
        <v>68</v>
      </c>
      <c r="V28" s="11" t="s">
        <v>27</v>
      </c>
      <c r="W28" s="22" t="n">
        <f aca="false">In_Gearing</f>
        <v>0.55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Calc_1!$E27</f>
        <v>40</v>
      </c>
      <c r="F29" s="28" t="n">
        <f aca="false">Calc_2!$E27</f>
        <v>40</v>
      </c>
      <c r="U29" s="13" t="s">
        <v>71</v>
      </c>
      <c r="V29" s="11" t="s">
        <v>27</v>
      </c>
      <c r="W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Calc_1!$F26</f>
        <v>10</v>
      </c>
      <c r="F30" s="28" t="n">
        <f aca="false">Calc_2!$F26</f>
        <v>10</v>
      </c>
      <c r="U30" s="13" t="s">
        <v>73</v>
      </c>
      <c r="V30" s="11" t="s">
        <v>43</v>
      </c>
      <c r="W30" s="24" t="n">
        <f aca="false">In_RH_On</f>
        <v>0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Calc_1!$E29</f>
        <v>0.0833333333333333</v>
      </c>
      <c r="F31" s="22" t="n">
        <f aca="false">Calc_2!$E29</f>
        <v>0.0833333333333333</v>
      </c>
      <c r="U31" s="13" t="s">
        <v>75</v>
      </c>
      <c r="V31" s="11" t="s">
        <v>27</v>
      </c>
      <c r="W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27</v>
      </c>
      <c r="E32" s="31" t="n">
        <f aca="false">Calc_1!$E28</f>
        <v>0.00454545454545455</v>
      </c>
      <c r="F32" s="31" t="n">
        <f aca="false">Calc_2!$E28</f>
        <v>0.00454545454545455</v>
      </c>
      <c r="U32" s="13" t="s">
        <v>77</v>
      </c>
      <c r="V32" s="11" t="s">
        <v>78</v>
      </c>
      <c r="W32" s="18" t="n">
        <f aca="false">In_FX</f>
        <v>365</v>
      </c>
    </row>
    <row r="33" customFormat="false" ht="15" hidden="false" customHeight="false" outlineLevel="0" collapsed="false">
      <c r="C33" s="0" t="s">
        <v>79</v>
      </c>
      <c r="D33" s="11" t="s">
        <v>80</v>
      </c>
      <c r="E33" s="32" t="n">
        <f aca="false">Calc_1!$E58/Thousand</f>
        <v>0</v>
      </c>
      <c r="F33" s="32" t="n">
        <f aca="false">Calc_2!$E58/Thousand</f>
        <v>0</v>
      </c>
    </row>
    <row r="34" customFormat="false" ht="15" hidden="false" customHeight="false" outlineLevel="0" collapsed="false">
      <c r="C34" s="0" t="s">
        <v>81</v>
      </c>
      <c r="D34" s="11" t="s">
        <v>80</v>
      </c>
      <c r="E34" s="32" t="n">
        <f aca="false">Calc_1!$F58/Thousand</f>
        <v>2.21643835616438</v>
      </c>
      <c r="F34" s="32" t="n">
        <f aca="false">Calc_2!$F58/Thousand</f>
        <v>2.21643835616438</v>
      </c>
    </row>
    <row r="36" customFormat="false" ht="15" hidden="false" customHeight="false" outlineLevel="0" collapsed="false">
      <c r="A36" s="9" t="s">
        <v>13</v>
      </c>
      <c r="B36" s="9"/>
      <c r="C36" s="9" t="s">
        <v>82</v>
      </c>
      <c r="D36" s="9"/>
      <c r="E36" s="10" t="s">
        <v>9</v>
      </c>
      <c r="F36" s="10" t="s">
        <v>10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</row>
    <row r="37" customFormat="false" ht="15" hidden="false" customHeight="false" outlineLevel="0" collapsed="false">
      <c r="C37" s="0" t="s">
        <v>83</v>
      </c>
      <c r="D37" s="11" t="s">
        <v>80</v>
      </c>
      <c r="E37" s="32" t="n">
        <f aca="false">Calc_1!$I132/Thousand</f>
        <v>21.8725390544187</v>
      </c>
      <c r="F37" s="32" t="n">
        <f aca="false">Calc_2!$I132/Thousand</f>
        <v>31.0553290062136</v>
      </c>
    </row>
    <row r="38" customFormat="false" ht="15" hidden="false" customHeight="false" outlineLevel="0" collapsed="false">
      <c r="C38" s="25" t="s">
        <v>84</v>
      </c>
      <c r="D38" s="11" t="s">
        <v>27</v>
      </c>
      <c r="E38" s="33" t="n">
        <f aca="false">Calc_1!$E133</f>
        <v>0.284084033636541</v>
      </c>
      <c r="F38" s="33" t="n">
        <f aca="false">Calc_2!$E133</f>
        <v>0.431605205102548</v>
      </c>
    </row>
    <row r="39" customFormat="false" ht="15" hidden="false" customHeight="false" outlineLevel="0" collapsed="false">
      <c r="C39" s="0" t="s">
        <v>85</v>
      </c>
      <c r="D39" s="11" t="s">
        <v>13</v>
      </c>
      <c r="E39" s="29" t="n">
        <f aca="false">Calc_1!$E134</f>
        <v>1.40784965721905</v>
      </c>
      <c r="F39" s="29" t="n">
        <f aca="false">Calc_2!$E134</f>
        <v>1.75852383469303</v>
      </c>
    </row>
    <row r="40" customFormat="false" ht="15" hidden="false" customHeight="false" outlineLevel="0" collapsed="false">
      <c r="C40" s="0" t="s">
        <v>86</v>
      </c>
      <c r="D40" s="11" t="s">
        <v>80</v>
      </c>
      <c r="E40" s="32" t="n">
        <f aca="false">Calc_1!$E135/Thousand</f>
        <v>12.2778594824033</v>
      </c>
      <c r="F40" s="32" t="n">
        <f aca="false">Calc_2!$E135/Thousand</f>
        <v>19.8480948232429</v>
      </c>
    </row>
    <row r="41" customFormat="false" ht="15" hidden="false" customHeight="false" outlineLevel="0" collapsed="false">
      <c r="C41" s="0" t="s">
        <v>87</v>
      </c>
      <c r="D41" s="11" t="s">
        <v>80</v>
      </c>
      <c r="E41" s="32" t="n">
        <f aca="false">Calc_1!$I145/Thousand</f>
        <v>130.210653239725</v>
      </c>
      <c r="F41" s="32" t="n">
        <f aca="false">Calc_2!$I145/Thousand</f>
        <v>161.288120273567</v>
      </c>
    </row>
    <row r="42" customFormat="false" ht="15" hidden="false" customHeight="false" outlineLevel="0" collapsed="false">
      <c r="C42" s="25" t="s">
        <v>88</v>
      </c>
      <c r="D42" s="11" t="s">
        <v>27</v>
      </c>
      <c r="E42" s="33" t="n">
        <f aca="false">Calc_1!$E146</f>
        <v>0.0798286717747287</v>
      </c>
      <c r="F42" s="33" t="n">
        <f aca="false">Calc_2!$E146</f>
        <v>0.120333275856178</v>
      </c>
    </row>
    <row r="43" customFormat="false" ht="15" hidden="false" customHeight="false" outlineLevel="0" collapsed="false">
      <c r="C43" s="0" t="s">
        <v>89</v>
      </c>
      <c r="D43" s="11" t="s">
        <v>13</v>
      </c>
      <c r="E43" s="29" t="n">
        <f aca="false">Calc_1!$E147</f>
        <v>3.37367367104446</v>
      </c>
      <c r="F43" s="29" t="n">
        <f aca="false">Calc_2!$E147</f>
        <v>4.85394047019186</v>
      </c>
    </row>
    <row r="44" customFormat="false" ht="15" hidden="false" customHeight="false" outlineLevel="0" collapsed="false">
      <c r="C44" s="0" t="s">
        <v>90</v>
      </c>
      <c r="D44" s="11" t="s">
        <v>80</v>
      </c>
      <c r="E44" s="32" t="n">
        <f aca="false">Calc_1!$E148/Thousand</f>
        <v>-0.0926704545023633</v>
      </c>
      <c r="F44" s="32" t="n">
        <f aca="false">Calc_2!$E148/Thousand</f>
        <v>17.7234335623605</v>
      </c>
    </row>
    <row r="45" customFormat="false" ht="15" hidden="false" customHeight="false" outlineLevel="0" collapsed="false">
      <c r="C45" s="0" t="s">
        <v>91</v>
      </c>
      <c r="D45" s="11" t="s">
        <v>27</v>
      </c>
      <c r="E45" s="22" t="n">
        <f aca="false">Calc_1!$E144</f>
        <v>0.0715653537317432</v>
      </c>
      <c r="F45" s="22" t="n">
        <f aca="false">Calc_2!$E144</f>
        <v>0.0981897026920006</v>
      </c>
    </row>
    <row r="47" customFormat="false" ht="15" hidden="false" customHeight="false" outlineLevel="0" collapsed="false">
      <c r="A47" s="9" t="s">
        <v>13</v>
      </c>
      <c r="B47" s="9"/>
      <c r="C47" s="9" t="s">
        <v>92</v>
      </c>
      <c r="D47" s="9"/>
      <c r="E47" s="10" t="s">
        <v>9</v>
      </c>
      <c r="F47" s="10" t="s">
        <v>10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</row>
    <row r="48" customFormat="false" ht="15" hidden="false" customHeight="false" outlineLevel="0" collapsed="false">
      <c r="C48" s="0" t="s">
        <v>93</v>
      </c>
      <c r="D48" s="11" t="s">
        <v>80</v>
      </c>
      <c r="E48" s="32" t="n">
        <f aca="false">Calc_1!$E114/Thousand</f>
        <v>5.15</v>
      </c>
      <c r="F48" s="32" t="n">
        <f aca="false">Calc_2!$E114/Thousand</f>
        <v>5.15</v>
      </c>
    </row>
    <row r="49" customFormat="false" ht="15" hidden="false" customHeight="false" outlineLevel="0" collapsed="false">
      <c r="C49" s="0" t="s">
        <v>94</v>
      </c>
      <c r="D49" s="11" t="s">
        <v>80</v>
      </c>
      <c r="E49" s="32" t="n">
        <f aca="false">Calc_1!$E115/Thousand</f>
        <v>1.11492155376243</v>
      </c>
      <c r="F49" s="32" t="n">
        <f aca="false">Calc_2!$E115/Thousand</f>
        <v>1.11492155376243</v>
      </c>
    </row>
    <row r="50" customFormat="false" ht="15" hidden="false" customHeight="false" outlineLevel="0" collapsed="false">
      <c r="C50" s="0" t="s">
        <v>95</v>
      </c>
      <c r="D50" s="11" t="s">
        <v>80</v>
      </c>
      <c r="E50" s="32" t="n">
        <f aca="false">Calc_1!$E116/Thousand</f>
        <v>90.36375</v>
      </c>
      <c r="F50" s="32" t="n">
        <f aca="false">Calc_2!$E116/Thousand</f>
        <v>63.11625</v>
      </c>
    </row>
    <row r="51" customFormat="false" ht="15" hidden="false" customHeight="false" outlineLevel="0" collapsed="false">
      <c r="C51" s="0" t="s">
        <v>96</v>
      </c>
      <c r="D51" s="11" t="s">
        <v>80</v>
      </c>
      <c r="E51" s="32" t="n">
        <f aca="false">Calc_1!$E117/Thousand</f>
        <v>8.15482315068493</v>
      </c>
      <c r="F51" s="32" t="n">
        <f aca="false">Calc_2!$E117/Thousand</f>
        <v>8.15482315068493</v>
      </c>
    </row>
    <row r="52" customFormat="false" ht="15" hidden="false" customHeight="false" outlineLevel="0" collapsed="false">
      <c r="C52" s="0" t="s">
        <v>97</v>
      </c>
      <c r="D52" s="11" t="s">
        <v>80</v>
      </c>
      <c r="E52" s="32" t="n">
        <f aca="false">Calc_1!$E118/Thousand</f>
        <v>2.5</v>
      </c>
      <c r="F52" s="32" t="n">
        <f aca="false">Calc_2!$E118/Thousand</f>
        <v>2.5</v>
      </c>
    </row>
    <row r="53" customFormat="false" ht="15" hidden="false" customHeight="false" outlineLevel="0" collapsed="false">
      <c r="C53" s="0" t="s">
        <v>98</v>
      </c>
      <c r="D53" s="11" t="s">
        <v>80</v>
      </c>
      <c r="E53" s="32" t="n">
        <f aca="false">Calc_1!$E119/Thousand</f>
        <v>4.14129604359987</v>
      </c>
      <c r="F53" s="32" t="n">
        <f aca="false">Calc_2!$E119/Thousand</f>
        <v>3.04350609180492</v>
      </c>
    </row>
    <row r="54" customFormat="false" ht="15" hidden="false" customHeight="false" outlineLevel="0" collapsed="false">
      <c r="C54" s="0" t="s">
        <v>99</v>
      </c>
      <c r="D54" s="11" t="s">
        <v>80</v>
      </c>
      <c r="E54" s="32" t="n">
        <f aca="false">Calc_1!$E120/Thousand</f>
        <v>0.340170197534084</v>
      </c>
      <c r="F54" s="32" t="n">
        <f aca="false">Calc_2!$E120/Thousand</f>
        <v>0.340170197534084</v>
      </c>
    </row>
    <row r="55" customFormat="false" ht="15" hidden="false" customHeight="false" outlineLevel="0" collapsed="false">
      <c r="C55" s="25" t="s">
        <v>100</v>
      </c>
      <c r="D55" s="11" t="s">
        <v>80</v>
      </c>
      <c r="E55" s="26" t="n">
        <f aca="false">Calc_1!$E121/Thousand</f>
        <v>111.764960945581</v>
      </c>
      <c r="F55" s="26" t="n">
        <f aca="false">Calc_2!$E121/Thousand</f>
        <v>83.4196709937864</v>
      </c>
    </row>
    <row r="56" customFormat="false" ht="15" hidden="false" customHeight="false" outlineLevel="0" collapsed="false">
      <c r="C56" s="0" t="s">
        <v>101</v>
      </c>
      <c r="D56" s="11" t="s">
        <v>80</v>
      </c>
      <c r="E56" s="32" t="n">
        <f aca="false">Calc_1!$E96/Thousand</f>
        <v>58.1360350233236</v>
      </c>
      <c r="F56" s="32" t="n">
        <f aca="false">Calc_2!$E96/Thousand</f>
        <v>42.4778738005823</v>
      </c>
    </row>
    <row r="57" customFormat="false" ht="15" hidden="false" customHeight="false" outlineLevel="0" collapsed="false">
      <c r="C57" s="25" t="s">
        <v>102</v>
      </c>
      <c r="D57" s="11" t="s">
        <v>80</v>
      </c>
      <c r="E57" s="26" t="n">
        <f aca="false">Calc_1!$E122/Thousand</f>
        <v>53.6289259222578</v>
      </c>
      <c r="F57" s="26" t="n">
        <f aca="false">Calc_2!$E122/Thousand</f>
        <v>40.9417971932041</v>
      </c>
    </row>
    <row r="58" customFormat="false" ht="15" hidden="false" customHeight="false" outlineLevel="0" collapsed="false">
      <c r="C58" s="0" t="s">
        <v>103</v>
      </c>
      <c r="D58" s="11" t="s">
        <v>80</v>
      </c>
      <c r="E58" s="32" t="n">
        <f aca="false">Calc_1!$F122/Thousand</f>
        <v>54.8561728716611</v>
      </c>
      <c r="F58" s="32" t="n">
        <f aca="false">Calc_2!$F122/Thousand</f>
        <v>41.8501846411596</v>
      </c>
    </row>
    <row r="59" customFormat="false" ht="15" hidden="false" customHeight="false" outlineLevel="0" collapsed="false">
      <c r="C59" s="0" t="s">
        <v>104</v>
      </c>
      <c r="D59" s="11" t="s">
        <v>27</v>
      </c>
      <c r="E59" s="22" t="n">
        <f aca="false">Calc_1!$E123</f>
        <v>0.520163336804906</v>
      </c>
      <c r="F59" s="22" t="n">
        <f aca="false">Calc_2!$E123</f>
        <v>0.509206920796251</v>
      </c>
    </row>
    <row r="61" customFormat="false" ht="15" hidden="false" customHeight="false" outlineLevel="0" collapsed="false">
      <c r="A61" s="9" t="s">
        <v>13</v>
      </c>
      <c r="B61" s="9"/>
      <c r="C61" s="9" t="s">
        <v>105</v>
      </c>
      <c r="D61" s="9"/>
      <c r="E61" s="10" t="s">
        <v>9</v>
      </c>
      <c r="F61" s="10" t="s">
        <v>10</v>
      </c>
      <c r="G61" s="9"/>
      <c r="H61" s="10" t="s">
        <v>106</v>
      </c>
      <c r="I61" s="10" t="s">
        <v>107</v>
      </c>
      <c r="J61" s="10" t="s">
        <v>108</v>
      </c>
      <c r="K61" s="9"/>
      <c r="L61" s="9"/>
      <c r="M61" s="9"/>
      <c r="N61" s="9"/>
      <c r="O61" s="9"/>
      <c r="P61" s="9"/>
      <c r="Q61" s="9"/>
      <c r="R61" s="9"/>
      <c r="S61" s="9"/>
    </row>
    <row r="62" customFormat="false" ht="15" hidden="false" customHeight="false" outlineLevel="0" collapsed="false">
      <c r="C62" s="0" t="s">
        <v>109</v>
      </c>
      <c r="D62" s="11" t="s">
        <v>80</v>
      </c>
      <c r="E62" s="34" t="n">
        <f aca="false">Calc_1!$E49/Thousand</f>
        <v>0.00821917808219178</v>
      </c>
      <c r="F62" s="34" t="n">
        <f aca="false">Calc_2!$E49/Thousand</f>
        <v>0.00821917808219178</v>
      </c>
      <c r="H62" s="13" t="s">
        <v>110</v>
      </c>
      <c r="I62" s="20" t="n">
        <f aca="false">In_Bid_Date</f>
        <v>46325</v>
      </c>
      <c r="J62" s="35" t="s">
        <v>111</v>
      </c>
    </row>
    <row r="63" customFormat="false" ht="15" hidden="false" customHeight="false" outlineLevel="0" collapsed="false">
      <c r="C63" s="0" t="s">
        <v>112</v>
      </c>
      <c r="D63" s="11" t="s">
        <v>80</v>
      </c>
      <c r="E63" s="34" t="n">
        <f aca="false">Calc_1!$E50/Thousand</f>
        <v>0.443287671232877</v>
      </c>
      <c r="F63" s="34" t="n">
        <f aca="false">Calc_2!$E50/Thousand</f>
        <v>0.443287671232877</v>
      </c>
      <c r="H63" s="13" t="s">
        <v>113</v>
      </c>
      <c r="I63" s="20" t="n">
        <f aca="false">In_Bid_Date</f>
        <v>46325</v>
      </c>
      <c r="J63" s="20" t="n">
        <f aca="false">Calc_1!$F$51</f>
        <v>46433</v>
      </c>
    </row>
    <row r="64" customFormat="false" ht="15" hidden="false" customHeight="false" outlineLevel="0" collapsed="false">
      <c r="C64" s="0" t="s">
        <v>114</v>
      </c>
      <c r="D64" s="11" t="s">
        <v>80</v>
      </c>
      <c r="E64" s="34" t="n">
        <f aca="false">Calc_1!$E51/Thousand</f>
        <v>2.21643835616438</v>
      </c>
      <c r="F64" s="34" t="n">
        <f aca="false">Calc_2!$E51/Thousand</f>
        <v>2.21643835616438</v>
      </c>
      <c r="H64" s="13" t="s">
        <v>113</v>
      </c>
      <c r="I64" s="20" t="n">
        <f aca="false">Calc_1!$F$51</f>
        <v>46433</v>
      </c>
      <c r="J64" s="20" t="n">
        <f aca="false">In_PB_Release</f>
        <v>48669</v>
      </c>
    </row>
    <row r="65" customFormat="false" ht="15" hidden="false" customHeight="false" outlineLevel="0" collapsed="false">
      <c r="C65" s="0" t="s">
        <v>115</v>
      </c>
      <c r="D65" s="11" t="s">
        <v>80</v>
      </c>
      <c r="E65" s="34" t="n">
        <f aca="false">Calc_1!$E52/Thousand</f>
        <v>0.616438356164384</v>
      </c>
      <c r="F65" s="34" t="n">
        <f aca="false">Calc_2!$E52/Thousand</f>
        <v>0.616438356164384</v>
      </c>
      <c r="H65" s="13" t="s">
        <v>110</v>
      </c>
      <c r="I65" s="20" t="n">
        <f aca="false">Calc_1!$F$51</f>
        <v>46433</v>
      </c>
      <c r="J65" s="35" t="s">
        <v>116</v>
      </c>
    </row>
    <row r="66" customFormat="false" ht="15" hidden="false" customHeight="false" outlineLevel="0" collapsed="false">
      <c r="C66" s="0" t="s">
        <v>117</v>
      </c>
      <c r="D66" s="11" t="s">
        <v>80</v>
      </c>
      <c r="E66" s="34" t="n">
        <f aca="false">Calc_1!$E53/Thousand</f>
        <v>1.26027397260274</v>
      </c>
      <c r="F66" s="34" t="n">
        <f aca="false">Calc_2!$E53/Thousand</f>
        <v>1.26027397260274</v>
      </c>
      <c r="H66" s="13" t="s">
        <v>110</v>
      </c>
      <c r="I66" s="20" t="n">
        <f aca="false">In_HCSSZ_Date</f>
        <v>47126</v>
      </c>
      <c r="J66" s="35" t="s">
        <v>111</v>
      </c>
    </row>
    <row r="67" customFormat="false" ht="15" hidden="false" customHeight="false" outlineLevel="0" collapsed="false">
      <c r="C67" s="0" t="s">
        <v>118</v>
      </c>
      <c r="D67" s="11" t="s">
        <v>80</v>
      </c>
      <c r="E67" s="34" t="n">
        <f aca="false">Calc_1!$E54/Thousand</f>
        <v>6.89454917808219</v>
      </c>
      <c r="F67" s="34" t="n">
        <f aca="false">Calc_2!$E54/Thousand</f>
        <v>6.89454917808219</v>
      </c>
      <c r="H67" s="13" t="s">
        <v>110</v>
      </c>
      <c r="I67" s="20" t="n">
        <f aca="false">In_HCSSZ_Date</f>
        <v>47126</v>
      </c>
      <c r="J67" s="35" t="s">
        <v>111</v>
      </c>
    </row>
    <row r="68" customFormat="false" ht="15" hidden="false" customHeight="false" outlineLevel="0" collapsed="false">
      <c r="C68" s="0" t="s">
        <v>119</v>
      </c>
      <c r="D68" s="11" t="s">
        <v>80</v>
      </c>
      <c r="E68" s="34" t="n">
        <f aca="false">(-Calc_1!$E56)/Thousand</f>
        <v>0.490264019515857</v>
      </c>
      <c r="F68" s="34" t="n">
        <f aca="false">(-Calc_2!$E56)/Thousand</f>
        <v>0.490264019515857</v>
      </c>
    </row>
    <row r="70" customFormat="false" ht="15" hidden="false" customHeight="false" outlineLevel="0" collapsed="false">
      <c r="A70" s="9" t="s">
        <v>13</v>
      </c>
      <c r="B70" s="9"/>
      <c r="C70" s="9" t="s">
        <v>120</v>
      </c>
      <c r="D70" s="9"/>
      <c r="E70" s="10" t="s">
        <v>9</v>
      </c>
      <c r="F70" s="10" t="s">
        <v>10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</row>
    <row r="71" customFormat="false" ht="15" hidden="false" customHeight="false" outlineLevel="0" collapsed="false">
      <c r="C71" s="0" t="s">
        <v>121</v>
      </c>
      <c r="D71" s="11" t="s">
        <v>80</v>
      </c>
      <c r="E71" s="32" t="n">
        <f aca="false">Calc_1!$E129/Thousand</f>
        <v>134.1375</v>
      </c>
      <c r="F71" s="32" t="n">
        <f aca="false">Calc_2!$E129/Thousand</f>
        <v>114.975</v>
      </c>
    </row>
    <row r="72" customFormat="false" ht="15" hidden="false" customHeight="false" outlineLevel="0" collapsed="false">
      <c r="C72" s="0" t="s">
        <v>122</v>
      </c>
      <c r="D72" s="11" t="s">
        <v>80</v>
      </c>
      <c r="E72" s="32" t="n">
        <f aca="false">Calc_1!$E130/Thousand</f>
        <v>75.5014649766765</v>
      </c>
      <c r="F72" s="32" t="n">
        <f aca="false">Calc_2!$E130/Thousand</f>
        <v>71.9971261994177</v>
      </c>
    </row>
    <row r="73" customFormat="false" ht="15" hidden="false" customHeight="false" outlineLevel="0" collapsed="false">
      <c r="C73" s="0" t="s">
        <v>123</v>
      </c>
      <c r="D73" s="11" t="s">
        <v>80</v>
      </c>
      <c r="E73" s="32" t="n">
        <f aca="false">Calc_1!$E131/Thousand</f>
        <v>-0</v>
      </c>
      <c r="F73" s="32" t="n">
        <f aca="false">Calc_2!$E131/Thousand</f>
        <v>-0</v>
      </c>
    </row>
    <row r="74" customFormat="false" ht="15" hidden="false" customHeight="false" outlineLevel="0" collapsed="false">
      <c r="C74" s="25" t="s">
        <v>124</v>
      </c>
      <c r="D74" s="11" t="s">
        <v>27</v>
      </c>
      <c r="E74" s="33" t="n">
        <f aca="false">Calc_1!$E138</f>
        <v>0.0568046288872868</v>
      </c>
      <c r="F74" s="33" t="n">
        <f aca="false">Calc_2!$E138</f>
        <v>0.0696894448393206</v>
      </c>
    </row>
    <row r="75" customFormat="false" ht="15" hidden="false" customHeight="false" outlineLevel="0" collapsed="false">
      <c r="C75" s="0" t="s">
        <v>125</v>
      </c>
      <c r="D75" s="11" t="s">
        <v>27</v>
      </c>
      <c r="E75" s="22" t="n">
        <f aca="false">Calc_1!$E140</f>
        <v>0.0585329319728921</v>
      </c>
      <c r="F75" s="22" t="n">
        <f aca="false">Calc_2!$E140</f>
        <v>0.0754971888634899</v>
      </c>
    </row>
    <row r="77" customFormat="false" ht="15" hidden="false" customHeight="false" outlineLevel="0" collapsed="false">
      <c r="A77" s="9" t="s">
        <v>13</v>
      </c>
      <c r="B77" s="9"/>
      <c r="C77" s="9" t="s">
        <v>126</v>
      </c>
      <c r="D77" s="9"/>
      <c r="E77" s="10" t="s">
        <v>9</v>
      </c>
      <c r="F77" s="10" t="s">
        <v>10</v>
      </c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</row>
    <row r="78" customFormat="false" ht="15" hidden="false" customHeight="false" outlineLevel="0" collapsed="false">
      <c r="C78" s="0" t="s">
        <v>127</v>
      </c>
      <c r="D78" s="11" t="s">
        <v>80</v>
      </c>
      <c r="E78" s="32" t="n">
        <f aca="false">Calc_1!$E85/Thousand</f>
        <v>92.452503444118</v>
      </c>
      <c r="F78" s="32" t="n">
        <f aca="false">Calc_2!$E85/Thousand</f>
        <v>89.6637581285666</v>
      </c>
    </row>
    <row r="79" customFormat="false" ht="15" hidden="false" customHeight="false" outlineLevel="0" collapsed="false">
      <c r="C79" s="0" t="s">
        <v>128</v>
      </c>
      <c r="D79" s="11" t="s">
        <v>27</v>
      </c>
      <c r="E79" s="22" t="n">
        <f aca="false">Calc_1!$E87</f>
        <v>0.55</v>
      </c>
      <c r="F79" s="22" t="n">
        <f aca="false">Calc_2!$E87</f>
        <v>0.55</v>
      </c>
    </row>
    <row r="80" customFormat="false" ht="15" hidden="false" customHeight="false" outlineLevel="0" collapsed="false">
      <c r="C80" s="0" t="s">
        <v>129</v>
      </c>
      <c r="D80" s="11" t="s">
        <v>27</v>
      </c>
      <c r="E80" s="22" t="n">
        <f aca="false">Calc_1!$F87</f>
        <v>0.628820560369826</v>
      </c>
      <c r="F80" s="22" t="n">
        <f aca="false">Calc_2!$F87</f>
        <v>0.473746301595728</v>
      </c>
    </row>
    <row r="81" customFormat="false" ht="15" hidden="false" customHeight="false" outlineLevel="0" collapsed="false">
      <c r="C81" s="0" t="s">
        <v>130</v>
      </c>
      <c r="D81" s="11" t="s">
        <v>13</v>
      </c>
      <c r="E81" s="29" t="n">
        <f aca="false">In_DSCR_Max_Low</f>
        <v>1.1</v>
      </c>
      <c r="F81" s="29" t="n">
        <f aca="false">In_DSCR_Max_Low</f>
        <v>1.1</v>
      </c>
    </row>
    <row r="82" customFormat="false" ht="15" hidden="false" customHeight="false" outlineLevel="0" collapsed="false">
      <c r="C82" s="0" t="s">
        <v>131</v>
      </c>
      <c r="D82" s="11" t="s">
        <v>80</v>
      </c>
      <c r="E82" s="32" t="n">
        <f aca="false">Calc_1!$E124/Thousand</f>
        <v>100.857276484492</v>
      </c>
      <c r="F82" s="32" t="n">
        <f aca="false">Calc_2!$E124/Thousand</f>
        <v>97.8150088675272</v>
      </c>
    </row>
    <row r="83" customFormat="false" ht="15" hidden="false" customHeight="false" outlineLevel="0" collapsed="false">
      <c r="C83" s="0" t="s">
        <v>132</v>
      </c>
      <c r="D83" s="11" t="s">
        <v>27</v>
      </c>
      <c r="E83" s="22" t="n">
        <f aca="false">Calc_1!$E125</f>
        <v>0.902405151231611</v>
      </c>
      <c r="F83" s="22" t="n">
        <f aca="false">Calc_2!$E125</f>
        <v>1.17256526790681</v>
      </c>
    </row>
    <row r="84" customFormat="false" ht="15" hidden="false" customHeight="false" outlineLevel="0" collapsed="false">
      <c r="C84" s="0" t="s">
        <v>133</v>
      </c>
      <c r="D84" s="11" t="s">
        <v>13</v>
      </c>
      <c r="E84" s="29" t="n">
        <f aca="false">In_DSCR_Max_High</f>
        <v>1.2</v>
      </c>
      <c r="F84" s="29" t="n">
        <f aca="false">In_DSCR_Max_High</f>
        <v>1.2</v>
      </c>
    </row>
    <row r="85" customFormat="false" ht="15" hidden="false" customHeight="false" outlineLevel="0" collapsed="false">
      <c r="C85" s="0" t="s">
        <v>134</v>
      </c>
      <c r="D85" s="11" t="s">
        <v>80</v>
      </c>
      <c r="E85" s="32" t="n">
        <f aca="false">Calc_1!$F124/Thousand</f>
        <v>92.452503444118</v>
      </c>
      <c r="F85" s="32" t="n">
        <f aca="false">Calc_2!$F124/Thousand</f>
        <v>89.6637581285666</v>
      </c>
    </row>
    <row r="86" customFormat="false" ht="15" hidden="false" customHeight="false" outlineLevel="0" collapsed="false">
      <c r="C86" s="0" t="s">
        <v>135</v>
      </c>
      <c r="D86" s="11" t="s">
        <v>27</v>
      </c>
      <c r="E86" s="22" t="n">
        <f aca="false">Calc_1!$F125</f>
        <v>0.82720472196231</v>
      </c>
      <c r="F86" s="22" t="n">
        <f aca="false">Calc_2!$F125</f>
        <v>1.07485149558124</v>
      </c>
    </row>
    <row r="87" customFormat="false" ht="15" hidden="false" customHeight="false" outlineLevel="0" collapsed="false">
      <c r="C87" s="0" t="s">
        <v>136</v>
      </c>
      <c r="D87" s="11" t="s">
        <v>80</v>
      </c>
      <c r="E87" s="32" t="n">
        <f aca="false">Calc_1!$E99/Thousand</f>
        <v>1.22724694940336</v>
      </c>
      <c r="F87" s="32" t="n">
        <f aca="false">Calc_2!$E99/Thousand</f>
        <v>0.908387447955559</v>
      </c>
    </row>
    <row r="88" customFormat="false" ht="15" hidden="false" customHeight="false" outlineLevel="0" collapsed="false">
      <c r="C88" s="0" t="s">
        <v>137</v>
      </c>
      <c r="D88" s="11" t="s">
        <v>13</v>
      </c>
      <c r="E88" s="29" t="n">
        <f aca="false">Calc_1!$E100</f>
        <v>1.90833454824417</v>
      </c>
      <c r="F88" s="29" t="n">
        <f aca="false">Calc_2!$E100</f>
        <v>2.53300130461815</v>
      </c>
    </row>
    <row r="89" customFormat="false" ht="15" hidden="false" customHeight="false" outlineLevel="0" collapsed="false">
      <c r="C89" s="0" t="s">
        <v>138</v>
      </c>
      <c r="D89" s="11" t="s">
        <v>139</v>
      </c>
      <c r="E89" s="36" t="n">
        <f aca="false">Calc_1!$E72/Thousand</f>
        <v>139.3975128</v>
      </c>
      <c r="F89" s="36" t="n">
        <f aca="false">Calc_2!$E72/Thousand</f>
        <v>139.3975128</v>
      </c>
    </row>
    <row r="90" customFormat="false" ht="15" hidden="false" customHeight="false" outlineLevel="0" collapsed="false">
      <c r="C90" s="0" t="s">
        <v>140</v>
      </c>
      <c r="D90" s="11" t="s">
        <v>80</v>
      </c>
      <c r="E90" s="32" t="n">
        <f aca="false">Calc_1!$E73/Thousand</f>
        <v>12.67123391352</v>
      </c>
      <c r="F90" s="32" t="n">
        <f aca="false">Calc_2!$E73/Thousand</f>
        <v>12.67123391352</v>
      </c>
    </row>
    <row r="91" customFormat="false" ht="15" hidden="false" customHeight="false" outlineLevel="0" collapsed="false">
      <c r="C91" s="0" t="s">
        <v>141</v>
      </c>
      <c r="D91" s="11" t="s">
        <v>80</v>
      </c>
      <c r="E91" s="32" t="n">
        <f aca="false">Calc_1!$E80/Thousand</f>
        <v>9.55688408374485</v>
      </c>
      <c r="F91" s="32" t="n">
        <f aca="false">Calc_2!$E80/Thousand</f>
        <v>9.55688408374485</v>
      </c>
    </row>
    <row r="92" customFormat="false" ht="15" hidden="false" customHeight="false" outlineLevel="0" collapsed="false">
      <c r="C92" s="0" t="s">
        <v>142</v>
      </c>
      <c r="D92" s="11" t="s">
        <v>80</v>
      </c>
      <c r="E92" s="32" t="n">
        <f aca="false">Calc_1!$I73/Thousand</f>
        <v>420.752711777652</v>
      </c>
      <c r="F92" s="32" t="n">
        <f aca="false">Calc_2!$I73/Thousand</f>
        <v>420.752711777652</v>
      </c>
    </row>
    <row r="93" customFormat="false" ht="15" hidden="false" customHeight="false" outlineLevel="0" collapsed="false">
      <c r="C93" s="0" t="s">
        <v>143</v>
      </c>
      <c r="D93" s="11" t="s">
        <v>80</v>
      </c>
      <c r="E93" s="32" t="n">
        <f aca="false">Calc_1!$I80/Thousand</f>
        <v>295.37332772584</v>
      </c>
      <c r="F93" s="32" t="n">
        <f aca="false">Calc_2!$I80/Thousand</f>
        <v>295.37332772584</v>
      </c>
    </row>
    <row r="94" customFormat="false" ht="15" hidden="false" customHeight="false" outlineLevel="0" collapsed="false">
      <c r="C94" s="0" t="s">
        <v>144</v>
      </c>
      <c r="D94" s="11" t="s">
        <v>80</v>
      </c>
      <c r="E94" s="32" t="n">
        <f aca="false">(SUM(Calc_1!$J110:$EO110))/Thousand</f>
        <v>-23.0733829675432</v>
      </c>
      <c r="F94" s="32" t="n">
        <f aca="false">(SUM(Calc_2!$J110:$EO110))/Thousand</f>
        <v>-28.4626094600412</v>
      </c>
    </row>
    <row r="95" customFormat="false" ht="15" hidden="false" customHeight="false" outlineLevel="0" collapsed="false">
      <c r="C95" s="0" t="s">
        <v>145</v>
      </c>
      <c r="D95" s="11" t="s">
        <v>80</v>
      </c>
      <c r="E95" s="32" t="n">
        <f aca="false">(-Calc_1!$I108)/Thousand</f>
        <v>0.538516909686463</v>
      </c>
      <c r="F95" s="32" t="n">
        <f aca="false">(-Calc_2!$I108)/Thousand</f>
        <v>-0</v>
      </c>
    </row>
    <row r="96" customFormat="false" ht="15" hidden="false" customHeight="false" outlineLevel="0" collapsed="false">
      <c r="C96" s="0" t="s">
        <v>146</v>
      </c>
      <c r="D96" s="11" t="s">
        <v>147</v>
      </c>
      <c r="E96" s="30" t="n">
        <f aca="false">Model_Checks</f>
        <v>0</v>
      </c>
      <c r="F96" s="30" t="n">
        <f aca="false">Model_Checks</f>
        <v>0</v>
      </c>
    </row>
    <row r="98" customFormat="false" ht="15" hidden="false" customHeight="false" outlineLevel="0" collapsed="false">
      <c r="A98" s="9" t="s">
        <v>13</v>
      </c>
      <c r="B98" s="9"/>
      <c r="C98" s="9" t="s">
        <v>148</v>
      </c>
      <c r="D98" s="9"/>
      <c r="E98" s="10" t="s">
        <v>12</v>
      </c>
      <c r="F98" s="10"/>
      <c r="G98" s="9"/>
      <c r="H98" s="10" t="str">
        <f aca="false">Inputs!H$7</f>
        <v>Base</v>
      </c>
      <c r="I98" s="10" t="str">
        <f aca="false">Inputs!I$7</f>
        <v>COD price −10%</v>
      </c>
      <c r="J98" s="10" t="str">
        <f aca="false">Inputs!J$7</f>
        <v>COD price +10%</v>
      </c>
      <c r="K98" s="10" t="str">
        <f aca="false">Inputs!K$7</f>
        <v>Turbine +10%</v>
      </c>
      <c r="L98" s="10" t="str">
        <f aca="false">Inputs!L$7</f>
        <v>Yield −10%</v>
      </c>
      <c r="M98" s="10" t="str">
        <f aca="false">Inputs!M$7</f>
        <v>PPA +10%</v>
      </c>
      <c r="N98" s="10" t="str">
        <f aca="false">Inputs!N$7</f>
        <v>Full PB call</v>
      </c>
      <c r="O98" s="10" t="str">
        <f aca="false">Inputs!O$7</f>
        <v>Rate +1 pp</v>
      </c>
      <c r="P98" s="10" t="str">
        <f aca="false">Inputs!P$7</f>
        <v>Tenor 10 years</v>
      </c>
      <c r="Q98" s="10" t="str">
        <f aca="false">Inputs!Q$7</f>
        <v>Robin Hood 31%</v>
      </c>
      <c r="R98" s="10" t="str">
        <f aca="false">Inputs!R$7</f>
        <v>CIT 9%</v>
      </c>
      <c r="S98" s="10" t="str">
        <f aca="false">Inputs!S$7</f>
        <v>Debt 6x EBITDA</v>
      </c>
    </row>
    <row r="99" customFormat="false" ht="15" hidden="false" customHeight="false" outlineLevel="0" collapsed="false">
      <c r="C99" s="0" t="s">
        <v>149</v>
      </c>
      <c r="D99" s="11" t="s">
        <v>27</v>
      </c>
      <c r="E99" s="22" t="n">
        <f aca="false">Calc_1!$E133</f>
        <v>0.284084033636541</v>
      </c>
      <c r="H99" s="37" t="n">
        <v>0.284084033636541</v>
      </c>
      <c r="I99" s="37" t="n">
        <v>0.120602054328118</v>
      </c>
      <c r="J99" s="37" t="n">
        <v>0.422387837746302</v>
      </c>
      <c r="K99" s="37" t="n">
        <v>0.212090904921561</v>
      </c>
      <c r="L99" s="37" t="n">
        <v>0.284084033636541</v>
      </c>
      <c r="M99" s="37" t="n">
        <v>0.284084033636541</v>
      </c>
      <c r="N99" s="37" t="n">
        <v>0.259034311228568</v>
      </c>
      <c r="O99" s="37" t="n">
        <v>0.277982701172003</v>
      </c>
      <c r="P99" s="37" t="n">
        <v>0.284084033636541</v>
      </c>
      <c r="Q99" s="37" t="n">
        <v>0.284084033636541</v>
      </c>
      <c r="R99" s="37" t="n">
        <v>0.284084033636541</v>
      </c>
      <c r="S99" s="37" t="n">
        <v>0.282579428757699</v>
      </c>
    </row>
    <row r="100" customFormat="false" ht="15" hidden="false" customHeight="false" outlineLevel="0" collapsed="false">
      <c r="C100" s="0" t="s">
        <v>150</v>
      </c>
      <c r="D100" s="11" t="s">
        <v>27</v>
      </c>
      <c r="E100" s="22" t="n">
        <f aca="false">Calc_2!$E133</f>
        <v>0.431605205102548</v>
      </c>
      <c r="H100" s="37" t="n">
        <v>0.431605205102548</v>
      </c>
      <c r="I100" s="37" t="n">
        <v>0.297451749159973</v>
      </c>
      <c r="J100" s="37" t="n">
        <v>0.546764074612228</v>
      </c>
      <c r="K100" s="37" t="n">
        <v>0.393034809879684</v>
      </c>
      <c r="L100" s="37" t="n">
        <v>0.431605205102548</v>
      </c>
      <c r="M100" s="37" t="n">
        <v>0.431605205102548</v>
      </c>
      <c r="N100" s="37" t="n">
        <v>0.407415987608548</v>
      </c>
      <c r="O100" s="37" t="n">
        <v>0.427232005478628</v>
      </c>
      <c r="P100" s="37" t="n">
        <v>0.431605205102548</v>
      </c>
      <c r="Q100" s="37" t="n">
        <v>0.431605205102548</v>
      </c>
      <c r="R100" s="37" t="n">
        <v>0.431605205102548</v>
      </c>
      <c r="S100" s="37" t="n">
        <v>0.47383720841244</v>
      </c>
    </row>
    <row r="101" customFormat="false" ht="15" hidden="false" customHeight="false" outlineLevel="0" collapsed="false">
      <c r="C101" s="0" t="s">
        <v>151</v>
      </c>
      <c r="D101" s="11" t="s">
        <v>13</v>
      </c>
      <c r="E101" s="29" t="n">
        <f aca="false">Calc_1!$E134</f>
        <v>1.40784965721905</v>
      </c>
      <c r="H101" s="38" t="n">
        <v>1.40784965721905</v>
      </c>
      <c r="I101" s="38" t="n">
        <v>1.15772810864571</v>
      </c>
      <c r="J101" s="38" t="n">
        <v>1.65797120579239</v>
      </c>
      <c r="K101" s="38" t="n">
        <v>1.28772256894757</v>
      </c>
      <c r="L101" s="38" t="n">
        <v>1.40784965721905</v>
      </c>
      <c r="M101" s="38" t="n">
        <v>1.40784965721905</v>
      </c>
      <c r="N101" s="38" t="n">
        <v>1.36652049915653</v>
      </c>
      <c r="O101" s="38" t="n">
        <v>1.3977006887947</v>
      </c>
      <c r="P101" s="38" t="n">
        <v>1.40784965721905</v>
      </c>
      <c r="Q101" s="38" t="n">
        <v>1.40784965721905</v>
      </c>
      <c r="R101" s="38" t="n">
        <v>1.40784965721905</v>
      </c>
      <c r="S101" s="38" t="n">
        <v>1.40335375396907</v>
      </c>
    </row>
    <row r="102" customFormat="false" ht="15" hidden="false" customHeight="false" outlineLevel="0" collapsed="false">
      <c r="C102" s="0" t="s">
        <v>152</v>
      </c>
      <c r="D102" s="11" t="s">
        <v>13</v>
      </c>
      <c r="E102" s="29" t="n">
        <f aca="false">Calc_2!$E134</f>
        <v>1.75852383469303</v>
      </c>
      <c r="H102" s="38" t="n">
        <v>1.75852383469303</v>
      </c>
      <c r="I102" s="38" t="n">
        <v>1.47769835100107</v>
      </c>
      <c r="J102" s="38" t="n">
        <v>2.039349318385</v>
      </c>
      <c r="K102" s="38" t="n">
        <v>1.66337085811058</v>
      </c>
      <c r="L102" s="38" t="n">
        <v>1.75852383469303</v>
      </c>
      <c r="M102" s="38" t="n">
        <v>1.75852383469303</v>
      </c>
      <c r="N102" s="38" t="n">
        <v>1.70438751171471</v>
      </c>
      <c r="O102" s="38" t="n">
        <v>1.74863602166122</v>
      </c>
      <c r="P102" s="38" t="n">
        <v>1.75852383469303</v>
      </c>
      <c r="Q102" s="38" t="n">
        <v>1.75852383469303</v>
      </c>
      <c r="R102" s="38" t="n">
        <v>1.75852383469303</v>
      </c>
      <c r="S102" s="38" t="n">
        <v>2.00126916528766</v>
      </c>
    </row>
    <row r="103" customFormat="false" ht="15" hidden="false" customHeight="false" outlineLevel="0" collapsed="false">
      <c r="C103" s="0" t="s">
        <v>153</v>
      </c>
      <c r="D103" s="11" t="s">
        <v>27</v>
      </c>
      <c r="E103" s="22" t="n">
        <f aca="false">Calc_1!$E146</f>
        <v>0.0798286717747287</v>
      </c>
      <c r="H103" s="37" t="n">
        <v>0.0798286717747476</v>
      </c>
      <c r="I103" s="37" t="n">
        <v>0.0798286717747476</v>
      </c>
      <c r="J103" s="37" t="n">
        <v>0.0798286717747476</v>
      </c>
      <c r="K103" s="37" t="n">
        <v>0.073346365716097</v>
      </c>
      <c r="L103" s="37" t="n">
        <v>0.0629017369001835</v>
      </c>
      <c r="M103" s="37" t="n">
        <v>0.0975018032907385</v>
      </c>
      <c r="N103" s="37" t="n">
        <v>0.0769404169615882</v>
      </c>
      <c r="O103" s="37" t="n">
        <v>0.0747458227391903</v>
      </c>
      <c r="P103" s="37" t="n">
        <v>0.0740714202565923</v>
      </c>
      <c r="Q103" s="37" t="n">
        <v>0.0606372162720189</v>
      </c>
      <c r="R103" s="37" t="n">
        <v>0.0829084182180895</v>
      </c>
      <c r="S103" s="37" t="n">
        <v>0.0796051939531077</v>
      </c>
    </row>
    <row r="104" customFormat="false" ht="15" hidden="false" customHeight="false" outlineLevel="0" collapsed="false">
      <c r="C104" s="0" t="s">
        <v>154</v>
      </c>
      <c r="D104" s="11" t="s">
        <v>27</v>
      </c>
      <c r="E104" s="22" t="n">
        <f aca="false">Calc_2!$E146</f>
        <v>0.120333275856178</v>
      </c>
      <c r="H104" s="37" t="n">
        <v>0.120333275856186</v>
      </c>
      <c r="I104" s="37" t="n">
        <v>0.120333275856186</v>
      </c>
      <c r="J104" s="37" t="n">
        <v>0.120333275856186</v>
      </c>
      <c r="K104" s="37" t="n">
        <v>0.115187758125652</v>
      </c>
      <c r="L104" s="37" t="n">
        <v>0.100966098050213</v>
      </c>
      <c r="M104" s="37" t="n">
        <v>0.140797686945913</v>
      </c>
      <c r="N104" s="37" t="n">
        <v>0.115734875052697</v>
      </c>
      <c r="O104" s="37" t="n">
        <v>0.115687550744006</v>
      </c>
      <c r="P104" s="37" t="n">
        <v>0.109423668686618</v>
      </c>
      <c r="Q104" s="37" t="n">
        <v>0.090508331022998</v>
      </c>
      <c r="R104" s="37" t="n">
        <v>0.125289327441302</v>
      </c>
      <c r="S104" s="37" t="n">
        <v>0.133586009052354</v>
      </c>
    </row>
    <row r="105" customFormat="false" ht="15" hidden="false" customHeight="false" outlineLevel="0" collapsed="false">
      <c r="C105" s="0" t="s">
        <v>155</v>
      </c>
      <c r="D105" s="11" t="s">
        <v>13</v>
      </c>
      <c r="E105" s="29" t="n">
        <f aca="false">Calc_1!$E147</f>
        <v>3.37367367104446</v>
      </c>
      <c r="H105" s="38" t="n">
        <v>3.373673671044</v>
      </c>
      <c r="I105" s="38" t="n">
        <v>3.373673671044</v>
      </c>
      <c r="J105" s="38" t="n">
        <v>3.373673671044</v>
      </c>
      <c r="K105" s="38" t="n">
        <v>3.15479951141566</v>
      </c>
      <c r="L105" s="38" t="n">
        <v>2.80035099710545</v>
      </c>
      <c r="M105" s="38" t="n">
        <v>4.01013755465379</v>
      </c>
      <c r="N105" s="38" t="n">
        <v>3.28664059589257</v>
      </c>
      <c r="O105" s="38" t="n">
        <v>3.24553663579523</v>
      </c>
      <c r="P105" s="38" t="n">
        <v>3.56598636699595</v>
      </c>
      <c r="Q105" s="38" t="n">
        <v>2.5000651241493</v>
      </c>
      <c r="R105" s="38" t="n">
        <v>3.53984867976057</v>
      </c>
      <c r="S105" s="38" t="n">
        <v>3.3502572742839</v>
      </c>
    </row>
    <row r="106" customFormat="false" ht="15" hidden="false" customHeight="false" outlineLevel="0" collapsed="false">
      <c r="C106" s="0" t="s">
        <v>156</v>
      </c>
      <c r="D106" s="11" t="s">
        <v>13</v>
      </c>
      <c r="E106" s="29" t="n">
        <f aca="false">Calc_2!$E147</f>
        <v>4.85394047019186</v>
      </c>
      <c r="H106" s="38" t="n">
        <v>4.8539404701918</v>
      </c>
      <c r="I106" s="38" t="n">
        <v>4.8539404701918</v>
      </c>
      <c r="J106" s="38" t="n">
        <v>4.8539404701918</v>
      </c>
      <c r="K106" s="38" t="n">
        <v>4.65505740619435</v>
      </c>
      <c r="L106" s="38" t="n">
        <v>4.10923559261368</v>
      </c>
      <c r="M106" s="38" t="n">
        <v>5.6864514026361</v>
      </c>
      <c r="N106" s="38" t="n">
        <v>4.72575390501271</v>
      </c>
      <c r="O106" s="38" t="n">
        <v>4.73049524278147</v>
      </c>
      <c r="P106" s="38" t="n">
        <v>5.02112697122382</v>
      </c>
      <c r="Q106" s="38" t="n">
        <v>3.43770962247383</v>
      </c>
      <c r="R106" s="38" t="n">
        <v>5.12525913952814</v>
      </c>
      <c r="S106" s="38" t="n">
        <v>5.96120796399063</v>
      </c>
    </row>
    <row r="107" customFormat="false" ht="15" hidden="false" customHeight="false" outlineLevel="0" collapsed="false">
      <c r="C107" s="0" t="s">
        <v>157</v>
      </c>
      <c r="D107" s="11" t="s">
        <v>80</v>
      </c>
      <c r="E107" s="32" t="n">
        <f aca="false">Calc_1!$E96/Thousand</f>
        <v>58.1360350233236</v>
      </c>
      <c r="H107" s="39" t="n">
        <v>58.1360350233236</v>
      </c>
      <c r="I107" s="39" t="n">
        <v>58.1360350233236</v>
      </c>
      <c r="J107" s="39" t="n">
        <v>58.1360350233236</v>
      </c>
      <c r="K107" s="39" t="n">
        <v>61.2887861751086</v>
      </c>
      <c r="L107" s="39" t="n">
        <v>58.1360350233236</v>
      </c>
      <c r="M107" s="39" t="n">
        <v>58.1360350233236</v>
      </c>
      <c r="N107" s="39" t="n">
        <v>58.1360350233236</v>
      </c>
      <c r="O107" s="39" t="n">
        <v>58.6673182381231</v>
      </c>
      <c r="P107" s="39" t="n">
        <v>58.1360350233236</v>
      </c>
      <c r="Q107" s="39" t="n">
        <v>58.1360350233236</v>
      </c>
      <c r="R107" s="39" t="n">
        <v>58.1360350233236</v>
      </c>
      <c r="S107" s="39" t="n">
        <v>57.3413045024691</v>
      </c>
    </row>
    <row r="108" customFormat="false" ht="15" hidden="false" customHeight="false" outlineLevel="0" collapsed="false">
      <c r="C108" s="0" t="s">
        <v>158</v>
      </c>
      <c r="D108" s="11" t="s">
        <v>80</v>
      </c>
      <c r="E108" s="32" t="n">
        <f aca="false">Calc_2!$E96/Thousand</f>
        <v>42.4778738005823</v>
      </c>
      <c r="H108" s="39" t="n">
        <v>42.4778738005823</v>
      </c>
      <c r="I108" s="39" t="n">
        <v>42.4778738005823</v>
      </c>
      <c r="J108" s="39" t="n">
        <v>42.4778738005823</v>
      </c>
      <c r="K108" s="39" t="n">
        <v>44.1372165120482</v>
      </c>
      <c r="L108" s="39" t="n">
        <v>42.4778738005823</v>
      </c>
      <c r="M108" s="39" t="n">
        <v>42.4778738005823</v>
      </c>
      <c r="N108" s="39" t="n">
        <v>42.4778738005823</v>
      </c>
      <c r="O108" s="39" t="n">
        <v>42.8706783724966</v>
      </c>
      <c r="P108" s="39" t="n">
        <v>42.4778738005823</v>
      </c>
      <c r="Q108" s="39" t="n">
        <v>42.4778738005823</v>
      </c>
      <c r="R108" s="39" t="n">
        <v>42.4778738005823</v>
      </c>
      <c r="S108" s="39" t="n">
        <v>54.0627484734684</v>
      </c>
    </row>
    <row r="109" customFormat="false" ht="15" hidden="false" customHeight="false" outlineLevel="0" collapsed="false">
      <c r="C109" s="0" t="s">
        <v>159</v>
      </c>
      <c r="D109" s="11" t="s">
        <v>80</v>
      </c>
      <c r="E109" s="32" t="n">
        <f aca="false">Calc_1!$E122/Thousand</f>
        <v>53.6289259222578</v>
      </c>
      <c r="H109" s="39" t="n">
        <v>53.6289259222578</v>
      </c>
      <c r="I109" s="39" t="n">
        <v>53.6289259222578</v>
      </c>
      <c r="J109" s="39" t="n">
        <v>53.6289259222578</v>
      </c>
      <c r="K109" s="39" t="n">
        <v>56.1834634023852</v>
      </c>
      <c r="L109" s="39" t="n">
        <v>53.6289259222578</v>
      </c>
      <c r="M109" s="39" t="n">
        <v>53.6289259222578</v>
      </c>
      <c r="N109" s="39" t="n">
        <v>53.6289259222578</v>
      </c>
      <c r="O109" s="39" t="n">
        <v>53.6382233785168</v>
      </c>
      <c r="P109" s="39" t="n">
        <v>53.6289259222578</v>
      </c>
      <c r="Q109" s="39" t="n">
        <v>53.6289259222578</v>
      </c>
      <c r="R109" s="39" t="n">
        <v>53.6289259222578</v>
      </c>
      <c r="S109" s="39" t="n">
        <v>54.367044148166</v>
      </c>
    </row>
    <row r="110" customFormat="false" ht="15" hidden="false" customHeight="false" outlineLevel="0" collapsed="false">
      <c r="C110" s="0" t="s">
        <v>160</v>
      </c>
      <c r="D110" s="11" t="s">
        <v>80</v>
      </c>
      <c r="E110" s="32" t="n">
        <f aca="false">Calc_2!$E122/Thousand</f>
        <v>40.9417971932041</v>
      </c>
      <c r="H110" s="39" t="n">
        <v>40.9417971932041</v>
      </c>
      <c r="I110" s="39" t="n">
        <v>40.9417971932041</v>
      </c>
      <c r="J110" s="39" t="n">
        <v>40.9417971932041</v>
      </c>
      <c r="K110" s="39" t="n">
        <v>42.2862906037974</v>
      </c>
      <c r="L110" s="39" t="n">
        <v>40.9417971932041</v>
      </c>
      <c r="M110" s="39" t="n">
        <v>40.9417971932041</v>
      </c>
      <c r="N110" s="39" t="n">
        <v>40.9417971932041</v>
      </c>
      <c r="O110" s="39" t="n">
        <v>40.9486712732126</v>
      </c>
      <c r="P110" s="39" t="n">
        <v>40.9417971932041</v>
      </c>
      <c r="Q110" s="39" t="n">
        <v>40.9417971932041</v>
      </c>
      <c r="R110" s="39" t="n">
        <v>40.9417971932041</v>
      </c>
      <c r="S110" s="39" t="n">
        <v>30.1869696362648</v>
      </c>
    </row>
    <row r="111" customFormat="false" ht="15" hidden="false" customHeight="false" outlineLevel="0" collapsed="false">
      <c r="C111" s="0" t="s">
        <v>161</v>
      </c>
      <c r="D111" s="11" t="s">
        <v>27</v>
      </c>
      <c r="E111" s="22" t="n">
        <f aca="false">Calc_1!$E138</f>
        <v>0.0568046288872868</v>
      </c>
      <c r="H111" s="37" t="n">
        <v>0.0568046288872891</v>
      </c>
      <c r="I111" s="37" t="n">
        <v>0.0673434550531193</v>
      </c>
      <c r="J111" s="37" t="n">
        <v>0.047851654441164</v>
      </c>
      <c r="K111" s="37" t="n">
        <v>0.0572335019472217</v>
      </c>
      <c r="L111" s="37" t="n">
        <v>0.0456705386872546</v>
      </c>
      <c r="M111" s="37" t="n">
        <v>0.0684045651114414</v>
      </c>
      <c r="N111" s="37" t="n">
        <v>0.0568480961764338</v>
      </c>
      <c r="O111" s="37" t="n">
        <v>0.0572967448124243</v>
      </c>
      <c r="P111" s="37" t="n">
        <v>0.0559171712880208</v>
      </c>
      <c r="Q111" s="37" t="n">
        <v>0.0429903921440313</v>
      </c>
      <c r="R111" s="37" t="n">
        <v>0.0590607216801304</v>
      </c>
      <c r="S111" s="37" t="n">
        <v>0.0567762932400276</v>
      </c>
    </row>
    <row r="112" customFormat="false" ht="15" hidden="false" customHeight="false" outlineLevel="0" collapsed="false">
      <c r="C112" s="0" t="s">
        <v>162</v>
      </c>
      <c r="D112" s="11" t="s">
        <v>27</v>
      </c>
      <c r="E112" s="22" t="n">
        <f aca="false">Calc_2!$E138</f>
        <v>0.0696894448393206</v>
      </c>
      <c r="H112" s="37" t="n">
        <v>0.0696894448393211</v>
      </c>
      <c r="I112" s="37" t="n">
        <v>0.0810876676554176</v>
      </c>
      <c r="J112" s="37" t="n">
        <v>0.0600528746504114</v>
      </c>
      <c r="K112" s="37" t="n">
        <v>0.0699919444680799</v>
      </c>
      <c r="L112" s="37" t="n">
        <v>0.0576593038751686</v>
      </c>
      <c r="M112" s="37" t="n">
        <v>0.0824059442497119</v>
      </c>
      <c r="N112" s="37" t="n">
        <v>0.0697559712217851</v>
      </c>
      <c r="O112" s="37" t="n">
        <v>0.0701895609790416</v>
      </c>
      <c r="P112" s="37" t="n">
        <v>0.0689350936915445</v>
      </c>
      <c r="Q112" s="37" t="n">
        <v>0.0492800304534101</v>
      </c>
      <c r="R112" s="37" t="n">
        <v>0.0730899412415147</v>
      </c>
      <c r="S112" s="37" t="n">
        <v>0.0703107708611567</v>
      </c>
    </row>
    <row r="113" customFormat="false" ht="15" hidden="false" customHeight="false" outlineLevel="0" collapsed="false">
      <c r="C113" s="0" t="s">
        <v>163</v>
      </c>
      <c r="D113" s="11" t="s">
        <v>27</v>
      </c>
      <c r="E113" s="22" t="n">
        <f aca="false">Calc_1!$E140</f>
        <v>0.0585329319728921</v>
      </c>
      <c r="H113" s="37" t="n">
        <v>0.0585329319728996</v>
      </c>
      <c r="I113" s="37" t="n">
        <v>0.0747150442732597</v>
      </c>
      <c r="J113" s="37" t="n">
        <v>0.0461486766624494</v>
      </c>
      <c r="K113" s="37" t="n">
        <v>0.0592986240428982</v>
      </c>
      <c r="L113" s="37" t="n">
        <v>0.0428441785882542</v>
      </c>
      <c r="M113" s="37" t="n">
        <v>0.0751292809070286</v>
      </c>
      <c r="N113" s="37" t="n">
        <v>0.0585976344805931</v>
      </c>
      <c r="O113" s="37" t="n">
        <v>0.0546751412291754</v>
      </c>
      <c r="P113" s="37" t="n">
        <v>0.0563466559612445</v>
      </c>
      <c r="Q113" s="37" t="n">
        <v>0.0387114953684004</v>
      </c>
      <c r="R113" s="37" t="n">
        <v>0.0617200089090675</v>
      </c>
      <c r="S113" s="37" t="n">
        <v>0.0584593239892665</v>
      </c>
    </row>
    <row r="114" customFormat="false" ht="15" hidden="false" customHeight="false" outlineLevel="0" collapsed="false">
      <c r="C114" s="0" t="s">
        <v>164</v>
      </c>
      <c r="D114" s="11" t="s">
        <v>27</v>
      </c>
      <c r="E114" s="22" t="n">
        <f aca="false">Calc_2!$E140</f>
        <v>0.0754971888634899</v>
      </c>
      <c r="H114" s="37" t="n">
        <v>0.0754971888634926</v>
      </c>
      <c r="I114" s="37" t="n">
        <v>0.0926971707106317</v>
      </c>
      <c r="J114" s="37" t="n">
        <v>0.0622220411902615</v>
      </c>
      <c r="K114" s="37" t="n">
        <v>0.076234570272147</v>
      </c>
      <c r="L114" s="37" t="n">
        <v>0.0593234938659363</v>
      </c>
      <c r="M114" s="37" t="n">
        <v>0.0928417133094489</v>
      </c>
      <c r="N114" s="37" t="n">
        <v>0.075600057419568</v>
      </c>
      <c r="O114" s="37" t="n">
        <v>0.0725146023588142</v>
      </c>
      <c r="P114" s="37" t="n">
        <v>0.0716893440385178</v>
      </c>
      <c r="Q114" s="37" t="n">
        <v>0.0480650884558682</v>
      </c>
      <c r="R114" s="37" t="n">
        <v>0.0800701877003213</v>
      </c>
      <c r="S114" s="37" t="n">
        <v>0.0788639740164785</v>
      </c>
    </row>
    <row r="115" customFormat="false" ht="15" hidden="false" customHeight="false" outlineLevel="0" collapsed="false">
      <c r="C115" s="0" t="s">
        <v>165</v>
      </c>
      <c r="D115" s="11" t="s">
        <v>13</v>
      </c>
      <c r="E115" s="29" t="n">
        <f aca="false">Calc_1!$E100</f>
        <v>1.90833454824417</v>
      </c>
      <c r="H115" s="38" t="n">
        <v>1.90833454824636</v>
      </c>
      <c r="I115" s="38" t="n">
        <v>1.90833454824636</v>
      </c>
      <c r="J115" s="38" t="n">
        <v>1.90833454824636</v>
      </c>
      <c r="K115" s="38" t="n">
        <v>1.81981919686943</v>
      </c>
      <c r="L115" s="38" t="n">
        <v>1.70186047008104</v>
      </c>
      <c r="M115" s="38" t="n">
        <v>2.13448961504836</v>
      </c>
      <c r="N115" s="38" t="n">
        <v>1.90833454824385</v>
      </c>
      <c r="O115" s="38" t="n">
        <v>1.76455331523184</v>
      </c>
      <c r="P115" s="38" t="n">
        <v>1.25323625220032</v>
      </c>
      <c r="Q115" s="38" t="n">
        <v>1.75599824880879</v>
      </c>
      <c r="R115" s="38" t="n">
        <v>1.93544389664335</v>
      </c>
      <c r="S115" s="38" t="n">
        <v>1.93407539337904</v>
      </c>
    </row>
    <row r="116" customFormat="false" ht="15" hidden="false" customHeight="false" outlineLevel="0" collapsed="false">
      <c r="C116" s="0" t="s">
        <v>166</v>
      </c>
      <c r="D116" s="11" t="s">
        <v>13</v>
      </c>
      <c r="E116" s="29" t="n">
        <f aca="false">Calc_2!$E100</f>
        <v>2.53300130461815</v>
      </c>
      <c r="H116" s="38" t="n">
        <v>2.53300130461927</v>
      </c>
      <c r="I116" s="38" t="n">
        <v>2.53300130461927</v>
      </c>
      <c r="J116" s="38" t="n">
        <v>2.53300130461927</v>
      </c>
      <c r="K116" s="38" t="n">
        <v>2.44600346635507</v>
      </c>
      <c r="L116" s="38" t="n">
        <v>2.25582607287275</v>
      </c>
      <c r="M116" s="38" t="n">
        <v>2.84059636850825</v>
      </c>
      <c r="N116" s="38" t="n">
        <v>2.53300130461831</v>
      </c>
      <c r="O116" s="38" t="n">
        <v>2.34009133873894</v>
      </c>
      <c r="P116" s="38" t="n">
        <v>1.6636302661774</v>
      </c>
      <c r="Q116" s="38" t="n">
        <v>2.16227830634639</v>
      </c>
      <c r="R116" s="38" t="n">
        <v>2.60154567028004</v>
      </c>
      <c r="S116" s="38" t="n">
        <v>2.00410481651349</v>
      </c>
    </row>
    <row r="117" customFormat="false" ht="15" hidden="false" customHeight="false" outlineLevel="0" collapsed="false">
      <c r="C117" s="0" t="s">
        <v>167</v>
      </c>
      <c r="D117" s="11" t="s">
        <v>147</v>
      </c>
      <c r="E117" s="30" t="n">
        <f aca="false">Model_Checks</f>
        <v>0</v>
      </c>
      <c r="H117" s="40" t="n">
        <v>0</v>
      </c>
      <c r="I117" s="40" t="n">
        <v>0</v>
      </c>
      <c r="J117" s="40" t="n">
        <v>0</v>
      </c>
      <c r="K117" s="40" t="n">
        <v>0</v>
      </c>
      <c r="L117" s="40" t="n">
        <v>0</v>
      </c>
      <c r="M117" s="40" t="n">
        <v>0</v>
      </c>
      <c r="N117" s="40" t="n">
        <v>0</v>
      </c>
      <c r="O117" s="40" t="n">
        <v>0</v>
      </c>
      <c r="P117" s="40" t="n">
        <v>0</v>
      </c>
      <c r="Q117" s="40" t="n">
        <v>0</v>
      </c>
      <c r="R117" s="40" t="n">
        <v>0</v>
      </c>
      <c r="S117" s="40" t="n">
        <v>0</v>
      </c>
    </row>
    <row r="118" customFormat="false" ht="15" hidden="false" customHeight="false" outlineLevel="0" collapsed="false">
      <c r="C118" s="0" t="s">
        <v>168</v>
      </c>
      <c r="D118" s="11" t="s">
        <v>147</v>
      </c>
      <c r="E118" s="30" t="n">
        <f aca="false">Model_Checks</f>
        <v>0</v>
      </c>
      <c r="H118" s="40" t="n">
        <v>0</v>
      </c>
      <c r="I118" s="40" t="n">
        <v>0</v>
      </c>
      <c r="J118" s="40" t="n">
        <v>0</v>
      </c>
      <c r="K118" s="40" t="n">
        <v>0</v>
      </c>
      <c r="L118" s="40" t="n">
        <v>0</v>
      </c>
      <c r="M118" s="40" t="n">
        <v>0</v>
      </c>
      <c r="N118" s="40" t="n">
        <v>0</v>
      </c>
      <c r="O118" s="40" t="n">
        <v>0</v>
      </c>
      <c r="P118" s="40" t="n">
        <v>0</v>
      </c>
      <c r="Q118" s="40" t="n">
        <v>0</v>
      </c>
      <c r="R118" s="40" t="n">
        <v>0</v>
      </c>
      <c r="S118" s="40" t="n">
        <v>0</v>
      </c>
    </row>
    <row r="120" customFormat="false" ht="15" hidden="false" customHeight="false" outlineLevel="0" collapsed="false">
      <c r="C120" s="41" t="s">
        <v>169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W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T11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9" min="8" style="0" width="12"/>
    <col collapsed="false" customWidth="true" hidden="false" outlineLevel="0" max="20" min="20" style="0" width="2"/>
    <col collapsed="false" customWidth="false" hidden="true" outlineLevel="1" max="16384" min="21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4" customFormat="false" ht="15" hidden="false" customHeight="false" outlineLevel="0" collapsed="false">
      <c r="B4" s="0" t="s">
        <v>170</v>
      </c>
      <c r="D4" s="0" t="s">
        <v>171</v>
      </c>
      <c r="F4" s="42" t="str">
        <f aca="false">Scenario_Name</f>
        <v>Base</v>
      </c>
    </row>
    <row r="5" customFormat="false" ht="15" hidden="false" customHeight="false" outlineLevel="0" collapsed="false">
      <c r="B5" s="0" t="s">
        <v>172</v>
      </c>
      <c r="F5" s="43" t="n">
        <f aca="false">MATCH(Scenario_Name,Scenario_Names,0)</f>
        <v>1</v>
      </c>
    </row>
    <row r="7" customFormat="false" ht="15" hidden="false" customHeight="false" outlineLevel="0" collapsed="false">
      <c r="B7" s="7" t="s">
        <v>173</v>
      </c>
      <c r="C7" s="7" t="s">
        <v>8</v>
      </c>
      <c r="D7" s="7" t="s">
        <v>174</v>
      </c>
      <c r="F7" s="8" t="s">
        <v>12</v>
      </c>
      <c r="H7" s="44" t="s">
        <v>22</v>
      </c>
      <c r="I7" s="44" t="s">
        <v>175</v>
      </c>
      <c r="J7" s="44" t="s">
        <v>176</v>
      </c>
      <c r="K7" s="44" t="s">
        <v>177</v>
      </c>
      <c r="L7" s="44" t="s">
        <v>178</v>
      </c>
      <c r="M7" s="44" t="s">
        <v>179</v>
      </c>
      <c r="N7" s="44" t="s">
        <v>180</v>
      </c>
      <c r="O7" s="44" t="s">
        <v>181</v>
      </c>
      <c r="P7" s="44" t="s">
        <v>182</v>
      </c>
      <c r="Q7" s="44" t="s">
        <v>183</v>
      </c>
      <c r="R7" s="44" t="s">
        <v>184</v>
      </c>
      <c r="S7" s="44" t="s">
        <v>185</v>
      </c>
    </row>
    <row r="10" customFormat="false" ht="15" hidden="false" customHeight="false" outlineLevel="0" collapsed="false">
      <c r="A10" s="9" t="s">
        <v>13</v>
      </c>
      <c r="B10" s="9"/>
      <c r="C10" s="9" t="s">
        <v>186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customFormat="false" ht="15" hidden="false" customHeight="false" outlineLevel="0" collapsed="false">
      <c r="B11" s="0" t="s">
        <v>187</v>
      </c>
      <c r="C11" s="11" t="s">
        <v>147</v>
      </c>
      <c r="D11" s="13" t="s">
        <v>188</v>
      </c>
      <c r="F11" s="44" t="n">
        <v>1000</v>
      </c>
    </row>
    <row r="12" customFormat="false" ht="15" hidden="false" customHeight="false" outlineLevel="0" collapsed="false">
      <c r="B12" s="0" t="s">
        <v>189</v>
      </c>
      <c r="C12" s="11" t="s">
        <v>147</v>
      </c>
      <c r="D12" s="13" t="s">
        <v>188</v>
      </c>
      <c r="F12" s="44" t="n">
        <v>1000000</v>
      </c>
    </row>
    <row r="13" customFormat="false" ht="15" hidden="false" customHeight="false" outlineLevel="0" collapsed="false">
      <c r="B13" s="0" t="s">
        <v>190</v>
      </c>
      <c r="C13" s="11" t="s">
        <v>191</v>
      </c>
      <c r="D13" s="13" t="s">
        <v>192</v>
      </c>
      <c r="F13" s="44" t="n">
        <v>365</v>
      </c>
    </row>
    <row r="14" customFormat="false" ht="15" hidden="false" customHeight="false" outlineLevel="0" collapsed="false">
      <c r="B14" s="0" t="s">
        <v>193</v>
      </c>
      <c r="C14" s="11" t="s">
        <v>194</v>
      </c>
      <c r="F14" s="44" t="n">
        <v>12</v>
      </c>
    </row>
    <row r="15" customFormat="false" ht="15" hidden="false" customHeight="false" outlineLevel="0" collapsed="false">
      <c r="B15" s="0" t="s">
        <v>195</v>
      </c>
      <c r="C15" s="11" t="s">
        <v>194</v>
      </c>
      <c r="D15" s="13" t="s">
        <v>196</v>
      </c>
      <c r="F15" s="44" t="n">
        <v>3</v>
      </c>
    </row>
    <row r="16" customFormat="false" ht="15" hidden="false" customHeight="false" outlineLevel="0" collapsed="false">
      <c r="B16" s="0" t="s">
        <v>197</v>
      </c>
      <c r="C16" s="11" t="s">
        <v>147</v>
      </c>
      <c r="D16" s="13" t="s">
        <v>198</v>
      </c>
      <c r="F16" s="44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199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</row>
    <row r="19" customFormat="false" ht="15" hidden="false" customHeight="false" outlineLevel="0" collapsed="false">
      <c r="B19" s="0" t="s">
        <v>200</v>
      </c>
      <c r="C19" s="11" t="s">
        <v>38</v>
      </c>
      <c r="D19" s="13" t="s">
        <v>201</v>
      </c>
      <c r="F19" s="45" t="n">
        <f aca="false">IF(INDEX($H19:$S19,1,Scenario_Selected)="",$H19,INDEX($H19:$S19,1,Scenario_Selected))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</row>
    <row r="20" customFormat="false" ht="15" hidden="false" customHeight="false" outlineLevel="0" collapsed="false">
      <c r="B20" s="0" t="s">
        <v>202</v>
      </c>
      <c r="C20" s="11" t="s">
        <v>27</v>
      </c>
      <c r="D20" s="13" t="s">
        <v>203</v>
      </c>
      <c r="F20" s="44" t="n">
        <v>0.1</v>
      </c>
    </row>
    <row r="21" customFormat="false" ht="15" hidden="false" customHeight="false" outlineLevel="0" collapsed="false">
      <c r="B21" s="0" t="s">
        <v>204</v>
      </c>
      <c r="C21" s="11" t="s">
        <v>38</v>
      </c>
      <c r="D21" s="13" t="s">
        <v>205</v>
      </c>
      <c r="F21" s="45" t="n">
        <f aca="false">IF(INDEX($H21:$S21,1,Scenario_Selected)="",$H21,INDEX($H21:$S21,1,Scenario_Selected))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</row>
    <row r="22" customFormat="false" ht="15" hidden="false" customHeight="false" outlineLevel="0" collapsed="false">
      <c r="B22" s="0" t="s">
        <v>206</v>
      </c>
      <c r="C22" s="11" t="s">
        <v>38</v>
      </c>
      <c r="D22" s="13" t="s">
        <v>207</v>
      </c>
      <c r="F22" s="45" t="n">
        <f aca="false">IF(INDEX($H22:$S22,1,Scenario_Selected)="",$H22,INDEX($H22:$S22,1,Scenario_Selected))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</row>
    <row r="23" customFormat="false" ht="15" hidden="false" customHeight="false" outlineLevel="0" collapsed="false">
      <c r="B23" s="0" t="s">
        <v>208</v>
      </c>
      <c r="C23" s="11" t="s">
        <v>38</v>
      </c>
      <c r="D23" s="13" t="s">
        <v>209</v>
      </c>
      <c r="F23" s="45" t="n">
        <f aca="false">IF(INDEX($H23:$S23,1,Scenario_Selected)="",$H23,INDEX($H23:$S23,1,Scenario_Selected))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</row>
    <row r="24" customFormat="false" ht="15" hidden="false" customHeight="false" outlineLevel="0" collapsed="false">
      <c r="B24" s="0" t="s">
        <v>210</v>
      </c>
      <c r="C24" s="11" t="s">
        <v>191</v>
      </c>
      <c r="D24" s="13" t="s">
        <v>211</v>
      </c>
      <c r="F24" s="43" t="n">
        <f aca="false">IF(INDEX($H24:$S24,1,Scenario_Selected)="",$H24,INDEX($H24:$S24,1,Scenario_Selected))</f>
        <v>15</v>
      </c>
      <c r="H24" s="46" t="n">
        <v>15</v>
      </c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</row>
    <row r="25" customFormat="false" ht="15" hidden="false" customHeight="false" outlineLevel="0" collapsed="false">
      <c r="B25" s="0" t="s">
        <v>212</v>
      </c>
      <c r="C25" s="11" t="s">
        <v>38</v>
      </c>
      <c r="D25" s="13" t="s">
        <v>213</v>
      </c>
      <c r="F25" s="45" t="n">
        <f aca="false">IF(INDEX($H25:$S25,1,Scenario_Selected)="",$H25,INDEX($H25:$S25,1,Scenario_Selected))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</row>
    <row r="26" customFormat="false" ht="15" hidden="false" customHeight="false" outlineLevel="0" collapsed="false">
      <c r="B26" s="0" t="s">
        <v>214</v>
      </c>
      <c r="C26" s="11" t="s">
        <v>38</v>
      </c>
      <c r="D26" s="13" t="s">
        <v>215</v>
      </c>
      <c r="F26" s="45" t="n">
        <f aca="false">IF(INDEX($H26:$S26,1,Scenario_Selected)="",$H26,INDEX($H26:$S26,1,Scenario_Selected))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</row>
    <row r="27" customFormat="false" ht="15" hidden="false" customHeight="false" outlineLevel="0" collapsed="false">
      <c r="B27" s="0" t="s">
        <v>216</v>
      </c>
      <c r="C27" s="11" t="s">
        <v>38</v>
      </c>
      <c r="D27" s="13" t="s">
        <v>217</v>
      </c>
      <c r="F27" s="45" t="n">
        <f aca="false">IF(INDEX($H27:$S27,1,Scenario_Selected)="",$H27,INDEX($H27:$S27,1,Scenario_Selected))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</row>
    <row r="28" customFormat="false" ht="15" hidden="false" customHeight="false" outlineLevel="0" collapsed="false">
      <c r="B28" s="0" t="s">
        <v>218</v>
      </c>
      <c r="C28" s="11" t="s">
        <v>38</v>
      </c>
      <c r="D28" s="13" t="s">
        <v>219</v>
      </c>
      <c r="F28" s="45" t="n">
        <f aca="false">IF(INDEX($H28:$S28,1,Scenario_Selected)="",$H28,INDEX($H28:$S28,1,Scenario_Selected))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</row>
    <row r="29" customFormat="false" ht="15" hidden="false" customHeight="false" outlineLevel="0" collapsed="false">
      <c r="B29" s="0" t="s">
        <v>220</v>
      </c>
      <c r="C29" s="11" t="s">
        <v>66</v>
      </c>
      <c r="D29" s="13" t="s">
        <v>221</v>
      </c>
      <c r="F29" s="43" t="n">
        <f aca="false">IF(INDEX($H29:$S29,1,Scenario_Selected)="",$H29,INDEX($H29:$S29,1,Scenario_Selected))</f>
        <v>30</v>
      </c>
      <c r="H29" s="46" t="n">
        <v>30</v>
      </c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</row>
    <row r="30" customFormat="false" ht="15" hidden="false" customHeight="false" outlineLevel="0" collapsed="false">
      <c r="B30" s="0" t="s">
        <v>222</v>
      </c>
      <c r="C30" s="11" t="s">
        <v>38</v>
      </c>
      <c r="D30" s="13" t="s">
        <v>223</v>
      </c>
      <c r="F30" s="45" t="n">
        <f aca="false">IF(INDEX($H30:$S30,1,Scenario_Selected)="",$H30,INDEX($H30:$S30,1,Scenario_Selected))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</row>
    <row r="32" customFormat="false" ht="15" hidden="false" customHeight="false" outlineLevel="0" collapsed="false">
      <c r="A32" s="9" t="s">
        <v>13</v>
      </c>
      <c r="B32" s="9"/>
      <c r="C32" s="9" t="s">
        <v>224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</row>
    <row r="33" customFormat="false" ht="15" hidden="false" customHeight="false" outlineLevel="0" collapsed="false">
      <c r="B33" s="0" t="s">
        <v>225</v>
      </c>
      <c r="C33" s="11" t="s">
        <v>78</v>
      </c>
      <c r="D33" s="13" t="s">
        <v>226</v>
      </c>
      <c r="F33" s="47" t="n">
        <f aca="false">IF(INDEX($H33:$S33,1,Scenario_Selected)="",$H33,INDEX($H33:$S33,1,Scenario_Selected))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customFormat="false" ht="15" hidden="false" customHeight="false" outlineLevel="0" collapsed="false">
      <c r="B34" s="0" t="s">
        <v>227</v>
      </c>
      <c r="C34" s="11" t="s">
        <v>33</v>
      </c>
      <c r="D34" s="13" t="s">
        <v>228</v>
      </c>
      <c r="F34" s="47" t="n">
        <f aca="false">IF(INDEX($H34:$S34,1,Scenario_Selected)="",$H34,INDEX($H34:$S34,1,Scenario_Selected))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customFormat="false" ht="15" hidden="false" customHeight="false" outlineLevel="0" collapsed="false">
      <c r="B35" s="0" t="s">
        <v>229</v>
      </c>
      <c r="C35" s="11" t="s">
        <v>33</v>
      </c>
      <c r="D35" s="13" t="s">
        <v>230</v>
      </c>
      <c r="F35" s="47" t="n">
        <f aca="false">IF(INDEX($H35:$S35,1,Scenario_Selected)="",$H35,INDEX($H35:$S35,1,Scenario_Selected))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customFormat="false" ht="15" hidden="false" customHeight="false" outlineLevel="0" collapsed="false">
      <c r="B36" s="0" t="s">
        <v>231</v>
      </c>
      <c r="C36" s="11" t="s">
        <v>33</v>
      </c>
      <c r="D36" s="13" t="s">
        <v>232</v>
      </c>
      <c r="F36" s="47" t="n">
        <f aca="false">IF(INDEX($H36:$S36,1,Scenario_Selected)="",$H36,INDEX($H36:$S36,1,Scenario_Selected))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customFormat="false" ht="15" hidden="false" customHeight="false" outlineLevel="0" collapsed="false">
      <c r="B37" s="0" t="s">
        <v>233</v>
      </c>
      <c r="C37" s="11" t="s">
        <v>19</v>
      </c>
      <c r="D37" s="13" t="s">
        <v>234</v>
      </c>
      <c r="F37" s="47" t="n">
        <f aca="false">IF(INDEX($H37:$S37,1,Scenario_Selected)="",$H37,INDEX($H37:$S37,1,Scenario_Selected))</f>
        <v>2450</v>
      </c>
      <c r="H37" s="12" t="n">
        <v>2450</v>
      </c>
      <c r="I37" s="12" t="n">
        <f aca="false">H37*(1-Sens_Step)</f>
        <v>2205</v>
      </c>
      <c r="J37" s="12" t="n">
        <f aca="false">H37*(1+Sens_Step)</f>
        <v>2695</v>
      </c>
      <c r="K37" s="12"/>
      <c r="L37" s="12"/>
      <c r="M37" s="12"/>
      <c r="N37" s="12"/>
      <c r="O37" s="12"/>
      <c r="P37" s="12"/>
      <c r="Q37" s="12"/>
      <c r="R37" s="12"/>
      <c r="S37" s="12"/>
    </row>
    <row r="38" customFormat="false" ht="15" hidden="false" customHeight="false" outlineLevel="0" collapsed="false">
      <c r="B38" s="0" t="s">
        <v>235</v>
      </c>
      <c r="C38" s="11" t="s">
        <v>19</v>
      </c>
      <c r="D38" s="13" t="s">
        <v>236</v>
      </c>
      <c r="F38" s="47" t="n">
        <f aca="false">IF(INDEX($H38:$S38,1,Scenario_Selected)="",$H38,INDEX($H38:$S38,1,Scenario_Selected))</f>
        <v>2100</v>
      </c>
      <c r="H38" s="12" t="n">
        <v>2100</v>
      </c>
      <c r="I38" s="12" t="n">
        <f aca="false">H38*(1-Sens_Step)</f>
        <v>1890</v>
      </c>
      <c r="J38" s="12" t="n">
        <f aca="false">H38*(1+Sens_Step)</f>
        <v>2310</v>
      </c>
      <c r="K38" s="12"/>
      <c r="L38" s="12"/>
      <c r="M38" s="12"/>
      <c r="N38" s="12"/>
      <c r="O38" s="12"/>
      <c r="P38" s="12"/>
      <c r="Q38" s="12"/>
      <c r="R38" s="12"/>
      <c r="S38" s="12"/>
    </row>
    <row r="39" customFormat="false" ht="15" hidden="false" customHeight="false" outlineLevel="0" collapsed="false">
      <c r="B39" s="0" t="s">
        <v>237</v>
      </c>
      <c r="C39" s="11" t="s">
        <v>33</v>
      </c>
      <c r="D39" s="13" t="s">
        <v>238</v>
      </c>
      <c r="F39" s="47" t="n">
        <f aca="false">IF(INDEX($H39:$S39,1,Scenario_Selected)="",$H39,INDEX($H39:$S39,1,Scenario_Selected))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customFormat="false" ht="15" hidden="false" customHeight="false" outlineLevel="0" collapsed="false">
      <c r="B40" s="0" t="s">
        <v>239</v>
      </c>
      <c r="C40" s="11" t="s">
        <v>27</v>
      </c>
      <c r="D40" s="13" t="s">
        <v>240</v>
      </c>
      <c r="F40" s="48" t="n">
        <f aca="false">IF(INDEX($H40:$S40,1,Scenario_Selected)="",$H40,INDEX($H40:$S40,1,Scenario_Selected))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</row>
    <row r="41" customFormat="false" ht="15" hidden="false" customHeight="false" outlineLevel="0" collapsed="false">
      <c r="B41" s="0" t="s">
        <v>241</v>
      </c>
      <c r="C41" s="11" t="s">
        <v>27</v>
      </c>
      <c r="D41" s="13" t="s">
        <v>242</v>
      </c>
      <c r="F41" s="48" t="n">
        <f aca="false">IF(INDEX($H41:$S41,1,Scenario_Selected)="",$H41,INDEX($H41:$S41,1,Scenario_Selected))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 t="n">
        <v>0.09</v>
      </c>
      <c r="S41" s="17"/>
    </row>
    <row r="42" customFormat="false" ht="15" hidden="false" customHeight="false" outlineLevel="0" collapsed="false">
      <c r="B42" s="0" t="s">
        <v>243</v>
      </c>
      <c r="C42" s="11" t="s">
        <v>43</v>
      </c>
      <c r="D42" s="13" t="s">
        <v>244</v>
      </c>
      <c r="F42" s="49" t="n">
        <f aca="false">IF(INDEX($H42:$S42,1,Scenario_Selected)="",$H42,INDEX($H42:$S42,1,Scenario_Selected))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  <c r="P42" s="23"/>
      <c r="Q42" s="23" t="n">
        <v>1</v>
      </c>
      <c r="R42" s="23"/>
      <c r="S42" s="23"/>
    </row>
    <row r="43" customFormat="false" ht="15" hidden="false" customHeight="false" outlineLevel="0" collapsed="false">
      <c r="B43" s="0" t="s">
        <v>245</v>
      </c>
      <c r="C43" s="11" t="s">
        <v>27</v>
      </c>
      <c r="D43" s="13" t="s">
        <v>246</v>
      </c>
      <c r="F43" s="48" t="n">
        <f aca="false">IF(INDEX($H43:$S43,1,Scenario_Selected)="",$H43,INDEX($H43:$S43,1,Scenario_Selected))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</row>
    <row r="44" customFormat="false" ht="15" hidden="false" customHeight="false" outlineLevel="0" collapsed="false">
      <c r="B44" s="0" t="s">
        <v>247</v>
      </c>
      <c r="C44" s="11" t="s">
        <v>43</v>
      </c>
      <c r="D44" s="13" t="s">
        <v>248</v>
      </c>
      <c r="F44" s="49" t="n">
        <f aca="false">IF(INDEX($H44:$S44,1,Scenario_Selected)="",$H44,INDEX($H44:$S44,1,Scenario_Selected))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</row>
    <row r="45" customFormat="false" ht="15" hidden="false" customHeight="false" outlineLevel="0" collapsed="false">
      <c r="B45" s="0" t="s">
        <v>249</v>
      </c>
      <c r="C45" s="11" t="s">
        <v>66</v>
      </c>
      <c r="D45" s="13" t="s">
        <v>250</v>
      </c>
      <c r="F45" s="43" t="n">
        <f aca="false">IF(INDEX($H45:$S45,1,Scenario_Selected)="",$H45,INDEX($H45:$S45,1,Scenario_Selected))</f>
        <v>20</v>
      </c>
      <c r="H45" s="46" t="n">
        <v>20</v>
      </c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</row>
    <row r="46" customFormat="false" ht="15" hidden="false" customHeight="false" outlineLevel="0" collapsed="false">
      <c r="B46" s="0" t="s">
        <v>251</v>
      </c>
      <c r="C46" s="11" t="s">
        <v>27</v>
      </c>
      <c r="D46" s="13" t="s">
        <v>252</v>
      </c>
      <c r="F46" s="48" t="n">
        <f aca="false">IF(INDEX($H46:$S46,1,Scenario_Selected)="",$H46,INDEX($H46:$S46,1,Scenario_Selected))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</row>
    <row r="47" customFormat="false" ht="15" hidden="false" customHeight="false" outlineLevel="0" collapsed="false">
      <c r="B47" s="0" t="s">
        <v>253</v>
      </c>
      <c r="C47" s="11" t="s">
        <v>66</v>
      </c>
      <c r="D47" s="13" t="s">
        <v>254</v>
      </c>
      <c r="F47" s="43" t="n">
        <f aca="false">IF(INDEX($H47:$S47,1,Scenario_Selected)="",$H47,INDEX($H47:$S47,1,Scenario_Selected))</f>
        <v>5</v>
      </c>
      <c r="H47" s="46" t="n">
        <v>5</v>
      </c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</row>
    <row r="49" customFormat="false" ht="15" hidden="false" customHeight="false" outlineLevel="0" collapsed="false">
      <c r="A49" s="9" t="s">
        <v>13</v>
      </c>
      <c r="B49" s="9"/>
      <c r="C49" s="9" t="s">
        <v>255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</row>
    <row r="50" customFormat="false" ht="15" hidden="false" customHeight="false" outlineLevel="0" collapsed="false">
      <c r="B50" s="0" t="s">
        <v>256</v>
      </c>
      <c r="C50" s="11" t="s">
        <v>147</v>
      </c>
      <c r="D50" s="13" t="s">
        <v>257</v>
      </c>
      <c r="F50" s="44" t="n">
        <v>2</v>
      </c>
    </row>
    <row r="51" customFormat="false" ht="15" hidden="false" customHeight="false" outlineLevel="0" collapsed="false">
      <c r="B51" s="0" t="s">
        <v>258</v>
      </c>
      <c r="C51" s="11" t="s">
        <v>259</v>
      </c>
      <c r="D51" s="13" t="s">
        <v>260</v>
      </c>
      <c r="F51" s="47" t="n">
        <f aca="false">IF(INDEX($H51:$S51,1,Scenario_Selected)="",$H51,INDEX($H51:$S51,1,Scenario_Selected))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customFormat="false" ht="15" hidden="false" customHeight="false" outlineLevel="0" collapsed="false">
      <c r="B52" s="0" t="s">
        <v>261</v>
      </c>
      <c r="C52" s="11" t="s">
        <v>27</v>
      </c>
      <c r="D52" s="13" t="s">
        <v>203</v>
      </c>
      <c r="F52" s="48" t="n">
        <f aca="false">IF(INDEX($H52:$S52,1,Scenario_Selected)="",$H52,INDEX($H52:$S52,1,Scenario_Selected))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</row>
    <row r="53" customFormat="false" ht="15" hidden="false" customHeight="false" outlineLevel="0" collapsed="false">
      <c r="B53" s="0" t="s">
        <v>262</v>
      </c>
      <c r="C53" s="11" t="s">
        <v>27</v>
      </c>
      <c r="D53" s="13" t="s">
        <v>263</v>
      </c>
      <c r="F53" s="48" t="n">
        <f aca="false">IF(INDEX($H53:$S53,1,Scenario_Selected)="",$H53,INDEX($H53:$S53,1,Scenario_Selected))</f>
        <v>0.05</v>
      </c>
      <c r="H53" s="17" t="n">
        <v>0.05</v>
      </c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</row>
    <row r="54" customFormat="false" ht="15" hidden="false" customHeight="false" outlineLevel="0" collapsed="false">
      <c r="B54" s="0" t="s">
        <v>264</v>
      </c>
      <c r="C54" s="11" t="s">
        <v>43</v>
      </c>
      <c r="D54" s="13" t="s">
        <v>265</v>
      </c>
      <c r="F54" s="49" t="n">
        <f aca="false">IF(INDEX($H54:$S54,1,Scenario_Selected)="",$H54,INDEX($H54:$S54,1,Scenario_Selected))</f>
        <v>1</v>
      </c>
      <c r="H54" s="23" t="n">
        <v>1</v>
      </c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</row>
    <row r="55" customFormat="false" ht="15" hidden="false" customHeight="false" outlineLevel="0" collapsed="false">
      <c r="B55" s="0" t="s">
        <v>266</v>
      </c>
      <c r="C55" s="11" t="s">
        <v>35</v>
      </c>
      <c r="D55" s="13" t="s">
        <v>267</v>
      </c>
      <c r="F55" s="36" t="n">
        <f aca="false">IF(INDEX($H55:$S55,1,Scenario_Selected)="",$H55,INDEX($H55:$S55,1,Scenario_Selected))</f>
        <v>4</v>
      </c>
      <c r="H55" s="19" t="n">
        <v>4</v>
      </c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customFormat="false" ht="15" hidden="false" customHeight="false" outlineLevel="0" collapsed="false">
      <c r="B56" s="0" t="s">
        <v>268</v>
      </c>
      <c r="C56" s="11" t="s">
        <v>27</v>
      </c>
      <c r="D56" s="13" t="s">
        <v>269</v>
      </c>
      <c r="F56" s="48" t="n">
        <f aca="false">IF(INDEX($H56:$S56,1,Scenario_Selected)="",$H56,INDEX($H56:$S56,1,Scenario_Selected))</f>
        <v>0.1</v>
      </c>
      <c r="H56" s="17" t="n">
        <v>0.1</v>
      </c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customFormat="false" ht="15" hidden="false" customHeight="false" outlineLevel="0" collapsed="false">
      <c r="B57" s="0" t="s">
        <v>270</v>
      </c>
      <c r="C57" s="11" t="s">
        <v>43</v>
      </c>
      <c r="D57" s="13" t="s">
        <v>271</v>
      </c>
      <c r="F57" s="49" t="n">
        <f aca="false">IF(INDEX($H57:$S57,1,Scenario_Selected)="",$H57,INDEX($H57:$S57,1,Scenario_Selected))</f>
        <v>1</v>
      </c>
      <c r="H57" s="23" t="n">
        <v>1</v>
      </c>
      <c r="I57" s="23"/>
      <c r="J57" s="23"/>
      <c r="K57" s="23"/>
      <c r="L57" s="23"/>
      <c r="M57" s="23"/>
      <c r="N57" s="23" t="n">
        <v>2</v>
      </c>
      <c r="O57" s="23"/>
      <c r="P57" s="23"/>
      <c r="Q57" s="23"/>
      <c r="R57" s="23"/>
      <c r="S57" s="23"/>
    </row>
    <row r="58" customFormat="false" ht="15" hidden="false" customHeight="false" outlineLevel="0" collapsed="false">
      <c r="B58" s="0" t="s">
        <v>272</v>
      </c>
      <c r="C58" s="11" t="s">
        <v>194</v>
      </c>
      <c r="D58" s="13" t="s">
        <v>273</v>
      </c>
      <c r="F58" s="43" t="n">
        <f aca="false">IF(INDEX($H58:$S58,1,Scenario_Selected)="",$H58,INDEX($H58:$S58,1,Scenario_Selected))</f>
        <v>6</v>
      </c>
      <c r="H58" s="46" t="n">
        <v>6</v>
      </c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</row>
    <row r="59" customFormat="false" ht="15" hidden="false" customHeight="false" outlineLevel="0" collapsed="false">
      <c r="B59" s="0" t="s">
        <v>274</v>
      </c>
      <c r="C59" s="11" t="s">
        <v>275</v>
      </c>
      <c r="D59" s="13" t="s">
        <v>276</v>
      </c>
      <c r="F59" s="47" t="n">
        <f aca="false">IF(INDEX($H59:$S59,1,Scenario_Selected)="",$H59,INDEX($H59:$S59,1,Scenario_Selected))</f>
        <v>200</v>
      </c>
      <c r="H59" s="12" t="n">
        <v>200</v>
      </c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customFormat="false" ht="15" hidden="false" customHeight="false" outlineLevel="0" collapsed="false">
      <c r="B60" s="0" t="s">
        <v>277</v>
      </c>
      <c r="C60" s="11" t="s">
        <v>278</v>
      </c>
      <c r="D60" s="13" t="s">
        <v>276</v>
      </c>
      <c r="F60" s="47" t="n">
        <f aca="false">IF(INDEX($H60:$S60,1,Scenario_Selected)="",$H60,INDEX($H60:$S60,1,Scenario_Selected))</f>
        <v>406</v>
      </c>
      <c r="H60" s="12" t="n">
        <v>406</v>
      </c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customFormat="false" ht="15" hidden="false" customHeight="false" outlineLevel="0" collapsed="false">
      <c r="B61" s="0" t="s">
        <v>279</v>
      </c>
      <c r="C61" s="11" t="s">
        <v>280</v>
      </c>
      <c r="D61" s="13" t="s">
        <v>281</v>
      </c>
      <c r="F61" s="36" t="n">
        <f aca="false">IF(INDEX($H61:$S61,1,Scenario_Selected)="",$H61,INDEX($H61:$S61,1,Scenario_Selected))</f>
        <v>3</v>
      </c>
      <c r="H61" s="19" t="n">
        <v>3</v>
      </c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customFormat="false" ht="15" hidden="false" customHeight="false" outlineLevel="0" collapsed="false">
      <c r="B62" s="0" t="s">
        <v>282</v>
      </c>
      <c r="C62" s="11" t="s">
        <v>27</v>
      </c>
      <c r="D62" s="13" t="s">
        <v>283</v>
      </c>
      <c r="F62" s="50" t="n">
        <f aca="false">IF(INDEX($H62:$S62,1,Scenario_Selected)="",$H62,INDEX($H62:$S62,1,Scenario_Selected))</f>
        <v>0.005</v>
      </c>
      <c r="H62" s="51" t="n">
        <v>0.005</v>
      </c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</row>
    <row r="63" customFormat="false" ht="15" hidden="false" customHeight="false" outlineLevel="0" collapsed="false">
      <c r="B63" s="0" t="s">
        <v>284</v>
      </c>
      <c r="C63" s="11" t="s">
        <v>27</v>
      </c>
      <c r="D63" s="13" t="s">
        <v>285</v>
      </c>
      <c r="F63" s="50" t="n">
        <f aca="false">IF(INDEX($H63:$S63,1,Scenario_Selected)="",$H63,INDEX($H63:$S63,1,Scenario_Selected))</f>
        <v>0.025</v>
      </c>
      <c r="H63" s="51" t="n">
        <v>0.025</v>
      </c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</row>
    <row r="64" customFormat="false" ht="15" hidden="false" customHeight="false" outlineLevel="0" collapsed="false">
      <c r="B64" s="0" t="s">
        <v>286</v>
      </c>
      <c r="C64" s="11" t="s">
        <v>287</v>
      </c>
      <c r="D64" s="13" t="s">
        <v>288</v>
      </c>
      <c r="F64" s="36" t="n">
        <f aca="false">IF(INDEX($H64:$S64,1,Scenario_Selected)="",$H64,INDEX($H64:$S64,1,Scenario_Selected))</f>
        <v>4.5</v>
      </c>
      <c r="H64" s="19" t="n">
        <v>4.5</v>
      </c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customFormat="false" ht="15" hidden="false" customHeight="false" outlineLevel="0" collapsed="false">
      <c r="B65" s="0" t="s">
        <v>289</v>
      </c>
      <c r="C65" s="11" t="s">
        <v>280</v>
      </c>
      <c r="D65" s="13" t="s">
        <v>290</v>
      </c>
      <c r="F65" s="36" t="n">
        <f aca="false">IF(INDEX($H65:$S65,1,Scenario_Selected)="",$H65,INDEX($H65:$S65,1,Scenario_Selected))</f>
        <v>460</v>
      </c>
      <c r="H65" s="19" t="n">
        <v>460</v>
      </c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customFormat="false" ht="15" hidden="false" customHeight="false" outlineLevel="0" collapsed="false">
      <c r="B66" s="0" t="s">
        <v>291</v>
      </c>
      <c r="C66" s="11" t="s">
        <v>287</v>
      </c>
      <c r="D66" s="13" t="s">
        <v>292</v>
      </c>
      <c r="F66" s="32" t="n">
        <f aca="false">IF(INDEX($H66:$S66,1,Scenario_Selected)="",$H66,INDEX($H66:$S66,1,Scenario_Selected))</f>
        <v>54.830209</v>
      </c>
      <c r="H66" s="16" t="n">
        <v>54.830209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</row>
    <row r="67" customFormat="false" ht="15" hidden="false" customHeight="false" outlineLevel="0" collapsed="false">
      <c r="B67" s="0" t="s">
        <v>293</v>
      </c>
      <c r="C67" s="11" t="s">
        <v>27</v>
      </c>
      <c r="D67" s="13" t="s">
        <v>294</v>
      </c>
      <c r="F67" s="48" t="n">
        <f aca="false">IF(INDEX($H67:$S67,1,Scenario_Selected)="",$H67,INDEX($H67:$S67,1,Scenario_Selected))</f>
        <v>0.06</v>
      </c>
      <c r="H67" s="17" t="n">
        <v>0.06</v>
      </c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</row>
    <row r="69" customFormat="false" ht="15" hidden="false" customHeight="false" outlineLevel="0" collapsed="false">
      <c r="A69" s="9" t="s">
        <v>13</v>
      </c>
      <c r="B69" s="9"/>
      <c r="C69" s="9" t="s">
        <v>295</v>
      </c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</row>
    <row r="70" customFormat="false" ht="15" hidden="false" customHeight="false" outlineLevel="0" collapsed="false">
      <c r="B70" s="0" t="s">
        <v>296</v>
      </c>
      <c r="C70" s="11" t="s">
        <v>19</v>
      </c>
      <c r="D70" s="13" t="s">
        <v>297</v>
      </c>
      <c r="F70" s="47" t="n">
        <f aca="false">IF(INDEX($H70:$S70,1,Scenario_Selected)="",$H70,INDEX($H70:$S70,1,Scenario_Selected))</f>
        <v>950</v>
      </c>
      <c r="H70" s="12" t="n">
        <v>950</v>
      </c>
      <c r="I70" s="12"/>
      <c r="J70" s="12"/>
      <c r="K70" s="12" t="n">
        <f aca="false">H70*(1+Sens_Step)</f>
        <v>1045</v>
      </c>
      <c r="L70" s="12"/>
      <c r="M70" s="12"/>
      <c r="N70" s="12"/>
      <c r="O70" s="12"/>
      <c r="P70" s="12"/>
      <c r="Q70" s="12"/>
      <c r="R70" s="12"/>
      <c r="S70" s="12"/>
    </row>
    <row r="71" customFormat="false" ht="15" hidden="false" customHeight="false" outlineLevel="0" collapsed="false">
      <c r="B71" s="0" t="s">
        <v>298</v>
      </c>
      <c r="C71" s="11" t="s">
        <v>19</v>
      </c>
      <c r="D71" s="13" t="s">
        <v>299</v>
      </c>
      <c r="F71" s="47" t="n">
        <f aca="false">IF(INDEX($H71:$S71,1,Scenario_Selected)="",$H71,INDEX($H71:$S71,1,Scenario_Selected))</f>
        <v>500</v>
      </c>
      <c r="H71" s="12" t="n">
        <v>500</v>
      </c>
      <c r="I71" s="12"/>
      <c r="J71" s="12"/>
      <c r="K71" s="12" t="n">
        <f aca="false">H71*(1+Sens_Step)</f>
        <v>550</v>
      </c>
      <c r="L71" s="12"/>
      <c r="M71" s="12"/>
      <c r="N71" s="12"/>
      <c r="O71" s="12"/>
      <c r="P71" s="12"/>
      <c r="Q71" s="12"/>
      <c r="R71" s="12"/>
      <c r="S71" s="12"/>
    </row>
    <row r="72" customFormat="false" ht="15" hidden="false" customHeight="false" outlineLevel="0" collapsed="false">
      <c r="B72" s="0" t="s">
        <v>300</v>
      </c>
      <c r="C72" s="11" t="s">
        <v>19</v>
      </c>
      <c r="D72" s="13" t="s">
        <v>301</v>
      </c>
      <c r="F72" s="47" t="n">
        <f aca="false">IF(INDEX($H72:$S72,1,Scenario_Selected)="",$H72,INDEX($H72:$S72,1,Scenario_Selected))</f>
        <v>355</v>
      </c>
      <c r="H72" s="12" t="n">
        <v>355</v>
      </c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customFormat="false" ht="15" hidden="false" customHeight="false" outlineLevel="0" collapsed="false">
      <c r="B73" s="0" t="s">
        <v>302</v>
      </c>
      <c r="C73" s="11" t="s">
        <v>33</v>
      </c>
      <c r="D73" s="13" t="s">
        <v>303</v>
      </c>
      <c r="F73" s="47" t="n">
        <f aca="false">IF(INDEX($H73:$S73,1,Scenario_Selected)="",$H73,INDEX($H73:$S73,1,Scenario_Selected))</f>
        <v>12000</v>
      </c>
      <c r="H73" s="12" t="n">
        <v>12000</v>
      </c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customFormat="false" ht="15" hidden="false" customHeight="false" outlineLevel="0" collapsed="false">
      <c r="B74" s="0" t="s">
        <v>304</v>
      </c>
      <c r="C74" s="11" t="s">
        <v>33</v>
      </c>
      <c r="D74" s="13" t="s">
        <v>305</v>
      </c>
      <c r="F74" s="47" t="n">
        <f aca="false">IF(INDEX($H74:$S74,1,Scenario_Selected)="",$H74,INDEX($H74:$S74,1,Scenario_Selected))</f>
        <v>10800</v>
      </c>
      <c r="H74" s="12" t="n">
        <v>10800</v>
      </c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customFormat="false" ht="15" hidden="false" customHeight="false" outlineLevel="0" collapsed="false">
      <c r="B75" s="0" t="s">
        <v>306</v>
      </c>
      <c r="C75" s="11" t="s">
        <v>27</v>
      </c>
      <c r="D75" s="13" t="s">
        <v>307</v>
      </c>
      <c r="F75" s="48" t="n">
        <f aca="false">IF(INDEX($H75:$S75,1,Scenario_Selected)="",$H75,INDEX($H75:$S75,1,Scenario_Selected))</f>
        <v>0.05</v>
      </c>
      <c r="H75" s="17" t="n">
        <v>0.05</v>
      </c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</row>
    <row r="76" customFormat="false" ht="15" hidden="false" customHeight="false" outlineLevel="0" collapsed="false">
      <c r="B76" s="0" t="s">
        <v>308</v>
      </c>
      <c r="C76" s="11" t="s">
        <v>19</v>
      </c>
      <c r="D76" s="13" t="s">
        <v>309</v>
      </c>
      <c r="F76" s="47" t="n">
        <f aca="false">IF(INDEX($H76:$S76,1,Scenario_Selected)="",$H76,INDEX($H76:$S76,1,Scenario_Selected))</f>
        <v>240</v>
      </c>
      <c r="H76" s="12" t="n">
        <v>240</v>
      </c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8" customFormat="false" ht="15" hidden="false" customHeight="false" outlineLevel="0" collapsed="false">
      <c r="A78" s="9" t="s">
        <v>13</v>
      </c>
      <c r="B78" s="9"/>
      <c r="C78" s="9" t="s">
        <v>310</v>
      </c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</row>
    <row r="79" customFormat="false" ht="15" hidden="false" customHeight="false" outlineLevel="0" collapsed="false">
      <c r="B79" s="0" t="s">
        <v>56</v>
      </c>
      <c r="C79" s="11" t="s">
        <v>57</v>
      </c>
      <c r="D79" s="13" t="s">
        <v>203</v>
      </c>
      <c r="F79" s="47" t="n">
        <f aca="false">IF(INDEX($H79:$S79,1,Scenario_Selected)="",$H79,INDEX($H79:$S79,1,Scenario_Selected))</f>
        <v>2600</v>
      </c>
      <c r="H79" s="12" t="n">
        <v>2600</v>
      </c>
      <c r="I79" s="12"/>
      <c r="J79" s="12"/>
      <c r="K79" s="12"/>
      <c r="L79" s="12" t="n">
        <f aca="false">H79*(1-Sens_Step)</f>
        <v>2340</v>
      </c>
      <c r="M79" s="12"/>
      <c r="N79" s="12"/>
      <c r="O79" s="12"/>
      <c r="P79" s="12"/>
      <c r="Q79" s="12"/>
      <c r="R79" s="12"/>
      <c r="S79" s="12"/>
    </row>
    <row r="80" customFormat="false" ht="15" hidden="false" customHeight="false" outlineLevel="0" collapsed="false">
      <c r="B80" s="0" t="s">
        <v>311</v>
      </c>
      <c r="C80" s="11" t="s">
        <v>27</v>
      </c>
      <c r="D80" s="13" t="s">
        <v>312</v>
      </c>
      <c r="F80" s="48" t="n">
        <f aca="false">IF(INDEX($H80:$S80,1,Scenario_Selected)="",$H80,INDEX($H80:$S80,1,Scenario_Selected))</f>
        <v>0.02</v>
      </c>
      <c r="H80" s="17" t="n">
        <v>0.02</v>
      </c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</row>
    <row r="81" customFormat="false" ht="15" hidden="false" customHeight="false" outlineLevel="0" collapsed="false">
      <c r="B81" s="0" t="s">
        <v>313</v>
      </c>
      <c r="C81" s="11" t="s">
        <v>27</v>
      </c>
      <c r="D81" s="13" t="s">
        <v>314</v>
      </c>
      <c r="F81" s="50" t="n">
        <f aca="false">IF(INDEX($H81:$S81,1,Scenario_Selected)="",$H81,INDEX($H81:$S81,1,Scenario_Selected))</f>
        <v>0.003</v>
      </c>
      <c r="H81" s="51" t="n">
        <v>0.003</v>
      </c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</row>
    <row r="82" customFormat="false" ht="15" hidden="false" customHeight="false" outlineLevel="0" collapsed="false">
      <c r="B82" s="0" t="s">
        <v>315</v>
      </c>
      <c r="C82" s="11" t="s">
        <v>24</v>
      </c>
      <c r="D82" s="13" t="s">
        <v>203</v>
      </c>
      <c r="F82" s="36" t="n">
        <f aca="false">IF(INDEX($H82:$S82,1,Scenario_Selected)="",$H82,INDEX($H82:$S82,1,Scenario_Selected))</f>
        <v>90</v>
      </c>
      <c r="H82" s="19" t="n">
        <v>90</v>
      </c>
      <c r="I82" s="19"/>
      <c r="J82" s="19"/>
      <c r="K82" s="19"/>
      <c r="L82" s="19"/>
      <c r="M82" s="19" t="n">
        <v>99</v>
      </c>
      <c r="N82" s="19"/>
      <c r="O82" s="19"/>
      <c r="P82" s="19"/>
      <c r="Q82" s="19"/>
      <c r="R82" s="19"/>
      <c r="S82" s="19"/>
    </row>
    <row r="83" customFormat="false" ht="15" hidden="false" customHeight="false" outlineLevel="0" collapsed="false">
      <c r="B83" s="0" t="s">
        <v>316</v>
      </c>
      <c r="C83" s="11" t="s">
        <v>27</v>
      </c>
      <c r="D83" s="13" t="s">
        <v>317</v>
      </c>
      <c r="F83" s="48" t="n">
        <f aca="false">IF(INDEX($H83:$S83,1,Scenario_Selected)="",$H83,INDEX($H83:$S83,1,Scenario_Selected))</f>
        <v>0.01</v>
      </c>
      <c r="H83" s="17" t="n">
        <v>0.01</v>
      </c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</row>
    <row r="84" customFormat="false" ht="15" hidden="false" customHeight="false" outlineLevel="0" collapsed="false">
      <c r="B84" s="0" t="s">
        <v>318</v>
      </c>
      <c r="C84" s="11" t="s">
        <v>24</v>
      </c>
      <c r="D84" s="13" t="s">
        <v>319</v>
      </c>
      <c r="F84" s="36" t="n">
        <f aca="false">IF(INDEX($H84:$S84,1,Scenario_Selected)="",$H84,INDEX($H84:$S84,1,Scenario_Selected))</f>
        <v>5</v>
      </c>
      <c r="H84" s="19" t="n">
        <v>5</v>
      </c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customFormat="false" ht="15" hidden="false" customHeight="false" outlineLevel="0" collapsed="false">
      <c r="B85" s="0" t="s">
        <v>320</v>
      </c>
      <c r="C85" s="11" t="s">
        <v>19</v>
      </c>
      <c r="D85" s="13" t="s">
        <v>321</v>
      </c>
      <c r="F85" s="47" t="n">
        <f aca="false">IF(INDEX($H85:$S85,1,Scenario_Selected)="",$H85,INDEX($H85:$S85,1,Scenario_Selected))</f>
        <v>22</v>
      </c>
      <c r="H85" s="12" t="n">
        <v>22</v>
      </c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customFormat="false" ht="15" hidden="false" customHeight="false" outlineLevel="0" collapsed="false">
      <c r="B86" s="0" t="s">
        <v>322</v>
      </c>
      <c r="C86" s="11" t="s">
        <v>19</v>
      </c>
      <c r="D86" s="13" t="s">
        <v>323</v>
      </c>
      <c r="F86" s="47" t="n">
        <f aca="false">IF(INDEX($H86:$S86,1,Scenario_Selected)="",$H86,INDEX($H86:$S86,1,Scenario_Selected))</f>
        <v>3</v>
      </c>
      <c r="H86" s="12" t="n">
        <v>3</v>
      </c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customFormat="false" ht="15" hidden="false" customHeight="false" outlineLevel="0" collapsed="false">
      <c r="B87" s="0" t="s">
        <v>324</v>
      </c>
      <c r="C87" s="11" t="s">
        <v>33</v>
      </c>
      <c r="D87" s="13" t="s">
        <v>325</v>
      </c>
      <c r="F87" s="47" t="n">
        <f aca="false">IF(INDEX($H87:$S87,1,Scenario_Selected)="",$H87,INDEX($H87:$S87,1,Scenario_Selected))</f>
        <v>150</v>
      </c>
      <c r="H87" s="12" t="n">
        <v>150</v>
      </c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customFormat="false" ht="15" hidden="false" customHeight="false" outlineLevel="0" collapsed="false">
      <c r="B88" s="0" t="s">
        <v>326</v>
      </c>
      <c r="C88" s="11" t="s">
        <v>27</v>
      </c>
      <c r="D88" s="13" t="s">
        <v>327</v>
      </c>
      <c r="F88" s="48" t="n">
        <f aca="false">IF(INDEX($H88:$S88,1,Scenario_Selected)="",$H88,INDEX($H88:$S88,1,Scenario_Selected))</f>
        <v>0.05</v>
      </c>
      <c r="H88" s="17" t="n">
        <v>0.05</v>
      </c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</row>
    <row r="89" customFormat="false" ht="15" hidden="false" customHeight="false" outlineLevel="0" collapsed="false">
      <c r="B89" s="0" t="s">
        <v>328</v>
      </c>
      <c r="C89" s="11" t="s">
        <v>27</v>
      </c>
      <c r="D89" s="13" t="s">
        <v>329</v>
      </c>
      <c r="F89" s="48" t="n">
        <f aca="false">IF(INDEX($H89:$S89,1,Scenario_Selected)="",$H89,INDEX($H89:$S89,1,Scenario_Selected))</f>
        <v>0.025</v>
      </c>
      <c r="H89" s="17" t="n">
        <v>0.025</v>
      </c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</row>
    <row r="90" customFormat="false" ht="15" hidden="false" customHeight="false" outlineLevel="0" collapsed="false">
      <c r="B90" s="0" t="s">
        <v>330</v>
      </c>
      <c r="C90" s="11" t="s">
        <v>27</v>
      </c>
      <c r="D90" s="13" t="s">
        <v>331</v>
      </c>
      <c r="F90" s="50" t="n">
        <f aca="false">IF(INDEX($H90:$S90,1,Scenario_Selected)="",$H90,INDEX($H90:$S90,1,Scenario_Selected))</f>
        <v>0.001</v>
      </c>
      <c r="H90" s="51" t="n">
        <v>0.001</v>
      </c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</row>
    <row r="91" customFormat="false" ht="15" hidden="false" customHeight="false" outlineLevel="0" collapsed="false">
      <c r="B91" s="0" t="s">
        <v>332</v>
      </c>
      <c r="C91" s="11" t="s">
        <v>27</v>
      </c>
      <c r="D91" s="13" t="s">
        <v>333</v>
      </c>
      <c r="F91" s="48" t="n">
        <f aca="false">IF(INDEX($H91:$S91,1,Scenario_Selected)="",$H91,INDEX($H91:$S91,1,Scenario_Selected))</f>
        <v>0.02</v>
      </c>
      <c r="H91" s="17" t="n">
        <v>0.02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</row>
    <row r="92" customFormat="false" ht="15" hidden="false" customHeight="false" outlineLevel="0" collapsed="false">
      <c r="B92" s="0" t="s">
        <v>334</v>
      </c>
      <c r="C92" s="11" t="s">
        <v>27</v>
      </c>
      <c r="D92" s="13" t="s">
        <v>335</v>
      </c>
      <c r="F92" s="50" t="n">
        <f aca="false">IF(INDEX($H92:$S92,1,Scenario_Selected)="",$H92,INDEX($H92:$S92,1,Scenario_Selected))</f>
        <v>0.003</v>
      </c>
      <c r="H92" s="51" t="n">
        <v>0.003</v>
      </c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</row>
    <row r="94" customFormat="false" ht="15" hidden="false" customHeight="false" outlineLevel="0" collapsed="false">
      <c r="A94" s="9" t="s">
        <v>13</v>
      </c>
      <c r="B94" s="9"/>
      <c r="C94" s="9" t="s">
        <v>336</v>
      </c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</row>
    <row r="95" customFormat="false" ht="15" hidden="false" customHeight="false" outlineLevel="0" collapsed="false">
      <c r="B95" s="0" t="s">
        <v>337</v>
      </c>
      <c r="C95" s="11" t="s">
        <v>27</v>
      </c>
      <c r="D95" s="13" t="s">
        <v>338</v>
      </c>
      <c r="F95" s="48" t="n">
        <f aca="false">IF(INDEX($H95:$S95,1,Scenario_Selected)="",$H95,INDEX($H95:$S95,1,Scenario_Selected))</f>
        <v>0.55</v>
      </c>
      <c r="H95" s="17" t="n">
        <v>0.55</v>
      </c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 t="n">
        <v>0.7</v>
      </c>
    </row>
    <row r="96" customFormat="false" ht="15" hidden="false" customHeight="false" outlineLevel="0" collapsed="false">
      <c r="B96" s="0" t="s">
        <v>339</v>
      </c>
      <c r="C96" s="11" t="s">
        <v>13</v>
      </c>
      <c r="D96" s="13" t="s">
        <v>338</v>
      </c>
      <c r="F96" s="36" t="n">
        <f aca="false">IF(INDEX($H96:$S96,1,Scenario_Selected)="",$H96,INDEX($H96:$S96,1,Scenario_Selected))</f>
        <v>0</v>
      </c>
      <c r="H96" s="19" t="n">
        <v>0</v>
      </c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 t="n">
        <v>6</v>
      </c>
    </row>
    <row r="97" customFormat="false" ht="15" hidden="false" customHeight="false" outlineLevel="0" collapsed="false">
      <c r="B97" s="0" t="s">
        <v>130</v>
      </c>
      <c r="C97" s="11" t="s">
        <v>13</v>
      </c>
      <c r="D97" s="13" t="s">
        <v>338</v>
      </c>
      <c r="F97" s="52" t="n">
        <f aca="false">IF(INDEX($H97:$S97,1,Scenario_Selected)="",$H97,INDEX($H97:$S97,1,Scenario_Selected))</f>
        <v>1.1</v>
      </c>
      <c r="H97" s="21" t="n">
        <v>1.1</v>
      </c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</row>
    <row r="98" customFormat="false" ht="15" hidden="false" customHeight="false" outlineLevel="0" collapsed="false">
      <c r="B98" s="0" t="s">
        <v>133</v>
      </c>
      <c r="C98" s="11" t="s">
        <v>13</v>
      </c>
      <c r="D98" s="13" t="s">
        <v>338</v>
      </c>
      <c r="F98" s="52" t="n">
        <f aca="false">IF(INDEX($H98:$S98,1,Scenario_Selected)="",$H98,INDEX($H98:$S98,1,Scenario_Selected))</f>
        <v>1.2</v>
      </c>
      <c r="H98" s="21" t="n">
        <v>1.2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</row>
    <row r="99" customFormat="false" ht="15" hidden="false" customHeight="false" outlineLevel="0" collapsed="false">
      <c r="B99" s="0" t="s">
        <v>340</v>
      </c>
      <c r="C99" s="11" t="s">
        <v>13</v>
      </c>
      <c r="D99" s="13" t="s">
        <v>341</v>
      </c>
      <c r="F99" s="52" t="n">
        <f aca="false">IF(INDEX($H99:$S99,1,Scenario_Selected)="",$H99,INDEX($H99:$S99,1,Scenario_Selected))</f>
        <v>1.2</v>
      </c>
      <c r="H99" s="21" t="n">
        <v>1.2</v>
      </c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</row>
    <row r="100" customFormat="false" ht="15" hidden="false" customHeight="false" outlineLevel="0" collapsed="false">
      <c r="B100" s="0" t="s">
        <v>65</v>
      </c>
      <c r="C100" s="11" t="s">
        <v>66</v>
      </c>
      <c r="D100" s="13" t="s">
        <v>342</v>
      </c>
      <c r="F100" s="43" t="n">
        <f aca="false">IF(INDEX($H100:$S100,1,Scenario_Selected)="",$H100,INDEX($H100:$S100,1,Scenario_Selected))</f>
        <v>18</v>
      </c>
      <c r="H100" s="46" t="n">
        <v>18</v>
      </c>
      <c r="I100" s="46"/>
      <c r="J100" s="46"/>
      <c r="K100" s="46"/>
      <c r="L100" s="46"/>
      <c r="M100" s="46"/>
      <c r="N100" s="46"/>
      <c r="O100" s="46"/>
      <c r="P100" s="46" t="n">
        <v>10</v>
      </c>
      <c r="Q100" s="46"/>
      <c r="R100" s="46"/>
      <c r="S100" s="46"/>
    </row>
    <row r="101" customFormat="false" ht="15" hidden="false" customHeight="false" outlineLevel="0" collapsed="false">
      <c r="B101" s="0" t="s">
        <v>343</v>
      </c>
      <c r="C101" s="11" t="s">
        <v>27</v>
      </c>
      <c r="D101" s="13" t="s">
        <v>344</v>
      </c>
      <c r="F101" s="48" t="n">
        <f aca="false">IF(INDEX($H101:$S101,1,Scenario_Selected)="",$H101,INDEX($H101:$S101,1,Scenario_Selected))</f>
        <v>0.05</v>
      </c>
      <c r="H101" s="17" t="n">
        <v>0.05</v>
      </c>
      <c r="I101" s="17"/>
      <c r="J101" s="17"/>
      <c r="K101" s="17"/>
      <c r="L101" s="17"/>
      <c r="M101" s="17"/>
      <c r="N101" s="17"/>
      <c r="O101" s="17" t="n">
        <v>0.06</v>
      </c>
      <c r="P101" s="17"/>
      <c r="Q101" s="17"/>
      <c r="R101" s="17"/>
      <c r="S101" s="17"/>
    </row>
    <row r="102" customFormat="false" ht="15" hidden="false" customHeight="false" outlineLevel="0" collapsed="false">
      <c r="B102" s="0" t="s">
        <v>345</v>
      </c>
      <c r="C102" s="11" t="s">
        <v>27</v>
      </c>
      <c r="D102" s="13" t="s">
        <v>346</v>
      </c>
      <c r="F102" s="50" t="n">
        <f aca="false">IF(INDEX($H102:$S102,1,Scenario_Selected)="",$H102,INDEX($H102:$S102,1,Scenario_Selected))</f>
        <v>0.0175</v>
      </c>
      <c r="H102" s="51" t="n">
        <v>0.0175</v>
      </c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</row>
    <row r="103" customFormat="false" ht="15" hidden="false" customHeight="false" outlineLevel="0" collapsed="false">
      <c r="B103" s="0" t="s">
        <v>347</v>
      </c>
      <c r="C103" s="11" t="s">
        <v>27</v>
      </c>
      <c r="D103" s="13" t="s">
        <v>348</v>
      </c>
      <c r="F103" s="50" t="n">
        <f aca="false">IF(INDEX($H103:$S103,1,Scenario_Selected)="",$H103,INDEX($H103:$S103,1,Scenario_Selected))</f>
        <v>0.009</v>
      </c>
      <c r="H103" s="51" t="n">
        <v>0.009</v>
      </c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</row>
    <row r="104" customFormat="false" ht="15" hidden="false" customHeight="false" outlineLevel="0" collapsed="false">
      <c r="B104" s="0" t="s">
        <v>349</v>
      </c>
      <c r="C104" s="11" t="s">
        <v>194</v>
      </c>
      <c r="D104" s="13" t="s">
        <v>350</v>
      </c>
      <c r="F104" s="43" t="n">
        <f aca="false">IF(INDEX($H104:$S104,1,Scenario_Selected)="",$H104,INDEX($H104:$S104,1,Scenario_Selected))</f>
        <v>6</v>
      </c>
      <c r="H104" s="46" t="n">
        <v>6</v>
      </c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</row>
    <row r="106" customFormat="false" ht="15" hidden="false" customHeight="false" outlineLevel="0" collapsed="false">
      <c r="A106" s="9" t="s">
        <v>13</v>
      </c>
      <c r="B106" s="9"/>
      <c r="C106" s="9" t="s">
        <v>351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</row>
    <row r="107" customFormat="false" ht="15" hidden="false" customHeight="false" outlineLevel="0" collapsed="false">
      <c r="B107" s="0" t="s">
        <v>352</v>
      </c>
      <c r="C107" s="11" t="s">
        <v>21</v>
      </c>
      <c r="D107" s="13" t="s">
        <v>353</v>
      </c>
      <c r="F107" s="3" t="s">
        <v>354</v>
      </c>
    </row>
    <row r="108" customFormat="false" ht="15" hidden="false" customHeight="false" outlineLevel="0" collapsed="false">
      <c r="B108" s="0" t="s">
        <v>355</v>
      </c>
      <c r="C108" s="11" t="s">
        <v>21</v>
      </c>
      <c r="D108" s="13" t="s">
        <v>356</v>
      </c>
      <c r="F108" s="3"/>
    </row>
    <row r="110" customFormat="false" ht="15" hidden="false" customHeight="false" outlineLevel="0" collapsed="false">
      <c r="C110" s="41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357</v>
      </c>
      <c r="D5" s="9"/>
      <c r="E5" s="9" t="s">
        <v>358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359</v>
      </c>
      <c r="F6" s="8" t="s">
        <v>360</v>
      </c>
      <c r="J6" s="8" t="s">
        <v>361</v>
      </c>
    </row>
    <row r="7" customFormat="false" ht="15" hidden="false" customHeight="false" outlineLevel="0" collapsed="false">
      <c r="C7" s="0" t="s">
        <v>362</v>
      </c>
      <c r="D7" s="11" t="s">
        <v>19</v>
      </c>
      <c r="E7" s="44" t="n">
        <v>10</v>
      </c>
      <c r="F7" s="44" t="n">
        <v>50</v>
      </c>
      <c r="J7" s="44" t="n">
        <v>10</v>
      </c>
      <c r="K7" s="44" t="n">
        <v>15</v>
      </c>
      <c r="L7" s="44" t="n">
        <v>20</v>
      </c>
      <c r="M7" s="44" t="n">
        <v>25</v>
      </c>
      <c r="N7" s="44" t="n">
        <v>30</v>
      </c>
      <c r="O7" s="44" t="n">
        <v>35</v>
      </c>
      <c r="P7" s="44" t="n">
        <v>40</v>
      </c>
      <c r="Q7" s="44" t="n">
        <v>45</v>
      </c>
      <c r="R7" s="44" t="n">
        <v>50</v>
      </c>
    </row>
    <row r="8" customFormat="false" ht="15" hidden="false" customHeight="false" outlineLevel="0" collapsed="false">
      <c r="C8" s="0" t="s">
        <v>363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364</v>
      </c>
      <c r="D9" s="11" t="s">
        <v>53</v>
      </c>
      <c r="E9" s="17" t="n">
        <v>0.2</v>
      </c>
      <c r="J9" s="46" t="n">
        <v>0</v>
      </c>
      <c r="K9" s="46" t="n">
        <v>10</v>
      </c>
      <c r="L9" s="46" t="n">
        <v>20</v>
      </c>
      <c r="M9" s="46" t="n">
        <v>30</v>
      </c>
      <c r="N9" s="46" t="n">
        <v>40</v>
      </c>
      <c r="O9" s="46" t="n">
        <v>55</v>
      </c>
      <c r="P9" s="46" t="n">
        <v>70</v>
      </c>
      <c r="Q9" s="46" t="n">
        <v>80</v>
      </c>
      <c r="R9" s="46" t="n">
        <v>90</v>
      </c>
      <c r="S9" s="46" t="n">
        <v>100</v>
      </c>
    </row>
    <row r="10" customFormat="false" ht="15" hidden="false" customHeight="false" outlineLevel="0" collapsed="false">
      <c r="C10" s="0" t="s">
        <v>365</v>
      </c>
      <c r="D10" s="11" t="s">
        <v>24</v>
      </c>
      <c r="E10" s="44" t="n">
        <v>2</v>
      </c>
      <c r="F10" s="44" t="n">
        <v>3</v>
      </c>
      <c r="J10" s="44" t="n">
        <v>2</v>
      </c>
      <c r="K10" s="44" t="n">
        <v>2.1</v>
      </c>
      <c r="L10" s="44" t="n">
        <v>2.2</v>
      </c>
      <c r="M10" s="44" t="n">
        <v>2.3</v>
      </c>
      <c r="N10" s="44" t="n">
        <v>2.4</v>
      </c>
      <c r="O10" s="44" t="n">
        <v>2.5</v>
      </c>
      <c r="P10" s="44" t="n">
        <v>2.6</v>
      </c>
      <c r="Q10" s="44" t="n">
        <v>2.7</v>
      </c>
      <c r="R10" s="44" t="n">
        <v>2.8</v>
      </c>
      <c r="S10" s="44" t="n">
        <v>2.9</v>
      </c>
      <c r="T10" s="44" t="n">
        <v>3</v>
      </c>
    </row>
    <row r="11" customFormat="false" ht="15" hidden="false" customHeight="false" outlineLevel="0" collapsed="false">
      <c r="C11" s="0" t="s">
        <v>366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367</v>
      </c>
      <c r="D12" s="11" t="s">
        <v>53</v>
      </c>
      <c r="E12" s="17" t="n">
        <v>0.15</v>
      </c>
      <c r="J12" s="46" t="n">
        <v>0</v>
      </c>
      <c r="K12" s="46" t="n">
        <v>5</v>
      </c>
      <c r="L12" s="46" t="n">
        <v>10</v>
      </c>
      <c r="M12" s="46" t="n">
        <v>20</v>
      </c>
      <c r="N12" s="46" t="n">
        <v>30</v>
      </c>
      <c r="O12" s="46" t="n">
        <v>40</v>
      </c>
      <c r="P12" s="46" t="n">
        <v>50</v>
      </c>
      <c r="Q12" s="46" t="n">
        <v>60</v>
      </c>
      <c r="R12" s="46" t="n">
        <v>70</v>
      </c>
      <c r="S12" s="46" t="n">
        <v>80</v>
      </c>
      <c r="T12" s="46" t="n">
        <v>90</v>
      </c>
      <c r="U12" s="46" t="n">
        <v>100</v>
      </c>
    </row>
    <row r="13" customFormat="false" ht="15" hidden="false" customHeight="false" outlineLevel="0" collapsed="false">
      <c r="C13" s="0" t="s">
        <v>368</v>
      </c>
      <c r="D13" s="11" t="s">
        <v>27</v>
      </c>
      <c r="E13" s="44" t="n">
        <v>0.05</v>
      </c>
      <c r="J13" s="44" t="n">
        <v>0.02</v>
      </c>
      <c r="K13" s="44" t="n">
        <v>0.05</v>
      </c>
      <c r="L13" s="44" t="n">
        <v>0.1</v>
      </c>
      <c r="M13" s="44" t="n">
        <v>0.15</v>
      </c>
      <c r="N13" s="44" t="n">
        <v>0.2</v>
      </c>
      <c r="O13" s="44" t="n">
        <v>0.25</v>
      </c>
      <c r="P13" s="44" t="n">
        <v>0.3</v>
      </c>
      <c r="Q13" s="44" t="n">
        <v>0.35</v>
      </c>
      <c r="R13" s="44" t="n">
        <v>0.4</v>
      </c>
      <c r="S13" s="44" t="n">
        <v>0.5</v>
      </c>
    </row>
    <row r="14" customFormat="false" ht="15" hidden="false" customHeight="false" outlineLevel="0" collapsed="false">
      <c r="C14" s="0" t="s">
        <v>369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370</v>
      </c>
      <c r="D15" s="11" t="s">
        <v>53</v>
      </c>
      <c r="E15" s="17" t="n">
        <v>0.15</v>
      </c>
      <c r="J15" s="46" t="n">
        <v>0</v>
      </c>
      <c r="K15" s="46" t="n">
        <v>10</v>
      </c>
      <c r="L15" s="46" t="n">
        <v>20</v>
      </c>
      <c r="M15" s="46" t="n">
        <v>30</v>
      </c>
      <c r="N15" s="46" t="n">
        <v>40</v>
      </c>
      <c r="O15" s="46" t="n">
        <v>50</v>
      </c>
      <c r="P15" s="46" t="n">
        <v>60</v>
      </c>
      <c r="Q15" s="46" t="n">
        <v>70</v>
      </c>
      <c r="R15" s="46" t="n">
        <v>80</v>
      </c>
      <c r="S15" s="46" t="n">
        <v>90</v>
      </c>
      <c r="T15" s="46" t="n">
        <v>100</v>
      </c>
    </row>
    <row r="16" customFormat="false" ht="15" hidden="false" customHeight="false" outlineLevel="0" collapsed="false">
      <c r="C16" s="0" t="s">
        <v>371</v>
      </c>
      <c r="D16" s="11" t="s">
        <v>27</v>
      </c>
      <c r="J16" s="44" t="n">
        <v>0.02</v>
      </c>
      <c r="K16" s="44" t="n">
        <v>0.05</v>
      </c>
      <c r="L16" s="44" t="n">
        <v>0.1</v>
      </c>
      <c r="M16" s="44" t="n">
        <v>0.15</v>
      </c>
      <c r="N16" s="44" t="n">
        <v>0.2</v>
      </c>
      <c r="O16" s="44" t="n">
        <v>0.25</v>
      </c>
      <c r="P16" s="44" t="n">
        <v>0.3</v>
      </c>
      <c r="Q16" s="44" t="n">
        <v>0.35</v>
      </c>
      <c r="R16" s="44" t="n">
        <v>0.4</v>
      </c>
      <c r="S16" s="44" t="n">
        <v>0.5</v>
      </c>
    </row>
    <row r="17" customFormat="false" ht="15" hidden="false" customHeight="false" outlineLevel="0" collapsed="false">
      <c r="C17" s="0" t="s">
        <v>372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373</v>
      </c>
      <c r="D18" s="11" t="s">
        <v>53</v>
      </c>
      <c r="E18" s="17" t="n">
        <v>0.1</v>
      </c>
      <c r="J18" s="46" t="n">
        <v>0</v>
      </c>
      <c r="K18" s="46" t="n">
        <v>10</v>
      </c>
      <c r="L18" s="46" t="n">
        <v>20</v>
      </c>
      <c r="M18" s="46" t="n">
        <v>30</v>
      </c>
      <c r="N18" s="46" t="n">
        <v>40</v>
      </c>
      <c r="O18" s="46" t="n">
        <v>50</v>
      </c>
      <c r="P18" s="46" t="n">
        <v>60</v>
      </c>
      <c r="Q18" s="46" t="n">
        <v>70</v>
      </c>
      <c r="R18" s="46" t="n">
        <v>80</v>
      </c>
      <c r="S18" s="46" t="n">
        <v>90</v>
      </c>
      <c r="T18" s="46" t="n">
        <v>100</v>
      </c>
    </row>
    <row r="19" customFormat="false" ht="15" hidden="false" customHeight="false" outlineLevel="0" collapsed="false">
      <c r="C19" s="0" t="s">
        <v>374</v>
      </c>
      <c r="D19" s="11" t="s">
        <v>13</v>
      </c>
      <c r="J19" s="44" t="n">
        <v>1</v>
      </c>
      <c r="K19" s="44" t="n">
        <v>1.2</v>
      </c>
      <c r="L19" s="44" t="n">
        <v>1.3</v>
      </c>
      <c r="M19" s="44" t="n">
        <v>1.4</v>
      </c>
      <c r="N19" s="44" t="n">
        <v>1.5</v>
      </c>
      <c r="O19" s="44" t="n">
        <v>1.6</v>
      </c>
      <c r="P19" s="44" t="n">
        <v>1.7</v>
      </c>
      <c r="Q19" s="44" t="n">
        <v>1.8</v>
      </c>
      <c r="R19" s="44" t="n">
        <v>1.9</v>
      </c>
      <c r="S19" s="44" t="n">
        <v>2</v>
      </c>
    </row>
    <row r="20" customFormat="false" ht="15" hidden="false" customHeight="false" outlineLevel="0" collapsed="false">
      <c r="C20" s="0" t="s">
        <v>375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376</v>
      </c>
      <c r="D21" s="11" t="s">
        <v>53</v>
      </c>
      <c r="E21" s="17" t="n">
        <v>0.05</v>
      </c>
      <c r="J21" s="46" t="n">
        <v>0</v>
      </c>
      <c r="K21" s="46" t="n">
        <v>10</v>
      </c>
      <c r="L21" s="46" t="n">
        <v>20</v>
      </c>
      <c r="M21" s="46" t="n">
        <v>30</v>
      </c>
      <c r="N21" s="46" t="n">
        <v>40</v>
      </c>
      <c r="O21" s="46" t="n">
        <v>50</v>
      </c>
      <c r="P21" s="46" t="n">
        <v>60</v>
      </c>
      <c r="Q21" s="46" t="n">
        <v>70</v>
      </c>
      <c r="R21" s="46" t="n">
        <v>80</v>
      </c>
      <c r="S21" s="46" t="n">
        <v>90</v>
      </c>
      <c r="T21" s="46" t="n">
        <v>100</v>
      </c>
    </row>
    <row r="22" customFormat="false" ht="15" hidden="false" customHeight="false" outlineLevel="0" collapsed="false">
      <c r="C22" s="0" t="s">
        <v>377</v>
      </c>
      <c r="D22" s="11" t="s">
        <v>53</v>
      </c>
      <c r="E22" s="17" t="n">
        <v>0.05</v>
      </c>
      <c r="J22" s="46" t="n">
        <v>100</v>
      </c>
    </row>
    <row r="23" customFormat="false" ht="15" hidden="false" customHeight="false" outlineLevel="0" collapsed="false">
      <c r="C23" s="0" t="s">
        <v>378</v>
      </c>
      <c r="D23" s="11" t="s">
        <v>53</v>
      </c>
      <c r="E23" s="17" t="n">
        <v>0.05</v>
      </c>
      <c r="J23" s="46" t="n">
        <v>100</v>
      </c>
    </row>
    <row r="24" customFormat="false" ht="15" hidden="false" customHeight="false" outlineLevel="0" collapsed="false">
      <c r="C24" s="0" t="s">
        <v>379</v>
      </c>
      <c r="D24" s="11" t="s">
        <v>53</v>
      </c>
      <c r="E24" s="17" t="n">
        <v>0.15</v>
      </c>
      <c r="J24" s="46" t="n">
        <v>80</v>
      </c>
    </row>
    <row r="25" customFormat="false" ht="15" hidden="false" customHeight="false" outlineLevel="0" collapsed="false">
      <c r="C25" s="0" t="s">
        <v>380</v>
      </c>
      <c r="D25" s="11" t="s">
        <v>53</v>
      </c>
      <c r="J25" s="46" t="n">
        <v>20</v>
      </c>
    </row>
    <row r="27" customFormat="false" ht="15" hidden="false" customHeight="false" outlineLevel="0" collapsed="false">
      <c r="C27" s="41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6" t="n">
        <v>1</v>
      </c>
      <c r="C1" s="13" t="s">
        <v>381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382</v>
      </c>
      <c r="D3" s="11" t="s">
        <v>38</v>
      </c>
      <c r="J3" s="45" t="n">
        <f aca="false">I$4+1</f>
        <v>46296</v>
      </c>
      <c r="K3" s="45" t="n">
        <f aca="false">J$4+1</f>
        <v>46388</v>
      </c>
      <c r="L3" s="45" t="n">
        <f aca="false">K$4+1</f>
        <v>46478</v>
      </c>
      <c r="M3" s="45" t="n">
        <f aca="false">L$4+1</f>
        <v>46569</v>
      </c>
      <c r="N3" s="45" t="n">
        <f aca="false">M$4+1</f>
        <v>46661</v>
      </c>
      <c r="O3" s="45" t="n">
        <f aca="false">N$4+1</f>
        <v>46753</v>
      </c>
      <c r="P3" s="45" t="n">
        <f aca="false">O$4+1</f>
        <v>46844</v>
      </c>
      <c r="Q3" s="45" t="n">
        <f aca="false">P$4+1</f>
        <v>46935</v>
      </c>
      <c r="R3" s="45" t="n">
        <f aca="false">Q$4+1</f>
        <v>47027</v>
      </c>
      <c r="S3" s="45" t="n">
        <f aca="false">R$4+1</f>
        <v>47119</v>
      </c>
      <c r="T3" s="45" t="n">
        <f aca="false">S$4+1</f>
        <v>47209</v>
      </c>
      <c r="U3" s="45" t="n">
        <f aca="false">T$4+1</f>
        <v>47300</v>
      </c>
      <c r="V3" s="45" t="n">
        <f aca="false">U$4+1</f>
        <v>47392</v>
      </c>
      <c r="W3" s="45" t="n">
        <f aca="false">V$4+1</f>
        <v>47484</v>
      </c>
      <c r="X3" s="45" t="n">
        <f aca="false">W$4+1</f>
        <v>47574</v>
      </c>
      <c r="Y3" s="45" t="n">
        <f aca="false">X$4+1</f>
        <v>47665</v>
      </c>
      <c r="Z3" s="45" t="n">
        <f aca="false">Y$4+1</f>
        <v>47757</v>
      </c>
      <c r="AA3" s="45" t="n">
        <f aca="false">Z$4+1</f>
        <v>47849</v>
      </c>
      <c r="AB3" s="45" t="n">
        <f aca="false">AA$4+1</f>
        <v>47939</v>
      </c>
      <c r="AC3" s="45" t="n">
        <f aca="false">AB$4+1</f>
        <v>48030</v>
      </c>
      <c r="AD3" s="45" t="n">
        <f aca="false">AC$4+1</f>
        <v>48122</v>
      </c>
      <c r="AE3" s="45" t="n">
        <f aca="false">AD$4+1</f>
        <v>48214</v>
      </c>
      <c r="AF3" s="45" t="n">
        <f aca="false">AE$4+1</f>
        <v>48305</v>
      </c>
      <c r="AG3" s="45" t="n">
        <f aca="false">AF$4+1</f>
        <v>48396</v>
      </c>
      <c r="AH3" s="45" t="n">
        <f aca="false">AG$4+1</f>
        <v>48488</v>
      </c>
      <c r="AI3" s="45" t="n">
        <f aca="false">AH$4+1</f>
        <v>48580</v>
      </c>
      <c r="AJ3" s="45" t="n">
        <f aca="false">AI$4+1</f>
        <v>48670</v>
      </c>
      <c r="AK3" s="45" t="n">
        <f aca="false">AJ$4+1</f>
        <v>48761</v>
      </c>
      <c r="AL3" s="45" t="n">
        <f aca="false">AK$4+1</f>
        <v>48853</v>
      </c>
      <c r="AM3" s="45" t="n">
        <f aca="false">AL$4+1</f>
        <v>48945</v>
      </c>
      <c r="AN3" s="45" t="n">
        <f aca="false">AM$4+1</f>
        <v>49035</v>
      </c>
      <c r="AO3" s="45" t="n">
        <f aca="false">AN$4+1</f>
        <v>49126</v>
      </c>
      <c r="AP3" s="45" t="n">
        <f aca="false">AO$4+1</f>
        <v>49218</v>
      </c>
      <c r="AQ3" s="45" t="n">
        <f aca="false">AP$4+1</f>
        <v>49310</v>
      </c>
      <c r="AR3" s="45" t="n">
        <f aca="false">AQ$4+1</f>
        <v>49400</v>
      </c>
      <c r="AS3" s="45" t="n">
        <f aca="false">AR$4+1</f>
        <v>49491</v>
      </c>
      <c r="AT3" s="45" t="n">
        <f aca="false">AS$4+1</f>
        <v>49583</v>
      </c>
      <c r="AU3" s="45" t="n">
        <f aca="false">AT$4+1</f>
        <v>49675</v>
      </c>
      <c r="AV3" s="45" t="n">
        <f aca="false">AU$4+1</f>
        <v>49766</v>
      </c>
      <c r="AW3" s="45" t="n">
        <f aca="false">AV$4+1</f>
        <v>49857</v>
      </c>
      <c r="AX3" s="45" t="n">
        <f aca="false">AW$4+1</f>
        <v>49949</v>
      </c>
      <c r="AY3" s="45" t="n">
        <f aca="false">AX$4+1</f>
        <v>50041</v>
      </c>
      <c r="AZ3" s="45" t="n">
        <f aca="false">AY$4+1</f>
        <v>50131</v>
      </c>
      <c r="BA3" s="45" t="n">
        <f aca="false">AZ$4+1</f>
        <v>50222</v>
      </c>
      <c r="BB3" s="45" t="n">
        <f aca="false">BA$4+1</f>
        <v>50314</v>
      </c>
      <c r="BC3" s="45" t="n">
        <f aca="false">BB$4+1</f>
        <v>50406</v>
      </c>
      <c r="BD3" s="45" t="n">
        <f aca="false">BC$4+1</f>
        <v>50496</v>
      </c>
      <c r="BE3" s="45" t="n">
        <f aca="false">BD$4+1</f>
        <v>50587</v>
      </c>
      <c r="BF3" s="45" t="n">
        <f aca="false">BE$4+1</f>
        <v>50679</v>
      </c>
      <c r="BG3" s="45" t="n">
        <f aca="false">BF$4+1</f>
        <v>50771</v>
      </c>
      <c r="BH3" s="45" t="n">
        <f aca="false">BG$4+1</f>
        <v>50861</v>
      </c>
      <c r="BI3" s="45" t="n">
        <f aca="false">BH$4+1</f>
        <v>50952</v>
      </c>
      <c r="BJ3" s="45" t="n">
        <f aca="false">BI$4+1</f>
        <v>51044</v>
      </c>
      <c r="BK3" s="45" t="n">
        <f aca="false">BJ$4+1</f>
        <v>51136</v>
      </c>
      <c r="BL3" s="45" t="n">
        <f aca="false">BK$4+1</f>
        <v>51227</v>
      </c>
      <c r="BM3" s="45" t="n">
        <f aca="false">BL$4+1</f>
        <v>51318</v>
      </c>
      <c r="BN3" s="45" t="n">
        <f aca="false">BM$4+1</f>
        <v>51410</v>
      </c>
      <c r="BO3" s="45" t="n">
        <f aca="false">BN$4+1</f>
        <v>51502</v>
      </c>
      <c r="BP3" s="45" t="n">
        <f aca="false">BO$4+1</f>
        <v>51592</v>
      </c>
      <c r="BQ3" s="45" t="n">
        <f aca="false">BP$4+1</f>
        <v>51683</v>
      </c>
      <c r="BR3" s="45" t="n">
        <f aca="false">BQ$4+1</f>
        <v>51775</v>
      </c>
      <c r="BS3" s="45" t="n">
        <f aca="false">BR$4+1</f>
        <v>51867</v>
      </c>
      <c r="BT3" s="45" t="n">
        <f aca="false">BS$4+1</f>
        <v>51957</v>
      </c>
      <c r="BU3" s="45" t="n">
        <f aca="false">BT$4+1</f>
        <v>52048</v>
      </c>
      <c r="BV3" s="45" t="n">
        <f aca="false">BU$4+1</f>
        <v>52140</v>
      </c>
      <c r="BW3" s="45" t="n">
        <f aca="false">BV$4+1</f>
        <v>52232</v>
      </c>
      <c r="BX3" s="45" t="n">
        <f aca="false">BW$4+1</f>
        <v>52322</v>
      </c>
      <c r="BY3" s="45" t="n">
        <f aca="false">BX$4+1</f>
        <v>52413</v>
      </c>
      <c r="BZ3" s="45" t="n">
        <f aca="false">BY$4+1</f>
        <v>52505</v>
      </c>
      <c r="CA3" s="45" t="n">
        <f aca="false">BZ$4+1</f>
        <v>52597</v>
      </c>
      <c r="CB3" s="45" t="n">
        <f aca="false">CA$4+1</f>
        <v>52688</v>
      </c>
      <c r="CC3" s="45" t="n">
        <f aca="false">CB$4+1</f>
        <v>52779</v>
      </c>
      <c r="CD3" s="45" t="n">
        <f aca="false">CC$4+1</f>
        <v>52871</v>
      </c>
      <c r="CE3" s="45" t="n">
        <f aca="false">CD$4+1</f>
        <v>52963</v>
      </c>
      <c r="CF3" s="45" t="n">
        <f aca="false">CE$4+1</f>
        <v>53053</v>
      </c>
      <c r="CG3" s="45" t="n">
        <f aca="false">CF$4+1</f>
        <v>53144</v>
      </c>
      <c r="CH3" s="45" t="n">
        <f aca="false">CG$4+1</f>
        <v>53236</v>
      </c>
      <c r="CI3" s="45" t="n">
        <f aca="false">CH$4+1</f>
        <v>53328</v>
      </c>
      <c r="CJ3" s="45" t="n">
        <f aca="false">CI$4+1</f>
        <v>53418</v>
      </c>
      <c r="CK3" s="45" t="n">
        <f aca="false">CJ$4+1</f>
        <v>53509</v>
      </c>
      <c r="CL3" s="45" t="n">
        <f aca="false">CK$4+1</f>
        <v>53601</v>
      </c>
      <c r="CM3" s="45" t="n">
        <f aca="false">CL$4+1</f>
        <v>53693</v>
      </c>
      <c r="CN3" s="45" t="n">
        <f aca="false">CM$4+1</f>
        <v>53783</v>
      </c>
      <c r="CO3" s="45" t="n">
        <f aca="false">CN$4+1</f>
        <v>53874</v>
      </c>
      <c r="CP3" s="45" t="n">
        <f aca="false">CO$4+1</f>
        <v>53966</v>
      </c>
      <c r="CQ3" s="45" t="n">
        <f aca="false">CP$4+1</f>
        <v>54058</v>
      </c>
      <c r="CR3" s="45" t="n">
        <f aca="false">CQ$4+1</f>
        <v>54149</v>
      </c>
      <c r="CS3" s="45" t="n">
        <f aca="false">CR$4+1</f>
        <v>54240</v>
      </c>
      <c r="CT3" s="45" t="n">
        <f aca="false">CS$4+1</f>
        <v>54332</v>
      </c>
      <c r="CU3" s="45" t="n">
        <f aca="false">CT$4+1</f>
        <v>54424</v>
      </c>
      <c r="CV3" s="45" t="n">
        <f aca="false">CU$4+1</f>
        <v>54514</v>
      </c>
      <c r="CW3" s="45" t="n">
        <f aca="false">CV$4+1</f>
        <v>54605</v>
      </c>
      <c r="CX3" s="45" t="n">
        <f aca="false">CW$4+1</f>
        <v>54697</v>
      </c>
      <c r="CY3" s="45" t="n">
        <f aca="false">CX$4+1</f>
        <v>54789</v>
      </c>
      <c r="CZ3" s="45" t="n">
        <f aca="false">CY$4+1</f>
        <v>54879</v>
      </c>
      <c r="DA3" s="45" t="n">
        <f aca="false">CZ$4+1</f>
        <v>54970</v>
      </c>
      <c r="DB3" s="45" t="n">
        <f aca="false">DA$4+1</f>
        <v>55062</v>
      </c>
      <c r="DC3" s="45" t="n">
        <f aca="false">DB$4+1</f>
        <v>55154</v>
      </c>
      <c r="DD3" s="45" t="n">
        <f aca="false">DC$4+1</f>
        <v>55244</v>
      </c>
      <c r="DE3" s="45" t="n">
        <f aca="false">DD$4+1</f>
        <v>55335</v>
      </c>
      <c r="DF3" s="45" t="n">
        <f aca="false">DE$4+1</f>
        <v>55427</v>
      </c>
      <c r="DG3" s="45" t="n">
        <f aca="false">DF$4+1</f>
        <v>55519</v>
      </c>
      <c r="DH3" s="45" t="n">
        <f aca="false">DG$4+1</f>
        <v>55610</v>
      </c>
      <c r="DI3" s="45" t="n">
        <f aca="false">DH$4+1</f>
        <v>55701</v>
      </c>
      <c r="DJ3" s="45" t="n">
        <f aca="false">DI$4+1</f>
        <v>55793</v>
      </c>
      <c r="DK3" s="45" t="n">
        <f aca="false">DJ$4+1</f>
        <v>55885</v>
      </c>
      <c r="DL3" s="45" t="n">
        <f aca="false">DK$4+1</f>
        <v>55975</v>
      </c>
      <c r="DM3" s="45" t="n">
        <f aca="false">DL$4+1</f>
        <v>56066</v>
      </c>
      <c r="DN3" s="45" t="n">
        <f aca="false">DM$4+1</f>
        <v>56158</v>
      </c>
      <c r="DO3" s="45" t="n">
        <f aca="false">DN$4+1</f>
        <v>56250</v>
      </c>
      <c r="DP3" s="45" t="n">
        <f aca="false">DO$4+1</f>
        <v>56340</v>
      </c>
      <c r="DQ3" s="45" t="n">
        <f aca="false">DP$4+1</f>
        <v>56431</v>
      </c>
      <c r="DR3" s="45" t="n">
        <f aca="false">DQ$4+1</f>
        <v>56523</v>
      </c>
      <c r="DS3" s="45" t="n">
        <f aca="false">DR$4+1</f>
        <v>56615</v>
      </c>
      <c r="DT3" s="45" t="n">
        <f aca="false">DS$4+1</f>
        <v>56705</v>
      </c>
      <c r="DU3" s="45" t="n">
        <f aca="false">DT$4+1</f>
        <v>56796</v>
      </c>
      <c r="DV3" s="45" t="n">
        <f aca="false">DU$4+1</f>
        <v>56888</v>
      </c>
      <c r="DW3" s="45" t="n">
        <f aca="false">DV$4+1</f>
        <v>56980</v>
      </c>
      <c r="DX3" s="45" t="n">
        <f aca="false">DW$4+1</f>
        <v>57071</v>
      </c>
      <c r="DY3" s="45" t="n">
        <f aca="false">DX$4+1</f>
        <v>57162</v>
      </c>
      <c r="DZ3" s="45" t="n">
        <f aca="false">DY$4+1</f>
        <v>57254</v>
      </c>
      <c r="EA3" s="45" t="n">
        <f aca="false">DZ$4+1</f>
        <v>57346</v>
      </c>
      <c r="EB3" s="45" t="n">
        <f aca="false">EA$4+1</f>
        <v>57436</v>
      </c>
      <c r="EC3" s="45" t="n">
        <f aca="false">EB$4+1</f>
        <v>57527</v>
      </c>
      <c r="ED3" s="45" t="n">
        <f aca="false">EC$4+1</f>
        <v>57619</v>
      </c>
      <c r="EE3" s="45" t="n">
        <f aca="false">ED$4+1</f>
        <v>57711</v>
      </c>
      <c r="EF3" s="45" t="n">
        <f aca="false">EE$4+1</f>
        <v>57801</v>
      </c>
      <c r="EG3" s="45" t="n">
        <f aca="false">EF$4+1</f>
        <v>57892</v>
      </c>
      <c r="EH3" s="45" t="n">
        <f aca="false">EG$4+1</f>
        <v>57984</v>
      </c>
      <c r="EI3" s="45" t="n">
        <f aca="false">EH$4+1</f>
        <v>58076</v>
      </c>
      <c r="EJ3" s="45" t="n">
        <f aca="false">EI$4+1</f>
        <v>58166</v>
      </c>
      <c r="EK3" s="45" t="n">
        <f aca="false">EJ$4+1</f>
        <v>58257</v>
      </c>
      <c r="EL3" s="45" t="n">
        <f aca="false">EK$4+1</f>
        <v>58349</v>
      </c>
      <c r="EM3" s="45" t="n">
        <f aca="false">EL$4+1</f>
        <v>58441</v>
      </c>
      <c r="EN3" s="45" t="n">
        <f aca="false">EM$4+1</f>
        <v>58532</v>
      </c>
      <c r="EO3" s="45" t="n">
        <f aca="false">EN$4+1</f>
        <v>58623</v>
      </c>
    </row>
    <row r="4" customFormat="false" ht="15" hidden="false" customHeight="false" outlineLevel="0" collapsed="false">
      <c r="C4" s="0" t="s">
        <v>383</v>
      </c>
      <c r="D4" s="11" t="s">
        <v>38</v>
      </c>
      <c r="I4" s="45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384</v>
      </c>
      <c r="D5" s="11" t="s">
        <v>191</v>
      </c>
      <c r="J5" s="43" t="n">
        <f aca="false">J$4-J$3+1</f>
        <v>92</v>
      </c>
      <c r="K5" s="43" t="n">
        <f aca="false">K$4-K$3+1</f>
        <v>90</v>
      </c>
      <c r="L5" s="43" t="n">
        <f aca="false">L$4-L$3+1</f>
        <v>91</v>
      </c>
      <c r="M5" s="43" t="n">
        <f aca="false">M$4-M$3+1</f>
        <v>92</v>
      </c>
      <c r="N5" s="43" t="n">
        <f aca="false">N$4-N$3+1</f>
        <v>92</v>
      </c>
      <c r="O5" s="43" t="n">
        <f aca="false">O$4-O$3+1</f>
        <v>91</v>
      </c>
      <c r="P5" s="43" t="n">
        <f aca="false">P$4-P$3+1</f>
        <v>91</v>
      </c>
      <c r="Q5" s="43" t="n">
        <f aca="false">Q$4-Q$3+1</f>
        <v>92</v>
      </c>
      <c r="R5" s="43" t="n">
        <f aca="false">R$4-R$3+1</f>
        <v>92</v>
      </c>
      <c r="S5" s="43" t="n">
        <f aca="false">S$4-S$3+1</f>
        <v>90</v>
      </c>
      <c r="T5" s="43" t="n">
        <f aca="false">T$4-T$3+1</f>
        <v>91</v>
      </c>
      <c r="U5" s="43" t="n">
        <f aca="false">U$4-U$3+1</f>
        <v>92</v>
      </c>
      <c r="V5" s="43" t="n">
        <f aca="false">V$4-V$3+1</f>
        <v>92</v>
      </c>
      <c r="W5" s="43" t="n">
        <f aca="false">W$4-W$3+1</f>
        <v>90</v>
      </c>
      <c r="X5" s="43" t="n">
        <f aca="false">X$4-X$3+1</f>
        <v>91</v>
      </c>
      <c r="Y5" s="43" t="n">
        <f aca="false">Y$4-Y$3+1</f>
        <v>92</v>
      </c>
      <c r="Z5" s="43" t="n">
        <f aca="false">Z$4-Z$3+1</f>
        <v>92</v>
      </c>
      <c r="AA5" s="43" t="n">
        <f aca="false">AA$4-AA$3+1</f>
        <v>90</v>
      </c>
      <c r="AB5" s="43" t="n">
        <f aca="false">AB$4-AB$3+1</f>
        <v>91</v>
      </c>
      <c r="AC5" s="43" t="n">
        <f aca="false">AC$4-AC$3+1</f>
        <v>92</v>
      </c>
      <c r="AD5" s="43" t="n">
        <f aca="false">AD$4-AD$3+1</f>
        <v>92</v>
      </c>
      <c r="AE5" s="43" t="n">
        <f aca="false">AE$4-AE$3+1</f>
        <v>91</v>
      </c>
      <c r="AF5" s="43" t="n">
        <f aca="false">AF$4-AF$3+1</f>
        <v>91</v>
      </c>
      <c r="AG5" s="43" t="n">
        <f aca="false">AG$4-AG$3+1</f>
        <v>92</v>
      </c>
      <c r="AH5" s="43" t="n">
        <f aca="false">AH$4-AH$3+1</f>
        <v>92</v>
      </c>
      <c r="AI5" s="43" t="n">
        <f aca="false">AI$4-AI$3+1</f>
        <v>90</v>
      </c>
      <c r="AJ5" s="43" t="n">
        <f aca="false">AJ$4-AJ$3+1</f>
        <v>91</v>
      </c>
      <c r="AK5" s="43" t="n">
        <f aca="false">AK$4-AK$3+1</f>
        <v>92</v>
      </c>
      <c r="AL5" s="43" t="n">
        <f aca="false">AL$4-AL$3+1</f>
        <v>92</v>
      </c>
      <c r="AM5" s="43" t="n">
        <f aca="false">AM$4-AM$3+1</f>
        <v>90</v>
      </c>
      <c r="AN5" s="43" t="n">
        <f aca="false">AN$4-AN$3+1</f>
        <v>91</v>
      </c>
      <c r="AO5" s="43" t="n">
        <f aca="false">AO$4-AO$3+1</f>
        <v>92</v>
      </c>
      <c r="AP5" s="43" t="n">
        <f aca="false">AP$4-AP$3+1</f>
        <v>92</v>
      </c>
      <c r="AQ5" s="43" t="n">
        <f aca="false">AQ$4-AQ$3+1</f>
        <v>90</v>
      </c>
      <c r="AR5" s="43" t="n">
        <f aca="false">AR$4-AR$3+1</f>
        <v>91</v>
      </c>
      <c r="AS5" s="43" t="n">
        <f aca="false">AS$4-AS$3+1</f>
        <v>92</v>
      </c>
      <c r="AT5" s="43" t="n">
        <f aca="false">AT$4-AT$3+1</f>
        <v>92</v>
      </c>
      <c r="AU5" s="43" t="n">
        <f aca="false">AU$4-AU$3+1</f>
        <v>91</v>
      </c>
      <c r="AV5" s="43" t="n">
        <f aca="false">AV$4-AV$3+1</f>
        <v>91</v>
      </c>
      <c r="AW5" s="43" t="n">
        <f aca="false">AW$4-AW$3+1</f>
        <v>92</v>
      </c>
      <c r="AX5" s="43" t="n">
        <f aca="false">AX$4-AX$3+1</f>
        <v>92</v>
      </c>
      <c r="AY5" s="43" t="n">
        <f aca="false">AY$4-AY$3+1</f>
        <v>90</v>
      </c>
      <c r="AZ5" s="43" t="n">
        <f aca="false">AZ$4-AZ$3+1</f>
        <v>91</v>
      </c>
      <c r="BA5" s="43" t="n">
        <f aca="false">BA$4-BA$3+1</f>
        <v>92</v>
      </c>
      <c r="BB5" s="43" t="n">
        <f aca="false">BB$4-BB$3+1</f>
        <v>92</v>
      </c>
      <c r="BC5" s="43" t="n">
        <f aca="false">BC$4-BC$3+1</f>
        <v>90</v>
      </c>
      <c r="BD5" s="43" t="n">
        <f aca="false">BD$4-BD$3+1</f>
        <v>91</v>
      </c>
      <c r="BE5" s="43" t="n">
        <f aca="false">BE$4-BE$3+1</f>
        <v>92</v>
      </c>
      <c r="BF5" s="43" t="n">
        <f aca="false">BF$4-BF$3+1</f>
        <v>92</v>
      </c>
      <c r="BG5" s="43" t="n">
        <f aca="false">BG$4-BG$3+1</f>
        <v>90</v>
      </c>
      <c r="BH5" s="43" t="n">
        <f aca="false">BH$4-BH$3+1</f>
        <v>91</v>
      </c>
      <c r="BI5" s="43" t="n">
        <f aca="false">BI$4-BI$3+1</f>
        <v>92</v>
      </c>
      <c r="BJ5" s="43" t="n">
        <f aca="false">BJ$4-BJ$3+1</f>
        <v>92</v>
      </c>
      <c r="BK5" s="43" t="n">
        <f aca="false">BK$4-BK$3+1</f>
        <v>91</v>
      </c>
      <c r="BL5" s="43" t="n">
        <f aca="false">BL$4-BL$3+1</f>
        <v>91</v>
      </c>
      <c r="BM5" s="43" t="n">
        <f aca="false">BM$4-BM$3+1</f>
        <v>92</v>
      </c>
      <c r="BN5" s="43" t="n">
        <f aca="false">BN$4-BN$3+1</f>
        <v>92</v>
      </c>
      <c r="BO5" s="43" t="n">
        <f aca="false">BO$4-BO$3+1</f>
        <v>90</v>
      </c>
      <c r="BP5" s="43" t="n">
        <f aca="false">BP$4-BP$3+1</f>
        <v>91</v>
      </c>
      <c r="BQ5" s="43" t="n">
        <f aca="false">BQ$4-BQ$3+1</f>
        <v>92</v>
      </c>
      <c r="BR5" s="43" t="n">
        <f aca="false">BR$4-BR$3+1</f>
        <v>92</v>
      </c>
      <c r="BS5" s="43" t="n">
        <f aca="false">BS$4-BS$3+1</f>
        <v>90</v>
      </c>
      <c r="BT5" s="43" t="n">
        <f aca="false">BT$4-BT$3+1</f>
        <v>91</v>
      </c>
      <c r="BU5" s="43" t="n">
        <f aca="false">BU$4-BU$3+1</f>
        <v>92</v>
      </c>
      <c r="BV5" s="43" t="n">
        <f aca="false">BV$4-BV$3+1</f>
        <v>92</v>
      </c>
      <c r="BW5" s="43" t="n">
        <f aca="false">BW$4-BW$3+1</f>
        <v>90</v>
      </c>
      <c r="BX5" s="43" t="n">
        <f aca="false">BX$4-BX$3+1</f>
        <v>91</v>
      </c>
      <c r="BY5" s="43" t="n">
        <f aca="false">BY$4-BY$3+1</f>
        <v>92</v>
      </c>
      <c r="BZ5" s="43" t="n">
        <f aca="false">BZ$4-BZ$3+1</f>
        <v>92</v>
      </c>
      <c r="CA5" s="43" t="n">
        <f aca="false">CA$4-CA$3+1</f>
        <v>91</v>
      </c>
      <c r="CB5" s="43" t="n">
        <f aca="false">CB$4-CB$3+1</f>
        <v>91</v>
      </c>
      <c r="CC5" s="43" t="n">
        <f aca="false">CC$4-CC$3+1</f>
        <v>92</v>
      </c>
      <c r="CD5" s="43" t="n">
        <f aca="false">CD$4-CD$3+1</f>
        <v>92</v>
      </c>
      <c r="CE5" s="43" t="n">
        <f aca="false">CE$4-CE$3+1</f>
        <v>90</v>
      </c>
      <c r="CF5" s="43" t="n">
        <f aca="false">CF$4-CF$3+1</f>
        <v>91</v>
      </c>
      <c r="CG5" s="43" t="n">
        <f aca="false">CG$4-CG$3+1</f>
        <v>92</v>
      </c>
      <c r="CH5" s="43" t="n">
        <f aca="false">CH$4-CH$3+1</f>
        <v>92</v>
      </c>
      <c r="CI5" s="43" t="n">
        <f aca="false">CI$4-CI$3+1</f>
        <v>90</v>
      </c>
      <c r="CJ5" s="43" t="n">
        <f aca="false">CJ$4-CJ$3+1</f>
        <v>91</v>
      </c>
      <c r="CK5" s="43" t="n">
        <f aca="false">CK$4-CK$3+1</f>
        <v>92</v>
      </c>
      <c r="CL5" s="43" t="n">
        <f aca="false">CL$4-CL$3+1</f>
        <v>92</v>
      </c>
      <c r="CM5" s="43" t="n">
        <f aca="false">CM$4-CM$3+1</f>
        <v>90</v>
      </c>
      <c r="CN5" s="43" t="n">
        <f aca="false">CN$4-CN$3+1</f>
        <v>91</v>
      </c>
      <c r="CO5" s="43" t="n">
        <f aca="false">CO$4-CO$3+1</f>
        <v>92</v>
      </c>
      <c r="CP5" s="43" t="n">
        <f aca="false">CP$4-CP$3+1</f>
        <v>92</v>
      </c>
      <c r="CQ5" s="43" t="n">
        <f aca="false">CQ$4-CQ$3+1</f>
        <v>91</v>
      </c>
      <c r="CR5" s="43" t="n">
        <f aca="false">CR$4-CR$3+1</f>
        <v>91</v>
      </c>
      <c r="CS5" s="43" t="n">
        <f aca="false">CS$4-CS$3+1</f>
        <v>92</v>
      </c>
      <c r="CT5" s="43" t="n">
        <f aca="false">CT$4-CT$3+1</f>
        <v>92</v>
      </c>
      <c r="CU5" s="43" t="n">
        <f aca="false">CU$4-CU$3+1</f>
        <v>90</v>
      </c>
      <c r="CV5" s="43" t="n">
        <f aca="false">CV$4-CV$3+1</f>
        <v>91</v>
      </c>
      <c r="CW5" s="43" t="n">
        <f aca="false">CW$4-CW$3+1</f>
        <v>92</v>
      </c>
      <c r="CX5" s="43" t="n">
        <f aca="false">CX$4-CX$3+1</f>
        <v>92</v>
      </c>
      <c r="CY5" s="43" t="n">
        <f aca="false">CY$4-CY$3+1</f>
        <v>90</v>
      </c>
      <c r="CZ5" s="43" t="n">
        <f aca="false">CZ$4-CZ$3+1</f>
        <v>91</v>
      </c>
      <c r="DA5" s="43" t="n">
        <f aca="false">DA$4-DA$3+1</f>
        <v>92</v>
      </c>
      <c r="DB5" s="43" t="n">
        <f aca="false">DB$4-DB$3+1</f>
        <v>92</v>
      </c>
      <c r="DC5" s="43" t="n">
        <f aca="false">DC$4-DC$3+1</f>
        <v>90</v>
      </c>
      <c r="DD5" s="43" t="n">
        <f aca="false">DD$4-DD$3+1</f>
        <v>91</v>
      </c>
      <c r="DE5" s="43" t="n">
        <f aca="false">DE$4-DE$3+1</f>
        <v>92</v>
      </c>
      <c r="DF5" s="43" t="n">
        <f aca="false">DF$4-DF$3+1</f>
        <v>92</v>
      </c>
      <c r="DG5" s="43" t="n">
        <f aca="false">DG$4-DG$3+1</f>
        <v>91</v>
      </c>
      <c r="DH5" s="43" t="n">
        <f aca="false">DH$4-DH$3+1</f>
        <v>91</v>
      </c>
      <c r="DI5" s="43" t="n">
        <f aca="false">DI$4-DI$3+1</f>
        <v>92</v>
      </c>
      <c r="DJ5" s="43" t="n">
        <f aca="false">DJ$4-DJ$3+1</f>
        <v>92</v>
      </c>
      <c r="DK5" s="43" t="n">
        <f aca="false">DK$4-DK$3+1</f>
        <v>90</v>
      </c>
      <c r="DL5" s="43" t="n">
        <f aca="false">DL$4-DL$3+1</f>
        <v>91</v>
      </c>
      <c r="DM5" s="43" t="n">
        <f aca="false">DM$4-DM$3+1</f>
        <v>92</v>
      </c>
      <c r="DN5" s="43" t="n">
        <f aca="false">DN$4-DN$3+1</f>
        <v>92</v>
      </c>
      <c r="DO5" s="43" t="n">
        <f aca="false">DO$4-DO$3+1</f>
        <v>90</v>
      </c>
      <c r="DP5" s="43" t="n">
        <f aca="false">DP$4-DP$3+1</f>
        <v>91</v>
      </c>
      <c r="DQ5" s="43" t="n">
        <f aca="false">DQ$4-DQ$3+1</f>
        <v>92</v>
      </c>
      <c r="DR5" s="43" t="n">
        <f aca="false">DR$4-DR$3+1</f>
        <v>92</v>
      </c>
      <c r="DS5" s="43" t="n">
        <f aca="false">DS$4-DS$3+1</f>
        <v>90</v>
      </c>
      <c r="DT5" s="43" t="n">
        <f aca="false">DT$4-DT$3+1</f>
        <v>91</v>
      </c>
      <c r="DU5" s="43" t="n">
        <f aca="false">DU$4-DU$3+1</f>
        <v>92</v>
      </c>
      <c r="DV5" s="43" t="n">
        <f aca="false">DV$4-DV$3+1</f>
        <v>92</v>
      </c>
      <c r="DW5" s="43" t="n">
        <f aca="false">DW$4-DW$3+1</f>
        <v>91</v>
      </c>
      <c r="DX5" s="43" t="n">
        <f aca="false">DX$4-DX$3+1</f>
        <v>91</v>
      </c>
      <c r="DY5" s="43" t="n">
        <f aca="false">DY$4-DY$3+1</f>
        <v>92</v>
      </c>
      <c r="DZ5" s="43" t="n">
        <f aca="false">DZ$4-DZ$3+1</f>
        <v>92</v>
      </c>
      <c r="EA5" s="43" t="n">
        <f aca="false">EA$4-EA$3+1</f>
        <v>90</v>
      </c>
      <c r="EB5" s="43" t="n">
        <f aca="false">EB$4-EB$3+1</f>
        <v>91</v>
      </c>
      <c r="EC5" s="43" t="n">
        <f aca="false">EC$4-EC$3+1</f>
        <v>92</v>
      </c>
      <c r="ED5" s="43" t="n">
        <f aca="false">ED$4-ED$3+1</f>
        <v>92</v>
      </c>
      <c r="EE5" s="43" t="n">
        <f aca="false">EE$4-EE$3+1</f>
        <v>90</v>
      </c>
      <c r="EF5" s="43" t="n">
        <f aca="false">EF$4-EF$3+1</f>
        <v>91</v>
      </c>
      <c r="EG5" s="43" t="n">
        <f aca="false">EG$4-EG$3+1</f>
        <v>92</v>
      </c>
      <c r="EH5" s="43" t="n">
        <f aca="false">EH$4-EH$3+1</f>
        <v>92</v>
      </c>
      <c r="EI5" s="43" t="n">
        <f aca="false">EI$4-EI$3+1</f>
        <v>90</v>
      </c>
      <c r="EJ5" s="43" t="n">
        <f aca="false">EJ$4-EJ$3+1</f>
        <v>91</v>
      </c>
      <c r="EK5" s="43" t="n">
        <f aca="false">EK$4-EK$3+1</f>
        <v>92</v>
      </c>
      <c r="EL5" s="43" t="n">
        <f aca="false">EL$4-EL$3+1</f>
        <v>92</v>
      </c>
      <c r="EM5" s="43" t="n">
        <f aca="false">EM$4-EM$3+1</f>
        <v>91</v>
      </c>
      <c r="EN5" s="43" t="n">
        <f aca="false">EN$4-EN$3+1</f>
        <v>91</v>
      </c>
      <c r="EO5" s="43" t="n">
        <f aca="false">EO$4-EO$3+1</f>
        <v>92</v>
      </c>
    </row>
    <row r="6" customFormat="false" ht="15" hidden="false" customHeight="false" outlineLevel="0" collapsed="false">
      <c r="C6" s="0" t="s">
        <v>385</v>
      </c>
      <c r="D6" s="11" t="s">
        <v>386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387</v>
      </c>
      <c r="D7" s="11" t="s">
        <v>388</v>
      </c>
      <c r="J7" s="43" t="n">
        <f aca="false">YEAR(J$4)</f>
        <v>2026</v>
      </c>
      <c r="K7" s="43" t="n">
        <f aca="false">YEAR(K$4)</f>
        <v>2027</v>
      </c>
      <c r="L7" s="43" t="n">
        <f aca="false">YEAR(L$4)</f>
        <v>2027</v>
      </c>
      <c r="M7" s="43" t="n">
        <f aca="false">YEAR(M$4)</f>
        <v>2027</v>
      </c>
      <c r="N7" s="43" t="n">
        <f aca="false">YEAR(N$4)</f>
        <v>2027</v>
      </c>
      <c r="O7" s="43" t="n">
        <f aca="false">YEAR(O$4)</f>
        <v>2028</v>
      </c>
      <c r="P7" s="43" t="n">
        <f aca="false">YEAR(P$4)</f>
        <v>2028</v>
      </c>
      <c r="Q7" s="43" t="n">
        <f aca="false">YEAR(Q$4)</f>
        <v>2028</v>
      </c>
      <c r="R7" s="43" t="n">
        <f aca="false">YEAR(R$4)</f>
        <v>2028</v>
      </c>
      <c r="S7" s="43" t="n">
        <f aca="false">YEAR(S$4)</f>
        <v>2029</v>
      </c>
      <c r="T7" s="43" t="n">
        <f aca="false">YEAR(T$4)</f>
        <v>2029</v>
      </c>
      <c r="U7" s="43" t="n">
        <f aca="false">YEAR(U$4)</f>
        <v>2029</v>
      </c>
      <c r="V7" s="43" t="n">
        <f aca="false">YEAR(V$4)</f>
        <v>2029</v>
      </c>
      <c r="W7" s="43" t="n">
        <f aca="false">YEAR(W$4)</f>
        <v>2030</v>
      </c>
      <c r="X7" s="43" t="n">
        <f aca="false">YEAR(X$4)</f>
        <v>2030</v>
      </c>
      <c r="Y7" s="43" t="n">
        <f aca="false">YEAR(Y$4)</f>
        <v>2030</v>
      </c>
      <c r="Z7" s="43" t="n">
        <f aca="false">YEAR(Z$4)</f>
        <v>2030</v>
      </c>
      <c r="AA7" s="43" t="n">
        <f aca="false">YEAR(AA$4)</f>
        <v>2031</v>
      </c>
      <c r="AB7" s="43" t="n">
        <f aca="false">YEAR(AB$4)</f>
        <v>2031</v>
      </c>
      <c r="AC7" s="43" t="n">
        <f aca="false">YEAR(AC$4)</f>
        <v>2031</v>
      </c>
      <c r="AD7" s="43" t="n">
        <f aca="false">YEAR(AD$4)</f>
        <v>2031</v>
      </c>
      <c r="AE7" s="43" t="n">
        <f aca="false">YEAR(AE$4)</f>
        <v>2032</v>
      </c>
      <c r="AF7" s="43" t="n">
        <f aca="false">YEAR(AF$4)</f>
        <v>2032</v>
      </c>
      <c r="AG7" s="43" t="n">
        <f aca="false">YEAR(AG$4)</f>
        <v>2032</v>
      </c>
      <c r="AH7" s="43" t="n">
        <f aca="false">YEAR(AH$4)</f>
        <v>2032</v>
      </c>
      <c r="AI7" s="43" t="n">
        <f aca="false">YEAR(AI$4)</f>
        <v>2033</v>
      </c>
      <c r="AJ7" s="43" t="n">
        <f aca="false">YEAR(AJ$4)</f>
        <v>2033</v>
      </c>
      <c r="AK7" s="43" t="n">
        <f aca="false">YEAR(AK$4)</f>
        <v>2033</v>
      </c>
      <c r="AL7" s="43" t="n">
        <f aca="false">YEAR(AL$4)</f>
        <v>2033</v>
      </c>
      <c r="AM7" s="43" t="n">
        <f aca="false">YEAR(AM$4)</f>
        <v>2034</v>
      </c>
      <c r="AN7" s="43" t="n">
        <f aca="false">YEAR(AN$4)</f>
        <v>2034</v>
      </c>
      <c r="AO7" s="43" t="n">
        <f aca="false">YEAR(AO$4)</f>
        <v>2034</v>
      </c>
      <c r="AP7" s="43" t="n">
        <f aca="false">YEAR(AP$4)</f>
        <v>2034</v>
      </c>
      <c r="AQ7" s="43" t="n">
        <f aca="false">YEAR(AQ$4)</f>
        <v>2035</v>
      </c>
      <c r="AR7" s="43" t="n">
        <f aca="false">YEAR(AR$4)</f>
        <v>2035</v>
      </c>
      <c r="AS7" s="43" t="n">
        <f aca="false">YEAR(AS$4)</f>
        <v>2035</v>
      </c>
      <c r="AT7" s="43" t="n">
        <f aca="false">YEAR(AT$4)</f>
        <v>2035</v>
      </c>
      <c r="AU7" s="43" t="n">
        <f aca="false">YEAR(AU$4)</f>
        <v>2036</v>
      </c>
      <c r="AV7" s="43" t="n">
        <f aca="false">YEAR(AV$4)</f>
        <v>2036</v>
      </c>
      <c r="AW7" s="43" t="n">
        <f aca="false">YEAR(AW$4)</f>
        <v>2036</v>
      </c>
      <c r="AX7" s="43" t="n">
        <f aca="false">YEAR(AX$4)</f>
        <v>2036</v>
      </c>
      <c r="AY7" s="43" t="n">
        <f aca="false">YEAR(AY$4)</f>
        <v>2037</v>
      </c>
      <c r="AZ7" s="43" t="n">
        <f aca="false">YEAR(AZ$4)</f>
        <v>2037</v>
      </c>
      <c r="BA7" s="43" t="n">
        <f aca="false">YEAR(BA$4)</f>
        <v>2037</v>
      </c>
      <c r="BB7" s="43" t="n">
        <f aca="false">YEAR(BB$4)</f>
        <v>2037</v>
      </c>
      <c r="BC7" s="43" t="n">
        <f aca="false">YEAR(BC$4)</f>
        <v>2038</v>
      </c>
      <c r="BD7" s="43" t="n">
        <f aca="false">YEAR(BD$4)</f>
        <v>2038</v>
      </c>
      <c r="BE7" s="43" t="n">
        <f aca="false">YEAR(BE$4)</f>
        <v>2038</v>
      </c>
      <c r="BF7" s="43" t="n">
        <f aca="false">YEAR(BF$4)</f>
        <v>2038</v>
      </c>
      <c r="BG7" s="43" t="n">
        <f aca="false">YEAR(BG$4)</f>
        <v>2039</v>
      </c>
      <c r="BH7" s="43" t="n">
        <f aca="false">YEAR(BH$4)</f>
        <v>2039</v>
      </c>
      <c r="BI7" s="43" t="n">
        <f aca="false">YEAR(BI$4)</f>
        <v>2039</v>
      </c>
      <c r="BJ7" s="43" t="n">
        <f aca="false">YEAR(BJ$4)</f>
        <v>2039</v>
      </c>
      <c r="BK7" s="43" t="n">
        <f aca="false">YEAR(BK$4)</f>
        <v>2040</v>
      </c>
      <c r="BL7" s="43" t="n">
        <f aca="false">YEAR(BL$4)</f>
        <v>2040</v>
      </c>
      <c r="BM7" s="43" t="n">
        <f aca="false">YEAR(BM$4)</f>
        <v>2040</v>
      </c>
      <c r="BN7" s="43" t="n">
        <f aca="false">YEAR(BN$4)</f>
        <v>2040</v>
      </c>
      <c r="BO7" s="43" t="n">
        <f aca="false">YEAR(BO$4)</f>
        <v>2041</v>
      </c>
      <c r="BP7" s="43" t="n">
        <f aca="false">YEAR(BP$4)</f>
        <v>2041</v>
      </c>
      <c r="BQ7" s="43" t="n">
        <f aca="false">YEAR(BQ$4)</f>
        <v>2041</v>
      </c>
      <c r="BR7" s="43" t="n">
        <f aca="false">YEAR(BR$4)</f>
        <v>2041</v>
      </c>
      <c r="BS7" s="43" t="n">
        <f aca="false">YEAR(BS$4)</f>
        <v>2042</v>
      </c>
      <c r="BT7" s="43" t="n">
        <f aca="false">YEAR(BT$4)</f>
        <v>2042</v>
      </c>
      <c r="BU7" s="43" t="n">
        <f aca="false">YEAR(BU$4)</f>
        <v>2042</v>
      </c>
      <c r="BV7" s="43" t="n">
        <f aca="false">YEAR(BV$4)</f>
        <v>2042</v>
      </c>
      <c r="BW7" s="43" t="n">
        <f aca="false">YEAR(BW$4)</f>
        <v>2043</v>
      </c>
      <c r="BX7" s="43" t="n">
        <f aca="false">YEAR(BX$4)</f>
        <v>2043</v>
      </c>
      <c r="BY7" s="43" t="n">
        <f aca="false">YEAR(BY$4)</f>
        <v>2043</v>
      </c>
      <c r="BZ7" s="43" t="n">
        <f aca="false">YEAR(BZ$4)</f>
        <v>2043</v>
      </c>
      <c r="CA7" s="43" t="n">
        <f aca="false">YEAR(CA$4)</f>
        <v>2044</v>
      </c>
      <c r="CB7" s="43" t="n">
        <f aca="false">YEAR(CB$4)</f>
        <v>2044</v>
      </c>
      <c r="CC7" s="43" t="n">
        <f aca="false">YEAR(CC$4)</f>
        <v>2044</v>
      </c>
      <c r="CD7" s="43" t="n">
        <f aca="false">YEAR(CD$4)</f>
        <v>2044</v>
      </c>
      <c r="CE7" s="43" t="n">
        <f aca="false">YEAR(CE$4)</f>
        <v>2045</v>
      </c>
      <c r="CF7" s="43" t="n">
        <f aca="false">YEAR(CF$4)</f>
        <v>2045</v>
      </c>
      <c r="CG7" s="43" t="n">
        <f aca="false">YEAR(CG$4)</f>
        <v>2045</v>
      </c>
      <c r="CH7" s="43" t="n">
        <f aca="false">YEAR(CH$4)</f>
        <v>2045</v>
      </c>
      <c r="CI7" s="43" t="n">
        <f aca="false">YEAR(CI$4)</f>
        <v>2046</v>
      </c>
      <c r="CJ7" s="43" t="n">
        <f aca="false">YEAR(CJ$4)</f>
        <v>2046</v>
      </c>
      <c r="CK7" s="43" t="n">
        <f aca="false">YEAR(CK$4)</f>
        <v>2046</v>
      </c>
      <c r="CL7" s="43" t="n">
        <f aca="false">YEAR(CL$4)</f>
        <v>2046</v>
      </c>
      <c r="CM7" s="43" t="n">
        <f aca="false">YEAR(CM$4)</f>
        <v>2047</v>
      </c>
      <c r="CN7" s="43" t="n">
        <f aca="false">YEAR(CN$4)</f>
        <v>2047</v>
      </c>
      <c r="CO7" s="43" t="n">
        <f aca="false">YEAR(CO$4)</f>
        <v>2047</v>
      </c>
      <c r="CP7" s="43" t="n">
        <f aca="false">YEAR(CP$4)</f>
        <v>2047</v>
      </c>
      <c r="CQ7" s="43" t="n">
        <f aca="false">YEAR(CQ$4)</f>
        <v>2048</v>
      </c>
      <c r="CR7" s="43" t="n">
        <f aca="false">YEAR(CR$4)</f>
        <v>2048</v>
      </c>
      <c r="CS7" s="43" t="n">
        <f aca="false">YEAR(CS$4)</f>
        <v>2048</v>
      </c>
      <c r="CT7" s="43" t="n">
        <f aca="false">YEAR(CT$4)</f>
        <v>2048</v>
      </c>
      <c r="CU7" s="43" t="n">
        <f aca="false">YEAR(CU$4)</f>
        <v>2049</v>
      </c>
      <c r="CV7" s="43" t="n">
        <f aca="false">YEAR(CV$4)</f>
        <v>2049</v>
      </c>
      <c r="CW7" s="43" t="n">
        <f aca="false">YEAR(CW$4)</f>
        <v>2049</v>
      </c>
      <c r="CX7" s="43" t="n">
        <f aca="false">YEAR(CX$4)</f>
        <v>2049</v>
      </c>
      <c r="CY7" s="43" t="n">
        <f aca="false">YEAR(CY$4)</f>
        <v>2050</v>
      </c>
      <c r="CZ7" s="43" t="n">
        <f aca="false">YEAR(CZ$4)</f>
        <v>2050</v>
      </c>
      <c r="DA7" s="43" t="n">
        <f aca="false">YEAR(DA$4)</f>
        <v>2050</v>
      </c>
      <c r="DB7" s="43" t="n">
        <f aca="false">YEAR(DB$4)</f>
        <v>2050</v>
      </c>
      <c r="DC7" s="43" t="n">
        <f aca="false">YEAR(DC$4)</f>
        <v>2051</v>
      </c>
      <c r="DD7" s="43" t="n">
        <f aca="false">YEAR(DD$4)</f>
        <v>2051</v>
      </c>
      <c r="DE7" s="43" t="n">
        <f aca="false">YEAR(DE$4)</f>
        <v>2051</v>
      </c>
      <c r="DF7" s="43" t="n">
        <f aca="false">YEAR(DF$4)</f>
        <v>2051</v>
      </c>
      <c r="DG7" s="43" t="n">
        <f aca="false">YEAR(DG$4)</f>
        <v>2052</v>
      </c>
      <c r="DH7" s="43" t="n">
        <f aca="false">YEAR(DH$4)</f>
        <v>2052</v>
      </c>
      <c r="DI7" s="43" t="n">
        <f aca="false">YEAR(DI$4)</f>
        <v>2052</v>
      </c>
      <c r="DJ7" s="43" t="n">
        <f aca="false">YEAR(DJ$4)</f>
        <v>2052</v>
      </c>
      <c r="DK7" s="43" t="n">
        <f aca="false">YEAR(DK$4)</f>
        <v>2053</v>
      </c>
      <c r="DL7" s="43" t="n">
        <f aca="false">YEAR(DL$4)</f>
        <v>2053</v>
      </c>
      <c r="DM7" s="43" t="n">
        <f aca="false">YEAR(DM$4)</f>
        <v>2053</v>
      </c>
      <c r="DN7" s="43" t="n">
        <f aca="false">YEAR(DN$4)</f>
        <v>2053</v>
      </c>
      <c r="DO7" s="43" t="n">
        <f aca="false">YEAR(DO$4)</f>
        <v>2054</v>
      </c>
      <c r="DP7" s="43" t="n">
        <f aca="false">YEAR(DP$4)</f>
        <v>2054</v>
      </c>
      <c r="DQ7" s="43" t="n">
        <f aca="false">YEAR(DQ$4)</f>
        <v>2054</v>
      </c>
      <c r="DR7" s="43" t="n">
        <f aca="false">YEAR(DR$4)</f>
        <v>2054</v>
      </c>
      <c r="DS7" s="43" t="n">
        <f aca="false">YEAR(DS$4)</f>
        <v>2055</v>
      </c>
      <c r="DT7" s="43" t="n">
        <f aca="false">YEAR(DT$4)</f>
        <v>2055</v>
      </c>
      <c r="DU7" s="43" t="n">
        <f aca="false">YEAR(DU$4)</f>
        <v>2055</v>
      </c>
      <c r="DV7" s="43" t="n">
        <f aca="false">YEAR(DV$4)</f>
        <v>2055</v>
      </c>
      <c r="DW7" s="43" t="n">
        <f aca="false">YEAR(DW$4)</f>
        <v>2056</v>
      </c>
      <c r="DX7" s="43" t="n">
        <f aca="false">YEAR(DX$4)</f>
        <v>2056</v>
      </c>
      <c r="DY7" s="43" t="n">
        <f aca="false">YEAR(DY$4)</f>
        <v>2056</v>
      </c>
      <c r="DZ7" s="43" t="n">
        <f aca="false">YEAR(DZ$4)</f>
        <v>2056</v>
      </c>
      <c r="EA7" s="43" t="n">
        <f aca="false">YEAR(EA$4)</f>
        <v>2057</v>
      </c>
      <c r="EB7" s="43" t="n">
        <f aca="false">YEAR(EB$4)</f>
        <v>2057</v>
      </c>
      <c r="EC7" s="43" t="n">
        <f aca="false">YEAR(EC$4)</f>
        <v>2057</v>
      </c>
      <c r="ED7" s="43" t="n">
        <f aca="false">YEAR(ED$4)</f>
        <v>2057</v>
      </c>
      <c r="EE7" s="43" t="n">
        <f aca="false">YEAR(EE$4)</f>
        <v>2058</v>
      </c>
      <c r="EF7" s="43" t="n">
        <f aca="false">YEAR(EF$4)</f>
        <v>2058</v>
      </c>
      <c r="EG7" s="43" t="n">
        <f aca="false">YEAR(EG$4)</f>
        <v>2058</v>
      </c>
      <c r="EH7" s="43" t="n">
        <f aca="false">YEAR(EH$4)</f>
        <v>2058</v>
      </c>
      <c r="EI7" s="43" t="n">
        <f aca="false">YEAR(EI$4)</f>
        <v>2059</v>
      </c>
      <c r="EJ7" s="43" t="n">
        <f aca="false">YEAR(EJ$4)</f>
        <v>2059</v>
      </c>
      <c r="EK7" s="43" t="n">
        <f aca="false">YEAR(EK$4)</f>
        <v>2059</v>
      </c>
      <c r="EL7" s="43" t="n">
        <f aca="false">YEAR(EL$4)</f>
        <v>2059</v>
      </c>
      <c r="EM7" s="43" t="n">
        <f aca="false">YEAR(EM$4)</f>
        <v>2060</v>
      </c>
      <c r="EN7" s="43" t="n">
        <f aca="false">YEAR(EN$4)</f>
        <v>2060</v>
      </c>
      <c r="EO7" s="43" t="n">
        <f aca="false">YEAR(EO$4)</f>
        <v>2060</v>
      </c>
    </row>
    <row r="8" customFormat="false" ht="15" hidden="false" customHeight="false" outlineLevel="0" collapsed="false">
      <c r="C8" s="0" t="s">
        <v>389</v>
      </c>
      <c r="D8" s="11" t="s">
        <v>147</v>
      </c>
      <c r="J8" s="43" t="n">
        <f aca="false">I$8+1</f>
        <v>1</v>
      </c>
      <c r="K8" s="43" t="n">
        <f aca="false">J$8+1</f>
        <v>2</v>
      </c>
      <c r="L8" s="43" t="n">
        <f aca="false">K$8+1</f>
        <v>3</v>
      </c>
      <c r="M8" s="43" t="n">
        <f aca="false">L$8+1</f>
        <v>4</v>
      </c>
      <c r="N8" s="43" t="n">
        <f aca="false">M$8+1</f>
        <v>5</v>
      </c>
      <c r="O8" s="43" t="n">
        <f aca="false">N$8+1</f>
        <v>6</v>
      </c>
      <c r="P8" s="43" t="n">
        <f aca="false">O$8+1</f>
        <v>7</v>
      </c>
      <c r="Q8" s="43" t="n">
        <f aca="false">P$8+1</f>
        <v>8</v>
      </c>
      <c r="R8" s="43" t="n">
        <f aca="false">Q$8+1</f>
        <v>9</v>
      </c>
      <c r="S8" s="43" t="n">
        <f aca="false">R$8+1</f>
        <v>10</v>
      </c>
      <c r="T8" s="43" t="n">
        <f aca="false">S$8+1</f>
        <v>11</v>
      </c>
      <c r="U8" s="43" t="n">
        <f aca="false">T$8+1</f>
        <v>12</v>
      </c>
      <c r="V8" s="43" t="n">
        <f aca="false">U$8+1</f>
        <v>13</v>
      </c>
      <c r="W8" s="43" t="n">
        <f aca="false">V$8+1</f>
        <v>14</v>
      </c>
      <c r="X8" s="43" t="n">
        <f aca="false">W$8+1</f>
        <v>15</v>
      </c>
      <c r="Y8" s="43" t="n">
        <f aca="false">X$8+1</f>
        <v>16</v>
      </c>
      <c r="Z8" s="43" t="n">
        <f aca="false">Y$8+1</f>
        <v>17</v>
      </c>
      <c r="AA8" s="43" t="n">
        <f aca="false">Z$8+1</f>
        <v>18</v>
      </c>
      <c r="AB8" s="43" t="n">
        <f aca="false">AA$8+1</f>
        <v>19</v>
      </c>
      <c r="AC8" s="43" t="n">
        <f aca="false">AB$8+1</f>
        <v>20</v>
      </c>
      <c r="AD8" s="43" t="n">
        <f aca="false">AC$8+1</f>
        <v>21</v>
      </c>
      <c r="AE8" s="43" t="n">
        <f aca="false">AD$8+1</f>
        <v>22</v>
      </c>
      <c r="AF8" s="43" t="n">
        <f aca="false">AE$8+1</f>
        <v>23</v>
      </c>
      <c r="AG8" s="43" t="n">
        <f aca="false">AF$8+1</f>
        <v>24</v>
      </c>
      <c r="AH8" s="43" t="n">
        <f aca="false">AG$8+1</f>
        <v>25</v>
      </c>
      <c r="AI8" s="43" t="n">
        <f aca="false">AH$8+1</f>
        <v>26</v>
      </c>
      <c r="AJ8" s="43" t="n">
        <f aca="false">AI$8+1</f>
        <v>27</v>
      </c>
      <c r="AK8" s="43" t="n">
        <f aca="false">AJ$8+1</f>
        <v>28</v>
      </c>
      <c r="AL8" s="43" t="n">
        <f aca="false">AK$8+1</f>
        <v>29</v>
      </c>
      <c r="AM8" s="43" t="n">
        <f aca="false">AL$8+1</f>
        <v>30</v>
      </c>
      <c r="AN8" s="43" t="n">
        <f aca="false">AM$8+1</f>
        <v>31</v>
      </c>
      <c r="AO8" s="43" t="n">
        <f aca="false">AN$8+1</f>
        <v>32</v>
      </c>
      <c r="AP8" s="43" t="n">
        <f aca="false">AO$8+1</f>
        <v>33</v>
      </c>
      <c r="AQ8" s="43" t="n">
        <f aca="false">AP$8+1</f>
        <v>34</v>
      </c>
      <c r="AR8" s="43" t="n">
        <f aca="false">AQ$8+1</f>
        <v>35</v>
      </c>
      <c r="AS8" s="43" t="n">
        <f aca="false">AR$8+1</f>
        <v>36</v>
      </c>
      <c r="AT8" s="43" t="n">
        <f aca="false">AS$8+1</f>
        <v>37</v>
      </c>
      <c r="AU8" s="43" t="n">
        <f aca="false">AT$8+1</f>
        <v>38</v>
      </c>
      <c r="AV8" s="43" t="n">
        <f aca="false">AU$8+1</f>
        <v>39</v>
      </c>
      <c r="AW8" s="43" t="n">
        <f aca="false">AV$8+1</f>
        <v>40</v>
      </c>
      <c r="AX8" s="43" t="n">
        <f aca="false">AW$8+1</f>
        <v>41</v>
      </c>
      <c r="AY8" s="43" t="n">
        <f aca="false">AX$8+1</f>
        <v>42</v>
      </c>
      <c r="AZ8" s="43" t="n">
        <f aca="false">AY$8+1</f>
        <v>43</v>
      </c>
      <c r="BA8" s="43" t="n">
        <f aca="false">AZ$8+1</f>
        <v>44</v>
      </c>
      <c r="BB8" s="43" t="n">
        <f aca="false">BA$8+1</f>
        <v>45</v>
      </c>
      <c r="BC8" s="43" t="n">
        <f aca="false">BB$8+1</f>
        <v>46</v>
      </c>
      <c r="BD8" s="43" t="n">
        <f aca="false">BC$8+1</f>
        <v>47</v>
      </c>
      <c r="BE8" s="43" t="n">
        <f aca="false">BD$8+1</f>
        <v>48</v>
      </c>
      <c r="BF8" s="43" t="n">
        <f aca="false">BE$8+1</f>
        <v>49</v>
      </c>
      <c r="BG8" s="43" t="n">
        <f aca="false">BF$8+1</f>
        <v>50</v>
      </c>
      <c r="BH8" s="43" t="n">
        <f aca="false">BG$8+1</f>
        <v>51</v>
      </c>
      <c r="BI8" s="43" t="n">
        <f aca="false">BH$8+1</f>
        <v>52</v>
      </c>
      <c r="BJ8" s="43" t="n">
        <f aca="false">BI$8+1</f>
        <v>53</v>
      </c>
      <c r="BK8" s="43" t="n">
        <f aca="false">BJ$8+1</f>
        <v>54</v>
      </c>
      <c r="BL8" s="43" t="n">
        <f aca="false">BK$8+1</f>
        <v>55</v>
      </c>
      <c r="BM8" s="43" t="n">
        <f aca="false">BL$8+1</f>
        <v>56</v>
      </c>
      <c r="BN8" s="43" t="n">
        <f aca="false">BM$8+1</f>
        <v>57</v>
      </c>
      <c r="BO8" s="43" t="n">
        <f aca="false">BN$8+1</f>
        <v>58</v>
      </c>
      <c r="BP8" s="43" t="n">
        <f aca="false">BO$8+1</f>
        <v>59</v>
      </c>
      <c r="BQ8" s="43" t="n">
        <f aca="false">BP$8+1</f>
        <v>60</v>
      </c>
      <c r="BR8" s="43" t="n">
        <f aca="false">BQ$8+1</f>
        <v>61</v>
      </c>
      <c r="BS8" s="43" t="n">
        <f aca="false">BR$8+1</f>
        <v>62</v>
      </c>
      <c r="BT8" s="43" t="n">
        <f aca="false">BS$8+1</f>
        <v>63</v>
      </c>
      <c r="BU8" s="43" t="n">
        <f aca="false">BT$8+1</f>
        <v>64</v>
      </c>
      <c r="BV8" s="43" t="n">
        <f aca="false">BU$8+1</f>
        <v>65</v>
      </c>
      <c r="BW8" s="43" t="n">
        <f aca="false">BV$8+1</f>
        <v>66</v>
      </c>
      <c r="BX8" s="43" t="n">
        <f aca="false">BW$8+1</f>
        <v>67</v>
      </c>
      <c r="BY8" s="43" t="n">
        <f aca="false">BX$8+1</f>
        <v>68</v>
      </c>
      <c r="BZ8" s="43" t="n">
        <f aca="false">BY$8+1</f>
        <v>69</v>
      </c>
      <c r="CA8" s="43" t="n">
        <f aca="false">BZ$8+1</f>
        <v>70</v>
      </c>
      <c r="CB8" s="43" t="n">
        <f aca="false">CA$8+1</f>
        <v>71</v>
      </c>
      <c r="CC8" s="43" t="n">
        <f aca="false">CB$8+1</f>
        <v>72</v>
      </c>
      <c r="CD8" s="43" t="n">
        <f aca="false">CC$8+1</f>
        <v>73</v>
      </c>
      <c r="CE8" s="43" t="n">
        <f aca="false">CD$8+1</f>
        <v>74</v>
      </c>
      <c r="CF8" s="43" t="n">
        <f aca="false">CE$8+1</f>
        <v>75</v>
      </c>
      <c r="CG8" s="43" t="n">
        <f aca="false">CF$8+1</f>
        <v>76</v>
      </c>
      <c r="CH8" s="43" t="n">
        <f aca="false">CG$8+1</f>
        <v>77</v>
      </c>
      <c r="CI8" s="43" t="n">
        <f aca="false">CH$8+1</f>
        <v>78</v>
      </c>
      <c r="CJ8" s="43" t="n">
        <f aca="false">CI$8+1</f>
        <v>79</v>
      </c>
      <c r="CK8" s="43" t="n">
        <f aca="false">CJ$8+1</f>
        <v>80</v>
      </c>
      <c r="CL8" s="43" t="n">
        <f aca="false">CK$8+1</f>
        <v>81</v>
      </c>
      <c r="CM8" s="43" t="n">
        <f aca="false">CL$8+1</f>
        <v>82</v>
      </c>
      <c r="CN8" s="43" t="n">
        <f aca="false">CM$8+1</f>
        <v>83</v>
      </c>
      <c r="CO8" s="43" t="n">
        <f aca="false">CN$8+1</f>
        <v>84</v>
      </c>
      <c r="CP8" s="43" t="n">
        <f aca="false">CO$8+1</f>
        <v>85</v>
      </c>
      <c r="CQ8" s="43" t="n">
        <f aca="false">CP$8+1</f>
        <v>86</v>
      </c>
      <c r="CR8" s="43" t="n">
        <f aca="false">CQ$8+1</f>
        <v>87</v>
      </c>
      <c r="CS8" s="43" t="n">
        <f aca="false">CR$8+1</f>
        <v>88</v>
      </c>
      <c r="CT8" s="43" t="n">
        <f aca="false">CS$8+1</f>
        <v>89</v>
      </c>
      <c r="CU8" s="43" t="n">
        <f aca="false">CT$8+1</f>
        <v>90</v>
      </c>
      <c r="CV8" s="43" t="n">
        <f aca="false">CU$8+1</f>
        <v>91</v>
      </c>
      <c r="CW8" s="43" t="n">
        <f aca="false">CV$8+1</f>
        <v>92</v>
      </c>
      <c r="CX8" s="43" t="n">
        <f aca="false">CW$8+1</f>
        <v>93</v>
      </c>
      <c r="CY8" s="43" t="n">
        <f aca="false">CX$8+1</f>
        <v>94</v>
      </c>
      <c r="CZ8" s="43" t="n">
        <f aca="false">CY$8+1</f>
        <v>95</v>
      </c>
      <c r="DA8" s="43" t="n">
        <f aca="false">CZ$8+1</f>
        <v>96</v>
      </c>
      <c r="DB8" s="43" t="n">
        <f aca="false">DA$8+1</f>
        <v>97</v>
      </c>
      <c r="DC8" s="43" t="n">
        <f aca="false">DB$8+1</f>
        <v>98</v>
      </c>
      <c r="DD8" s="43" t="n">
        <f aca="false">DC$8+1</f>
        <v>99</v>
      </c>
      <c r="DE8" s="43" t="n">
        <f aca="false">DD$8+1</f>
        <v>100</v>
      </c>
      <c r="DF8" s="43" t="n">
        <f aca="false">DE$8+1</f>
        <v>101</v>
      </c>
      <c r="DG8" s="43" t="n">
        <f aca="false">DF$8+1</f>
        <v>102</v>
      </c>
      <c r="DH8" s="43" t="n">
        <f aca="false">DG$8+1</f>
        <v>103</v>
      </c>
      <c r="DI8" s="43" t="n">
        <f aca="false">DH$8+1</f>
        <v>104</v>
      </c>
      <c r="DJ8" s="43" t="n">
        <f aca="false">DI$8+1</f>
        <v>105</v>
      </c>
      <c r="DK8" s="43" t="n">
        <f aca="false">DJ$8+1</f>
        <v>106</v>
      </c>
      <c r="DL8" s="43" t="n">
        <f aca="false">DK$8+1</f>
        <v>107</v>
      </c>
      <c r="DM8" s="43" t="n">
        <f aca="false">DL$8+1</f>
        <v>108</v>
      </c>
      <c r="DN8" s="43" t="n">
        <f aca="false">DM$8+1</f>
        <v>109</v>
      </c>
      <c r="DO8" s="43" t="n">
        <f aca="false">DN$8+1</f>
        <v>110</v>
      </c>
      <c r="DP8" s="43" t="n">
        <f aca="false">DO$8+1</f>
        <v>111</v>
      </c>
      <c r="DQ8" s="43" t="n">
        <f aca="false">DP$8+1</f>
        <v>112</v>
      </c>
      <c r="DR8" s="43" t="n">
        <f aca="false">DQ$8+1</f>
        <v>113</v>
      </c>
      <c r="DS8" s="43" t="n">
        <f aca="false">DR$8+1</f>
        <v>114</v>
      </c>
      <c r="DT8" s="43" t="n">
        <f aca="false">DS$8+1</f>
        <v>115</v>
      </c>
      <c r="DU8" s="43" t="n">
        <f aca="false">DT$8+1</f>
        <v>116</v>
      </c>
      <c r="DV8" s="43" t="n">
        <f aca="false">DU$8+1</f>
        <v>117</v>
      </c>
      <c r="DW8" s="43" t="n">
        <f aca="false">DV$8+1</f>
        <v>118</v>
      </c>
      <c r="DX8" s="43" t="n">
        <f aca="false">DW$8+1</f>
        <v>119</v>
      </c>
      <c r="DY8" s="43" t="n">
        <f aca="false">DX$8+1</f>
        <v>120</v>
      </c>
      <c r="DZ8" s="43" t="n">
        <f aca="false">DY$8+1</f>
        <v>121</v>
      </c>
      <c r="EA8" s="43" t="n">
        <f aca="false">DZ$8+1</f>
        <v>122</v>
      </c>
      <c r="EB8" s="43" t="n">
        <f aca="false">EA$8+1</f>
        <v>123</v>
      </c>
      <c r="EC8" s="43" t="n">
        <f aca="false">EB$8+1</f>
        <v>124</v>
      </c>
      <c r="ED8" s="43" t="n">
        <f aca="false">EC$8+1</f>
        <v>125</v>
      </c>
      <c r="EE8" s="43" t="n">
        <f aca="false">ED$8+1</f>
        <v>126</v>
      </c>
      <c r="EF8" s="43" t="n">
        <f aca="false">EE$8+1</f>
        <v>127</v>
      </c>
      <c r="EG8" s="43" t="n">
        <f aca="false">EF$8+1</f>
        <v>128</v>
      </c>
      <c r="EH8" s="43" t="n">
        <f aca="false">EG$8+1</f>
        <v>129</v>
      </c>
      <c r="EI8" s="43" t="n">
        <f aca="false">EH$8+1</f>
        <v>130</v>
      </c>
      <c r="EJ8" s="43" t="n">
        <f aca="false">EI$8+1</f>
        <v>131</v>
      </c>
      <c r="EK8" s="43" t="n">
        <f aca="false">EJ$8+1</f>
        <v>132</v>
      </c>
      <c r="EL8" s="43" t="n">
        <f aca="false">EK$8+1</f>
        <v>133</v>
      </c>
      <c r="EM8" s="43" t="n">
        <f aca="false">EL$8+1</f>
        <v>134</v>
      </c>
      <c r="EN8" s="43" t="n">
        <f aca="false">EM$8+1</f>
        <v>135</v>
      </c>
      <c r="EO8" s="43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390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391</v>
      </c>
      <c r="D12" s="11" t="s">
        <v>386</v>
      </c>
      <c r="E12" s="45" t="n">
        <f aca="false">In_NTP+1</f>
        <v>47027</v>
      </c>
      <c r="F12" s="20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392</v>
      </c>
      <c r="D13" s="11" t="s">
        <v>386</v>
      </c>
      <c r="E13" s="45" t="n">
        <f aca="false">In_Closing+1</f>
        <v>46388</v>
      </c>
      <c r="F13" s="20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49" t="n">
        <f aca="false">SUM(J14:EO14)</f>
        <v>1</v>
      </c>
      <c r="J14" s="49" t="n">
        <f aca="false">N(AND(J$3&lt;=$E14,J$4&gt;=$E14))</f>
        <v>0</v>
      </c>
      <c r="K14" s="49" t="n">
        <f aca="false">N(AND(K$3&lt;=$E14,K$4&gt;=$E14))</f>
        <v>0</v>
      </c>
      <c r="L14" s="49" t="n">
        <f aca="false">N(AND(L$3&lt;=$E14,L$4&gt;=$E14))</f>
        <v>0</v>
      </c>
      <c r="M14" s="49" t="n">
        <f aca="false">N(AND(M$3&lt;=$E14,M$4&gt;=$E14))</f>
        <v>0</v>
      </c>
      <c r="N14" s="49" t="n">
        <f aca="false">N(AND(N$3&lt;=$E14,N$4&gt;=$E14))</f>
        <v>0</v>
      </c>
      <c r="O14" s="49" t="n">
        <f aca="false">N(AND(O$3&lt;=$E14,O$4&gt;=$E14))</f>
        <v>0</v>
      </c>
      <c r="P14" s="49" t="n">
        <f aca="false">N(AND(P$3&lt;=$E14,P$4&gt;=$E14))</f>
        <v>0</v>
      </c>
      <c r="Q14" s="49" t="n">
        <f aca="false">N(AND(Q$3&lt;=$E14,Q$4&gt;=$E14))</f>
        <v>0</v>
      </c>
      <c r="R14" s="49" t="n">
        <f aca="false">N(AND(R$3&lt;=$E14,R$4&gt;=$E14))</f>
        <v>0</v>
      </c>
      <c r="S14" s="49" t="n">
        <f aca="false">N(AND(S$3&lt;=$E14,S$4&gt;=$E14))</f>
        <v>0</v>
      </c>
      <c r="T14" s="49" t="n">
        <f aca="false">N(AND(T$3&lt;=$E14,T$4&gt;=$E14))</f>
        <v>0</v>
      </c>
      <c r="U14" s="49" t="n">
        <f aca="false">N(AND(U$3&lt;=$E14,U$4&gt;=$E14))</f>
        <v>0</v>
      </c>
      <c r="V14" s="49" t="n">
        <f aca="false">N(AND(V$3&lt;=$E14,V$4&gt;=$E14))</f>
        <v>0</v>
      </c>
      <c r="W14" s="49" t="n">
        <f aca="false">N(AND(W$3&lt;=$E14,W$4&gt;=$E14))</f>
        <v>0</v>
      </c>
      <c r="X14" s="49" t="n">
        <f aca="false">N(AND(X$3&lt;=$E14,X$4&gt;=$E14))</f>
        <v>0</v>
      </c>
      <c r="Y14" s="49" t="n">
        <f aca="false">N(AND(Y$3&lt;=$E14,Y$4&gt;=$E14))</f>
        <v>1</v>
      </c>
      <c r="Z14" s="49" t="n">
        <f aca="false">N(AND(Z$3&lt;=$E14,Z$4&gt;=$E14))</f>
        <v>0</v>
      </c>
      <c r="AA14" s="49" t="n">
        <f aca="false">N(AND(AA$3&lt;=$E14,AA$4&gt;=$E14))</f>
        <v>0</v>
      </c>
      <c r="AB14" s="49" t="n">
        <f aca="false">N(AND(AB$3&lt;=$E14,AB$4&gt;=$E14))</f>
        <v>0</v>
      </c>
      <c r="AC14" s="49" t="n">
        <f aca="false">N(AND(AC$3&lt;=$E14,AC$4&gt;=$E14))</f>
        <v>0</v>
      </c>
      <c r="AD14" s="49" t="n">
        <f aca="false">N(AND(AD$3&lt;=$E14,AD$4&gt;=$E14))</f>
        <v>0</v>
      </c>
      <c r="AE14" s="49" t="n">
        <f aca="false">N(AND(AE$3&lt;=$E14,AE$4&gt;=$E14))</f>
        <v>0</v>
      </c>
      <c r="AF14" s="49" t="n">
        <f aca="false">N(AND(AF$3&lt;=$E14,AF$4&gt;=$E14))</f>
        <v>0</v>
      </c>
      <c r="AG14" s="49" t="n">
        <f aca="false">N(AND(AG$3&lt;=$E14,AG$4&gt;=$E14))</f>
        <v>0</v>
      </c>
      <c r="AH14" s="49" t="n">
        <f aca="false">N(AND(AH$3&lt;=$E14,AH$4&gt;=$E14))</f>
        <v>0</v>
      </c>
      <c r="AI14" s="49" t="n">
        <f aca="false">N(AND(AI$3&lt;=$E14,AI$4&gt;=$E14))</f>
        <v>0</v>
      </c>
      <c r="AJ14" s="49" t="n">
        <f aca="false">N(AND(AJ$3&lt;=$E14,AJ$4&gt;=$E14))</f>
        <v>0</v>
      </c>
      <c r="AK14" s="49" t="n">
        <f aca="false">N(AND(AK$3&lt;=$E14,AK$4&gt;=$E14))</f>
        <v>0</v>
      </c>
      <c r="AL14" s="49" t="n">
        <f aca="false">N(AND(AL$3&lt;=$E14,AL$4&gt;=$E14))</f>
        <v>0</v>
      </c>
      <c r="AM14" s="49" t="n">
        <f aca="false">N(AND(AM$3&lt;=$E14,AM$4&gt;=$E14))</f>
        <v>0</v>
      </c>
      <c r="AN14" s="49" t="n">
        <f aca="false">N(AND(AN$3&lt;=$E14,AN$4&gt;=$E14))</f>
        <v>0</v>
      </c>
      <c r="AO14" s="49" t="n">
        <f aca="false">N(AND(AO$3&lt;=$E14,AO$4&gt;=$E14))</f>
        <v>0</v>
      </c>
      <c r="AP14" s="49" t="n">
        <f aca="false">N(AND(AP$3&lt;=$E14,AP$4&gt;=$E14))</f>
        <v>0</v>
      </c>
      <c r="AQ14" s="49" t="n">
        <f aca="false">N(AND(AQ$3&lt;=$E14,AQ$4&gt;=$E14))</f>
        <v>0</v>
      </c>
      <c r="AR14" s="49" t="n">
        <f aca="false">N(AND(AR$3&lt;=$E14,AR$4&gt;=$E14))</f>
        <v>0</v>
      </c>
      <c r="AS14" s="49" t="n">
        <f aca="false">N(AND(AS$3&lt;=$E14,AS$4&gt;=$E14))</f>
        <v>0</v>
      </c>
      <c r="AT14" s="49" t="n">
        <f aca="false">N(AND(AT$3&lt;=$E14,AT$4&gt;=$E14))</f>
        <v>0</v>
      </c>
      <c r="AU14" s="49" t="n">
        <f aca="false">N(AND(AU$3&lt;=$E14,AU$4&gt;=$E14))</f>
        <v>0</v>
      </c>
      <c r="AV14" s="49" t="n">
        <f aca="false">N(AND(AV$3&lt;=$E14,AV$4&gt;=$E14))</f>
        <v>0</v>
      </c>
      <c r="AW14" s="49" t="n">
        <f aca="false">N(AND(AW$3&lt;=$E14,AW$4&gt;=$E14))</f>
        <v>0</v>
      </c>
      <c r="AX14" s="49" t="n">
        <f aca="false">N(AND(AX$3&lt;=$E14,AX$4&gt;=$E14))</f>
        <v>0</v>
      </c>
      <c r="AY14" s="49" t="n">
        <f aca="false">N(AND(AY$3&lt;=$E14,AY$4&gt;=$E14))</f>
        <v>0</v>
      </c>
      <c r="AZ14" s="49" t="n">
        <f aca="false">N(AND(AZ$3&lt;=$E14,AZ$4&gt;=$E14))</f>
        <v>0</v>
      </c>
      <c r="BA14" s="49" t="n">
        <f aca="false">N(AND(BA$3&lt;=$E14,BA$4&gt;=$E14))</f>
        <v>0</v>
      </c>
      <c r="BB14" s="49" t="n">
        <f aca="false">N(AND(BB$3&lt;=$E14,BB$4&gt;=$E14))</f>
        <v>0</v>
      </c>
      <c r="BC14" s="49" t="n">
        <f aca="false">N(AND(BC$3&lt;=$E14,BC$4&gt;=$E14))</f>
        <v>0</v>
      </c>
      <c r="BD14" s="49" t="n">
        <f aca="false">N(AND(BD$3&lt;=$E14,BD$4&gt;=$E14))</f>
        <v>0</v>
      </c>
      <c r="BE14" s="49" t="n">
        <f aca="false">N(AND(BE$3&lt;=$E14,BE$4&gt;=$E14))</f>
        <v>0</v>
      </c>
      <c r="BF14" s="49" t="n">
        <f aca="false">N(AND(BF$3&lt;=$E14,BF$4&gt;=$E14))</f>
        <v>0</v>
      </c>
      <c r="BG14" s="49" t="n">
        <f aca="false">N(AND(BG$3&lt;=$E14,BG$4&gt;=$E14))</f>
        <v>0</v>
      </c>
      <c r="BH14" s="49" t="n">
        <f aca="false">N(AND(BH$3&lt;=$E14,BH$4&gt;=$E14))</f>
        <v>0</v>
      </c>
      <c r="BI14" s="49" t="n">
        <f aca="false">N(AND(BI$3&lt;=$E14,BI$4&gt;=$E14))</f>
        <v>0</v>
      </c>
      <c r="BJ14" s="49" t="n">
        <f aca="false">N(AND(BJ$3&lt;=$E14,BJ$4&gt;=$E14))</f>
        <v>0</v>
      </c>
      <c r="BK14" s="49" t="n">
        <f aca="false">N(AND(BK$3&lt;=$E14,BK$4&gt;=$E14))</f>
        <v>0</v>
      </c>
      <c r="BL14" s="49" t="n">
        <f aca="false">N(AND(BL$3&lt;=$E14,BL$4&gt;=$E14))</f>
        <v>0</v>
      </c>
      <c r="BM14" s="49" t="n">
        <f aca="false">N(AND(BM$3&lt;=$E14,BM$4&gt;=$E14))</f>
        <v>0</v>
      </c>
      <c r="BN14" s="49" t="n">
        <f aca="false">N(AND(BN$3&lt;=$E14,BN$4&gt;=$E14))</f>
        <v>0</v>
      </c>
      <c r="BO14" s="49" t="n">
        <f aca="false">N(AND(BO$3&lt;=$E14,BO$4&gt;=$E14))</f>
        <v>0</v>
      </c>
      <c r="BP14" s="49" t="n">
        <f aca="false">N(AND(BP$3&lt;=$E14,BP$4&gt;=$E14))</f>
        <v>0</v>
      </c>
      <c r="BQ14" s="49" t="n">
        <f aca="false">N(AND(BQ$3&lt;=$E14,BQ$4&gt;=$E14))</f>
        <v>0</v>
      </c>
      <c r="BR14" s="49" t="n">
        <f aca="false">N(AND(BR$3&lt;=$E14,BR$4&gt;=$E14))</f>
        <v>0</v>
      </c>
      <c r="BS14" s="49" t="n">
        <f aca="false">N(AND(BS$3&lt;=$E14,BS$4&gt;=$E14))</f>
        <v>0</v>
      </c>
      <c r="BT14" s="49" t="n">
        <f aca="false">N(AND(BT$3&lt;=$E14,BT$4&gt;=$E14))</f>
        <v>0</v>
      </c>
      <c r="BU14" s="49" t="n">
        <f aca="false">N(AND(BU$3&lt;=$E14,BU$4&gt;=$E14))</f>
        <v>0</v>
      </c>
      <c r="BV14" s="49" t="n">
        <f aca="false">N(AND(BV$3&lt;=$E14,BV$4&gt;=$E14))</f>
        <v>0</v>
      </c>
      <c r="BW14" s="49" t="n">
        <f aca="false">N(AND(BW$3&lt;=$E14,BW$4&gt;=$E14))</f>
        <v>0</v>
      </c>
      <c r="BX14" s="49" t="n">
        <f aca="false">N(AND(BX$3&lt;=$E14,BX$4&gt;=$E14))</f>
        <v>0</v>
      </c>
      <c r="BY14" s="49" t="n">
        <f aca="false">N(AND(BY$3&lt;=$E14,BY$4&gt;=$E14))</f>
        <v>0</v>
      </c>
      <c r="BZ14" s="49" t="n">
        <f aca="false">N(AND(BZ$3&lt;=$E14,BZ$4&gt;=$E14))</f>
        <v>0</v>
      </c>
      <c r="CA14" s="49" t="n">
        <f aca="false">N(AND(CA$3&lt;=$E14,CA$4&gt;=$E14))</f>
        <v>0</v>
      </c>
      <c r="CB14" s="49" t="n">
        <f aca="false">N(AND(CB$3&lt;=$E14,CB$4&gt;=$E14))</f>
        <v>0</v>
      </c>
      <c r="CC14" s="49" t="n">
        <f aca="false">N(AND(CC$3&lt;=$E14,CC$4&gt;=$E14))</f>
        <v>0</v>
      </c>
      <c r="CD14" s="49" t="n">
        <f aca="false">N(AND(CD$3&lt;=$E14,CD$4&gt;=$E14))</f>
        <v>0</v>
      </c>
      <c r="CE14" s="49" t="n">
        <f aca="false">N(AND(CE$3&lt;=$E14,CE$4&gt;=$E14))</f>
        <v>0</v>
      </c>
      <c r="CF14" s="49" t="n">
        <f aca="false">N(AND(CF$3&lt;=$E14,CF$4&gt;=$E14))</f>
        <v>0</v>
      </c>
      <c r="CG14" s="49" t="n">
        <f aca="false">N(AND(CG$3&lt;=$E14,CG$4&gt;=$E14))</f>
        <v>0</v>
      </c>
      <c r="CH14" s="49" t="n">
        <f aca="false">N(AND(CH$3&lt;=$E14,CH$4&gt;=$E14))</f>
        <v>0</v>
      </c>
      <c r="CI14" s="49" t="n">
        <f aca="false">N(AND(CI$3&lt;=$E14,CI$4&gt;=$E14))</f>
        <v>0</v>
      </c>
      <c r="CJ14" s="49" t="n">
        <f aca="false">N(AND(CJ$3&lt;=$E14,CJ$4&gt;=$E14))</f>
        <v>0</v>
      </c>
      <c r="CK14" s="49" t="n">
        <f aca="false">N(AND(CK$3&lt;=$E14,CK$4&gt;=$E14))</f>
        <v>0</v>
      </c>
      <c r="CL14" s="49" t="n">
        <f aca="false">N(AND(CL$3&lt;=$E14,CL$4&gt;=$E14))</f>
        <v>0</v>
      </c>
      <c r="CM14" s="49" t="n">
        <f aca="false">N(AND(CM$3&lt;=$E14,CM$4&gt;=$E14))</f>
        <v>0</v>
      </c>
      <c r="CN14" s="49" t="n">
        <f aca="false">N(AND(CN$3&lt;=$E14,CN$4&gt;=$E14))</f>
        <v>0</v>
      </c>
      <c r="CO14" s="49" t="n">
        <f aca="false">N(AND(CO$3&lt;=$E14,CO$4&gt;=$E14))</f>
        <v>0</v>
      </c>
      <c r="CP14" s="49" t="n">
        <f aca="false">N(AND(CP$3&lt;=$E14,CP$4&gt;=$E14))</f>
        <v>0</v>
      </c>
      <c r="CQ14" s="49" t="n">
        <f aca="false">N(AND(CQ$3&lt;=$E14,CQ$4&gt;=$E14))</f>
        <v>0</v>
      </c>
      <c r="CR14" s="49" t="n">
        <f aca="false">N(AND(CR$3&lt;=$E14,CR$4&gt;=$E14))</f>
        <v>0</v>
      </c>
      <c r="CS14" s="49" t="n">
        <f aca="false">N(AND(CS$3&lt;=$E14,CS$4&gt;=$E14))</f>
        <v>0</v>
      </c>
      <c r="CT14" s="49" t="n">
        <f aca="false">N(AND(CT$3&lt;=$E14,CT$4&gt;=$E14))</f>
        <v>0</v>
      </c>
      <c r="CU14" s="49" t="n">
        <f aca="false">N(AND(CU$3&lt;=$E14,CU$4&gt;=$E14))</f>
        <v>0</v>
      </c>
      <c r="CV14" s="49" t="n">
        <f aca="false">N(AND(CV$3&lt;=$E14,CV$4&gt;=$E14))</f>
        <v>0</v>
      </c>
      <c r="CW14" s="49" t="n">
        <f aca="false">N(AND(CW$3&lt;=$E14,CW$4&gt;=$E14))</f>
        <v>0</v>
      </c>
      <c r="CX14" s="49" t="n">
        <f aca="false">N(AND(CX$3&lt;=$E14,CX$4&gt;=$E14))</f>
        <v>0</v>
      </c>
      <c r="CY14" s="49" t="n">
        <f aca="false">N(AND(CY$3&lt;=$E14,CY$4&gt;=$E14))</f>
        <v>0</v>
      </c>
      <c r="CZ14" s="49" t="n">
        <f aca="false">N(AND(CZ$3&lt;=$E14,CZ$4&gt;=$E14))</f>
        <v>0</v>
      </c>
      <c r="DA14" s="49" t="n">
        <f aca="false">N(AND(DA$3&lt;=$E14,DA$4&gt;=$E14))</f>
        <v>0</v>
      </c>
      <c r="DB14" s="49" t="n">
        <f aca="false">N(AND(DB$3&lt;=$E14,DB$4&gt;=$E14))</f>
        <v>0</v>
      </c>
      <c r="DC14" s="49" t="n">
        <f aca="false">N(AND(DC$3&lt;=$E14,DC$4&gt;=$E14))</f>
        <v>0</v>
      </c>
      <c r="DD14" s="49" t="n">
        <f aca="false">N(AND(DD$3&lt;=$E14,DD$4&gt;=$E14))</f>
        <v>0</v>
      </c>
      <c r="DE14" s="49" t="n">
        <f aca="false">N(AND(DE$3&lt;=$E14,DE$4&gt;=$E14))</f>
        <v>0</v>
      </c>
      <c r="DF14" s="49" t="n">
        <f aca="false">N(AND(DF$3&lt;=$E14,DF$4&gt;=$E14))</f>
        <v>0</v>
      </c>
      <c r="DG14" s="49" t="n">
        <f aca="false">N(AND(DG$3&lt;=$E14,DG$4&gt;=$E14))</f>
        <v>0</v>
      </c>
      <c r="DH14" s="49" t="n">
        <f aca="false">N(AND(DH$3&lt;=$E14,DH$4&gt;=$E14))</f>
        <v>0</v>
      </c>
      <c r="DI14" s="49" t="n">
        <f aca="false">N(AND(DI$3&lt;=$E14,DI$4&gt;=$E14))</f>
        <v>0</v>
      </c>
      <c r="DJ14" s="49" t="n">
        <f aca="false">N(AND(DJ$3&lt;=$E14,DJ$4&gt;=$E14))</f>
        <v>0</v>
      </c>
      <c r="DK14" s="49" t="n">
        <f aca="false">N(AND(DK$3&lt;=$E14,DK$4&gt;=$E14))</f>
        <v>0</v>
      </c>
      <c r="DL14" s="49" t="n">
        <f aca="false">N(AND(DL$3&lt;=$E14,DL$4&gt;=$E14))</f>
        <v>0</v>
      </c>
      <c r="DM14" s="49" t="n">
        <f aca="false">N(AND(DM$3&lt;=$E14,DM$4&gt;=$E14))</f>
        <v>0</v>
      </c>
      <c r="DN14" s="49" t="n">
        <f aca="false">N(AND(DN$3&lt;=$E14,DN$4&gt;=$E14))</f>
        <v>0</v>
      </c>
      <c r="DO14" s="49" t="n">
        <f aca="false">N(AND(DO$3&lt;=$E14,DO$4&gt;=$E14))</f>
        <v>0</v>
      </c>
      <c r="DP14" s="49" t="n">
        <f aca="false">N(AND(DP$3&lt;=$E14,DP$4&gt;=$E14))</f>
        <v>0</v>
      </c>
      <c r="DQ14" s="49" t="n">
        <f aca="false">N(AND(DQ$3&lt;=$E14,DQ$4&gt;=$E14))</f>
        <v>0</v>
      </c>
      <c r="DR14" s="49" t="n">
        <f aca="false">N(AND(DR$3&lt;=$E14,DR$4&gt;=$E14))</f>
        <v>0</v>
      </c>
      <c r="DS14" s="49" t="n">
        <f aca="false">N(AND(DS$3&lt;=$E14,DS$4&gt;=$E14))</f>
        <v>0</v>
      </c>
      <c r="DT14" s="49" t="n">
        <f aca="false">N(AND(DT$3&lt;=$E14,DT$4&gt;=$E14))</f>
        <v>0</v>
      </c>
      <c r="DU14" s="49" t="n">
        <f aca="false">N(AND(DU$3&lt;=$E14,DU$4&gt;=$E14))</f>
        <v>0</v>
      </c>
      <c r="DV14" s="49" t="n">
        <f aca="false">N(AND(DV$3&lt;=$E14,DV$4&gt;=$E14))</f>
        <v>0</v>
      </c>
      <c r="DW14" s="49" t="n">
        <f aca="false">N(AND(DW$3&lt;=$E14,DW$4&gt;=$E14))</f>
        <v>0</v>
      </c>
      <c r="DX14" s="49" t="n">
        <f aca="false">N(AND(DX$3&lt;=$E14,DX$4&gt;=$E14))</f>
        <v>0</v>
      </c>
      <c r="DY14" s="49" t="n">
        <f aca="false">N(AND(DY$3&lt;=$E14,DY$4&gt;=$E14))</f>
        <v>0</v>
      </c>
      <c r="DZ14" s="49" t="n">
        <f aca="false">N(AND(DZ$3&lt;=$E14,DZ$4&gt;=$E14))</f>
        <v>0</v>
      </c>
      <c r="EA14" s="49" t="n">
        <f aca="false">N(AND(EA$3&lt;=$E14,EA$4&gt;=$E14))</f>
        <v>0</v>
      </c>
      <c r="EB14" s="49" t="n">
        <f aca="false">N(AND(EB$3&lt;=$E14,EB$4&gt;=$E14))</f>
        <v>0</v>
      </c>
      <c r="EC14" s="49" t="n">
        <f aca="false">N(AND(EC$3&lt;=$E14,EC$4&gt;=$E14))</f>
        <v>0</v>
      </c>
      <c r="ED14" s="49" t="n">
        <f aca="false">N(AND(ED$3&lt;=$E14,ED$4&gt;=$E14))</f>
        <v>0</v>
      </c>
      <c r="EE14" s="49" t="n">
        <f aca="false">N(AND(EE$3&lt;=$E14,EE$4&gt;=$E14))</f>
        <v>0</v>
      </c>
      <c r="EF14" s="49" t="n">
        <f aca="false">N(AND(EF$3&lt;=$E14,EF$4&gt;=$E14))</f>
        <v>0</v>
      </c>
      <c r="EG14" s="49" t="n">
        <f aca="false">N(AND(EG$3&lt;=$E14,EG$4&gt;=$E14))</f>
        <v>0</v>
      </c>
      <c r="EH14" s="49" t="n">
        <f aca="false">N(AND(EH$3&lt;=$E14,EH$4&gt;=$E14))</f>
        <v>0</v>
      </c>
      <c r="EI14" s="49" t="n">
        <f aca="false">N(AND(EI$3&lt;=$E14,EI$4&gt;=$E14))</f>
        <v>0</v>
      </c>
      <c r="EJ14" s="49" t="n">
        <f aca="false">N(AND(EJ$3&lt;=$E14,EJ$4&gt;=$E14))</f>
        <v>0</v>
      </c>
      <c r="EK14" s="49" t="n">
        <f aca="false">N(AND(EK$3&lt;=$E14,EK$4&gt;=$E14))</f>
        <v>0</v>
      </c>
      <c r="EL14" s="49" t="n">
        <f aca="false">N(AND(EL$3&lt;=$E14,EL$4&gt;=$E14))</f>
        <v>0</v>
      </c>
      <c r="EM14" s="49" t="n">
        <f aca="false">N(AND(EM$3&lt;=$E14,EM$4&gt;=$E14))</f>
        <v>0</v>
      </c>
      <c r="EN14" s="49" t="n">
        <f aca="false">N(AND(EN$3&lt;=$E14,EN$4&gt;=$E14))</f>
        <v>0</v>
      </c>
      <c r="EO14" s="49" t="n">
        <f aca="false">N(AND(EO$3&lt;=$E14,EO$4&gt;=$E14))</f>
        <v>0</v>
      </c>
    </row>
    <row r="15" customFormat="false" ht="15" hidden="false" customHeight="false" outlineLevel="0" collapsed="false">
      <c r="C15" s="0" t="s">
        <v>393</v>
      </c>
      <c r="D15" s="11" t="s">
        <v>147</v>
      </c>
      <c r="E15" s="43" t="n">
        <f aca="false">MATCH(In_COD,$J$4:$EO$4,0)</f>
        <v>16</v>
      </c>
    </row>
    <row r="16" customFormat="false" ht="15" hidden="false" customHeight="false" outlineLevel="0" collapsed="false">
      <c r="C16" s="0" t="s">
        <v>310</v>
      </c>
      <c r="D16" s="11" t="s">
        <v>43</v>
      </c>
      <c r="E16" s="45" t="n">
        <f aca="false">In_COD+1</f>
        <v>47757</v>
      </c>
      <c r="F16" s="45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0</v>
      </c>
      <c r="S16" s="54" t="n">
        <f aca="false">MAX(0,(MIN($F16,S$4)-MAX($E16,S$3)+1)/S$5)</f>
        <v>0</v>
      </c>
      <c r="T16" s="54" t="n">
        <f aca="false">MAX(0,(MIN($F16,T$4)-MAX($E16,T$3)+1)/T$5)</f>
        <v>0</v>
      </c>
      <c r="U16" s="54" t="n">
        <f aca="false">MAX(0,(MIN($F16,U$4)-MAX($E16,U$3)+1)/U$5)</f>
        <v>0</v>
      </c>
      <c r="V16" s="54" t="n">
        <f aca="false">MAX(0,(MIN($F16,V$4)-MAX($E16,V$3)+1)/V$5)</f>
        <v>0</v>
      </c>
      <c r="W16" s="54" t="n">
        <f aca="false">MAX(0,(MIN($F16,W$4)-MAX($E16,W$3)+1)/W$5)</f>
        <v>0</v>
      </c>
      <c r="X16" s="54" t="n">
        <f aca="false">MAX(0,(MIN($F16,X$4)-MAX($E16,X$3)+1)/X$5)</f>
        <v>0</v>
      </c>
      <c r="Y16" s="54" t="n">
        <f aca="false">MAX(0,(MIN($F16,Y$4)-MAX($E16,Y$3)+1)/Y$5)</f>
        <v>0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394</v>
      </c>
      <c r="D17" s="11" t="s">
        <v>43</v>
      </c>
      <c r="E17" s="45" t="n">
        <f aca="false">In_NTP+1</f>
        <v>47027</v>
      </c>
      <c r="F17" s="45" t="n">
        <f aca="false">EDATE(In_COD,In_Life*Months_In_Year)</f>
        <v>58714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1</v>
      </c>
      <c r="S17" s="54" t="n">
        <f aca="false">MAX(0,(MIN($F17,S$4)-MAX($E17,S$3)+1)/S$5)</f>
        <v>1</v>
      </c>
      <c r="T17" s="54" t="n">
        <f aca="false">MAX(0,(MIN($F17,T$4)-MAX($E17,T$3)+1)/T$5)</f>
        <v>1</v>
      </c>
      <c r="U17" s="54" t="n">
        <f aca="false">MAX(0,(MIN($F17,U$4)-MAX($E17,U$3)+1)/U$5)</f>
        <v>1</v>
      </c>
      <c r="V17" s="54" t="n">
        <f aca="false">MAX(0,(MIN($F17,V$4)-MAX($E17,V$3)+1)/V$5)</f>
        <v>1</v>
      </c>
      <c r="W17" s="54" t="n">
        <f aca="false">MAX(0,(MIN($F17,W$4)-MAX($E17,W$3)+1)/W$5)</f>
        <v>1</v>
      </c>
      <c r="X17" s="54" t="n">
        <f aca="false">MAX(0,(MIN($F17,X$4)-MAX($E17,X$3)+1)/X$5)</f>
        <v>1</v>
      </c>
      <c r="Y17" s="54" t="n">
        <f aca="false">MAX(0,(MIN($F17,Y$4)-MAX($E17,Y$3)+1)/Y$5)</f>
        <v>1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1</v>
      </c>
      <c r="CU17" s="54" t="n">
        <f aca="false">MAX(0,(MIN($F17,CU$4)-MAX($E17,CU$3)+1)/CU$5)</f>
        <v>1</v>
      </c>
      <c r="CV17" s="54" t="n">
        <f aca="false">MAX(0,(MIN($F17,CV$4)-MAX($E17,CV$3)+1)/CV$5)</f>
        <v>1</v>
      </c>
      <c r="CW17" s="54" t="n">
        <f aca="false">MAX(0,(MIN($F17,CW$4)-MAX($E17,CW$3)+1)/CW$5)</f>
        <v>1</v>
      </c>
      <c r="CX17" s="54" t="n">
        <f aca="false">MAX(0,(MIN($F17,CX$4)-MAX($E17,CX$3)+1)/CX$5)</f>
        <v>1</v>
      </c>
      <c r="CY17" s="54" t="n">
        <f aca="false">MAX(0,(MIN($F17,CY$4)-MAX($E17,CY$3)+1)/CY$5)</f>
        <v>1</v>
      </c>
      <c r="CZ17" s="54" t="n">
        <f aca="false">MAX(0,(MIN($F17,CZ$4)-MAX($E17,CZ$3)+1)/CZ$5)</f>
        <v>1</v>
      </c>
      <c r="DA17" s="54" t="n">
        <f aca="false">MAX(0,(MIN($F17,DA$4)-MAX($E17,DA$3)+1)/DA$5)</f>
        <v>1</v>
      </c>
      <c r="DB17" s="54" t="n">
        <f aca="false">MAX(0,(MIN($F17,DB$4)-MAX($E17,DB$3)+1)/DB$5)</f>
        <v>1</v>
      </c>
      <c r="DC17" s="54" t="n">
        <f aca="false">MAX(0,(MIN($F17,DC$4)-MAX($E17,DC$3)+1)/DC$5)</f>
        <v>1</v>
      </c>
      <c r="DD17" s="54" t="n">
        <f aca="false">MAX(0,(MIN($F17,DD$4)-MAX($E17,DD$3)+1)/DD$5)</f>
        <v>1</v>
      </c>
      <c r="DE17" s="54" t="n">
        <f aca="false">MAX(0,(MIN($F17,DE$4)-MAX($E17,DE$3)+1)/DE$5)</f>
        <v>1</v>
      </c>
      <c r="DF17" s="54" t="n">
        <f aca="false">MAX(0,(MIN($F17,DF$4)-MAX($E17,DF$3)+1)/DF$5)</f>
        <v>1</v>
      </c>
      <c r="DG17" s="54" t="n">
        <f aca="false">MAX(0,(MIN($F17,DG$4)-MAX($E17,DG$3)+1)/DG$5)</f>
        <v>1</v>
      </c>
      <c r="DH17" s="54" t="n">
        <f aca="false">MAX(0,(MIN($F17,DH$4)-MAX($E17,DH$3)+1)/DH$5)</f>
        <v>1</v>
      </c>
      <c r="DI17" s="54" t="n">
        <f aca="false">MAX(0,(MIN($F17,DI$4)-MAX($E17,DI$3)+1)/DI$5)</f>
        <v>1</v>
      </c>
      <c r="DJ17" s="54" t="n">
        <f aca="false">MAX(0,(MIN($F17,DJ$4)-MAX($E17,DJ$3)+1)/DJ$5)</f>
        <v>1</v>
      </c>
      <c r="DK17" s="54" t="n">
        <f aca="false">MAX(0,(MIN($F17,DK$4)-MAX($E17,DK$3)+1)/DK$5)</f>
        <v>1</v>
      </c>
      <c r="DL17" s="54" t="n">
        <f aca="false">MAX(0,(MIN($F17,DL$4)-MAX($E17,DL$3)+1)/DL$5)</f>
        <v>1</v>
      </c>
      <c r="DM17" s="54" t="n">
        <f aca="false">MAX(0,(MIN($F17,DM$4)-MAX($E17,DM$3)+1)/DM$5)</f>
        <v>1</v>
      </c>
      <c r="DN17" s="54" t="n">
        <f aca="false">MAX(0,(MIN($F17,DN$4)-MAX($E17,DN$3)+1)/DN$5)</f>
        <v>1</v>
      </c>
      <c r="DO17" s="54" t="n">
        <f aca="false">MAX(0,(MIN($F17,DO$4)-MAX($E17,DO$3)+1)/DO$5)</f>
        <v>1</v>
      </c>
      <c r="DP17" s="54" t="n">
        <f aca="false">MAX(0,(MIN($F17,DP$4)-MAX($E17,DP$3)+1)/DP$5)</f>
        <v>1</v>
      </c>
      <c r="DQ17" s="54" t="n">
        <f aca="false">MAX(0,(MIN($F17,DQ$4)-MAX($E17,DQ$3)+1)/DQ$5)</f>
        <v>1</v>
      </c>
      <c r="DR17" s="54" t="n">
        <f aca="false">MAX(0,(MIN($F17,DR$4)-MAX($E17,DR$3)+1)/DR$5)</f>
        <v>1</v>
      </c>
      <c r="DS17" s="54" t="n">
        <f aca="false">MAX(0,(MIN($F17,DS$4)-MAX($E17,DS$3)+1)/DS$5)</f>
        <v>1</v>
      </c>
      <c r="DT17" s="54" t="n">
        <f aca="false">MAX(0,(MIN($F17,DT$4)-MAX($E17,DT$3)+1)/DT$5)</f>
        <v>1</v>
      </c>
      <c r="DU17" s="54" t="n">
        <f aca="false">MAX(0,(MIN($F17,DU$4)-MAX($E17,DU$3)+1)/DU$5)</f>
        <v>1</v>
      </c>
      <c r="DV17" s="54" t="n">
        <f aca="false">MAX(0,(MIN($F17,DV$4)-MAX($E17,DV$3)+1)/DV$5)</f>
        <v>1</v>
      </c>
      <c r="DW17" s="54" t="n">
        <f aca="false">MAX(0,(MIN($F17,DW$4)-MAX($E17,DW$3)+1)/DW$5)</f>
        <v>1</v>
      </c>
      <c r="DX17" s="54" t="n">
        <f aca="false">MAX(0,(MIN($F17,DX$4)-MAX($E17,DX$3)+1)/DX$5)</f>
        <v>1</v>
      </c>
      <c r="DY17" s="54" t="n">
        <f aca="false">MAX(0,(MIN($F17,DY$4)-MAX($E17,DY$3)+1)/DY$5)</f>
        <v>1</v>
      </c>
      <c r="DZ17" s="54" t="n">
        <f aca="false">MAX(0,(MIN($F17,DZ$4)-MAX($E17,DZ$3)+1)/DZ$5)</f>
        <v>1</v>
      </c>
      <c r="EA17" s="54" t="n">
        <f aca="false">MAX(0,(MIN($F17,EA$4)-MAX($E17,EA$3)+1)/EA$5)</f>
        <v>1</v>
      </c>
      <c r="EB17" s="54" t="n">
        <f aca="false">MAX(0,(MIN($F17,EB$4)-MAX($E17,EB$3)+1)/EB$5)</f>
        <v>1</v>
      </c>
      <c r="EC17" s="54" t="n">
        <f aca="false">MAX(0,(MIN($F17,EC$4)-MAX($E17,EC$3)+1)/EC$5)</f>
        <v>1</v>
      </c>
      <c r="ED17" s="54" t="n">
        <f aca="false">MAX(0,(MIN($F17,ED$4)-MAX($E17,ED$3)+1)/ED$5)</f>
        <v>1</v>
      </c>
      <c r="EE17" s="54" t="n">
        <f aca="false">MAX(0,(MIN($F17,EE$4)-MAX($E17,EE$3)+1)/EE$5)</f>
        <v>1</v>
      </c>
      <c r="EF17" s="54" t="n">
        <f aca="false">MAX(0,(MIN($F17,EF$4)-MAX($E17,EF$3)+1)/EF$5)</f>
        <v>1</v>
      </c>
      <c r="EG17" s="54" t="n">
        <f aca="false">MAX(0,(MIN($F17,EG$4)-MAX($E17,EG$3)+1)/EG$5)</f>
        <v>1</v>
      </c>
      <c r="EH17" s="54" t="n">
        <f aca="false">MAX(0,(MIN($F17,EH$4)-MAX($E17,EH$3)+1)/EH$5)</f>
        <v>1</v>
      </c>
      <c r="EI17" s="54" t="n">
        <f aca="false">MAX(0,(MIN($F17,EI$4)-MAX($E17,EI$3)+1)/EI$5)</f>
        <v>1</v>
      </c>
      <c r="EJ17" s="54" t="n">
        <f aca="false">MAX(0,(MIN($F17,EJ$4)-MAX($E17,EJ$3)+1)/EJ$5)</f>
        <v>1</v>
      </c>
      <c r="EK17" s="54" t="n">
        <f aca="false">MAX(0,(MIN($F17,EK$4)-MAX($E17,EK$3)+1)/EK$5)</f>
        <v>1</v>
      </c>
      <c r="EL17" s="54" t="n">
        <f aca="false">MAX(0,(MIN($F17,EL$4)-MAX($E17,EL$3)+1)/EL$5)</f>
        <v>1</v>
      </c>
      <c r="EM17" s="54" t="n">
        <f aca="false">MAX(0,(MIN($F17,EM$4)-MAX($E17,EM$3)+1)/EM$5)</f>
        <v>1</v>
      </c>
      <c r="EN17" s="54" t="n">
        <f aca="false">MAX(0,(MIN($F17,EN$4)-MAX($E17,EN$3)+1)/EN$5)</f>
        <v>1</v>
      </c>
      <c r="EO17" s="54" t="n">
        <f aca="false">MAX(0,(MIN($F17,EO$4)-MAX($E17,EO$3)+1)/EO$5)</f>
        <v>1</v>
      </c>
    </row>
    <row r="18" customFormat="false" ht="15" hidden="false" customHeight="false" outlineLevel="0" collapsed="false">
      <c r="C18" s="0" t="s">
        <v>395</v>
      </c>
      <c r="D18" s="11" t="s">
        <v>43</v>
      </c>
      <c r="E18" s="45" t="n">
        <f aca="false">In_COD+1</f>
        <v>47757</v>
      </c>
      <c r="F18" s="45" t="n">
        <f aca="false">EDATE(In_COD,In_Debt_Tenor*Months_In_Year)</f>
        <v>54331</v>
      </c>
      <c r="J18" s="54" t="n">
        <f aca="false">MAX(0,(MIN($F18,J$4)-MAX($E18,J$3)+1)/J$5)</f>
        <v>0</v>
      </c>
      <c r="K18" s="54" t="n">
        <f aca="false">MAX(0,(MIN($F18,K$4)-MAX($E18,K$3)+1)/K$5)</f>
        <v>0</v>
      </c>
      <c r="L18" s="54" t="n">
        <f aca="false">MAX(0,(MIN($F18,L$4)-MAX($E18,L$3)+1)/L$5)</f>
        <v>0</v>
      </c>
      <c r="M18" s="54" t="n">
        <f aca="false">MAX(0,(MIN($F18,M$4)-MAX($E18,M$3)+1)/M$5)</f>
        <v>0</v>
      </c>
      <c r="N18" s="54" t="n">
        <f aca="false">MAX(0,(MIN($F18,N$4)-MAX($E18,N$3)+1)/N$5)</f>
        <v>0</v>
      </c>
      <c r="O18" s="54" t="n">
        <f aca="false">MAX(0,(MIN($F18,O$4)-MAX($E18,O$3)+1)/O$5)</f>
        <v>0</v>
      </c>
      <c r="P18" s="54" t="n">
        <f aca="false">MAX(0,(MIN($F18,P$4)-MAX($E18,P$3)+1)/P$5)</f>
        <v>0</v>
      </c>
      <c r="Q18" s="54" t="n">
        <f aca="false">MAX(0,(MIN($F18,Q$4)-MAX($E18,Q$3)+1)/Q$5)</f>
        <v>0</v>
      </c>
      <c r="R18" s="54" t="n">
        <f aca="false">MAX(0,(MIN($F18,R$4)-MAX($E18,R$3)+1)/R$5)</f>
        <v>0</v>
      </c>
      <c r="S18" s="54" t="n">
        <f aca="false">MAX(0,(MIN($F18,S$4)-MAX($E18,S$3)+1)/S$5)</f>
        <v>0</v>
      </c>
      <c r="T18" s="54" t="n">
        <f aca="false">MAX(0,(MIN($F18,T$4)-MAX($E18,T$3)+1)/T$5)</f>
        <v>0</v>
      </c>
      <c r="U18" s="54" t="n">
        <f aca="false">MAX(0,(MIN($F18,U$4)-MAX($E18,U$3)+1)/U$5)</f>
        <v>0</v>
      </c>
      <c r="V18" s="54" t="n">
        <f aca="false">MAX(0,(MIN($F18,V$4)-MAX($E18,V$3)+1)/V$5)</f>
        <v>0</v>
      </c>
      <c r="W18" s="54" t="n">
        <f aca="false">MAX(0,(MIN($F18,W$4)-MAX($E18,W$3)+1)/W$5)</f>
        <v>0</v>
      </c>
      <c r="X18" s="54" t="n">
        <f aca="false">MAX(0,(MIN($F18,X$4)-MAX($E18,X$3)+1)/X$5)</f>
        <v>0</v>
      </c>
      <c r="Y18" s="54" t="n">
        <f aca="false">MAX(0,(MIN($F18,Y$4)-MAX($E18,Y$3)+1)/Y$5)</f>
        <v>0</v>
      </c>
      <c r="Z18" s="54" t="n">
        <f aca="false">MAX(0,(MIN($F18,Z$4)-MAX($E18,Z$3)+1)/Z$5)</f>
        <v>1</v>
      </c>
      <c r="AA18" s="54" t="n">
        <f aca="false">MAX(0,(MIN($F18,AA$4)-MAX($E18,AA$3)+1)/AA$5)</f>
        <v>1</v>
      </c>
      <c r="AB18" s="54" t="n">
        <f aca="false">MAX(0,(MIN($F18,AB$4)-MAX($E18,AB$3)+1)/AB$5)</f>
        <v>1</v>
      </c>
      <c r="AC18" s="54" t="n">
        <f aca="false">MAX(0,(MIN($F18,AC$4)-MAX($E18,AC$3)+1)/AC$5)</f>
        <v>1</v>
      </c>
      <c r="AD18" s="54" t="n">
        <f aca="false">MAX(0,(MIN($F18,AD$4)-MAX($E18,AD$3)+1)/AD$5)</f>
        <v>1</v>
      </c>
      <c r="AE18" s="54" t="n">
        <f aca="false">MAX(0,(MIN($F18,AE$4)-MAX($E18,AE$3)+1)/AE$5)</f>
        <v>1</v>
      </c>
      <c r="AF18" s="54" t="n">
        <f aca="false">MAX(0,(MIN($F18,AF$4)-MAX($E18,AF$3)+1)/AF$5)</f>
        <v>1</v>
      </c>
      <c r="AG18" s="54" t="n">
        <f aca="false">MAX(0,(MIN($F18,AG$4)-MAX($E18,AG$3)+1)/AG$5)</f>
        <v>1</v>
      </c>
      <c r="AH18" s="54" t="n">
        <f aca="false">MAX(0,(MIN($F18,AH$4)-MAX($E18,AH$3)+1)/AH$5)</f>
        <v>1</v>
      </c>
      <c r="AI18" s="54" t="n">
        <f aca="false">MAX(0,(MIN($F18,AI$4)-MAX($E18,AI$3)+1)/AI$5)</f>
        <v>1</v>
      </c>
      <c r="AJ18" s="54" t="n">
        <f aca="false">MAX(0,(MIN($F18,AJ$4)-MAX($E18,AJ$3)+1)/AJ$5)</f>
        <v>1</v>
      </c>
      <c r="AK18" s="54" t="n">
        <f aca="false">MAX(0,(MIN($F18,AK$4)-MAX($E18,AK$3)+1)/AK$5)</f>
        <v>1</v>
      </c>
      <c r="AL18" s="54" t="n">
        <f aca="false">MAX(0,(MIN($F18,AL$4)-MAX($E18,AL$3)+1)/AL$5)</f>
        <v>1</v>
      </c>
      <c r="AM18" s="54" t="n">
        <f aca="false">MAX(0,(MIN($F18,AM$4)-MAX($E18,AM$3)+1)/AM$5)</f>
        <v>1</v>
      </c>
      <c r="AN18" s="54" t="n">
        <f aca="false">MAX(0,(MIN($F18,AN$4)-MAX($E18,AN$3)+1)/AN$5)</f>
        <v>1</v>
      </c>
      <c r="AO18" s="54" t="n">
        <f aca="false">MAX(0,(MIN($F18,AO$4)-MAX($E18,AO$3)+1)/AO$5)</f>
        <v>1</v>
      </c>
      <c r="AP18" s="54" t="n">
        <f aca="false">MAX(0,(MIN($F18,AP$4)-MAX($E18,AP$3)+1)/AP$5)</f>
        <v>1</v>
      </c>
      <c r="AQ18" s="54" t="n">
        <f aca="false">MAX(0,(MIN($F18,AQ$4)-MAX($E18,AQ$3)+1)/AQ$5)</f>
        <v>1</v>
      </c>
      <c r="AR18" s="54" t="n">
        <f aca="false">MAX(0,(MIN($F18,AR$4)-MAX($E18,AR$3)+1)/AR$5)</f>
        <v>1</v>
      </c>
      <c r="AS18" s="54" t="n">
        <f aca="false">MAX(0,(MIN($F18,AS$4)-MAX($E18,AS$3)+1)/AS$5)</f>
        <v>1</v>
      </c>
      <c r="AT18" s="54" t="n">
        <f aca="false">MAX(0,(MIN($F18,AT$4)-MAX($E18,AT$3)+1)/AT$5)</f>
        <v>1</v>
      </c>
      <c r="AU18" s="54" t="n">
        <f aca="false">MAX(0,(MIN($F18,AU$4)-MAX($E18,AU$3)+1)/AU$5)</f>
        <v>1</v>
      </c>
      <c r="AV18" s="54" t="n">
        <f aca="false">MAX(0,(MIN($F18,AV$4)-MAX($E18,AV$3)+1)/AV$5)</f>
        <v>1</v>
      </c>
      <c r="AW18" s="54" t="n">
        <f aca="false">MAX(0,(MIN($F18,AW$4)-MAX($E18,AW$3)+1)/AW$5)</f>
        <v>1</v>
      </c>
      <c r="AX18" s="54" t="n">
        <f aca="false">MAX(0,(MIN($F18,AX$4)-MAX($E18,AX$3)+1)/AX$5)</f>
        <v>1</v>
      </c>
      <c r="AY18" s="54" t="n">
        <f aca="false">MAX(0,(MIN($F18,AY$4)-MAX($E18,AY$3)+1)/AY$5)</f>
        <v>1</v>
      </c>
      <c r="AZ18" s="54" t="n">
        <f aca="false">MAX(0,(MIN($F18,AZ$4)-MAX($E18,AZ$3)+1)/AZ$5)</f>
        <v>1</v>
      </c>
      <c r="BA18" s="54" t="n">
        <f aca="false">MAX(0,(MIN($F18,BA$4)-MAX($E18,BA$3)+1)/BA$5)</f>
        <v>1</v>
      </c>
      <c r="BB18" s="54" t="n">
        <f aca="false">MAX(0,(MIN($F18,BB$4)-MAX($E18,BB$3)+1)/BB$5)</f>
        <v>1</v>
      </c>
      <c r="BC18" s="54" t="n">
        <f aca="false">MAX(0,(MIN($F18,BC$4)-MAX($E18,BC$3)+1)/BC$5)</f>
        <v>1</v>
      </c>
      <c r="BD18" s="54" t="n">
        <f aca="false">MAX(0,(MIN($F18,BD$4)-MAX($E18,BD$3)+1)/BD$5)</f>
        <v>1</v>
      </c>
      <c r="BE18" s="54" t="n">
        <f aca="false">MAX(0,(MIN($F18,BE$4)-MAX($E18,BE$3)+1)/BE$5)</f>
        <v>1</v>
      </c>
      <c r="BF18" s="54" t="n">
        <f aca="false">MAX(0,(MIN($F18,BF$4)-MAX($E18,BF$3)+1)/BF$5)</f>
        <v>1</v>
      </c>
      <c r="BG18" s="54" t="n">
        <f aca="false">MAX(0,(MIN($F18,BG$4)-MAX($E18,BG$3)+1)/BG$5)</f>
        <v>1</v>
      </c>
      <c r="BH18" s="54" t="n">
        <f aca="false">MAX(0,(MIN($F18,BH$4)-MAX($E18,BH$3)+1)/BH$5)</f>
        <v>1</v>
      </c>
      <c r="BI18" s="54" t="n">
        <f aca="false">MAX(0,(MIN($F18,BI$4)-MAX($E18,BI$3)+1)/BI$5)</f>
        <v>1</v>
      </c>
      <c r="BJ18" s="54" t="n">
        <f aca="false">MAX(0,(MIN($F18,BJ$4)-MAX($E18,BJ$3)+1)/BJ$5)</f>
        <v>1</v>
      </c>
      <c r="BK18" s="54" t="n">
        <f aca="false">MAX(0,(MIN($F18,BK$4)-MAX($E18,BK$3)+1)/BK$5)</f>
        <v>1</v>
      </c>
      <c r="BL18" s="54" t="n">
        <f aca="false">MAX(0,(MIN($F18,BL$4)-MAX($E18,BL$3)+1)/BL$5)</f>
        <v>1</v>
      </c>
      <c r="BM18" s="54" t="n">
        <f aca="false">MAX(0,(MIN($F18,BM$4)-MAX($E18,BM$3)+1)/BM$5)</f>
        <v>1</v>
      </c>
      <c r="BN18" s="54" t="n">
        <f aca="false">MAX(0,(MIN($F18,BN$4)-MAX($E18,BN$3)+1)/BN$5)</f>
        <v>1</v>
      </c>
      <c r="BO18" s="54" t="n">
        <f aca="false">MAX(0,(MIN($F18,BO$4)-MAX($E18,BO$3)+1)/BO$5)</f>
        <v>1</v>
      </c>
      <c r="BP18" s="54" t="n">
        <f aca="false">MAX(0,(MIN($F18,BP$4)-MAX($E18,BP$3)+1)/BP$5)</f>
        <v>1</v>
      </c>
      <c r="BQ18" s="54" t="n">
        <f aca="false">MAX(0,(MIN($F18,BQ$4)-MAX($E18,BQ$3)+1)/BQ$5)</f>
        <v>1</v>
      </c>
      <c r="BR18" s="54" t="n">
        <f aca="false">MAX(0,(MIN($F18,BR$4)-MAX($E18,BR$3)+1)/BR$5)</f>
        <v>1</v>
      </c>
      <c r="BS18" s="54" t="n">
        <f aca="false">MAX(0,(MIN($F18,BS$4)-MAX($E18,BS$3)+1)/BS$5)</f>
        <v>1</v>
      </c>
      <c r="BT18" s="54" t="n">
        <f aca="false">MAX(0,(MIN($F18,BT$4)-MAX($E18,BT$3)+1)/BT$5)</f>
        <v>1</v>
      </c>
      <c r="BU18" s="54" t="n">
        <f aca="false">MAX(0,(MIN($F18,BU$4)-MAX($E18,BU$3)+1)/BU$5)</f>
        <v>1</v>
      </c>
      <c r="BV18" s="54" t="n">
        <f aca="false">MAX(0,(MIN($F18,BV$4)-MAX($E18,BV$3)+1)/BV$5)</f>
        <v>1</v>
      </c>
      <c r="BW18" s="54" t="n">
        <f aca="false">MAX(0,(MIN($F18,BW$4)-MAX($E18,BW$3)+1)/BW$5)</f>
        <v>1</v>
      </c>
      <c r="BX18" s="54" t="n">
        <f aca="false">MAX(0,(MIN($F18,BX$4)-MAX($E18,BX$3)+1)/BX$5)</f>
        <v>1</v>
      </c>
      <c r="BY18" s="54" t="n">
        <f aca="false">MAX(0,(MIN($F18,BY$4)-MAX($E18,BY$3)+1)/BY$5)</f>
        <v>1</v>
      </c>
      <c r="BZ18" s="54" t="n">
        <f aca="false">MAX(0,(MIN($F18,BZ$4)-MAX($E18,BZ$3)+1)/BZ$5)</f>
        <v>1</v>
      </c>
      <c r="CA18" s="54" t="n">
        <f aca="false">MAX(0,(MIN($F18,CA$4)-MAX($E18,CA$3)+1)/CA$5)</f>
        <v>1</v>
      </c>
      <c r="CB18" s="54" t="n">
        <f aca="false">MAX(0,(MIN($F18,CB$4)-MAX($E18,CB$3)+1)/CB$5)</f>
        <v>1</v>
      </c>
      <c r="CC18" s="54" t="n">
        <f aca="false">MAX(0,(MIN($F18,CC$4)-MAX($E18,CC$3)+1)/CC$5)</f>
        <v>1</v>
      </c>
      <c r="CD18" s="54" t="n">
        <f aca="false">MAX(0,(MIN($F18,CD$4)-MAX($E18,CD$3)+1)/CD$5)</f>
        <v>1</v>
      </c>
      <c r="CE18" s="54" t="n">
        <f aca="false">MAX(0,(MIN($F18,CE$4)-MAX($E18,CE$3)+1)/CE$5)</f>
        <v>1</v>
      </c>
      <c r="CF18" s="54" t="n">
        <f aca="false">MAX(0,(MIN($F18,CF$4)-MAX($E18,CF$3)+1)/CF$5)</f>
        <v>1</v>
      </c>
      <c r="CG18" s="54" t="n">
        <f aca="false">MAX(0,(MIN($F18,CG$4)-MAX($E18,CG$3)+1)/CG$5)</f>
        <v>1</v>
      </c>
      <c r="CH18" s="54" t="n">
        <f aca="false">MAX(0,(MIN($F18,CH$4)-MAX($E18,CH$3)+1)/CH$5)</f>
        <v>1</v>
      </c>
      <c r="CI18" s="54" t="n">
        <f aca="false">MAX(0,(MIN($F18,CI$4)-MAX($E18,CI$3)+1)/CI$5)</f>
        <v>1</v>
      </c>
      <c r="CJ18" s="54" t="n">
        <f aca="false">MAX(0,(MIN($F18,CJ$4)-MAX($E18,CJ$3)+1)/CJ$5)</f>
        <v>1</v>
      </c>
      <c r="CK18" s="54" t="n">
        <f aca="false">MAX(0,(MIN($F18,CK$4)-MAX($E18,CK$3)+1)/CK$5)</f>
        <v>1</v>
      </c>
      <c r="CL18" s="54" t="n">
        <f aca="false">MAX(0,(MIN($F18,CL$4)-MAX($E18,CL$3)+1)/CL$5)</f>
        <v>1</v>
      </c>
      <c r="CM18" s="54" t="n">
        <f aca="false">MAX(0,(MIN($F18,CM$4)-MAX($E18,CM$3)+1)/CM$5)</f>
        <v>1</v>
      </c>
      <c r="CN18" s="54" t="n">
        <f aca="false">MAX(0,(MIN($F18,CN$4)-MAX($E18,CN$3)+1)/CN$5)</f>
        <v>1</v>
      </c>
      <c r="CO18" s="54" t="n">
        <f aca="false">MAX(0,(MIN($F18,CO$4)-MAX($E18,CO$3)+1)/CO$5)</f>
        <v>1</v>
      </c>
      <c r="CP18" s="54" t="n">
        <f aca="false">MAX(0,(MIN($F18,CP$4)-MAX($E18,CP$3)+1)/CP$5)</f>
        <v>1</v>
      </c>
      <c r="CQ18" s="54" t="n">
        <f aca="false">MAX(0,(MIN($F18,CQ$4)-MAX($E18,CQ$3)+1)/CQ$5)</f>
        <v>1</v>
      </c>
      <c r="CR18" s="54" t="n">
        <f aca="false">MAX(0,(MIN($F18,CR$4)-MAX($E18,CR$3)+1)/CR$5)</f>
        <v>1</v>
      </c>
      <c r="CS18" s="54" t="n">
        <f aca="false">MAX(0,(MIN($F18,CS$4)-MAX($E18,CS$3)+1)/CS$5)</f>
        <v>1</v>
      </c>
      <c r="CT18" s="54" t="n">
        <f aca="false">MAX(0,(MIN($F18,CT$4)-MAX($E18,CT$3)+1)/CT$5)</f>
        <v>0</v>
      </c>
      <c r="CU18" s="54" t="n">
        <f aca="false">MAX(0,(MIN($F18,CU$4)-MAX($E18,CU$3)+1)/CU$5)</f>
        <v>0</v>
      </c>
      <c r="CV18" s="54" t="n">
        <f aca="false">MAX(0,(MIN($F18,CV$4)-MAX($E18,CV$3)+1)/CV$5)</f>
        <v>0</v>
      </c>
      <c r="CW18" s="54" t="n">
        <f aca="false">MAX(0,(MIN($F18,CW$4)-MAX($E18,CW$3)+1)/CW$5)</f>
        <v>0</v>
      </c>
      <c r="CX18" s="54" t="n">
        <f aca="false">MAX(0,(MIN($F18,CX$4)-MAX($E18,CX$3)+1)/CX$5)</f>
        <v>0</v>
      </c>
      <c r="CY18" s="54" t="n">
        <f aca="false">MAX(0,(MIN($F18,CY$4)-MAX($E18,CY$3)+1)/CY$5)</f>
        <v>0</v>
      </c>
      <c r="CZ18" s="54" t="n">
        <f aca="false">MAX(0,(MIN($F18,CZ$4)-MAX($E18,CZ$3)+1)/CZ$5)</f>
        <v>0</v>
      </c>
      <c r="DA18" s="54" t="n">
        <f aca="false">MAX(0,(MIN($F18,DA$4)-MAX($E18,DA$3)+1)/DA$5)</f>
        <v>0</v>
      </c>
      <c r="DB18" s="54" t="n">
        <f aca="false">MAX(0,(MIN($F18,DB$4)-MAX($E18,DB$3)+1)/DB$5)</f>
        <v>0</v>
      </c>
      <c r="DC18" s="54" t="n">
        <f aca="false">MAX(0,(MIN($F18,DC$4)-MAX($E18,DC$3)+1)/DC$5)</f>
        <v>0</v>
      </c>
      <c r="DD18" s="54" t="n">
        <f aca="false">MAX(0,(MIN($F18,DD$4)-MAX($E18,DD$3)+1)/DD$5)</f>
        <v>0</v>
      </c>
      <c r="DE18" s="54" t="n">
        <f aca="false">MAX(0,(MIN($F18,DE$4)-MAX($E18,DE$3)+1)/DE$5)</f>
        <v>0</v>
      </c>
      <c r="DF18" s="54" t="n">
        <f aca="false">MAX(0,(MIN($F18,DF$4)-MAX($E18,DF$3)+1)/DF$5)</f>
        <v>0</v>
      </c>
      <c r="DG18" s="54" t="n">
        <f aca="false">MAX(0,(MIN($F18,DG$4)-MAX($E18,DG$3)+1)/DG$5)</f>
        <v>0</v>
      </c>
      <c r="DH18" s="54" t="n">
        <f aca="false">MAX(0,(MIN($F18,DH$4)-MAX($E18,DH$3)+1)/DH$5)</f>
        <v>0</v>
      </c>
      <c r="DI18" s="54" t="n">
        <f aca="false">MAX(0,(MIN($F18,DI$4)-MAX($E18,DI$3)+1)/DI$5)</f>
        <v>0</v>
      </c>
      <c r="DJ18" s="54" t="n">
        <f aca="false">MAX(0,(MIN($F18,DJ$4)-MAX($E18,DJ$3)+1)/DJ$5)</f>
        <v>0</v>
      </c>
      <c r="DK18" s="54" t="n">
        <f aca="false">MAX(0,(MIN($F18,DK$4)-MAX($E18,DK$3)+1)/DK$5)</f>
        <v>0</v>
      </c>
      <c r="DL18" s="54" t="n">
        <f aca="false">MAX(0,(MIN($F18,DL$4)-MAX($E18,DL$3)+1)/DL$5)</f>
        <v>0</v>
      </c>
      <c r="DM18" s="54" t="n">
        <f aca="false">MAX(0,(MIN($F18,DM$4)-MAX($E18,DM$3)+1)/DM$5)</f>
        <v>0</v>
      </c>
      <c r="DN18" s="54" t="n">
        <f aca="false">MAX(0,(MIN($F18,DN$4)-MAX($E18,DN$3)+1)/DN$5)</f>
        <v>0</v>
      </c>
      <c r="DO18" s="54" t="n">
        <f aca="false">MAX(0,(MIN($F18,DO$4)-MAX($E18,DO$3)+1)/DO$5)</f>
        <v>0</v>
      </c>
      <c r="DP18" s="54" t="n">
        <f aca="false">MAX(0,(MIN($F18,DP$4)-MAX($E18,DP$3)+1)/DP$5)</f>
        <v>0</v>
      </c>
      <c r="DQ18" s="54" t="n">
        <f aca="false">MAX(0,(MIN($F18,DQ$4)-MAX($E18,DQ$3)+1)/DQ$5)</f>
        <v>0</v>
      </c>
      <c r="DR18" s="54" t="n">
        <f aca="false">MAX(0,(MIN($F18,DR$4)-MAX($E18,DR$3)+1)/DR$5)</f>
        <v>0</v>
      </c>
      <c r="DS18" s="54" t="n">
        <f aca="false">MAX(0,(MIN($F18,DS$4)-MAX($E18,DS$3)+1)/DS$5)</f>
        <v>0</v>
      </c>
      <c r="DT18" s="54" t="n">
        <f aca="false">MAX(0,(MIN($F18,DT$4)-MAX($E18,DT$3)+1)/DT$5)</f>
        <v>0</v>
      </c>
      <c r="DU18" s="54" t="n">
        <f aca="false">MAX(0,(MIN($F18,DU$4)-MAX($E18,DU$3)+1)/DU$5)</f>
        <v>0</v>
      </c>
      <c r="DV18" s="54" t="n">
        <f aca="false">MAX(0,(MIN($F18,DV$4)-MAX($E18,DV$3)+1)/DV$5)</f>
        <v>0</v>
      </c>
      <c r="DW18" s="54" t="n">
        <f aca="false">MAX(0,(MIN($F18,DW$4)-MAX($E18,DW$3)+1)/DW$5)</f>
        <v>0</v>
      </c>
      <c r="DX18" s="54" t="n">
        <f aca="false">MAX(0,(MIN($F18,DX$4)-MAX($E18,DX$3)+1)/DX$5)</f>
        <v>0</v>
      </c>
      <c r="DY18" s="54" t="n">
        <f aca="false">MAX(0,(MIN($F18,DY$4)-MAX($E18,DY$3)+1)/DY$5)</f>
        <v>0</v>
      </c>
      <c r="DZ18" s="54" t="n">
        <f aca="false">MAX(0,(MIN($F18,DZ$4)-MAX($E18,DZ$3)+1)/DZ$5)</f>
        <v>0</v>
      </c>
      <c r="EA18" s="54" t="n">
        <f aca="false">MAX(0,(MIN($F18,EA$4)-MAX($E18,EA$3)+1)/EA$5)</f>
        <v>0</v>
      </c>
      <c r="EB18" s="54" t="n">
        <f aca="false">MAX(0,(MIN($F18,EB$4)-MAX($E18,EB$3)+1)/EB$5)</f>
        <v>0</v>
      </c>
      <c r="EC18" s="54" t="n">
        <f aca="false">MAX(0,(MIN($F18,EC$4)-MAX($E18,EC$3)+1)/EC$5)</f>
        <v>0</v>
      </c>
      <c r="ED18" s="54" t="n">
        <f aca="false">MAX(0,(MIN($F18,ED$4)-MAX($E18,ED$3)+1)/ED$5)</f>
        <v>0</v>
      </c>
      <c r="EE18" s="54" t="n">
        <f aca="false">MAX(0,(MIN($F18,EE$4)-MAX($E18,EE$3)+1)/EE$5)</f>
        <v>0</v>
      </c>
      <c r="EF18" s="54" t="n">
        <f aca="false">MAX(0,(MIN($F18,EF$4)-MAX($E18,EF$3)+1)/EF$5)</f>
        <v>0</v>
      </c>
      <c r="EG18" s="54" t="n">
        <f aca="false">MAX(0,(MIN($F18,EG$4)-MAX($E18,EG$3)+1)/EG$5)</f>
        <v>0</v>
      </c>
      <c r="EH18" s="54" t="n">
        <f aca="false">MAX(0,(MIN($F18,EH$4)-MAX($E18,EH$3)+1)/EH$5)</f>
        <v>0</v>
      </c>
      <c r="EI18" s="54" t="n">
        <f aca="false">MAX(0,(MIN($F18,EI$4)-MAX($E18,EI$3)+1)/EI$5)</f>
        <v>0</v>
      </c>
      <c r="EJ18" s="54" t="n">
        <f aca="false">MAX(0,(MIN($F18,EJ$4)-MAX($E18,EJ$3)+1)/EJ$5)</f>
        <v>0</v>
      </c>
      <c r="EK18" s="54" t="n">
        <f aca="false">MAX(0,(MIN($F18,EK$4)-MAX($E18,EK$3)+1)/EK$5)</f>
        <v>0</v>
      </c>
      <c r="EL18" s="54" t="n">
        <f aca="false">MAX(0,(MIN($F18,EL$4)-MAX($E18,EL$3)+1)/EL$5)</f>
        <v>0</v>
      </c>
      <c r="EM18" s="54" t="n">
        <f aca="false">MAX(0,(MIN($F18,EM$4)-MAX($E18,EM$3)+1)/EM$5)</f>
        <v>0</v>
      </c>
      <c r="EN18" s="54" t="n">
        <f aca="false">MAX(0,(MIN($F18,EN$4)-MAX($E18,EN$3)+1)/EN$5)</f>
        <v>0</v>
      </c>
      <c r="EO18" s="54" t="n">
        <f aca="false">MAX(0,(MIN($F18,EO$4)-MAX($E18,EO$3)+1)/EO$5)</f>
        <v>0</v>
      </c>
    </row>
    <row r="19" customFormat="false" ht="15" hidden="false" customHeight="false" outlineLevel="0" collapsed="false">
      <c r="C19" s="0" t="s">
        <v>396</v>
      </c>
      <c r="D19" s="11" t="s">
        <v>43</v>
      </c>
      <c r="E19" s="45" t="n">
        <f aca="false">EDATE(In_COD,In_Debt_Tenor*Months_In_Year)</f>
        <v>54331</v>
      </c>
      <c r="I19" s="49" t="n">
        <f aca="false">SUM(J19:EO19)</f>
        <v>1</v>
      </c>
      <c r="J19" s="49" t="n">
        <f aca="false">N(AND(J$3&lt;=$E19,J$4&gt;=$E19))</f>
        <v>0</v>
      </c>
      <c r="K19" s="49" t="n">
        <f aca="false">N(AND(K$3&lt;=$E19,K$4&gt;=$E19))</f>
        <v>0</v>
      </c>
      <c r="L19" s="49" t="n">
        <f aca="false">N(AND(L$3&lt;=$E19,L$4&gt;=$E19))</f>
        <v>0</v>
      </c>
      <c r="M19" s="49" t="n">
        <f aca="false">N(AND(M$3&lt;=$E19,M$4&gt;=$E19))</f>
        <v>0</v>
      </c>
      <c r="N19" s="49" t="n">
        <f aca="false">N(AND(N$3&lt;=$E19,N$4&gt;=$E19))</f>
        <v>0</v>
      </c>
      <c r="O19" s="49" t="n">
        <f aca="false">N(AND(O$3&lt;=$E19,O$4&gt;=$E19))</f>
        <v>0</v>
      </c>
      <c r="P19" s="49" t="n">
        <f aca="false">N(AND(P$3&lt;=$E19,P$4&gt;=$E19))</f>
        <v>0</v>
      </c>
      <c r="Q19" s="49" t="n">
        <f aca="false">N(AND(Q$3&lt;=$E19,Q$4&gt;=$E19))</f>
        <v>0</v>
      </c>
      <c r="R19" s="49" t="n">
        <f aca="false">N(AND(R$3&lt;=$E19,R$4&gt;=$E19))</f>
        <v>0</v>
      </c>
      <c r="S19" s="49" t="n">
        <f aca="false">N(AND(S$3&lt;=$E19,S$4&gt;=$E19))</f>
        <v>0</v>
      </c>
      <c r="T19" s="49" t="n">
        <f aca="false">N(AND(T$3&lt;=$E19,T$4&gt;=$E19))</f>
        <v>0</v>
      </c>
      <c r="U19" s="49" t="n">
        <f aca="false">N(AND(U$3&lt;=$E19,U$4&gt;=$E19))</f>
        <v>0</v>
      </c>
      <c r="V19" s="49" t="n">
        <f aca="false">N(AND(V$3&lt;=$E19,V$4&gt;=$E19))</f>
        <v>0</v>
      </c>
      <c r="W19" s="49" t="n">
        <f aca="false">N(AND(W$3&lt;=$E19,W$4&gt;=$E19))</f>
        <v>0</v>
      </c>
      <c r="X19" s="49" t="n">
        <f aca="false">N(AND(X$3&lt;=$E19,X$4&gt;=$E19))</f>
        <v>0</v>
      </c>
      <c r="Y19" s="49" t="n">
        <f aca="false">N(AND(Y$3&lt;=$E19,Y$4&gt;=$E19))</f>
        <v>0</v>
      </c>
      <c r="Z19" s="49" t="n">
        <f aca="false">N(AND(Z$3&lt;=$E19,Z$4&gt;=$E19))</f>
        <v>0</v>
      </c>
      <c r="AA19" s="49" t="n">
        <f aca="false">N(AND(AA$3&lt;=$E19,AA$4&gt;=$E19))</f>
        <v>0</v>
      </c>
      <c r="AB19" s="49" t="n">
        <f aca="false">N(AND(AB$3&lt;=$E19,AB$4&gt;=$E19))</f>
        <v>0</v>
      </c>
      <c r="AC19" s="49" t="n">
        <f aca="false">N(AND(AC$3&lt;=$E19,AC$4&gt;=$E19))</f>
        <v>0</v>
      </c>
      <c r="AD19" s="49" t="n">
        <f aca="false">N(AND(AD$3&lt;=$E19,AD$4&gt;=$E19))</f>
        <v>0</v>
      </c>
      <c r="AE19" s="49" t="n">
        <f aca="false">N(AND(AE$3&lt;=$E19,AE$4&gt;=$E19))</f>
        <v>0</v>
      </c>
      <c r="AF19" s="49" t="n">
        <f aca="false">N(AND(AF$3&lt;=$E19,AF$4&gt;=$E19))</f>
        <v>0</v>
      </c>
      <c r="AG19" s="49" t="n">
        <f aca="false">N(AND(AG$3&lt;=$E19,AG$4&gt;=$E19))</f>
        <v>0</v>
      </c>
      <c r="AH19" s="49" t="n">
        <f aca="false">N(AND(AH$3&lt;=$E19,AH$4&gt;=$E19))</f>
        <v>0</v>
      </c>
      <c r="AI19" s="49" t="n">
        <f aca="false">N(AND(AI$3&lt;=$E19,AI$4&gt;=$E19))</f>
        <v>0</v>
      </c>
      <c r="AJ19" s="49" t="n">
        <f aca="false">N(AND(AJ$3&lt;=$E19,AJ$4&gt;=$E19))</f>
        <v>0</v>
      </c>
      <c r="AK19" s="49" t="n">
        <f aca="false">N(AND(AK$3&lt;=$E19,AK$4&gt;=$E19))</f>
        <v>0</v>
      </c>
      <c r="AL19" s="49" t="n">
        <f aca="false">N(AND(AL$3&lt;=$E19,AL$4&gt;=$E19))</f>
        <v>0</v>
      </c>
      <c r="AM19" s="49" t="n">
        <f aca="false">N(AND(AM$3&lt;=$E19,AM$4&gt;=$E19))</f>
        <v>0</v>
      </c>
      <c r="AN19" s="49" t="n">
        <f aca="false">N(AND(AN$3&lt;=$E19,AN$4&gt;=$E19))</f>
        <v>0</v>
      </c>
      <c r="AO19" s="49" t="n">
        <f aca="false">N(AND(AO$3&lt;=$E19,AO$4&gt;=$E19))</f>
        <v>0</v>
      </c>
      <c r="AP19" s="49" t="n">
        <f aca="false">N(AND(AP$3&lt;=$E19,AP$4&gt;=$E19))</f>
        <v>0</v>
      </c>
      <c r="AQ19" s="49" t="n">
        <f aca="false">N(AND(AQ$3&lt;=$E19,AQ$4&gt;=$E19))</f>
        <v>0</v>
      </c>
      <c r="AR19" s="49" t="n">
        <f aca="false">N(AND(AR$3&lt;=$E19,AR$4&gt;=$E19))</f>
        <v>0</v>
      </c>
      <c r="AS19" s="49" t="n">
        <f aca="false">N(AND(AS$3&lt;=$E19,AS$4&gt;=$E19))</f>
        <v>0</v>
      </c>
      <c r="AT19" s="49" t="n">
        <f aca="false">N(AND(AT$3&lt;=$E19,AT$4&gt;=$E19))</f>
        <v>0</v>
      </c>
      <c r="AU19" s="49" t="n">
        <f aca="false">N(AND(AU$3&lt;=$E19,AU$4&gt;=$E19))</f>
        <v>0</v>
      </c>
      <c r="AV19" s="49" t="n">
        <f aca="false">N(AND(AV$3&lt;=$E19,AV$4&gt;=$E19))</f>
        <v>0</v>
      </c>
      <c r="AW19" s="49" t="n">
        <f aca="false">N(AND(AW$3&lt;=$E19,AW$4&gt;=$E19))</f>
        <v>0</v>
      </c>
      <c r="AX19" s="49" t="n">
        <f aca="false">N(AND(AX$3&lt;=$E19,AX$4&gt;=$E19))</f>
        <v>0</v>
      </c>
      <c r="AY19" s="49" t="n">
        <f aca="false">N(AND(AY$3&lt;=$E19,AY$4&gt;=$E19))</f>
        <v>0</v>
      </c>
      <c r="AZ19" s="49" t="n">
        <f aca="false">N(AND(AZ$3&lt;=$E19,AZ$4&gt;=$E19))</f>
        <v>0</v>
      </c>
      <c r="BA19" s="49" t="n">
        <f aca="false">N(AND(BA$3&lt;=$E19,BA$4&gt;=$E19))</f>
        <v>0</v>
      </c>
      <c r="BB19" s="49" t="n">
        <f aca="false">N(AND(BB$3&lt;=$E19,BB$4&gt;=$E19))</f>
        <v>0</v>
      </c>
      <c r="BC19" s="49" t="n">
        <f aca="false">N(AND(BC$3&lt;=$E19,BC$4&gt;=$E19))</f>
        <v>0</v>
      </c>
      <c r="BD19" s="49" t="n">
        <f aca="false">N(AND(BD$3&lt;=$E19,BD$4&gt;=$E19))</f>
        <v>0</v>
      </c>
      <c r="BE19" s="49" t="n">
        <f aca="false">N(AND(BE$3&lt;=$E19,BE$4&gt;=$E19))</f>
        <v>0</v>
      </c>
      <c r="BF19" s="49" t="n">
        <f aca="false">N(AND(BF$3&lt;=$E19,BF$4&gt;=$E19))</f>
        <v>0</v>
      </c>
      <c r="BG19" s="49" t="n">
        <f aca="false">N(AND(BG$3&lt;=$E19,BG$4&gt;=$E19))</f>
        <v>0</v>
      </c>
      <c r="BH19" s="49" t="n">
        <f aca="false">N(AND(BH$3&lt;=$E19,BH$4&gt;=$E19))</f>
        <v>0</v>
      </c>
      <c r="BI19" s="49" t="n">
        <f aca="false">N(AND(BI$3&lt;=$E19,BI$4&gt;=$E19))</f>
        <v>0</v>
      </c>
      <c r="BJ19" s="49" t="n">
        <f aca="false">N(AND(BJ$3&lt;=$E19,BJ$4&gt;=$E19))</f>
        <v>0</v>
      </c>
      <c r="BK19" s="49" t="n">
        <f aca="false">N(AND(BK$3&lt;=$E19,BK$4&gt;=$E19))</f>
        <v>0</v>
      </c>
      <c r="BL19" s="49" t="n">
        <f aca="false">N(AND(BL$3&lt;=$E19,BL$4&gt;=$E19))</f>
        <v>0</v>
      </c>
      <c r="BM19" s="49" t="n">
        <f aca="false">N(AND(BM$3&lt;=$E19,BM$4&gt;=$E19))</f>
        <v>0</v>
      </c>
      <c r="BN19" s="49" t="n">
        <f aca="false">N(AND(BN$3&lt;=$E19,BN$4&gt;=$E19))</f>
        <v>0</v>
      </c>
      <c r="BO19" s="49" t="n">
        <f aca="false">N(AND(BO$3&lt;=$E19,BO$4&gt;=$E19))</f>
        <v>0</v>
      </c>
      <c r="BP19" s="49" t="n">
        <f aca="false">N(AND(BP$3&lt;=$E19,BP$4&gt;=$E19))</f>
        <v>0</v>
      </c>
      <c r="BQ19" s="49" t="n">
        <f aca="false">N(AND(BQ$3&lt;=$E19,BQ$4&gt;=$E19))</f>
        <v>0</v>
      </c>
      <c r="BR19" s="49" t="n">
        <f aca="false">N(AND(BR$3&lt;=$E19,BR$4&gt;=$E19))</f>
        <v>0</v>
      </c>
      <c r="BS19" s="49" t="n">
        <f aca="false">N(AND(BS$3&lt;=$E19,BS$4&gt;=$E19))</f>
        <v>0</v>
      </c>
      <c r="BT19" s="49" t="n">
        <f aca="false">N(AND(BT$3&lt;=$E19,BT$4&gt;=$E19))</f>
        <v>0</v>
      </c>
      <c r="BU19" s="49" t="n">
        <f aca="false">N(AND(BU$3&lt;=$E19,BU$4&gt;=$E19))</f>
        <v>0</v>
      </c>
      <c r="BV19" s="49" t="n">
        <f aca="false">N(AND(BV$3&lt;=$E19,BV$4&gt;=$E19))</f>
        <v>0</v>
      </c>
      <c r="BW19" s="49" t="n">
        <f aca="false">N(AND(BW$3&lt;=$E19,BW$4&gt;=$E19))</f>
        <v>0</v>
      </c>
      <c r="BX19" s="49" t="n">
        <f aca="false">N(AND(BX$3&lt;=$E19,BX$4&gt;=$E19))</f>
        <v>0</v>
      </c>
      <c r="BY19" s="49" t="n">
        <f aca="false">N(AND(BY$3&lt;=$E19,BY$4&gt;=$E19))</f>
        <v>0</v>
      </c>
      <c r="BZ19" s="49" t="n">
        <f aca="false">N(AND(BZ$3&lt;=$E19,BZ$4&gt;=$E19))</f>
        <v>0</v>
      </c>
      <c r="CA19" s="49" t="n">
        <f aca="false">N(AND(CA$3&lt;=$E19,CA$4&gt;=$E19))</f>
        <v>0</v>
      </c>
      <c r="CB19" s="49" t="n">
        <f aca="false">N(AND(CB$3&lt;=$E19,CB$4&gt;=$E19))</f>
        <v>0</v>
      </c>
      <c r="CC19" s="49" t="n">
        <f aca="false">N(AND(CC$3&lt;=$E19,CC$4&gt;=$E19))</f>
        <v>0</v>
      </c>
      <c r="CD19" s="49" t="n">
        <f aca="false">N(AND(CD$3&lt;=$E19,CD$4&gt;=$E19))</f>
        <v>0</v>
      </c>
      <c r="CE19" s="49" t="n">
        <f aca="false">N(AND(CE$3&lt;=$E19,CE$4&gt;=$E19))</f>
        <v>0</v>
      </c>
      <c r="CF19" s="49" t="n">
        <f aca="false">N(AND(CF$3&lt;=$E19,CF$4&gt;=$E19))</f>
        <v>0</v>
      </c>
      <c r="CG19" s="49" t="n">
        <f aca="false">N(AND(CG$3&lt;=$E19,CG$4&gt;=$E19))</f>
        <v>0</v>
      </c>
      <c r="CH19" s="49" t="n">
        <f aca="false">N(AND(CH$3&lt;=$E19,CH$4&gt;=$E19))</f>
        <v>0</v>
      </c>
      <c r="CI19" s="49" t="n">
        <f aca="false">N(AND(CI$3&lt;=$E19,CI$4&gt;=$E19))</f>
        <v>0</v>
      </c>
      <c r="CJ19" s="49" t="n">
        <f aca="false">N(AND(CJ$3&lt;=$E19,CJ$4&gt;=$E19))</f>
        <v>0</v>
      </c>
      <c r="CK19" s="49" t="n">
        <f aca="false">N(AND(CK$3&lt;=$E19,CK$4&gt;=$E19))</f>
        <v>0</v>
      </c>
      <c r="CL19" s="49" t="n">
        <f aca="false">N(AND(CL$3&lt;=$E19,CL$4&gt;=$E19))</f>
        <v>0</v>
      </c>
      <c r="CM19" s="49" t="n">
        <f aca="false">N(AND(CM$3&lt;=$E19,CM$4&gt;=$E19))</f>
        <v>0</v>
      </c>
      <c r="CN19" s="49" t="n">
        <f aca="false">N(AND(CN$3&lt;=$E19,CN$4&gt;=$E19))</f>
        <v>0</v>
      </c>
      <c r="CO19" s="49" t="n">
        <f aca="false">N(AND(CO$3&lt;=$E19,CO$4&gt;=$E19))</f>
        <v>0</v>
      </c>
      <c r="CP19" s="49" t="n">
        <f aca="false">N(AND(CP$3&lt;=$E19,CP$4&gt;=$E19))</f>
        <v>0</v>
      </c>
      <c r="CQ19" s="49" t="n">
        <f aca="false">N(AND(CQ$3&lt;=$E19,CQ$4&gt;=$E19))</f>
        <v>0</v>
      </c>
      <c r="CR19" s="49" t="n">
        <f aca="false">N(AND(CR$3&lt;=$E19,CR$4&gt;=$E19))</f>
        <v>0</v>
      </c>
      <c r="CS19" s="49" t="n">
        <f aca="false">N(AND(CS$3&lt;=$E19,CS$4&gt;=$E19))</f>
        <v>1</v>
      </c>
      <c r="CT19" s="49" t="n">
        <f aca="false">N(AND(CT$3&lt;=$E19,CT$4&gt;=$E19))</f>
        <v>0</v>
      </c>
      <c r="CU19" s="49" t="n">
        <f aca="false">N(AND(CU$3&lt;=$E19,CU$4&gt;=$E19))</f>
        <v>0</v>
      </c>
      <c r="CV19" s="49" t="n">
        <f aca="false">N(AND(CV$3&lt;=$E19,CV$4&gt;=$E19))</f>
        <v>0</v>
      </c>
      <c r="CW19" s="49" t="n">
        <f aca="false">N(AND(CW$3&lt;=$E19,CW$4&gt;=$E19))</f>
        <v>0</v>
      </c>
      <c r="CX19" s="49" t="n">
        <f aca="false">N(AND(CX$3&lt;=$E19,CX$4&gt;=$E19))</f>
        <v>0</v>
      </c>
      <c r="CY19" s="49" t="n">
        <f aca="false">N(AND(CY$3&lt;=$E19,CY$4&gt;=$E19))</f>
        <v>0</v>
      </c>
      <c r="CZ19" s="49" t="n">
        <f aca="false">N(AND(CZ$3&lt;=$E19,CZ$4&gt;=$E19))</f>
        <v>0</v>
      </c>
      <c r="DA19" s="49" t="n">
        <f aca="false">N(AND(DA$3&lt;=$E19,DA$4&gt;=$E19))</f>
        <v>0</v>
      </c>
      <c r="DB19" s="49" t="n">
        <f aca="false">N(AND(DB$3&lt;=$E19,DB$4&gt;=$E19))</f>
        <v>0</v>
      </c>
      <c r="DC19" s="49" t="n">
        <f aca="false">N(AND(DC$3&lt;=$E19,DC$4&gt;=$E19))</f>
        <v>0</v>
      </c>
      <c r="DD19" s="49" t="n">
        <f aca="false">N(AND(DD$3&lt;=$E19,DD$4&gt;=$E19))</f>
        <v>0</v>
      </c>
      <c r="DE19" s="49" t="n">
        <f aca="false">N(AND(DE$3&lt;=$E19,DE$4&gt;=$E19))</f>
        <v>0</v>
      </c>
      <c r="DF19" s="49" t="n">
        <f aca="false">N(AND(DF$3&lt;=$E19,DF$4&gt;=$E19))</f>
        <v>0</v>
      </c>
      <c r="DG19" s="49" t="n">
        <f aca="false">N(AND(DG$3&lt;=$E19,DG$4&gt;=$E19))</f>
        <v>0</v>
      </c>
      <c r="DH19" s="49" t="n">
        <f aca="false">N(AND(DH$3&lt;=$E19,DH$4&gt;=$E19))</f>
        <v>0</v>
      </c>
      <c r="DI19" s="49" t="n">
        <f aca="false">N(AND(DI$3&lt;=$E19,DI$4&gt;=$E19))</f>
        <v>0</v>
      </c>
      <c r="DJ19" s="49" t="n">
        <f aca="false">N(AND(DJ$3&lt;=$E19,DJ$4&gt;=$E19))</f>
        <v>0</v>
      </c>
      <c r="DK19" s="49" t="n">
        <f aca="false">N(AND(DK$3&lt;=$E19,DK$4&gt;=$E19))</f>
        <v>0</v>
      </c>
      <c r="DL19" s="49" t="n">
        <f aca="false">N(AND(DL$3&lt;=$E19,DL$4&gt;=$E19))</f>
        <v>0</v>
      </c>
      <c r="DM19" s="49" t="n">
        <f aca="false">N(AND(DM$3&lt;=$E19,DM$4&gt;=$E19))</f>
        <v>0</v>
      </c>
      <c r="DN19" s="49" t="n">
        <f aca="false">N(AND(DN$3&lt;=$E19,DN$4&gt;=$E19))</f>
        <v>0</v>
      </c>
      <c r="DO19" s="49" t="n">
        <f aca="false">N(AND(DO$3&lt;=$E19,DO$4&gt;=$E19))</f>
        <v>0</v>
      </c>
      <c r="DP19" s="49" t="n">
        <f aca="false">N(AND(DP$3&lt;=$E19,DP$4&gt;=$E19))</f>
        <v>0</v>
      </c>
      <c r="DQ19" s="49" t="n">
        <f aca="false">N(AND(DQ$3&lt;=$E19,DQ$4&gt;=$E19))</f>
        <v>0</v>
      </c>
      <c r="DR19" s="49" t="n">
        <f aca="false">N(AND(DR$3&lt;=$E19,DR$4&gt;=$E19))</f>
        <v>0</v>
      </c>
      <c r="DS19" s="49" t="n">
        <f aca="false">N(AND(DS$3&lt;=$E19,DS$4&gt;=$E19))</f>
        <v>0</v>
      </c>
      <c r="DT19" s="49" t="n">
        <f aca="false">N(AND(DT$3&lt;=$E19,DT$4&gt;=$E19))</f>
        <v>0</v>
      </c>
      <c r="DU19" s="49" t="n">
        <f aca="false">N(AND(DU$3&lt;=$E19,DU$4&gt;=$E19))</f>
        <v>0</v>
      </c>
      <c r="DV19" s="49" t="n">
        <f aca="false">N(AND(DV$3&lt;=$E19,DV$4&gt;=$E19))</f>
        <v>0</v>
      </c>
      <c r="DW19" s="49" t="n">
        <f aca="false">N(AND(DW$3&lt;=$E19,DW$4&gt;=$E19))</f>
        <v>0</v>
      </c>
      <c r="DX19" s="49" t="n">
        <f aca="false">N(AND(DX$3&lt;=$E19,DX$4&gt;=$E19))</f>
        <v>0</v>
      </c>
      <c r="DY19" s="49" t="n">
        <f aca="false">N(AND(DY$3&lt;=$E19,DY$4&gt;=$E19))</f>
        <v>0</v>
      </c>
      <c r="DZ19" s="49" t="n">
        <f aca="false">N(AND(DZ$3&lt;=$E19,DZ$4&gt;=$E19))</f>
        <v>0</v>
      </c>
      <c r="EA19" s="49" t="n">
        <f aca="false">N(AND(EA$3&lt;=$E19,EA$4&gt;=$E19))</f>
        <v>0</v>
      </c>
      <c r="EB19" s="49" t="n">
        <f aca="false">N(AND(EB$3&lt;=$E19,EB$4&gt;=$E19))</f>
        <v>0</v>
      </c>
      <c r="EC19" s="49" t="n">
        <f aca="false">N(AND(EC$3&lt;=$E19,EC$4&gt;=$E19))</f>
        <v>0</v>
      </c>
      <c r="ED19" s="49" t="n">
        <f aca="false">N(AND(ED$3&lt;=$E19,ED$4&gt;=$E19))</f>
        <v>0</v>
      </c>
      <c r="EE19" s="49" t="n">
        <f aca="false">N(AND(EE$3&lt;=$E19,EE$4&gt;=$E19))</f>
        <v>0</v>
      </c>
      <c r="EF19" s="49" t="n">
        <f aca="false">N(AND(EF$3&lt;=$E19,EF$4&gt;=$E19))</f>
        <v>0</v>
      </c>
      <c r="EG19" s="49" t="n">
        <f aca="false">N(AND(EG$3&lt;=$E19,EG$4&gt;=$E19))</f>
        <v>0</v>
      </c>
      <c r="EH19" s="49" t="n">
        <f aca="false">N(AND(EH$3&lt;=$E19,EH$4&gt;=$E19))</f>
        <v>0</v>
      </c>
      <c r="EI19" s="49" t="n">
        <f aca="false">N(AND(EI$3&lt;=$E19,EI$4&gt;=$E19))</f>
        <v>0</v>
      </c>
      <c r="EJ19" s="49" t="n">
        <f aca="false">N(AND(EJ$3&lt;=$E19,EJ$4&gt;=$E19))</f>
        <v>0</v>
      </c>
      <c r="EK19" s="49" t="n">
        <f aca="false">N(AND(EK$3&lt;=$E19,EK$4&gt;=$E19))</f>
        <v>0</v>
      </c>
      <c r="EL19" s="49" t="n">
        <f aca="false">N(AND(EL$3&lt;=$E19,EL$4&gt;=$E19))</f>
        <v>0</v>
      </c>
      <c r="EM19" s="49" t="n">
        <f aca="false">N(AND(EM$3&lt;=$E19,EM$4&gt;=$E19))</f>
        <v>0</v>
      </c>
      <c r="EN19" s="49" t="n">
        <f aca="false">N(AND(EN$3&lt;=$E19,EN$4&gt;=$E19))</f>
        <v>0</v>
      </c>
      <c r="EO19" s="49" t="n">
        <f aca="false">N(AND(EO$3&lt;=$E19,EO$4&gt;=$E19))</f>
        <v>0</v>
      </c>
    </row>
    <row r="20" customFormat="false" ht="15" hidden="false" customHeight="false" outlineLevel="0" collapsed="false">
      <c r="C20" s="0" t="s">
        <v>397</v>
      </c>
      <c r="D20" s="11" t="s">
        <v>386</v>
      </c>
      <c r="E20" s="45" t="n">
        <f aca="false">In_COD+1</f>
        <v>47757</v>
      </c>
      <c r="F20" s="45" t="n">
        <f aca="false">EDATE(In_COD,In_Dep_Years*Months_In_Year)</f>
        <v>55061</v>
      </c>
      <c r="I20" s="54" t="n">
        <f aca="false">SUM(J20:EO20)</f>
        <v>1</v>
      </c>
      <c r="J20" s="54" t="n">
        <f aca="false">MAX(0,MIN($F20,J$4)-MAX($E20,J$3)+1)/($F20-$E20+1)</f>
        <v>0</v>
      </c>
      <c r="K20" s="54" t="n">
        <f aca="false">MAX(0,MIN($F20,K$4)-MAX($E20,K$3)+1)/($F20-$E20+1)</f>
        <v>0</v>
      </c>
      <c r="L20" s="54" t="n">
        <f aca="false">MAX(0,MIN($F20,L$4)-MAX($E20,L$3)+1)/($F20-$E20+1)</f>
        <v>0</v>
      </c>
      <c r="M20" s="54" t="n">
        <f aca="false">MAX(0,MIN($F20,M$4)-MAX($E20,M$3)+1)/($F20-$E20+1)</f>
        <v>0</v>
      </c>
      <c r="N20" s="54" t="n">
        <f aca="false">MAX(0,MIN($F20,N$4)-MAX($E20,N$3)+1)/($F20-$E20+1)</f>
        <v>0</v>
      </c>
      <c r="O20" s="54" t="n">
        <f aca="false">MAX(0,MIN($F20,O$4)-MAX($E20,O$3)+1)/($F20-$E20+1)</f>
        <v>0</v>
      </c>
      <c r="P20" s="54" t="n">
        <f aca="false">MAX(0,MIN($F20,P$4)-MAX($E20,P$3)+1)/($F20-$E20+1)</f>
        <v>0</v>
      </c>
      <c r="Q20" s="54" t="n">
        <f aca="false">MAX(0,MIN($F20,Q$4)-MAX($E20,Q$3)+1)/($F20-$E20+1)</f>
        <v>0</v>
      </c>
      <c r="R20" s="54" t="n">
        <f aca="false">MAX(0,MIN($F20,R$4)-MAX($E20,R$3)+1)/($F20-$E20+1)</f>
        <v>0</v>
      </c>
      <c r="S20" s="54" t="n">
        <f aca="false">MAX(0,MIN($F20,S$4)-MAX($E20,S$3)+1)/($F20-$E20+1)</f>
        <v>0</v>
      </c>
      <c r="T20" s="54" t="n">
        <f aca="false">MAX(0,MIN($F20,T$4)-MAX($E20,T$3)+1)/($F20-$E20+1)</f>
        <v>0</v>
      </c>
      <c r="U20" s="54" t="n">
        <f aca="false">MAX(0,MIN($F20,U$4)-MAX($E20,U$3)+1)/($F20-$E20+1)</f>
        <v>0</v>
      </c>
      <c r="V20" s="54" t="n">
        <f aca="false">MAX(0,MIN($F20,V$4)-MAX($E20,V$3)+1)/($F20-$E20+1)</f>
        <v>0</v>
      </c>
      <c r="W20" s="54" t="n">
        <f aca="false">MAX(0,MIN($F20,W$4)-MAX($E20,W$3)+1)/($F20-$E20+1)</f>
        <v>0</v>
      </c>
      <c r="X20" s="54" t="n">
        <f aca="false">MAX(0,MIN($F20,X$4)-MAX($E20,X$3)+1)/($F20-$E20+1)</f>
        <v>0</v>
      </c>
      <c r="Y20" s="54" t="n">
        <f aca="false">MAX(0,MIN($F20,Y$4)-MAX($E20,Y$3)+1)/($F20-$E20+1)</f>
        <v>0</v>
      </c>
      <c r="Z20" s="54" t="n">
        <f aca="false">MAX(0,MIN($F20,Z$4)-MAX($E20,Z$3)+1)/($F20-$E20+1)</f>
        <v>0.0125941136208077</v>
      </c>
      <c r="AA20" s="54" t="n">
        <f aca="false">MAX(0,MIN($F20,AA$4)-MAX($E20,AA$3)+1)/($F20-$E20+1)</f>
        <v>0.0123203285420945</v>
      </c>
      <c r="AB20" s="54" t="n">
        <f aca="false">MAX(0,MIN($F20,AB$4)-MAX($E20,AB$3)+1)/($F20-$E20+1)</f>
        <v>0.0124572210814511</v>
      </c>
      <c r="AC20" s="54" t="n">
        <f aca="false">MAX(0,MIN($F20,AC$4)-MAX($E20,AC$3)+1)/($F20-$E20+1)</f>
        <v>0.0125941136208077</v>
      </c>
      <c r="AD20" s="54" t="n">
        <f aca="false">MAX(0,MIN($F20,AD$4)-MAX($E20,AD$3)+1)/($F20-$E20+1)</f>
        <v>0.0125941136208077</v>
      </c>
      <c r="AE20" s="54" t="n">
        <f aca="false">MAX(0,MIN($F20,AE$4)-MAX($E20,AE$3)+1)/($F20-$E20+1)</f>
        <v>0.0124572210814511</v>
      </c>
      <c r="AF20" s="54" t="n">
        <f aca="false">MAX(0,MIN($F20,AF$4)-MAX($E20,AF$3)+1)/($F20-$E20+1)</f>
        <v>0.0124572210814511</v>
      </c>
      <c r="AG20" s="54" t="n">
        <f aca="false">MAX(0,MIN($F20,AG$4)-MAX($E20,AG$3)+1)/($F20-$E20+1)</f>
        <v>0.0125941136208077</v>
      </c>
      <c r="AH20" s="54" t="n">
        <f aca="false">MAX(0,MIN($F20,AH$4)-MAX($E20,AH$3)+1)/($F20-$E20+1)</f>
        <v>0.0125941136208077</v>
      </c>
      <c r="AI20" s="54" t="n">
        <f aca="false">MAX(0,MIN($F20,AI$4)-MAX($E20,AI$3)+1)/($F20-$E20+1)</f>
        <v>0.0123203285420945</v>
      </c>
      <c r="AJ20" s="54" t="n">
        <f aca="false">MAX(0,MIN($F20,AJ$4)-MAX($E20,AJ$3)+1)/($F20-$E20+1)</f>
        <v>0.0124572210814511</v>
      </c>
      <c r="AK20" s="54" t="n">
        <f aca="false">MAX(0,MIN($F20,AK$4)-MAX($E20,AK$3)+1)/($F20-$E20+1)</f>
        <v>0.0125941136208077</v>
      </c>
      <c r="AL20" s="54" t="n">
        <f aca="false">MAX(0,MIN($F20,AL$4)-MAX($E20,AL$3)+1)/($F20-$E20+1)</f>
        <v>0.0125941136208077</v>
      </c>
      <c r="AM20" s="54" t="n">
        <f aca="false">MAX(0,MIN($F20,AM$4)-MAX($E20,AM$3)+1)/($F20-$E20+1)</f>
        <v>0.0123203285420945</v>
      </c>
      <c r="AN20" s="54" t="n">
        <f aca="false">MAX(0,MIN($F20,AN$4)-MAX($E20,AN$3)+1)/($F20-$E20+1)</f>
        <v>0.0124572210814511</v>
      </c>
      <c r="AO20" s="54" t="n">
        <f aca="false">MAX(0,MIN($F20,AO$4)-MAX($E20,AO$3)+1)/($F20-$E20+1)</f>
        <v>0.0125941136208077</v>
      </c>
      <c r="AP20" s="54" t="n">
        <f aca="false">MAX(0,MIN($F20,AP$4)-MAX($E20,AP$3)+1)/($F20-$E20+1)</f>
        <v>0.0125941136208077</v>
      </c>
      <c r="AQ20" s="54" t="n">
        <f aca="false">MAX(0,MIN($F20,AQ$4)-MAX($E20,AQ$3)+1)/($F20-$E20+1)</f>
        <v>0.0123203285420945</v>
      </c>
      <c r="AR20" s="54" t="n">
        <f aca="false">MAX(0,MIN($F20,AR$4)-MAX($E20,AR$3)+1)/($F20-$E20+1)</f>
        <v>0.0124572210814511</v>
      </c>
      <c r="AS20" s="54" t="n">
        <f aca="false">MAX(0,MIN($F20,AS$4)-MAX($E20,AS$3)+1)/($F20-$E20+1)</f>
        <v>0.0125941136208077</v>
      </c>
      <c r="AT20" s="54" t="n">
        <f aca="false">MAX(0,MIN($F20,AT$4)-MAX($E20,AT$3)+1)/($F20-$E20+1)</f>
        <v>0.0125941136208077</v>
      </c>
      <c r="AU20" s="54" t="n">
        <f aca="false">MAX(0,MIN($F20,AU$4)-MAX($E20,AU$3)+1)/($F20-$E20+1)</f>
        <v>0.0124572210814511</v>
      </c>
      <c r="AV20" s="54" t="n">
        <f aca="false">MAX(0,MIN($F20,AV$4)-MAX($E20,AV$3)+1)/($F20-$E20+1)</f>
        <v>0.0124572210814511</v>
      </c>
      <c r="AW20" s="54" t="n">
        <f aca="false">MAX(0,MIN($F20,AW$4)-MAX($E20,AW$3)+1)/($F20-$E20+1)</f>
        <v>0.0125941136208077</v>
      </c>
      <c r="AX20" s="54" t="n">
        <f aca="false">MAX(0,MIN($F20,AX$4)-MAX($E20,AX$3)+1)/($F20-$E20+1)</f>
        <v>0.0125941136208077</v>
      </c>
      <c r="AY20" s="54" t="n">
        <f aca="false">MAX(0,MIN($F20,AY$4)-MAX($E20,AY$3)+1)/($F20-$E20+1)</f>
        <v>0.0123203285420945</v>
      </c>
      <c r="AZ20" s="54" t="n">
        <f aca="false">MAX(0,MIN($F20,AZ$4)-MAX($E20,AZ$3)+1)/($F20-$E20+1)</f>
        <v>0.0124572210814511</v>
      </c>
      <c r="BA20" s="54" t="n">
        <f aca="false">MAX(0,MIN($F20,BA$4)-MAX($E20,BA$3)+1)/($F20-$E20+1)</f>
        <v>0.0125941136208077</v>
      </c>
      <c r="BB20" s="54" t="n">
        <f aca="false">MAX(0,MIN($F20,BB$4)-MAX($E20,BB$3)+1)/($F20-$E20+1)</f>
        <v>0.0125941136208077</v>
      </c>
      <c r="BC20" s="54" t="n">
        <f aca="false">MAX(0,MIN($F20,BC$4)-MAX($E20,BC$3)+1)/($F20-$E20+1)</f>
        <v>0.0123203285420945</v>
      </c>
      <c r="BD20" s="54" t="n">
        <f aca="false">MAX(0,MIN($F20,BD$4)-MAX($E20,BD$3)+1)/($F20-$E20+1)</f>
        <v>0.0124572210814511</v>
      </c>
      <c r="BE20" s="54" t="n">
        <f aca="false">MAX(0,MIN($F20,BE$4)-MAX($E20,BE$3)+1)/($F20-$E20+1)</f>
        <v>0.0125941136208077</v>
      </c>
      <c r="BF20" s="54" t="n">
        <f aca="false">MAX(0,MIN($F20,BF$4)-MAX($E20,BF$3)+1)/($F20-$E20+1)</f>
        <v>0.0125941136208077</v>
      </c>
      <c r="BG20" s="54" t="n">
        <f aca="false">MAX(0,MIN($F20,BG$4)-MAX($E20,BG$3)+1)/($F20-$E20+1)</f>
        <v>0.0123203285420945</v>
      </c>
      <c r="BH20" s="54" t="n">
        <f aca="false">MAX(0,MIN($F20,BH$4)-MAX($E20,BH$3)+1)/($F20-$E20+1)</f>
        <v>0.0124572210814511</v>
      </c>
      <c r="BI20" s="54" t="n">
        <f aca="false">MAX(0,MIN($F20,BI$4)-MAX($E20,BI$3)+1)/($F20-$E20+1)</f>
        <v>0.0125941136208077</v>
      </c>
      <c r="BJ20" s="54" t="n">
        <f aca="false">MAX(0,MIN($F20,BJ$4)-MAX($E20,BJ$3)+1)/($F20-$E20+1)</f>
        <v>0.0125941136208077</v>
      </c>
      <c r="BK20" s="54" t="n">
        <f aca="false">MAX(0,MIN($F20,BK$4)-MAX($E20,BK$3)+1)/($F20-$E20+1)</f>
        <v>0.0124572210814511</v>
      </c>
      <c r="BL20" s="54" t="n">
        <f aca="false">MAX(0,MIN($F20,BL$4)-MAX($E20,BL$3)+1)/($F20-$E20+1)</f>
        <v>0.0124572210814511</v>
      </c>
      <c r="BM20" s="54" t="n">
        <f aca="false">MAX(0,MIN($F20,BM$4)-MAX($E20,BM$3)+1)/($F20-$E20+1)</f>
        <v>0.0125941136208077</v>
      </c>
      <c r="BN20" s="54" t="n">
        <f aca="false">MAX(0,MIN($F20,BN$4)-MAX($E20,BN$3)+1)/($F20-$E20+1)</f>
        <v>0.0125941136208077</v>
      </c>
      <c r="BO20" s="54" t="n">
        <f aca="false">MAX(0,MIN($F20,BO$4)-MAX($E20,BO$3)+1)/($F20-$E20+1)</f>
        <v>0.0123203285420945</v>
      </c>
      <c r="BP20" s="54" t="n">
        <f aca="false">MAX(0,MIN($F20,BP$4)-MAX($E20,BP$3)+1)/($F20-$E20+1)</f>
        <v>0.0124572210814511</v>
      </c>
      <c r="BQ20" s="54" t="n">
        <f aca="false">MAX(0,MIN($F20,BQ$4)-MAX($E20,BQ$3)+1)/($F20-$E20+1)</f>
        <v>0.0125941136208077</v>
      </c>
      <c r="BR20" s="54" t="n">
        <f aca="false">MAX(0,MIN($F20,BR$4)-MAX($E20,BR$3)+1)/($F20-$E20+1)</f>
        <v>0.0125941136208077</v>
      </c>
      <c r="BS20" s="54" t="n">
        <f aca="false">MAX(0,MIN($F20,BS$4)-MAX($E20,BS$3)+1)/($F20-$E20+1)</f>
        <v>0.0123203285420945</v>
      </c>
      <c r="BT20" s="54" t="n">
        <f aca="false">MAX(0,MIN($F20,BT$4)-MAX($E20,BT$3)+1)/($F20-$E20+1)</f>
        <v>0.0124572210814511</v>
      </c>
      <c r="BU20" s="54" t="n">
        <f aca="false">MAX(0,MIN($F20,BU$4)-MAX($E20,BU$3)+1)/($F20-$E20+1)</f>
        <v>0.0125941136208077</v>
      </c>
      <c r="BV20" s="54" t="n">
        <f aca="false">MAX(0,MIN($F20,BV$4)-MAX($E20,BV$3)+1)/($F20-$E20+1)</f>
        <v>0.0125941136208077</v>
      </c>
      <c r="BW20" s="54" t="n">
        <f aca="false">MAX(0,MIN($F20,BW$4)-MAX($E20,BW$3)+1)/($F20-$E20+1)</f>
        <v>0.0123203285420945</v>
      </c>
      <c r="BX20" s="54" t="n">
        <f aca="false">MAX(0,MIN($F20,BX$4)-MAX($E20,BX$3)+1)/($F20-$E20+1)</f>
        <v>0.0124572210814511</v>
      </c>
      <c r="BY20" s="54" t="n">
        <f aca="false">MAX(0,MIN($F20,BY$4)-MAX($E20,BY$3)+1)/($F20-$E20+1)</f>
        <v>0.0125941136208077</v>
      </c>
      <c r="BZ20" s="54" t="n">
        <f aca="false">MAX(0,MIN($F20,BZ$4)-MAX($E20,BZ$3)+1)/($F20-$E20+1)</f>
        <v>0.0125941136208077</v>
      </c>
      <c r="CA20" s="54" t="n">
        <f aca="false">MAX(0,MIN($F20,CA$4)-MAX($E20,CA$3)+1)/($F20-$E20+1)</f>
        <v>0.0124572210814511</v>
      </c>
      <c r="CB20" s="54" t="n">
        <f aca="false">MAX(0,MIN($F20,CB$4)-MAX($E20,CB$3)+1)/($F20-$E20+1)</f>
        <v>0.0124572210814511</v>
      </c>
      <c r="CC20" s="54" t="n">
        <f aca="false">MAX(0,MIN($F20,CC$4)-MAX($E20,CC$3)+1)/($F20-$E20+1)</f>
        <v>0.0125941136208077</v>
      </c>
      <c r="CD20" s="54" t="n">
        <f aca="false">MAX(0,MIN($F20,CD$4)-MAX($E20,CD$3)+1)/($F20-$E20+1)</f>
        <v>0.0125941136208077</v>
      </c>
      <c r="CE20" s="54" t="n">
        <f aca="false">MAX(0,MIN($F20,CE$4)-MAX($E20,CE$3)+1)/($F20-$E20+1)</f>
        <v>0.0123203285420945</v>
      </c>
      <c r="CF20" s="54" t="n">
        <f aca="false">MAX(0,MIN($F20,CF$4)-MAX($E20,CF$3)+1)/($F20-$E20+1)</f>
        <v>0.0124572210814511</v>
      </c>
      <c r="CG20" s="54" t="n">
        <f aca="false">MAX(0,MIN($F20,CG$4)-MAX($E20,CG$3)+1)/($F20-$E20+1)</f>
        <v>0.0125941136208077</v>
      </c>
      <c r="CH20" s="54" t="n">
        <f aca="false">MAX(0,MIN($F20,CH$4)-MAX($E20,CH$3)+1)/($F20-$E20+1)</f>
        <v>0.0125941136208077</v>
      </c>
      <c r="CI20" s="54" t="n">
        <f aca="false">MAX(0,MIN($F20,CI$4)-MAX($E20,CI$3)+1)/($F20-$E20+1)</f>
        <v>0.0123203285420945</v>
      </c>
      <c r="CJ20" s="54" t="n">
        <f aca="false">MAX(0,MIN($F20,CJ$4)-MAX($E20,CJ$3)+1)/($F20-$E20+1)</f>
        <v>0.0124572210814511</v>
      </c>
      <c r="CK20" s="54" t="n">
        <f aca="false">MAX(0,MIN($F20,CK$4)-MAX($E20,CK$3)+1)/($F20-$E20+1)</f>
        <v>0.0125941136208077</v>
      </c>
      <c r="CL20" s="54" t="n">
        <f aca="false">MAX(0,MIN($F20,CL$4)-MAX($E20,CL$3)+1)/($F20-$E20+1)</f>
        <v>0.0125941136208077</v>
      </c>
      <c r="CM20" s="54" t="n">
        <f aca="false">MAX(0,MIN($F20,CM$4)-MAX($E20,CM$3)+1)/($F20-$E20+1)</f>
        <v>0.0123203285420945</v>
      </c>
      <c r="CN20" s="54" t="n">
        <f aca="false">MAX(0,MIN($F20,CN$4)-MAX($E20,CN$3)+1)/($F20-$E20+1)</f>
        <v>0.0124572210814511</v>
      </c>
      <c r="CO20" s="54" t="n">
        <f aca="false">MAX(0,MIN($F20,CO$4)-MAX($E20,CO$3)+1)/($F20-$E20+1)</f>
        <v>0.0125941136208077</v>
      </c>
      <c r="CP20" s="54" t="n">
        <f aca="false">MAX(0,MIN($F20,CP$4)-MAX($E20,CP$3)+1)/($F20-$E20+1)</f>
        <v>0.0125941136208077</v>
      </c>
      <c r="CQ20" s="54" t="n">
        <f aca="false">MAX(0,MIN($F20,CQ$4)-MAX($E20,CQ$3)+1)/($F20-$E20+1)</f>
        <v>0.0124572210814511</v>
      </c>
      <c r="CR20" s="54" t="n">
        <f aca="false">MAX(0,MIN($F20,CR$4)-MAX($E20,CR$3)+1)/($F20-$E20+1)</f>
        <v>0.0124572210814511</v>
      </c>
      <c r="CS20" s="54" t="n">
        <f aca="false">MAX(0,MIN($F20,CS$4)-MAX($E20,CS$3)+1)/($F20-$E20+1)</f>
        <v>0.0125941136208077</v>
      </c>
      <c r="CT20" s="54" t="n">
        <f aca="false">MAX(0,MIN($F20,CT$4)-MAX($E20,CT$3)+1)/($F20-$E20+1)</f>
        <v>0.0125941136208077</v>
      </c>
      <c r="CU20" s="54" t="n">
        <f aca="false">MAX(0,MIN($F20,CU$4)-MAX($E20,CU$3)+1)/($F20-$E20+1)</f>
        <v>0.0123203285420945</v>
      </c>
      <c r="CV20" s="54" t="n">
        <f aca="false">MAX(0,MIN($F20,CV$4)-MAX($E20,CV$3)+1)/($F20-$E20+1)</f>
        <v>0.0124572210814511</v>
      </c>
      <c r="CW20" s="54" t="n">
        <f aca="false">MAX(0,MIN($F20,CW$4)-MAX($E20,CW$3)+1)/($F20-$E20+1)</f>
        <v>0.0125941136208077</v>
      </c>
      <c r="CX20" s="54" t="n">
        <f aca="false">MAX(0,MIN($F20,CX$4)-MAX($E20,CX$3)+1)/($F20-$E20+1)</f>
        <v>0.0125941136208077</v>
      </c>
      <c r="CY20" s="54" t="n">
        <f aca="false">MAX(0,MIN($F20,CY$4)-MAX($E20,CY$3)+1)/($F20-$E20+1)</f>
        <v>0.0123203285420945</v>
      </c>
      <c r="CZ20" s="54" t="n">
        <f aca="false">MAX(0,MIN($F20,CZ$4)-MAX($E20,CZ$3)+1)/($F20-$E20+1)</f>
        <v>0.0124572210814511</v>
      </c>
      <c r="DA20" s="54" t="n">
        <f aca="false">MAX(0,MIN($F20,DA$4)-MAX($E20,DA$3)+1)/($F20-$E20+1)</f>
        <v>0.0125941136208077</v>
      </c>
      <c r="DB20" s="54" t="n">
        <f aca="false">MAX(0,MIN($F20,DB$4)-MAX($E20,DB$3)+1)/($F20-$E20+1)</f>
        <v>0</v>
      </c>
      <c r="DC20" s="54" t="n">
        <f aca="false">MAX(0,MIN($F20,DC$4)-MAX($E20,DC$3)+1)/($F20-$E20+1)</f>
        <v>0</v>
      </c>
      <c r="DD20" s="54" t="n">
        <f aca="false">MAX(0,MIN($F20,DD$4)-MAX($E20,DD$3)+1)/($F20-$E20+1)</f>
        <v>0</v>
      </c>
      <c r="DE20" s="54" t="n">
        <f aca="false">MAX(0,MIN($F20,DE$4)-MAX($E20,DE$3)+1)/($F20-$E20+1)</f>
        <v>0</v>
      </c>
      <c r="DF20" s="54" t="n">
        <f aca="false">MAX(0,MIN($F20,DF$4)-MAX($E20,DF$3)+1)/($F20-$E20+1)</f>
        <v>0</v>
      </c>
      <c r="DG20" s="54" t="n">
        <f aca="false">MAX(0,MIN($F20,DG$4)-MAX($E20,DG$3)+1)/($F20-$E20+1)</f>
        <v>0</v>
      </c>
      <c r="DH20" s="54" t="n">
        <f aca="false">MAX(0,MIN($F20,DH$4)-MAX($E20,DH$3)+1)/($F20-$E20+1)</f>
        <v>0</v>
      </c>
      <c r="DI20" s="54" t="n">
        <f aca="false">MAX(0,MIN($F20,DI$4)-MAX($E20,DI$3)+1)/($F20-$E20+1)</f>
        <v>0</v>
      </c>
      <c r="DJ20" s="54" t="n">
        <f aca="false">MAX(0,MIN($F20,DJ$4)-MAX($E20,DJ$3)+1)/($F20-$E20+1)</f>
        <v>0</v>
      </c>
      <c r="DK20" s="54" t="n">
        <f aca="false">MAX(0,MIN($F20,DK$4)-MAX($E20,DK$3)+1)/($F20-$E20+1)</f>
        <v>0</v>
      </c>
      <c r="DL20" s="54" t="n">
        <f aca="false">MAX(0,MIN($F20,DL$4)-MAX($E20,DL$3)+1)/($F20-$E20+1)</f>
        <v>0</v>
      </c>
      <c r="DM20" s="54" t="n">
        <f aca="false">MAX(0,MIN($F20,DM$4)-MAX($E20,DM$3)+1)/($F20-$E20+1)</f>
        <v>0</v>
      </c>
      <c r="DN20" s="54" t="n">
        <f aca="false">MAX(0,MIN($F20,DN$4)-MAX($E20,DN$3)+1)/($F20-$E20+1)</f>
        <v>0</v>
      </c>
      <c r="DO20" s="54" t="n">
        <f aca="false">MAX(0,MIN($F20,DO$4)-MAX($E20,DO$3)+1)/($F20-$E20+1)</f>
        <v>0</v>
      </c>
      <c r="DP20" s="54" t="n">
        <f aca="false">MAX(0,MIN($F20,DP$4)-MAX($E20,DP$3)+1)/($F20-$E20+1)</f>
        <v>0</v>
      </c>
      <c r="DQ20" s="54" t="n">
        <f aca="false">MAX(0,MIN($F20,DQ$4)-MAX($E20,DQ$3)+1)/($F20-$E20+1)</f>
        <v>0</v>
      </c>
      <c r="DR20" s="54" t="n">
        <f aca="false">MAX(0,MIN($F20,DR$4)-MAX($E20,DR$3)+1)/($F20-$E20+1)</f>
        <v>0</v>
      </c>
      <c r="DS20" s="54" t="n">
        <f aca="false">MAX(0,MIN($F20,DS$4)-MAX($E20,DS$3)+1)/($F20-$E20+1)</f>
        <v>0</v>
      </c>
      <c r="DT20" s="54" t="n">
        <f aca="false">MAX(0,MIN($F20,DT$4)-MAX($E20,DT$3)+1)/($F20-$E20+1)</f>
        <v>0</v>
      </c>
      <c r="DU20" s="54" t="n">
        <f aca="false">MAX(0,MIN($F20,DU$4)-MAX($E20,DU$3)+1)/($F20-$E20+1)</f>
        <v>0</v>
      </c>
      <c r="DV20" s="54" t="n">
        <f aca="false">MAX(0,MIN($F20,DV$4)-MAX($E20,DV$3)+1)/($F20-$E20+1)</f>
        <v>0</v>
      </c>
      <c r="DW20" s="54" t="n">
        <f aca="false">MAX(0,MIN($F20,DW$4)-MAX($E20,DW$3)+1)/($F20-$E20+1)</f>
        <v>0</v>
      </c>
      <c r="DX20" s="54" t="n">
        <f aca="false">MAX(0,MIN($F20,DX$4)-MAX($E20,DX$3)+1)/($F20-$E20+1)</f>
        <v>0</v>
      </c>
      <c r="DY20" s="54" t="n">
        <f aca="false">MAX(0,MIN($F20,DY$4)-MAX($E20,DY$3)+1)/($F20-$E20+1)</f>
        <v>0</v>
      </c>
      <c r="DZ20" s="54" t="n">
        <f aca="false">MAX(0,MIN($F20,DZ$4)-MAX($E20,DZ$3)+1)/($F20-$E20+1)</f>
        <v>0</v>
      </c>
      <c r="EA20" s="54" t="n">
        <f aca="false">MAX(0,MIN($F20,EA$4)-MAX($E20,EA$3)+1)/($F20-$E20+1)</f>
        <v>0</v>
      </c>
      <c r="EB20" s="54" t="n">
        <f aca="false">MAX(0,MIN($F20,EB$4)-MAX($E20,EB$3)+1)/($F20-$E20+1)</f>
        <v>0</v>
      </c>
      <c r="EC20" s="54" t="n">
        <f aca="false">MAX(0,MIN($F20,EC$4)-MAX($E20,EC$3)+1)/($F20-$E20+1)</f>
        <v>0</v>
      </c>
      <c r="ED20" s="54" t="n">
        <f aca="false">MAX(0,MIN($F20,ED$4)-MAX($E20,ED$3)+1)/($F20-$E20+1)</f>
        <v>0</v>
      </c>
      <c r="EE20" s="54" t="n">
        <f aca="false">MAX(0,MIN($F20,EE$4)-MAX($E20,EE$3)+1)/($F20-$E20+1)</f>
        <v>0</v>
      </c>
      <c r="EF20" s="54" t="n">
        <f aca="false">MAX(0,MIN($F20,EF$4)-MAX($E20,EF$3)+1)/($F20-$E20+1)</f>
        <v>0</v>
      </c>
      <c r="EG20" s="54" t="n">
        <f aca="false">MAX(0,MIN($F20,EG$4)-MAX($E20,EG$3)+1)/($F20-$E20+1)</f>
        <v>0</v>
      </c>
      <c r="EH20" s="54" t="n">
        <f aca="false">MAX(0,MIN($F20,EH$4)-MAX($E20,EH$3)+1)/($F20-$E20+1)</f>
        <v>0</v>
      </c>
      <c r="EI20" s="54" t="n">
        <f aca="false">MAX(0,MIN($F20,EI$4)-MAX($E20,EI$3)+1)/($F20-$E20+1)</f>
        <v>0</v>
      </c>
      <c r="EJ20" s="54" t="n">
        <f aca="false">MAX(0,MIN($F20,EJ$4)-MAX($E20,EJ$3)+1)/($F20-$E20+1)</f>
        <v>0</v>
      </c>
      <c r="EK20" s="54" t="n">
        <f aca="false">MAX(0,MIN($F20,EK$4)-MAX($E20,EK$3)+1)/($F20-$E20+1)</f>
        <v>0</v>
      </c>
      <c r="EL20" s="54" t="n">
        <f aca="false">MAX(0,MIN($F20,EL$4)-MAX($E20,EL$3)+1)/($F20-$E20+1)</f>
        <v>0</v>
      </c>
      <c r="EM20" s="54" t="n">
        <f aca="false">MAX(0,MIN($F20,EM$4)-MAX($E20,EM$3)+1)/($F20-$E20+1)</f>
        <v>0</v>
      </c>
      <c r="EN20" s="54" t="n">
        <f aca="false">MAX(0,MIN($F20,EN$4)-MAX($E20,EN$3)+1)/($F20-$E20+1)</f>
        <v>0</v>
      </c>
      <c r="EO20" s="54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398</v>
      </c>
      <c r="D21" s="11" t="s">
        <v>147</v>
      </c>
      <c r="J21" s="43" t="n">
        <f aca="false">ROUNDUP(YEARFRAC(In_COD,J$4),0)*(J$4&gt;In_COD)</f>
        <v>0</v>
      </c>
      <c r="K21" s="43" t="n">
        <f aca="false">ROUNDUP(YEARFRAC(In_COD,K$4),0)*(K$4&gt;In_COD)</f>
        <v>0</v>
      </c>
      <c r="L21" s="43" t="n">
        <f aca="false">ROUNDUP(YEARFRAC(In_COD,L$4),0)*(L$4&gt;In_COD)</f>
        <v>0</v>
      </c>
      <c r="M21" s="43" t="n">
        <f aca="false">ROUNDUP(YEARFRAC(In_COD,M$4),0)*(M$4&gt;In_COD)</f>
        <v>0</v>
      </c>
      <c r="N21" s="43" t="n">
        <f aca="false">ROUNDUP(YEARFRAC(In_COD,N$4),0)*(N$4&gt;In_COD)</f>
        <v>0</v>
      </c>
      <c r="O21" s="43" t="n">
        <f aca="false">ROUNDUP(YEARFRAC(In_COD,O$4),0)*(O$4&gt;In_COD)</f>
        <v>0</v>
      </c>
      <c r="P21" s="43" t="n">
        <f aca="false">ROUNDUP(YEARFRAC(In_COD,P$4),0)*(P$4&gt;In_COD)</f>
        <v>0</v>
      </c>
      <c r="Q21" s="43" t="n">
        <f aca="false">ROUNDUP(YEARFRAC(In_COD,Q$4),0)*(Q$4&gt;In_COD)</f>
        <v>0</v>
      </c>
      <c r="R21" s="43" t="n">
        <f aca="false">ROUNDUP(YEARFRAC(In_COD,R$4),0)*(R$4&gt;In_COD)</f>
        <v>0</v>
      </c>
      <c r="S21" s="43" t="n">
        <f aca="false">ROUNDUP(YEARFRAC(In_COD,S$4),0)*(S$4&gt;In_COD)</f>
        <v>0</v>
      </c>
      <c r="T21" s="43" t="n">
        <f aca="false">ROUNDUP(YEARFRAC(In_COD,T$4),0)*(T$4&gt;In_COD)</f>
        <v>0</v>
      </c>
      <c r="U21" s="43" t="n">
        <f aca="false">ROUNDUP(YEARFRAC(In_COD,U$4),0)*(U$4&gt;In_COD)</f>
        <v>0</v>
      </c>
      <c r="V21" s="43" t="n">
        <f aca="false">ROUNDUP(YEARFRAC(In_COD,V$4),0)*(V$4&gt;In_COD)</f>
        <v>0</v>
      </c>
      <c r="W21" s="43" t="n">
        <f aca="false">ROUNDUP(YEARFRAC(In_COD,W$4),0)*(W$4&gt;In_COD)</f>
        <v>0</v>
      </c>
      <c r="X21" s="43" t="n">
        <f aca="false">ROUNDUP(YEARFRAC(In_COD,X$4),0)*(X$4&gt;In_COD)</f>
        <v>0</v>
      </c>
      <c r="Y21" s="43" t="n">
        <f aca="false">ROUNDUP(YEARFRAC(In_COD,Y$4),0)*(Y$4&gt;In_COD)</f>
        <v>0</v>
      </c>
      <c r="Z21" s="43" t="n">
        <f aca="false">ROUNDUP(YEARFRAC(In_COD,Z$4),0)*(Z$4&gt;In_COD)</f>
        <v>1</v>
      </c>
      <c r="AA21" s="43" t="n">
        <f aca="false">ROUNDUP(YEARFRAC(In_COD,AA$4),0)*(AA$4&gt;In_COD)</f>
        <v>1</v>
      </c>
      <c r="AB21" s="43" t="n">
        <f aca="false">ROUNDUP(YEARFRAC(In_COD,AB$4),0)*(AB$4&gt;In_COD)</f>
        <v>1</v>
      </c>
      <c r="AC21" s="43" t="n">
        <f aca="false">ROUNDUP(YEARFRAC(In_COD,AC$4),0)*(AC$4&gt;In_COD)</f>
        <v>1</v>
      </c>
      <c r="AD21" s="43" t="n">
        <f aca="false">ROUNDUP(YEARFRAC(In_COD,AD$4),0)*(AD$4&gt;In_COD)</f>
        <v>2</v>
      </c>
      <c r="AE21" s="43" t="n">
        <f aca="false">ROUNDUP(YEARFRAC(In_COD,AE$4),0)*(AE$4&gt;In_COD)</f>
        <v>2</v>
      </c>
      <c r="AF21" s="43" t="n">
        <f aca="false">ROUNDUP(YEARFRAC(In_COD,AF$4),0)*(AF$4&gt;In_COD)</f>
        <v>2</v>
      </c>
      <c r="AG21" s="43" t="n">
        <f aca="false">ROUNDUP(YEARFRAC(In_COD,AG$4),0)*(AG$4&gt;In_COD)</f>
        <v>2</v>
      </c>
      <c r="AH21" s="43" t="n">
        <f aca="false">ROUNDUP(YEARFRAC(In_COD,AH$4),0)*(AH$4&gt;In_COD)</f>
        <v>3</v>
      </c>
      <c r="AI21" s="43" t="n">
        <f aca="false">ROUNDUP(YEARFRAC(In_COD,AI$4),0)*(AI$4&gt;In_COD)</f>
        <v>3</v>
      </c>
      <c r="AJ21" s="43" t="n">
        <f aca="false">ROUNDUP(YEARFRAC(In_COD,AJ$4),0)*(AJ$4&gt;In_COD)</f>
        <v>3</v>
      </c>
      <c r="AK21" s="43" t="n">
        <f aca="false">ROUNDUP(YEARFRAC(In_COD,AK$4),0)*(AK$4&gt;In_COD)</f>
        <v>3</v>
      </c>
      <c r="AL21" s="43" t="n">
        <f aca="false">ROUNDUP(YEARFRAC(In_COD,AL$4),0)*(AL$4&gt;In_COD)</f>
        <v>4</v>
      </c>
      <c r="AM21" s="43" t="n">
        <f aca="false">ROUNDUP(YEARFRAC(In_COD,AM$4),0)*(AM$4&gt;In_COD)</f>
        <v>4</v>
      </c>
      <c r="AN21" s="43" t="n">
        <f aca="false">ROUNDUP(YEARFRAC(In_COD,AN$4),0)*(AN$4&gt;In_COD)</f>
        <v>4</v>
      </c>
      <c r="AO21" s="43" t="n">
        <f aca="false">ROUNDUP(YEARFRAC(In_COD,AO$4),0)*(AO$4&gt;In_COD)</f>
        <v>4</v>
      </c>
      <c r="AP21" s="43" t="n">
        <f aca="false">ROUNDUP(YEARFRAC(In_COD,AP$4),0)*(AP$4&gt;In_COD)</f>
        <v>5</v>
      </c>
      <c r="AQ21" s="43" t="n">
        <f aca="false">ROUNDUP(YEARFRAC(In_COD,AQ$4),0)*(AQ$4&gt;In_COD)</f>
        <v>5</v>
      </c>
      <c r="AR21" s="43" t="n">
        <f aca="false">ROUNDUP(YEARFRAC(In_COD,AR$4),0)*(AR$4&gt;In_COD)</f>
        <v>5</v>
      </c>
      <c r="AS21" s="43" t="n">
        <f aca="false">ROUNDUP(YEARFRAC(In_COD,AS$4),0)*(AS$4&gt;In_COD)</f>
        <v>5</v>
      </c>
      <c r="AT21" s="43" t="n">
        <f aca="false">ROUNDUP(YEARFRAC(In_COD,AT$4),0)*(AT$4&gt;In_COD)</f>
        <v>6</v>
      </c>
      <c r="AU21" s="43" t="n">
        <f aca="false">ROUNDUP(YEARFRAC(In_COD,AU$4),0)*(AU$4&gt;In_COD)</f>
        <v>6</v>
      </c>
      <c r="AV21" s="43" t="n">
        <f aca="false">ROUNDUP(YEARFRAC(In_COD,AV$4),0)*(AV$4&gt;In_COD)</f>
        <v>6</v>
      </c>
      <c r="AW21" s="43" t="n">
        <f aca="false">ROUNDUP(YEARFRAC(In_COD,AW$4),0)*(AW$4&gt;In_COD)</f>
        <v>6</v>
      </c>
      <c r="AX21" s="43" t="n">
        <f aca="false">ROUNDUP(YEARFRAC(In_COD,AX$4),0)*(AX$4&gt;In_COD)</f>
        <v>7</v>
      </c>
      <c r="AY21" s="43" t="n">
        <f aca="false">ROUNDUP(YEARFRAC(In_COD,AY$4),0)*(AY$4&gt;In_COD)</f>
        <v>7</v>
      </c>
      <c r="AZ21" s="43" t="n">
        <f aca="false">ROUNDUP(YEARFRAC(In_COD,AZ$4),0)*(AZ$4&gt;In_COD)</f>
        <v>7</v>
      </c>
      <c r="BA21" s="43" t="n">
        <f aca="false">ROUNDUP(YEARFRAC(In_COD,BA$4),0)*(BA$4&gt;In_COD)</f>
        <v>7</v>
      </c>
      <c r="BB21" s="43" t="n">
        <f aca="false">ROUNDUP(YEARFRAC(In_COD,BB$4),0)*(BB$4&gt;In_COD)</f>
        <v>8</v>
      </c>
      <c r="BC21" s="43" t="n">
        <f aca="false">ROUNDUP(YEARFRAC(In_COD,BC$4),0)*(BC$4&gt;In_COD)</f>
        <v>8</v>
      </c>
      <c r="BD21" s="43" t="n">
        <f aca="false">ROUNDUP(YEARFRAC(In_COD,BD$4),0)*(BD$4&gt;In_COD)</f>
        <v>8</v>
      </c>
      <c r="BE21" s="43" t="n">
        <f aca="false">ROUNDUP(YEARFRAC(In_COD,BE$4),0)*(BE$4&gt;In_COD)</f>
        <v>8</v>
      </c>
      <c r="BF21" s="43" t="n">
        <f aca="false">ROUNDUP(YEARFRAC(In_COD,BF$4),0)*(BF$4&gt;In_COD)</f>
        <v>9</v>
      </c>
      <c r="BG21" s="43" t="n">
        <f aca="false">ROUNDUP(YEARFRAC(In_COD,BG$4),0)*(BG$4&gt;In_COD)</f>
        <v>9</v>
      </c>
      <c r="BH21" s="43" t="n">
        <f aca="false">ROUNDUP(YEARFRAC(In_COD,BH$4),0)*(BH$4&gt;In_COD)</f>
        <v>9</v>
      </c>
      <c r="BI21" s="43" t="n">
        <f aca="false">ROUNDUP(YEARFRAC(In_COD,BI$4),0)*(BI$4&gt;In_COD)</f>
        <v>9</v>
      </c>
      <c r="BJ21" s="43" t="n">
        <f aca="false">ROUNDUP(YEARFRAC(In_COD,BJ$4),0)*(BJ$4&gt;In_COD)</f>
        <v>10</v>
      </c>
      <c r="BK21" s="43" t="n">
        <f aca="false">ROUNDUP(YEARFRAC(In_COD,BK$4),0)*(BK$4&gt;In_COD)</f>
        <v>10</v>
      </c>
      <c r="BL21" s="43" t="n">
        <f aca="false">ROUNDUP(YEARFRAC(In_COD,BL$4),0)*(BL$4&gt;In_COD)</f>
        <v>10</v>
      </c>
      <c r="BM21" s="43" t="n">
        <f aca="false">ROUNDUP(YEARFRAC(In_COD,BM$4),0)*(BM$4&gt;In_COD)</f>
        <v>10</v>
      </c>
      <c r="BN21" s="43" t="n">
        <f aca="false">ROUNDUP(YEARFRAC(In_COD,BN$4),0)*(BN$4&gt;In_COD)</f>
        <v>11</v>
      </c>
      <c r="BO21" s="43" t="n">
        <f aca="false">ROUNDUP(YEARFRAC(In_COD,BO$4),0)*(BO$4&gt;In_COD)</f>
        <v>11</v>
      </c>
      <c r="BP21" s="43" t="n">
        <f aca="false">ROUNDUP(YEARFRAC(In_COD,BP$4),0)*(BP$4&gt;In_COD)</f>
        <v>11</v>
      </c>
      <c r="BQ21" s="43" t="n">
        <f aca="false">ROUNDUP(YEARFRAC(In_COD,BQ$4),0)*(BQ$4&gt;In_COD)</f>
        <v>11</v>
      </c>
      <c r="BR21" s="43" t="n">
        <f aca="false">ROUNDUP(YEARFRAC(In_COD,BR$4),0)*(BR$4&gt;In_COD)</f>
        <v>12</v>
      </c>
      <c r="BS21" s="43" t="n">
        <f aca="false">ROUNDUP(YEARFRAC(In_COD,BS$4),0)*(BS$4&gt;In_COD)</f>
        <v>12</v>
      </c>
      <c r="BT21" s="43" t="n">
        <f aca="false">ROUNDUP(YEARFRAC(In_COD,BT$4),0)*(BT$4&gt;In_COD)</f>
        <v>12</v>
      </c>
      <c r="BU21" s="43" t="n">
        <f aca="false">ROUNDUP(YEARFRAC(In_COD,BU$4),0)*(BU$4&gt;In_COD)</f>
        <v>12</v>
      </c>
      <c r="BV21" s="43" t="n">
        <f aca="false">ROUNDUP(YEARFRAC(In_COD,BV$4),0)*(BV$4&gt;In_COD)</f>
        <v>13</v>
      </c>
      <c r="BW21" s="43" t="n">
        <f aca="false">ROUNDUP(YEARFRAC(In_COD,BW$4),0)*(BW$4&gt;In_COD)</f>
        <v>13</v>
      </c>
      <c r="BX21" s="43" t="n">
        <f aca="false">ROUNDUP(YEARFRAC(In_COD,BX$4),0)*(BX$4&gt;In_COD)</f>
        <v>13</v>
      </c>
      <c r="BY21" s="43" t="n">
        <f aca="false">ROUNDUP(YEARFRAC(In_COD,BY$4),0)*(BY$4&gt;In_COD)</f>
        <v>13</v>
      </c>
      <c r="BZ21" s="43" t="n">
        <f aca="false">ROUNDUP(YEARFRAC(In_COD,BZ$4),0)*(BZ$4&gt;In_COD)</f>
        <v>14</v>
      </c>
      <c r="CA21" s="43" t="n">
        <f aca="false">ROUNDUP(YEARFRAC(In_COD,CA$4),0)*(CA$4&gt;In_COD)</f>
        <v>14</v>
      </c>
      <c r="CB21" s="43" t="n">
        <f aca="false">ROUNDUP(YEARFRAC(In_COD,CB$4),0)*(CB$4&gt;In_COD)</f>
        <v>14</v>
      </c>
      <c r="CC21" s="43" t="n">
        <f aca="false">ROUNDUP(YEARFRAC(In_COD,CC$4),0)*(CC$4&gt;In_COD)</f>
        <v>14</v>
      </c>
      <c r="CD21" s="43" t="n">
        <f aca="false">ROUNDUP(YEARFRAC(In_COD,CD$4),0)*(CD$4&gt;In_COD)</f>
        <v>15</v>
      </c>
      <c r="CE21" s="43" t="n">
        <f aca="false">ROUNDUP(YEARFRAC(In_COD,CE$4),0)*(CE$4&gt;In_COD)</f>
        <v>15</v>
      </c>
      <c r="CF21" s="43" t="n">
        <f aca="false">ROUNDUP(YEARFRAC(In_COD,CF$4),0)*(CF$4&gt;In_COD)</f>
        <v>15</v>
      </c>
      <c r="CG21" s="43" t="n">
        <f aca="false">ROUNDUP(YEARFRAC(In_COD,CG$4),0)*(CG$4&gt;In_COD)</f>
        <v>15</v>
      </c>
      <c r="CH21" s="43" t="n">
        <f aca="false">ROUNDUP(YEARFRAC(In_COD,CH$4),0)*(CH$4&gt;In_COD)</f>
        <v>16</v>
      </c>
      <c r="CI21" s="43" t="n">
        <f aca="false">ROUNDUP(YEARFRAC(In_COD,CI$4),0)*(CI$4&gt;In_COD)</f>
        <v>16</v>
      </c>
      <c r="CJ21" s="43" t="n">
        <f aca="false">ROUNDUP(YEARFRAC(In_COD,CJ$4),0)*(CJ$4&gt;In_COD)</f>
        <v>16</v>
      </c>
      <c r="CK21" s="43" t="n">
        <f aca="false">ROUNDUP(YEARFRAC(In_COD,CK$4),0)*(CK$4&gt;In_COD)</f>
        <v>16</v>
      </c>
      <c r="CL21" s="43" t="n">
        <f aca="false">ROUNDUP(YEARFRAC(In_COD,CL$4),0)*(CL$4&gt;In_COD)</f>
        <v>17</v>
      </c>
      <c r="CM21" s="43" t="n">
        <f aca="false">ROUNDUP(YEARFRAC(In_COD,CM$4),0)*(CM$4&gt;In_COD)</f>
        <v>17</v>
      </c>
      <c r="CN21" s="43" t="n">
        <f aca="false">ROUNDUP(YEARFRAC(In_COD,CN$4),0)*(CN$4&gt;In_COD)</f>
        <v>17</v>
      </c>
      <c r="CO21" s="43" t="n">
        <f aca="false">ROUNDUP(YEARFRAC(In_COD,CO$4),0)*(CO$4&gt;In_COD)</f>
        <v>17</v>
      </c>
      <c r="CP21" s="43" t="n">
        <f aca="false">ROUNDUP(YEARFRAC(In_COD,CP$4),0)*(CP$4&gt;In_COD)</f>
        <v>18</v>
      </c>
      <c r="CQ21" s="43" t="n">
        <f aca="false">ROUNDUP(YEARFRAC(In_COD,CQ$4),0)*(CQ$4&gt;In_COD)</f>
        <v>18</v>
      </c>
      <c r="CR21" s="43" t="n">
        <f aca="false">ROUNDUP(YEARFRAC(In_COD,CR$4),0)*(CR$4&gt;In_COD)</f>
        <v>18</v>
      </c>
      <c r="CS21" s="43" t="n">
        <f aca="false">ROUNDUP(YEARFRAC(In_COD,CS$4),0)*(CS$4&gt;In_COD)</f>
        <v>18</v>
      </c>
      <c r="CT21" s="43" t="n">
        <f aca="false">ROUNDUP(YEARFRAC(In_COD,CT$4),0)*(CT$4&gt;In_COD)</f>
        <v>19</v>
      </c>
      <c r="CU21" s="43" t="n">
        <f aca="false">ROUNDUP(YEARFRAC(In_COD,CU$4),0)*(CU$4&gt;In_COD)</f>
        <v>19</v>
      </c>
      <c r="CV21" s="43" t="n">
        <f aca="false">ROUNDUP(YEARFRAC(In_COD,CV$4),0)*(CV$4&gt;In_COD)</f>
        <v>19</v>
      </c>
      <c r="CW21" s="43" t="n">
        <f aca="false">ROUNDUP(YEARFRAC(In_COD,CW$4),0)*(CW$4&gt;In_COD)</f>
        <v>19</v>
      </c>
      <c r="CX21" s="43" t="n">
        <f aca="false">ROUNDUP(YEARFRAC(In_COD,CX$4),0)*(CX$4&gt;In_COD)</f>
        <v>20</v>
      </c>
      <c r="CY21" s="43" t="n">
        <f aca="false">ROUNDUP(YEARFRAC(In_COD,CY$4),0)*(CY$4&gt;In_COD)</f>
        <v>20</v>
      </c>
      <c r="CZ21" s="43" t="n">
        <f aca="false">ROUNDUP(YEARFRAC(In_COD,CZ$4),0)*(CZ$4&gt;In_COD)</f>
        <v>20</v>
      </c>
      <c r="DA21" s="43" t="n">
        <f aca="false">ROUNDUP(YEARFRAC(In_COD,DA$4),0)*(DA$4&gt;In_COD)</f>
        <v>20</v>
      </c>
      <c r="DB21" s="43" t="n">
        <f aca="false">ROUNDUP(YEARFRAC(In_COD,DB$4),0)*(DB$4&gt;In_COD)</f>
        <v>21</v>
      </c>
      <c r="DC21" s="43" t="n">
        <f aca="false">ROUNDUP(YEARFRAC(In_COD,DC$4),0)*(DC$4&gt;In_COD)</f>
        <v>21</v>
      </c>
      <c r="DD21" s="43" t="n">
        <f aca="false">ROUNDUP(YEARFRAC(In_COD,DD$4),0)*(DD$4&gt;In_COD)</f>
        <v>21</v>
      </c>
      <c r="DE21" s="43" t="n">
        <f aca="false">ROUNDUP(YEARFRAC(In_COD,DE$4),0)*(DE$4&gt;In_COD)</f>
        <v>21</v>
      </c>
      <c r="DF21" s="43" t="n">
        <f aca="false">ROUNDUP(YEARFRAC(In_COD,DF$4),0)*(DF$4&gt;In_COD)</f>
        <v>22</v>
      </c>
      <c r="DG21" s="43" t="n">
        <f aca="false">ROUNDUP(YEARFRAC(In_COD,DG$4),0)*(DG$4&gt;In_COD)</f>
        <v>22</v>
      </c>
      <c r="DH21" s="43" t="n">
        <f aca="false">ROUNDUP(YEARFRAC(In_COD,DH$4),0)*(DH$4&gt;In_COD)</f>
        <v>22</v>
      </c>
      <c r="DI21" s="43" t="n">
        <f aca="false">ROUNDUP(YEARFRAC(In_COD,DI$4),0)*(DI$4&gt;In_COD)</f>
        <v>22</v>
      </c>
      <c r="DJ21" s="43" t="n">
        <f aca="false">ROUNDUP(YEARFRAC(In_COD,DJ$4),0)*(DJ$4&gt;In_COD)</f>
        <v>23</v>
      </c>
      <c r="DK21" s="43" t="n">
        <f aca="false">ROUNDUP(YEARFRAC(In_COD,DK$4),0)*(DK$4&gt;In_COD)</f>
        <v>23</v>
      </c>
      <c r="DL21" s="43" t="n">
        <f aca="false">ROUNDUP(YEARFRAC(In_COD,DL$4),0)*(DL$4&gt;In_COD)</f>
        <v>23</v>
      </c>
      <c r="DM21" s="43" t="n">
        <f aca="false">ROUNDUP(YEARFRAC(In_COD,DM$4),0)*(DM$4&gt;In_COD)</f>
        <v>23</v>
      </c>
      <c r="DN21" s="43" t="n">
        <f aca="false">ROUNDUP(YEARFRAC(In_COD,DN$4),0)*(DN$4&gt;In_COD)</f>
        <v>24</v>
      </c>
      <c r="DO21" s="43" t="n">
        <f aca="false">ROUNDUP(YEARFRAC(In_COD,DO$4),0)*(DO$4&gt;In_COD)</f>
        <v>24</v>
      </c>
      <c r="DP21" s="43" t="n">
        <f aca="false">ROUNDUP(YEARFRAC(In_COD,DP$4),0)*(DP$4&gt;In_COD)</f>
        <v>24</v>
      </c>
      <c r="DQ21" s="43" t="n">
        <f aca="false">ROUNDUP(YEARFRAC(In_COD,DQ$4),0)*(DQ$4&gt;In_COD)</f>
        <v>24</v>
      </c>
      <c r="DR21" s="43" t="n">
        <f aca="false">ROUNDUP(YEARFRAC(In_COD,DR$4),0)*(DR$4&gt;In_COD)</f>
        <v>25</v>
      </c>
      <c r="DS21" s="43" t="n">
        <f aca="false">ROUNDUP(YEARFRAC(In_COD,DS$4),0)*(DS$4&gt;In_COD)</f>
        <v>25</v>
      </c>
      <c r="DT21" s="43" t="n">
        <f aca="false">ROUNDUP(YEARFRAC(In_COD,DT$4),0)*(DT$4&gt;In_COD)</f>
        <v>25</v>
      </c>
      <c r="DU21" s="43" t="n">
        <f aca="false">ROUNDUP(YEARFRAC(In_COD,DU$4),0)*(DU$4&gt;In_COD)</f>
        <v>25</v>
      </c>
      <c r="DV21" s="43" t="n">
        <f aca="false">ROUNDUP(YEARFRAC(In_COD,DV$4),0)*(DV$4&gt;In_COD)</f>
        <v>26</v>
      </c>
      <c r="DW21" s="43" t="n">
        <f aca="false">ROUNDUP(YEARFRAC(In_COD,DW$4),0)*(DW$4&gt;In_COD)</f>
        <v>26</v>
      </c>
      <c r="DX21" s="43" t="n">
        <f aca="false">ROUNDUP(YEARFRAC(In_COD,DX$4),0)*(DX$4&gt;In_COD)</f>
        <v>26</v>
      </c>
      <c r="DY21" s="43" t="n">
        <f aca="false">ROUNDUP(YEARFRAC(In_COD,DY$4),0)*(DY$4&gt;In_COD)</f>
        <v>26</v>
      </c>
      <c r="DZ21" s="43" t="n">
        <f aca="false">ROUNDUP(YEARFRAC(In_COD,DZ$4),0)*(DZ$4&gt;In_COD)</f>
        <v>27</v>
      </c>
      <c r="EA21" s="43" t="n">
        <f aca="false">ROUNDUP(YEARFRAC(In_COD,EA$4),0)*(EA$4&gt;In_COD)</f>
        <v>27</v>
      </c>
      <c r="EB21" s="43" t="n">
        <f aca="false">ROUNDUP(YEARFRAC(In_COD,EB$4),0)*(EB$4&gt;In_COD)</f>
        <v>27</v>
      </c>
      <c r="EC21" s="43" t="n">
        <f aca="false">ROUNDUP(YEARFRAC(In_COD,EC$4),0)*(EC$4&gt;In_COD)</f>
        <v>27</v>
      </c>
      <c r="ED21" s="43" t="n">
        <f aca="false">ROUNDUP(YEARFRAC(In_COD,ED$4),0)*(ED$4&gt;In_COD)</f>
        <v>28</v>
      </c>
      <c r="EE21" s="43" t="n">
        <f aca="false">ROUNDUP(YEARFRAC(In_COD,EE$4),0)*(EE$4&gt;In_COD)</f>
        <v>28</v>
      </c>
      <c r="EF21" s="43" t="n">
        <f aca="false">ROUNDUP(YEARFRAC(In_COD,EF$4),0)*(EF$4&gt;In_COD)</f>
        <v>28</v>
      </c>
      <c r="EG21" s="43" t="n">
        <f aca="false">ROUNDUP(YEARFRAC(In_COD,EG$4),0)*(EG$4&gt;In_COD)</f>
        <v>28</v>
      </c>
      <c r="EH21" s="43" t="n">
        <f aca="false">ROUNDUP(YEARFRAC(In_COD,EH$4),0)*(EH$4&gt;In_COD)</f>
        <v>29</v>
      </c>
      <c r="EI21" s="43" t="n">
        <f aca="false">ROUNDUP(YEARFRAC(In_COD,EI$4),0)*(EI$4&gt;In_COD)</f>
        <v>29</v>
      </c>
      <c r="EJ21" s="43" t="n">
        <f aca="false">ROUNDUP(YEARFRAC(In_COD,EJ$4),0)*(EJ$4&gt;In_COD)</f>
        <v>29</v>
      </c>
      <c r="EK21" s="43" t="n">
        <f aca="false">ROUNDUP(YEARFRAC(In_COD,EK$4),0)*(EK$4&gt;In_COD)</f>
        <v>29</v>
      </c>
      <c r="EL21" s="43" t="n">
        <f aca="false">ROUNDUP(YEARFRAC(In_COD,EL$4),0)*(EL$4&gt;In_COD)</f>
        <v>30</v>
      </c>
      <c r="EM21" s="43" t="n">
        <f aca="false">ROUNDUP(YEARFRAC(In_COD,EM$4),0)*(EM$4&gt;In_COD)</f>
        <v>30</v>
      </c>
      <c r="EN21" s="43" t="n">
        <f aca="false">ROUNDUP(YEARFRAC(In_COD,EN$4),0)*(EN$4&gt;In_COD)</f>
        <v>30</v>
      </c>
      <c r="EO21" s="43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399</v>
      </c>
      <c r="D22" s="11" t="s">
        <v>386</v>
      </c>
      <c r="E22" s="54" t="n">
        <f aca="false">SUMIF($J$4:$EO$4,In_COD,$J22:$EO22)</f>
        <v>1.21988954770292</v>
      </c>
      <c r="F22" s="55" t="n">
        <f aca="false">In_Debt_Rate*Months_Per_Period/Months_In_Year</f>
        <v>0.0125</v>
      </c>
      <c r="J22" s="54" t="n">
        <f aca="false">(1+$F22)^J$8</f>
        <v>1.0125</v>
      </c>
      <c r="K22" s="54" t="n">
        <f aca="false">(1+$F22)^K$8</f>
        <v>1.02515625</v>
      </c>
      <c r="L22" s="54" t="n">
        <f aca="false">(1+$F22)^L$8</f>
        <v>1.037970703125</v>
      </c>
      <c r="M22" s="54" t="n">
        <f aca="false">(1+$F22)^M$8</f>
        <v>1.05094533691406</v>
      </c>
      <c r="N22" s="54" t="n">
        <f aca="false">(1+$F22)^N$8</f>
        <v>1.06408215362549</v>
      </c>
      <c r="O22" s="54" t="n">
        <f aca="false">(1+$F22)^O$8</f>
        <v>1.07738318054581</v>
      </c>
      <c r="P22" s="54" t="n">
        <f aca="false">(1+$F22)^P$8</f>
        <v>1.09085047030263</v>
      </c>
      <c r="Q22" s="54" t="n">
        <f aca="false">(1+$F22)^Q$8</f>
        <v>1.10448610118141</v>
      </c>
      <c r="R22" s="54" t="n">
        <f aca="false">(1+$F22)^R$8</f>
        <v>1.11829217744618</v>
      </c>
      <c r="S22" s="54" t="n">
        <f aca="false">(1+$F22)^S$8</f>
        <v>1.13227082966426</v>
      </c>
      <c r="T22" s="54" t="n">
        <f aca="false">(1+$F22)^T$8</f>
        <v>1.14642421503506</v>
      </c>
      <c r="U22" s="54" t="n">
        <f aca="false">(1+$F22)^U$8</f>
        <v>1.160754517723</v>
      </c>
      <c r="V22" s="54" t="n">
        <f aca="false">(1+$F22)^V$8</f>
        <v>1.17526394919454</v>
      </c>
      <c r="W22" s="54" t="n">
        <f aca="false">(1+$F22)^W$8</f>
        <v>1.18995474855947</v>
      </c>
      <c r="X22" s="54" t="n">
        <f aca="false">(1+$F22)^X$8</f>
        <v>1.20482918291646</v>
      </c>
      <c r="Y22" s="54" t="n">
        <f aca="false">(1+$F22)^Y$8</f>
        <v>1.21988954770292</v>
      </c>
      <c r="Z22" s="54" t="n">
        <f aca="false">(1+$F22)^Z$8</f>
        <v>1.2351381670492</v>
      </c>
      <c r="AA22" s="54" t="n">
        <f aca="false">(1+$F22)^AA$8</f>
        <v>1.25057739413732</v>
      </c>
      <c r="AB22" s="54" t="n">
        <f aca="false">(1+$F22)^AB$8</f>
        <v>1.26620961156403</v>
      </c>
      <c r="AC22" s="54" t="n">
        <f aca="false">(1+$F22)^AC$8</f>
        <v>1.28203723170858</v>
      </c>
      <c r="AD22" s="54" t="n">
        <f aca="false">(1+$F22)^AD$8</f>
        <v>1.29806269710494</v>
      </c>
      <c r="AE22" s="54" t="n">
        <f aca="false">(1+$F22)^AE$8</f>
        <v>1.31428848081875</v>
      </c>
      <c r="AF22" s="54" t="n">
        <f aca="false">(1+$F22)^AF$8</f>
        <v>1.33071708682899</v>
      </c>
      <c r="AG22" s="54" t="n">
        <f aca="false">(1+$F22)^AG$8</f>
        <v>1.34735105041435</v>
      </c>
      <c r="AH22" s="54" t="n">
        <f aca="false">(1+$F22)^AH$8</f>
        <v>1.36419293854453</v>
      </c>
      <c r="AI22" s="54" t="n">
        <f aca="false">(1+$F22)^AI$8</f>
        <v>1.38124535027634</v>
      </c>
      <c r="AJ22" s="54" t="n">
        <f aca="false">(1+$F22)^AJ$8</f>
        <v>1.39851091715479</v>
      </c>
      <c r="AK22" s="54" t="n">
        <f aca="false">(1+$F22)^AK$8</f>
        <v>1.41599230361922</v>
      </c>
      <c r="AL22" s="54" t="n">
        <f aca="false">(1+$F22)^AL$8</f>
        <v>1.43369220741447</v>
      </c>
      <c r="AM22" s="54" t="n">
        <f aca="false">(1+$F22)^AM$8</f>
        <v>1.45161336000715</v>
      </c>
      <c r="AN22" s="54" t="n">
        <f aca="false">(1+$F22)^AN$8</f>
        <v>1.46975852700724</v>
      </c>
      <c r="AO22" s="54" t="n">
        <f aca="false">(1+$F22)^AO$8</f>
        <v>1.48813050859483</v>
      </c>
      <c r="AP22" s="54" t="n">
        <f aca="false">(1+$F22)^AP$8</f>
        <v>1.50673213995226</v>
      </c>
      <c r="AQ22" s="54" t="n">
        <f aca="false">(1+$F22)^AQ$8</f>
        <v>1.52556629170166</v>
      </c>
      <c r="AR22" s="54" t="n">
        <f aca="false">(1+$F22)^AR$8</f>
        <v>1.54463587034793</v>
      </c>
      <c r="AS22" s="54" t="n">
        <f aca="false">(1+$F22)^AS$8</f>
        <v>1.56394381872728</v>
      </c>
      <c r="AT22" s="54" t="n">
        <f aca="false">(1+$F22)^AT$8</f>
        <v>1.58349311646137</v>
      </c>
      <c r="AU22" s="54" t="n">
        <f aca="false">(1+$F22)^AU$8</f>
        <v>1.60328678041714</v>
      </c>
      <c r="AV22" s="54" t="n">
        <f aca="false">(1+$F22)^AV$8</f>
        <v>1.62332786517236</v>
      </c>
      <c r="AW22" s="54" t="n">
        <f aca="false">(1+$F22)^AW$8</f>
        <v>1.64361946348701</v>
      </c>
      <c r="AX22" s="54" t="n">
        <f aca="false">(1+$F22)^AX$8</f>
        <v>1.6641647067806</v>
      </c>
      <c r="AY22" s="54" t="n">
        <f aca="false">(1+$F22)^AY$8</f>
        <v>1.68496676561536</v>
      </c>
      <c r="AZ22" s="54" t="n">
        <f aca="false">(1+$F22)^AZ$8</f>
        <v>1.70602885018555</v>
      </c>
      <c r="BA22" s="54" t="n">
        <f aca="false">(1+$F22)^BA$8</f>
        <v>1.72735421081287</v>
      </c>
      <c r="BB22" s="54" t="n">
        <f aca="false">(1+$F22)^BB$8</f>
        <v>1.74894613844803</v>
      </c>
      <c r="BC22" s="54" t="n">
        <f aca="false">(1+$F22)^BC$8</f>
        <v>1.77080796517863</v>
      </c>
      <c r="BD22" s="54" t="n">
        <f aca="false">(1+$F22)^BD$8</f>
        <v>1.79294306474336</v>
      </c>
      <c r="BE22" s="54" t="n">
        <f aca="false">(1+$F22)^BE$8</f>
        <v>1.81535485305265</v>
      </c>
      <c r="BF22" s="54" t="n">
        <f aca="false">(1+$F22)^BF$8</f>
        <v>1.83804678871581</v>
      </c>
      <c r="BG22" s="54" t="n">
        <f aca="false">(1+$F22)^BG$8</f>
        <v>1.86102237357476</v>
      </c>
      <c r="BH22" s="54" t="n">
        <f aca="false">(1+$F22)^BH$8</f>
        <v>1.88428515324444</v>
      </c>
      <c r="BI22" s="54" t="n">
        <f aca="false">(1+$F22)^BI$8</f>
        <v>1.90783871766</v>
      </c>
      <c r="BJ22" s="54" t="n">
        <f aca="false">(1+$F22)^BJ$8</f>
        <v>1.93168670163075</v>
      </c>
      <c r="BK22" s="54" t="n">
        <f aca="false">(1+$F22)^BK$8</f>
        <v>1.95583278540113</v>
      </c>
      <c r="BL22" s="54" t="n">
        <f aca="false">(1+$F22)^BL$8</f>
        <v>1.98028069521865</v>
      </c>
      <c r="BM22" s="54" t="n">
        <f aca="false">(1+$F22)^BM$8</f>
        <v>2.00503420390888</v>
      </c>
      <c r="BN22" s="54" t="n">
        <f aca="false">(1+$F22)^BN$8</f>
        <v>2.03009713145774</v>
      </c>
      <c r="BO22" s="54" t="n">
        <f aca="false">(1+$F22)^BO$8</f>
        <v>2.05547334560096</v>
      </c>
      <c r="BP22" s="54" t="n">
        <f aca="false">(1+$F22)^BP$8</f>
        <v>2.08116676242097</v>
      </c>
      <c r="BQ22" s="54" t="n">
        <f aca="false">(1+$F22)^BQ$8</f>
        <v>2.10718134695124</v>
      </c>
      <c r="BR22" s="54" t="n">
        <f aca="false">(1+$F22)^BR$8</f>
        <v>2.13352111378813</v>
      </c>
      <c r="BS22" s="54" t="n">
        <f aca="false">(1+$F22)^BS$8</f>
        <v>2.16019012771048</v>
      </c>
      <c r="BT22" s="54" t="n">
        <f aca="false">(1+$F22)^BT$8</f>
        <v>2.18719250430686</v>
      </c>
      <c r="BU22" s="54" t="n">
        <f aca="false">(1+$F22)^BU$8</f>
        <v>2.21453241061069</v>
      </c>
      <c r="BV22" s="54" t="n">
        <f aca="false">(1+$F22)^BV$8</f>
        <v>2.24221406574333</v>
      </c>
      <c r="BW22" s="54" t="n">
        <f aca="false">(1+$F22)^BW$8</f>
        <v>2.27024174156512</v>
      </c>
      <c r="BX22" s="54" t="n">
        <f aca="false">(1+$F22)^BX$8</f>
        <v>2.29861976333468</v>
      </c>
      <c r="BY22" s="54" t="n">
        <f aca="false">(1+$F22)^BY$8</f>
        <v>2.32735251037637</v>
      </c>
      <c r="BZ22" s="54" t="n">
        <f aca="false">(1+$F22)^BZ$8</f>
        <v>2.35644441675607</v>
      </c>
      <c r="CA22" s="54" t="n">
        <f aca="false">(1+$F22)^CA$8</f>
        <v>2.38589997196552</v>
      </c>
      <c r="CB22" s="54" t="n">
        <f aca="false">(1+$F22)^CB$8</f>
        <v>2.41572372161509</v>
      </c>
      <c r="CC22" s="54" t="n">
        <f aca="false">(1+$F22)^CC$8</f>
        <v>2.44592026813528</v>
      </c>
      <c r="CD22" s="54" t="n">
        <f aca="false">(1+$F22)^CD$8</f>
        <v>2.47649427148697</v>
      </c>
      <c r="CE22" s="54" t="n">
        <f aca="false">(1+$F22)^CE$8</f>
        <v>2.50745044988056</v>
      </c>
      <c r="CF22" s="54" t="n">
        <f aca="false">(1+$F22)^CF$8</f>
        <v>2.53879358050406</v>
      </c>
      <c r="CG22" s="54" t="n">
        <f aca="false">(1+$F22)^CG$8</f>
        <v>2.57052850026036</v>
      </c>
      <c r="CH22" s="54" t="n">
        <f aca="false">(1+$F22)^CH$8</f>
        <v>2.60266010651362</v>
      </c>
      <c r="CI22" s="54" t="n">
        <f aca="false">(1+$F22)^CI$8</f>
        <v>2.63519335784504</v>
      </c>
      <c r="CJ22" s="54" t="n">
        <f aca="false">(1+$F22)^CJ$8</f>
        <v>2.6681332748181</v>
      </c>
      <c r="CK22" s="54" t="n">
        <f aca="false">(1+$F22)^CK$8</f>
        <v>2.70148494075333</v>
      </c>
      <c r="CL22" s="54" t="n">
        <f aca="false">(1+$F22)^CL$8</f>
        <v>2.73525350251274</v>
      </c>
      <c r="CM22" s="54" t="n">
        <f aca="false">(1+$F22)^CM$8</f>
        <v>2.76944417129415</v>
      </c>
      <c r="CN22" s="54" t="n">
        <f aca="false">(1+$F22)^CN$8</f>
        <v>2.80406222343533</v>
      </c>
      <c r="CO22" s="54" t="n">
        <f aca="false">(1+$F22)^CO$8</f>
        <v>2.83911300122827</v>
      </c>
      <c r="CP22" s="54" t="n">
        <f aca="false">(1+$F22)^CP$8</f>
        <v>2.87460191374363</v>
      </c>
      <c r="CQ22" s="54" t="n">
        <f aca="false">(1+$F22)^CQ$8</f>
        <v>2.91053443766542</v>
      </c>
      <c r="CR22" s="54" t="n">
        <f aca="false">(1+$F22)^CR$8</f>
        <v>2.94691611813624</v>
      </c>
      <c r="CS22" s="54" t="n">
        <f aca="false">(1+$F22)^CS$8</f>
        <v>2.98375256961294</v>
      </c>
      <c r="CT22" s="54" t="n">
        <f aca="false">(1+$F22)^CT$8</f>
        <v>3.0210494767331</v>
      </c>
      <c r="CU22" s="54" t="n">
        <f aca="false">(1+$F22)^CU$8</f>
        <v>3.05881259519227</v>
      </c>
      <c r="CV22" s="54" t="n">
        <f aca="false">(1+$F22)^CV$8</f>
        <v>3.09704775263217</v>
      </c>
      <c r="CW22" s="54" t="n">
        <f aca="false">(1+$F22)^CW$8</f>
        <v>3.13576084954007</v>
      </c>
      <c r="CX22" s="54" t="n">
        <f aca="false">(1+$F22)^CX$8</f>
        <v>3.17495786015932</v>
      </c>
      <c r="CY22" s="54" t="n">
        <f aca="false">(1+$F22)^CY$8</f>
        <v>3.21464483341131</v>
      </c>
      <c r="CZ22" s="54" t="n">
        <f aca="false">(1+$F22)^CZ$8</f>
        <v>3.25482789382895</v>
      </c>
      <c r="DA22" s="54" t="n">
        <f aca="false">(1+$F22)^DA$8</f>
        <v>3.29551324250182</v>
      </c>
      <c r="DB22" s="54" t="n">
        <f aca="false">(1+$F22)^DB$8</f>
        <v>3.33670715803309</v>
      </c>
      <c r="DC22" s="54" t="n">
        <f aca="false">(1+$F22)^DC$8</f>
        <v>3.3784159975085</v>
      </c>
      <c r="DD22" s="54" t="n">
        <f aca="false">(1+$F22)^DD$8</f>
        <v>3.42064619747736</v>
      </c>
      <c r="DE22" s="54" t="n">
        <f aca="false">(1+$F22)^DE$8</f>
        <v>3.46340427494583</v>
      </c>
      <c r="DF22" s="54" t="n">
        <f aca="false">(1+$F22)^DF$8</f>
        <v>3.50669682838265</v>
      </c>
      <c r="DG22" s="54" t="n">
        <f aca="false">(1+$F22)^DG$8</f>
        <v>3.55053053873743</v>
      </c>
      <c r="DH22" s="54" t="n">
        <f aca="false">(1+$F22)^DH$8</f>
        <v>3.59491217047165</v>
      </c>
      <c r="DI22" s="54" t="n">
        <f aca="false">(1+$F22)^DI$8</f>
        <v>3.63984857260254</v>
      </c>
      <c r="DJ22" s="54" t="n">
        <f aca="false">(1+$F22)^DJ$8</f>
        <v>3.68534667976008</v>
      </c>
      <c r="DK22" s="54" t="n">
        <f aca="false">(1+$F22)^DK$8</f>
        <v>3.73141351325708</v>
      </c>
      <c r="DL22" s="54" t="n">
        <f aca="false">(1+$F22)^DL$8</f>
        <v>3.77805618217279</v>
      </c>
      <c r="DM22" s="54" t="n">
        <f aca="false">(1+$F22)^DM$8</f>
        <v>3.82528188444995</v>
      </c>
      <c r="DN22" s="54" t="n">
        <f aca="false">(1+$F22)^DN$8</f>
        <v>3.87309790800557</v>
      </c>
      <c r="DO22" s="54" t="n">
        <f aca="false">(1+$F22)^DO$8</f>
        <v>3.92151163185564</v>
      </c>
      <c r="DP22" s="54" t="n">
        <f aca="false">(1+$F22)^DP$8</f>
        <v>3.97053052725384</v>
      </c>
      <c r="DQ22" s="54" t="n">
        <f aca="false">(1+$F22)^DQ$8</f>
        <v>4.02016215884451</v>
      </c>
      <c r="DR22" s="54" t="n">
        <f aca="false">(1+$F22)^DR$8</f>
        <v>4.07041418583007</v>
      </c>
      <c r="DS22" s="54" t="n">
        <f aca="false">(1+$F22)^DS$8</f>
        <v>4.12129436315294</v>
      </c>
      <c r="DT22" s="54" t="n">
        <f aca="false">(1+$F22)^DT$8</f>
        <v>4.17281054269235</v>
      </c>
      <c r="DU22" s="54" t="n">
        <f aca="false">(1+$F22)^DU$8</f>
        <v>4.22497067447601</v>
      </c>
      <c r="DV22" s="54" t="n">
        <f aca="false">(1+$F22)^DV$8</f>
        <v>4.27778280790696</v>
      </c>
      <c r="DW22" s="54" t="n">
        <f aca="false">(1+$F22)^DW$8</f>
        <v>4.3312550930058</v>
      </c>
      <c r="DX22" s="54" t="n">
        <f aca="false">(1+$F22)^DX$8</f>
        <v>4.38539578166837</v>
      </c>
      <c r="DY22" s="54" t="n">
        <f aca="false">(1+$F22)^DY$8</f>
        <v>4.44021322893922</v>
      </c>
      <c r="DZ22" s="54" t="n">
        <f aca="false">(1+$F22)^DZ$8</f>
        <v>4.49571589430096</v>
      </c>
      <c r="EA22" s="54" t="n">
        <f aca="false">(1+$F22)^EA$8</f>
        <v>4.55191234297972</v>
      </c>
      <c r="EB22" s="54" t="n">
        <f aca="false">(1+$F22)^EB$8</f>
        <v>4.60881124726697</v>
      </c>
      <c r="EC22" s="54" t="n">
        <f aca="false">(1+$F22)^EC$8</f>
        <v>4.66642138785781</v>
      </c>
      <c r="ED22" s="54" t="n">
        <f aca="false">(1+$F22)^ED$8</f>
        <v>4.72475165520603</v>
      </c>
      <c r="EE22" s="54" t="n">
        <f aca="false">(1+$F22)^EE$8</f>
        <v>4.78381105089611</v>
      </c>
      <c r="EF22" s="54" t="n">
        <f aca="false">(1+$F22)^EF$8</f>
        <v>4.84360868903231</v>
      </c>
      <c r="EG22" s="54" t="n">
        <f aca="false">(1+$F22)^EG$8</f>
        <v>4.90415379764521</v>
      </c>
      <c r="EH22" s="54" t="n">
        <f aca="false">(1+$F22)^EH$8</f>
        <v>4.96545572011577</v>
      </c>
      <c r="EI22" s="54" t="n">
        <f aca="false">(1+$F22)^EI$8</f>
        <v>5.02752391661722</v>
      </c>
      <c r="EJ22" s="54" t="n">
        <f aca="false">(1+$F22)^EJ$8</f>
        <v>5.09036796557494</v>
      </c>
      <c r="EK22" s="54" t="n">
        <f aca="false">(1+$F22)^EK$8</f>
        <v>5.15399756514462</v>
      </c>
      <c r="EL22" s="54" t="n">
        <f aca="false">(1+$F22)^EL$8</f>
        <v>5.21842253470893</v>
      </c>
      <c r="EM22" s="54" t="n">
        <f aca="false">(1+$F22)^EM$8</f>
        <v>5.28365281639279</v>
      </c>
      <c r="EN22" s="54" t="n">
        <f aca="false">(1+$F22)^EN$8</f>
        <v>5.3496984765977</v>
      </c>
      <c r="EO22" s="54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400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401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402</v>
      </c>
      <c r="D26" s="11" t="s">
        <v>62</v>
      </c>
      <c r="E26" s="36" t="n">
        <f aca="false">INDEX(Dash_BESS,1,$A$1)*In_MVA</f>
        <v>10</v>
      </c>
      <c r="F26" s="36" t="n">
        <f aca="false">$E26*In_BESS_Built</f>
        <v>10</v>
      </c>
    </row>
    <row r="27" customFormat="false" ht="15" hidden="false" customHeight="false" outlineLevel="0" collapsed="false">
      <c r="C27" s="0" t="s">
        <v>403</v>
      </c>
      <c r="D27" s="11" t="s">
        <v>70</v>
      </c>
      <c r="E27" s="36" t="n">
        <f aca="false">$E26*INDEX(Dash_BESS_Hours,1,$A$1)</f>
        <v>40</v>
      </c>
    </row>
    <row r="28" customFormat="false" ht="15" hidden="false" customHeight="false" outlineLevel="0" collapsed="false">
      <c r="C28" s="0" t="s">
        <v>404</v>
      </c>
      <c r="D28" s="11" t="s">
        <v>27</v>
      </c>
      <c r="E28" s="55" t="n">
        <f aca="false">($F25-In_MVA)/$F25*In_Bottleneck_Loss</f>
        <v>0.00454545454545455</v>
      </c>
    </row>
    <row r="29" customFormat="false" ht="15" hidden="false" customHeight="false" outlineLevel="0" collapsed="false">
      <c r="C29" s="0" t="s">
        <v>405</v>
      </c>
      <c r="D29" s="11" t="s">
        <v>27</v>
      </c>
      <c r="E29" s="48" t="n">
        <f aca="false">MAX(0,1-$F25/$E25)</f>
        <v>0.0833333333333333</v>
      </c>
      <c r="F29" s="48" t="n">
        <f aca="false">(1-In_BESS_Built)*($E26&gt;0)</f>
        <v>0</v>
      </c>
    </row>
    <row r="31" customFormat="false" ht="15" hidden="false" customHeight="false" outlineLevel="0" collapsed="false">
      <c r="A31" s="9" t="s">
        <v>13</v>
      </c>
      <c r="B31" s="9"/>
      <c r="C31" s="9" t="s">
        <v>406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</row>
    <row r="32" customFormat="false" ht="15" hidden="false" customHeight="false" outlineLevel="0" collapsed="false">
      <c r="C32" s="0" t="s">
        <v>407</v>
      </c>
      <c r="D32" s="11" t="s">
        <v>19</v>
      </c>
      <c r="E32" s="32" t="n">
        <f aca="false">INDEX(Dash_Municipal,1,$A$1)</f>
        <v>50</v>
      </c>
      <c r="F32" s="32" t="n">
        <f aca="false">INDEX(Osz1_Pts,1+SUMPRODUCT((Osz1_LB&lt;$E32)+(Osz1_LB=$E32)*Osz1_Incl))*Osz1_W</f>
        <v>20</v>
      </c>
    </row>
    <row r="33" customFormat="false" ht="15" hidden="false" customHeight="false" outlineLevel="0" collapsed="false">
      <c r="C33" s="0" t="s">
        <v>408</v>
      </c>
      <c r="D33" s="11" t="s">
        <v>24</v>
      </c>
      <c r="E33" s="32" t="n">
        <f aca="false">INDEX(Dash_Community,1,$A$1)</f>
        <v>3</v>
      </c>
      <c r="F33" s="32" t="n">
        <f aca="false">INDEX(Osz2_Pts,1+SUMPRODUCT((Osz2_LB&lt;$E33)+(Osz2_LB=$E33)*Osz2_Incl))*Osz2_W</f>
        <v>15</v>
      </c>
    </row>
    <row r="34" customFormat="false" ht="15" hidden="false" customHeight="false" outlineLevel="0" collapsed="false">
      <c r="C34" s="0" t="s">
        <v>409</v>
      </c>
      <c r="D34" s="11" t="s">
        <v>27</v>
      </c>
      <c r="E34" s="48" t="n">
        <f aca="false">INDEX(Dash_Overbuild,1,$A$1)</f>
        <v>0.2</v>
      </c>
      <c r="F34" s="32" t="n">
        <f aca="false">INDEX(Osz3_Pts,1+SUMPRODUCT((Osz3_LB&lt;$E34)+(Osz3_LB=$E34)*Osz3_Incl))*Osz3_W</f>
        <v>5</v>
      </c>
    </row>
    <row r="35" customFormat="false" ht="15" hidden="false" customHeight="false" outlineLevel="0" collapsed="false">
      <c r="C35" s="0" t="s">
        <v>410</v>
      </c>
      <c r="D35" s="11" t="s">
        <v>27</v>
      </c>
      <c r="E35" s="48" t="n">
        <f aca="false">INDEX(Dash_BESS,1,$A$1)</f>
        <v>0.2</v>
      </c>
      <c r="F35" s="32" t="n">
        <f aca="false">INDEX(Osz4_Pts,1+SUMPRODUCT((Osz4_LB&lt;$E35)+(Osz4_LB=$E35)*Osz4_Incl))*Osz4_W*($E35&gt;=Osz4_Min)</f>
        <v>7.5</v>
      </c>
    </row>
    <row r="36" customFormat="false" ht="15" hidden="false" customHeight="false" outlineLevel="0" collapsed="false">
      <c r="C36" s="0" t="s">
        <v>411</v>
      </c>
      <c r="D36" s="11" t="s">
        <v>43</v>
      </c>
      <c r="E36" s="49" t="n">
        <f aca="false">INDEX(Dash_Partial,1,$A$1)</f>
        <v>0</v>
      </c>
      <c r="F36" s="32" t="n">
        <f aca="false">$E36*Osz5_Pts*Osz5_W</f>
        <v>0</v>
      </c>
    </row>
    <row r="37" customFormat="false" ht="15" hidden="false" customHeight="false" outlineLevel="0" collapsed="false">
      <c r="C37" s="0" t="s">
        <v>412</v>
      </c>
      <c r="D37" s="11" t="s">
        <v>13</v>
      </c>
      <c r="E37" s="52" t="n">
        <f aca="false">INDEX(Dash_PB_Mult,1,$A$1)</f>
        <v>1</v>
      </c>
      <c r="F37" s="32" t="n">
        <f aca="false">INDEX(Osz6_Pts,1+SUMPRODUCT((Osz6_LB&lt;$E37)+(Osz6_LB=$E37)*Osz6_Incl))*Osz6_W</f>
        <v>0</v>
      </c>
    </row>
    <row r="38" customFormat="false" ht="15" hidden="false" customHeight="false" outlineLevel="0" collapsed="false">
      <c r="C38" s="0" t="s">
        <v>413</v>
      </c>
      <c r="D38" s="11" t="s">
        <v>43</v>
      </c>
      <c r="E38" s="49" t="n">
        <f aca="false">INDEX(Dash_Shared,1,$A$1)</f>
        <v>0</v>
      </c>
      <c r="F38" s="32" t="n">
        <f aca="false">$E38*Osz8_Pts*Osz8_W</f>
        <v>0</v>
      </c>
    </row>
    <row r="39" customFormat="false" ht="15" hidden="false" customHeight="false" outlineLevel="0" collapsed="false">
      <c r="C39" s="0" t="s">
        <v>414</v>
      </c>
      <c r="D39" s="11" t="s">
        <v>43</v>
      </c>
      <c r="E39" s="49" t="n">
        <f aca="false">INDEX(Dash_EU_Turbine,1,$A$1)</f>
        <v>1</v>
      </c>
      <c r="F39" s="32" t="n">
        <f aca="false">$E39*Osz9a_Pts*Osz9_W</f>
        <v>12</v>
      </c>
    </row>
    <row r="40" customFormat="false" ht="15" hidden="false" customHeight="false" outlineLevel="0" collapsed="false">
      <c r="C40" s="0" t="s">
        <v>415</v>
      </c>
      <c r="D40" s="11" t="s">
        <v>43</v>
      </c>
      <c r="E40" s="49" t="n">
        <f aca="false">INDEX(Dash_EU_Transformer,1,$A$1)</f>
        <v>0</v>
      </c>
      <c r="F40" s="32" t="n">
        <f aca="false">$E40*Osz9b_Pts*Osz9_W</f>
        <v>0</v>
      </c>
    </row>
    <row r="41" customFormat="false" ht="15" hidden="false" customHeight="false" outlineLevel="0" collapsed="false">
      <c r="C41" s="25" t="s">
        <v>52</v>
      </c>
      <c r="D41" s="11" t="s">
        <v>53</v>
      </c>
      <c r="E41" s="26" t="n">
        <f aca="false">ROUND(SUM($F32:$F40),Points_Decimals)</f>
        <v>59.5</v>
      </c>
    </row>
    <row r="42" customFormat="false" ht="15" hidden="false" customHeight="false" outlineLevel="0" collapsed="false">
      <c r="C42" s="0" t="s">
        <v>416</v>
      </c>
      <c r="D42" s="11" t="s">
        <v>147</v>
      </c>
      <c r="E42" s="43" t="n">
        <f aca="false">($E32&lt;&gt;0)*($E32&lt;Osz1_Min)+($E32&gt;Osz1_Max)+($E33&lt;&gt;0)*($E33&lt;Osz2_Min)+($E33&gt;Osz2_Max)</f>
        <v>0</v>
      </c>
      <c r="F42" s="43" t="n">
        <f aca="false">N($E37&lt;1)+N($E26&gt;$E25)+N($E27&lt;$E26*In_Min_Hours)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417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</row>
    <row r="45" customFormat="false" ht="15" hidden="false" customHeight="false" outlineLevel="0" collapsed="false">
      <c r="C45" s="0" t="s">
        <v>32</v>
      </c>
      <c r="D45" s="11" t="s">
        <v>33</v>
      </c>
      <c r="E45" s="18" t="n">
        <f aca="false">In_Purchase_Price</f>
        <v>4500</v>
      </c>
      <c r="F45" s="20" t="n">
        <f aca="false">In_Closing</f>
        <v>46387</v>
      </c>
      <c r="I45" s="47" t="n">
        <f aca="false">SUM(J45:EO45)</f>
        <v>-4500</v>
      </c>
      <c r="J45" s="47" t="n">
        <f aca="false">-$E45*N(AND(J$3&lt;=$F45,J$4&gt;=$F45))</f>
        <v>-4500</v>
      </c>
      <c r="K45" s="47" t="n">
        <f aca="false">-$E45*N(AND(K$3&lt;=$F45,K$4&gt;=$F45))</f>
        <v>-0</v>
      </c>
      <c r="L45" s="47" t="n">
        <f aca="false">-$E45*N(AND(L$3&lt;=$F45,L$4&gt;=$F45))</f>
        <v>-0</v>
      </c>
      <c r="M45" s="47" t="n">
        <f aca="false">-$E45*N(AND(M$3&lt;=$F45,M$4&gt;=$F45))</f>
        <v>-0</v>
      </c>
      <c r="N45" s="47" t="n">
        <f aca="false">-$E45*N(AND(N$3&lt;=$F45,N$4&gt;=$F45))</f>
        <v>-0</v>
      </c>
      <c r="O45" s="47" t="n">
        <f aca="false">-$E45*N(AND(O$3&lt;=$F45,O$4&gt;=$F45))</f>
        <v>-0</v>
      </c>
      <c r="P45" s="47" t="n">
        <f aca="false">-$E45*N(AND(P$3&lt;=$F45,P$4&gt;=$F45))</f>
        <v>-0</v>
      </c>
      <c r="Q45" s="47" t="n">
        <f aca="false">-$E45*N(AND(Q$3&lt;=$F45,Q$4&gt;=$F45))</f>
        <v>-0</v>
      </c>
      <c r="R45" s="47" t="n">
        <f aca="false">-$E45*N(AND(R$3&lt;=$F45,R$4&gt;=$F45))</f>
        <v>-0</v>
      </c>
      <c r="S45" s="47" t="n">
        <f aca="false">-$E45*N(AND(S$3&lt;=$F45,S$4&gt;=$F45))</f>
        <v>-0</v>
      </c>
      <c r="T45" s="47" t="n">
        <f aca="false">-$E45*N(AND(T$3&lt;=$F45,T$4&gt;=$F45))</f>
        <v>-0</v>
      </c>
      <c r="U45" s="47" t="n">
        <f aca="false">-$E45*N(AND(U$3&lt;=$F45,U$4&gt;=$F45))</f>
        <v>-0</v>
      </c>
      <c r="V45" s="47" t="n">
        <f aca="false">-$E45*N(AND(V$3&lt;=$F45,V$4&gt;=$F45))</f>
        <v>-0</v>
      </c>
      <c r="W45" s="47" t="n">
        <f aca="false">-$E45*N(AND(W$3&lt;=$F45,W$4&gt;=$F45))</f>
        <v>-0</v>
      </c>
      <c r="X45" s="47" t="n">
        <f aca="false">-$E45*N(AND(X$3&lt;=$F45,X$4&gt;=$F45))</f>
        <v>-0</v>
      </c>
      <c r="Y45" s="47" t="n">
        <f aca="false">-$E45*N(AND(Y$3&lt;=$F45,Y$4&gt;=$F45))</f>
        <v>-0</v>
      </c>
      <c r="Z45" s="47" t="n">
        <f aca="false">-$E45*N(AND(Z$3&lt;=$F45,Z$4&gt;=$F45))</f>
        <v>-0</v>
      </c>
      <c r="AA45" s="47" t="n">
        <f aca="false">-$E45*N(AND(AA$3&lt;=$F45,AA$4&gt;=$F45))</f>
        <v>-0</v>
      </c>
      <c r="AB45" s="47" t="n">
        <f aca="false">-$E45*N(AND(AB$3&lt;=$F45,AB$4&gt;=$F45))</f>
        <v>-0</v>
      </c>
      <c r="AC45" s="47" t="n">
        <f aca="false">-$E45*N(AND(AC$3&lt;=$F45,AC$4&gt;=$F45))</f>
        <v>-0</v>
      </c>
      <c r="AD45" s="47" t="n">
        <f aca="false">-$E45*N(AND(AD$3&lt;=$F45,AD$4&gt;=$F45))</f>
        <v>-0</v>
      </c>
      <c r="AE45" s="47" t="n">
        <f aca="false">-$E45*N(AND(AE$3&lt;=$F45,AE$4&gt;=$F45))</f>
        <v>-0</v>
      </c>
      <c r="AF45" s="47" t="n">
        <f aca="false">-$E45*N(AND(AF$3&lt;=$F45,AF$4&gt;=$F45))</f>
        <v>-0</v>
      </c>
      <c r="AG45" s="47" t="n">
        <f aca="false">-$E45*N(AND(AG$3&lt;=$F45,AG$4&gt;=$F45))</f>
        <v>-0</v>
      </c>
      <c r="AH45" s="47" t="n">
        <f aca="false">-$E45*N(AND(AH$3&lt;=$F45,AH$4&gt;=$F45))</f>
        <v>-0</v>
      </c>
      <c r="AI45" s="47" t="n">
        <f aca="false">-$E45*N(AND(AI$3&lt;=$F45,AI$4&gt;=$F45))</f>
        <v>-0</v>
      </c>
      <c r="AJ45" s="47" t="n">
        <f aca="false">-$E45*N(AND(AJ$3&lt;=$F45,AJ$4&gt;=$F45))</f>
        <v>-0</v>
      </c>
      <c r="AK45" s="47" t="n">
        <f aca="false">-$E45*N(AND(AK$3&lt;=$F45,AK$4&gt;=$F45))</f>
        <v>-0</v>
      </c>
      <c r="AL45" s="47" t="n">
        <f aca="false">-$E45*N(AND(AL$3&lt;=$F45,AL$4&gt;=$F45))</f>
        <v>-0</v>
      </c>
      <c r="AM45" s="47" t="n">
        <f aca="false">-$E45*N(AND(AM$3&lt;=$F45,AM$4&gt;=$F45))</f>
        <v>-0</v>
      </c>
      <c r="AN45" s="47" t="n">
        <f aca="false">-$E45*N(AND(AN$3&lt;=$F45,AN$4&gt;=$F45))</f>
        <v>-0</v>
      </c>
      <c r="AO45" s="47" t="n">
        <f aca="false">-$E45*N(AND(AO$3&lt;=$F45,AO$4&gt;=$F45))</f>
        <v>-0</v>
      </c>
      <c r="AP45" s="47" t="n">
        <f aca="false">-$E45*N(AND(AP$3&lt;=$F45,AP$4&gt;=$F45))</f>
        <v>-0</v>
      </c>
      <c r="AQ45" s="47" t="n">
        <f aca="false">-$E45*N(AND(AQ$3&lt;=$F45,AQ$4&gt;=$F45))</f>
        <v>-0</v>
      </c>
      <c r="AR45" s="47" t="n">
        <f aca="false">-$E45*N(AND(AR$3&lt;=$F45,AR$4&gt;=$F45))</f>
        <v>-0</v>
      </c>
      <c r="AS45" s="47" t="n">
        <f aca="false">-$E45*N(AND(AS$3&lt;=$F45,AS$4&gt;=$F45))</f>
        <v>-0</v>
      </c>
      <c r="AT45" s="47" t="n">
        <f aca="false">-$E45*N(AND(AT$3&lt;=$F45,AT$4&gt;=$F45))</f>
        <v>-0</v>
      </c>
      <c r="AU45" s="47" t="n">
        <f aca="false">-$E45*N(AND(AU$3&lt;=$F45,AU$4&gt;=$F45))</f>
        <v>-0</v>
      </c>
      <c r="AV45" s="47" t="n">
        <f aca="false">-$E45*N(AND(AV$3&lt;=$F45,AV$4&gt;=$F45))</f>
        <v>-0</v>
      </c>
      <c r="AW45" s="47" t="n">
        <f aca="false">-$E45*N(AND(AW$3&lt;=$F45,AW$4&gt;=$F45))</f>
        <v>-0</v>
      </c>
      <c r="AX45" s="47" t="n">
        <f aca="false">-$E45*N(AND(AX$3&lt;=$F45,AX$4&gt;=$F45))</f>
        <v>-0</v>
      </c>
      <c r="AY45" s="47" t="n">
        <f aca="false">-$E45*N(AND(AY$3&lt;=$F45,AY$4&gt;=$F45))</f>
        <v>-0</v>
      </c>
      <c r="AZ45" s="47" t="n">
        <f aca="false">-$E45*N(AND(AZ$3&lt;=$F45,AZ$4&gt;=$F45))</f>
        <v>-0</v>
      </c>
      <c r="BA45" s="47" t="n">
        <f aca="false">-$E45*N(AND(BA$3&lt;=$F45,BA$4&gt;=$F45))</f>
        <v>-0</v>
      </c>
      <c r="BB45" s="47" t="n">
        <f aca="false">-$E45*N(AND(BB$3&lt;=$F45,BB$4&gt;=$F45))</f>
        <v>-0</v>
      </c>
      <c r="BC45" s="47" t="n">
        <f aca="false">-$E45*N(AND(BC$3&lt;=$F45,BC$4&gt;=$F45))</f>
        <v>-0</v>
      </c>
      <c r="BD45" s="47" t="n">
        <f aca="false">-$E45*N(AND(BD$3&lt;=$F45,BD$4&gt;=$F45))</f>
        <v>-0</v>
      </c>
      <c r="BE45" s="47" t="n">
        <f aca="false">-$E45*N(AND(BE$3&lt;=$F45,BE$4&gt;=$F45))</f>
        <v>-0</v>
      </c>
      <c r="BF45" s="47" t="n">
        <f aca="false">-$E45*N(AND(BF$3&lt;=$F45,BF$4&gt;=$F45))</f>
        <v>-0</v>
      </c>
      <c r="BG45" s="47" t="n">
        <f aca="false">-$E45*N(AND(BG$3&lt;=$F45,BG$4&gt;=$F45))</f>
        <v>-0</v>
      </c>
      <c r="BH45" s="47" t="n">
        <f aca="false">-$E45*N(AND(BH$3&lt;=$F45,BH$4&gt;=$F45))</f>
        <v>-0</v>
      </c>
      <c r="BI45" s="47" t="n">
        <f aca="false">-$E45*N(AND(BI$3&lt;=$F45,BI$4&gt;=$F45))</f>
        <v>-0</v>
      </c>
      <c r="BJ45" s="47" t="n">
        <f aca="false">-$E45*N(AND(BJ$3&lt;=$F45,BJ$4&gt;=$F45))</f>
        <v>-0</v>
      </c>
      <c r="BK45" s="47" t="n">
        <f aca="false">-$E45*N(AND(BK$3&lt;=$F45,BK$4&gt;=$F45))</f>
        <v>-0</v>
      </c>
      <c r="BL45" s="47" t="n">
        <f aca="false">-$E45*N(AND(BL$3&lt;=$F45,BL$4&gt;=$F45))</f>
        <v>-0</v>
      </c>
      <c r="BM45" s="47" t="n">
        <f aca="false">-$E45*N(AND(BM$3&lt;=$F45,BM$4&gt;=$F45))</f>
        <v>-0</v>
      </c>
      <c r="BN45" s="47" t="n">
        <f aca="false">-$E45*N(AND(BN$3&lt;=$F45,BN$4&gt;=$F45))</f>
        <v>-0</v>
      </c>
      <c r="BO45" s="47" t="n">
        <f aca="false">-$E45*N(AND(BO$3&lt;=$F45,BO$4&gt;=$F45))</f>
        <v>-0</v>
      </c>
      <c r="BP45" s="47" t="n">
        <f aca="false">-$E45*N(AND(BP$3&lt;=$F45,BP$4&gt;=$F45))</f>
        <v>-0</v>
      </c>
      <c r="BQ45" s="47" t="n">
        <f aca="false">-$E45*N(AND(BQ$3&lt;=$F45,BQ$4&gt;=$F45))</f>
        <v>-0</v>
      </c>
      <c r="BR45" s="47" t="n">
        <f aca="false">-$E45*N(AND(BR$3&lt;=$F45,BR$4&gt;=$F45))</f>
        <v>-0</v>
      </c>
      <c r="BS45" s="47" t="n">
        <f aca="false">-$E45*N(AND(BS$3&lt;=$F45,BS$4&gt;=$F45))</f>
        <v>-0</v>
      </c>
      <c r="BT45" s="47" t="n">
        <f aca="false">-$E45*N(AND(BT$3&lt;=$F45,BT$4&gt;=$F45))</f>
        <v>-0</v>
      </c>
      <c r="BU45" s="47" t="n">
        <f aca="false">-$E45*N(AND(BU$3&lt;=$F45,BU$4&gt;=$F45))</f>
        <v>-0</v>
      </c>
      <c r="BV45" s="47" t="n">
        <f aca="false">-$E45*N(AND(BV$3&lt;=$F45,BV$4&gt;=$F45))</f>
        <v>-0</v>
      </c>
      <c r="BW45" s="47" t="n">
        <f aca="false">-$E45*N(AND(BW$3&lt;=$F45,BW$4&gt;=$F45))</f>
        <v>-0</v>
      </c>
      <c r="BX45" s="47" t="n">
        <f aca="false">-$E45*N(AND(BX$3&lt;=$F45,BX$4&gt;=$F45))</f>
        <v>-0</v>
      </c>
      <c r="BY45" s="47" t="n">
        <f aca="false">-$E45*N(AND(BY$3&lt;=$F45,BY$4&gt;=$F45))</f>
        <v>-0</v>
      </c>
      <c r="BZ45" s="47" t="n">
        <f aca="false">-$E45*N(AND(BZ$3&lt;=$F45,BZ$4&gt;=$F45))</f>
        <v>-0</v>
      </c>
      <c r="CA45" s="47" t="n">
        <f aca="false">-$E45*N(AND(CA$3&lt;=$F45,CA$4&gt;=$F45))</f>
        <v>-0</v>
      </c>
      <c r="CB45" s="47" t="n">
        <f aca="false">-$E45*N(AND(CB$3&lt;=$F45,CB$4&gt;=$F45))</f>
        <v>-0</v>
      </c>
      <c r="CC45" s="47" t="n">
        <f aca="false">-$E45*N(AND(CC$3&lt;=$F45,CC$4&gt;=$F45))</f>
        <v>-0</v>
      </c>
      <c r="CD45" s="47" t="n">
        <f aca="false">-$E45*N(AND(CD$3&lt;=$F45,CD$4&gt;=$F45))</f>
        <v>-0</v>
      </c>
      <c r="CE45" s="47" t="n">
        <f aca="false">-$E45*N(AND(CE$3&lt;=$F45,CE$4&gt;=$F45))</f>
        <v>-0</v>
      </c>
      <c r="CF45" s="47" t="n">
        <f aca="false">-$E45*N(AND(CF$3&lt;=$F45,CF$4&gt;=$F45))</f>
        <v>-0</v>
      </c>
      <c r="CG45" s="47" t="n">
        <f aca="false">-$E45*N(AND(CG$3&lt;=$F45,CG$4&gt;=$F45))</f>
        <v>-0</v>
      </c>
      <c r="CH45" s="47" t="n">
        <f aca="false">-$E45*N(AND(CH$3&lt;=$F45,CH$4&gt;=$F45))</f>
        <v>-0</v>
      </c>
      <c r="CI45" s="47" t="n">
        <f aca="false">-$E45*N(AND(CI$3&lt;=$F45,CI$4&gt;=$F45))</f>
        <v>-0</v>
      </c>
      <c r="CJ45" s="47" t="n">
        <f aca="false">-$E45*N(AND(CJ$3&lt;=$F45,CJ$4&gt;=$F45))</f>
        <v>-0</v>
      </c>
      <c r="CK45" s="47" t="n">
        <f aca="false">-$E45*N(AND(CK$3&lt;=$F45,CK$4&gt;=$F45))</f>
        <v>-0</v>
      </c>
      <c r="CL45" s="47" t="n">
        <f aca="false">-$E45*N(AND(CL$3&lt;=$F45,CL$4&gt;=$F45))</f>
        <v>-0</v>
      </c>
      <c r="CM45" s="47" t="n">
        <f aca="false">-$E45*N(AND(CM$3&lt;=$F45,CM$4&gt;=$F45))</f>
        <v>-0</v>
      </c>
      <c r="CN45" s="47" t="n">
        <f aca="false">-$E45*N(AND(CN$3&lt;=$F45,CN$4&gt;=$F45))</f>
        <v>-0</v>
      </c>
      <c r="CO45" s="47" t="n">
        <f aca="false">-$E45*N(AND(CO$3&lt;=$F45,CO$4&gt;=$F45))</f>
        <v>-0</v>
      </c>
      <c r="CP45" s="47" t="n">
        <f aca="false">-$E45*N(AND(CP$3&lt;=$F45,CP$4&gt;=$F45))</f>
        <v>-0</v>
      </c>
      <c r="CQ45" s="47" t="n">
        <f aca="false">-$E45*N(AND(CQ$3&lt;=$F45,CQ$4&gt;=$F45))</f>
        <v>-0</v>
      </c>
      <c r="CR45" s="47" t="n">
        <f aca="false">-$E45*N(AND(CR$3&lt;=$F45,CR$4&gt;=$F45))</f>
        <v>-0</v>
      </c>
      <c r="CS45" s="47" t="n">
        <f aca="false">-$E45*N(AND(CS$3&lt;=$F45,CS$4&gt;=$F45))</f>
        <v>-0</v>
      </c>
      <c r="CT45" s="47" t="n">
        <f aca="false">-$E45*N(AND(CT$3&lt;=$F45,CT$4&gt;=$F45))</f>
        <v>-0</v>
      </c>
      <c r="CU45" s="47" t="n">
        <f aca="false">-$E45*N(AND(CU$3&lt;=$F45,CU$4&gt;=$F45))</f>
        <v>-0</v>
      </c>
      <c r="CV45" s="47" t="n">
        <f aca="false">-$E45*N(AND(CV$3&lt;=$F45,CV$4&gt;=$F45))</f>
        <v>-0</v>
      </c>
      <c r="CW45" s="47" t="n">
        <f aca="false">-$E45*N(AND(CW$3&lt;=$F45,CW$4&gt;=$F45))</f>
        <v>-0</v>
      </c>
      <c r="CX45" s="47" t="n">
        <f aca="false">-$E45*N(AND(CX$3&lt;=$F45,CX$4&gt;=$F45))</f>
        <v>-0</v>
      </c>
      <c r="CY45" s="47" t="n">
        <f aca="false">-$E45*N(AND(CY$3&lt;=$F45,CY$4&gt;=$F45))</f>
        <v>-0</v>
      </c>
      <c r="CZ45" s="47" t="n">
        <f aca="false">-$E45*N(AND(CZ$3&lt;=$F45,CZ$4&gt;=$F45))</f>
        <v>-0</v>
      </c>
      <c r="DA45" s="47" t="n">
        <f aca="false">-$E45*N(AND(DA$3&lt;=$F45,DA$4&gt;=$F45))</f>
        <v>-0</v>
      </c>
      <c r="DB45" s="47" t="n">
        <f aca="false">-$E45*N(AND(DB$3&lt;=$F45,DB$4&gt;=$F45))</f>
        <v>-0</v>
      </c>
      <c r="DC45" s="47" t="n">
        <f aca="false">-$E45*N(AND(DC$3&lt;=$F45,DC$4&gt;=$F45))</f>
        <v>-0</v>
      </c>
      <c r="DD45" s="47" t="n">
        <f aca="false">-$E45*N(AND(DD$3&lt;=$F45,DD$4&gt;=$F45))</f>
        <v>-0</v>
      </c>
      <c r="DE45" s="47" t="n">
        <f aca="false">-$E45*N(AND(DE$3&lt;=$F45,DE$4&gt;=$F45))</f>
        <v>-0</v>
      </c>
      <c r="DF45" s="47" t="n">
        <f aca="false">-$E45*N(AND(DF$3&lt;=$F45,DF$4&gt;=$F45))</f>
        <v>-0</v>
      </c>
      <c r="DG45" s="47" t="n">
        <f aca="false">-$E45*N(AND(DG$3&lt;=$F45,DG$4&gt;=$F45))</f>
        <v>-0</v>
      </c>
      <c r="DH45" s="47" t="n">
        <f aca="false">-$E45*N(AND(DH$3&lt;=$F45,DH$4&gt;=$F45))</f>
        <v>-0</v>
      </c>
      <c r="DI45" s="47" t="n">
        <f aca="false">-$E45*N(AND(DI$3&lt;=$F45,DI$4&gt;=$F45))</f>
        <v>-0</v>
      </c>
      <c r="DJ45" s="47" t="n">
        <f aca="false">-$E45*N(AND(DJ$3&lt;=$F45,DJ$4&gt;=$F45))</f>
        <v>-0</v>
      </c>
      <c r="DK45" s="47" t="n">
        <f aca="false">-$E45*N(AND(DK$3&lt;=$F45,DK$4&gt;=$F45))</f>
        <v>-0</v>
      </c>
      <c r="DL45" s="47" t="n">
        <f aca="false">-$E45*N(AND(DL$3&lt;=$F45,DL$4&gt;=$F45))</f>
        <v>-0</v>
      </c>
      <c r="DM45" s="47" t="n">
        <f aca="false">-$E45*N(AND(DM$3&lt;=$F45,DM$4&gt;=$F45))</f>
        <v>-0</v>
      </c>
      <c r="DN45" s="47" t="n">
        <f aca="false">-$E45*N(AND(DN$3&lt;=$F45,DN$4&gt;=$F45))</f>
        <v>-0</v>
      </c>
      <c r="DO45" s="47" t="n">
        <f aca="false">-$E45*N(AND(DO$3&lt;=$F45,DO$4&gt;=$F45))</f>
        <v>-0</v>
      </c>
      <c r="DP45" s="47" t="n">
        <f aca="false">-$E45*N(AND(DP$3&lt;=$F45,DP$4&gt;=$F45))</f>
        <v>-0</v>
      </c>
      <c r="DQ45" s="47" t="n">
        <f aca="false">-$E45*N(AND(DQ$3&lt;=$F45,DQ$4&gt;=$F45))</f>
        <v>-0</v>
      </c>
      <c r="DR45" s="47" t="n">
        <f aca="false">-$E45*N(AND(DR$3&lt;=$F45,DR$4&gt;=$F45))</f>
        <v>-0</v>
      </c>
      <c r="DS45" s="47" t="n">
        <f aca="false">-$E45*N(AND(DS$3&lt;=$F45,DS$4&gt;=$F45))</f>
        <v>-0</v>
      </c>
      <c r="DT45" s="47" t="n">
        <f aca="false">-$E45*N(AND(DT$3&lt;=$F45,DT$4&gt;=$F45))</f>
        <v>-0</v>
      </c>
      <c r="DU45" s="47" t="n">
        <f aca="false">-$E45*N(AND(DU$3&lt;=$F45,DU$4&gt;=$F45))</f>
        <v>-0</v>
      </c>
      <c r="DV45" s="47" t="n">
        <f aca="false">-$E45*N(AND(DV$3&lt;=$F45,DV$4&gt;=$F45))</f>
        <v>-0</v>
      </c>
      <c r="DW45" s="47" t="n">
        <f aca="false">-$E45*N(AND(DW$3&lt;=$F45,DW$4&gt;=$F45))</f>
        <v>-0</v>
      </c>
      <c r="DX45" s="47" t="n">
        <f aca="false">-$E45*N(AND(DX$3&lt;=$F45,DX$4&gt;=$F45))</f>
        <v>-0</v>
      </c>
      <c r="DY45" s="47" t="n">
        <f aca="false">-$E45*N(AND(DY$3&lt;=$F45,DY$4&gt;=$F45))</f>
        <v>-0</v>
      </c>
      <c r="DZ45" s="47" t="n">
        <f aca="false">-$E45*N(AND(DZ$3&lt;=$F45,DZ$4&gt;=$F45))</f>
        <v>-0</v>
      </c>
      <c r="EA45" s="47" t="n">
        <f aca="false">-$E45*N(AND(EA$3&lt;=$F45,EA$4&gt;=$F45))</f>
        <v>-0</v>
      </c>
      <c r="EB45" s="47" t="n">
        <f aca="false">-$E45*N(AND(EB$3&lt;=$F45,EB$4&gt;=$F45))</f>
        <v>-0</v>
      </c>
      <c r="EC45" s="47" t="n">
        <f aca="false">-$E45*N(AND(EC$3&lt;=$F45,EC$4&gt;=$F45))</f>
        <v>-0</v>
      </c>
      <c r="ED45" s="47" t="n">
        <f aca="false">-$E45*N(AND(ED$3&lt;=$F45,ED$4&gt;=$F45))</f>
        <v>-0</v>
      </c>
      <c r="EE45" s="47" t="n">
        <f aca="false">-$E45*N(AND(EE$3&lt;=$F45,EE$4&gt;=$F45))</f>
        <v>-0</v>
      </c>
      <c r="EF45" s="47" t="n">
        <f aca="false">-$E45*N(AND(EF$3&lt;=$F45,EF$4&gt;=$F45))</f>
        <v>-0</v>
      </c>
      <c r="EG45" s="47" t="n">
        <f aca="false">-$E45*N(AND(EG$3&lt;=$F45,EG$4&gt;=$F45))</f>
        <v>-0</v>
      </c>
      <c r="EH45" s="47" t="n">
        <f aca="false">-$E45*N(AND(EH$3&lt;=$F45,EH$4&gt;=$F45))</f>
        <v>-0</v>
      </c>
      <c r="EI45" s="47" t="n">
        <f aca="false">-$E45*N(AND(EI$3&lt;=$F45,EI$4&gt;=$F45))</f>
        <v>-0</v>
      </c>
      <c r="EJ45" s="47" t="n">
        <f aca="false">-$E45*N(AND(EJ$3&lt;=$F45,EJ$4&gt;=$F45))</f>
        <v>-0</v>
      </c>
      <c r="EK45" s="47" t="n">
        <f aca="false">-$E45*N(AND(EK$3&lt;=$F45,EK$4&gt;=$F45))</f>
        <v>-0</v>
      </c>
      <c r="EL45" s="47" t="n">
        <f aca="false">-$E45*N(AND(EL$3&lt;=$F45,EL$4&gt;=$F45))</f>
        <v>-0</v>
      </c>
      <c r="EM45" s="47" t="n">
        <f aca="false">-$E45*N(AND(EM$3&lt;=$F45,EM$4&gt;=$F45))</f>
        <v>-0</v>
      </c>
      <c r="EN45" s="47" t="n">
        <f aca="false">-$E45*N(AND(EN$3&lt;=$F45,EN$4&gt;=$F45))</f>
        <v>-0</v>
      </c>
      <c r="EO45" s="47" t="n">
        <f aca="false">-$E45*N(AND(EO$3&lt;=$F45,EO$4&gt;=$F45))</f>
        <v>-0</v>
      </c>
    </row>
    <row r="46" customFormat="false" ht="15" hidden="false" customHeight="false" outlineLevel="0" collapsed="false">
      <c r="C46" s="0" t="s">
        <v>229</v>
      </c>
      <c r="D46" s="11" t="s">
        <v>33</v>
      </c>
      <c r="E46" s="18" t="n">
        <f aca="false">In_DD</f>
        <v>150</v>
      </c>
      <c r="F46" s="20" t="n">
        <f aca="false">In_Bid_Date</f>
        <v>46325</v>
      </c>
      <c r="I46" s="47" t="n">
        <f aca="false">SUM(J46:EO46)</f>
        <v>-150</v>
      </c>
      <c r="J46" s="47" t="n">
        <f aca="false">-$E46*N(AND(J$3&lt;=$F46,J$4&gt;=$F46))</f>
        <v>-150</v>
      </c>
      <c r="K46" s="47" t="n">
        <f aca="false">-$E46*N(AND(K$3&lt;=$F46,K$4&gt;=$F46))</f>
        <v>-0</v>
      </c>
      <c r="L46" s="47" t="n">
        <f aca="false">-$E46*N(AND(L$3&lt;=$F46,L$4&gt;=$F46))</f>
        <v>-0</v>
      </c>
      <c r="M46" s="47" t="n">
        <f aca="false">-$E46*N(AND(M$3&lt;=$F46,M$4&gt;=$F46))</f>
        <v>-0</v>
      </c>
      <c r="N46" s="47" t="n">
        <f aca="false">-$E46*N(AND(N$3&lt;=$F46,N$4&gt;=$F46))</f>
        <v>-0</v>
      </c>
      <c r="O46" s="47" t="n">
        <f aca="false">-$E46*N(AND(O$3&lt;=$F46,O$4&gt;=$F46))</f>
        <v>-0</v>
      </c>
      <c r="P46" s="47" t="n">
        <f aca="false">-$E46*N(AND(P$3&lt;=$F46,P$4&gt;=$F46))</f>
        <v>-0</v>
      </c>
      <c r="Q46" s="47" t="n">
        <f aca="false">-$E46*N(AND(Q$3&lt;=$F46,Q$4&gt;=$F46))</f>
        <v>-0</v>
      </c>
      <c r="R46" s="47" t="n">
        <f aca="false">-$E46*N(AND(R$3&lt;=$F46,R$4&gt;=$F46))</f>
        <v>-0</v>
      </c>
      <c r="S46" s="47" t="n">
        <f aca="false">-$E46*N(AND(S$3&lt;=$F46,S$4&gt;=$F46))</f>
        <v>-0</v>
      </c>
      <c r="T46" s="47" t="n">
        <f aca="false">-$E46*N(AND(T$3&lt;=$F46,T$4&gt;=$F46))</f>
        <v>-0</v>
      </c>
      <c r="U46" s="47" t="n">
        <f aca="false">-$E46*N(AND(U$3&lt;=$F46,U$4&gt;=$F46))</f>
        <v>-0</v>
      </c>
      <c r="V46" s="47" t="n">
        <f aca="false">-$E46*N(AND(V$3&lt;=$F46,V$4&gt;=$F46))</f>
        <v>-0</v>
      </c>
      <c r="W46" s="47" t="n">
        <f aca="false">-$E46*N(AND(W$3&lt;=$F46,W$4&gt;=$F46))</f>
        <v>-0</v>
      </c>
      <c r="X46" s="47" t="n">
        <f aca="false">-$E46*N(AND(X$3&lt;=$F46,X$4&gt;=$F46))</f>
        <v>-0</v>
      </c>
      <c r="Y46" s="47" t="n">
        <f aca="false">-$E46*N(AND(Y$3&lt;=$F46,Y$4&gt;=$F46))</f>
        <v>-0</v>
      </c>
      <c r="Z46" s="47" t="n">
        <f aca="false">-$E46*N(AND(Z$3&lt;=$F46,Z$4&gt;=$F46))</f>
        <v>-0</v>
      </c>
      <c r="AA46" s="47" t="n">
        <f aca="false">-$E46*N(AND(AA$3&lt;=$F46,AA$4&gt;=$F46))</f>
        <v>-0</v>
      </c>
      <c r="AB46" s="47" t="n">
        <f aca="false">-$E46*N(AND(AB$3&lt;=$F46,AB$4&gt;=$F46))</f>
        <v>-0</v>
      </c>
      <c r="AC46" s="47" t="n">
        <f aca="false">-$E46*N(AND(AC$3&lt;=$F46,AC$4&gt;=$F46))</f>
        <v>-0</v>
      </c>
      <c r="AD46" s="47" t="n">
        <f aca="false">-$E46*N(AND(AD$3&lt;=$F46,AD$4&gt;=$F46))</f>
        <v>-0</v>
      </c>
      <c r="AE46" s="47" t="n">
        <f aca="false">-$E46*N(AND(AE$3&lt;=$F46,AE$4&gt;=$F46))</f>
        <v>-0</v>
      </c>
      <c r="AF46" s="47" t="n">
        <f aca="false">-$E46*N(AND(AF$3&lt;=$F46,AF$4&gt;=$F46))</f>
        <v>-0</v>
      </c>
      <c r="AG46" s="47" t="n">
        <f aca="false">-$E46*N(AND(AG$3&lt;=$F46,AG$4&gt;=$F46))</f>
        <v>-0</v>
      </c>
      <c r="AH46" s="47" t="n">
        <f aca="false">-$E46*N(AND(AH$3&lt;=$F46,AH$4&gt;=$F46))</f>
        <v>-0</v>
      </c>
      <c r="AI46" s="47" t="n">
        <f aca="false">-$E46*N(AND(AI$3&lt;=$F46,AI$4&gt;=$F46))</f>
        <v>-0</v>
      </c>
      <c r="AJ46" s="47" t="n">
        <f aca="false">-$E46*N(AND(AJ$3&lt;=$F46,AJ$4&gt;=$F46))</f>
        <v>-0</v>
      </c>
      <c r="AK46" s="47" t="n">
        <f aca="false">-$E46*N(AND(AK$3&lt;=$F46,AK$4&gt;=$F46))</f>
        <v>-0</v>
      </c>
      <c r="AL46" s="47" t="n">
        <f aca="false">-$E46*N(AND(AL$3&lt;=$F46,AL$4&gt;=$F46))</f>
        <v>-0</v>
      </c>
      <c r="AM46" s="47" t="n">
        <f aca="false">-$E46*N(AND(AM$3&lt;=$F46,AM$4&gt;=$F46))</f>
        <v>-0</v>
      </c>
      <c r="AN46" s="47" t="n">
        <f aca="false">-$E46*N(AND(AN$3&lt;=$F46,AN$4&gt;=$F46))</f>
        <v>-0</v>
      </c>
      <c r="AO46" s="47" t="n">
        <f aca="false">-$E46*N(AND(AO$3&lt;=$F46,AO$4&gt;=$F46))</f>
        <v>-0</v>
      </c>
      <c r="AP46" s="47" t="n">
        <f aca="false">-$E46*N(AND(AP$3&lt;=$F46,AP$4&gt;=$F46))</f>
        <v>-0</v>
      </c>
      <c r="AQ46" s="47" t="n">
        <f aca="false">-$E46*N(AND(AQ$3&lt;=$F46,AQ$4&gt;=$F46))</f>
        <v>-0</v>
      </c>
      <c r="AR46" s="47" t="n">
        <f aca="false">-$E46*N(AND(AR$3&lt;=$F46,AR$4&gt;=$F46))</f>
        <v>-0</v>
      </c>
      <c r="AS46" s="47" t="n">
        <f aca="false">-$E46*N(AND(AS$3&lt;=$F46,AS$4&gt;=$F46))</f>
        <v>-0</v>
      </c>
      <c r="AT46" s="47" t="n">
        <f aca="false">-$E46*N(AND(AT$3&lt;=$F46,AT$4&gt;=$F46))</f>
        <v>-0</v>
      </c>
      <c r="AU46" s="47" t="n">
        <f aca="false">-$E46*N(AND(AU$3&lt;=$F46,AU$4&gt;=$F46))</f>
        <v>-0</v>
      </c>
      <c r="AV46" s="47" t="n">
        <f aca="false">-$E46*N(AND(AV$3&lt;=$F46,AV$4&gt;=$F46))</f>
        <v>-0</v>
      </c>
      <c r="AW46" s="47" t="n">
        <f aca="false">-$E46*N(AND(AW$3&lt;=$F46,AW$4&gt;=$F46))</f>
        <v>-0</v>
      </c>
      <c r="AX46" s="47" t="n">
        <f aca="false">-$E46*N(AND(AX$3&lt;=$F46,AX$4&gt;=$F46))</f>
        <v>-0</v>
      </c>
      <c r="AY46" s="47" t="n">
        <f aca="false">-$E46*N(AND(AY$3&lt;=$F46,AY$4&gt;=$F46))</f>
        <v>-0</v>
      </c>
      <c r="AZ46" s="47" t="n">
        <f aca="false">-$E46*N(AND(AZ$3&lt;=$F46,AZ$4&gt;=$F46))</f>
        <v>-0</v>
      </c>
      <c r="BA46" s="47" t="n">
        <f aca="false">-$E46*N(AND(BA$3&lt;=$F46,BA$4&gt;=$F46))</f>
        <v>-0</v>
      </c>
      <c r="BB46" s="47" t="n">
        <f aca="false">-$E46*N(AND(BB$3&lt;=$F46,BB$4&gt;=$F46))</f>
        <v>-0</v>
      </c>
      <c r="BC46" s="47" t="n">
        <f aca="false">-$E46*N(AND(BC$3&lt;=$F46,BC$4&gt;=$F46))</f>
        <v>-0</v>
      </c>
      <c r="BD46" s="47" t="n">
        <f aca="false">-$E46*N(AND(BD$3&lt;=$F46,BD$4&gt;=$F46))</f>
        <v>-0</v>
      </c>
      <c r="BE46" s="47" t="n">
        <f aca="false">-$E46*N(AND(BE$3&lt;=$F46,BE$4&gt;=$F46))</f>
        <v>-0</v>
      </c>
      <c r="BF46" s="47" t="n">
        <f aca="false">-$E46*N(AND(BF$3&lt;=$F46,BF$4&gt;=$F46))</f>
        <v>-0</v>
      </c>
      <c r="BG46" s="47" t="n">
        <f aca="false">-$E46*N(AND(BG$3&lt;=$F46,BG$4&gt;=$F46))</f>
        <v>-0</v>
      </c>
      <c r="BH46" s="47" t="n">
        <f aca="false">-$E46*N(AND(BH$3&lt;=$F46,BH$4&gt;=$F46))</f>
        <v>-0</v>
      </c>
      <c r="BI46" s="47" t="n">
        <f aca="false">-$E46*N(AND(BI$3&lt;=$F46,BI$4&gt;=$F46))</f>
        <v>-0</v>
      </c>
      <c r="BJ46" s="47" t="n">
        <f aca="false">-$E46*N(AND(BJ$3&lt;=$F46,BJ$4&gt;=$F46))</f>
        <v>-0</v>
      </c>
      <c r="BK46" s="47" t="n">
        <f aca="false">-$E46*N(AND(BK$3&lt;=$F46,BK$4&gt;=$F46))</f>
        <v>-0</v>
      </c>
      <c r="BL46" s="47" t="n">
        <f aca="false">-$E46*N(AND(BL$3&lt;=$F46,BL$4&gt;=$F46))</f>
        <v>-0</v>
      </c>
      <c r="BM46" s="47" t="n">
        <f aca="false">-$E46*N(AND(BM$3&lt;=$F46,BM$4&gt;=$F46))</f>
        <v>-0</v>
      </c>
      <c r="BN46" s="47" t="n">
        <f aca="false">-$E46*N(AND(BN$3&lt;=$F46,BN$4&gt;=$F46))</f>
        <v>-0</v>
      </c>
      <c r="BO46" s="47" t="n">
        <f aca="false">-$E46*N(AND(BO$3&lt;=$F46,BO$4&gt;=$F46))</f>
        <v>-0</v>
      </c>
      <c r="BP46" s="47" t="n">
        <f aca="false">-$E46*N(AND(BP$3&lt;=$F46,BP$4&gt;=$F46))</f>
        <v>-0</v>
      </c>
      <c r="BQ46" s="47" t="n">
        <f aca="false">-$E46*N(AND(BQ$3&lt;=$F46,BQ$4&gt;=$F46))</f>
        <v>-0</v>
      </c>
      <c r="BR46" s="47" t="n">
        <f aca="false">-$E46*N(AND(BR$3&lt;=$F46,BR$4&gt;=$F46))</f>
        <v>-0</v>
      </c>
      <c r="BS46" s="47" t="n">
        <f aca="false">-$E46*N(AND(BS$3&lt;=$F46,BS$4&gt;=$F46))</f>
        <v>-0</v>
      </c>
      <c r="BT46" s="47" t="n">
        <f aca="false">-$E46*N(AND(BT$3&lt;=$F46,BT$4&gt;=$F46))</f>
        <v>-0</v>
      </c>
      <c r="BU46" s="47" t="n">
        <f aca="false">-$E46*N(AND(BU$3&lt;=$F46,BU$4&gt;=$F46))</f>
        <v>-0</v>
      </c>
      <c r="BV46" s="47" t="n">
        <f aca="false">-$E46*N(AND(BV$3&lt;=$F46,BV$4&gt;=$F46))</f>
        <v>-0</v>
      </c>
      <c r="BW46" s="47" t="n">
        <f aca="false">-$E46*N(AND(BW$3&lt;=$F46,BW$4&gt;=$F46))</f>
        <v>-0</v>
      </c>
      <c r="BX46" s="47" t="n">
        <f aca="false">-$E46*N(AND(BX$3&lt;=$F46,BX$4&gt;=$F46))</f>
        <v>-0</v>
      </c>
      <c r="BY46" s="47" t="n">
        <f aca="false">-$E46*N(AND(BY$3&lt;=$F46,BY$4&gt;=$F46))</f>
        <v>-0</v>
      </c>
      <c r="BZ46" s="47" t="n">
        <f aca="false">-$E46*N(AND(BZ$3&lt;=$F46,BZ$4&gt;=$F46))</f>
        <v>-0</v>
      </c>
      <c r="CA46" s="47" t="n">
        <f aca="false">-$E46*N(AND(CA$3&lt;=$F46,CA$4&gt;=$F46))</f>
        <v>-0</v>
      </c>
      <c r="CB46" s="47" t="n">
        <f aca="false">-$E46*N(AND(CB$3&lt;=$F46,CB$4&gt;=$F46))</f>
        <v>-0</v>
      </c>
      <c r="CC46" s="47" t="n">
        <f aca="false">-$E46*N(AND(CC$3&lt;=$F46,CC$4&gt;=$F46))</f>
        <v>-0</v>
      </c>
      <c r="CD46" s="47" t="n">
        <f aca="false">-$E46*N(AND(CD$3&lt;=$F46,CD$4&gt;=$F46))</f>
        <v>-0</v>
      </c>
      <c r="CE46" s="47" t="n">
        <f aca="false">-$E46*N(AND(CE$3&lt;=$F46,CE$4&gt;=$F46))</f>
        <v>-0</v>
      </c>
      <c r="CF46" s="47" t="n">
        <f aca="false">-$E46*N(AND(CF$3&lt;=$F46,CF$4&gt;=$F46))</f>
        <v>-0</v>
      </c>
      <c r="CG46" s="47" t="n">
        <f aca="false">-$E46*N(AND(CG$3&lt;=$F46,CG$4&gt;=$F46))</f>
        <v>-0</v>
      </c>
      <c r="CH46" s="47" t="n">
        <f aca="false">-$E46*N(AND(CH$3&lt;=$F46,CH$4&gt;=$F46))</f>
        <v>-0</v>
      </c>
      <c r="CI46" s="47" t="n">
        <f aca="false">-$E46*N(AND(CI$3&lt;=$F46,CI$4&gt;=$F46))</f>
        <v>-0</v>
      </c>
      <c r="CJ46" s="47" t="n">
        <f aca="false">-$E46*N(AND(CJ$3&lt;=$F46,CJ$4&gt;=$F46))</f>
        <v>-0</v>
      </c>
      <c r="CK46" s="47" t="n">
        <f aca="false">-$E46*N(AND(CK$3&lt;=$F46,CK$4&gt;=$F46))</f>
        <v>-0</v>
      </c>
      <c r="CL46" s="47" t="n">
        <f aca="false">-$E46*N(AND(CL$3&lt;=$F46,CL$4&gt;=$F46))</f>
        <v>-0</v>
      </c>
      <c r="CM46" s="47" t="n">
        <f aca="false">-$E46*N(AND(CM$3&lt;=$F46,CM$4&gt;=$F46))</f>
        <v>-0</v>
      </c>
      <c r="CN46" s="47" t="n">
        <f aca="false">-$E46*N(AND(CN$3&lt;=$F46,CN$4&gt;=$F46))</f>
        <v>-0</v>
      </c>
      <c r="CO46" s="47" t="n">
        <f aca="false">-$E46*N(AND(CO$3&lt;=$F46,CO$4&gt;=$F46))</f>
        <v>-0</v>
      </c>
      <c r="CP46" s="47" t="n">
        <f aca="false">-$E46*N(AND(CP$3&lt;=$F46,CP$4&gt;=$F46))</f>
        <v>-0</v>
      </c>
      <c r="CQ46" s="47" t="n">
        <f aca="false">-$E46*N(AND(CQ$3&lt;=$F46,CQ$4&gt;=$F46))</f>
        <v>-0</v>
      </c>
      <c r="CR46" s="47" t="n">
        <f aca="false">-$E46*N(AND(CR$3&lt;=$F46,CR$4&gt;=$F46))</f>
        <v>-0</v>
      </c>
      <c r="CS46" s="47" t="n">
        <f aca="false">-$E46*N(AND(CS$3&lt;=$F46,CS$4&gt;=$F46))</f>
        <v>-0</v>
      </c>
      <c r="CT46" s="47" t="n">
        <f aca="false">-$E46*N(AND(CT$3&lt;=$F46,CT$4&gt;=$F46))</f>
        <v>-0</v>
      </c>
      <c r="CU46" s="47" t="n">
        <f aca="false">-$E46*N(AND(CU$3&lt;=$F46,CU$4&gt;=$F46))</f>
        <v>-0</v>
      </c>
      <c r="CV46" s="47" t="n">
        <f aca="false">-$E46*N(AND(CV$3&lt;=$F46,CV$4&gt;=$F46))</f>
        <v>-0</v>
      </c>
      <c r="CW46" s="47" t="n">
        <f aca="false">-$E46*N(AND(CW$3&lt;=$F46,CW$4&gt;=$F46))</f>
        <v>-0</v>
      </c>
      <c r="CX46" s="47" t="n">
        <f aca="false">-$E46*N(AND(CX$3&lt;=$F46,CX$4&gt;=$F46))</f>
        <v>-0</v>
      </c>
      <c r="CY46" s="47" t="n">
        <f aca="false">-$E46*N(AND(CY$3&lt;=$F46,CY$4&gt;=$F46))</f>
        <v>-0</v>
      </c>
      <c r="CZ46" s="47" t="n">
        <f aca="false">-$E46*N(AND(CZ$3&lt;=$F46,CZ$4&gt;=$F46))</f>
        <v>-0</v>
      </c>
      <c r="DA46" s="47" t="n">
        <f aca="false">-$E46*N(AND(DA$3&lt;=$F46,DA$4&gt;=$F46))</f>
        <v>-0</v>
      </c>
      <c r="DB46" s="47" t="n">
        <f aca="false">-$E46*N(AND(DB$3&lt;=$F46,DB$4&gt;=$F46))</f>
        <v>-0</v>
      </c>
      <c r="DC46" s="47" t="n">
        <f aca="false">-$E46*N(AND(DC$3&lt;=$F46,DC$4&gt;=$F46))</f>
        <v>-0</v>
      </c>
      <c r="DD46" s="47" t="n">
        <f aca="false">-$E46*N(AND(DD$3&lt;=$F46,DD$4&gt;=$F46))</f>
        <v>-0</v>
      </c>
      <c r="DE46" s="47" t="n">
        <f aca="false">-$E46*N(AND(DE$3&lt;=$F46,DE$4&gt;=$F46))</f>
        <v>-0</v>
      </c>
      <c r="DF46" s="47" t="n">
        <f aca="false">-$E46*N(AND(DF$3&lt;=$F46,DF$4&gt;=$F46))</f>
        <v>-0</v>
      </c>
      <c r="DG46" s="47" t="n">
        <f aca="false">-$E46*N(AND(DG$3&lt;=$F46,DG$4&gt;=$F46))</f>
        <v>-0</v>
      </c>
      <c r="DH46" s="47" t="n">
        <f aca="false">-$E46*N(AND(DH$3&lt;=$F46,DH$4&gt;=$F46))</f>
        <v>-0</v>
      </c>
      <c r="DI46" s="47" t="n">
        <f aca="false">-$E46*N(AND(DI$3&lt;=$F46,DI$4&gt;=$F46))</f>
        <v>-0</v>
      </c>
      <c r="DJ46" s="47" t="n">
        <f aca="false">-$E46*N(AND(DJ$3&lt;=$F46,DJ$4&gt;=$F46))</f>
        <v>-0</v>
      </c>
      <c r="DK46" s="47" t="n">
        <f aca="false">-$E46*N(AND(DK$3&lt;=$F46,DK$4&gt;=$F46))</f>
        <v>-0</v>
      </c>
      <c r="DL46" s="47" t="n">
        <f aca="false">-$E46*N(AND(DL$3&lt;=$F46,DL$4&gt;=$F46))</f>
        <v>-0</v>
      </c>
      <c r="DM46" s="47" t="n">
        <f aca="false">-$E46*N(AND(DM$3&lt;=$F46,DM$4&gt;=$F46))</f>
        <v>-0</v>
      </c>
      <c r="DN46" s="47" t="n">
        <f aca="false">-$E46*N(AND(DN$3&lt;=$F46,DN$4&gt;=$F46))</f>
        <v>-0</v>
      </c>
      <c r="DO46" s="47" t="n">
        <f aca="false">-$E46*N(AND(DO$3&lt;=$F46,DO$4&gt;=$F46))</f>
        <v>-0</v>
      </c>
      <c r="DP46" s="47" t="n">
        <f aca="false">-$E46*N(AND(DP$3&lt;=$F46,DP$4&gt;=$F46))</f>
        <v>-0</v>
      </c>
      <c r="DQ46" s="47" t="n">
        <f aca="false">-$E46*N(AND(DQ$3&lt;=$F46,DQ$4&gt;=$F46))</f>
        <v>-0</v>
      </c>
      <c r="DR46" s="47" t="n">
        <f aca="false">-$E46*N(AND(DR$3&lt;=$F46,DR$4&gt;=$F46))</f>
        <v>-0</v>
      </c>
      <c r="DS46" s="47" t="n">
        <f aca="false">-$E46*N(AND(DS$3&lt;=$F46,DS$4&gt;=$F46))</f>
        <v>-0</v>
      </c>
      <c r="DT46" s="47" t="n">
        <f aca="false">-$E46*N(AND(DT$3&lt;=$F46,DT$4&gt;=$F46))</f>
        <v>-0</v>
      </c>
      <c r="DU46" s="47" t="n">
        <f aca="false">-$E46*N(AND(DU$3&lt;=$F46,DU$4&gt;=$F46))</f>
        <v>-0</v>
      </c>
      <c r="DV46" s="47" t="n">
        <f aca="false">-$E46*N(AND(DV$3&lt;=$F46,DV$4&gt;=$F46))</f>
        <v>-0</v>
      </c>
      <c r="DW46" s="47" t="n">
        <f aca="false">-$E46*N(AND(DW$3&lt;=$F46,DW$4&gt;=$F46))</f>
        <v>-0</v>
      </c>
      <c r="DX46" s="47" t="n">
        <f aca="false">-$E46*N(AND(DX$3&lt;=$F46,DX$4&gt;=$F46))</f>
        <v>-0</v>
      </c>
      <c r="DY46" s="47" t="n">
        <f aca="false">-$E46*N(AND(DY$3&lt;=$F46,DY$4&gt;=$F46))</f>
        <v>-0</v>
      </c>
      <c r="DZ46" s="47" t="n">
        <f aca="false">-$E46*N(AND(DZ$3&lt;=$F46,DZ$4&gt;=$F46))</f>
        <v>-0</v>
      </c>
      <c r="EA46" s="47" t="n">
        <f aca="false">-$E46*N(AND(EA$3&lt;=$F46,EA$4&gt;=$F46))</f>
        <v>-0</v>
      </c>
      <c r="EB46" s="47" t="n">
        <f aca="false">-$E46*N(AND(EB$3&lt;=$F46,EB$4&gt;=$F46))</f>
        <v>-0</v>
      </c>
      <c r="EC46" s="47" t="n">
        <f aca="false">-$E46*N(AND(EC$3&lt;=$F46,EC$4&gt;=$F46))</f>
        <v>-0</v>
      </c>
      <c r="ED46" s="47" t="n">
        <f aca="false">-$E46*N(AND(ED$3&lt;=$F46,ED$4&gt;=$F46))</f>
        <v>-0</v>
      </c>
      <c r="EE46" s="47" t="n">
        <f aca="false">-$E46*N(AND(EE$3&lt;=$F46,EE$4&gt;=$F46))</f>
        <v>-0</v>
      </c>
      <c r="EF46" s="47" t="n">
        <f aca="false">-$E46*N(AND(EF$3&lt;=$F46,EF$4&gt;=$F46))</f>
        <v>-0</v>
      </c>
      <c r="EG46" s="47" t="n">
        <f aca="false">-$E46*N(AND(EG$3&lt;=$F46,EG$4&gt;=$F46))</f>
        <v>-0</v>
      </c>
      <c r="EH46" s="47" t="n">
        <f aca="false">-$E46*N(AND(EH$3&lt;=$F46,EH$4&gt;=$F46))</f>
        <v>-0</v>
      </c>
      <c r="EI46" s="47" t="n">
        <f aca="false">-$E46*N(AND(EI$3&lt;=$F46,EI$4&gt;=$F46))</f>
        <v>-0</v>
      </c>
      <c r="EJ46" s="47" t="n">
        <f aca="false">-$E46*N(AND(EJ$3&lt;=$F46,EJ$4&gt;=$F46))</f>
        <v>-0</v>
      </c>
      <c r="EK46" s="47" t="n">
        <f aca="false">-$E46*N(AND(EK$3&lt;=$F46,EK$4&gt;=$F46))</f>
        <v>-0</v>
      </c>
      <c r="EL46" s="47" t="n">
        <f aca="false">-$E46*N(AND(EL$3&lt;=$F46,EL$4&gt;=$F46))</f>
        <v>-0</v>
      </c>
      <c r="EM46" s="47" t="n">
        <f aca="false">-$E46*N(AND(EM$3&lt;=$F46,EM$4&gt;=$F46))</f>
        <v>-0</v>
      </c>
      <c r="EN46" s="47" t="n">
        <f aca="false">-$E46*N(AND(EN$3&lt;=$F46,EN$4&gt;=$F46))</f>
        <v>-0</v>
      </c>
      <c r="EO46" s="47" t="n">
        <f aca="false">-$E46*N(AND(EO$3&lt;=$F46,EO$4&gt;=$F46))</f>
        <v>-0</v>
      </c>
    </row>
    <row r="47" customFormat="false" ht="15" hidden="false" customHeight="false" outlineLevel="0" collapsed="false">
      <c r="C47" s="0" t="s">
        <v>418</v>
      </c>
      <c r="D47" s="11" t="s">
        <v>33</v>
      </c>
      <c r="I47" s="47" t="n">
        <f aca="false">SUM(J47:EO47)</f>
        <v>-500</v>
      </c>
      <c r="J47" s="47" t="n">
        <f aca="false">-In_Devex*J13</f>
        <v>-0</v>
      </c>
      <c r="K47" s="47" t="n">
        <f aca="false">-In_Devex*K13</f>
        <v>-70.4225352112676</v>
      </c>
      <c r="L47" s="47" t="n">
        <f aca="false">-In_Devex*L13</f>
        <v>-71.2050078247261</v>
      </c>
      <c r="M47" s="47" t="n">
        <f aca="false">-In_Devex*M13</f>
        <v>-71.9874804381847</v>
      </c>
      <c r="N47" s="47" t="n">
        <f aca="false">-In_Devex*N13</f>
        <v>-71.9874804381847</v>
      </c>
      <c r="O47" s="47" t="n">
        <f aca="false">-In_Devex*O13</f>
        <v>-71.2050078247261</v>
      </c>
      <c r="P47" s="47" t="n">
        <f aca="false">-In_Devex*P13</f>
        <v>-71.2050078247261</v>
      </c>
      <c r="Q47" s="47" t="n">
        <f aca="false">-In_Devex*Q13</f>
        <v>-71.9874804381847</v>
      </c>
      <c r="R47" s="47" t="n">
        <f aca="false">-In_Devex*R13</f>
        <v>-0</v>
      </c>
      <c r="S47" s="47" t="n">
        <f aca="false">-In_Devex*S13</f>
        <v>-0</v>
      </c>
      <c r="T47" s="47" t="n">
        <f aca="false">-In_Devex*T13</f>
        <v>-0</v>
      </c>
      <c r="U47" s="47" t="n">
        <f aca="false">-In_Devex*U13</f>
        <v>-0</v>
      </c>
      <c r="V47" s="47" t="n">
        <f aca="false">-In_Devex*V13</f>
        <v>-0</v>
      </c>
      <c r="W47" s="47" t="n">
        <f aca="false">-In_Devex*W13</f>
        <v>-0</v>
      </c>
      <c r="X47" s="47" t="n">
        <f aca="false">-In_Devex*X13</f>
        <v>-0</v>
      </c>
      <c r="Y47" s="47" t="n">
        <f aca="false">-In_Devex*Y13</f>
        <v>-0</v>
      </c>
      <c r="Z47" s="47" t="n">
        <f aca="false">-In_Devex*Z13</f>
        <v>-0</v>
      </c>
      <c r="AA47" s="47" t="n">
        <f aca="false">-In_Devex*AA13</f>
        <v>-0</v>
      </c>
      <c r="AB47" s="47" t="n">
        <f aca="false">-In_Devex*AB13</f>
        <v>-0</v>
      </c>
      <c r="AC47" s="47" t="n">
        <f aca="false">-In_Devex*AC13</f>
        <v>-0</v>
      </c>
      <c r="AD47" s="47" t="n">
        <f aca="false">-In_Devex*AD13</f>
        <v>-0</v>
      </c>
      <c r="AE47" s="47" t="n">
        <f aca="false">-In_Devex*AE13</f>
        <v>-0</v>
      </c>
      <c r="AF47" s="47" t="n">
        <f aca="false">-In_Devex*AF13</f>
        <v>-0</v>
      </c>
      <c r="AG47" s="47" t="n">
        <f aca="false">-In_Devex*AG13</f>
        <v>-0</v>
      </c>
      <c r="AH47" s="47" t="n">
        <f aca="false">-In_Devex*AH13</f>
        <v>-0</v>
      </c>
      <c r="AI47" s="47" t="n">
        <f aca="false">-In_Devex*AI13</f>
        <v>-0</v>
      </c>
      <c r="AJ47" s="47" t="n">
        <f aca="false">-In_Devex*AJ13</f>
        <v>-0</v>
      </c>
      <c r="AK47" s="47" t="n">
        <f aca="false">-In_Devex*AK13</f>
        <v>-0</v>
      </c>
      <c r="AL47" s="47" t="n">
        <f aca="false">-In_Devex*AL13</f>
        <v>-0</v>
      </c>
      <c r="AM47" s="47" t="n">
        <f aca="false">-In_Devex*AM13</f>
        <v>-0</v>
      </c>
      <c r="AN47" s="47" t="n">
        <f aca="false">-In_Devex*AN13</f>
        <v>-0</v>
      </c>
      <c r="AO47" s="47" t="n">
        <f aca="false">-In_Devex*AO13</f>
        <v>-0</v>
      </c>
      <c r="AP47" s="47" t="n">
        <f aca="false">-In_Devex*AP13</f>
        <v>-0</v>
      </c>
      <c r="AQ47" s="47" t="n">
        <f aca="false">-In_Devex*AQ13</f>
        <v>-0</v>
      </c>
      <c r="AR47" s="47" t="n">
        <f aca="false">-In_Devex*AR13</f>
        <v>-0</v>
      </c>
      <c r="AS47" s="47" t="n">
        <f aca="false">-In_Devex*AS13</f>
        <v>-0</v>
      </c>
      <c r="AT47" s="47" t="n">
        <f aca="false">-In_Devex*AT13</f>
        <v>-0</v>
      </c>
      <c r="AU47" s="47" t="n">
        <f aca="false">-In_Devex*AU13</f>
        <v>-0</v>
      </c>
      <c r="AV47" s="47" t="n">
        <f aca="false">-In_Devex*AV13</f>
        <v>-0</v>
      </c>
      <c r="AW47" s="47" t="n">
        <f aca="false">-In_Devex*AW13</f>
        <v>-0</v>
      </c>
      <c r="AX47" s="47" t="n">
        <f aca="false">-In_Devex*AX13</f>
        <v>-0</v>
      </c>
      <c r="AY47" s="47" t="n">
        <f aca="false">-In_Devex*AY13</f>
        <v>-0</v>
      </c>
      <c r="AZ47" s="47" t="n">
        <f aca="false">-In_Devex*AZ13</f>
        <v>-0</v>
      </c>
      <c r="BA47" s="47" t="n">
        <f aca="false">-In_Devex*BA13</f>
        <v>-0</v>
      </c>
      <c r="BB47" s="47" t="n">
        <f aca="false">-In_Devex*BB13</f>
        <v>-0</v>
      </c>
      <c r="BC47" s="47" t="n">
        <f aca="false">-In_Devex*BC13</f>
        <v>-0</v>
      </c>
      <c r="BD47" s="47" t="n">
        <f aca="false">-In_Devex*BD13</f>
        <v>-0</v>
      </c>
      <c r="BE47" s="47" t="n">
        <f aca="false">-In_Devex*BE13</f>
        <v>-0</v>
      </c>
      <c r="BF47" s="47" t="n">
        <f aca="false">-In_Devex*BF13</f>
        <v>-0</v>
      </c>
      <c r="BG47" s="47" t="n">
        <f aca="false">-In_Devex*BG13</f>
        <v>-0</v>
      </c>
      <c r="BH47" s="47" t="n">
        <f aca="false">-In_Devex*BH13</f>
        <v>-0</v>
      </c>
      <c r="BI47" s="47" t="n">
        <f aca="false">-In_Devex*BI13</f>
        <v>-0</v>
      </c>
      <c r="BJ47" s="47" t="n">
        <f aca="false">-In_Devex*BJ13</f>
        <v>-0</v>
      </c>
      <c r="BK47" s="47" t="n">
        <f aca="false">-In_Devex*BK13</f>
        <v>-0</v>
      </c>
      <c r="BL47" s="47" t="n">
        <f aca="false">-In_Devex*BL13</f>
        <v>-0</v>
      </c>
      <c r="BM47" s="47" t="n">
        <f aca="false">-In_Devex*BM13</f>
        <v>-0</v>
      </c>
      <c r="BN47" s="47" t="n">
        <f aca="false">-In_Devex*BN13</f>
        <v>-0</v>
      </c>
      <c r="BO47" s="47" t="n">
        <f aca="false">-In_Devex*BO13</f>
        <v>-0</v>
      </c>
      <c r="BP47" s="47" t="n">
        <f aca="false">-In_Devex*BP13</f>
        <v>-0</v>
      </c>
      <c r="BQ47" s="47" t="n">
        <f aca="false">-In_Devex*BQ13</f>
        <v>-0</v>
      </c>
      <c r="BR47" s="47" t="n">
        <f aca="false">-In_Devex*BR13</f>
        <v>-0</v>
      </c>
      <c r="BS47" s="47" t="n">
        <f aca="false">-In_Devex*BS13</f>
        <v>-0</v>
      </c>
      <c r="BT47" s="47" t="n">
        <f aca="false">-In_Devex*BT13</f>
        <v>-0</v>
      </c>
      <c r="BU47" s="47" t="n">
        <f aca="false">-In_Devex*BU13</f>
        <v>-0</v>
      </c>
      <c r="BV47" s="47" t="n">
        <f aca="false">-In_Devex*BV13</f>
        <v>-0</v>
      </c>
      <c r="BW47" s="47" t="n">
        <f aca="false">-In_Devex*BW13</f>
        <v>-0</v>
      </c>
      <c r="BX47" s="47" t="n">
        <f aca="false">-In_Devex*BX13</f>
        <v>-0</v>
      </c>
      <c r="BY47" s="47" t="n">
        <f aca="false">-In_Devex*BY13</f>
        <v>-0</v>
      </c>
      <c r="BZ47" s="47" t="n">
        <f aca="false">-In_Devex*BZ13</f>
        <v>-0</v>
      </c>
      <c r="CA47" s="47" t="n">
        <f aca="false">-In_Devex*CA13</f>
        <v>-0</v>
      </c>
      <c r="CB47" s="47" t="n">
        <f aca="false">-In_Devex*CB13</f>
        <v>-0</v>
      </c>
      <c r="CC47" s="47" t="n">
        <f aca="false">-In_Devex*CC13</f>
        <v>-0</v>
      </c>
      <c r="CD47" s="47" t="n">
        <f aca="false">-In_Devex*CD13</f>
        <v>-0</v>
      </c>
      <c r="CE47" s="47" t="n">
        <f aca="false">-In_Devex*CE13</f>
        <v>-0</v>
      </c>
      <c r="CF47" s="47" t="n">
        <f aca="false">-In_Devex*CF13</f>
        <v>-0</v>
      </c>
      <c r="CG47" s="47" t="n">
        <f aca="false">-In_Devex*CG13</f>
        <v>-0</v>
      </c>
      <c r="CH47" s="47" t="n">
        <f aca="false">-In_Devex*CH13</f>
        <v>-0</v>
      </c>
      <c r="CI47" s="47" t="n">
        <f aca="false">-In_Devex*CI13</f>
        <v>-0</v>
      </c>
      <c r="CJ47" s="47" t="n">
        <f aca="false">-In_Devex*CJ13</f>
        <v>-0</v>
      </c>
      <c r="CK47" s="47" t="n">
        <f aca="false">-In_Devex*CK13</f>
        <v>-0</v>
      </c>
      <c r="CL47" s="47" t="n">
        <f aca="false">-In_Devex*CL13</f>
        <v>-0</v>
      </c>
      <c r="CM47" s="47" t="n">
        <f aca="false">-In_Devex*CM13</f>
        <v>-0</v>
      </c>
      <c r="CN47" s="47" t="n">
        <f aca="false">-In_Devex*CN13</f>
        <v>-0</v>
      </c>
      <c r="CO47" s="47" t="n">
        <f aca="false">-In_Devex*CO13</f>
        <v>-0</v>
      </c>
      <c r="CP47" s="47" t="n">
        <f aca="false">-In_Devex*CP13</f>
        <v>-0</v>
      </c>
      <c r="CQ47" s="47" t="n">
        <f aca="false">-In_Devex*CQ13</f>
        <v>-0</v>
      </c>
      <c r="CR47" s="47" t="n">
        <f aca="false">-In_Devex*CR13</f>
        <v>-0</v>
      </c>
      <c r="CS47" s="47" t="n">
        <f aca="false">-In_Devex*CS13</f>
        <v>-0</v>
      </c>
      <c r="CT47" s="47" t="n">
        <f aca="false">-In_Devex*CT13</f>
        <v>-0</v>
      </c>
      <c r="CU47" s="47" t="n">
        <f aca="false">-In_Devex*CU13</f>
        <v>-0</v>
      </c>
      <c r="CV47" s="47" t="n">
        <f aca="false">-In_Devex*CV13</f>
        <v>-0</v>
      </c>
      <c r="CW47" s="47" t="n">
        <f aca="false">-In_Devex*CW13</f>
        <v>-0</v>
      </c>
      <c r="CX47" s="47" t="n">
        <f aca="false">-In_Devex*CX13</f>
        <v>-0</v>
      </c>
      <c r="CY47" s="47" t="n">
        <f aca="false">-In_Devex*CY13</f>
        <v>-0</v>
      </c>
      <c r="CZ47" s="47" t="n">
        <f aca="false">-In_Devex*CZ13</f>
        <v>-0</v>
      </c>
      <c r="DA47" s="47" t="n">
        <f aca="false">-In_Devex*DA13</f>
        <v>-0</v>
      </c>
      <c r="DB47" s="47" t="n">
        <f aca="false">-In_Devex*DB13</f>
        <v>-0</v>
      </c>
      <c r="DC47" s="47" t="n">
        <f aca="false">-In_Devex*DC13</f>
        <v>-0</v>
      </c>
      <c r="DD47" s="47" t="n">
        <f aca="false">-In_Devex*DD13</f>
        <v>-0</v>
      </c>
      <c r="DE47" s="47" t="n">
        <f aca="false">-In_Devex*DE13</f>
        <v>-0</v>
      </c>
      <c r="DF47" s="47" t="n">
        <f aca="false">-In_Devex*DF13</f>
        <v>-0</v>
      </c>
      <c r="DG47" s="47" t="n">
        <f aca="false">-In_Devex*DG13</f>
        <v>-0</v>
      </c>
      <c r="DH47" s="47" t="n">
        <f aca="false">-In_Devex*DH13</f>
        <v>-0</v>
      </c>
      <c r="DI47" s="47" t="n">
        <f aca="false">-In_Devex*DI13</f>
        <v>-0</v>
      </c>
      <c r="DJ47" s="47" t="n">
        <f aca="false">-In_Devex*DJ13</f>
        <v>-0</v>
      </c>
      <c r="DK47" s="47" t="n">
        <f aca="false">-In_Devex*DK13</f>
        <v>-0</v>
      </c>
      <c r="DL47" s="47" t="n">
        <f aca="false">-In_Devex*DL13</f>
        <v>-0</v>
      </c>
      <c r="DM47" s="47" t="n">
        <f aca="false">-In_Devex*DM13</f>
        <v>-0</v>
      </c>
      <c r="DN47" s="47" t="n">
        <f aca="false">-In_Devex*DN13</f>
        <v>-0</v>
      </c>
      <c r="DO47" s="47" t="n">
        <f aca="false">-In_Devex*DO13</f>
        <v>-0</v>
      </c>
      <c r="DP47" s="47" t="n">
        <f aca="false">-In_Devex*DP13</f>
        <v>-0</v>
      </c>
      <c r="DQ47" s="47" t="n">
        <f aca="false">-In_Devex*DQ13</f>
        <v>-0</v>
      </c>
      <c r="DR47" s="47" t="n">
        <f aca="false">-In_Devex*DR13</f>
        <v>-0</v>
      </c>
      <c r="DS47" s="47" t="n">
        <f aca="false">-In_Devex*DS13</f>
        <v>-0</v>
      </c>
      <c r="DT47" s="47" t="n">
        <f aca="false">-In_Devex*DT13</f>
        <v>-0</v>
      </c>
      <c r="DU47" s="47" t="n">
        <f aca="false">-In_Devex*DU13</f>
        <v>-0</v>
      </c>
      <c r="DV47" s="47" t="n">
        <f aca="false">-In_Devex*DV13</f>
        <v>-0</v>
      </c>
      <c r="DW47" s="47" t="n">
        <f aca="false">-In_Devex*DW13</f>
        <v>-0</v>
      </c>
      <c r="DX47" s="47" t="n">
        <f aca="false">-In_Devex*DX13</f>
        <v>-0</v>
      </c>
      <c r="DY47" s="47" t="n">
        <f aca="false">-In_Devex*DY13</f>
        <v>-0</v>
      </c>
      <c r="DZ47" s="47" t="n">
        <f aca="false">-In_Devex*DZ13</f>
        <v>-0</v>
      </c>
      <c r="EA47" s="47" t="n">
        <f aca="false">-In_Devex*EA13</f>
        <v>-0</v>
      </c>
      <c r="EB47" s="47" t="n">
        <f aca="false">-In_Devex*EB13</f>
        <v>-0</v>
      </c>
      <c r="EC47" s="47" t="n">
        <f aca="false">-In_Devex*EC13</f>
        <v>-0</v>
      </c>
      <c r="ED47" s="47" t="n">
        <f aca="false">-In_Devex*ED13</f>
        <v>-0</v>
      </c>
      <c r="EE47" s="47" t="n">
        <f aca="false">-In_Devex*EE13</f>
        <v>-0</v>
      </c>
      <c r="EF47" s="47" t="n">
        <f aca="false">-In_Devex*EF13</f>
        <v>-0</v>
      </c>
      <c r="EG47" s="47" t="n">
        <f aca="false">-In_Devex*EG13</f>
        <v>-0</v>
      </c>
      <c r="EH47" s="47" t="n">
        <f aca="false">-In_Devex*EH13</f>
        <v>-0</v>
      </c>
      <c r="EI47" s="47" t="n">
        <f aca="false">-In_Devex*EI13</f>
        <v>-0</v>
      </c>
      <c r="EJ47" s="47" t="n">
        <f aca="false">-In_Devex*EJ13</f>
        <v>-0</v>
      </c>
      <c r="EK47" s="47" t="n">
        <f aca="false">-In_Devex*EK13</f>
        <v>-0</v>
      </c>
      <c r="EL47" s="47" t="n">
        <f aca="false">-In_Devex*EL13</f>
        <v>-0</v>
      </c>
      <c r="EM47" s="47" t="n">
        <f aca="false">-In_Devex*EM13</f>
        <v>-0</v>
      </c>
      <c r="EN47" s="47" t="n">
        <f aca="false">-In_Devex*EN13</f>
        <v>-0</v>
      </c>
      <c r="EO47" s="47" t="n">
        <f aca="false">-In_Devex*EO13</f>
        <v>-0</v>
      </c>
    </row>
    <row r="48" customFormat="false" ht="15" hidden="false" customHeight="false" outlineLevel="0" collapsed="false">
      <c r="C48" s="0" t="s">
        <v>419</v>
      </c>
      <c r="D48" s="11" t="s">
        <v>280</v>
      </c>
      <c r="E48" s="47" t="n">
        <f aca="false">$E25*In_Bench_Wind+$E27*In_Bench_BESS</f>
        <v>32360</v>
      </c>
    </row>
    <row r="49" customFormat="false" ht="15" hidden="false" customHeight="false" outlineLevel="0" collapsed="false">
      <c r="C49" s="0" t="s">
        <v>420</v>
      </c>
      <c r="D49" s="11" t="s">
        <v>33</v>
      </c>
      <c r="E49" s="47" t="n">
        <f aca="false">In_Part_Fee*Thousand/In_FX</f>
        <v>8.21917808219178</v>
      </c>
      <c r="F49" s="20" t="n">
        <f aca="false">In_Bid_Date</f>
        <v>46325</v>
      </c>
      <c r="I49" s="47" t="n">
        <f aca="false">SUM(J49:EO49)</f>
        <v>-8.21917808219178</v>
      </c>
      <c r="J49" s="47" t="n">
        <f aca="false">-$E49*N(AND(J$3&lt;=$F49,J$4&gt;=$F49))</f>
        <v>-8.21917808219178</v>
      </c>
      <c r="K49" s="47" t="n">
        <f aca="false">-$E49*N(AND(K$3&lt;=$F49,K$4&gt;=$F49))</f>
        <v>-0</v>
      </c>
      <c r="L49" s="47" t="n">
        <f aca="false">-$E49*N(AND(L$3&lt;=$F49,L$4&gt;=$F49))</f>
        <v>-0</v>
      </c>
      <c r="M49" s="47" t="n">
        <f aca="false">-$E49*N(AND(M$3&lt;=$F49,M$4&gt;=$F49))</f>
        <v>-0</v>
      </c>
      <c r="N49" s="47" t="n">
        <f aca="false">-$E49*N(AND(N$3&lt;=$F49,N$4&gt;=$F49))</f>
        <v>-0</v>
      </c>
      <c r="O49" s="47" t="n">
        <f aca="false">-$E49*N(AND(O$3&lt;=$F49,O$4&gt;=$F49))</f>
        <v>-0</v>
      </c>
      <c r="P49" s="47" t="n">
        <f aca="false">-$E49*N(AND(P$3&lt;=$F49,P$4&gt;=$F49))</f>
        <v>-0</v>
      </c>
      <c r="Q49" s="47" t="n">
        <f aca="false">-$E49*N(AND(Q$3&lt;=$F49,Q$4&gt;=$F49))</f>
        <v>-0</v>
      </c>
      <c r="R49" s="47" t="n">
        <f aca="false">-$E49*N(AND(R$3&lt;=$F49,R$4&gt;=$F49))</f>
        <v>-0</v>
      </c>
      <c r="S49" s="47" t="n">
        <f aca="false">-$E49*N(AND(S$3&lt;=$F49,S$4&gt;=$F49))</f>
        <v>-0</v>
      </c>
      <c r="T49" s="47" t="n">
        <f aca="false">-$E49*N(AND(T$3&lt;=$F49,T$4&gt;=$F49))</f>
        <v>-0</v>
      </c>
      <c r="U49" s="47" t="n">
        <f aca="false">-$E49*N(AND(U$3&lt;=$F49,U$4&gt;=$F49))</f>
        <v>-0</v>
      </c>
      <c r="V49" s="47" t="n">
        <f aca="false">-$E49*N(AND(V$3&lt;=$F49,V$4&gt;=$F49))</f>
        <v>-0</v>
      </c>
      <c r="W49" s="47" t="n">
        <f aca="false">-$E49*N(AND(W$3&lt;=$F49,W$4&gt;=$F49))</f>
        <v>-0</v>
      </c>
      <c r="X49" s="47" t="n">
        <f aca="false">-$E49*N(AND(X$3&lt;=$F49,X$4&gt;=$F49))</f>
        <v>-0</v>
      </c>
      <c r="Y49" s="47" t="n">
        <f aca="false">-$E49*N(AND(Y$3&lt;=$F49,Y$4&gt;=$F49))</f>
        <v>-0</v>
      </c>
      <c r="Z49" s="47" t="n">
        <f aca="false">-$E49*N(AND(Z$3&lt;=$F49,Z$4&gt;=$F49))</f>
        <v>-0</v>
      </c>
      <c r="AA49" s="47" t="n">
        <f aca="false">-$E49*N(AND(AA$3&lt;=$F49,AA$4&gt;=$F49))</f>
        <v>-0</v>
      </c>
      <c r="AB49" s="47" t="n">
        <f aca="false">-$E49*N(AND(AB$3&lt;=$F49,AB$4&gt;=$F49))</f>
        <v>-0</v>
      </c>
      <c r="AC49" s="47" t="n">
        <f aca="false">-$E49*N(AND(AC$3&lt;=$F49,AC$4&gt;=$F49))</f>
        <v>-0</v>
      </c>
      <c r="AD49" s="47" t="n">
        <f aca="false">-$E49*N(AND(AD$3&lt;=$F49,AD$4&gt;=$F49))</f>
        <v>-0</v>
      </c>
      <c r="AE49" s="47" t="n">
        <f aca="false">-$E49*N(AND(AE$3&lt;=$F49,AE$4&gt;=$F49))</f>
        <v>-0</v>
      </c>
      <c r="AF49" s="47" t="n">
        <f aca="false">-$E49*N(AND(AF$3&lt;=$F49,AF$4&gt;=$F49))</f>
        <v>-0</v>
      </c>
      <c r="AG49" s="47" t="n">
        <f aca="false">-$E49*N(AND(AG$3&lt;=$F49,AG$4&gt;=$F49))</f>
        <v>-0</v>
      </c>
      <c r="AH49" s="47" t="n">
        <f aca="false">-$E49*N(AND(AH$3&lt;=$F49,AH$4&gt;=$F49))</f>
        <v>-0</v>
      </c>
      <c r="AI49" s="47" t="n">
        <f aca="false">-$E49*N(AND(AI$3&lt;=$F49,AI$4&gt;=$F49))</f>
        <v>-0</v>
      </c>
      <c r="AJ49" s="47" t="n">
        <f aca="false">-$E49*N(AND(AJ$3&lt;=$F49,AJ$4&gt;=$F49))</f>
        <v>-0</v>
      </c>
      <c r="AK49" s="47" t="n">
        <f aca="false">-$E49*N(AND(AK$3&lt;=$F49,AK$4&gt;=$F49))</f>
        <v>-0</v>
      </c>
      <c r="AL49" s="47" t="n">
        <f aca="false">-$E49*N(AND(AL$3&lt;=$F49,AL$4&gt;=$F49))</f>
        <v>-0</v>
      </c>
      <c r="AM49" s="47" t="n">
        <f aca="false">-$E49*N(AND(AM$3&lt;=$F49,AM$4&gt;=$F49))</f>
        <v>-0</v>
      </c>
      <c r="AN49" s="47" t="n">
        <f aca="false">-$E49*N(AND(AN$3&lt;=$F49,AN$4&gt;=$F49))</f>
        <v>-0</v>
      </c>
      <c r="AO49" s="47" t="n">
        <f aca="false">-$E49*N(AND(AO$3&lt;=$F49,AO$4&gt;=$F49))</f>
        <v>-0</v>
      </c>
      <c r="AP49" s="47" t="n">
        <f aca="false">-$E49*N(AND(AP$3&lt;=$F49,AP$4&gt;=$F49))</f>
        <v>-0</v>
      </c>
      <c r="AQ49" s="47" t="n">
        <f aca="false">-$E49*N(AND(AQ$3&lt;=$F49,AQ$4&gt;=$F49))</f>
        <v>-0</v>
      </c>
      <c r="AR49" s="47" t="n">
        <f aca="false">-$E49*N(AND(AR$3&lt;=$F49,AR$4&gt;=$F49))</f>
        <v>-0</v>
      </c>
      <c r="AS49" s="47" t="n">
        <f aca="false">-$E49*N(AND(AS$3&lt;=$F49,AS$4&gt;=$F49))</f>
        <v>-0</v>
      </c>
      <c r="AT49" s="47" t="n">
        <f aca="false">-$E49*N(AND(AT$3&lt;=$F49,AT$4&gt;=$F49))</f>
        <v>-0</v>
      </c>
      <c r="AU49" s="47" t="n">
        <f aca="false">-$E49*N(AND(AU$3&lt;=$F49,AU$4&gt;=$F49))</f>
        <v>-0</v>
      </c>
      <c r="AV49" s="47" t="n">
        <f aca="false">-$E49*N(AND(AV$3&lt;=$F49,AV$4&gt;=$F49))</f>
        <v>-0</v>
      </c>
      <c r="AW49" s="47" t="n">
        <f aca="false">-$E49*N(AND(AW$3&lt;=$F49,AW$4&gt;=$F49))</f>
        <v>-0</v>
      </c>
      <c r="AX49" s="47" t="n">
        <f aca="false">-$E49*N(AND(AX$3&lt;=$F49,AX$4&gt;=$F49))</f>
        <v>-0</v>
      </c>
      <c r="AY49" s="47" t="n">
        <f aca="false">-$E49*N(AND(AY$3&lt;=$F49,AY$4&gt;=$F49))</f>
        <v>-0</v>
      </c>
      <c r="AZ49" s="47" t="n">
        <f aca="false">-$E49*N(AND(AZ$3&lt;=$F49,AZ$4&gt;=$F49))</f>
        <v>-0</v>
      </c>
      <c r="BA49" s="47" t="n">
        <f aca="false">-$E49*N(AND(BA$3&lt;=$F49,BA$4&gt;=$F49))</f>
        <v>-0</v>
      </c>
      <c r="BB49" s="47" t="n">
        <f aca="false">-$E49*N(AND(BB$3&lt;=$F49,BB$4&gt;=$F49))</f>
        <v>-0</v>
      </c>
      <c r="BC49" s="47" t="n">
        <f aca="false">-$E49*N(AND(BC$3&lt;=$F49,BC$4&gt;=$F49))</f>
        <v>-0</v>
      </c>
      <c r="BD49" s="47" t="n">
        <f aca="false">-$E49*N(AND(BD$3&lt;=$F49,BD$4&gt;=$F49))</f>
        <v>-0</v>
      </c>
      <c r="BE49" s="47" t="n">
        <f aca="false">-$E49*N(AND(BE$3&lt;=$F49,BE$4&gt;=$F49))</f>
        <v>-0</v>
      </c>
      <c r="BF49" s="47" t="n">
        <f aca="false">-$E49*N(AND(BF$3&lt;=$F49,BF$4&gt;=$F49))</f>
        <v>-0</v>
      </c>
      <c r="BG49" s="47" t="n">
        <f aca="false">-$E49*N(AND(BG$3&lt;=$F49,BG$4&gt;=$F49))</f>
        <v>-0</v>
      </c>
      <c r="BH49" s="47" t="n">
        <f aca="false">-$E49*N(AND(BH$3&lt;=$F49,BH$4&gt;=$F49))</f>
        <v>-0</v>
      </c>
      <c r="BI49" s="47" t="n">
        <f aca="false">-$E49*N(AND(BI$3&lt;=$F49,BI$4&gt;=$F49))</f>
        <v>-0</v>
      </c>
      <c r="BJ49" s="47" t="n">
        <f aca="false">-$E49*N(AND(BJ$3&lt;=$F49,BJ$4&gt;=$F49))</f>
        <v>-0</v>
      </c>
      <c r="BK49" s="47" t="n">
        <f aca="false">-$E49*N(AND(BK$3&lt;=$F49,BK$4&gt;=$F49))</f>
        <v>-0</v>
      </c>
      <c r="BL49" s="47" t="n">
        <f aca="false">-$E49*N(AND(BL$3&lt;=$F49,BL$4&gt;=$F49))</f>
        <v>-0</v>
      </c>
      <c r="BM49" s="47" t="n">
        <f aca="false">-$E49*N(AND(BM$3&lt;=$F49,BM$4&gt;=$F49))</f>
        <v>-0</v>
      </c>
      <c r="BN49" s="47" t="n">
        <f aca="false">-$E49*N(AND(BN$3&lt;=$F49,BN$4&gt;=$F49))</f>
        <v>-0</v>
      </c>
      <c r="BO49" s="47" t="n">
        <f aca="false">-$E49*N(AND(BO$3&lt;=$F49,BO$4&gt;=$F49))</f>
        <v>-0</v>
      </c>
      <c r="BP49" s="47" t="n">
        <f aca="false">-$E49*N(AND(BP$3&lt;=$F49,BP$4&gt;=$F49))</f>
        <v>-0</v>
      </c>
      <c r="BQ49" s="47" t="n">
        <f aca="false">-$E49*N(AND(BQ$3&lt;=$F49,BQ$4&gt;=$F49))</f>
        <v>-0</v>
      </c>
      <c r="BR49" s="47" t="n">
        <f aca="false">-$E49*N(AND(BR$3&lt;=$F49,BR$4&gt;=$F49))</f>
        <v>-0</v>
      </c>
      <c r="BS49" s="47" t="n">
        <f aca="false">-$E49*N(AND(BS$3&lt;=$F49,BS$4&gt;=$F49))</f>
        <v>-0</v>
      </c>
      <c r="BT49" s="47" t="n">
        <f aca="false">-$E49*N(AND(BT$3&lt;=$F49,BT$4&gt;=$F49))</f>
        <v>-0</v>
      </c>
      <c r="BU49" s="47" t="n">
        <f aca="false">-$E49*N(AND(BU$3&lt;=$F49,BU$4&gt;=$F49))</f>
        <v>-0</v>
      </c>
      <c r="BV49" s="47" t="n">
        <f aca="false">-$E49*N(AND(BV$3&lt;=$F49,BV$4&gt;=$F49))</f>
        <v>-0</v>
      </c>
      <c r="BW49" s="47" t="n">
        <f aca="false">-$E49*N(AND(BW$3&lt;=$F49,BW$4&gt;=$F49))</f>
        <v>-0</v>
      </c>
      <c r="BX49" s="47" t="n">
        <f aca="false">-$E49*N(AND(BX$3&lt;=$F49,BX$4&gt;=$F49))</f>
        <v>-0</v>
      </c>
      <c r="BY49" s="47" t="n">
        <f aca="false">-$E49*N(AND(BY$3&lt;=$F49,BY$4&gt;=$F49))</f>
        <v>-0</v>
      </c>
      <c r="BZ49" s="47" t="n">
        <f aca="false">-$E49*N(AND(BZ$3&lt;=$F49,BZ$4&gt;=$F49))</f>
        <v>-0</v>
      </c>
      <c r="CA49" s="47" t="n">
        <f aca="false">-$E49*N(AND(CA$3&lt;=$F49,CA$4&gt;=$F49))</f>
        <v>-0</v>
      </c>
      <c r="CB49" s="47" t="n">
        <f aca="false">-$E49*N(AND(CB$3&lt;=$F49,CB$4&gt;=$F49))</f>
        <v>-0</v>
      </c>
      <c r="CC49" s="47" t="n">
        <f aca="false">-$E49*N(AND(CC$3&lt;=$F49,CC$4&gt;=$F49))</f>
        <v>-0</v>
      </c>
      <c r="CD49" s="47" t="n">
        <f aca="false">-$E49*N(AND(CD$3&lt;=$F49,CD$4&gt;=$F49))</f>
        <v>-0</v>
      </c>
      <c r="CE49" s="47" t="n">
        <f aca="false">-$E49*N(AND(CE$3&lt;=$F49,CE$4&gt;=$F49))</f>
        <v>-0</v>
      </c>
      <c r="CF49" s="47" t="n">
        <f aca="false">-$E49*N(AND(CF$3&lt;=$F49,CF$4&gt;=$F49))</f>
        <v>-0</v>
      </c>
      <c r="CG49" s="47" t="n">
        <f aca="false">-$E49*N(AND(CG$3&lt;=$F49,CG$4&gt;=$F49))</f>
        <v>-0</v>
      </c>
      <c r="CH49" s="47" t="n">
        <f aca="false">-$E49*N(AND(CH$3&lt;=$F49,CH$4&gt;=$F49))</f>
        <v>-0</v>
      </c>
      <c r="CI49" s="47" t="n">
        <f aca="false">-$E49*N(AND(CI$3&lt;=$F49,CI$4&gt;=$F49))</f>
        <v>-0</v>
      </c>
      <c r="CJ49" s="47" t="n">
        <f aca="false">-$E49*N(AND(CJ$3&lt;=$F49,CJ$4&gt;=$F49))</f>
        <v>-0</v>
      </c>
      <c r="CK49" s="47" t="n">
        <f aca="false">-$E49*N(AND(CK$3&lt;=$F49,CK$4&gt;=$F49))</f>
        <v>-0</v>
      </c>
      <c r="CL49" s="47" t="n">
        <f aca="false">-$E49*N(AND(CL$3&lt;=$F49,CL$4&gt;=$F49))</f>
        <v>-0</v>
      </c>
      <c r="CM49" s="47" t="n">
        <f aca="false">-$E49*N(AND(CM$3&lt;=$F49,CM$4&gt;=$F49))</f>
        <v>-0</v>
      </c>
      <c r="CN49" s="47" t="n">
        <f aca="false">-$E49*N(AND(CN$3&lt;=$F49,CN$4&gt;=$F49))</f>
        <v>-0</v>
      </c>
      <c r="CO49" s="47" t="n">
        <f aca="false">-$E49*N(AND(CO$3&lt;=$F49,CO$4&gt;=$F49))</f>
        <v>-0</v>
      </c>
      <c r="CP49" s="47" t="n">
        <f aca="false">-$E49*N(AND(CP$3&lt;=$F49,CP$4&gt;=$F49))</f>
        <v>-0</v>
      </c>
      <c r="CQ49" s="47" t="n">
        <f aca="false">-$E49*N(AND(CQ$3&lt;=$F49,CQ$4&gt;=$F49))</f>
        <v>-0</v>
      </c>
      <c r="CR49" s="47" t="n">
        <f aca="false">-$E49*N(AND(CR$3&lt;=$F49,CR$4&gt;=$F49))</f>
        <v>-0</v>
      </c>
      <c r="CS49" s="47" t="n">
        <f aca="false">-$E49*N(AND(CS$3&lt;=$F49,CS$4&gt;=$F49))</f>
        <v>-0</v>
      </c>
      <c r="CT49" s="47" t="n">
        <f aca="false">-$E49*N(AND(CT$3&lt;=$F49,CT$4&gt;=$F49))</f>
        <v>-0</v>
      </c>
      <c r="CU49" s="47" t="n">
        <f aca="false">-$E49*N(AND(CU$3&lt;=$F49,CU$4&gt;=$F49))</f>
        <v>-0</v>
      </c>
      <c r="CV49" s="47" t="n">
        <f aca="false">-$E49*N(AND(CV$3&lt;=$F49,CV$4&gt;=$F49))</f>
        <v>-0</v>
      </c>
      <c r="CW49" s="47" t="n">
        <f aca="false">-$E49*N(AND(CW$3&lt;=$F49,CW$4&gt;=$F49))</f>
        <v>-0</v>
      </c>
      <c r="CX49" s="47" t="n">
        <f aca="false">-$E49*N(AND(CX$3&lt;=$F49,CX$4&gt;=$F49))</f>
        <v>-0</v>
      </c>
      <c r="CY49" s="47" t="n">
        <f aca="false">-$E49*N(AND(CY$3&lt;=$F49,CY$4&gt;=$F49))</f>
        <v>-0</v>
      </c>
      <c r="CZ49" s="47" t="n">
        <f aca="false">-$E49*N(AND(CZ$3&lt;=$F49,CZ$4&gt;=$F49))</f>
        <v>-0</v>
      </c>
      <c r="DA49" s="47" t="n">
        <f aca="false">-$E49*N(AND(DA$3&lt;=$F49,DA$4&gt;=$F49))</f>
        <v>-0</v>
      </c>
      <c r="DB49" s="47" t="n">
        <f aca="false">-$E49*N(AND(DB$3&lt;=$F49,DB$4&gt;=$F49))</f>
        <v>-0</v>
      </c>
      <c r="DC49" s="47" t="n">
        <f aca="false">-$E49*N(AND(DC$3&lt;=$F49,DC$4&gt;=$F49))</f>
        <v>-0</v>
      </c>
      <c r="DD49" s="47" t="n">
        <f aca="false">-$E49*N(AND(DD$3&lt;=$F49,DD$4&gt;=$F49))</f>
        <v>-0</v>
      </c>
      <c r="DE49" s="47" t="n">
        <f aca="false">-$E49*N(AND(DE$3&lt;=$F49,DE$4&gt;=$F49))</f>
        <v>-0</v>
      </c>
      <c r="DF49" s="47" t="n">
        <f aca="false">-$E49*N(AND(DF$3&lt;=$F49,DF$4&gt;=$F49))</f>
        <v>-0</v>
      </c>
      <c r="DG49" s="47" t="n">
        <f aca="false">-$E49*N(AND(DG$3&lt;=$F49,DG$4&gt;=$F49))</f>
        <v>-0</v>
      </c>
      <c r="DH49" s="47" t="n">
        <f aca="false">-$E49*N(AND(DH$3&lt;=$F49,DH$4&gt;=$F49))</f>
        <v>-0</v>
      </c>
      <c r="DI49" s="47" t="n">
        <f aca="false">-$E49*N(AND(DI$3&lt;=$F49,DI$4&gt;=$F49))</f>
        <v>-0</v>
      </c>
      <c r="DJ49" s="47" t="n">
        <f aca="false">-$E49*N(AND(DJ$3&lt;=$F49,DJ$4&gt;=$F49))</f>
        <v>-0</v>
      </c>
      <c r="DK49" s="47" t="n">
        <f aca="false">-$E49*N(AND(DK$3&lt;=$F49,DK$4&gt;=$F49))</f>
        <v>-0</v>
      </c>
      <c r="DL49" s="47" t="n">
        <f aca="false">-$E49*N(AND(DL$3&lt;=$F49,DL$4&gt;=$F49))</f>
        <v>-0</v>
      </c>
      <c r="DM49" s="47" t="n">
        <f aca="false">-$E49*N(AND(DM$3&lt;=$F49,DM$4&gt;=$F49))</f>
        <v>-0</v>
      </c>
      <c r="DN49" s="47" t="n">
        <f aca="false">-$E49*N(AND(DN$3&lt;=$F49,DN$4&gt;=$F49))</f>
        <v>-0</v>
      </c>
      <c r="DO49" s="47" t="n">
        <f aca="false">-$E49*N(AND(DO$3&lt;=$F49,DO$4&gt;=$F49))</f>
        <v>-0</v>
      </c>
      <c r="DP49" s="47" t="n">
        <f aca="false">-$E49*N(AND(DP$3&lt;=$F49,DP$4&gt;=$F49))</f>
        <v>-0</v>
      </c>
      <c r="DQ49" s="47" t="n">
        <f aca="false">-$E49*N(AND(DQ$3&lt;=$F49,DQ$4&gt;=$F49))</f>
        <v>-0</v>
      </c>
      <c r="DR49" s="47" t="n">
        <f aca="false">-$E49*N(AND(DR$3&lt;=$F49,DR$4&gt;=$F49))</f>
        <v>-0</v>
      </c>
      <c r="DS49" s="47" t="n">
        <f aca="false">-$E49*N(AND(DS$3&lt;=$F49,DS$4&gt;=$F49))</f>
        <v>-0</v>
      </c>
      <c r="DT49" s="47" t="n">
        <f aca="false">-$E49*N(AND(DT$3&lt;=$F49,DT$4&gt;=$F49))</f>
        <v>-0</v>
      </c>
      <c r="DU49" s="47" t="n">
        <f aca="false">-$E49*N(AND(DU$3&lt;=$F49,DU$4&gt;=$F49))</f>
        <v>-0</v>
      </c>
      <c r="DV49" s="47" t="n">
        <f aca="false">-$E49*N(AND(DV$3&lt;=$F49,DV$4&gt;=$F49))</f>
        <v>-0</v>
      </c>
      <c r="DW49" s="47" t="n">
        <f aca="false">-$E49*N(AND(DW$3&lt;=$F49,DW$4&gt;=$F49))</f>
        <v>-0</v>
      </c>
      <c r="DX49" s="47" t="n">
        <f aca="false">-$E49*N(AND(DX$3&lt;=$F49,DX$4&gt;=$F49))</f>
        <v>-0</v>
      </c>
      <c r="DY49" s="47" t="n">
        <f aca="false">-$E49*N(AND(DY$3&lt;=$F49,DY$4&gt;=$F49))</f>
        <v>-0</v>
      </c>
      <c r="DZ49" s="47" t="n">
        <f aca="false">-$E49*N(AND(DZ$3&lt;=$F49,DZ$4&gt;=$F49))</f>
        <v>-0</v>
      </c>
      <c r="EA49" s="47" t="n">
        <f aca="false">-$E49*N(AND(EA$3&lt;=$F49,EA$4&gt;=$F49))</f>
        <v>-0</v>
      </c>
      <c r="EB49" s="47" t="n">
        <f aca="false">-$E49*N(AND(EB$3&lt;=$F49,EB$4&gt;=$F49))</f>
        <v>-0</v>
      </c>
      <c r="EC49" s="47" t="n">
        <f aca="false">-$E49*N(AND(EC$3&lt;=$F49,EC$4&gt;=$F49))</f>
        <v>-0</v>
      </c>
      <c r="ED49" s="47" t="n">
        <f aca="false">-$E49*N(AND(ED$3&lt;=$F49,ED$4&gt;=$F49))</f>
        <v>-0</v>
      </c>
      <c r="EE49" s="47" t="n">
        <f aca="false">-$E49*N(AND(EE$3&lt;=$F49,EE$4&gt;=$F49))</f>
        <v>-0</v>
      </c>
      <c r="EF49" s="47" t="n">
        <f aca="false">-$E49*N(AND(EF$3&lt;=$F49,EF$4&gt;=$F49))</f>
        <v>-0</v>
      </c>
      <c r="EG49" s="47" t="n">
        <f aca="false">-$E49*N(AND(EG$3&lt;=$F49,EG$4&gt;=$F49))</f>
        <v>-0</v>
      </c>
      <c r="EH49" s="47" t="n">
        <f aca="false">-$E49*N(AND(EH$3&lt;=$F49,EH$4&gt;=$F49))</f>
        <v>-0</v>
      </c>
      <c r="EI49" s="47" t="n">
        <f aca="false">-$E49*N(AND(EI$3&lt;=$F49,EI$4&gt;=$F49))</f>
        <v>-0</v>
      </c>
      <c r="EJ49" s="47" t="n">
        <f aca="false">-$E49*N(AND(EJ$3&lt;=$F49,EJ$4&gt;=$F49))</f>
        <v>-0</v>
      </c>
      <c r="EK49" s="47" t="n">
        <f aca="false">-$E49*N(AND(EK$3&lt;=$F49,EK$4&gt;=$F49))</f>
        <v>-0</v>
      </c>
      <c r="EL49" s="47" t="n">
        <f aca="false">-$E49*N(AND(EL$3&lt;=$F49,EL$4&gt;=$F49))</f>
        <v>-0</v>
      </c>
      <c r="EM49" s="47" t="n">
        <f aca="false">-$E49*N(AND(EM$3&lt;=$F49,EM$4&gt;=$F49))</f>
        <v>-0</v>
      </c>
      <c r="EN49" s="47" t="n">
        <f aca="false">-$E49*N(AND(EN$3&lt;=$F49,EN$4&gt;=$F49))</f>
        <v>-0</v>
      </c>
      <c r="EO49" s="47" t="n">
        <f aca="false">-$E49*N(AND(EO$3&lt;=$F49,EO$4&gt;=$F49))</f>
        <v>-0</v>
      </c>
    </row>
    <row r="50" customFormat="false" ht="15" hidden="false" customHeight="false" outlineLevel="0" collapsed="false">
      <c r="C50" s="0" t="s">
        <v>421</v>
      </c>
      <c r="D50" s="11" t="s">
        <v>33</v>
      </c>
      <c r="E50" s="47" t="n">
        <f aca="false">In_Bid_Rate*$E48*Thousand/In_FX</f>
        <v>443.287671232877</v>
      </c>
      <c r="F50" s="20" t="n">
        <f aca="false">In_Bid_Date</f>
        <v>46325</v>
      </c>
      <c r="J50" s="47" t="n">
        <f aca="false">$E50*MAX(0,(MIN(In_Decision_Date+In_PB_Days-1,J$4)-MAX($F50,J$3)+1)/J$5)</f>
        <v>303.55568790947</v>
      </c>
      <c r="K50" s="47" t="n">
        <f aca="false">$E50*MAX(0,(MIN(In_Decision_Date+In_PB_Days-1,K$4)-MAX($F50,K$3)+1)/K$5)</f>
        <v>221.643835616438</v>
      </c>
      <c r="L50" s="47" t="n">
        <f aca="false">$E50*MAX(0,(MIN(In_Decision_Date+In_PB_Days-1,L$4)-MAX($F50,L$3)+1)/L$5)</f>
        <v>0</v>
      </c>
      <c r="M50" s="47" t="n">
        <f aca="false">$E50*MAX(0,(MIN(In_Decision_Date+In_PB_Days-1,M$4)-MAX($F50,M$3)+1)/M$5)</f>
        <v>0</v>
      </c>
      <c r="N50" s="47" t="n">
        <f aca="false">$E50*MAX(0,(MIN(In_Decision_Date+In_PB_Days-1,N$4)-MAX($F50,N$3)+1)/N$5)</f>
        <v>0</v>
      </c>
      <c r="O50" s="47" t="n">
        <f aca="false">$E50*MAX(0,(MIN(In_Decision_Date+In_PB_Days-1,O$4)-MAX($F50,O$3)+1)/O$5)</f>
        <v>0</v>
      </c>
      <c r="P50" s="47" t="n">
        <f aca="false">$E50*MAX(0,(MIN(In_Decision_Date+In_PB_Days-1,P$4)-MAX($F50,P$3)+1)/P$5)</f>
        <v>0</v>
      </c>
      <c r="Q50" s="47" t="n">
        <f aca="false">$E50*MAX(0,(MIN(In_Decision_Date+In_PB_Days-1,Q$4)-MAX($F50,Q$3)+1)/Q$5)</f>
        <v>0</v>
      </c>
      <c r="R50" s="47" t="n">
        <f aca="false">$E50*MAX(0,(MIN(In_Decision_Date+In_PB_Days-1,R$4)-MAX($F50,R$3)+1)/R$5)</f>
        <v>0</v>
      </c>
      <c r="S50" s="47" t="n">
        <f aca="false">$E50*MAX(0,(MIN(In_Decision_Date+In_PB_Days-1,S$4)-MAX($F50,S$3)+1)/S$5)</f>
        <v>0</v>
      </c>
      <c r="T50" s="47" t="n">
        <f aca="false">$E50*MAX(0,(MIN(In_Decision_Date+In_PB_Days-1,T$4)-MAX($F50,T$3)+1)/T$5)</f>
        <v>0</v>
      </c>
      <c r="U50" s="47" t="n">
        <f aca="false">$E50*MAX(0,(MIN(In_Decision_Date+In_PB_Days-1,U$4)-MAX($F50,U$3)+1)/U$5)</f>
        <v>0</v>
      </c>
      <c r="V50" s="47" t="n">
        <f aca="false">$E50*MAX(0,(MIN(In_Decision_Date+In_PB_Days-1,V$4)-MAX($F50,V$3)+1)/V$5)</f>
        <v>0</v>
      </c>
      <c r="W50" s="47" t="n">
        <f aca="false">$E50*MAX(0,(MIN(In_Decision_Date+In_PB_Days-1,W$4)-MAX($F50,W$3)+1)/W$5)</f>
        <v>0</v>
      </c>
      <c r="X50" s="47" t="n">
        <f aca="false">$E50*MAX(0,(MIN(In_Decision_Date+In_PB_Days-1,X$4)-MAX($F50,X$3)+1)/X$5)</f>
        <v>0</v>
      </c>
      <c r="Y50" s="47" t="n">
        <f aca="false">$E50*MAX(0,(MIN(In_Decision_Date+In_PB_Days-1,Y$4)-MAX($F50,Y$3)+1)/Y$5)</f>
        <v>0</v>
      </c>
      <c r="Z50" s="47" t="n">
        <f aca="false">$E50*MAX(0,(MIN(In_Decision_Date+In_PB_Days-1,Z$4)-MAX($F50,Z$3)+1)/Z$5)</f>
        <v>0</v>
      </c>
      <c r="AA50" s="47" t="n">
        <f aca="false">$E50*MAX(0,(MIN(In_Decision_Date+In_PB_Days-1,AA$4)-MAX($F50,AA$3)+1)/AA$5)</f>
        <v>0</v>
      </c>
      <c r="AB50" s="47" t="n">
        <f aca="false">$E50*MAX(0,(MIN(In_Decision_Date+In_PB_Days-1,AB$4)-MAX($F50,AB$3)+1)/AB$5)</f>
        <v>0</v>
      </c>
      <c r="AC50" s="47" t="n">
        <f aca="false">$E50*MAX(0,(MIN(In_Decision_Date+In_PB_Days-1,AC$4)-MAX($F50,AC$3)+1)/AC$5)</f>
        <v>0</v>
      </c>
      <c r="AD50" s="47" t="n">
        <f aca="false">$E50*MAX(0,(MIN(In_Decision_Date+In_PB_Days-1,AD$4)-MAX($F50,AD$3)+1)/AD$5)</f>
        <v>0</v>
      </c>
      <c r="AE50" s="47" t="n">
        <f aca="false">$E50*MAX(0,(MIN(In_Decision_Date+In_PB_Days-1,AE$4)-MAX($F50,AE$3)+1)/AE$5)</f>
        <v>0</v>
      </c>
      <c r="AF50" s="47" t="n">
        <f aca="false">$E50*MAX(0,(MIN(In_Decision_Date+In_PB_Days-1,AF$4)-MAX($F50,AF$3)+1)/AF$5)</f>
        <v>0</v>
      </c>
      <c r="AG50" s="47" t="n">
        <f aca="false">$E50*MAX(0,(MIN(In_Decision_Date+In_PB_Days-1,AG$4)-MAX($F50,AG$3)+1)/AG$5)</f>
        <v>0</v>
      </c>
      <c r="AH50" s="47" t="n">
        <f aca="false">$E50*MAX(0,(MIN(In_Decision_Date+In_PB_Days-1,AH$4)-MAX($F50,AH$3)+1)/AH$5)</f>
        <v>0</v>
      </c>
      <c r="AI50" s="47" t="n">
        <f aca="false">$E50*MAX(0,(MIN(In_Decision_Date+In_PB_Days-1,AI$4)-MAX($F50,AI$3)+1)/AI$5)</f>
        <v>0</v>
      </c>
      <c r="AJ50" s="47" t="n">
        <f aca="false">$E50*MAX(0,(MIN(In_Decision_Date+In_PB_Days-1,AJ$4)-MAX($F50,AJ$3)+1)/AJ$5)</f>
        <v>0</v>
      </c>
      <c r="AK50" s="47" t="n">
        <f aca="false">$E50*MAX(0,(MIN(In_Decision_Date+In_PB_Days-1,AK$4)-MAX($F50,AK$3)+1)/AK$5)</f>
        <v>0</v>
      </c>
      <c r="AL50" s="47" t="n">
        <f aca="false">$E50*MAX(0,(MIN(In_Decision_Date+In_PB_Days-1,AL$4)-MAX($F50,AL$3)+1)/AL$5)</f>
        <v>0</v>
      </c>
      <c r="AM50" s="47" t="n">
        <f aca="false">$E50*MAX(0,(MIN(In_Decision_Date+In_PB_Days-1,AM$4)-MAX($F50,AM$3)+1)/AM$5)</f>
        <v>0</v>
      </c>
      <c r="AN50" s="47" t="n">
        <f aca="false">$E50*MAX(0,(MIN(In_Decision_Date+In_PB_Days-1,AN$4)-MAX($F50,AN$3)+1)/AN$5)</f>
        <v>0</v>
      </c>
      <c r="AO50" s="47" t="n">
        <f aca="false">$E50*MAX(0,(MIN(In_Decision_Date+In_PB_Days-1,AO$4)-MAX($F50,AO$3)+1)/AO$5)</f>
        <v>0</v>
      </c>
      <c r="AP50" s="47" t="n">
        <f aca="false">$E50*MAX(0,(MIN(In_Decision_Date+In_PB_Days-1,AP$4)-MAX($F50,AP$3)+1)/AP$5)</f>
        <v>0</v>
      </c>
      <c r="AQ50" s="47" t="n">
        <f aca="false">$E50*MAX(0,(MIN(In_Decision_Date+In_PB_Days-1,AQ$4)-MAX($F50,AQ$3)+1)/AQ$5)</f>
        <v>0</v>
      </c>
      <c r="AR50" s="47" t="n">
        <f aca="false">$E50*MAX(0,(MIN(In_Decision_Date+In_PB_Days-1,AR$4)-MAX($F50,AR$3)+1)/AR$5)</f>
        <v>0</v>
      </c>
      <c r="AS50" s="47" t="n">
        <f aca="false">$E50*MAX(0,(MIN(In_Decision_Date+In_PB_Days-1,AS$4)-MAX($F50,AS$3)+1)/AS$5)</f>
        <v>0</v>
      </c>
      <c r="AT50" s="47" t="n">
        <f aca="false">$E50*MAX(0,(MIN(In_Decision_Date+In_PB_Days-1,AT$4)-MAX($F50,AT$3)+1)/AT$5)</f>
        <v>0</v>
      </c>
      <c r="AU50" s="47" t="n">
        <f aca="false">$E50*MAX(0,(MIN(In_Decision_Date+In_PB_Days-1,AU$4)-MAX($F50,AU$3)+1)/AU$5)</f>
        <v>0</v>
      </c>
      <c r="AV50" s="47" t="n">
        <f aca="false">$E50*MAX(0,(MIN(In_Decision_Date+In_PB_Days-1,AV$4)-MAX($F50,AV$3)+1)/AV$5)</f>
        <v>0</v>
      </c>
      <c r="AW50" s="47" t="n">
        <f aca="false">$E50*MAX(0,(MIN(In_Decision_Date+In_PB_Days-1,AW$4)-MAX($F50,AW$3)+1)/AW$5)</f>
        <v>0</v>
      </c>
      <c r="AX50" s="47" t="n">
        <f aca="false">$E50*MAX(0,(MIN(In_Decision_Date+In_PB_Days-1,AX$4)-MAX($F50,AX$3)+1)/AX$5)</f>
        <v>0</v>
      </c>
      <c r="AY50" s="47" t="n">
        <f aca="false">$E50*MAX(0,(MIN(In_Decision_Date+In_PB_Days-1,AY$4)-MAX($F50,AY$3)+1)/AY$5)</f>
        <v>0</v>
      </c>
      <c r="AZ50" s="47" t="n">
        <f aca="false">$E50*MAX(0,(MIN(In_Decision_Date+In_PB_Days-1,AZ$4)-MAX($F50,AZ$3)+1)/AZ$5)</f>
        <v>0</v>
      </c>
      <c r="BA50" s="47" t="n">
        <f aca="false">$E50*MAX(0,(MIN(In_Decision_Date+In_PB_Days-1,BA$4)-MAX($F50,BA$3)+1)/BA$5)</f>
        <v>0</v>
      </c>
      <c r="BB50" s="47" t="n">
        <f aca="false">$E50*MAX(0,(MIN(In_Decision_Date+In_PB_Days-1,BB$4)-MAX($F50,BB$3)+1)/BB$5)</f>
        <v>0</v>
      </c>
      <c r="BC50" s="47" t="n">
        <f aca="false">$E50*MAX(0,(MIN(In_Decision_Date+In_PB_Days-1,BC$4)-MAX($F50,BC$3)+1)/BC$5)</f>
        <v>0</v>
      </c>
      <c r="BD50" s="47" t="n">
        <f aca="false">$E50*MAX(0,(MIN(In_Decision_Date+In_PB_Days-1,BD$4)-MAX($F50,BD$3)+1)/BD$5)</f>
        <v>0</v>
      </c>
      <c r="BE50" s="47" t="n">
        <f aca="false">$E50*MAX(0,(MIN(In_Decision_Date+In_PB_Days-1,BE$4)-MAX($F50,BE$3)+1)/BE$5)</f>
        <v>0</v>
      </c>
      <c r="BF50" s="47" t="n">
        <f aca="false">$E50*MAX(0,(MIN(In_Decision_Date+In_PB_Days-1,BF$4)-MAX($F50,BF$3)+1)/BF$5)</f>
        <v>0</v>
      </c>
      <c r="BG50" s="47" t="n">
        <f aca="false">$E50*MAX(0,(MIN(In_Decision_Date+In_PB_Days-1,BG$4)-MAX($F50,BG$3)+1)/BG$5)</f>
        <v>0</v>
      </c>
      <c r="BH50" s="47" t="n">
        <f aca="false">$E50*MAX(0,(MIN(In_Decision_Date+In_PB_Days-1,BH$4)-MAX($F50,BH$3)+1)/BH$5)</f>
        <v>0</v>
      </c>
      <c r="BI50" s="47" t="n">
        <f aca="false">$E50*MAX(0,(MIN(In_Decision_Date+In_PB_Days-1,BI$4)-MAX($F50,BI$3)+1)/BI$5)</f>
        <v>0</v>
      </c>
      <c r="BJ50" s="47" t="n">
        <f aca="false">$E50*MAX(0,(MIN(In_Decision_Date+In_PB_Days-1,BJ$4)-MAX($F50,BJ$3)+1)/BJ$5)</f>
        <v>0</v>
      </c>
      <c r="BK50" s="47" t="n">
        <f aca="false">$E50*MAX(0,(MIN(In_Decision_Date+In_PB_Days-1,BK$4)-MAX($F50,BK$3)+1)/BK$5)</f>
        <v>0</v>
      </c>
      <c r="BL50" s="47" t="n">
        <f aca="false">$E50*MAX(0,(MIN(In_Decision_Date+In_PB_Days-1,BL$4)-MAX($F50,BL$3)+1)/BL$5)</f>
        <v>0</v>
      </c>
      <c r="BM50" s="47" t="n">
        <f aca="false">$E50*MAX(0,(MIN(In_Decision_Date+In_PB_Days-1,BM$4)-MAX($F50,BM$3)+1)/BM$5)</f>
        <v>0</v>
      </c>
      <c r="BN50" s="47" t="n">
        <f aca="false">$E50*MAX(0,(MIN(In_Decision_Date+In_PB_Days-1,BN$4)-MAX($F50,BN$3)+1)/BN$5)</f>
        <v>0</v>
      </c>
      <c r="BO50" s="47" t="n">
        <f aca="false">$E50*MAX(0,(MIN(In_Decision_Date+In_PB_Days-1,BO$4)-MAX($F50,BO$3)+1)/BO$5)</f>
        <v>0</v>
      </c>
      <c r="BP50" s="47" t="n">
        <f aca="false">$E50*MAX(0,(MIN(In_Decision_Date+In_PB_Days-1,BP$4)-MAX($F50,BP$3)+1)/BP$5)</f>
        <v>0</v>
      </c>
      <c r="BQ50" s="47" t="n">
        <f aca="false">$E50*MAX(0,(MIN(In_Decision_Date+In_PB_Days-1,BQ$4)-MAX($F50,BQ$3)+1)/BQ$5)</f>
        <v>0</v>
      </c>
      <c r="BR50" s="47" t="n">
        <f aca="false">$E50*MAX(0,(MIN(In_Decision_Date+In_PB_Days-1,BR$4)-MAX($F50,BR$3)+1)/BR$5)</f>
        <v>0</v>
      </c>
      <c r="BS50" s="47" t="n">
        <f aca="false">$E50*MAX(0,(MIN(In_Decision_Date+In_PB_Days-1,BS$4)-MAX($F50,BS$3)+1)/BS$5)</f>
        <v>0</v>
      </c>
      <c r="BT50" s="47" t="n">
        <f aca="false">$E50*MAX(0,(MIN(In_Decision_Date+In_PB_Days-1,BT$4)-MAX($F50,BT$3)+1)/BT$5)</f>
        <v>0</v>
      </c>
      <c r="BU50" s="47" t="n">
        <f aca="false">$E50*MAX(0,(MIN(In_Decision_Date+In_PB_Days-1,BU$4)-MAX($F50,BU$3)+1)/BU$5)</f>
        <v>0</v>
      </c>
      <c r="BV50" s="47" t="n">
        <f aca="false">$E50*MAX(0,(MIN(In_Decision_Date+In_PB_Days-1,BV$4)-MAX($F50,BV$3)+1)/BV$5)</f>
        <v>0</v>
      </c>
      <c r="BW50" s="47" t="n">
        <f aca="false">$E50*MAX(0,(MIN(In_Decision_Date+In_PB_Days-1,BW$4)-MAX($F50,BW$3)+1)/BW$5)</f>
        <v>0</v>
      </c>
      <c r="BX50" s="47" t="n">
        <f aca="false">$E50*MAX(0,(MIN(In_Decision_Date+In_PB_Days-1,BX$4)-MAX($F50,BX$3)+1)/BX$5)</f>
        <v>0</v>
      </c>
      <c r="BY50" s="47" t="n">
        <f aca="false">$E50*MAX(0,(MIN(In_Decision_Date+In_PB_Days-1,BY$4)-MAX($F50,BY$3)+1)/BY$5)</f>
        <v>0</v>
      </c>
      <c r="BZ50" s="47" t="n">
        <f aca="false">$E50*MAX(0,(MIN(In_Decision_Date+In_PB_Days-1,BZ$4)-MAX($F50,BZ$3)+1)/BZ$5)</f>
        <v>0</v>
      </c>
      <c r="CA50" s="47" t="n">
        <f aca="false">$E50*MAX(0,(MIN(In_Decision_Date+In_PB_Days-1,CA$4)-MAX($F50,CA$3)+1)/CA$5)</f>
        <v>0</v>
      </c>
      <c r="CB50" s="47" t="n">
        <f aca="false">$E50*MAX(0,(MIN(In_Decision_Date+In_PB_Days-1,CB$4)-MAX($F50,CB$3)+1)/CB$5)</f>
        <v>0</v>
      </c>
      <c r="CC50" s="47" t="n">
        <f aca="false">$E50*MAX(0,(MIN(In_Decision_Date+In_PB_Days-1,CC$4)-MAX($F50,CC$3)+1)/CC$5)</f>
        <v>0</v>
      </c>
      <c r="CD50" s="47" t="n">
        <f aca="false">$E50*MAX(0,(MIN(In_Decision_Date+In_PB_Days-1,CD$4)-MAX($F50,CD$3)+1)/CD$5)</f>
        <v>0</v>
      </c>
      <c r="CE50" s="47" t="n">
        <f aca="false">$E50*MAX(0,(MIN(In_Decision_Date+In_PB_Days-1,CE$4)-MAX($F50,CE$3)+1)/CE$5)</f>
        <v>0</v>
      </c>
      <c r="CF50" s="47" t="n">
        <f aca="false">$E50*MAX(0,(MIN(In_Decision_Date+In_PB_Days-1,CF$4)-MAX($F50,CF$3)+1)/CF$5)</f>
        <v>0</v>
      </c>
      <c r="CG50" s="47" t="n">
        <f aca="false">$E50*MAX(0,(MIN(In_Decision_Date+In_PB_Days-1,CG$4)-MAX($F50,CG$3)+1)/CG$5)</f>
        <v>0</v>
      </c>
      <c r="CH50" s="47" t="n">
        <f aca="false">$E50*MAX(0,(MIN(In_Decision_Date+In_PB_Days-1,CH$4)-MAX($F50,CH$3)+1)/CH$5)</f>
        <v>0</v>
      </c>
      <c r="CI50" s="47" t="n">
        <f aca="false">$E50*MAX(0,(MIN(In_Decision_Date+In_PB_Days-1,CI$4)-MAX($F50,CI$3)+1)/CI$5)</f>
        <v>0</v>
      </c>
      <c r="CJ50" s="47" t="n">
        <f aca="false">$E50*MAX(0,(MIN(In_Decision_Date+In_PB_Days-1,CJ$4)-MAX($F50,CJ$3)+1)/CJ$5)</f>
        <v>0</v>
      </c>
      <c r="CK50" s="47" t="n">
        <f aca="false">$E50*MAX(0,(MIN(In_Decision_Date+In_PB_Days-1,CK$4)-MAX($F50,CK$3)+1)/CK$5)</f>
        <v>0</v>
      </c>
      <c r="CL50" s="47" t="n">
        <f aca="false">$E50*MAX(0,(MIN(In_Decision_Date+In_PB_Days-1,CL$4)-MAX($F50,CL$3)+1)/CL$5)</f>
        <v>0</v>
      </c>
      <c r="CM50" s="47" t="n">
        <f aca="false">$E50*MAX(0,(MIN(In_Decision_Date+In_PB_Days-1,CM$4)-MAX($F50,CM$3)+1)/CM$5)</f>
        <v>0</v>
      </c>
      <c r="CN50" s="47" t="n">
        <f aca="false">$E50*MAX(0,(MIN(In_Decision_Date+In_PB_Days-1,CN$4)-MAX($F50,CN$3)+1)/CN$5)</f>
        <v>0</v>
      </c>
      <c r="CO50" s="47" t="n">
        <f aca="false">$E50*MAX(0,(MIN(In_Decision_Date+In_PB_Days-1,CO$4)-MAX($F50,CO$3)+1)/CO$5)</f>
        <v>0</v>
      </c>
      <c r="CP50" s="47" t="n">
        <f aca="false">$E50*MAX(0,(MIN(In_Decision_Date+In_PB_Days-1,CP$4)-MAX($F50,CP$3)+1)/CP$5)</f>
        <v>0</v>
      </c>
      <c r="CQ50" s="47" t="n">
        <f aca="false">$E50*MAX(0,(MIN(In_Decision_Date+In_PB_Days-1,CQ$4)-MAX($F50,CQ$3)+1)/CQ$5)</f>
        <v>0</v>
      </c>
      <c r="CR50" s="47" t="n">
        <f aca="false">$E50*MAX(0,(MIN(In_Decision_Date+In_PB_Days-1,CR$4)-MAX($F50,CR$3)+1)/CR$5)</f>
        <v>0</v>
      </c>
      <c r="CS50" s="47" t="n">
        <f aca="false">$E50*MAX(0,(MIN(In_Decision_Date+In_PB_Days-1,CS$4)-MAX($F50,CS$3)+1)/CS$5)</f>
        <v>0</v>
      </c>
      <c r="CT50" s="47" t="n">
        <f aca="false">$E50*MAX(0,(MIN(In_Decision_Date+In_PB_Days-1,CT$4)-MAX($F50,CT$3)+1)/CT$5)</f>
        <v>0</v>
      </c>
      <c r="CU50" s="47" t="n">
        <f aca="false">$E50*MAX(0,(MIN(In_Decision_Date+In_PB_Days-1,CU$4)-MAX($F50,CU$3)+1)/CU$5)</f>
        <v>0</v>
      </c>
      <c r="CV50" s="47" t="n">
        <f aca="false">$E50*MAX(0,(MIN(In_Decision_Date+In_PB_Days-1,CV$4)-MAX($F50,CV$3)+1)/CV$5)</f>
        <v>0</v>
      </c>
      <c r="CW50" s="47" t="n">
        <f aca="false">$E50*MAX(0,(MIN(In_Decision_Date+In_PB_Days-1,CW$4)-MAX($F50,CW$3)+1)/CW$5)</f>
        <v>0</v>
      </c>
      <c r="CX50" s="47" t="n">
        <f aca="false">$E50*MAX(0,(MIN(In_Decision_Date+In_PB_Days-1,CX$4)-MAX($F50,CX$3)+1)/CX$5)</f>
        <v>0</v>
      </c>
      <c r="CY50" s="47" t="n">
        <f aca="false">$E50*MAX(0,(MIN(In_Decision_Date+In_PB_Days-1,CY$4)-MAX($F50,CY$3)+1)/CY$5)</f>
        <v>0</v>
      </c>
      <c r="CZ50" s="47" t="n">
        <f aca="false">$E50*MAX(0,(MIN(In_Decision_Date+In_PB_Days-1,CZ$4)-MAX($F50,CZ$3)+1)/CZ$5)</f>
        <v>0</v>
      </c>
      <c r="DA50" s="47" t="n">
        <f aca="false">$E50*MAX(0,(MIN(In_Decision_Date+In_PB_Days-1,DA$4)-MAX($F50,DA$3)+1)/DA$5)</f>
        <v>0</v>
      </c>
      <c r="DB50" s="47" t="n">
        <f aca="false">$E50*MAX(0,(MIN(In_Decision_Date+In_PB_Days-1,DB$4)-MAX($F50,DB$3)+1)/DB$5)</f>
        <v>0</v>
      </c>
      <c r="DC50" s="47" t="n">
        <f aca="false">$E50*MAX(0,(MIN(In_Decision_Date+In_PB_Days-1,DC$4)-MAX($F50,DC$3)+1)/DC$5)</f>
        <v>0</v>
      </c>
      <c r="DD50" s="47" t="n">
        <f aca="false">$E50*MAX(0,(MIN(In_Decision_Date+In_PB_Days-1,DD$4)-MAX($F50,DD$3)+1)/DD$5)</f>
        <v>0</v>
      </c>
      <c r="DE50" s="47" t="n">
        <f aca="false">$E50*MAX(0,(MIN(In_Decision_Date+In_PB_Days-1,DE$4)-MAX($F50,DE$3)+1)/DE$5)</f>
        <v>0</v>
      </c>
      <c r="DF50" s="47" t="n">
        <f aca="false">$E50*MAX(0,(MIN(In_Decision_Date+In_PB_Days-1,DF$4)-MAX($F50,DF$3)+1)/DF$5)</f>
        <v>0</v>
      </c>
      <c r="DG50" s="47" t="n">
        <f aca="false">$E50*MAX(0,(MIN(In_Decision_Date+In_PB_Days-1,DG$4)-MAX($F50,DG$3)+1)/DG$5)</f>
        <v>0</v>
      </c>
      <c r="DH50" s="47" t="n">
        <f aca="false">$E50*MAX(0,(MIN(In_Decision_Date+In_PB_Days-1,DH$4)-MAX($F50,DH$3)+1)/DH$5)</f>
        <v>0</v>
      </c>
      <c r="DI50" s="47" t="n">
        <f aca="false">$E50*MAX(0,(MIN(In_Decision_Date+In_PB_Days-1,DI$4)-MAX($F50,DI$3)+1)/DI$5)</f>
        <v>0</v>
      </c>
      <c r="DJ50" s="47" t="n">
        <f aca="false">$E50*MAX(0,(MIN(In_Decision_Date+In_PB_Days-1,DJ$4)-MAX($F50,DJ$3)+1)/DJ$5)</f>
        <v>0</v>
      </c>
      <c r="DK50" s="47" t="n">
        <f aca="false">$E50*MAX(0,(MIN(In_Decision_Date+In_PB_Days-1,DK$4)-MAX($F50,DK$3)+1)/DK$5)</f>
        <v>0</v>
      </c>
      <c r="DL50" s="47" t="n">
        <f aca="false">$E50*MAX(0,(MIN(In_Decision_Date+In_PB_Days-1,DL$4)-MAX($F50,DL$3)+1)/DL$5)</f>
        <v>0</v>
      </c>
      <c r="DM50" s="47" t="n">
        <f aca="false">$E50*MAX(0,(MIN(In_Decision_Date+In_PB_Days-1,DM$4)-MAX($F50,DM$3)+1)/DM$5)</f>
        <v>0</v>
      </c>
      <c r="DN50" s="47" t="n">
        <f aca="false">$E50*MAX(0,(MIN(In_Decision_Date+In_PB_Days-1,DN$4)-MAX($F50,DN$3)+1)/DN$5)</f>
        <v>0</v>
      </c>
      <c r="DO50" s="47" t="n">
        <f aca="false">$E50*MAX(0,(MIN(In_Decision_Date+In_PB_Days-1,DO$4)-MAX($F50,DO$3)+1)/DO$5)</f>
        <v>0</v>
      </c>
      <c r="DP50" s="47" t="n">
        <f aca="false">$E50*MAX(0,(MIN(In_Decision_Date+In_PB_Days-1,DP$4)-MAX($F50,DP$3)+1)/DP$5)</f>
        <v>0</v>
      </c>
      <c r="DQ50" s="47" t="n">
        <f aca="false">$E50*MAX(0,(MIN(In_Decision_Date+In_PB_Days-1,DQ$4)-MAX($F50,DQ$3)+1)/DQ$5)</f>
        <v>0</v>
      </c>
      <c r="DR50" s="47" t="n">
        <f aca="false">$E50*MAX(0,(MIN(In_Decision_Date+In_PB_Days-1,DR$4)-MAX($F50,DR$3)+1)/DR$5)</f>
        <v>0</v>
      </c>
      <c r="DS50" s="47" t="n">
        <f aca="false">$E50*MAX(0,(MIN(In_Decision_Date+In_PB_Days-1,DS$4)-MAX($F50,DS$3)+1)/DS$5)</f>
        <v>0</v>
      </c>
      <c r="DT50" s="47" t="n">
        <f aca="false">$E50*MAX(0,(MIN(In_Decision_Date+In_PB_Days-1,DT$4)-MAX($F50,DT$3)+1)/DT$5)</f>
        <v>0</v>
      </c>
      <c r="DU50" s="47" t="n">
        <f aca="false">$E50*MAX(0,(MIN(In_Decision_Date+In_PB_Days-1,DU$4)-MAX($F50,DU$3)+1)/DU$5)</f>
        <v>0</v>
      </c>
      <c r="DV50" s="47" t="n">
        <f aca="false">$E50*MAX(0,(MIN(In_Decision_Date+In_PB_Days-1,DV$4)-MAX($F50,DV$3)+1)/DV$5)</f>
        <v>0</v>
      </c>
      <c r="DW50" s="47" t="n">
        <f aca="false">$E50*MAX(0,(MIN(In_Decision_Date+In_PB_Days-1,DW$4)-MAX($F50,DW$3)+1)/DW$5)</f>
        <v>0</v>
      </c>
      <c r="DX50" s="47" t="n">
        <f aca="false">$E50*MAX(0,(MIN(In_Decision_Date+In_PB_Days-1,DX$4)-MAX($F50,DX$3)+1)/DX$5)</f>
        <v>0</v>
      </c>
      <c r="DY50" s="47" t="n">
        <f aca="false">$E50*MAX(0,(MIN(In_Decision_Date+In_PB_Days-1,DY$4)-MAX($F50,DY$3)+1)/DY$5)</f>
        <v>0</v>
      </c>
      <c r="DZ50" s="47" t="n">
        <f aca="false">$E50*MAX(0,(MIN(In_Decision_Date+In_PB_Days-1,DZ$4)-MAX($F50,DZ$3)+1)/DZ$5)</f>
        <v>0</v>
      </c>
      <c r="EA50" s="47" t="n">
        <f aca="false">$E50*MAX(0,(MIN(In_Decision_Date+In_PB_Days-1,EA$4)-MAX($F50,EA$3)+1)/EA$5)</f>
        <v>0</v>
      </c>
      <c r="EB50" s="47" t="n">
        <f aca="false">$E50*MAX(0,(MIN(In_Decision_Date+In_PB_Days-1,EB$4)-MAX($F50,EB$3)+1)/EB$5)</f>
        <v>0</v>
      </c>
      <c r="EC50" s="47" t="n">
        <f aca="false">$E50*MAX(0,(MIN(In_Decision_Date+In_PB_Days-1,EC$4)-MAX($F50,EC$3)+1)/EC$5)</f>
        <v>0</v>
      </c>
      <c r="ED50" s="47" t="n">
        <f aca="false">$E50*MAX(0,(MIN(In_Decision_Date+In_PB_Days-1,ED$4)-MAX($F50,ED$3)+1)/ED$5)</f>
        <v>0</v>
      </c>
      <c r="EE50" s="47" t="n">
        <f aca="false">$E50*MAX(0,(MIN(In_Decision_Date+In_PB_Days-1,EE$4)-MAX($F50,EE$3)+1)/EE$5)</f>
        <v>0</v>
      </c>
      <c r="EF50" s="47" t="n">
        <f aca="false">$E50*MAX(0,(MIN(In_Decision_Date+In_PB_Days-1,EF$4)-MAX($F50,EF$3)+1)/EF$5)</f>
        <v>0</v>
      </c>
      <c r="EG50" s="47" t="n">
        <f aca="false">$E50*MAX(0,(MIN(In_Decision_Date+In_PB_Days-1,EG$4)-MAX($F50,EG$3)+1)/EG$5)</f>
        <v>0</v>
      </c>
      <c r="EH50" s="47" t="n">
        <f aca="false">$E50*MAX(0,(MIN(In_Decision_Date+In_PB_Days-1,EH$4)-MAX($F50,EH$3)+1)/EH$5)</f>
        <v>0</v>
      </c>
      <c r="EI50" s="47" t="n">
        <f aca="false">$E50*MAX(0,(MIN(In_Decision_Date+In_PB_Days-1,EI$4)-MAX($F50,EI$3)+1)/EI$5)</f>
        <v>0</v>
      </c>
      <c r="EJ50" s="47" t="n">
        <f aca="false">$E50*MAX(0,(MIN(In_Decision_Date+In_PB_Days-1,EJ$4)-MAX($F50,EJ$3)+1)/EJ$5)</f>
        <v>0</v>
      </c>
      <c r="EK50" s="47" t="n">
        <f aca="false">$E50*MAX(0,(MIN(In_Decision_Date+In_PB_Days-1,EK$4)-MAX($F50,EK$3)+1)/EK$5)</f>
        <v>0</v>
      </c>
      <c r="EL50" s="47" t="n">
        <f aca="false">$E50*MAX(0,(MIN(In_Decision_Date+In_PB_Days-1,EL$4)-MAX($F50,EL$3)+1)/EL$5)</f>
        <v>0</v>
      </c>
      <c r="EM50" s="47" t="n">
        <f aca="false">$E50*MAX(0,(MIN(In_Decision_Date+In_PB_Days-1,EM$4)-MAX($F50,EM$3)+1)/EM$5)</f>
        <v>0</v>
      </c>
      <c r="EN50" s="47" t="n">
        <f aca="false">$E50*MAX(0,(MIN(In_Decision_Date+In_PB_Days-1,EN$4)-MAX($F50,EN$3)+1)/EN$5)</f>
        <v>0</v>
      </c>
      <c r="EO50" s="47" t="n">
        <f aca="false">$E50*MAX(0,(MIN(In_Decision_Date+In_PB_Days-1,EO$4)-MAX($F50,EO$3)+1)/EO$5)</f>
        <v>0</v>
      </c>
    </row>
    <row r="51" customFormat="false" ht="15" hidden="false" customHeight="false" outlineLevel="0" collapsed="false">
      <c r="C51" s="0" t="s">
        <v>422</v>
      </c>
      <c r="D51" s="11" t="s">
        <v>33</v>
      </c>
      <c r="E51" s="47" t="n">
        <f aca="false">In_PB_Rate*$E37*$E48*Thousand/In_FX</f>
        <v>2216.43835616438</v>
      </c>
      <c r="F51" s="45" t="n">
        <f aca="false">In_Decision_Date+In_PB_Days</f>
        <v>46433</v>
      </c>
      <c r="J51" s="47" t="n">
        <f aca="false">$E51*MAX(0,(MIN(In_PB_Release,J$4)-MAX($F51,J$3)+1)/J$5)</f>
        <v>0</v>
      </c>
      <c r="K51" s="47" t="n">
        <f aca="false">$E51*MAX(0,(MIN(In_PB_Release,K$4)-MAX($F51,K$3)+1)/K$5)</f>
        <v>1108.21917808219</v>
      </c>
      <c r="L51" s="47" t="n">
        <f aca="false">$E51*MAX(0,(MIN(In_PB_Release,L$4)-MAX($F51,L$3)+1)/L$5)</f>
        <v>2216.43835616438</v>
      </c>
      <c r="M51" s="47" t="n">
        <f aca="false">$E51*MAX(0,(MIN(In_PB_Release,M$4)-MAX($F51,M$3)+1)/M$5)</f>
        <v>2216.43835616438</v>
      </c>
      <c r="N51" s="47" t="n">
        <f aca="false">$E51*MAX(0,(MIN(In_PB_Release,N$4)-MAX($F51,N$3)+1)/N$5)</f>
        <v>2216.43835616438</v>
      </c>
      <c r="O51" s="47" t="n">
        <f aca="false">$E51*MAX(0,(MIN(In_PB_Release,O$4)-MAX($F51,O$3)+1)/O$5)</f>
        <v>2216.43835616438</v>
      </c>
      <c r="P51" s="47" t="n">
        <f aca="false">$E51*MAX(0,(MIN(In_PB_Release,P$4)-MAX($F51,P$3)+1)/P$5)</f>
        <v>2216.43835616438</v>
      </c>
      <c r="Q51" s="47" t="n">
        <f aca="false">$E51*MAX(0,(MIN(In_PB_Release,Q$4)-MAX($F51,Q$3)+1)/Q$5)</f>
        <v>2216.43835616438</v>
      </c>
      <c r="R51" s="47" t="n">
        <f aca="false">$E51*MAX(0,(MIN(In_PB_Release,R$4)-MAX($F51,R$3)+1)/R$5)</f>
        <v>2216.43835616438</v>
      </c>
      <c r="S51" s="47" t="n">
        <f aca="false">$E51*MAX(0,(MIN(In_PB_Release,S$4)-MAX($F51,S$3)+1)/S$5)</f>
        <v>2216.43835616438</v>
      </c>
      <c r="T51" s="47" t="n">
        <f aca="false">$E51*MAX(0,(MIN(In_PB_Release,T$4)-MAX($F51,T$3)+1)/T$5)</f>
        <v>2216.43835616438</v>
      </c>
      <c r="U51" s="47" t="n">
        <f aca="false">$E51*MAX(0,(MIN(In_PB_Release,U$4)-MAX($F51,U$3)+1)/U$5)</f>
        <v>2216.43835616438</v>
      </c>
      <c r="V51" s="47" t="n">
        <f aca="false">$E51*MAX(0,(MIN(In_PB_Release,V$4)-MAX($F51,V$3)+1)/V$5)</f>
        <v>2216.43835616438</v>
      </c>
      <c r="W51" s="47" t="n">
        <f aca="false">$E51*MAX(0,(MIN(In_PB_Release,W$4)-MAX($F51,W$3)+1)/W$5)</f>
        <v>2216.43835616438</v>
      </c>
      <c r="X51" s="47" t="n">
        <f aca="false">$E51*MAX(0,(MIN(In_PB_Release,X$4)-MAX($F51,X$3)+1)/X$5)</f>
        <v>2216.43835616438</v>
      </c>
      <c r="Y51" s="47" t="n">
        <f aca="false">$E51*MAX(0,(MIN(In_PB_Release,Y$4)-MAX($F51,Y$3)+1)/Y$5)</f>
        <v>2216.43835616438</v>
      </c>
      <c r="Z51" s="47" t="n">
        <f aca="false">$E51*MAX(0,(MIN(In_PB_Release,Z$4)-MAX($F51,Z$3)+1)/Z$5)</f>
        <v>2216.43835616438</v>
      </c>
      <c r="AA51" s="47" t="n">
        <f aca="false">$E51*MAX(0,(MIN(In_PB_Release,AA$4)-MAX($F51,AA$3)+1)/AA$5)</f>
        <v>2216.43835616438</v>
      </c>
      <c r="AB51" s="47" t="n">
        <f aca="false">$E51*MAX(0,(MIN(In_PB_Release,AB$4)-MAX($F51,AB$3)+1)/AB$5)</f>
        <v>2216.43835616438</v>
      </c>
      <c r="AC51" s="47" t="n">
        <f aca="false">$E51*MAX(0,(MIN(In_PB_Release,AC$4)-MAX($F51,AC$3)+1)/AC$5)</f>
        <v>2216.43835616438</v>
      </c>
      <c r="AD51" s="47" t="n">
        <f aca="false">$E51*MAX(0,(MIN(In_PB_Release,AD$4)-MAX($F51,AD$3)+1)/AD$5)</f>
        <v>2216.43835616438</v>
      </c>
      <c r="AE51" s="47" t="n">
        <f aca="false">$E51*MAX(0,(MIN(In_PB_Release,AE$4)-MAX($F51,AE$3)+1)/AE$5)</f>
        <v>2216.43835616438</v>
      </c>
      <c r="AF51" s="47" t="n">
        <f aca="false">$E51*MAX(0,(MIN(In_PB_Release,AF$4)-MAX($F51,AF$3)+1)/AF$5)</f>
        <v>2216.43835616438</v>
      </c>
      <c r="AG51" s="47" t="n">
        <f aca="false">$E51*MAX(0,(MIN(In_PB_Release,AG$4)-MAX($F51,AG$3)+1)/AG$5)</f>
        <v>2216.43835616438</v>
      </c>
      <c r="AH51" s="47" t="n">
        <f aca="false">$E51*MAX(0,(MIN(In_PB_Release,AH$4)-MAX($F51,AH$3)+1)/AH$5)</f>
        <v>2216.43835616438</v>
      </c>
      <c r="AI51" s="47" t="n">
        <f aca="false">$E51*MAX(0,(MIN(In_PB_Release,AI$4)-MAX($F51,AI$3)+1)/AI$5)</f>
        <v>2216.43835616438</v>
      </c>
      <c r="AJ51" s="47" t="n">
        <f aca="false">$E51*MAX(0,(MIN(In_PB_Release,AJ$4)-MAX($F51,AJ$3)+1)/AJ$5)</f>
        <v>0</v>
      </c>
      <c r="AK51" s="47" t="n">
        <f aca="false">$E51*MAX(0,(MIN(In_PB_Release,AK$4)-MAX($F51,AK$3)+1)/AK$5)</f>
        <v>0</v>
      </c>
      <c r="AL51" s="47" t="n">
        <f aca="false">$E51*MAX(0,(MIN(In_PB_Release,AL$4)-MAX($F51,AL$3)+1)/AL$5)</f>
        <v>0</v>
      </c>
      <c r="AM51" s="47" t="n">
        <f aca="false">$E51*MAX(0,(MIN(In_PB_Release,AM$4)-MAX($F51,AM$3)+1)/AM$5)</f>
        <v>0</v>
      </c>
      <c r="AN51" s="47" t="n">
        <f aca="false">$E51*MAX(0,(MIN(In_PB_Release,AN$4)-MAX($F51,AN$3)+1)/AN$5)</f>
        <v>0</v>
      </c>
      <c r="AO51" s="47" t="n">
        <f aca="false">$E51*MAX(0,(MIN(In_PB_Release,AO$4)-MAX($F51,AO$3)+1)/AO$5)</f>
        <v>0</v>
      </c>
      <c r="AP51" s="47" t="n">
        <f aca="false">$E51*MAX(0,(MIN(In_PB_Release,AP$4)-MAX($F51,AP$3)+1)/AP$5)</f>
        <v>0</v>
      </c>
      <c r="AQ51" s="47" t="n">
        <f aca="false">$E51*MAX(0,(MIN(In_PB_Release,AQ$4)-MAX($F51,AQ$3)+1)/AQ$5)</f>
        <v>0</v>
      </c>
      <c r="AR51" s="47" t="n">
        <f aca="false">$E51*MAX(0,(MIN(In_PB_Release,AR$4)-MAX($F51,AR$3)+1)/AR$5)</f>
        <v>0</v>
      </c>
      <c r="AS51" s="47" t="n">
        <f aca="false">$E51*MAX(0,(MIN(In_PB_Release,AS$4)-MAX($F51,AS$3)+1)/AS$5)</f>
        <v>0</v>
      </c>
      <c r="AT51" s="47" t="n">
        <f aca="false">$E51*MAX(0,(MIN(In_PB_Release,AT$4)-MAX($F51,AT$3)+1)/AT$5)</f>
        <v>0</v>
      </c>
      <c r="AU51" s="47" t="n">
        <f aca="false">$E51*MAX(0,(MIN(In_PB_Release,AU$4)-MAX($F51,AU$3)+1)/AU$5)</f>
        <v>0</v>
      </c>
      <c r="AV51" s="47" t="n">
        <f aca="false">$E51*MAX(0,(MIN(In_PB_Release,AV$4)-MAX($F51,AV$3)+1)/AV$5)</f>
        <v>0</v>
      </c>
      <c r="AW51" s="47" t="n">
        <f aca="false">$E51*MAX(0,(MIN(In_PB_Release,AW$4)-MAX($F51,AW$3)+1)/AW$5)</f>
        <v>0</v>
      </c>
      <c r="AX51" s="47" t="n">
        <f aca="false">$E51*MAX(0,(MIN(In_PB_Release,AX$4)-MAX($F51,AX$3)+1)/AX$5)</f>
        <v>0</v>
      </c>
      <c r="AY51" s="47" t="n">
        <f aca="false">$E51*MAX(0,(MIN(In_PB_Release,AY$4)-MAX($F51,AY$3)+1)/AY$5)</f>
        <v>0</v>
      </c>
      <c r="AZ51" s="47" t="n">
        <f aca="false">$E51*MAX(0,(MIN(In_PB_Release,AZ$4)-MAX($F51,AZ$3)+1)/AZ$5)</f>
        <v>0</v>
      </c>
      <c r="BA51" s="47" t="n">
        <f aca="false">$E51*MAX(0,(MIN(In_PB_Release,BA$4)-MAX($F51,BA$3)+1)/BA$5)</f>
        <v>0</v>
      </c>
      <c r="BB51" s="47" t="n">
        <f aca="false">$E51*MAX(0,(MIN(In_PB_Release,BB$4)-MAX($F51,BB$3)+1)/BB$5)</f>
        <v>0</v>
      </c>
      <c r="BC51" s="47" t="n">
        <f aca="false">$E51*MAX(0,(MIN(In_PB_Release,BC$4)-MAX($F51,BC$3)+1)/BC$5)</f>
        <v>0</v>
      </c>
      <c r="BD51" s="47" t="n">
        <f aca="false">$E51*MAX(0,(MIN(In_PB_Release,BD$4)-MAX($F51,BD$3)+1)/BD$5)</f>
        <v>0</v>
      </c>
      <c r="BE51" s="47" t="n">
        <f aca="false">$E51*MAX(0,(MIN(In_PB_Release,BE$4)-MAX($F51,BE$3)+1)/BE$5)</f>
        <v>0</v>
      </c>
      <c r="BF51" s="47" t="n">
        <f aca="false">$E51*MAX(0,(MIN(In_PB_Release,BF$4)-MAX($F51,BF$3)+1)/BF$5)</f>
        <v>0</v>
      </c>
      <c r="BG51" s="47" t="n">
        <f aca="false">$E51*MAX(0,(MIN(In_PB_Release,BG$4)-MAX($F51,BG$3)+1)/BG$5)</f>
        <v>0</v>
      </c>
      <c r="BH51" s="47" t="n">
        <f aca="false">$E51*MAX(0,(MIN(In_PB_Release,BH$4)-MAX($F51,BH$3)+1)/BH$5)</f>
        <v>0</v>
      </c>
      <c r="BI51" s="47" t="n">
        <f aca="false">$E51*MAX(0,(MIN(In_PB_Release,BI$4)-MAX($F51,BI$3)+1)/BI$5)</f>
        <v>0</v>
      </c>
      <c r="BJ51" s="47" t="n">
        <f aca="false">$E51*MAX(0,(MIN(In_PB_Release,BJ$4)-MAX($F51,BJ$3)+1)/BJ$5)</f>
        <v>0</v>
      </c>
      <c r="BK51" s="47" t="n">
        <f aca="false">$E51*MAX(0,(MIN(In_PB_Release,BK$4)-MAX($F51,BK$3)+1)/BK$5)</f>
        <v>0</v>
      </c>
      <c r="BL51" s="47" t="n">
        <f aca="false">$E51*MAX(0,(MIN(In_PB_Release,BL$4)-MAX($F51,BL$3)+1)/BL$5)</f>
        <v>0</v>
      </c>
      <c r="BM51" s="47" t="n">
        <f aca="false">$E51*MAX(0,(MIN(In_PB_Release,BM$4)-MAX($F51,BM$3)+1)/BM$5)</f>
        <v>0</v>
      </c>
      <c r="BN51" s="47" t="n">
        <f aca="false">$E51*MAX(0,(MIN(In_PB_Release,BN$4)-MAX($F51,BN$3)+1)/BN$5)</f>
        <v>0</v>
      </c>
      <c r="BO51" s="47" t="n">
        <f aca="false">$E51*MAX(0,(MIN(In_PB_Release,BO$4)-MAX($F51,BO$3)+1)/BO$5)</f>
        <v>0</v>
      </c>
      <c r="BP51" s="47" t="n">
        <f aca="false">$E51*MAX(0,(MIN(In_PB_Release,BP$4)-MAX($F51,BP$3)+1)/BP$5)</f>
        <v>0</v>
      </c>
      <c r="BQ51" s="47" t="n">
        <f aca="false">$E51*MAX(0,(MIN(In_PB_Release,BQ$4)-MAX($F51,BQ$3)+1)/BQ$5)</f>
        <v>0</v>
      </c>
      <c r="BR51" s="47" t="n">
        <f aca="false">$E51*MAX(0,(MIN(In_PB_Release,BR$4)-MAX($F51,BR$3)+1)/BR$5)</f>
        <v>0</v>
      </c>
      <c r="BS51" s="47" t="n">
        <f aca="false">$E51*MAX(0,(MIN(In_PB_Release,BS$4)-MAX($F51,BS$3)+1)/BS$5)</f>
        <v>0</v>
      </c>
      <c r="BT51" s="47" t="n">
        <f aca="false">$E51*MAX(0,(MIN(In_PB_Release,BT$4)-MAX($F51,BT$3)+1)/BT$5)</f>
        <v>0</v>
      </c>
      <c r="BU51" s="47" t="n">
        <f aca="false">$E51*MAX(0,(MIN(In_PB_Release,BU$4)-MAX($F51,BU$3)+1)/BU$5)</f>
        <v>0</v>
      </c>
      <c r="BV51" s="47" t="n">
        <f aca="false">$E51*MAX(0,(MIN(In_PB_Release,BV$4)-MAX($F51,BV$3)+1)/BV$5)</f>
        <v>0</v>
      </c>
      <c r="BW51" s="47" t="n">
        <f aca="false">$E51*MAX(0,(MIN(In_PB_Release,BW$4)-MAX($F51,BW$3)+1)/BW$5)</f>
        <v>0</v>
      </c>
      <c r="BX51" s="47" t="n">
        <f aca="false">$E51*MAX(0,(MIN(In_PB_Release,BX$4)-MAX($F51,BX$3)+1)/BX$5)</f>
        <v>0</v>
      </c>
      <c r="BY51" s="47" t="n">
        <f aca="false">$E51*MAX(0,(MIN(In_PB_Release,BY$4)-MAX($F51,BY$3)+1)/BY$5)</f>
        <v>0</v>
      </c>
      <c r="BZ51" s="47" t="n">
        <f aca="false">$E51*MAX(0,(MIN(In_PB_Release,BZ$4)-MAX($F51,BZ$3)+1)/BZ$5)</f>
        <v>0</v>
      </c>
      <c r="CA51" s="47" t="n">
        <f aca="false">$E51*MAX(0,(MIN(In_PB_Release,CA$4)-MAX($F51,CA$3)+1)/CA$5)</f>
        <v>0</v>
      </c>
      <c r="CB51" s="47" t="n">
        <f aca="false">$E51*MAX(0,(MIN(In_PB_Release,CB$4)-MAX($F51,CB$3)+1)/CB$5)</f>
        <v>0</v>
      </c>
      <c r="CC51" s="47" t="n">
        <f aca="false">$E51*MAX(0,(MIN(In_PB_Release,CC$4)-MAX($F51,CC$3)+1)/CC$5)</f>
        <v>0</v>
      </c>
      <c r="CD51" s="47" t="n">
        <f aca="false">$E51*MAX(0,(MIN(In_PB_Release,CD$4)-MAX($F51,CD$3)+1)/CD$5)</f>
        <v>0</v>
      </c>
      <c r="CE51" s="47" t="n">
        <f aca="false">$E51*MAX(0,(MIN(In_PB_Release,CE$4)-MAX($F51,CE$3)+1)/CE$5)</f>
        <v>0</v>
      </c>
      <c r="CF51" s="47" t="n">
        <f aca="false">$E51*MAX(0,(MIN(In_PB_Release,CF$4)-MAX($F51,CF$3)+1)/CF$5)</f>
        <v>0</v>
      </c>
      <c r="CG51" s="47" t="n">
        <f aca="false">$E51*MAX(0,(MIN(In_PB_Release,CG$4)-MAX($F51,CG$3)+1)/CG$5)</f>
        <v>0</v>
      </c>
      <c r="CH51" s="47" t="n">
        <f aca="false">$E51*MAX(0,(MIN(In_PB_Release,CH$4)-MAX($F51,CH$3)+1)/CH$5)</f>
        <v>0</v>
      </c>
      <c r="CI51" s="47" t="n">
        <f aca="false">$E51*MAX(0,(MIN(In_PB_Release,CI$4)-MAX($F51,CI$3)+1)/CI$5)</f>
        <v>0</v>
      </c>
      <c r="CJ51" s="47" t="n">
        <f aca="false">$E51*MAX(0,(MIN(In_PB_Release,CJ$4)-MAX($F51,CJ$3)+1)/CJ$5)</f>
        <v>0</v>
      </c>
      <c r="CK51" s="47" t="n">
        <f aca="false">$E51*MAX(0,(MIN(In_PB_Release,CK$4)-MAX($F51,CK$3)+1)/CK$5)</f>
        <v>0</v>
      </c>
      <c r="CL51" s="47" t="n">
        <f aca="false">$E51*MAX(0,(MIN(In_PB_Release,CL$4)-MAX($F51,CL$3)+1)/CL$5)</f>
        <v>0</v>
      </c>
      <c r="CM51" s="47" t="n">
        <f aca="false">$E51*MAX(0,(MIN(In_PB_Release,CM$4)-MAX($F51,CM$3)+1)/CM$5)</f>
        <v>0</v>
      </c>
      <c r="CN51" s="47" t="n">
        <f aca="false">$E51*MAX(0,(MIN(In_PB_Release,CN$4)-MAX($F51,CN$3)+1)/CN$5)</f>
        <v>0</v>
      </c>
      <c r="CO51" s="47" t="n">
        <f aca="false">$E51*MAX(0,(MIN(In_PB_Release,CO$4)-MAX($F51,CO$3)+1)/CO$5)</f>
        <v>0</v>
      </c>
      <c r="CP51" s="47" t="n">
        <f aca="false">$E51*MAX(0,(MIN(In_PB_Release,CP$4)-MAX($F51,CP$3)+1)/CP$5)</f>
        <v>0</v>
      </c>
      <c r="CQ51" s="47" t="n">
        <f aca="false">$E51*MAX(0,(MIN(In_PB_Release,CQ$4)-MAX($F51,CQ$3)+1)/CQ$5)</f>
        <v>0</v>
      </c>
      <c r="CR51" s="47" t="n">
        <f aca="false">$E51*MAX(0,(MIN(In_PB_Release,CR$4)-MAX($F51,CR$3)+1)/CR$5)</f>
        <v>0</v>
      </c>
      <c r="CS51" s="47" t="n">
        <f aca="false">$E51*MAX(0,(MIN(In_PB_Release,CS$4)-MAX($F51,CS$3)+1)/CS$5)</f>
        <v>0</v>
      </c>
      <c r="CT51" s="47" t="n">
        <f aca="false">$E51*MAX(0,(MIN(In_PB_Release,CT$4)-MAX($F51,CT$3)+1)/CT$5)</f>
        <v>0</v>
      </c>
      <c r="CU51" s="47" t="n">
        <f aca="false">$E51*MAX(0,(MIN(In_PB_Release,CU$4)-MAX($F51,CU$3)+1)/CU$5)</f>
        <v>0</v>
      </c>
      <c r="CV51" s="47" t="n">
        <f aca="false">$E51*MAX(0,(MIN(In_PB_Release,CV$4)-MAX($F51,CV$3)+1)/CV$5)</f>
        <v>0</v>
      </c>
      <c r="CW51" s="47" t="n">
        <f aca="false">$E51*MAX(0,(MIN(In_PB_Release,CW$4)-MAX($F51,CW$3)+1)/CW$5)</f>
        <v>0</v>
      </c>
      <c r="CX51" s="47" t="n">
        <f aca="false">$E51*MAX(0,(MIN(In_PB_Release,CX$4)-MAX($F51,CX$3)+1)/CX$5)</f>
        <v>0</v>
      </c>
      <c r="CY51" s="47" t="n">
        <f aca="false">$E51*MAX(0,(MIN(In_PB_Release,CY$4)-MAX($F51,CY$3)+1)/CY$5)</f>
        <v>0</v>
      </c>
      <c r="CZ51" s="47" t="n">
        <f aca="false">$E51*MAX(0,(MIN(In_PB_Release,CZ$4)-MAX($F51,CZ$3)+1)/CZ$5)</f>
        <v>0</v>
      </c>
      <c r="DA51" s="47" t="n">
        <f aca="false">$E51*MAX(0,(MIN(In_PB_Release,DA$4)-MAX($F51,DA$3)+1)/DA$5)</f>
        <v>0</v>
      </c>
      <c r="DB51" s="47" t="n">
        <f aca="false">$E51*MAX(0,(MIN(In_PB_Release,DB$4)-MAX($F51,DB$3)+1)/DB$5)</f>
        <v>0</v>
      </c>
      <c r="DC51" s="47" t="n">
        <f aca="false">$E51*MAX(0,(MIN(In_PB_Release,DC$4)-MAX($F51,DC$3)+1)/DC$5)</f>
        <v>0</v>
      </c>
      <c r="DD51" s="47" t="n">
        <f aca="false">$E51*MAX(0,(MIN(In_PB_Release,DD$4)-MAX($F51,DD$3)+1)/DD$5)</f>
        <v>0</v>
      </c>
      <c r="DE51" s="47" t="n">
        <f aca="false">$E51*MAX(0,(MIN(In_PB_Release,DE$4)-MAX($F51,DE$3)+1)/DE$5)</f>
        <v>0</v>
      </c>
      <c r="DF51" s="47" t="n">
        <f aca="false">$E51*MAX(0,(MIN(In_PB_Release,DF$4)-MAX($F51,DF$3)+1)/DF$5)</f>
        <v>0</v>
      </c>
      <c r="DG51" s="47" t="n">
        <f aca="false">$E51*MAX(0,(MIN(In_PB_Release,DG$4)-MAX($F51,DG$3)+1)/DG$5)</f>
        <v>0</v>
      </c>
      <c r="DH51" s="47" t="n">
        <f aca="false">$E51*MAX(0,(MIN(In_PB_Release,DH$4)-MAX($F51,DH$3)+1)/DH$5)</f>
        <v>0</v>
      </c>
      <c r="DI51" s="47" t="n">
        <f aca="false">$E51*MAX(0,(MIN(In_PB_Release,DI$4)-MAX($F51,DI$3)+1)/DI$5)</f>
        <v>0</v>
      </c>
      <c r="DJ51" s="47" t="n">
        <f aca="false">$E51*MAX(0,(MIN(In_PB_Release,DJ$4)-MAX($F51,DJ$3)+1)/DJ$5)</f>
        <v>0</v>
      </c>
      <c r="DK51" s="47" t="n">
        <f aca="false">$E51*MAX(0,(MIN(In_PB_Release,DK$4)-MAX($F51,DK$3)+1)/DK$5)</f>
        <v>0</v>
      </c>
      <c r="DL51" s="47" t="n">
        <f aca="false">$E51*MAX(0,(MIN(In_PB_Release,DL$4)-MAX($F51,DL$3)+1)/DL$5)</f>
        <v>0</v>
      </c>
      <c r="DM51" s="47" t="n">
        <f aca="false">$E51*MAX(0,(MIN(In_PB_Release,DM$4)-MAX($F51,DM$3)+1)/DM$5)</f>
        <v>0</v>
      </c>
      <c r="DN51" s="47" t="n">
        <f aca="false">$E51*MAX(0,(MIN(In_PB_Release,DN$4)-MAX($F51,DN$3)+1)/DN$5)</f>
        <v>0</v>
      </c>
      <c r="DO51" s="47" t="n">
        <f aca="false">$E51*MAX(0,(MIN(In_PB_Release,DO$4)-MAX($F51,DO$3)+1)/DO$5)</f>
        <v>0</v>
      </c>
      <c r="DP51" s="47" t="n">
        <f aca="false">$E51*MAX(0,(MIN(In_PB_Release,DP$4)-MAX($F51,DP$3)+1)/DP$5)</f>
        <v>0</v>
      </c>
      <c r="DQ51" s="47" t="n">
        <f aca="false">$E51*MAX(0,(MIN(In_PB_Release,DQ$4)-MAX($F51,DQ$3)+1)/DQ$5)</f>
        <v>0</v>
      </c>
      <c r="DR51" s="47" t="n">
        <f aca="false">$E51*MAX(0,(MIN(In_PB_Release,DR$4)-MAX($F51,DR$3)+1)/DR$5)</f>
        <v>0</v>
      </c>
      <c r="DS51" s="47" t="n">
        <f aca="false">$E51*MAX(0,(MIN(In_PB_Release,DS$4)-MAX($F51,DS$3)+1)/DS$5)</f>
        <v>0</v>
      </c>
      <c r="DT51" s="47" t="n">
        <f aca="false">$E51*MAX(0,(MIN(In_PB_Release,DT$4)-MAX($F51,DT$3)+1)/DT$5)</f>
        <v>0</v>
      </c>
      <c r="DU51" s="47" t="n">
        <f aca="false">$E51*MAX(0,(MIN(In_PB_Release,DU$4)-MAX($F51,DU$3)+1)/DU$5)</f>
        <v>0</v>
      </c>
      <c r="DV51" s="47" t="n">
        <f aca="false">$E51*MAX(0,(MIN(In_PB_Release,DV$4)-MAX($F51,DV$3)+1)/DV$5)</f>
        <v>0</v>
      </c>
      <c r="DW51" s="47" t="n">
        <f aca="false">$E51*MAX(0,(MIN(In_PB_Release,DW$4)-MAX($F51,DW$3)+1)/DW$5)</f>
        <v>0</v>
      </c>
      <c r="DX51" s="47" t="n">
        <f aca="false">$E51*MAX(0,(MIN(In_PB_Release,DX$4)-MAX($F51,DX$3)+1)/DX$5)</f>
        <v>0</v>
      </c>
      <c r="DY51" s="47" t="n">
        <f aca="false">$E51*MAX(0,(MIN(In_PB_Release,DY$4)-MAX($F51,DY$3)+1)/DY$5)</f>
        <v>0</v>
      </c>
      <c r="DZ51" s="47" t="n">
        <f aca="false">$E51*MAX(0,(MIN(In_PB_Release,DZ$4)-MAX($F51,DZ$3)+1)/DZ$5)</f>
        <v>0</v>
      </c>
      <c r="EA51" s="47" t="n">
        <f aca="false">$E51*MAX(0,(MIN(In_PB_Release,EA$4)-MAX($F51,EA$3)+1)/EA$5)</f>
        <v>0</v>
      </c>
      <c r="EB51" s="47" t="n">
        <f aca="false">$E51*MAX(0,(MIN(In_PB_Release,EB$4)-MAX($F51,EB$3)+1)/EB$5)</f>
        <v>0</v>
      </c>
      <c r="EC51" s="47" t="n">
        <f aca="false">$E51*MAX(0,(MIN(In_PB_Release,EC$4)-MAX($F51,EC$3)+1)/EC$5)</f>
        <v>0</v>
      </c>
      <c r="ED51" s="47" t="n">
        <f aca="false">$E51*MAX(0,(MIN(In_PB_Release,ED$4)-MAX($F51,ED$3)+1)/ED$5)</f>
        <v>0</v>
      </c>
      <c r="EE51" s="47" t="n">
        <f aca="false">$E51*MAX(0,(MIN(In_PB_Release,EE$4)-MAX($F51,EE$3)+1)/EE$5)</f>
        <v>0</v>
      </c>
      <c r="EF51" s="47" t="n">
        <f aca="false">$E51*MAX(0,(MIN(In_PB_Release,EF$4)-MAX($F51,EF$3)+1)/EF$5)</f>
        <v>0</v>
      </c>
      <c r="EG51" s="47" t="n">
        <f aca="false">$E51*MAX(0,(MIN(In_PB_Release,EG$4)-MAX($F51,EG$3)+1)/EG$5)</f>
        <v>0</v>
      </c>
      <c r="EH51" s="47" t="n">
        <f aca="false">$E51*MAX(0,(MIN(In_PB_Release,EH$4)-MAX($F51,EH$3)+1)/EH$5)</f>
        <v>0</v>
      </c>
      <c r="EI51" s="47" t="n">
        <f aca="false">$E51*MAX(0,(MIN(In_PB_Release,EI$4)-MAX($F51,EI$3)+1)/EI$5)</f>
        <v>0</v>
      </c>
      <c r="EJ51" s="47" t="n">
        <f aca="false">$E51*MAX(0,(MIN(In_PB_Release,EJ$4)-MAX($F51,EJ$3)+1)/EJ$5)</f>
        <v>0</v>
      </c>
      <c r="EK51" s="47" t="n">
        <f aca="false">$E51*MAX(0,(MIN(In_PB_Release,EK$4)-MAX($F51,EK$3)+1)/EK$5)</f>
        <v>0</v>
      </c>
      <c r="EL51" s="47" t="n">
        <f aca="false">$E51*MAX(0,(MIN(In_PB_Release,EL$4)-MAX($F51,EL$3)+1)/EL$5)</f>
        <v>0</v>
      </c>
      <c r="EM51" s="47" t="n">
        <f aca="false">$E51*MAX(0,(MIN(In_PB_Release,EM$4)-MAX($F51,EM$3)+1)/EM$5)</f>
        <v>0</v>
      </c>
      <c r="EN51" s="47" t="n">
        <f aca="false">$E51*MAX(0,(MIN(In_PB_Release,EN$4)-MAX($F51,EN$3)+1)/EN$5)</f>
        <v>0</v>
      </c>
      <c r="EO51" s="47" t="n">
        <f aca="false">$E51*MAX(0,(MIN(In_PB_Release,EO$4)-MAX($F51,EO$3)+1)/EO$5)</f>
        <v>0</v>
      </c>
    </row>
    <row r="52" customFormat="false" ht="15" hidden="false" customHeight="false" outlineLevel="0" collapsed="false">
      <c r="C52" s="0" t="s">
        <v>423</v>
      </c>
      <c r="D52" s="11" t="s">
        <v>33</v>
      </c>
      <c r="E52" s="47" t="n">
        <f aca="false">In_TSO_Security*In_MVA*Thousand/In_FX</f>
        <v>616.438356164384</v>
      </c>
      <c r="F52" s="45" t="n">
        <f aca="false">In_Decision_Date+In_PB_Days</f>
        <v>46433</v>
      </c>
      <c r="I52" s="47" t="n">
        <f aca="false">SUM(J52:EO52)</f>
        <v>-616.438356164384</v>
      </c>
      <c r="J52" s="47" t="n">
        <f aca="false">-$E52*N(AND(J$3&lt;=$F52,J$4&gt;=$F52))</f>
        <v>-0</v>
      </c>
      <c r="K52" s="47" t="n">
        <f aca="false">-$E52*N(AND(K$3&lt;=$F52,K$4&gt;=$F52))</f>
        <v>-616.438356164384</v>
      </c>
      <c r="L52" s="47" t="n">
        <f aca="false">-$E52*N(AND(L$3&lt;=$F52,L$4&gt;=$F52))</f>
        <v>-0</v>
      </c>
      <c r="M52" s="47" t="n">
        <f aca="false">-$E52*N(AND(M$3&lt;=$F52,M$4&gt;=$F52))</f>
        <v>-0</v>
      </c>
      <c r="N52" s="47" t="n">
        <f aca="false">-$E52*N(AND(N$3&lt;=$F52,N$4&gt;=$F52))</f>
        <v>-0</v>
      </c>
      <c r="O52" s="47" t="n">
        <f aca="false">-$E52*N(AND(O$3&lt;=$F52,O$4&gt;=$F52))</f>
        <v>-0</v>
      </c>
      <c r="P52" s="47" t="n">
        <f aca="false">-$E52*N(AND(P$3&lt;=$F52,P$4&gt;=$F52))</f>
        <v>-0</v>
      </c>
      <c r="Q52" s="47" t="n">
        <f aca="false">-$E52*N(AND(Q$3&lt;=$F52,Q$4&gt;=$F52))</f>
        <v>-0</v>
      </c>
      <c r="R52" s="47" t="n">
        <f aca="false">-$E52*N(AND(R$3&lt;=$F52,R$4&gt;=$F52))</f>
        <v>-0</v>
      </c>
      <c r="S52" s="47" t="n">
        <f aca="false">-$E52*N(AND(S$3&lt;=$F52,S$4&gt;=$F52))</f>
        <v>-0</v>
      </c>
      <c r="T52" s="47" t="n">
        <f aca="false">-$E52*N(AND(T$3&lt;=$F52,T$4&gt;=$F52))</f>
        <v>-0</v>
      </c>
      <c r="U52" s="47" t="n">
        <f aca="false">-$E52*N(AND(U$3&lt;=$F52,U$4&gt;=$F52))</f>
        <v>-0</v>
      </c>
      <c r="V52" s="47" t="n">
        <f aca="false">-$E52*N(AND(V$3&lt;=$F52,V$4&gt;=$F52))</f>
        <v>-0</v>
      </c>
      <c r="W52" s="47" t="n">
        <f aca="false">-$E52*N(AND(W$3&lt;=$F52,W$4&gt;=$F52))</f>
        <v>-0</v>
      </c>
      <c r="X52" s="47" t="n">
        <f aca="false">-$E52*N(AND(X$3&lt;=$F52,X$4&gt;=$F52))</f>
        <v>-0</v>
      </c>
      <c r="Y52" s="47" t="n">
        <f aca="false">-$E52*N(AND(Y$3&lt;=$F52,Y$4&gt;=$F52))</f>
        <v>-0</v>
      </c>
      <c r="Z52" s="47" t="n">
        <f aca="false">-$E52*N(AND(Z$3&lt;=$F52,Z$4&gt;=$F52))</f>
        <v>-0</v>
      </c>
      <c r="AA52" s="47" t="n">
        <f aca="false">-$E52*N(AND(AA$3&lt;=$F52,AA$4&gt;=$F52))</f>
        <v>-0</v>
      </c>
      <c r="AB52" s="47" t="n">
        <f aca="false">-$E52*N(AND(AB$3&lt;=$F52,AB$4&gt;=$F52))</f>
        <v>-0</v>
      </c>
      <c r="AC52" s="47" t="n">
        <f aca="false">-$E52*N(AND(AC$3&lt;=$F52,AC$4&gt;=$F52))</f>
        <v>-0</v>
      </c>
      <c r="AD52" s="47" t="n">
        <f aca="false">-$E52*N(AND(AD$3&lt;=$F52,AD$4&gt;=$F52))</f>
        <v>-0</v>
      </c>
      <c r="AE52" s="47" t="n">
        <f aca="false">-$E52*N(AND(AE$3&lt;=$F52,AE$4&gt;=$F52))</f>
        <v>-0</v>
      </c>
      <c r="AF52" s="47" t="n">
        <f aca="false">-$E52*N(AND(AF$3&lt;=$F52,AF$4&gt;=$F52))</f>
        <v>-0</v>
      </c>
      <c r="AG52" s="47" t="n">
        <f aca="false">-$E52*N(AND(AG$3&lt;=$F52,AG$4&gt;=$F52))</f>
        <v>-0</v>
      </c>
      <c r="AH52" s="47" t="n">
        <f aca="false">-$E52*N(AND(AH$3&lt;=$F52,AH$4&gt;=$F52))</f>
        <v>-0</v>
      </c>
      <c r="AI52" s="47" t="n">
        <f aca="false">-$E52*N(AND(AI$3&lt;=$F52,AI$4&gt;=$F52))</f>
        <v>-0</v>
      </c>
      <c r="AJ52" s="47" t="n">
        <f aca="false">-$E52*N(AND(AJ$3&lt;=$F52,AJ$4&gt;=$F52))</f>
        <v>-0</v>
      </c>
      <c r="AK52" s="47" t="n">
        <f aca="false">-$E52*N(AND(AK$3&lt;=$F52,AK$4&gt;=$F52))</f>
        <v>-0</v>
      </c>
      <c r="AL52" s="47" t="n">
        <f aca="false">-$E52*N(AND(AL$3&lt;=$F52,AL$4&gt;=$F52))</f>
        <v>-0</v>
      </c>
      <c r="AM52" s="47" t="n">
        <f aca="false">-$E52*N(AND(AM$3&lt;=$F52,AM$4&gt;=$F52))</f>
        <v>-0</v>
      </c>
      <c r="AN52" s="47" t="n">
        <f aca="false">-$E52*N(AND(AN$3&lt;=$F52,AN$4&gt;=$F52))</f>
        <v>-0</v>
      </c>
      <c r="AO52" s="47" t="n">
        <f aca="false">-$E52*N(AND(AO$3&lt;=$F52,AO$4&gt;=$F52))</f>
        <v>-0</v>
      </c>
      <c r="AP52" s="47" t="n">
        <f aca="false">-$E52*N(AND(AP$3&lt;=$F52,AP$4&gt;=$F52))</f>
        <v>-0</v>
      </c>
      <c r="AQ52" s="47" t="n">
        <f aca="false">-$E52*N(AND(AQ$3&lt;=$F52,AQ$4&gt;=$F52))</f>
        <v>-0</v>
      </c>
      <c r="AR52" s="47" t="n">
        <f aca="false">-$E52*N(AND(AR$3&lt;=$F52,AR$4&gt;=$F52))</f>
        <v>-0</v>
      </c>
      <c r="AS52" s="47" t="n">
        <f aca="false">-$E52*N(AND(AS$3&lt;=$F52,AS$4&gt;=$F52))</f>
        <v>-0</v>
      </c>
      <c r="AT52" s="47" t="n">
        <f aca="false">-$E52*N(AND(AT$3&lt;=$F52,AT$4&gt;=$F52))</f>
        <v>-0</v>
      </c>
      <c r="AU52" s="47" t="n">
        <f aca="false">-$E52*N(AND(AU$3&lt;=$F52,AU$4&gt;=$F52))</f>
        <v>-0</v>
      </c>
      <c r="AV52" s="47" t="n">
        <f aca="false">-$E52*N(AND(AV$3&lt;=$F52,AV$4&gt;=$F52))</f>
        <v>-0</v>
      </c>
      <c r="AW52" s="47" t="n">
        <f aca="false">-$E52*N(AND(AW$3&lt;=$F52,AW$4&gt;=$F52))</f>
        <v>-0</v>
      </c>
      <c r="AX52" s="47" t="n">
        <f aca="false">-$E52*N(AND(AX$3&lt;=$F52,AX$4&gt;=$F52))</f>
        <v>-0</v>
      </c>
      <c r="AY52" s="47" t="n">
        <f aca="false">-$E52*N(AND(AY$3&lt;=$F52,AY$4&gt;=$F52))</f>
        <v>-0</v>
      </c>
      <c r="AZ52" s="47" t="n">
        <f aca="false">-$E52*N(AND(AZ$3&lt;=$F52,AZ$4&gt;=$F52))</f>
        <v>-0</v>
      </c>
      <c r="BA52" s="47" t="n">
        <f aca="false">-$E52*N(AND(BA$3&lt;=$F52,BA$4&gt;=$F52))</f>
        <v>-0</v>
      </c>
      <c r="BB52" s="47" t="n">
        <f aca="false">-$E52*N(AND(BB$3&lt;=$F52,BB$4&gt;=$F52))</f>
        <v>-0</v>
      </c>
      <c r="BC52" s="47" t="n">
        <f aca="false">-$E52*N(AND(BC$3&lt;=$F52,BC$4&gt;=$F52))</f>
        <v>-0</v>
      </c>
      <c r="BD52" s="47" t="n">
        <f aca="false">-$E52*N(AND(BD$3&lt;=$F52,BD$4&gt;=$F52))</f>
        <v>-0</v>
      </c>
      <c r="BE52" s="47" t="n">
        <f aca="false">-$E52*N(AND(BE$3&lt;=$F52,BE$4&gt;=$F52))</f>
        <v>-0</v>
      </c>
      <c r="BF52" s="47" t="n">
        <f aca="false">-$E52*N(AND(BF$3&lt;=$F52,BF$4&gt;=$F52))</f>
        <v>-0</v>
      </c>
      <c r="BG52" s="47" t="n">
        <f aca="false">-$E52*N(AND(BG$3&lt;=$F52,BG$4&gt;=$F52))</f>
        <v>-0</v>
      </c>
      <c r="BH52" s="47" t="n">
        <f aca="false">-$E52*N(AND(BH$3&lt;=$F52,BH$4&gt;=$F52))</f>
        <v>-0</v>
      </c>
      <c r="BI52" s="47" t="n">
        <f aca="false">-$E52*N(AND(BI$3&lt;=$F52,BI$4&gt;=$F52))</f>
        <v>-0</v>
      </c>
      <c r="BJ52" s="47" t="n">
        <f aca="false">-$E52*N(AND(BJ$3&lt;=$F52,BJ$4&gt;=$F52))</f>
        <v>-0</v>
      </c>
      <c r="BK52" s="47" t="n">
        <f aca="false">-$E52*N(AND(BK$3&lt;=$F52,BK$4&gt;=$F52))</f>
        <v>-0</v>
      </c>
      <c r="BL52" s="47" t="n">
        <f aca="false">-$E52*N(AND(BL$3&lt;=$F52,BL$4&gt;=$F52))</f>
        <v>-0</v>
      </c>
      <c r="BM52" s="47" t="n">
        <f aca="false">-$E52*N(AND(BM$3&lt;=$F52,BM$4&gt;=$F52))</f>
        <v>-0</v>
      </c>
      <c r="BN52" s="47" t="n">
        <f aca="false">-$E52*N(AND(BN$3&lt;=$F52,BN$4&gt;=$F52))</f>
        <v>-0</v>
      </c>
      <c r="BO52" s="47" t="n">
        <f aca="false">-$E52*N(AND(BO$3&lt;=$F52,BO$4&gt;=$F52))</f>
        <v>-0</v>
      </c>
      <c r="BP52" s="47" t="n">
        <f aca="false">-$E52*N(AND(BP$3&lt;=$F52,BP$4&gt;=$F52))</f>
        <v>-0</v>
      </c>
      <c r="BQ52" s="47" t="n">
        <f aca="false">-$E52*N(AND(BQ$3&lt;=$F52,BQ$4&gt;=$F52))</f>
        <v>-0</v>
      </c>
      <c r="BR52" s="47" t="n">
        <f aca="false">-$E52*N(AND(BR$3&lt;=$F52,BR$4&gt;=$F52))</f>
        <v>-0</v>
      </c>
      <c r="BS52" s="47" t="n">
        <f aca="false">-$E52*N(AND(BS$3&lt;=$F52,BS$4&gt;=$F52))</f>
        <v>-0</v>
      </c>
      <c r="BT52" s="47" t="n">
        <f aca="false">-$E52*N(AND(BT$3&lt;=$F52,BT$4&gt;=$F52))</f>
        <v>-0</v>
      </c>
      <c r="BU52" s="47" t="n">
        <f aca="false">-$E52*N(AND(BU$3&lt;=$F52,BU$4&gt;=$F52))</f>
        <v>-0</v>
      </c>
      <c r="BV52" s="47" t="n">
        <f aca="false">-$E52*N(AND(BV$3&lt;=$F52,BV$4&gt;=$F52))</f>
        <v>-0</v>
      </c>
      <c r="BW52" s="47" t="n">
        <f aca="false">-$E52*N(AND(BW$3&lt;=$F52,BW$4&gt;=$F52))</f>
        <v>-0</v>
      </c>
      <c r="BX52" s="47" t="n">
        <f aca="false">-$E52*N(AND(BX$3&lt;=$F52,BX$4&gt;=$F52))</f>
        <v>-0</v>
      </c>
      <c r="BY52" s="47" t="n">
        <f aca="false">-$E52*N(AND(BY$3&lt;=$F52,BY$4&gt;=$F52))</f>
        <v>-0</v>
      </c>
      <c r="BZ52" s="47" t="n">
        <f aca="false">-$E52*N(AND(BZ$3&lt;=$F52,BZ$4&gt;=$F52))</f>
        <v>-0</v>
      </c>
      <c r="CA52" s="47" t="n">
        <f aca="false">-$E52*N(AND(CA$3&lt;=$F52,CA$4&gt;=$F52))</f>
        <v>-0</v>
      </c>
      <c r="CB52" s="47" t="n">
        <f aca="false">-$E52*N(AND(CB$3&lt;=$F52,CB$4&gt;=$F52))</f>
        <v>-0</v>
      </c>
      <c r="CC52" s="47" t="n">
        <f aca="false">-$E52*N(AND(CC$3&lt;=$F52,CC$4&gt;=$F52))</f>
        <v>-0</v>
      </c>
      <c r="CD52" s="47" t="n">
        <f aca="false">-$E52*N(AND(CD$3&lt;=$F52,CD$4&gt;=$F52))</f>
        <v>-0</v>
      </c>
      <c r="CE52" s="47" t="n">
        <f aca="false">-$E52*N(AND(CE$3&lt;=$F52,CE$4&gt;=$F52))</f>
        <v>-0</v>
      </c>
      <c r="CF52" s="47" t="n">
        <f aca="false">-$E52*N(AND(CF$3&lt;=$F52,CF$4&gt;=$F52))</f>
        <v>-0</v>
      </c>
      <c r="CG52" s="47" t="n">
        <f aca="false">-$E52*N(AND(CG$3&lt;=$F52,CG$4&gt;=$F52))</f>
        <v>-0</v>
      </c>
      <c r="CH52" s="47" t="n">
        <f aca="false">-$E52*N(AND(CH$3&lt;=$F52,CH$4&gt;=$F52))</f>
        <v>-0</v>
      </c>
      <c r="CI52" s="47" t="n">
        <f aca="false">-$E52*N(AND(CI$3&lt;=$F52,CI$4&gt;=$F52))</f>
        <v>-0</v>
      </c>
      <c r="CJ52" s="47" t="n">
        <f aca="false">-$E52*N(AND(CJ$3&lt;=$F52,CJ$4&gt;=$F52))</f>
        <v>-0</v>
      </c>
      <c r="CK52" s="47" t="n">
        <f aca="false">-$E52*N(AND(CK$3&lt;=$F52,CK$4&gt;=$F52))</f>
        <v>-0</v>
      </c>
      <c r="CL52" s="47" t="n">
        <f aca="false">-$E52*N(AND(CL$3&lt;=$F52,CL$4&gt;=$F52))</f>
        <v>-0</v>
      </c>
      <c r="CM52" s="47" t="n">
        <f aca="false">-$E52*N(AND(CM$3&lt;=$F52,CM$4&gt;=$F52))</f>
        <v>-0</v>
      </c>
      <c r="CN52" s="47" t="n">
        <f aca="false">-$E52*N(AND(CN$3&lt;=$F52,CN$4&gt;=$F52))</f>
        <v>-0</v>
      </c>
      <c r="CO52" s="47" t="n">
        <f aca="false">-$E52*N(AND(CO$3&lt;=$F52,CO$4&gt;=$F52))</f>
        <v>-0</v>
      </c>
      <c r="CP52" s="47" t="n">
        <f aca="false">-$E52*N(AND(CP$3&lt;=$F52,CP$4&gt;=$F52))</f>
        <v>-0</v>
      </c>
      <c r="CQ52" s="47" t="n">
        <f aca="false">-$E52*N(AND(CQ$3&lt;=$F52,CQ$4&gt;=$F52))</f>
        <v>-0</v>
      </c>
      <c r="CR52" s="47" t="n">
        <f aca="false">-$E52*N(AND(CR$3&lt;=$F52,CR$4&gt;=$F52))</f>
        <v>-0</v>
      </c>
      <c r="CS52" s="47" t="n">
        <f aca="false">-$E52*N(AND(CS$3&lt;=$F52,CS$4&gt;=$F52))</f>
        <v>-0</v>
      </c>
      <c r="CT52" s="47" t="n">
        <f aca="false">-$E52*N(AND(CT$3&lt;=$F52,CT$4&gt;=$F52))</f>
        <v>-0</v>
      </c>
      <c r="CU52" s="47" t="n">
        <f aca="false">-$E52*N(AND(CU$3&lt;=$F52,CU$4&gt;=$F52))</f>
        <v>-0</v>
      </c>
      <c r="CV52" s="47" t="n">
        <f aca="false">-$E52*N(AND(CV$3&lt;=$F52,CV$4&gt;=$F52))</f>
        <v>-0</v>
      </c>
      <c r="CW52" s="47" t="n">
        <f aca="false">-$E52*N(AND(CW$3&lt;=$F52,CW$4&gt;=$F52))</f>
        <v>-0</v>
      </c>
      <c r="CX52" s="47" t="n">
        <f aca="false">-$E52*N(AND(CX$3&lt;=$F52,CX$4&gt;=$F52))</f>
        <v>-0</v>
      </c>
      <c r="CY52" s="47" t="n">
        <f aca="false">-$E52*N(AND(CY$3&lt;=$F52,CY$4&gt;=$F52))</f>
        <v>-0</v>
      </c>
      <c r="CZ52" s="47" t="n">
        <f aca="false">-$E52*N(AND(CZ$3&lt;=$F52,CZ$4&gt;=$F52))</f>
        <v>-0</v>
      </c>
      <c r="DA52" s="47" t="n">
        <f aca="false">-$E52*N(AND(DA$3&lt;=$F52,DA$4&gt;=$F52))</f>
        <v>-0</v>
      </c>
      <c r="DB52" s="47" t="n">
        <f aca="false">-$E52*N(AND(DB$3&lt;=$F52,DB$4&gt;=$F52))</f>
        <v>-0</v>
      </c>
      <c r="DC52" s="47" t="n">
        <f aca="false">-$E52*N(AND(DC$3&lt;=$F52,DC$4&gt;=$F52))</f>
        <v>-0</v>
      </c>
      <c r="DD52" s="47" t="n">
        <f aca="false">-$E52*N(AND(DD$3&lt;=$F52,DD$4&gt;=$F52))</f>
        <v>-0</v>
      </c>
      <c r="DE52" s="47" t="n">
        <f aca="false">-$E52*N(AND(DE$3&lt;=$F52,DE$4&gt;=$F52))</f>
        <v>-0</v>
      </c>
      <c r="DF52" s="47" t="n">
        <f aca="false">-$E52*N(AND(DF$3&lt;=$F52,DF$4&gt;=$F52))</f>
        <v>-0</v>
      </c>
      <c r="DG52" s="47" t="n">
        <f aca="false">-$E52*N(AND(DG$3&lt;=$F52,DG$4&gt;=$F52))</f>
        <v>-0</v>
      </c>
      <c r="DH52" s="47" t="n">
        <f aca="false">-$E52*N(AND(DH$3&lt;=$F52,DH$4&gt;=$F52))</f>
        <v>-0</v>
      </c>
      <c r="DI52" s="47" t="n">
        <f aca="false">-$E52*N(AND(DI$3&lt;=$F52,DI$4&gt;=$F52))</f>
        <v>-0</v>
      </c>
      <c r="DJ52" s="47" t="n">
        <f aca="false">-$E52*N(AND(DJ$3&lt;=$F52,DJ$4&gt;=$F52))</f>
        <v>-0</v>
      </c>
      <c r="DK52" s="47" t="n">
        <f aca="false">-$E52*N(AND(DK$3&lt;=$F52,DK$4&gt;=$F52))</f>
        <v>-0</v>
      </c>
      <c r="DL52" s="47" t="n">
        <f aca="false">-$E52*N(AND(DL$3&lt;=$F52,DL$4&gt;=$F52))</f>
        <v>-0</v>
      </c>
      <c r="DM52" s="47" t="n">
        <f aca="false">-$E52*N(AND(DM$3&lt;=$F52,DM$4&gt;=$F52))</f>
        <v>-0</v>
      </c>
      <c r="DN52" s="47" t="n">
        <f aca="false">-$E52*N(AND(DN$3&lt;=$F52,DN$4&gt;=$F52))</f>
        <v>-0</v>
      </c>
      <c r="DO52" s="47" t="n">
        <f aca="false">-$E52*N(AND(DO$3&lt;=$F52,DO$4&gt;=$F52))</f>
        <v>-0</v>
      </c>
      <c r="DP52" s="47" t="n">
        <f aca="false">-$E52*N(AND(DP$3&lt;=$F52,DP$4&gt;=$F52))</f>
        <v>-0</v>
      </c>
      <c r="DQ52" s="47" t="n">
        <f aca="false">-$E52*N(AND(DQ$3&lt;=$F52,DQ$4&gt;=$F52))</f>
        <v>-0</v>
      </c>
      <c r="DR52" s="47" t="n">
        <f aca="false">-$E52*N(AND(DR$3&lt;=$F52,DR$4&gt;=$F52))</f>
        <v>-0</v>
      </c>
      <c r="DS52" s="47" t="n">
        <f aca="false">-$E52*N(AND(DS$3&lt;=$F52,DS$4&gt;=$F52))</f>
        <v>-0</v>
      </c>
      <c r="DT52" s="47" t="n">
        <f aca="false">-$E52*N(AND(DT$3&lt;=$F52,DT$4&gt;=$F52))</f>
        <v>-0</v>
      </c>
      <c r="DU52" s="47" t="n">
        <f aca="false">-$E52*N(AND(DU$3&lt;=$F52,DU$4&gt;=$F52))</f>
        <v>-0</v>
      </c>
      <c r="DV52" s="47" t="n">
        <f aca="false">-$E52*N(AND(DV$3&lt;=$F52,DV$4&gt;=$F52))</f>
        <v>-0</v>
      </c>
      <c r="DW52" s="47" t="n">
        <f aca="false">-$E52*N(AND(DW$3&lt;=$F52,DW$4&gt;=$F52))</f>
        <v>-0</v>
      </c>
      <c r="DX52" s="47" t="n">
        <f aca="false">-$E52*N(AND(DX$3&lt;=$F52,DX$4&gt;=$F52))</f>
        <v>-0</v>
      </c>
      <c r="DY52" s="47" t="n">
        <f aca="false">-$E52*N(AND(DY$3&lt;=$F52,DY$4&gt;=$F52))</f>
        <v>-0</v>
      </c>
      <c r="DZ52" s="47" t="n">
        <f aca="false">-$E52*N(AND(DZ$3&lt;=$F52,DZ$4&gt;=$F52))</f>
        <v>-0</v>
      </c>
      <c r="EA52" s="47" t="n">
        <f aca="false">-$E52*N(AND(EA$3&lt;=$F52,EA$4&gt;=$F52))</f>
        <v>-0</v>
      </c>
      <c r="EB52" s="47" t="n">
        <f aca="false">-$E52*N(AND(EB$3&lt;=$F52,EB$4&gt;=$F52))</f>
        <v>-0</v>
      </c>
      <c r="EC52" s="47" t="n">
        <f aca="false">-$E52*N(AND(EC$3&lt;=$F52,EC$4&gt;=$F52))</f>
        <v>-0</v>
      </c>
      <c r="ED52" s="47" t="n">
        <f aca="false">-$E52*N(AND(ED$3&lt;=$F52,ED$4&gt;=$F52))</f>
        <v>-0</v>
      </c>
      <c r="EE52" s="47" t="n">
        <f aca="false">-$E52*N(AND(EE$3&lt;=$F52,EE$4&gt;=$F52))</f>
        <v>-0</v>
      </c>
      <c r="EF52" s="47" t="n">
        <f aca="false">-$E52*N(AND(EF$3&lt;=$F52,EF$4&gt;=$F52))</f>
        <v>-0</v>
      </c>
      <c r="EG52" s="47" t="n">
        <f aca="false">-$E52*N(AND(EG$3&lt;=$F52,EG$4&gt;=$F52))</f>
        <v>-0</v>
      </c>
      <c r="EH52" s="47" t="n">
        <f aca="false">-$E52*N(AND(EH$3&lt;=$F52,EH$4&gt;=$F52))</f>
        <v>-0</v>
      </c>
      <c r="EI52" s="47" t="n">
        <f aca="false">-$E52*N(AND(EI$3&lt;=$F52,EI$4&gt;=$F52))</f>
        <v>-0</v>
      </c>
      <c r="EJ52" s="47" t="n">
        <f aca="false">-$E52*N(AND(EJ$3&lt;=$F52,EJ$4&gt;=$F52))</f>
        <v>-0</v>
      </c>
      <c r="EK52" s="47" t="n">
        <f aca="false">-$E52*N(AND(EK$3&lt;=$F52,EK$4&gt;=$F52))</f>
        <v>-0</v>
      </c>
      <c r="EL52" s="47" t="n">
        <f aca="false">-$E52*N(AND(EL$3&lt;=$F52,EL$4&gt;=$F52))</f>
        <v>-0</v>
      </c>
      <c r="EM52" s="47" t="n">
        <f aca="false">-$E52*N(AND(EM$3&lt;=$F52,EM$4&gt;=$F52))</f>
        <v>-0</v>
      </c>
      <c r="EN52" s="47" t="n">
        <f aca="false">-$E52*N(AND(EN$3&lt;=$F52,EN$4&gt;=$F52))</f>
        <v>-0</v>
      </c>
      <c r="EO52" s="47" t="n">
        <f aca="false">-$E52*N(AND(EO$3&lt;=$F52,EO$4&gt;=$F52))</f>
        <v>-0</v>
      </c>
    </row>
    <row r="53" customFormat="false" ht="15" hidden="false" customHeight="false" outlineLevel="0" collapsed="false">
      <c r="C53" s="0" t="s">
        <v>424</v>
      </c>
      <c r="D53" s="11" t="s">
        <v>33</v>
      </c>
      <c r="E53" s="47" t="n">
        <f aca="false">In_Direct_Fee*Thousand/In_FX</f>
        <v>1260.27397260274</v>
      </c>
      <c r="F53" s="20" t="n">
        <f aca="false">In_HCSSZ_Date</f>
        <v>47126</v>
      </c>
      <c r="I53" s="47" t="n">
        <f aca="false">SUM(J53:EO53)</f>
        <v>-1260.27397260274</v>
      </c>
      <c r="J53" s="47" t="n">
        <f aca="false">-$E53*N(AND(J$3&lt;=$F53,J$4&gt;=$F53))</f>
        <v>-0</v>
      </c>
      <c r="K53" s="47" t="n">
        <f aca="false">-$E53*N(AND(K$3&lt;=$F53,K$4&gt;=$F53))</f>
        <v>-0</v>
      </c>
      <c r="L53" s="47" t="n">
        <f aca="false">-$E53*N(AND(L$3&lt;=$F53,L$4&gt;=$F53))</f>
        <v>-0</v>
      </c>
      <c r="M53" s="47" t="n">
        <f aca="false">-$E53*N(AND(M$3&lt;=$F53,M$4&gt;=$F53))</f>
        <v>-0</v>
      </c>
      <c r="N53" s="47" t="n">
        <f aca="false">-$E53*N(AND(N$3&lt;=$F53,N$4&gt;=$F53))</f>
        <v>-0</v>
      </c>
      <c r="O53" s="47" t="n">
        <f aca="false">-$E53*N(AND(O$3&lt;=$F53,O$4&gt;=$F53))</f>
        <v>-0</v>
      </c>
      <c r="P53" s="47" t="n">
        <f aca="false">-$E53*N(AND(P$3&lt;=$F53,P$4&gt;=$F53))</f>
        <v>-0</v>
      </c>
      <c r="Q53" s="47" t="n">
        <f aca="false">-$E53*N(AND(Q$3&lt;=$F53,Q$4&gt;=$F53))</f>
        <v>-0</v>
      </c>
      <c r="R53" s="47" t="n">
        <f aca="false">-$E53*N(AND(R$3&lt;=$F53,R$4&gt;=$F53))</f>
        <v>-0</v>
      </c>
      <c r="S53" s="47" t="n">
        <f aca="false">-$E53*N(AND(S$3&lt;=$F53,S$4&gt;=$F53))</f>
        <v>-1260.27397260274</v>
      </c>
      <c r="T53" s="47" t="n">
        <f aca="false">-$E53*N(AND(T$3&lt;=$F53,T$4&gt;=$F53))</f>
        <v>-0</v>
      </c>
      <c r="U53" s="47" t="n">
        <f aca="false">-$E53*N(AND(U$3&lt;=$F53,U$4&gt;=$F53))</f>
        <v>-0</v>
      </c>
      <c r="V53" s="47" t="n">
        <f aca="false">-$E53*N(AND(V$3&lt;=$F53,V$4&gt;=$F53))</f>
        <v>-0</v>
      </c>
      <c r="W53" s="47" t="n">
        <f aca="false">-$E53*N(AND(W$3&lt;=$F53,W$4&gt;=$F53))</f>
        <v>-0</v>
      </c>
      <c r="X53" s="47" t="n">
        <f aca="false">-$E53*N(AND(X$3&lt;=$F53,X$4&gt;=$F53))</f>
        <v>-0</v>
      </c>
      <c r="Y53" s="47" t="n">
        <f aca="false">-$E53*N(AND(Y$3&lt;=$F53,Y$4&gt;=$F53))</f>
        <v>-0</v>
      </c>
      <c r="Z53" s="47" t="n">
        <f aca="false">-$E53*N(AND(Z$3&lt;=$F53,Z$4&gt;=$F53))</f>
        <v>-0</v>
      </c>
      <c r="AA53" s="47" t="n">
        <f aca="false">-$E53*N(AND(AA$3&lt;=$F53,AA$4&gt;=$F53))</f>
        <v>-0</v>
      </c>
      <c r="AB53" s="47" t="n">
        <f aca="false">-$E53*N(AND(AB$3&lt;=$F53,AB$4&gt;=$F53))</f>
        <v>-0</v>
      </c>
      <c r="AC53" s="47" t="n">
        <f aca="false">-$E53*N(AND(AC$3&lt;=$F53,AC$4&gt;=$F53))</f>
        <v>-0</v>
      </c>
      <c r="AD53" s="47" t="n">
        <f aca="false">-$E53*N(AND(AD$3&lt;=$F53,AD$4&gt;=$F53))</f>
        <v>-0</v>
      </c>
      <c r="AE53" s="47" t="n">
        <f aca="false">-$E53*N(AND(AE$3&lt;=$F53,AE$4&gt;=$F53))</f>
        <v>-0</v>
      </c>
      <c r="AF53" s="47" t="n">
        <f aca="false">-$E53*N(AND(AF$3&lt;=$F53,AF$4&gt;=$F53))</f>
        <v>-0</v>
      </c>
      <c r="AG53" s="47" t="n">
        <f aca="false">-$E53*N(AND(AG$3&lt;=$F53,AG$4&gt;=$F53))</f>
        <v>-0</v>
      </c>
      <c r="AH53" s="47" t="n">
        <f aca="false">-$E53*N(AND(AH$3&lt;=$F53,AH$4&gt;=$F53))</f>
        <v>-0</v>
      </c>
      <c r="AI53" s="47" t="n">
        <f aca="false">-$E53*N(AND(AI$3&lt;=$F53,AI$4&gt;=$F53))</f>
        <v>-0</v>
      </c>
      <c r="AJ53" s="47" t="n">
        <f aca="false">-$E53*N(AND(AJ$3&lt;=$F53,AJ$4&gt;=$F53))</f>
        <v>-0</v>
      </c>
      <c r="AK53" s="47" t="n">
        <f aca="false">-$E53*N(AND(AK$3&lt;=$F53,AK$4&gt;=$F53))</f>
        <v>-0</v>
      </c>
      <c r="AL53" s="47" t="n">
        <f aca="false">-$E53*N(AND(AL$3&lt;=$F53,AL$4&gt;=$F53))</f>
        <v>-0</v>
      </c>
      <c r="AM53" s="47" t="n">
        <f aca="false">-$E53*N(AND(AM$3&lt;=$F53,AM$4&gt;=$F53))</f>
        <v>-0</v>
      </c>
      <c r="AN53" s="47" t="n">
        <f aca="false">-$E53*N(AND(AN$3&lt;=$F53,AN$4&gt;=$F53))</f>
        <v>-0</v>
      </c>
      <c r="AO53" s="47" t="n">
        <f aca="false">-$E53*N(AND(AO$3&lt;=$F53,AO$4&gt;=$F53))</f>
        <v>-0</v>
      </c>
      <c r="AP53" s="47" t="n">
        <f aca="false">-$E53*N(AND(AP$3&lt;=$F53,AP$4&gt;=$F53))</f>
        <v>-0</v>
      </c>
      <c r="AQ53" s="47" t="n">
        <f aca="false">-$E53*N(AND(AQ$3&lt;=$F53,AQ$4&gt;=$F53))</f>
        <v>-0</v>
      </c>
      <c r="AR53" s="47" t="n">
        <f aca="false">-$E53*N(AND(AR$3&lt;=$F53,AR$4&gt;=$F53))</f>
        <v>-0</v>
      </c>
      <c r="AS53" s="47" t="n">
        <f aca="false">-$E53*N(AND(AS$3&lt;=$F53,AS$4&gt;=$F53))</f>
        <v>-0</v>
      </c>
      <c r="AT53" s="47" t="n">
        <f aca="false">-$E53*N(AND(AT$3&lt;=$F53,AT$4&gt;=$F53))</f>
        <v>-0</v>
      </c>
      <c r="AU53" s="47" t="n">
        <f aca="false">-$E53*N(AND(AU$3&lt;=$F53,AU$4&gt;=$F53))</f>
        <v>-0</v>
      </c>
      <c r="AV53" s="47" t="n">
        <f aca="false">-$E53*N(AND(AV$3&lt;=$F53,AV$4&gt;=$F53))</f>
        <v>-0</v>
      </c>
      <c r="AW53" s="47" t="n">
        <f aca="false">-$E53*N(AND(AW$3&lt;=$F53,AW$4&gt;=$F53))</f>
        <v>-0</v>
      </c>
      <c r="AX53" s="47" t="n">
        <f aca="false">-$E53*N(AND(AX$3&lt;=$F53,AX$4&gt;=$F53))</f>
        <v>-0</v>
      </c>
      <c r="AY53" s="47" t="n">
        <f aca="false">-$E53*N(AND(AY$3&lt;=$F53,AY$4&gt;=$F53))</f>
        <v>-0</v>
      </c>
      <c r="AZ53" s="47" t="n">
        <f aca="false">-$E53*N(AND(AZ$3&lt;=$F53,AZ$4&gt;=$F53))</f>
        <v>-0</v>
      </c>
      <c r="BA53" s="47" t="n">
        <f aca="false">-$E53*N(AND(BA$3&lt;=$F53,BA$4&gt;=$F53))</f>
        <v>-0</v>
      </c>
      <c r="BB53" s="47" t="n">
        <f aca="false">-$E53*N(AND(BB$3&lt;=$F53,BB$4&gt;=$F53))</f>
        <v>-0</v>
      </c>
      <c r="BC53" s="47" t="n">
        <f aca="false">-$E53*N(AND(BC$3&lt;=$F53,BC$4&gt;=$F53))</f>
        <v>-0</v>
      </c>
      <c r="BD53" s="47" t="n">
        <f aca="false">-$E53*N(AND(BD$3&lt;=$F53,BD$4&gt;=$F53))</f>
        <v>-0</v>
      </c>
      <c r="BE53" s="47" t="n">
        <f aca="false">-$E53*N(AND(BE$3&lt;=$F53,BE$4&gt;=$F53))</f>
        <v>-0</v>
      </c>
      <c r="BF53" s="47" t="n">
        <f aca="false">-$E53*N(AND(BF$3&lt;=$F53,BF$4&gt;=$F53))</f>
        <v>-0</v>
      </c>
      <c r="BG53" s="47" t="n">
        <f aca="false">-$E53*N(AND(BG$3&lt;=$F53,BG$4&gt;=$F53))</f>
        <v>-0</v>
      </c>
      <c r="BH53" s="47" t="n">
        <f aca="false">-$E53*N(AND(BH$3&lt;=$F53,BH$4&gt;=$F53))</f>
        <v>-0</v>
      </c>
      <c r="BI53" s="47" t="n">
        <f aca="false">-$E53*N(AND(BI$3&lt;=$F53,BI$4&gt;=$F53))</f>
        <v>-0</v>
      </c>
      <c r="BJ53" s="47" t="n">
        <f aca="false">-$E53*N(AND(BJ$3&lt;=$F53,BJ$4&gt;=$F53))</f>
        <v>-0</v>
      </c>
      <c r="BK53" s="47" t="n">
        <f aca="false">-$E53*N(AND(BK$3&lt;=$F53,BK$4&gt;=$F53))</f>
        <v>-0</v>
      </c>
      <c r="BL53" s="47" t="n">
        <f aca="false">-$E53*N(AND(BL$3&lt;=$F53,BL$4&gt;=$F53))</f>
        <v>-0</v>
      </c>
      <c r="BM53" s="47" t="n">
        <f aca="false">-$E53*N(AND(BM$3&lt;=$F53,BM$4&gt;=$F53))</f>
        <v>-0</v>
      </c>
      <c r="BN53" s="47" t="n">
        <f aca="false">-$E53*N(AND(BN$3&lt;=$F53,BN$4&gt;=$F53))</f>
        <v>-0</v>
      </c>
      <c r="BO53" s="47" t="n">
        <f aca="false">-$E53*N(AND(BO$3&lt;=$F53,BO$4&gt;=$F53))</f>
        <v>-0</v>
      </c>
      <c r="BP53" s="47" t="n">
        <f aca="false">-$E53*N(AND(BP$3&lt;=$F53,BP$4&gt;=$F53))</f>
        <v>-0</v>
      </c>
      <c r="BQ53" s="47" t="n">
        <f aca="false">-$E53*N(AND(BQ$3&lt;=$F53,BQ$4&gt;=$F53))</f>
        <v>-0</v>
      </c>
      <c r="BR53" s="47" t="n">
        <f aca="false">-$E53*N(AND(BR$3&lt;=$F53,BR$4&gt;=$F53))</f>
        <v>-0</v>
      </c>
      <c r="BS53" s="47" t="n">
        <f aca="false">-$E53*N(AND(BS$3&lt;=$F53,BS$4&gt;=$F53))</f>
        <v>-0</v>
      </c>
      <c r="BT53" s="47" t="n">
        <f aca="false">-$E53*N(AND(BT$3&lt;=$F53,BT$4&gt;=$F53))</f>
        <v>-0</v>
      </c>
      <c r="BU53" s="47" t="n">
        <f aca="false">-$E53*N(AND(BU$3&lt;=$F53,BU$4&gt;=$F53))</f>
        <v>-0</v>
      </c>
      <c r="BV53" s="47" t="n">
        <f aca="false">-$E53*N(AND(BV$3&lt;=$F53,BV$4&gt;=$F53))</f>
        <v>-0</v>
      </c>
      <c r="BW53" s="47" t="n">
        <f aca="false">-$E53*N(AND(BW$3&lt;=$F53,BW$4&gt;=$F53))</f>
        <v>-0</v>
      </c>
      <c r="BX53" s="47" t="n">
        <f aca="false">-$E53*N(AND(BX$3&lt;=$F53,BX$4&gt;=$F53))</f>
        <v>-0</v>
      </c>
      <c r="BY53" s="47" t="n">
        <f aca="false">-$E53*N(AND(BY$3&lt;=$F53,BY$4&gt;=$F53))</f>
        <v>-0</v>
      </c>
      <c r="BZ53" s="47" t="n">
        <f aca="false">-$E53*N(AND(BZ$3&lt;=$F53,BZ$4&gt;=$F53))</f>
        <v>-0</v>
      </c>
      <c r="CA53" s="47" t="n">
        <f aca="false">-$E53*N(AND(CA$3&lt;=$F53,CA$4&gt;=$F53))</f>
        <v>-0</v>
      </c>
      <c r="CB53" s="47" t="n">
        <f aca="false">-$E53*N(AND(CB$3&lt;=$F53,CB$4&gt;=$F53))</f>
        <v>-0</v>
      </c>
      <c r="CC53" s="47" t="n">
        <f aca="false">-$E53*N(AND(CC$3&lt;=$F53,CC$4&gt;=$F53))</f>
        <v>-0</v>
      </c>
      <c r="CD53" s="47" t="n">
        <f aca="false">-$E53*N(AND(CD$3&lt;=$F53,CD$4&gt;=$F53))</f>
        <v>-0</v>
      </c>
      <c r="CE53" s="47" t="n">
        <f aca="false">-$E53*N(AND(CE$3&lt;=$F53,CE$4&gt;=$F53))</f>
        <v>-0</v>
      </c>
      <c r="CF53" s="47" t="n">
        <f aca="false">-$E53*N(AND(CF$3&lt;=$F53,CF$4&gt;=$F53))</f>
        <v>-0</v>
      </c>
      <c r="CG53" s="47" t="n">
        <f aca="false">-$E53*N(AND(CG$3&lt;=$F53,CG$4&gt;=$F53))</f>
        <v>-0</v>
      </c>
      <c r="CH53" s="47" t="n">
        <f aca="false">-$E53*N(AND(CH$3&lt;=$F53,CH$4&gt;=$F53))</f>
        <v>-0</v>
      </c>
      <c r="CI53" s="47" t="n">
        <f aca="false">-$E53*N(AND(CI$3&lt;=$F53,CI$4&gt;=$F53))</f>
        <v>-0</v>
      </c>
      <c r="CJ53" s="47" t="n">
        <f aca="false">-$E53*N(AND(CJ$3&lt;=$F53,CJ$4&gt;=$F53))</f>
        <v>-0</v>
      </c>
      <c r="CK53" s="47" t="n">
        <f aca="false">-$E53*N(AND(CK$3&lt;=$F53,CK$4&gt;=$F53))</f>
        <v>-0</v>
      </c>
      <c r="CL53" s="47" t="n">
        <f aca="false">-$E53*N(AND(CL$3&lt;=$F53,CL$4&gt;=$F53))</f>
        <v>-0</v>
      </c>
      <c r="CM53" s="47" t="n">
        <f aca="false">-$E53*N(AND(CM$3&lt;=$F53,CM$4&gt;=$F53))</f>
        <v>-0</v>
      </c>
      <c r="CN53" s="47" t="n">
        <f aca="false">-$E53*N(AND(CN$3&lt;=$F53,CN$4&gt;=$F53))</f>
        <v>-0</v>
      </c>
      <c r="CO53" s="47" t="n">
        <f aca="false">-$E53*N(AND(CO$3&lt;=$F53,CO$4&gt;=$F53))</f>
        <v>-0</v>
      </c>
      <c r="CP53" s="47" t="n">
        <f aca="false">-$E53*N(AND(CP$3&lt;=$F53,CP$4&gt;=$F53))</f>
        <v>-0</v>
      </c>
      <c r="CQ53" s="47" t="n">
        <f aca="false">-$E53*N(AND(CQ$3&lt;=$F53,CQ$4&gt;=$F53))</f>
        <v>-0</v>
      </c>
      <c r="CR53" s="47" t="n">
        <f aca="false">-$E53*N(AND(CR$3&lt;=$F53,CR$4&gt;=$F53))</f>
        <v>-0</v>
      </c>
      <c r="CS53" s="47" t="n">
        <f aca="false">-$E53*N(AND(CS$3&lt;=$F53,CS$4&gt;=$F53))</f>
        <v>-0</v>
      </c>
      <c r="CT53" s="47" t="n">
        <f aca="false">-$E53*N(AND(CT$3&lt;=$F53,CT$4&gt;=$F53))</f>
        <v>-0</v>
      </c>
      <c r="CU53" s="47" t="n">
        <f aca="false">-$E53*N(AND(CU$3&lt;=$F53,CU$4&gt;=$F53))</f>
        <v>-0</v>
      </c>
      <c r="CV53" s="47" t="n">
        <f aca="false">-$E53*N(AND(CV$3&lt;=$F53,CV$4&gt;=$F53))</f>
        <v>-0</v>
      </c>
      <c r="CW53" s="47" t="n">
        <f aca="false">-$E53*N(AND(CW$3&lt;=$F53,CW$4&gt;=$F53))</f>
        <v>-0</v>
      </c>
      <c r="CX53" s="47" t="n">
        <f aca="false">-$E53*N(AND(CX$3&lt;=$F53,CX$4&gt;=$F53))</f>
        <v>-0</v>
      </c>
      <c r="CY53" s="47" t="n">
        <f aca="false">-$E53*N(AND(CY$3&lt;=$F53,CY$4&gt;=$F53))</f>
        <v>-0</v>
      </c>
      <c r="CZ53" s="47" t="n">
        <f aca="false">-$E53*N(AND(CZ$3&lt;=$F53,CZ$4&gt;=$F53))</f>
        <v>-0</v>
      </c>
      <c r="DA53" s="47" t="n">
        <f aca="false">-$E53*N(AND(DA$3&lt;=$F53,DA$4&gt;=$F53))</f>
        <v>-0</v>
      </c>
      <c r="DB53" s="47" t="n">
        <f aca="false">-$E53*N(AND(DB$3&lt;=$F53,DB$4&gt;=$F53))</f>
        <v>-0</v>
      </c>
      <c r="DC53" s="47" t="n">
        <f aca="false">-$E53*N(AND(DC$3&lt;=$F53,DC$4&gt;=$F53))</f>
        <v>-0</v>
      </c>
      <c r="DD53" s="47" t="n">
        <f aca="false">-$E53*N(AND(DD$3&lt;=$F53,DD$4&gt;=$F53))</f>
        <v>-0</v>
      </c>
      <c r="DE53" s="47" t="n">
        <f aca="false">-$E53*N(AND(DE$3&lt;=$F53,DE$4&gt;=$F53))</f>
        <v>-0</v>
      </c>
      <c r="DF53" s="47" t="n">
        <f aca="false">-$E53*N(AND(DF$3&lt;=$F53,DF$4&gt;=$F53))</f>
        <v>-0</v>
      </c>
      <c r="DG53" s="47" t="n">
        <f aca="false">-$E53*N(AND(DG$3&lt;=$F53,DG$4&gt;=$F53))</f>
        <v>-0</v>
      </c>
      <c r="DH53" s="47" t="n">
        <f aca="false">-$E53*N(AND(DH$3&lt;=$F53,DH$4&gt;=$F53))</f>
        <v>-0</v>
      </c>
      <c r="DI53" s="47" t="n">
        <f aca="false">-$E53*N(AND(DI$3&lt;=$F53,DI$4&gt;=$F53))</f>
        <v>-0</v>
      </c>
      <c r="DJ53" s="47" t="n">
        <f aca="false">-$E53*N(AND(DJ$3&lt;=$F53,DJ$4&gt;=$F53))</f>
        <v>-0</v>
      </c>
      <c r="DK53" s="47" t="n">
        <f aca="false">-$E53*N(AND(DK$3&lt;=$F53,DK$4&gt;=$F53))</f>
        <v>-0</v>
      </c>
      <c r="DL53" s="47" t="n">
        <f aca="false">-$E53*N(AND(DL$3&lt;=$F53,DL$4&gt;=$F53))</f>
        <v>-0</v>
      </c>
      <c r="DM53" s="47" t="n">
        <f aca="false">-$E53*N(AND(DM$3&lt;=$F53,DM$4&gt;=$F53))</f>
        <v>-0</v>
      </c>
      <c r="DN53" s="47" t="n">
        <f aca="false">-$E53*N(AND(DN$3&lt;=$F53,DN$4&gt;=$F53))</f>
        <v>-0</v>
      </c>
      <c r="DO53" s="47" t="n">
        <f aca="false">-$E53*N(AND(DO$3&lt;=$F53,DO$4&gt;=$F53))</f>
        <v>-0</v>
      </c>
      <c r="DP53" s="47" t="n">
        <f aca="false">-$E53*N(AND(DP$3&lt;=$F53,DP$4&gt;=$F53))</f>
        <v>-0</v>
      </c>
      <c r="DQ53" s="47" t="n">
        <f aca="false">-$E53*N(AND(DQ$3&lt;=$F53,DQ$4&gt;=$F53))</f>
        <v>-0</v>
      </c>
      <c r="DR53" s="47" t="n">
        <f aca="false">-$E53*N(AND(DR$3&lt;=$F53,DR$4&gt;=$F53))</f>
        <v>-0</v>
      </c>
      <c r="DS53" s="47" t="n">
        <f aca="false">-$E53*N(AND(DS$3&lt;=$F53,DS$4&gt;=$F53))</f>
        <v>-0</v>
      </c>
      <c r="DT53" s="47" t="n">
        <f aca="false">-$E53*N(AND(DT$3&lt;=$F53,DT$4&gt;=$F53))</f>
        <v>-0</v>
      </c>
      <c r="DU53" s="47" t="n">
        <f aca="false">-$E53*N(AND(DU$3&lt;=$F53,DU$4&gt;=$F53))</f>
        <v>-0</v>
      </c>
      <c r="DV53" s="47" t="n">
        <f aca="false">-$E53*N(AND(DV$3&lt;=$F53,DV$4&gt;=$F53))</f>
        <v>-0</v>
      </c>
      <c r="DW53" s="47" t="n">
        <f aca="false">-$E53*N(AND(DW$3&lt;=$F53,DW$4&gt;=$F53))</f>
        <v>-0</v>
      </c>
      <c r="DX53" s="47" t="n">
        <f aca="false">-$E53*N(AND(DX$3&lt;=$F53,DX$4&gt;=$F53))</f>
        <v>-0</v>
      </c>
      <c r="DY53" s="47" t="n">
        <f aca="false">-$E53*N(AND(DY$3&lt;=$F53,DY$4&gt;=$F53))</f>
        <v>-0</v>
      </c>
      <c r="DZ53" s="47" t="n">
        <f aca="false">-$E53*N(AND(DZ$3&lt;=$F53,DZ$4&gt;=$F53))</f>
        <v>-0</v>
      </c>
      <c r="EA53" s="47" t="n">
        <f aca="false">-$E53*N(AND(EA$3&lt;=$F53,EA$4&gt;=$F53))</f>
        <v>-0</v>
      </c>
      <c r="EB53" s="47" t="n">
        <f aca="false">-$E53*N(AND(EB$3&lt;=$F53,EB$4&gt;=$F53))</f>
        <v>-0</v>
      </c>
      <c r="EC53" s="47" t="n">
        <f aca="false">-$E53*N(AND(EC$3&lt;=$F53,EC$4&gt;=$F53))</f>
        <v>-0</v>
      </c>
      <c r="ED53" s="47" t="n">
        <f aca="false">-$E53*N(AND(ED$3&lt;=$F53,ED$4&gt;=$F53))</f>
        <v>-0</v>
      </c>
      <c r="EE53" s="47" t="n">
        <f aca="false">-$E53*N(AND(EE$3&lt;=$F53,EE$4&gt;=$F53))</f>
        <v>-0</v>
      </c>
      <c r="EF53" s="47" t="n">
        <f aca="false">-$E53*N(AND(EF$3&lt;=$F53,EF$4&gt;=$F53))</f>
        <v>-0</v>
      </c>
      <c r="EG53" s="47" t="n">
        <f aca="false">-$E53*N(AND(EG$3&lt;=$F53,EG$4&gt;=$F53))</f>
        <v>-0</v>
      </c>
      <c r="EH53" s="47" t="n">
        <f aca="false">-$E53*N(AND(EH$3&lt;=$F53,EH$4&gt;=$F53))</f>
        <v>-0</v>
      </c>
      <c r="EI53" s="47" t="n">
        <f aca="false">-$E53*N(AND(EI$3&lt;=$F53,EI$4&gt;=$F53))</f>
        <v>-0</v>
      </c>
      <c r="EJ53" s="47" t="n">
        <f aca="false">-$E53*N(AND(EJ$3&lt;=$F53,EJ$4&gt;=$F53))</f>
        <v>-0</v>
      </c>
      <c r="EK53" s="47" t="n">
        <f aca="false">-$E53*N(AND(EK$3&lt;=$F53,EK$4&gt;=$F53))</f>
        <v>-0</v>
      </c>
      <c r="EL53" s="47" t="n">
        <f aca="false">-$E53*N(AND(EL$3&lt;=$F53,EL$4&gt;=$F53))</f>
        <v>-0</v>
      </c>
      <c r="EM53" s="47" t="n">
        <f aca="false">-$E53*N(AND(EM$3&lt;=$F53,EM$4&gt;=$F53))</f>
        <v>-0</v>
      </c>
      <c r="EN53" s="47" t="n">
        <f aca="false">-$E53*N(AND(EN$3&lt;=$F53,EN$4&gt;=$F53))</f>
        <v>-0</v>
      </c>
      <c r="EO53" s="47" t="n">
        <f aca="false">-$E53*N(AND(EO$3&lt;=$F53,EO$4&gt;=$F53))</f>
        <v>-0</v>
      </c>
    </row>
    <row r="54" customFormat="false" ht="15" hidden="false" customHeight="false" outlineLevel="0" collapsed="false">
      <c r="C54" s="0" t="s">
        <v>425</v>
      </c>
      <c r="D54" s="11" t="s">
        <v>33</v>
      </c>
      <c r="E54" s="47" t="n">
        <f aca="false">(In_Indirect_Fee-In_TSO_Security)*In_MVA*Thousand/In_FX</f>
        <v>6894.54917808219</v>
      </c>
      <c r="F54" s="20" t="n">
        <f aca="false">In_HCSSZ_Date</f>
        <v>47126</v>
      </c>
      <c r="I54" s="47" t="n">
        <f aca="false">SUM(J54:EO54)</f>
        <v>-6894.54917808219</v>
      </c>
      <c r="J54" s="47" t="n">
        <f aca="false">-$E54*N(AND(J$3&lt;=$F54,J$4&gt;=$F54))</f>
        <v>-0</v>
      </c>
      <c r="K54" s="47" t="n">
        <f aca="false">-$E54*N(AND(K$3&lt;=$F54,K$4&gt;=$F54))</f>
        <v>-0</v>
      </c>
      <c r="L54" s="47" t="n">
        <f aca="false">-$E54*N(AND(L$3&lt;=$F54,L$4&gt;=$F54))</f>
        <v>-0</v>
      </c>
      <c r="M54" s="47" t="n">
        <f aca="false">-$E54*N(AND(M$3&lt;=$F54,M$4&gt;=$F54))</f>
        <v>-0</v>
      </c>
      <c r="N54" s="47" t="n">
        <f aca="false">-$E54*N(AND(N$3&lt;=$F54,N$4&gt;=$F54))</f>
        <v>-0</v>
      </c>
      <c r="O54" s="47" t="n">
        <f aca="false">-$E54*N(AND(O$3&lt;=$F54,O$4&gt;=$F54))</f>
        <v>-0</v>
      </c>
      <c r="P54" s="47" t="n">
        <f aca="false">-$E54*N(AND(P$3&lt;=$F54,P$4&gt;=$F54))</f>
        <v>-0</v>
      </c>
      <c r="Q54" s="47" t="n">
        <f aca="false">-$E54*N(AND(Q$3&lt;=$F54,Q$4&gt;=$F54))</f>
        <v>-0</v>
      </c>
      <c r="R54" s="47" t="n">
        <f aca="false">-$E54*N(AND(R$3&lt;=$F54,R$4&gt;=$F54))</f>
        <v>-0</v>
      </c>
      <c r="S54" s="47" t="n">
        <f aca="false">-$E54*N(AND(S$3&lt;=$F54,S$4&gt;=$F54))</f>
        <v>-6894.54917808219</v>
      </c>
      <c r="T54" s="47" t="n">
        <f aca="false">-$E54*N(AND(T$3&lt;=$F54,T$4&gt;=$F54))</f>
        <v>-0</v>
      </c>
      <c r="U54" s="47" t="n">
        <f aca="false">-$E54*N(AND(U$3&lt;=$F54,U$4&gt;=$F54))</f>
        <v>-0</v>
      </c>
      <c r="V54" s="47" t="n">
        <f aca="false">-$E54*N(AND(V$3&lt;=$F54,V$4&gt;=$F54))</f>
        <v>-0</v>
      </c>
      <c r="W54" s="47" t="n">
        <f aca="false">-$E54*N(AND(W$3&lt;=$F54,W$4&gt;=$F54))</f>
        <v>-0</v>
      </c>
      <c r="X54" s="47" t="n">
        <f aca="false">-$E54*N(AND(X$3&lt;=$F54,X$4&gt;=$F54))</f>
        <v>-0</v>
      </c>
      <c r="Y54" s="47" t="n">
        <f aca="false">-$E54*N(AND(Y$3&lt;=$F54,Y$4&gt;=$F54))</f>
        <v>-0</v>
      </c>
      <c r="Z54" s="47" t="n">
        <f aca="false">-$E54*N(AND(Z$3&lt;=$F54,Z$4&gt;=$F54))</f>
        <v>-0</v>
      </c>
      <c r="AA54" s="47" t="n">
        <f aca="false">-$E54*N(AND(AA$3&lt;=$F54,AA$4&gt;=$F54))</f>
        <v>-0</v>
      </c>
      <c r="AB54" s="47" t="n">
        <f aca="false">-$E54*N(AND(AB$3&lt;=$F54,AB$4&gt;=$F54))</f>
        <v>-0</v>
      </c>
      <c r="AC54" s="47" t="n">
        <f aca="false">-$E54*N(AND(AC$3&lt;=$F54,AC$4&gt;=$F54))</f>
        <v>-0</v>
      </c>
      <c r="AD54" s="47" t="n">
        <f aca="false">-$E54*N(AND(AD$3&lt;=$F54,AD$4&gt;=$F54))</f>
        <v>-0</v>
      </c>
      <c r="AE54" s="47" t="n">
        <f aca="false">-$E54*N(AND(AE$3&lt;=$F54,AE$4&gt;=$F54))</f>
        <v>-0</v>
      </c>
      <c r="AF54" s="47" t="n">
        <f aca="false">-$E54*N(AND(AF$3&lt;=$F54,AF$4&gt;=$F54))</f>
        <v>-0</v>
      </c>
      <c r="AG54" s="47" t="n">
        <f aca="false">-$E54*N(AND(AG$3&lt;=$F54,AG$4&gt;=$F54))</f>
        <v>-0</v>
      </c>
      <c r="AH54" s="47" t="n">
        <f aca="false">-$E54*N(AND(AH$3&lt;=$F54,AH$4&gt;=$F54))</f>
        <v>-0</v>
      </c>
      <c r="AI54" s="47" t="n">
        <f aca="false">-$E54*N(AND(AI$3&lt;=$F54,AI$4&gt;=$F54))</f>
        <v>-0</v>
      </c>
      <c r="AJ54" s="47" t="n">
        <f aca="false">-$E54*N(AND(AJ$3&lt;=$F54,AJ$4&gt;=$F54))</f>
        <v>-0</v>
      </c>
      <c r="AK54" s="47" t="n">
        <f aca="false">-$E54*N(AND(AK$3&lt;=$F54,AK$4&gt;=$F54))</f>
        <v>-0</v>
      </c>
      <c r="AL54" s="47" t="n">
        <f aca="false">-$E54*N(AND(AL$3&lt;=$F54,AL$4&gt;=$F54))</f>
        <v>-0</v>
      </c>
      <c r="AM54" s="47" t="n">
        <f aca="false">-$E54*N(AND(AM$3&lt;=$F54,AM$4&gt;=$F54))</f>
        <v>-0</v>
      </c>
      <c r="AN54" s="47" t="n">
        <f aca="false">-$E54*N(AND(AN$3&lt;=$F54,AN$4&gt;=$F54))</f>
        <v>-0</v>
      </c>
      <c r="AO54" s="47" t="n">
        <f aca="false">-$E54*N(AND(AO$3&lt;=$F54,AO$4&gt;=$F54))</f>
        <v>-0</v>
      </c>
      <c r="AP54" s="47" t="n">
        <f aca="false">-$E54*N(AND(AP$3&lt;=$F54,AP$4&gt;=$F54))</f>
        <v>-0</v>
      </c>
      <c r="AQ54" s="47" t="n">
        <f aca="false">-$E54*N(AND(AQ$3&lt;=$F54,AQ$4&gt;=$F54))</f>
        <v>-0</v>
      </c>
      <c r="AR54" s="47" t="n">
        <f aca="false">-$E54*N(AND(AR$3&lt;=$F54,AR$4&gt;=$F54))</f>
        <v>-0</v>
      </c>
      <c r="AS54" s="47" t="n">
        <f aca="false">-$E54*N(AND(AS$3&lt;=$F54,AS$4&gt;=$F54))</f>
        <v>-0</v>
      </c>
      <c r="AT54" s="47" t="n">
        <f aca="false">-$E54*N(AND(AT$3&lt;=$F54,AT$4&gt;=$F54))</f>
        <v>-0</v>
      </c>
      <c r="AU54" s="47" t="n">
        <f aca="false">-$E54*N(AND(AU$3&lt;=$F54,AU$4&gt;=$F54))</f>
        <v>-0</v>
      </c>
      <c r="AV54" s="47" t="n">
        <f aca="false">-$E54*N(AND(AV$3&lt;=$F54,AV$4&gt;=$F54))</f>
        <v>-0</v>
      </c>
      <c r="AW54" s="47" t="n">
        <f aca="false">-$E54*N(AND(AW$3&lt;=$F54,AW$4&gt;=$F54))</f>
        <v>-0</v>
      </c>
      <c r="AX54" s="47" t="n">
        <f aca="false">-$E54*N(AND(AX$3&lt;=$F54,AX$4&gt;=$F54))</f>
        <v>-0</v>
      </c>
      <c r="AY54" s="47" t="n">
        <f aca="false">-$E54*N(AND(AY$3&lt;=$F54,AY$4&gt;=$F54))</f>
        <v>-0</v>
      </c>
      <c r="AZ54" s="47" t="n">
        <f aca="false">-$E54*N(AND(AZ$3&lt;=$F54,AZ$4&gt;=$F54))</f>
        <v>-0</v>
      </c>
      <c r="BA54" s="47" t="n">
        <f aca="false">-$E54*N(AND(BA$3&lt;=$F54,BA$4&gt;=$F54))</f>
        <v>-0</v>
      </c>
      <c r="BB54" s="47" t="n">
        <f aca="false">-$E54*N(AND(BB$3&lt;=$F54,BB$4&gt;=$F54))</f>
        <v>-0</v>
      </c>
      <c r="BC54" s="47" t="n">
        <f aca="false">-$E54*N(AND(BC$3&lt;=$F54,BC$4&gt;=$F54))</f>
        <v>-0</v>
      </c>
      <c r="BD54" s="47" t="n">
        <f aca="false">-$E54*N(AND(BD$3&lt;=$F54,BD$4&gt;=$F54))</f>
        <v>-0</v>
      </c>
      <c r="BE54" s="47" t="n">
        <f aca="false">-$E54*N(AND(BE$3&lt;=$F54,BE$4&gt;=$F54))</f>
        <v>-0</v>
      </c>
      <c r="BF54" s="47" t="n">
        <f aca="false">-$E54*N(AND(BF$3&lt;=$F54,BF$4&gt;=$F54))</f>
        <v>-0</v>
      </c>
      <c r="BG54" s="47" t="n">
        <f aca="false">-$E54*N(AND(BG$3&lt;=$F54,BG$4&gt;=$F54))</f>
        <v>-0</v>
      </c>
      <c r="BH54" s="47" t="n">
        <f aca="false">-$E54*N(AND(BH$3&lt;=$F54,BH$4&gt;=$F54))</f>
        <v>-0</v>
      </c>
      <c r="BI54" s="47" t="n">
        <f aca="false">-$E54*N(AND(BI$3&lt;=$F54,BI$4&gt;=$F54))</f>
        <v>-0</v>
      </c>
      <c r="BJ54" s="47" t="n">
        <f aca="false">-$E54*N(AND(BJ$3&lt;=$F54,BJ$4&gt;=$F54))</f>
        <v>-0</v>
      </c>
      <c r="BK54" s="47" t="n">
        <f aca="false">-$E54*N(AND(BK$3&lt;=$F54,BK$4&gt;=$F54))</f>
        <v>-0</v>
      </c>
      <c r="BL54" s="47" t="n">
        <f aca="false">-$E54*N(AND(BL$3&lt;=$F54,BL$4&gt;=$F54))</f>
        <v>-0</v>
      </c>
      <c r="BM54" s="47" t="n">
        <f aca="false">-$E54*N(AND(BM$3&lt;=$F54,BM$4&gt;=$F54))</f>
        <v>-0</v>
      </c>
      <c r="BN54" s="47" t="n">
        <f aca="false">-$E54*N(AND(BN$3&lt;=$F54,BN$4&gt;=$F54))</f>
        <v>-0</v>
      </c>
      <c r="BO54" s="47" t="n">
        <f aca="false">-$E54*N(AND(BO$3&lt;=$F54,BO$4&gt;=$F54))</f>
        <v>-0</v>
      </c>
      <c r="BP54" s="47" t="n">
        <f aca="false">-$E54*N(AND(BP$3&lt;=$F54,BP$4&gt;=$F54))</f>
        <v>-0</v>
      </c>
      <c r="BQ54" s="47" t="n">
        <f aca="false">-$E54*N(AND(BQ$3&lt;=$F54,BQ$4&gt;=$F54))</f>
        <v>-0</v>
      </c>
      <c r="BR54" s="47" t="n">
        <f aca="false">-$E54*N(AND(BR$3&lt;=$F54,BR$4&gt;=$F54))</f>
        <v>-0</v>
      </c>
      <c r="BS54" s="47" t="n">
        <f aca="false">-$E54*N(AND(BS$3&lt;=$F54,BS$4&gt;=$F54))</f>
        <v>-0</v>
      </c>
      <c r="BT54" s="47" t="n">
        <f aca="false">-$E54*N(AND(BT$3&lt;=$F54,BT$4&gt;=$F54))</f>
        <v>-0</v>
      </c>
      <c r="BU54" s="47" t="n">
        <f aca="false">-$E54*N(AND(BU$3&lt;=$F54,BU$4&gt;=$F54))</f>
        <v>-0</v>
      </c>
      <c r="BV54" s="47" t="n">
        <f aca="false">-$E54*N(AND(BV$3&lt;=$F54,BV$4&gt;=$F54))</f>
        <v>-0</v>
      </c>
      <c r="BW54" s="47" t="n">
        <f aca="false">-$E54*N(AND(BW$3&lt;=$F54,BW$4&gt;=$F54))</f>
        <v>-0</v>
      </c>
      <c r="BX54" s="47" t="n">
        <f aca="false">-$E54*N(AND(BX$3&lt;=$F54,BX$4&gt;=$F54))</f>
        <v>-0</v>
      </c>
      <c r="BY54" s="47" t="n">
        <f aca="false">-$E54*N(AND(BY$3&lt;=$F54,BY$4&gt;=$F54))</f>
        <v>-0</v>
      </c>
      <c r="BZ54" s="47" t="n">
        <f aca="false">-$E54*N(AND(BZ$3&lt;=$F54,BZ$4&gt;=$F54))</f>
        <v>-0</v>
      </c>
      <c r="CA54" s="47" t="n">
        <f aca="false">-$E54*N(AND(CA$3&lt;=$F54,CA$4&gt;=$F54))</f>
        <v>-0</v>
      </c>
      <c r="CB54" s="47" t="n">
        <f aca="false">-$E54*N(AND(CB$3&lt;=$F54,CB$4&gt;=$F54))</f>
        <v>-0</v>
      </c>
      <c r="CC54" s="47" t="n">
        <f aca="false">-$E54*N(AND(CC$3&lt;=$F54,CC$4&gt;=$F54))</f>
        <v>-0</v>
      </c>
      <c r="CD54" s="47" t="n">
        <f aca="false">-$E54*N(AND(CD$3&lt;=$F54,CD$4&gt;=$F54))</f>
        <v>-0</v>
      </c>
      <c r="CE54" s="47" t="n">
        <f aca="false">-$E54*N(AND(CE$3&lt;=$F54,CE$4&gt;=$F54))</f>
        <v>-0</v>
      </c>
      <c r="CF54" s="47" t="n">
        <f aca="false">-$E54*N(AND(CF$3&lt;=$F54,CF$4&gt;=$F54))</f>
        <v>-0</v>
      </c>
      <c r="CG54" s="47" t="n">
        <f aca="false">-$E54*N(AND(CG$3&lt;=$F54,CG$4&gt;=$F54))</f>
        <v>-0</v>
      </c>
      <c r="CH54" s="47" t="n">
        <f aca="false">-$E54*N(AND(CH$3&lt;=$F54,CH$4&gt;=$F54))</f>
        <v>-0</v>
      </c>
      <c r="CI54" s="47" t="n">
        <f aca="false">-$E54*N(AND(CI$3&lt;=$F54,CI$4&gt;=$F54))</f>
        <v>-0</v>
      </c>
      <c r="CJ54" s="47" t="n">
        <f aca="false">-$E54*N(AND(CJ$3&lt;=$F54,CJ$4&gt;=$F54))</f>
        <v>-0</v>
      </c>
      <c r="CK54" s="47" t="n">
        <f aca="false">-$E54*N(AND(CK$3&lt;=$F54,CK$4&gt;=$F54))</f>
        <v>-0</v>
      </c>
      <c r="CL54" s="47" t="n">
        <f aca="false">-$E54*N(AND(CL$3&lt;=$F54,CL$4&gt;=$F54))</f>
        <v>-0</v>
      </c>
      <c r="CM54" s="47" t="n">
        <f aca="false">-$E54*N(AND(CM$3&lt;=$F54,CM$4&gt;=$F54))</f>
        <v>-0</v>
      </c>
      <c r="CN54" s="47" t="n">
        <f aca="false">-$E54*N(AND(CN$3&lt;=$F54,CN$4&gt;=$F54))</f>
        <v>-0</v>
      </c>
      <c r="CO54" s="47" t="n">
        <f aca="false">-$E54*N(AND(CO$3&lt;=$F54,CO$4&gt;=$F54))</f>
        <v>-0</v>
      </c>
      <c r="CP54" s="47" t="n">
        <f aca="false">-$E54*N(AND(CP$3&lt;=$F54,CP$4&gt;=$F54))</f>
        <v>-0</v>
      </c>
      <c r="CQ54" s="47" t="n">
        <f aca="false">-$E54*N(AND(CQ$3&lt;=$F54,CQ$4&gt;=$F54))</f>
        <v>-0</v>
      </c>
      <c r="CR54" s="47" t="n">
        <f aca="false">-$E54*N(AND(CR$3&lt;=$F54,CR$4&gt;=$F54))</f>
        <v>-0</v>
      </c>
      <c r="CS54" s="47" t="n">
        <f aca="false">-$E54*N(AND(CS$3&lt;=$F54,CS$4&gt;=$F54))</f>
        <v>-0</v>
      </c>
      <c r="CT54" s="47" t="n">
        <f aca="false">-$E54*N(AND(CT$3&lt;=$F54,CT$4&gt;=$F54))</f>
        <v>-0</v>
      </c>
      <c r="CU54" s="47" t="n">
        <f aca="false">-$E54*N(AND(CU$3&lt;=$F54,CU$4&gt;=$F54))</f>
        <v>-0</v>
      </c>
      <c r="CV54" s="47" t="n">
        <f aca="false">-$E54*N(AND(CV$3&lt;=$F54,CV$4&gt;=$F54))</f>
        <v>-0</v>
      </c>
      <c r="CW54" s="47" t="n">
        <f aca="false">-$E54*N(AND(CW$3&lt;=$F54,CW$4&gt;=$F54))</f>
        <v>-0</v>
      </c>
      <c r="CX54" s="47" t="n">
        <f aca="false">-$E54*N(AND(CX$3&lt;=$F54,CX$4&gt;=$F54))</f>
        <v>-0</v>
      </c>
      <c r="CY54" s="47" t="n">
        <f aca="false">-$E54*N(AND(CY$3&lt;=$F54,CY$4&gt;=$F54))</f>
        <v>-0</v>
      </c>
      <c r="CZ54" s="47" t="n">
        <f aca="false">-$E54*N(AND(CZ$3&lt;=$F54,CZ$4&gt;=$F54))</f>
        <v>-0</v>
      </c>
      <c r="DA54" s="47" t="n">
        <f aca="false">-$E54*N(AND(DA$3&lt;=$F54,DA$4&gt;=$F54))</f>
        <v>-0</v>
      </c>
      <c r="DB54" s="47" t="n">
        <f aca="false">-$E54*N(AND(DB$3&lt;=$F54,DB$4&gt;=$F54))</f>
        <v>-0</v>
      </c>
      <c r="DC54" s="47" t="n">
        <f aca="false">-$E54*N(AND(DC$3&lt;=$F54,DC$4&gt;=$F54))</f>
        <v>-0</v>
      </c>
      <c r="DD54" s="47" t="n">
        <f aca="false">-$E54*N(AND(DD$3&lt;=$F54,DD$4&gt;=$F54))</f>
        <v>-0</v>
      </c>
      <c r="DE54" s="47" t="n">
        <f aca="false">-$E54*N(AND(DE$3&lt;=$F54,DE$4&gt;=$F54))</f>
        <v>-0</v>
      </c>
      <c r="DF54" s="47" t="n">
        <f aca="false">-$E54*N(AND(DF$3&lt;=$F54,DF$4&gt;=$F54))</f>
        <v>-0</v>
      </c>
      <c r="DG54" s="47" t="n">
        <f aca="false">-$E54*N(AND(DG$3&lt;=$F54,DG$4&gt;=$F54))</f>
        <v>-0</v>
      </c>
      <c r="DH54" s="47" t="n">
        <f aca="false">-$E54*N(AND(DH$3&lt;=$F54,DH$4&gt;=$F54))</f>
        <v>-0</v>
      </c>
      <c r="DI54" s="47" t="n">
        <f aca="false">-$E54*N(AND(DI$3&lt;=$F54,DI$4&gt;=$F54))</f>
        <v>-0</v>
      </c>
      <c r="DJ54" s="47" t="n">
        <f aca="false">-$E54*N(AND(DJ$3&lt;=$F54,DJ$4&gt;=$F54))</f>
        <v>-0</v>
      </c>
      <c r="DK54" s="47" t="n">
        <f aca="false">-$E54*N(AND(DK$3&lt;=$F54,DK$4&gt;=$F54))</f>
        <v>-0</v>
      </c>
      <c r="DL54" s="47" t="n">
        <f aca="false">-$E54*N(AND(DL$3&lt;=$F54,DL$4&gt;=$F54))</f>
        <v>-0</v>
      </c>
      <c r="DM54" s="47" t="n">
        <f aca="false">-$E54*N(AND(DM$3&lt;=$F54,DM$4&gt;=$F54))</f>
        <v>-0</v>
      </c>
      <c r="DN54" s="47" t="n">
        <f aca="false">-$E54*N(AND(DN$3&lt;=$F54,DN$4&gt;=$F54))</f>
        <v>-0</v>
      </c>
      <c r="DO54" s="47" t="n">
        <f aca="false">-$E54*N(AND(DO$3&lt;=$F54,DO$4&gt;=$F54))</f>
        <v>-0</v>
      </c>
      <c r="DP54" s="47" t="n">
        <f aca="false">-$E54*N(AND(DP$3&lt;=$F54,DP$4&gt;=$F54))</f>
        <v>-0</v>
      </c>
      <c r="DQ54" s="47" t="n">
        <f aca="false">-$E54*N(AND(DQ$3&lt;=$F54,DQ$4&gt;=$F54))</f>
        <v>-0</v>
      </c>
      <c r="DR54" s="47" t="n">
        <f aca="false">-$E54*N(AND(DR$3&lt;=$F54,DR$4&gt;=$F54))</f>
        <v>-0</v>
      </c>
      <c r="DS54" s="47" t="n">
        <f aca="false">-$E54*N(AND(DS$3&lt;=$F54,DS$4&gt;=$F54))</f>
        <v>-0</v>
      </c>
      <c r="DT54" s="47" t="n">
        <f aca="false">-$E54*N(AND(DT$3&lt;=$F54,DT$4&gt;=$F54))</f>
        <v>-0</v>
      </c>
      <c r="DU54" s="47" t="n">
        <f aca="false">-$E54*N(AND(DU$3&lt;=$F54,DU$4&gt;=$F54))</f>
        <v>-0</v>
      </c>
      <c r="DV54" s="47" t="n">
        <f aca="false">-$E54*N(AND(DV$3&lt;=$F54,DV$4&gt;=$F54))</f>
        <v>-0</v>
      </c>
      <c r="DW54" s="47" t="n">
        <f aca="false">-$E54*N(AND(DW$3&lt;=$F54,DW$4&gt;=$F54))</f>
        <v>-0</v>
      </c>
      <c r="DX54" s="47" t="n">
        <f aca="false">-$E54*N(AND(DX$3&lt;=$F54,DX$4&gt;=$F54))</f>
        <v>-0</v>
      </c>
      <c r="DY54" s="47" t="n">
        <f aca="false">-$E54*N(AND(DY$3&lt;=$F54,DY$4&gt;=$F54))</f>
        <v>-0</v>
      </c>
      <c r="DZ54" s="47" t="n">
        <f aca="false">-$E54*N(AND(DZ$3&lt;=$F54,DZ$4&gt;=$F54))</f>
        <v>-0</v>
      </c>
      <c r="EA54" s="47" t="n">
        <f aca="false">-$E54*N(AND(EA$3&lt;=$F54,EA$4&gt;=$F54))</f>
        <v>-0</v>
      </c>
      <c r="EB54" s="47" t="n">
        <f aca="false">-$E54*N(AND(EB$3&lt;=$F54,EB$4&gt;=$F54))</f>
        <v>-0</v>
      </c>
      <c r="EC54" s="47" t="n">
        <f aca="false">-$E54*N(AND(EC$3&lt;=$F54,EC$4&gt;=$F54))</f>
        <v>-0</v>
      </c>
      <c r="ED54" s="47" t="n">
        <f aca="false">-$E54*N(AND(ED$3&lt;=$F54,ED$4&gt;=$F54))</f>
        <v>-0</v>
      </c>
      <c r="EE54" s="47" t="n">
        <f aca="false">-$E54*N(AND(EE$3&lt;=$F54,EE$4&gt;=$F54))</f>
        <v>-0</v>
      </c>
      <c r="EF54" s="47" t="n">
        <f aca="false">-$E54*N(AND(EF$3&lt;=$F54,EF$4&gt;=$F54))</f>
        <v>-0</v>
      </c>
      <c r="EG54" s="47" t="n">
        <f aca="false">-$E54*N(AND(EG$3&lt;=$F54,EG$4&gt;=$F54))</f>
        <v>-0</v>
      </c>
      <c r="EH54" s="47" t="n">
        <f aca="false">-$E54*N(AND(EH$3&lt;=$F54,EH$4&gt;=$F54))</f>
        <v>-0</v>
      </c>
      <c r="EI54" s="47" t="n">
        <f aca="false">-$E54*N(AND(EI$3&lt;=$F54,EI$4&gt;=$F54))</f>
        <v>-0</v>
      </c>
      <c r="EJ54" s="47" t="n">
        <f aca="false">-$E54*N(AND(EJ$3&lt;=$F54,EJ$4&gt;=$F54))</f>
        <v>-0</v>
      </c>
      <c r="EK54" s="47" t="n">
        <f aca="false">-$E54*N(AND(EK$3&lt;=$F54,EK$4&gt;=$F54))</f>
        <v>-0</v>
      </c>
      <c r="EL54" s="47" t="n">
        <f aca="false">-$E54*N(AND(EL$3&lt;=$F54,EL$4&gt;=$F54))</f>
        <v>-0</v>
      </c>
      <c r="EM54" s="47" t="n">
        <f aca="false">-$E54*N(AND(EM$3&lt;=$F54,EM$4&gt;=$F54))</f>
        <v>-0</v>
      </c>
      <c r="EN54" s="47" t="n">
        <f aca="false">-$E54*N(AND(EN$3&lt;=$F54,EN$4&gt;=$F54))</f>
        <v>-0</v>
      </c>
      <c r="EO54" s="47" t="n">
        <f aca="false">-$E54*N(AND(EO$3&lt;=$F54,EO$4&gt;=$F54))</f>
        <v>-0</v>
      </c>
    </row>
    <row r="55" customFormat="false" ht="15" hidden="false" customHeight="false" outlineLevel="0" collapsed="false">
      <c r="C55" s="0" t="s">
        <v>426</v>
      </c>
      <c r="D55" s="11" t="s">
        <v>33</v>
      </c>
      <c r="I55" s="47" t="n">
        <f aca="false">SUM(J55:EO55)</f>
        <v>-8154.82315068493</v>
      </c>
      <c r="J55" s="47" t="n">
        <f aca="false">J53+J54</f>
        <v>-0</v>
      </c>
      <c r="K55" s="47" t="n">
        <f aca="false">K53+K54</f>
        <v>-0</v>
      </c>
      <c r="L55" s="47" t="n">
        <f aca="false">L53+L54</f>
        <v>-0</v>
      </c>
      <c r="M55" s="47" t="n">
        <f aca="false">M53+M54</f>
        <v>-0</v>
      </c>
      <c r="N55" s="47" t="n">
        <f aca="false">N53+N54</f>
        <v>-0</v>
      </c>
      <c r="O55" s="47" t="n">
        <f aca="false">O53+O54</f>
        <v>-0</v>
      </c>
      <c r="P55" s="47" t="n">
        <f aca="false">P53+P54</f>
        <v>-0</v>
      </c>
      <c r="Q55" s="47" t="n">
        <f aca="false">Q53+Q54</f>
        <v>-0</v>
      </c>
      <c r="R55" s="47" t="n">
        <f aca="false">R53+R54</f>
        <v>-0</v>
      </c>
      <c r="S55" s="47" t="n">
        <f aca="false">S53+S54</f>
        <v>-8154.82315068493</v>
      </c>
      <c r="T55" s="47" t="n">
        <f aca="false">T53+T54</f>
        <v>-0</v>
      </c>
      <c r="U55" s="47" t="n">
        <f aca="false">U53+U54</f>
        <v>-0</v>
      </c>
      <c r="V55" s="47" t="n">
        <f aca="false">V53+V54</f>
        <v>-0</v>
      </c>
      <c r="W55" s="47" t="n">
        <f aca="false">W53+W54</f>
        <v>-0</v>
      </c>
      <c r="X55" s="47" t="n">
        <f aca="false">X53+X54</f>
        <v>-0</v>
      </c>
      <c r="Y55" s="47" t="n">
        <f aca="false">Y53+Y54</f>
        <v>-0</v>
      </c>
      <c r="Z55" s="47" t="n">
        <f aca="false">Z53+Z54</f>
        <v>-0</v>
      </c>
      <c r="AA55" s="47" t="n">
        <f aca="false">AA53+AA54</f>
        <v>-0</v>
      </c>
      <c r="AB55" s="47" t="n">
        <f aca="false">AB53+AB54</f>
        <v>-0</v>
      </c>
      <c r="AC55" s="47" t="n">
        <f aca="false">AC53+AC54</f>
        <v>-0</v>
      </c>
      <c r="AD55" s="47" t="n">
        <f aca="false">AD53+AD54</f>
        <v>-0</v>
      </c>
      <c r="AE55" s="47" t="n">
        <f aca="false">AE53+AE54</f>
        <v>-0</v>
      </c>
      <c r="AF55" s="47" t="n">
        <f aca="false">AF53+AF54</f>
        <v>-0</v>
      </c>
      <c r="AG55" s="47" t="n">
        <f aca="false">AG53+AG54</f>
        <v>-0</v>
      </c>
      <c r="AH55" s="47" t="n">
        <f aca="false">AH53+AH54</f>
        <v>-0</v>
      </c>
      <c r="AI55" s="47" t="n">
        <f aca="false">AI53+AI54</f>
        <v>-0</v>
      </c>
      <c r="AJ55" s="47" t="n">
        <f aca="false">AJ53+AJ54</f>
        <v>-0</v>
      </c>
      <c r="AK55" s="47" t="n">
        <f aca="false">AK53+AK54</f>
        <v>-0</v>
      </c>
      <c r="AL55" s="47" t="n">
        <f aca="false">AL53+AL54</f>
        <v>-0</v>
      </c>
      <c r="AM55" s="47" t="n">
        <f aca="false">AM53+AM54</f>
        <v>-0</v>
      </c>
      <c r="AN55" s="47" t="n">
        <f aca="false">AN53+AN54</f>
        <v>-0</v>
      </c>
      <c r="AO55" s="47" t="n">
        <f aca="false">AO53+AO54</f>
        <v>-0</v>
      </c>
      <c r="AP55" s="47" t="n">
        <f aca="false">AP53+AP54</f>
        <v>-0</v>
      </c>
      <c r="AQ55" s="47" t="n">
        <f aca="false">AQ53+AQ54</f>
        <v>-0</v>
      </c>
      <c r="AR55" s="47" t="n">
        <f aca="false">AR53+AR54</f>
        <v>-0</v>
      </c>
      <c r="AS55" s="47" t="n">
        <f aca="false">AS53+AS54</f>
        <v>-0</v>
      </c>
      <c r="AT55" s="47" t="n">
        <f aca="false">AT53+AT54</f>
        <v>-0</v>
      </c>
      <c r="AU55" s="47" t="n">
        <f aca="false">AU53+AU54</f>
        <v>-0</v>
      </c>
      <c r="AV55" s="47" t="n">
        <f aca="false">AV53+AV54</f>
        <v>-0</v>
      </c>
      <c r="AW55" s="47" t="n">
        <f aca="false">AW53+AW54</f>
        <v>-0</v>
      </c>
      <c r="AX55" s="47" t="n">
        <f aca="false">AX53+AX54</f>
        <v>-0</v>
      </c>
      <c r="AY55" s="47" t="n">
        <f aca="false">AY53+AY54</f>
        <v>-0</v>
      </c>
      <c r="AZ55" s="47" t="n">
        <f aca="false">AZ53+AZ54</f>
        <v>-0</v>
      </c>
      <c r="BA55" s="47" t="n">
        <f aca="false">BA53+BA54</f>
        <v>-0</v>
      </c>
      <c r="BB55" s="47" t="n">
        <f aca="false">BB53+BB54</f>
        <v>-0</v>
      </c>
      <c r="BC55" s="47" t="n">
        <f aca="false">BC53+BC54</f>
        <v>-0</v>
      </c>
      <c r="BD55" s="47" t="n">
        <f aca="false">BD53+BD54</f>
        <v>-0</v>
      </c>
      <c r="BE55" s="47" t="n">
        <f aca="false">BE53+BE54</f>
        <v>-0</v>
      </c>
      <c r="BF55" s="47" t="n">
        <f aca="false">BF53+BF54</f>
        <v>-0</v>
      </c>
      <c r="BG55" s="47" t="n">
        <f aca="false">BG53+BG54</f>
        <v>-0</v>
      </c>
      <c r="BH55" s="47" t="n">
        <f aca="false">BH53+BH54</f>
        <v>-0</v>
      </c>
      <c r="BI55" s="47" t="n">
        <f aca="false">BI53+BI54</f>
        <v>-0</v>
      </c>
      <c r="BJ55" s="47" t="n">
        <f aca="false">BJ53+BJ54</f>
        <v>-0</v>
      </c>
      <c r="BK55" s="47" t="n">
        <f aca="false">BK53+BK54</f>
        <v>-0</v>
      </c>
      <c r="BL55" s="47" t="n">
        <f aca="false">BL53+BL54</f>
        <v>-0</v>
      </c>
      <c r="BM55" s="47" t="n">
        <f aca="false">BM53+BM54</f>
        <v>-0</v>
      </c>
      <c r="BN55" s="47" t="n">
        <f aca="false">BN53+BN54</f>
        <v>-0</v>
      </c>
      <c r="BO55" s="47" t="n">
        <f aca="false">BO53+BO54</f>
        <v>-0</v>
      </c>
      <c r="BP55" s="47" t="n">
        <f aca="false">BP53+BP54</f>
        <v>-0</v>
      </c>
      <c r="BQ55" s="47" t="n">
        <f aca="false">BQ53+BQ54</f>
        <v>-0</v>
      </c>
      <c r="BR55" s="47" t="n">
        <f aca="false">BR53+BR54</f>
        <v>-0</v>
      </c>
      <c r="BS55" s="47" t="n">
        <f aca="false">BS53+BS54</f>
        <v>-0</v>
      </c>
      <c r="BT55" s="47" t="n">
        <f aca="false">BT53+BT54</f>
        <v>-0</v>
      </c>
      <c r="BU55" s="47" t="n">
        <f aca="false">BU53+BU54</f>
        <v>-0</v>
      </c>
      <c r="BV55" s="47" t="n">
        <f aca="false">BV53+BV54</f>
        <v>-0</v>
      </c>
      <c r="BW55" s="47" t="n">
        <f aca="false">BW53+BW54</f>
        <v>-0</v>
      </c>
      <c r="BX55" s="47" t="n">
        <f aca="false">BX53+BX54</f>
        <v>-0</v>
      </c>
      <c r="BY55" s="47" t="n">
        <f aca="false">BY53+BY54</f>
        <v>-0</v>
      </c>
      <c r="BZ55" s="47" t="n">
        <f aca="false">BZ53+BZ54</f>
        <v>-0</v>
      </c>
      <c r="CA55" s="47" t="n">
        <f aca="false">CA53+CA54</f>
        <v>-0</v>
      </c>
      <c r="CB55" s="47" t="n">
        <f aca="false">CB53+CB54</f>
        <v>-0</v>
      </c>
      <c r="CC55" s="47" t="n">
        <f aca="false">CC53+CC54</f>
        <v>-0</v>
      </c>
      <c r="CD55" s="47" t="n">
        <f aca="false">CD53+CD54</f>
        <v>-0</v>
      </c>
      <c r="CE55" s="47" t="n">
        <f aca="false">CE53+CE54</f>
        <v>-0</v>
      </c>
      <c r="CF55" s="47" t="n">
        <f aca="false">CF53+CF54</f>
        <v>-0</v>
      </c>
      <c r="CG55" s="47" t="n">
        <f aca="false">CG53+CG54</f>
        <v>-0</v>
      </c>
      <c r="CH55" s="47" t="n">
        <f aca="false">CH53+CH54</f>
        <v>-0</v>
      </c>
      <c r="CI55" s="47" t="n">
        <f aca="false">CI53+CI54</f>
        <v>-0</v>
      </c>
      <c r="CJ55" s="47" t="n">
        <f aca="false">CJ53+CJ54</f>
        <v>-0</v>
      </c>
      <c r="CK55" s="47" t="n">
        <f aca="false">CK53+CK54</f>
        <v>-0</v>
      </c>
      <c r="CL55" s="47" t="n">
        <f aca="false">CL53+CL54</f>
        <v>-0</v>
      </c>
      <c r="CM55" s="47" t="n">
        <f aca="false">CM53+CM54</f>
        <v>-0</v>
      </c>
      <c r="CN55" s="47" t="n">
        <f aca="false">CN53+CN54</f>
        <v>-0</v>
      </c>
      <c r="CO55" s="47" t="n">
        <f aca="false">CO53+CO54</f>
        <v>-0</v>
      </c>
      <c r="CP55" s="47" t="n">
        <f aca="false">CP53+CP54</f>
        <v>-0</v>
      </c>
      <c r="CQ55" s="47" t="n">
        <f aca="false">CQ53+CQ54</f>
        <v>-0</v>
      </c>
      <c r="CR55" s="47" t="n">
        <f aca="false">CR53+CR54</f>
        <v>-0</v>
      </c>
      <c r="CS55" s="47" t="n">
        <f aca="false">CS53+CS54</f>
        <v>-0</v>
      </c>
      <c r="CT55" s="47" t="n">
        <f aca="false">CT53+CT54</f>
        <v>-0</v>
      </c>
      <c r="CU55" s="47" t="n">
        <f aca="false">CU53+CU54</f>
        <v>-0</v>
      </c>
      <c r="CV55" s="47" t="n">
        <f aca="false">CV53+CV54</f>
        <v>-0</v>
      </c>
      <c r="CW55" s="47" t="n">
        <f aca="false">CW53+CW54</f>
        <v>-0</v>
      </c>
      <c r="CX55" s="47" t="n">
        <f aca="false">CX53+CX54</f>
        <v>-0</v>
      </c>
      <c r="CY55" s="47" t="n">
        <f aca="false">CY53+CY54</f>
        <v>-0</v>
      </c>
      <c r="CZ55" s="47" t="n">
        <f aca="false">CZ53+CZ54</f>
        <v>-0</v>
      </c>
      <c r="DA55" s="47" t="n">
        <f aca="false">DA53+DA54</f>
        <v>-0</v>
      </c>
      <c r="DB55" s="47" t="n">
        <f aca="false">DB53+DB54</f>
        <v>-0</v>
      </c>
      <c r="DC55" s="47" t="n">
        <f aca="false">DC53+DC54</f>
        <v>-0</v>
      </c>
      <c r="DD55" s="47" t="n">
        <f aca="false">DD53+DD54</f>
        <v>-0</v>
      </c>
      <c r="DE55" s="47" t="n">
        <f aca="false">DE53+DE54</f>
        <v>-0</v>
      </c>
      <c r="DF55" s="47" t="n">
        <f aca="false">DF53+DF54</f>
        <v>-0</v>
      </c>
      <c r="DG55" s="47" t="n">
        <f aca="false">DG53+DG54</f>
        <v>-0</v>
      </c>
      <c r="DH55" s="47" t="n">
        <f aca="false">DH53+DH54</f>
        <v>-0</v>
      </c>
      <c r="DI55" s="47" t="n">
        <f aca="false">DI53+DI54</f>
        <v>-0</v>
      </c>
      <c r="DJ55" s="47" t="n">
        <f aca="false">DJ53+DJ54</f>
        <v>-0</v>
      </c>
      <c r="DK55" s="47" t="n">
        <f aca="false">DK53+DK54</f>
        <v>-0</v>
      </c>
      <c r="DL55" s="47" t="n">
        <f aca="false">DL53+DL54</f>
        <v>-0</v>
      </c>
      <c r="DM55" s="47" t="n">
        <f aca="false">DM53+DM54</f>
        <v>-0</v>
      </c>
      <c r="DN55" s="47" t="n">
        <f aca="false">DN53+DN54</f>
        <v>-0</v>
      </c>
      <c r="DO55" s="47" t="n">
        <f aca="false">DO53+DO54</f>
        <v>-0</v>
      </c>
      <c r="DP55" s="47" t="n">
        <f aca="false">DP53+DP54</f>
        <v>-0</v>
      </c>
      <c r="DQ55" s="47" t="n">
        <f aca="false">DQ53+DQ54</f>
        <v>-0</v>
      </c>
      <c r="DR55" s="47" t="n">
        <f aca="false">DR53+DR54</f>
        <v>-0</v>
      </c>
      <c r="DS55" s="47" t="n">
        <f aca="false">DS53+DS54</f>
        <v>-0</v>
      </c>
      <c r="DT55" s="47" t="n">
        <f aca="false">DT53+DT54</f>
        <v>-0</v>
      </c>
      <c r="DU55" s="47" t="n">
        <f aca="false">DU53+DU54</f>
        <v>-0</v>
      </c>
      <c r="DV55" s="47" t="n">
        <f aca="false">DV53+DV54</f>
        <v>-0</v>
      </c>
      <c r="DW55" s="47" t="n">
        <f aca="false">DW53+DW54</f>
        <v>-0</v>
      </c>
      <c r="DX55" s="47" t="n">
        <f aca="false">DX53+DX54</f>
        <v>-0</v>
      </c>
      <c r="DY55" s="47" t="n">
        <f aca="false">DY53+DY54</f>
        <v>-0</v>
      </c>
      <c r="DZ55" s="47" t="n">
        <f aca="false">DZ53+DZ54</f>
        <v>-0</v>
      </c>
      <c r="EA55" s="47" t="n">
        <f aca="false">EA53+EA54</f>
        <v>-0</v>
      </c>
      <c r="EB55" s="47" t="n">
        <f aca="false">EB53+EB54</f>
        <v>-0</v>
      </c>
      <c r="EC55" s="47" t="n">
        <f aca="false">EC53+EC54</f>
        <v>-0</v>
      </c>
      <c r="ED55" s="47" t="n">
        <f aca="false">ED53+ED54</f>
        <v>-0</v>
      </c>
      <c r="EE55" s="47" t="n">
        <f aca="false">EE53+EE54</f>
        <v>-0</v>
      </c>
      <c r="EF55" s="47" t="n">
        <f aca="false">EF53+EF54</f>
        <v>-0</v>
      </c>
      <c r="EG55" s="47" t="n">
        <f aca="false">EG53+EG54</f>
        <v>-0</v>
      </c>
      <c r="EH55" s="47" t="n">
        <f aca="false">EH53+EH54</f>
        <v>-0</v>
      </c>
      <c r="EI55" s="47" t="n">
        <f aca="false">EI53+EI54</f>
        <v>-0</v>
      </c>
      <c r="EJ55" s="47" t="n">
        <f aca="false">EJ53+EJ54</f>
        <v>-0</v>
      </c>
      <c r="EK55" s="47" t="n">
        <f aca="false">EK53+EK54</f>
        <v>-0</v>
      </c>
      <c r="EL55" s="47" t="n">
        <f aca="false">EL53+EL54</f>
        <v>-0</v>
      </c>
      <c r="EM55" s="47" t="n">
        <f aca="false">EM53+EM54</f>
        <v>-0</v>
      </c>
      <c r="EN55" s="47" t="n">
        <f aca="false">EN53+EN54</f>
        <v>-0</v>
      </c>
      <c r="EO55" s="47" t="n">
        <f aca="false">EO53+EO54</f>
        <v>-0</v>
      </c>
    </row>
    <row r="56" customFormat="false" ht="15" hidden="false" customHeight="false" outlineLevel="0" collapsed="false">
      <c r="C56" s="0" t="s">
        <v>427</v>
      </c>
      <c r="D56" s="11" t="s">
        <v>33</v>
      </c>
      <c r="E56" s="47" t="n">
        <f aca="false">SUMIF($J$4:$EO$4,"&lt;="&amp;In_COD,$J56:$EO56)</f>
        <v>-490.264019515857</v>
      </c>
      <c r="I56" s="47" t="n">
        <f aca="false">SUM(J56:EO56)</f>
        <v>-822.911945956089</v>
      </c>
      <c r="J56" s="47" t="n">
        <f aca="false">-(J50+J51)*In_Guarantee_Fee*J$5/Days_In_Year</f>
        <v>-4.5907599924939</v>
      </c>
      <c r="K56" s="47" t="n">
        <f aca="false">-(K50+K51)*In_Guarantee_Fee*K$5/Days_In_Year</f>
        <v>-19.6746856821167</v>
      </c>
      <c r="L56" s="47" t="n">
        <f aca="false">-(L50+L51)*In_Guarantee_Fee*L$5/Days_In_Year</f>
        <v>-33.1554888346782</v>
      </c>
      <c r="M56" s="47" t="n">
        <f aca="false">-(M50+M51)*In_Guarantee_Fee*M$5/Days_In_Year</f>
        <v>-33.5198348658285</v>
      </c>
      <c r="N56" s="47" t="n">
        <f aca="false">-(N50+N51)*In_Guarantee_Fee*N$5/Days_In_Year</f>
        <v>-33.5198348658285</v>
      </c>
      <c r="O56" s="47" t="n">
        <f aca="false">-(O50+O51)*In_Guarantee_Fee*O$5/Days_In_Year</f>
        <v>-33.1554888346782</v>
      </c>
      <c r="P56" s="47" t="n">
        <f aca="false">-(P50+P51)*In_Guarantee_Fee*P$5/Days_In_Year</f>
        <v>-33.1554888346782</v>
      </c>
      <c r="Q56" s="47" t="n">
        <f aca="false">-(Q50+Q51)*In_Guarantee_Fee*Q$5/Days_In_Year</f>
        <v>-33.5198348658285</v>
      </c>
      <c r="R56" s="47" t="n">
        <f aca="false">-(R50+R51)*In_Guarantee_Fee*R$5/Days_In_Year</f>
        <v>-33.5198348658285</v>
      </c>
      <c r="S56" s="47" t="n">
        <f aca="false">-(S50+S51)*In_Guarantee_Fee*S$5/Days_In_Year</f>
        <v>-32.7911428035279</v>
      </c>
      <c r="T56" s="47" t="n">
        <f aca="false">-(T50+T51)*In_Guarantee_Fee*T$5/Days_In_Year</f>
        <v>-33.1554888346782</v>
      </c>
      <c r="U56" s="47" t="n">
        <f aca="false">-(U50+U51)*In_Guarantee_Fee*U$5/Days_In_Year</f>
        <v>-33.5198348658285</v>
      </c>
      <c r="V56" s="47" t="n">
        <f aca="false">-(V50+V51)*In_Guarantee_Fee*V$5/Days_In_Year</f>
        <v>-33.5198348658285</v>
      </c>
      <c r="W56" s="47" t="n">
        <f aca="false">-(W50+W51)*In_Guarantee_Fee*W$5/Days_In_Year</f>
        <v>-32.7911428035279</v>
      </c>
      <c r="X56" s="47" t="n">
        <f aca="false">-(X50+X51)*In_Guarantee_Fee*X$5/Days_In_Year</f>
        <v>-33.1554888346782</v>
      </c>
      <c r="Y56" s="47" t="n">
        <f aca="false">-(Y50+Y51)*In_Guarantee_Fee*Y$5/Days_In_Year</f>
        <v>-33.5198348658285</v>
      </c>
      <c r="Z56" s="47" t="n">
        <f aca="false">-(Z50+Z51)*In_Guarantee_Fee*Z$5/Days_In_Year</f>
        <v>-33.5198348658285</v>
      </c>
      <c r="AA56" s="47" t="n">
        <f aca="false">-(AA50+AA51)*In_Guarantee_Fee*AA$5/Days_In_Year</f>
        <v>-32.7911428035279</v>
      </c>
      <c r="AB56" s="47" t="n">
        <f aca="false">-(AB50+AB51)*In_Guarantee_Fee*AB$5/Days_In_Year</f>
        <v>-33.1554888346782</v>
      </c>
      <c r="AC56" s="47" t="n">
        <f aca="false">-(AC50+AC51)*In_Guarantee_Fee*AC$5/Days_In_Year</f>
        <v>-33.5198348658285</v>
      </c>
      <c r="AD56" s="47" t="n">
        <f aca="false">-(AD50+AD51)*In_Guarantee_Fee*AD$5/Days_In_Year</f>
        <v>-33.5198348658285</v>
      </c>
      <c r="AE56" s="47" t="n">
        <f aca="false">-(AE50+AE51)*In_Guarantee_Fee*AE$5/Days_In_Year</f>
        <v>-33.1554888346782</v>
      </c>
      <c r="AF56" s="47" t="n">
        <f aca="false">-(AF50+AF51)*In_Guarantee_Fee*AF$5/Days_In_Year</f>
        <v>-33.1554888346782</v>
      </c>
      <c r="AG56" s="47" t="n">
        <f aca="false">-(AG50+AG51)*In_Guarantee_Fee*AG$5/Days_In_Year</f>
        <v>-33.5198348658285</v>
      </c>
      <c r="AH56" s="47" t="n">
        <f aca="false">-(AH50+AH51)*In_Guarantee_Fee*AH$5/Days_In_Year</f>
        <v>-33.5198348658285</v>
      </c>
      <c r="AI56" s="47" t="n">
        <f aca="false">-(AI50+AI51)*In_Guarantee_Fee*AI$5/Days_In_Year</f>
        <v>-32.7911428035279</v>
      </c>
      <c r="AJ56" s="47" t="n">
        <f aca="false">-(AJ50+AJ51)*In_Guarantee_Fee*AJ$5/Days_In_Year</f>
        <v>-0</v>
      </c>
      <c r="AK56" s="47" t="n">
        <f aca="false">-(AK50+AK51)*In_Guarantee_Fee*AK$5/Days_In_Year</f>
        <v>-0</v>
      </c>
      <c r="AL56" s="47" t="n">
        <f aca="false">-(AL50+AL51)*In_Guarantee_Fee*AL$5/Days_In_Year</f>
        <v>-0</v>
      </c>
      <c r="AM56" s="47" t="n">
        <f aca="false">-(AM50+AM51)*In_Guarantee_Fee*AM$5/Days_In_Year</f>
        <v>-0</v>
      </c>
      <c r="AN56" s="47" t="n">
        <f aca="false">-(AN50+AN51)*In_Guarantee_Fee*AN$5/Days_In_Year</f>
        <v>-0</v>
      </c>
      <c r="AO56" s="47" t="n">
        <f aca="false">-(AO50+AO51)*In_Guarantee_Fee*AO$5/Days_In_Year</f>
        <v>-0</v>
      </c>
      <c r="AP56" s="47" t="n">
        <f aca="false">-(AP50+AP51)*In_Guarantee_Fee*AP$5/Days_In_Year</f>
        <v>-0</v>
      </c>
      <c r="AQ56" s="47" t="n">
        <f aca="false">-(AQ50+AQ51)*In_Guarantee_Fee*AQ$5/Days_In_Year</f>
        <v>-0</v>
      </c>
      <c r="AR56" s="47" t="n">
        <f aca="false">-(AR50+AR51)*In_Guarantee_Fee*AR$5/Days_In_Year</f>
        <v>-0</v>
      </c>
      <c r="AS56" s="47" t="n">
        <f aca="false">-(AS50+AS51)*In_Guarantee_Fee*AS$5/Days_In_Year</f>
        <v>-0</v>
      </c>
      <c r="AT56" s="47" t="n">
        <f aca="false">-(AT50+AT51)*In_Guarantee_Fee*AT$5/Days_In_Year</f>
        <v>-0</v>
      </c>
      <c r="AU56" s="47" t="n">
        <f aca="false">-(AU50+AU51)*In_Guarantee_Fee*AU$5/Days_In_Year</f>
        <v>-0</v>
      </c>
      <c r="AV56" s="47" t="n">
        <f aca="false">-(AV50+AV51)*In_Guarantee_Fee*AV$5/Days_In_Year</f>
        <v>-0</v>
      </c>
      <c r="AW56" s="47" t="n">
        <f aca="false">-(AW50+AW51)*In_Guarantee_Fee*AW$5/Days_In_Year</f>
        <v>-0</v>
      </c>
      <c r="AX56" s="47" t="n">
        <f aca="false">-(AX50+AX51)*In_Guarantee_Fee*AX$5/Days_In_Year</f>
        <v>-0</v>
      </c>
      <c r="AY56" s="47" t="n">
        <f aca="false">-(AY50+AY51)*In_Guarantee_Fee*AY$5/Days_In_Year</f>
        <v>-0</v>
      </c>
      <c r="AZ56" s="47" t="n">
        <f aca="false">-(AZ50+AZ51)*In_Guarantee_Fee*AZ$5/Days_In_Year</f>
        <v>-0</v>
      </c>
      <c r="BA56" s="47" t="n">
        <f aca="false">-(BA50+BA51)*In_Guarantee_Fee*BA$5/Days_In_Year</f>
        <v>-0</v>
      </c>
      <c r="BB56" s="47" t="n">
        <f aca="false">-(BB50+BB51)*In_Guarantee_Fee*BB$5/Days_In_Year</f>
        <v>-0</v>
      </c>
      <c r="BC56" s="47" t="n">
        <f aca="false">-(BC50+BC51)*In_Guarantee_Fee*BC$5/Days_In_Year</f>
        <v>-0</v>
      </c>
      <c r="BD56" s="47" t="n">
        <f aca="false">-(BD50+BD51)*In_Guarantee_Fee*BD$5/Days_In_Year</f>
        <v>-0</v>
      </c>
      <c r="BE56" s="47" t="n">
        <f aca="false">-(BE50+BE51)*In_Guarantee_Fee*BE$5/Days_In_Year</f>
        <v>-0</v>
      </c>
      <c r="BF56" s="47" t="n">
        <f aca="false">-(BF50+BF51)*In_Guarantee_Fee*BF$5/Days_In_Year</f>
        <v>-0</v>
      </c>
      <c r="BG56" s="47" t="n">
        <f aca="false">-(BG50+BG51)*In_Guarantee_Fee*BG$5/Days_In_Year</f>
        <v>-0</v>
      </c>
      <c r="BH56" s="47" t="n">
        <f aca="false">-(BH50+BH51)*In_Guarantee_Fee*BH$5/Days_In_Year</f>
        <v>-0</v>
      </c>
      <c r="BI56" s="47" t="n">
        <f aca="false">-(BI50+BI51)*In_Guarantee_Fee*BI$5/Days_In_Year</f>
        <v>-0</v>
      </c>
      <c r="BJ56" s="47" t="n">
        <f aca="false">-(BJ50+BJ51)*In_Guarantee_Fee*BJ$5/Days_In_Year</f>
        <v>-0</v>
      </c>
      <c r="BK56" s="47" t="n">
        <f aca="false">-(BK50+BK51)*In_Guarantee_Fee*BK$5/Days_In_Year</f>
        <v>-0</v>
      </c>
      <c r="BL56" s="47" t="n">
        <f aca="false">-(BL50+BL51)*In_Guarantee_Fee*BL$5/Days_In_Year</f>
        <v>-0</v>
      </c>
      <c r="BM56" s="47" t="n">
        <f aca="false">-(BM50+BM51)*In_Guarantee_Fee*BM$5/Days_In_Year</f>
        <v>-0</v>
      </c>
      <c r="BN56" s="47" t="n">
        <f aca="false">-(BN50+BN51)*In_Guarantee_Fee*BN$5/Days_In_Year</f>
        <v>-0</v>
      </c>
      <c r="BO56" s="47" t="n">
        <f aca="false">-(BO50+BO51)*In_Guarantee_Fee*BO$5/Days_In_Year</f>
        <v>-0</v>
      </c>
      <c r="BP56" s="47" t="n">
        <f aca="false">-(BP50+BP51)*In_Guarantee_Fee*BP$5/Days_In_Year</f>
        <v>-0</v>
      </c>
      <c r="BQ56" s="47" t="n">
        <f aca="false">-(BQ50+BQ51)*In_Guarantee_Fee*BQ$5/Days_In_Year</f>
        <v>-0</v>
      </c>
      <c r="BR56" s="47" t="n">
        <f aca="false">-(BR50+BR51)*In_Guarantee_Fee*BR$5/Days_In_Year</f>
        <v>-0</v>
      </c>
      <c r="BS56" s="47" t="n">
        <f aca="false">-(BS50+BS51)*In_Guarantee_Fee*BS$5/Days_In_Year</f>
        <v>-0</v>
      </c>
      <c r="BT56" s="47" t="n">
        <f aca="false">-(BT50+BT51)*In_Guarantee_Fee*BT$5/Days_In_Year</f>
        <v>-0</v>
      </c>
      <c r="BU56" s="47" t="n">
        <f aca="false">-(BU50+BU51)*In_Guarantee_Fee*BU$5/Days_In_Year</f>
        <v>-0</v>
      </c>
      <c r="BV56" s="47" t="n">
        <f aca="false">-(BV50+BV51)*In_Guarantee_Fee*BV$5/Days_In_Year</f>
        <v>-0</v>
      </c>
      <c r="BW56" s="47" t="n">
        <f aca="false">-(BW50+BW51)*In_Guarantee_Fee*BW$5/Days_In_Year</f>
        <v>-0</v>
      </c>
      <c r="BX56" s="47" t="n">
        <f aca="false">-(BX50+BX51)*In_Guarantee_Fee*BX$5/Days_In_Year</f>
        <v>-0</v>
      </c>
      <c r="BY56" s="47" t="n">
        <f aca="false">-(BY50+BY51)*In_Guarantee_Fee*BY$5/Days_In_Year</f>
        <v>-0</v>
      </c>
      <c r="BZ56" s="47" t="n">
        <f aca="false">-(BZ50+BZ51)*In_Guarantee_Fee*BZ$5/Days_In_Year</f>
        <v>-0</v>
      </c>
      <c r="CA56" s="47" t="n">
        <f aca="false">-(CA50+CA51)*In_Guarantee_Fee*CA$5/Days_In_Year</f>
        <v>-0</v>
      </c>
      <c r="CB56" s="47" t="n">
        <f aca="false">-(CB50+CB51)*In_Guarantee_Fee*CB$5/Days_In_Year</f>
        <v>-0</v>
      </c>
      <c r="CC56" s="47" t="n">
        <f aca="false">-(CC50+CC51)*In_Guarantee_Fee*CC$5/Days_In_Year</f>
        <v>-0</v>
      </c>
      <c r="CD56" s="47" t="n">
        <f aca="false">-(CD50+CD51)*In_Guarantee_Fee*CD$5/Days_In_Year</f>
        <v>-0</v>
      </c>
      <c r="CE56" s="47" t="n">
        <f aca="false">-(CE50+CE51)*In_Guarantee_Fee*CE$5/Days_In_Year</f>
        <v>-0</v>
      </c>
      <c r="CF56" s="47" t="n">
        <f aca="false">-(CF50+CF51)*In_Guarantee_Fee*CF$5/Days_In_Year</f>
        <v>-0</v>
      </c>
      <c r="CG56" s="47" t="n">
        <f aca="false">-(CG50+CG51)*In_Guarantee_Fee*CG$5/Days_In_Year</f>
        <v>-0</v>
      </c>
      <c r="CH56" s="47" t="n">
        <f aca="false">-(CH50+CH51)*In_Guarantee_Fee*CH$5/Days_In_Year</f>
        <v>-0</v>
      </c>
      <c r="CI56" s="47" t="n">
        <f aca="false">-(CI50+CI51)*In_Guarantee_Fee*CI$5/Days_In_Year</f>
        <v>-0</v>
      </c>
      <c r="CJ56" s="47" t="n">
        <f aca="false">-(CJ50+CJ51)*In_Guarantee_Fee*CJ$5/Days_In_Year</f>
        <v>-0</v>
      </c>
      <c r="CK56" s="47" t="n">
        <f aca="false">-(CK50+CK51)*In_Guarantee_Fee*CK$5/Days_In_Year</f>
        <v>-0</v>
      </c>
      <c r="CL56" s="47" t="n">
        <f aca="false">-(CL50+CL51)*In_Guarantee_Fee*CL$5/Days_In_Year</f>
        <v>-0</v>
      </c>
      <c r="CM56" s="47" t="n">
        <f aca="false">-(CM50+CM51)*In_Guarantee_Fee*CM$5/Days_In_Year</f>
        <v>-0</v>
      </c>
      <c r="CN56" s="47" t="n">
        <f aca="false">-(CN50+CN51)*In_Guarantee_Fee*CN$5/Days_In_Year</f>
        <v>-0</v>
      </c>
      <c r="CO56" s="47" t="n">
        <f aca="false">-(CO50+CO51)*In_Guarantee_Fee*CO$5/Days_In_Year</f>
        <v>-0</v>
      </c>
      <c r="CP56" s="47" t="n">
        <f aca="false">-(CP50+CP51)*In_Guarantee_Fee*CP$5/Days_In_Year</f>
        <v>-0</v>
      </c>
      <c r="CQ56" s="47" t="n">
        <f aca="false">-(CQ50+CQ51)*In_Guarantee_Fee*CQ$5/Days_In_Year</f>
        <v>-0</v>
      </c>
      <c r="CR56" s="47" t="n">
        <f aca="false">-(CR50+CR51)*In_Guarantee_Fee*CR$5/Days_In_Year</f>
        <v>-0</v>
      </c>
      <c r="CS56" s="47" t="n">
        <f aca="false">-(CS50+CS51)*In_Guarantee_Fee*CS$5/Days_In_Year</f>
        <v>-0</v>
      </c>
      <c r="CT56" s="47" t="n">
        <f aca="false">-(CT50+CT51)*In_Guarantee_Fee*CT$5/Days_In_Year</f>
        <v>-0</v>
      </c>
      <c r="CU56" s="47" t="n">
        <f aca="false">-(CU50+CU51)*In_Guarantee_Fee*CU$5/Days_In_Year</f>
        <v>-0</v>
      </c>
      <c r="CV56" s="47" t="n">
        <f aca="false">-(CV50+CV51)*In_Guarantee_Fee*CV$5/Days_In_Year</f>
        <v>-0</v>
      </c>
      <c r="CW56" s="47" t="n">
        <f aca="false">-(CW50+CW51)*In_Guarantee_Fee*CW$5/Days_In_Year</f>
        <v>-0</v>
      </c>
      <c r="CX56" s="47" t="n">
        <f aca="false">-(CX50+CX51)*In_Guarantee_Fee*CX$5/Days_In_Year</f>
        <v>-0</v>
      </c>
      <c r="CY56" s="47" t="n">
        <f aca="false">-(CY50+CY51)*In_Guarantee_Fee*CY$5/Days_In_Year</f>
        <v>-0</v>
      </c>
      <c r="CZ56" s="47" t="n">
        <f aca="false">-(CZ50+CZ51)*In_Guarantee_Fee*CZ$5/Days_In_Year</f>
        <v>-0</v>
      </c>
      <c r="DA56" s="47" t="n">
        <f aca="false">-(DA50+DA51)*In_Guarantee_Fee*DA$5/Days_In_Year</f>
        <v>-0</v>
      </c>
      <c r="DB56" s="47" t="n">
        <f aca="false">-(DB50+DB51)*In_Guarantee_Fee*DB$5/Days_In_Year</f>
        <v>-0</v>
      </c>
      <c r="DC56" s="47" t="n">
        <f aca="false">-(DC50+DC51)*In_Guarantee_Fee*DC$5/Days_In_Year</f>
        <v>-0</v>
      </c>
      <c r="DD56" s="47" t="n">
        <f aca="false">-(DD50+DD51)*In_Guarantee_Fee*DD$5/Days_In_Year</f>
        <v>-0</v>
      </c>
      <c r="DE56" s="47" t="n">
        <f aca="false">-(DE50+DE51)*In_Guarantee_Fee*DE$5/Days_In_Year</f>
        <v>-0</v>
      </c>
      <c r="DF56" s="47" t="n">
        <f aca="false">-(DF50+DF51)*In_Guarantee_Fee*DF$5/Days_In_Year</f>
        <v>-0</v>
      </c>
      <c r="DG56" s="47" t="n">
        <f aca="false">-(DG50+DG51)*In_Guarantee_Fee*DG$5/Days_In_Year</f>
        <v>-0</v>
      </c>
      <c r="DH56" s="47" t="n">
        <f aca="false">-(DH50+DH51)*In_Guarantee_Fee*DH$5/Days_In_Year</f>
        <v>-0</v>
      </c>
      <c r="DI56" s="47" t="n">
        <f aca="false">-(DI50+DI51)*In_Guarantee_Fee*DI$5/Days_In_Year</f>
        <v>-0</v>
      </c>
      <c r="DJ56" s="47" t="n">
        <f aca="false">-(DJ50+DJ51)*In_Guarantee_Fee*DJ$5/Days_In_Year</f>
        <v>-0</v>
      </c>
      <c r="DK56" s="47" t="n">
        <f aca="false">-(DK50+DK51)*In_Guarantee_Fee*DK$5/Days_In_Year</f>
        <v>-0</v>
      </c>
      <c r="DL56" s="47" t="n">
        <f aca="false">-(DL50+DL51)*In_Guarantee_Fee*DL$5/Days_In_Year</f>
        <v>-0</v>
      </c>
      <c r="DM56" s="47" t="n">
        <f aca="false">-(DM50+DM51)*In_Guarantee_Fee*DM$5/Days_In_Year</f>
        <v>-0</v>
      </c>
      <c r="DN56" s="47" t="n">
        <f aca="false">-(DN50+DN51)*In_Guarantee_Fee*DN$5/Days_In_Year</f>
        <v>-0</v>
      </c>
      <c r="DO56" s="47" t="n">
        <f aca="false">-(DO50+DO51)*In_Guarantee_Fee*DO$5/Days_In_Year</f>
        <v>-0</v>
      </c>
      <c r="DP56" s="47" t="n">
        <f aca="false">-(DP50+DP51)*In_Guarantee_Fee*DP$5/Days_In_Year</f>
        <v>-0</v>
      </c>
      <c r="DQ56" s="47" t="n">
        <f aca="false">-(DQ50+DQ51)*In_Guarantee_Fee*DQ$5/Days_In_Year</f>
        <v>-0</v>
      </c>
      <c r="DR56" s="47" t="n">
        <f aca="false">-(DR50+DR51)*In_Guarantee_Fee*DR$5/Days_In_Year</f>
        <v>-0</v>
      </c>
      <c r="DS56" s="47" t="n">
        <f aca="false">-(DS50+DS51)*In_Guarantee_Fee*DS$5/Days_In_Year</f>
        <v>-0</v>
      </c>
      <c r="DT56" s="47" t="n">
        <f aca="false">-(DT50+DT51)*In_Guarantee_Fee*DT$5/Days_In_Year</f>
        <v>-0</v>
      </c>
      <c r="DU56" s="47" t="n">
        <f aca="false">-(DU50+DU51)*In_Guarantee_Fee*DU$5/Days_In_Year</f>
        <v>-0</v>
      </c>
      <c r="DV56" s="47" t="n">
        <f aca="false">-(DV50+DV51)*In_Guarantee_Fee*DV$5/Days_In_Year</f>
        <v>-0</v>
      </c>
      <c r="DW56" s="47" t="n">
        <f aca="false">-(DW50+DW51)*In_Guarantee_Fee*DW$5/Days_In_Year</f>
        <v>-0</v>
      </c>
      <c r="DX56" s="47" t="n">
        <f aca="false">-(DX50+DX51)*In_Guarantee_Fee*DX$5/Days_In_Year</f>
        <v>-0</v>
      </c>
      <c r="DY56" s="47" t="n">
        <f aca="false">-(DY50+DY51)*In_Guarantee_Fee*DY$5/Days_In_Year</f>
        <v>-0</v>
      </c>
      <c r="DZ56" s="47" t="n">
        <f aca="false">-(DZ50+DZ51)*In_Guarantee_Fee*DZ$5/Days_In_Year</f>
        <v>-0</v>
      </c>
      <c r="EA56" s="47" t="n">
        <f aca="false">-(EA50+EA51)*In_Guarantee_Fee*EA$5/Days_In_Year</f>
        <v>-0</v>
      </c>
      <c r="EB56" s="47" t="n">
        <f aca="false">-(EB50+EB51)*In_Guarantee_Fee*EB$5/Days_In_Year</f>
        <v>-0</v>
      </c>
      <c r="EC56" s="47" t="n">
        <f aca="false">-(EC50+EC51)*In_Guarantee_Fee*EC$5/Days_In_Year</f>
        <v>-0</v>
      </c>
      <c r="ED56" s="47" t="n">
        <f aca="false">-(ED50+ED51)*In_Guarantee_Fee*ED$5/Days_In_Year</f>
        <v>-0</v>
      </c>
      <c r="EE56" s="47" t="n">
        <f aca="false">-(EE50+EE51)*In_Guarantee_Fee*EE$5/Days_In_Year</f>
        <v>-0</v>
      </c>
      <c r="EF56" s="47" t="n">
        <f aca="false">-(EF50+EF51)*In_Guarantee_Fee*EF$5/Days_In_Year</f>
        <v>-0</v>
      </c>
      <c r="EG56" s="47" t="n">
        <f aca="false">-(EG50+EG51)*In_Guarantee_Fee*EG$5/Days_In_Year</f>
        <v>-0</v>
      </c>
      <c r="EH56" s="47" t="n">
        <f aca="false">-(EH50+EH51)*In_Guarantee_Fee*EH$5/Days_In_Year</f>
        <v>-0</v>
      </c>
      <c r="EI56" s="47" t="n">
        <f aca="false">-(EI50+EI51)*In_Guarantee_Fee*EI$5/Days_In_Year</f>
        <v>-0</v>
      </c>
      <c r="EJ56" s="47" t="n">
        <f aca="false">-(EJ50+EJ51)*In_Guarantee_Fee*EJ$5/Days_In_Year</f>
        <v>-0</v>
      </c>
      <c r="EK56" s="47" t="n">
        <f aca="false">-(EK50+EK51)*In_Guarantee_Fee*EK$5/Days_In_Year</f>
        <v>-0</v>
      </c>
      <c r="EL56" s="47" t="n">
        <f aca="false">-(EL50+EL51)*In_Guarantee_Fee*EL$5/Days_In_Year</f>
        <v>-0</v>
      </c>
      <c r="EM56" s="47" t="n">
        <f aca="false">-(EM50+EM51)*In_Guarantee_Fee*EM$5/Days_In_Year</f>
        <v>-0</v>
      </c>
      <c r="EN56" s="47" t="n">
        <f aca="false">-(EN50+EN51)*In_Guarantee_Fee*EN$5/Days_In_Year</f>
        <v>-0</v>
      </c>
      <c r="EO56" s="47" t="n">
        <f aca="false">-(EO50+EO51)*In_Guarantee_Fee*EO$5/Days_In_Year</f>
        <v>-0</v>
      </c>
    </row>
    <row r="57" customFormat="false" ht="15" hidden="false" customHeight="false" outlineLevel="0" collapsed="false">
      <c r="C57" s="0" t="s">
        <v>428</v>
      </c>
      <c r="D57" s="11" t="s">
        <v>33</v>
      </c>
      <c r="E57" s="47" t="n">
        <f aca="false">$E51*$E25*In_Bench_Wind/$E48</f>
        <v>1668.49315068493</v>
      </c>
      <c r="F57" s="47" t="n">
        <f aca="false">$E51-$E57</f>
        <v>547.945205479452</v>
      </c>
    </row>
    <row r="58" customFormat="false" ht="15" hidden="false" customHeight="false" outlineLevel="0" collapsed="false">
      <c r="C58" s="0" t="s">
        <v>429</v>
      </c>
      <c r="D58" s="11" t="s">
        <v>33</v>
      </c>
      <c r="E58" s="47" t="n">
        <f aca="false">($E29&gt;In_Tolerance_Cap)*$E29*$E57+($F29&gt;In_Tolerance_Cap)*$F29*$F57</f>
        <v>0</v>
      </c>
      <c r="F58" s="47" t="n">
        <f aca="false">($E29+$F29&gt;0)*$E51</f>
        <v>2216.43835616438</v>
      </c>
    </row>
    <row r="59" customFormat="false" ht="15" hidden="false" customHeight="false" outlineLevel="0" collapsed="false">
      <c r="C59" s="0" t="s">
        <v>430</v>
      </c>
      <c r="D59" s="11" t="s">
        <v>33</v>
      </c>
      <c r="E59" s="45" t="n">
        <f aca="false">EDATE(In_COD,In_Sanction_Lag)</f>
        <v>47937</v>
      </c>
      <c r="I59" s="47" t="n">
        <f aca="false">SUM(J59:EO59)</f>
        <v>0</v>
      </c>
      <c r="J59" s="47" t="n">
        <f aca="false">-CHOOSE(In_Sanction_Regime,$E58,$F58)*N(AND(J$3&lt;=$E59,J$4&gt;=$E59))</f>
        <v>-0</v>
      </c>
      <c r="K59" s="47" t="n">
        <f aca="false">-CHOOSE(In_Sanction_Regime,$E58,$F58)*N(AND(K$3&lt;=$E59,K$4&gt;=$E59))</f>
        <v>-0</v>
      </c>
      <c r="L59" s="47" t="n">
        <f aca="false">-CHOOSE(In_Sanction_Regime,$E58,$F58)*N(AND(L$3&lt;=$E59,L$4&gt;=$E59))</f>
        <v>-0</v>
      </c>
      <c r="M59" s="47" t="n">
        <f aca="false">-CHOOSE(In_Sanction_Regime,$E58,$F58)*N(AND(M$3&lt;=$E59,M$4&gt;=$E59))</f>
        <v>-0</v>
      </c>
      <c r="N59" s="47" t="n">
        <f aca="false">-CHOOSE(In_Sanction_Regime,$E58,$F58)*N(AND(N$3&lt;=$E59,N$4&gt;=$E59))</f>
        <v>-0</v>
      </c>
      <c r="O59" s="47" t="n">
        <f aca="false">-CHOOSE(In_Sanction_Regime,$E58,$F58)*N(AND(O$3&lt;=$E59,O$4&gt;=$E59))</f>
        <v>-0</v>
      </c>
      <c r="P59" s="47" t="n">
        <f aca="false">-CHOOSE(In_Sanction_Regime,$E58,$F58)*N(AND(P$3&lt;=$E59,P$4&gt;=$E59))</f>
        <v>-0</v>
      </c>
      <c r="Q59" s="47" t="n">
        <f aca="false">-CHOOSE(In_Sanction_Regime,$E58,$F58)*N(AND(Q$3&lt;=$E59,Q$4&gt;=$E59))</f>
        <v>-0</v>
      </c>
      <c r="R59" s="47" t="n">
        <f aca="false">-CHOOSE(In_Sanction_Regime,$E58,$F58)*N(AND(R$3&lt;=$E59,R$4&gt;=$E59))</f>
        <v>-0</v>
      </c>
      <c r="S59" s="47" t="n">
        <f aca="false">-CHOOSE(In_Sanction_Regime,$E58,$F58)*N(AND(S$3&lt;=$E59,S$4&gt;=$E59))</f>
        <v>-0</v>
      </c>
      <c r="T59" s="47" t="n">
        <f aca="false">-CHOOSE(In_Sanction_Regime,$E58,$F58)*N(AND(T$3&lt;=$E59,T$4&gt;=$E59))</f>
        <v>-0</v>
      </c>
      <c r="U59" s="47" t="n">
        <f aca="false">-CHOOSE(In_Sanction_Regime,$E58,$F58)*N(AND(U$3&lt;=$E59,U$4&gt;=$E59))</f>
        <v>-0</v>
      </c>
      <c r="V59" s="47" t="n">
        <f aca="false">-CHOOSE(In_Sanction_Regime,$E58,$F58)*N(AND(V$3&lt;=$E59,V$4&gt;=$E59))</f>
        <v>-0</v>
      </c>
      <c r="W59" s="47" t="n">
        <f aca="false">-CHOOSE(In_Sanction_Regime,$E58,$F58)*N(AND(W$3&lt;=$E59,W$4&gt;=$E59))</f>
        <v>-0</v>
      </c>
      <c r="X59" s="47" t="n">
        <f aca="false">-CHOOSE(In_Sanction_Regime,$E58,$F58)*N(AND(X$3&lt;=$E59,X$4&gt;=$E59))</f>
        <v>-0</v>
      </c>
      <c r="Y59" s="47" t="n">
        <f aca="false">-CHOOSE(In_Sanction_Regime,$E58,$F58)*N(AND(Y$3&lt;=$E59,Y$4&gt;=$E59))</f>
        <v>-0</v>
      </c>
      <c r="Z59" s="47" t="n">
        <f aca="false">-CHOOSE(In_Sanction_Regime,$E58,$F58)*N(AND(Z$3&lt;=$E59,Z$4&gt;=$E59))</f>
        <v>-0</v>
      </c>
      <c r="AA59" s="47" t="n">
        <f aca="false">-CHOOSE(In_Sanction_Regime,$E58,$F58)*N(AND(AA$3&lt;=$E59,AA$4&gt;=$E59))</f>
        <v>-0</v>
      </c>
      <c r="AB59" s="47" t="n">
        <f aca="false">-CHOOSE(In_Sanction_Regime,$E58,$F58)*N(AND(AB$3&lt;=$E59,AB$4&gt;=$E59))</f>
        <v>-0</v>
      </c>
      <c r="AC59" s="47" t="n">
        <f aca="false">-CHOOSE(In_Sanction_Regime,$E58,$F58)*N(AND(AC$3&lt;=$E59,AC$4&gt;=$E59))</f>
        <v>-0</v>
      </c>
      <c r="AD59" s="47" t="n">
        <f aca="false">-CHOOSE(In_Sanction_Regime,$E58,$F58)*N(AND(AD$3&lt;=$E59,AD$4&gt;=$E59))</f>
        <v>-0</v>
      </c>
      <c r="AE59" s="47" t="n">
        <f aca="false">-CHOOSE(In_Sanction_Regime,$E58,$F58)*N(AND(AE$3&lt;=$E59,AE$4&gt;=$E59))</f>
        <v>-0</v>
      </c>
      <c r="AF59" s="47" t="n">
        <f aca="false">-CHOOSE(In_Sanction_Regime,$E58,$F58)*N(AND(AF$3&lt;=$E59,AF$4&gt;=$E59))</f>
        <v>-0</v>
      </c>
      <c r="AG59" s="47" t="n">
        <f aca="false">-CHOOSE(In_Sanction_Regime,$E58,$F58)*N(AND(AG$3&lt;=$E59,AG$4&gt;=$E59))</f>
        <v>-0</v>
      </c>
      <c r="AH59" s="47" t="n">
        <f aca="false">-CHOOSE(In_Sanction_Regime,$E58,$F58)*N(AND(AH$3&lt;=$E59,AH$4&gt;=$E59))</f>
        <v>-0</v>
      </c>
      <c r="AI59" s="47" t="n">
        <f aca="false">-CHOOSE(In_Sanction_Regime,$E58,$F58)*N(AND(AI$3&lt;=$E59,AI$4&gt;=$E59))</f>
        <v>-0</v>
      </c>
      <c r="AJ59" s="47" t="n">
        <f aca="false">-CHOOSE(In_Sanction_Regime,$E58,$F58)*N(AND(AJ$3&lt;=$E59,AJ$4&gt;=$E59))</f>
        <v>-0</v>
      </c>
      <c r="AK59" s="47" t="n">
        <f aca="false">-CHOOSE(In_Sanction_Regime,$E58,$F58)*N(AND(AK$3&lt;=$E59,AK$4&gt;=$E59))</f>
        <v>-0</v>
      </c>
      <c r="AL59" s="47" t="n">
        <f aca="false">-CHOOSE(In_Sanction_Regime,$E58,$F58)*N(AND(AL$3&lt;=$E59,AL$4&gt;=$E59))</f>
        <v>-0</v>
      </c>
      <c r="AM59" s="47" t="n">
        <f aca="false">-CHOOSE(In_Sanction_Regime,$E58,$F58)*N(AND(AM$3&lt;=$E59,AM$4&gt;=$E59))</f>
        <v>-0</v>
      </c>
      <c r="AN59" s="47" t="n">
        <f aca="false">-CHOOSE(In_Sanction_Regime,$E58,$F58)*N(AND(AN$3&lt;=$E59,AN$4&gt;=$E59))</f>
        <v>-0</v>
      </c>
      <c r="AO59" s="47" t="n">
        <f aca="false">-CHOOSE(In_Sanction_Regime,$E58,$F58)*N(AND(AO$3&lt;=$E59,AO$4&gt;=$E59))</f>
        <v>-0</v>
      </c>
      <c r="AP59" s="47" t="n">
        <f aca="false">-CHOOSE(In_Sanction_Regime,$E58,$F58)*N(AND(AP$3&lt;=$E59,AP$4&gt;=$E59))</f>
        <v>-0</v>
      </c>
      <c r="AQ59" s="47" t="n">
        <f aca="false">-CHOOSE(In_Sanction_Regime,$E58,$F58)*N(AND(AQ$3&lt;=$E59,AQ$4&gt;=$E59))</f>
        <v>-0</v>
      </c>
      <c r="AR59" s="47" t="n">
        <f aca="false">-CHOOSE(In_Sanction_Regime,$E58,$F58)*N(AND(AR$3&lt;=$E59,AR$4&gt;=$E59))</f>
        <v>-0</v>
      </c>
      <c r="AS59" s="47" t="n">
        <f aca="false">-CHOOSE(In_Sanction_Regime,$E58,$F58)*N(AND(AS$3&lt;=$E59,AS$4&gt;=$E59))</f>
        <v>-0</v>
      </c>
      <c r="AT59" s="47" t="n">
        <f aca="false">-CHOOSE(In_Sanction_Regime,$E58,$F58)*N(AND(AT$3&lt;=$E59,AT$4&gt;=$E59))</f>
        <v>-0</v>
      </c>
      <c r="AU59" s="47" t="n">
        <f aca="false">-CHOOSE(In_Sanction_Regime,$E58,$F58)*N(AND(AU$3&lt;=$E59,AU$4&gt;=$E59))</f>
        <v>-0</v>
      </c>
      <c r="AV59" s="47" t="n">
        <f aca="false">-CHOOSE(In_Sanction_Regime,$E58,$F58)*N(AND(AV$3&lt;=$E59,AV$4&gt;=$E59))</f>
        <v>-0</v>
      </c>
      <c r="AW59" s="47" t="n">
        <f aca="false">-CHOOSE(In_Sanction_Regime,$E58,$F58)*N(AND(AW$3&lt;=$E59,AW$4&gt;=$E59))</f>
        <v>-0</v>
      </c>
      <c r="AX59" s="47" t="n">
        <f aca="false">-CHOOSE(In_Sanction_Regime,$E58,$F58)*N(AND(AX$3&lt;=$E59,AX$4&gt;=$E59))</f>
        <v>-0</v>
      </c>
      <c r="AY59" s="47" t="n">
        <f aca="false">-CHOOSE(In_Sanction_Regime,$E58,$F58)*N(AND(AY$3&lt;=$E59,AY$4&gt;=$E59))</f>
        <v>-0</v>
      </c>
      <c r="AZ59" s="47" t="n">
        <f aca="false">-CHOOSE(In_Sanction_Regime,$E58,$F58)*N(AND(AZ$3&lt;=$E59,AZ$4&gt;=$E59))</f>
        <v>-0</v>
      </c>
      <c r="BA59" s="47" t="n">
        <f aca="false">-CHOOSE(In_Sanction_Regime,$E58,$F58)*N(AND(BA$3&lt;=$E59,BA$4&gt;=$E59))</f>
        <v>-0</v>
      </c>
      <c r="BB59" s="47" t="n">
        <f aca="false">-CHOOSE(In_Sanction_Regime,$E58,$F58)*N(AND(BB$3&lt;=$E59,BB$4&gt;=$E59))</f>
        <v>-0</v>
      </c>
      <c r="BC59" s="47" t="n">
        <f aca="false">-CHOOSE(In_Sanction_Regime,$E58,$F58)*N(AND(BC$3&lt;=$E59,BC$4&gt;=$E59))</f>
        <v>-0</v>
      </c>
      <c r="BD59" s="47" t="n">
        <f aca="false">-CHOOSE(In_Sanction_Regime,$E58,$F58)*N(AND(BD$3&lt;=$E59,BD$4&gt;=$E59))</f>
        <v>-0</v>
      </c>
      <c r="BE59" s="47" t="n">
        <f aca="false">-CHOOSE(In_Sanction_Regime,$E58,$F58)*N(AND(BE$3&lt;=$E59,BE$4&gt;=$E59))</f>
        <v>-0</v>
      </c>
      <c r="BF59" s="47" t="n">
        <f aca="false">-CHOOSE(In_Sanction_Regime,$E58,$F58)*N(AND(BF$3&lt;=$E59,BF$4&gt;=$E59))</f>
        <v>-0</v>
      </c>
      <c r="BG59" s="47" t="n">
        <f aca="false">-CHOOSE(In_Sanction_Regime,$E58,$F58)*N(AND(BG$3&lt;=$E59,BG$4&gt;=$E59))</f>
        <v>-0</v>
      </c>
      <c r="BH59" s="47" t="n">
        <f aca="false">-CHOOSE(In_Sanction_Regime,$E58,$F58)*N(AND(BH$3&lt;=$E59,BH$4&gt;=$E59))</f>
        <v>-0</v>
      </c>
      <c r="BI59" s="47" t="n">
        <f aca="false">-CHOOSE(In_Sanction_Regime,$E58,$F58)*N(AND(BI$3&lt;=$E59,BI$4&gt;=$E59))</f>
        <v>-0</v>
      </c>
      <c r="BJ59" s="47" t="n">
        <f aca="false">-CHOOSE(In_Sanction_Regime,$E58,$F58)*N(AND(BJ$3&lt;=$E59,BJ$4&gt;=$E59))</f>
        <v>-0</v>
      </c>
      <c r="BK59" s="47" t="n">
        <f aca="false">-CHOOSE(In_Sanction_Regime,$E58,$F58)*N(AND(BK$3&lt;=$E59,BK$4&gt;=$E59))</f>
        <v>-0</v>
      </c>
      <c r="BL59" s="47" t="n">
        <f aca="false">-CHOOSE(In_Sanction_Regime,$E58,$F58)*N(AND(BL$3&lt;=$E59,BL$4&gt;=$E59))</f>
        <v>-0</v>
      </c>
      <c r="BM59" s="47" t="n">
        <f aca="false">-CHOOSE(In_Sanction_Regime,$E58,$F58)*N(AND(BM$3&lt;=$E59,BM$4&gt;=$E59))</f>
        <v>-0</v>
      </c>
      <c r="BN59" s="47" t="n">
        <f aca="false">-CHOOSE(In_Sanction_Regime,$E58,$F58)*N(AND(BN$3&lt;=$E59,BN$4&gt;=$E59))</f>
        <v>-0</v>
      </c>
      <c r="BO59" s="47" t="n">
        <f aca="false">-CHOOSE(In_Sanction_Regime,$E58,$F58)*N(AND(BO$3&lt;=$E59,BO$4&gt;=$E59))</f>
        <v>-0</v>
      </c>
      <c r="BP59" s="47" t="n">
        <f aca="false">-CHOOSE(In_Sanction_Regime,$E58,$F58)*N(AND(BP$3&lt;=$E59,BP$4&gt;=$E59))</f>
        <v>-0</v>
      </c>
      <c r="BQ59" s="47" t="n">
        <f aca="false">-CHOOSE(In_Sanction_Regime,$E58,$F58)*N(AND(BQ$3&lt;=$E59,BQ$4&gt;=$E59))</f>
        <v>-0</v>
      </c>
      <c r="BR59" s="47" t="n">
        <f aca="false">-CHOOSE(In_Sanction_Regime,$E58,$F58)*N(AND(BR$3&lt;=$E59,BR$4&gt;=$E59))</f>
        <v>-0</v>
      </c>
      <c r="BS59" s="47" t="n">
        <f aca="false">-CHOOSE(In_Sanction_Regime,$E58,$F58)*N(AND(BS$3&lt;=$E59,BS$4&gt;=$E59))</f>
        <v>-0</v>
      </c>
      <c r="BT59" s="47" t="n">
        <f aca="false">-CHOOSE(In_Sanction_Regime,$E58,$F58)*N(AND(BT$3&lt;=$E59,BT$4&gt;=$E59))</f>
        <v>-0</v>
      </c>
      <c r="BU59" s="47" t="n">
        <f aca="false">-CHOOSE(In_Sanction_Regime,$E58,$F58)*N(AND(BU$3&lt;=$E59,BU$4&gt;=$E59))</f>
        <v>-0</v>
      </c>
      <c r="BV59" s="47" t="n">
        <f aca="false">-CHOOSE(In_Sanction_Regime,$E58,$F58)*N(AND(BV$3&lt;=$E59,BV$4&gt;=$E59))</f>
        <v>-0</v>
      </c>
      <c r="BW59" s="47" t="n">
        <f aca="false">-CHOOSE(In_Sanction_Regime,$E58,$F58)*N(AND(BW$3&lt;=$E59,BW$4&gt;=$E59))</f>
        <v>-0</v>
      </c>
      <c r="BX59" s="47" t="n">
        <f aca="false">-CHOOSE(In_Sanction_Regime,$E58,$F58)*N(AND(BX$3&lt;=$E59,BX$4&gt;=$E59))</f>
        <v>-0</v>
      </c>
      <c r="BY59" s="47" t="n">
        <f aca="false">-CHOOSE(In_Sanction_Regime,$E58,$F58)*N(AND(BY$3&lt;=$E59,BY$4&gt;=$E59))</f>
        <v>-0</v>
      </c>
      <c r="BZ59" s="47" t="n">
        <f aca="false">-CHOOSE(In_Sanction_Regime,$E58,$F58)*N(AND(BZ$3&lt;=$E59,BZ$4&gt;=$E59))</f>
        <v>-0</v>
      </c>
      <c r="CA59" s="47" t="n">
        <f aca="false">-CHOOSE(In_Sanction_Regime,$E58,$F58)*N(AND(CA$3&lt;=$E59,CA$4&gt;=$E59))</f>
        <v>-0</v>
      </c>
      <c r="CB59" s="47" t="n">
        <f aca="false">-CHOOSE(In_Sanction_Regime,$E58,$F58)*N(AND(CB$3&lt;=$E59,CB$4&gt;=$E59))</f>
        <v>-0</v>
      </c>
      <c r="CC59" s="47" t="n">
        <f aca="false">-CHOOSE(In_Sanction_Regime,$E58,$F58)*N(AND(CC$3&lt;=$E59,CC$4&gt;=$E59))</f>
        <v>-0</v>
      </c>
      <c r="CD59" s="47" t="n">
        <f aca="false">-CHOOSE(In_Sanction_Regime,$E58,$F58)*N(AND(CD$3&lt;=$E59,CD$4&gt;=$E59))</f>
        <v>-0</v>
      </c>
      <c r="CE59" s="47" t="n">
        <f aca="false">-CHOOSE(In_Sanction_Regime,$E58,$F58)*N(AND(CE$3&lt;=$E59,CE$4&gt;=$E59))</f>
        <v>-0</v>
      </c>
      <c r="CF59" s="47" t="n">
        <f aca="false">-CHOOSE(In_Sanction_Regime,$E58,$F58)*N(AND(CF$3&lt;=$E59,CF$4&gt;=$E59))</f>
        <v>-0</v>
      </c>
      <c r="CG59" s="47" t="n">
        <f aca="false">-CHOOSE(In_Sanction_Regime,$E58,$F58)*N(AND(CG$3&lt;=$E59,CG$4&gt;=$E59))</f>
        <v>-0</v>
      </c>
      <c r="CH59" s="47" t="n">
        <f aca="false">-CHOOSE(In_Sanction_Regime,$E58,$F58)*N(AND(CH$3&lt;=$E59,CH$4&gt;=$E59))</f>
        <v>-0</v>
      </c>
      <c r="CI59" s="47" t="n">
        <f aca="false">-CHOOSE(In_Sanction_Regime,$E58,$F58)*N(AND(CI$3&lt;=$E59,CI$4&gt;=$E59))</f>
        <v>-0</v>
      </c>
      <c r="CJ59" s="47" t="n">
        <f aca="false">-CHOOSE(In_Sanction_Regime,$E58,$F58)*N(AND(CJ$3&lt;=$E59,CJ$4&gt;=$E59))</f>
        <v>-0</v>
      </c>
      <c r="CK59" s="47" t="n">
        <f aca="false">-CHOOSE(In_Sanction_Regime,$E58,$F58)*N(AND(CK$3&lt;=$E59,CK$4&gt;=$E59))</f>
        <v>-0</v>
      </c>
      <c r="CL59" s="47" t="n">
        <f aca="false">-CHOOSE(In_Sanction_Regime,$E58,$F58)*N(AND(CL$3&lt;=$E59,CL$4&gt;=$E59))</f>
        <v>-0</v>
      </c>
      <c r="CM59" s="47" t="n">
        <f aca="false">-CHOOSE(In_Sanction_Regime,$E58,$F58)*N(AND(CM$3&lt;=$E59,CM$4&gt;=$E59))</f>
        <v>-0</v>
      </c>
      <c r="CN59" s="47" t="n">
        <f aca="false">-CHOOSE(In_Sanction_Regime,$E58,$F58)*N(AND(CN$3&lt;=$E59,CN$4&gt;=$E59))</f>
        <v>-0</v>
      </c>
      <c r="CO59" s="47" t="n">
        <f aca="false">-CHOOSE(In_Sanction_Regime,$E58,$F58)*N(AND(CO$3&lt;=$E59,CO$4&gt;=$E59))</f>
        <v>-0</v>
      </c>
      <c r="CP59" s="47" t="n">
        <f aca="false">-CHOOSE(In_Sanction_Regime,$E58,$F58)*N(AND(CP$3&lt;=$E59,CP$4&gt;=$E59))</f>
        <v>-0</v>
      </c>
      <c r="CQ59" s="47" t="n">
        <f aca="false">-CHOOSE(In_Sanction_Regime,$E58,$F58)*N(AND(CQ$3&lt;=$E59,CQ$4&gt;=$E59))</f>
        <v>-0</v>
      </c>
      <c r="CR59" s="47" t="n">
        <f aca="false">-CHOOSE(In_Sanction_Regime,$E58,$F58)*N(AND(CR$3&lt;=$E59,CR$4&gt;=$E59))</f>
        <v>-0</v>
      </c>
      <c r="CS59" s="47" t="n">
        <f aca="false">-CHOOSE(In_Sanction_Regime,$E58,$F58)*N(AND(CS$3&lt;=$E59,CS$4&gt;=$E59))</f>
        <v>-0</v>
      </c>
      <c r="CT59" s="47" t="n">
        <f aca="false">-CHOOSE(In_Sanction_Regime,$E58,$F58)*N(AND(CT$3&lt;=$E59,CT$4&gt;=$E59))</f>
        <v>-0</v>
      </c>
      <c r="CU59" s="47" t="n">
        <f aca="false">-CHOOSE(In_Sanction_Regime,$E58,$F58)*N(AND(CU$3&lt;=$E59,CU$4&gt;=$E59))</f>
        <v>-0</v>
      </c>
      <c r="CV59" s="47" t="n">
        <f aca="false">-CHOOSE(In_Sanction_Regime,$E58,$F58)*N(AND(CV$3&lt;=$E59,CV$4&gt;=$E59))</f>
        <v>-0</v>
      </c>
      <c r="CW59" s="47" t="n">
        <f aca="false">-CHOOSE(In_Sanction_Regime,$E58,$F58)*N(AND(CW$3&lt;=$E59,CW$4&gt;=$E59))</f>
        <v>-0</v>
      </c>
      <c r="CX59" s="47" t="n">
        <f aca="false">-CHOOSE(In_Sanction_Regime,$E58,$F58)*N(AND(CX$3&lt;=$E59,CX$4&gt;=$E59))</f>
        <v>-0</v>
      </c>
      <c r="CY59" s="47" t="n">
        <f aca="false">-CHOOSE(In_Sanction_Regime,$E58,$F58)*N(AND(CY$3&lt;=$E59,CY$4&gt;=$E59))</f>
        <v>-0</v>
      </c>
      <c r="CZ59" s="47" t="n">
        <f aca="false">-CHOOSE(In_Sanction_Regime,$E58,$F58)*N(AND(CZ$3&lt;=$E59,CZ$4&gt;=$E59))</f>
        <v>-0</v>
      </c>
      <c r="DA59" s="47" t="n">
        <f aca="false">-CHOOSE(In_Sanction_Regime,$E58,$F58)*N(AND(DA$3&lt;=$E59,DA$4&gt;=$E59))</f>
        <v>-0</v>
      </c>
      <c r="DB59" s="47" t="n">
        <f aca="false">-CHOOSE(In_Sanction_Regime,$E58,$F58)*N(AND(DB$3&lt;=$E59,DB$4&gt;=$E59))</f>
        <v>-0</v>
      </c>
      <c r="DC59" s="47" t="n">
        <f aca="false">-CHOOSE(In_Sanction_Regime,$E58,$F58)*N(AND(DC$3&lt;=$E59,DC$4&gt;=$E59))</f>
        <v>-0</v>
      </c>
      <c r="DD59" s="47" t="n">
        <f aca="false">-CHOOSE(In_Sanction_Regime,$E58,$F58)*N(AND(DD$3&lt;=$E59,DD$4&gt;=$E59))</f>
        <v>-0</v>
      </c>
      <c r="DE59" s="47" t="n">
        <f aca="false">-CHOOSE(In_Sanction_Regime,$E58,$F58)*N(AND(DE$3&lt;=$E59,DE$4&gt;=$E59))</f>
        <v>-0</v>
      </c>
      <c r="DF59" s="47" t="n">
        <f aca="false">-CHOOSE(In_Sanction_Regime,$E58,$F58)*N(AND(DF$3&lt;=$E59,DF$4&gt;=$E59))</f>
        <v>-0</v>
      </c>
      <c r="DG59" s="47" t="n">
        <f aca="false">-CHOOSE(In_Sanction_Regime,$E58,$F58)*N(AND(DG$3&lt;=$E59,DG$4&gt;=$E59))</f>
        <v>-0</v>
      </c>
      <c r="DH59" s="47" t="n">
        <f aca="false">-CHOOSE(In_Sanction_Regime,$E58,$F58)*N(AND(DH$3&lt;=$E59,DH$4&gt;=$E59))</f>
        <v>-0</v>
      </c>
      <c r="DI59" s="47" t="n">
        <f aca="false">-CHOOSE(In_Sanction_Regime,$E58,$F58)*N(AND(DI$3&lt;=$E59,DI$4&gt;=$E59))</f>
        <v>-0</v>
      </c>
      <c r="DJ59" s="47" t="n">
        <f aca="false">-CHOOSE(In_Sanction_Regime,$E58,$F58)*N(AND(DJ$3&lt;=$E59,DJ$4&gt;=$E59))</f>
        <v>-0</v>
      </c>
      <c r="DK59" s="47" t="n">
        <f aca="false">-CHOOSE(In_Sanction_Regime,$E58,$F58)*N(AND(DK$3&lt;=$E59,DK$4&gt;=$E59))</f>
        <v>-0</v>
      </c>
      <c r="DL59" s="47" t="n">
        <f aca="false">-CHOOSE(In_Sanction_Regime,$E58,$F58)*N(AND(DL$3&lt;=$E59,DL$4&gt;=$E59))</f>
        <v>-0</v>
      </c>
      <c r="DM59" s="47" t="n">
        <f aca="false">-CHOOSE(In_Sanction_Regime,$E58,$F58)*N(AND(DM$3&lt;=$E59,DM$4&gt;=$E59))</f>
        <v>-0</v>
      </c>
      <c r="DN59" s="47" t="n">
        <f aca="false">-CHOOSE(In_Sanction_Regime,$E58,$F58)*N(AND(DN$3&lt;=$E59,DN$4&gt;=$E59))</f>
        <v>-0</v>
      </c>
      <c r="DO59" s="47" t="n">
        <f aca="false">-CHOOSE(In_Sanction_Regime,$E58,$F58)*N(AND(DO$3&lt;=$E59,DO$4&gt;=$E59))</f>
        <v>-0</v>
      </c>
      <c r="DP59" s="47" t="n">
        <f aca="false">-CHOOSE(In_Sanction_Regime,$E58,$F58)*N(AND(DP$3&lt;=$E59,DP$4&gt;=$E59))</f>
        <v>-0</v>
      </c>
      <c r="DQ59" s="47" t="n">
        <f aca="false">-CHOOSE(In_Sanction_Regime,$E58,$F58)*N(AND(DQ$3&lt;=$E59,DQ$4&gt;=$E59))</f>
        <v>-0</v>
      </c>
      <c r="DR59" s="47" t="n">
        <f aca="false">-CHOOSE(In_Sanction_Regime,$E58,$F58)*N(AND(DR$3&lt;=$E59,DR$4&gt;=$E59))</f>
        <v>-0</v>
      </c>
      <c r="DS59" s="47" t="n">
        <f aca="false">-CHOOSE(In_Sanction_Regime,$E58,$F58)*N(AND(DS$3&lt;=$E59,DS$4&gt;=$E59))</f>
        <v>-0</v>
      </c>
      <c r="DT59" s="47" t="n">
        <f aca="false">-CHOOSE(In_Sanction_Regime,$E58,$F58)*N(AND(DT$3&lt;=$E59,DT$4&gt;=$E59))</f>
        <v>-0</v>
      </c>
      <c r="DU59" s="47" t="n">
        <f aca="false">-CHOOSE(In_Sanction_Regime,$E58,$F58)*N(AND(DU$3&lt;=$E59,DU$4&gt;=$E59))</f>
        <v>-0</v>
      </c>
      <c r="DV59" s="47" t="n">
        <f aca="false">-CHOOSE(In_Sanction_Regime,$E58,$F58)*N(AND(DV$3&lt;=$E59,DV$4&gt;=$E59))</f>
        <v>-0</v>
      </c>
      <c r="DW59" s="47" t="n">
        <f aca="false">-CHOOSE(In_Sanction_Regime,$E58,$F58)*N(AND(DW$3&lt;=$E59,DW$4&gt;=$E59))</f>
        <v>-0</v>
      </c>
      <c r="DX59" s="47" t="n">
        <f aca="false">-CHOOSE(In_Sanction_Regime,$E58,$F58)*N(AND(DX$3&lt;=$E59,DX$4&gt;=$E59))</f>
        <v>-0</v>
      </c>
      <c r="DY59" s="47" t="n">
        <f aca="false">-CHOOSE(In_Sanction_Regime,$E58,$F58)*N(AND(DY$3&lt;=$E59,DY$4&gt;=$E59))</f>
        <v>-0</v>
      </c>
      <c r="DZ59" s="47" t="n">
        <f aca="false">-CHOOSE(In_Sanction_Regime,$E58,$F58)*N(AND(DZ$3&lt;=$E59,DZ$4&gt;=$E59))</f>
        <v>-0</v>
      </c>
      <c r="EA59" s="47" t="n">
        <f aca="false">-CHOOSE(In_Sanction_Regime,$E58,$F58)*N(AND(EA$3&lt;=$E59,EA$4&gt;=$E59))</f>
        <v>-0</v>
      </c>
      <c r="EB59" s="47" t="n">
        <f aca="false">-CHOOSE(In_Sanction_Regime,$E58,$F58)*N(AND(EB$3&lt;=$E59,EB$4&gt;=$E59))</f>
        <v>-0</v>
      </c>
      <c r="EC59" s="47" t="n">
        <f aca="false">-CHOOSE(In_Sanction_Regime,$E58,$F58)*N(AND(EC$3&lt;=$E59,EC$4&gt;=$E59))</f>
        <v>-0</v>
      </c>
      <c r="ED59" s="47" t="n">
        <f aca="false">-CHOOSE(In_Sanction_Regime,$E58,$F58)*N(AND(ED$3&lt;=$E59,ED$4&gt;=$E59))</f>
        <v>-0</v>
      </c>
      <c r="EE59" s="47" t="n">
        <f aca="false">-CHOOSE(In_Sanction_Regime,$E58,$F58)*N(AND(EE$3&lt;=$E59,EE$4&gt;=$E59))</f>
        <v>-0</v>
      </c>
      <c r="EF59" s="47" t="n">
        <f aca="false">-CHOOSE(In_Sanction_Regime,$E58,$F58)*N(AND(EF$3&lt;=$E59,EF$4&gt;=$E59))</f>
        <v>-0</v>
      </c>
      <c r="EG59" s="47" t="n">
        <f aca="false">-CHOOSE(In_Sanction_Regime,$E58,$F58)*N(AND(EG$3&lt;=$E59,EG$4&gt;=$E59))</f>
        <v>-0</v>
      </c>
      <c r="EH59" s="47" t="n">
        <f aca="false">-CHOOSE(In_Sanction_Regime,$E58,$F58)*N(AND(EH$3&lt;=$E59,EH$4&gt;=$E59))</f>
        <v>-0</v>
      </c>
      <c r="EI59" s="47" t="n">
        <f aca="false">-CHOOSE(In_Sanction_Regime,$E58,$F58)*N(AND(EI$3&lt;=$E59,EI$4&gt;=$E59))</f>
        <v>-0</v>
      </c>
      <c r="EJ59" s="47" t="n">
        <f aca="false">-CHOOSE(In_Sanction_Regime,$E58,$F58)*N(AND(EJ$3&lt;=$E59,EJ$4&gt;=$E59))</f>
        <v>-0</v>
      </c>
      <c r="EK59" s="47" t="n">
        <f aca="false">-CHOOSE(In_Sanction_Regime,$E58,$F58)*N(AND(EK$3&lt;=$E59,EK$4&gt;=$E59))</f>
        <v>-0</v>
      </c>
      <c r="EL59" s="47" t="n">
        <f aca="false">-CHOOSE(In_Sanction_Regime,$E58,$F58)*N(AND(EL$3&lt;=$E59,EL$4&gt;=$E59))</f>
        <v>-0</v>
      </c>
      <c r="EM59" s="47" t="n">
        <f aca="false">-CHOOSE(In_Sanction_Regime,$E58,$F58)*N(AND(EM$3&lt;=$E59,EM$4&gt;=$E59))</f>
        <v>-0</v>
      </c>
      <c r="EN59" s="47" t="n">
        <f aca="false">-CHOOSE(In_Sanction_Regime,$E58,$F58)*N(AND(EN$3&lt;=$E59,EN$4&gt;=$E59))</f>
        <v>-0</v>
      </c>
      <c r="EO59" s="47" t="n">
        <f aca="false">-CHOOSE(In_Sanction_Regime,$E58,$F58)*N(AND(EO$3&lt;=$E59,EO$4&gt;=$E59))</f>
        <v>-0</v>
      </c>
    </row>
    <row r="60" customFormat="false" ht="15" hidden="false" customHeight="false" outlineLevel="0" collapsed="false">
      <c r="C60" s="25" t="s">
        <v>431</v>
      </c>
      <c r="D60" s="11" t="s">
        <v>33</v>
      </c>
      <c r="I60" s="56" t="n">
        <f aca="false">SUM(J60:EO60)</f>
        <v>-6597.56948020267</v>
      </c>
      <c r="J60" s="56" t="n">
        <f aca="false">J45+J46+J47+J49+J52+J56</f>
        <v>-4662.80993807469</v>
      </c>
      <c r="K60" s="56" t="n">
        <f aca="false">K45+K46+K47+K49+K52+K56</f>
        <v>-706.535577057768</v>
      </c>
      <c r="L60" s="56" t="n">
        <f aca="false">L45+L46+L47+L49+L52+L56</f>
        <v>-104.360496659404</v>
      </c>
      <c r="M60" s="56" t="n">
        <f aca="false">M45+M46+M47+M49+M52+M56</f>
        <v>-105.507315304013</v>
      </c>
      <c r="N60" s="56" t="n">
        <f aca="false">N45+N46+N47+N49+N52+N56</f>
        <v>-105.507315304013</v>
      </c>
      <c r="O60" s="56" t="n">
        <f aca="false">O45+O46+O47+O49+O52+O56</f>
        <v>-104.360496659404</v>
      </c>
      <c r="P60" s="56" t="n">
        <f aca="false">P45+P46+P47+P49+P52+P56</f>
        <v>-104.360496659404</v>
      </c>
      <c r="Q60" s="56" t="n">
        <f aca="false">Q45+Q46+Q47+Q49+Q52+Q56</f>
        <v>-105.507315304013</v>
      </c>
      <c r="R60" s="56" t="n">
        <f aca="false">R45+R46+R47+R49+R52+R56</f>
        <v>-33.5198348658285</v>
      </c>
      <c r="S60" s="56" t="n">
        <f aca="false">S45+S46+S47+S49+S52+S56</f>
        <v>-32.7911428035279</v>
      </c>
      <c r="T60" s="56" t="n">
        <f aca="false">T45+T46+T47+T49+T52+T56</f>
        <v>-33.1554888346782</v>
      </c>
      <c r="U60" s="56" t="n">
        <f aca="false">U45+U46+U47+U49+U52+U56</f>
        <v>-33.5198348658285</v>
      </c>
      <c r="V60" s="56" t="n">
        <f aca="false">V45+V46+V47+V49+V52+V56</f>
        <v>-33.5198348658285</v>
      </c>
      <c r="W60" s="56" t="n">
        <f aca="false">W45+W46+W47+W49+W52+W56</f>
        <v>-32.7911428035279</v>
      </c>
      <c r="X60" s="56" t="n">
        <f aca="false">X45+X46+X47+X49+X52+X56</f>
        <v>-33.1554888346782</v>
      </c>
      <c r="Y60" s="56" t="n">
        <f aca="false">Y45+Y46+Y47+Y49+Y52+Y56</f>
        <v>-33.5198348658285</v>
      </c>
      <c r="Z60" s="56" t="n">
        <f aca="false">Z45+Z46+Z47+Z49+Z52+Z56</f>
        <v>-33.5198348658285</v>
      </c>
      <c r="AA60" s="56" t="n">
        <f aca="false">AA45+AA46+AA47+AA49+AA52+AA56</f>
        <v>-32.7911428035279</v>
      </c>
      <c r="AB60" s="56" t="n">
        <f aca="false">AB45+AB46+AB47+AB49+AB52+AB56</f>
        <v>-33.1554888346782</v>
      </c>
      <c r="AC60" s="56" t="n">
        <f aca="false">AC45+AC46+AC47+AC49+AC52+AC56</f>
        <v>-33.5198348658285</v>
      </c>
      <c r="AD60" s="56" t="n">
        <f aca="false">AD45+AD46+AD47+AD49+AD52+AD56</f>
        <v>-33.5198348658285</v>
      </c>
      <c r="AE60" s="56" t="n">
        <f aca="false">AE45+AE46+AE47+AE49+AE52+AE56</f>
        <v>-33.1554888346782</v>
      </c>
      <c r="AF60" s="56" t="n">
        <f aca="false">AF45+AF46+AF47+AF49+AF52+AF56</f>
        <v>-33.1554888346782</v>
      </c>
      <c r="AG60" s="56" t="n">
        <f aca="false">AG45+AG46+AG47+AG49+AG52+AG56</f>
        <v>-33.5198348658285</v>
      </c>
      <c r="AH60" s="56" t="n">
        <f aca="false">AH45+AH46+AH47+AH49+AH52+AH56</f>
        <v>-33.5198348658285</v>
      </c>
      <c r="AI60" s="56" t="n">
        <f aca="false">AI45+AI46+AI47+AI49+AI52+AI56</f>
        <v>-32.7911428035279</v>
      </c>
      <c r="AJ60" s="56" t="n">
        <f aca="false">AJ45+AJ46+AJ47+AJ49+AJ52+AJ56</f>
        <v>-0</v>
      </c>
      <c r="AK60" s="56" t="n">
        <f aca="false">AK45+AK46+AK47+AK49+AK52+AK56</f>
        <v>-0</v>
      </c>
      <c r="AL60" s="56" t="n">
        <f aca="false">AL45+AL46+AL47+AL49+AL52+AL56</f>
        <v>-0</v>
      </c>
      <c r="AM60" s="56" t="n">
        <f aca="false">AM45+AM46+AM47+AM49+AM52+AM56</f>
        <v>-0</v>
      </c>
      <c r="AN60" s="56" t="n">
        <f aca="false">AN45+AN46+AN47+AN49+AN52+AN56</f>
        <v>-0</v>
      </c>
      <c r="AO60" s="56" t="n">
        <f aca="false">AO45+AO46+AO47+AO49+AO52+AO56</f>
        <v>-0</v>
      </c>
      <c r="AP60" s="56" t="n">
        <f aca="false">AP45+AP46+AP47+AP49+AP52+AP56</f>
        <v>-0</v>
      </c>
      <c r="AQ60" s="56" t="n">
        <f aca="false">AQ45+AQ46+AQ47+AQ49+AQ52+AQ56</f>
        <v>-0</v>
      </c>
      <c r="AR60" s="56" t="n">
        <f aca="false">AR45+AR46+AR47+AR49+AR52+AR56</f>
        <v>-0</v>
      </c>
      <c r="AS60" s="56" t="n">
        <f aca="false">AS45+AS46+AS47+AS49+AS52+AS56</f>
        <v>-0</v>
      </c>
      <c r="AT60" s="56" t="n">
        <f aca="false">AT45+AT46+AT47+AT49+AT52+AT56</f>
        <v>-0</v>
      </c>
      <c r="AU60" s="56" t="n">
        <f aca="false">AU45+AU46+AU47+AU49+AU52+AU56</f>
        <v>-0</v>
      </c>
      <c r="AV60" s="56" t="n">
        <f aca="false">AV45+AV46+AV47+AV49+AV52+AV56</f>
        <v>-0</v>
      </c>
      <c r="AW60" s="56" t="n">
        <f aca="false">AW45+AW46+AW47+AW49+AW52+AW56</f>
        <v>-0</v>
      </c>
      <c r="AX60" s="56" t="n">
        <f aca="false">AX45+AX46+AX47+AX49+AX52+AX56</f>
        <v>-0</v>
      </c>
      <c r="AY60" s="56" t="n">
        <f aca="false">AY45+AY46+AY47+AY49+AY52+AY56</f>
        <v>-0</v>
      </c>
      <c r="AZ60" s="56" t="n">
        <f aca="false">AZ45+AZ46+AZ47+AZ49+AZ52+AZ56</f>
        <v>-0</v>
      </c>
      <c r="BA60" s="56" t="n">
        <f aca="false">BA45+BA46+BA47+BA49+BA52+BA56</f>
        <v>-0</v>
      </c>
      <c r="BB60" s="56" t="n">
        <f aca="false">BB45+BB46+BB47+BB49+BB52+BB56</f>
        <v>-0</v>
      </c>
      <c r="BC60" s="56" t="n">
        <f aca="false">BC45+BC46+BC47+BC49+BC52+BC56</f>
        <v>-0</v>
      </c>
      <c r="BD60" s="56" t="n">
        <f aca="false">BD45+BD46+BD47+BD49+BD52+BD56</f>
        <v>-0</v>
      </c>
      <c r="BE60" s="56" t="n">
        <f aca="false">BE45+BE46+BE47+BE49+BE52+BE56</f>
        <v>-0</v>
      </c>
      <c r="BF60" s="56" t="n">
        <f aca="false">BF45+BF46+BF47+BF49+BF52+BF56</f>
        <v>-0</v>
      </c>
      <c r="BG60" s="56" t="n">
        <f aca="false">BG45+BG46+BG47+BG49+BG52+BG56</f>
        <v>-0</v>
      </c>
      <c r="BH60" s="56" t="n">
        <f aca="false">BH45+BH46+BH47+BH49+BH52+BH56</f>
        <v>-0</v>
      </c>
      <c r="BI60" s="56" t="n">
        <f aca="false">BI45+BI46+BI47+BI49+BI52+BI56</f>
        <v>-0</v>
      </c>
      <c r="BJ60" s="56" t="n">
        <f aca="false">BJ45+BJ46+BJ47+BJ49+BJ52+BJ56</f>
        <v>-0</v>
      </c>
      <c r="BK60" s="56" t="n">
        <f aca="false">BK45+BK46+BK47+BK49+BK52+BK56</f>
        <v>-0</v>
      </c>
      <c r="BL60" s="56" t="n">
        <f aca="false">BL45+BL46+BL47+BL49+BL52+BL56</f>
        <v>-0</v>
      </c>
      <c r="BM60" s="56" t="n">
        <f aca="false">BM45+BM46+BM47+BM49+BM52+BM56</f>
        <v>-0</v>
      </c>
      <c r="BN60" s="56" t="n">
        <f aca="false">BN45+BN46+BN47+BN49+BN52+BN56</f>
        <v>-0</v>
      </c>
      <c r="BO60" s="56" t="n">
        <f aca="false">BO45+BO46+BO47+BO49+BO52+BO56</f>
        <v>-0</v>
      </c>
      <c r="BP60" s="56" t="n">
        <f aca="false">BP45+BP46+BP47+BP49+BP52+BP56</f>
        <v>-0</v>
      </c>
      <c r="BQ60" s="56" t="n">
        <f aca="false">BQ45+BQ46+BQ47+BQ49+BQ52+BQ56</f>
        <v>-0</v>
      </c>
      <c r="BR60" s="56" t="n">
        <f aca="false">BR45+BR46+BR47+BR49+BR52+BR56</f>
        <v>-0</v>
      </c>
      <c r="BS60" s="56" t="n">
        <f aca="false">BS45+BS46+BS47+BS49+BS52+BS56</f>
        <v>-0</v>
      </c>
      <c r="BT60" s="56" t="n">
        <f aca="false">BT45+BT46+BT47+BT49+BT52+BT56</f>
        <v>-0</v>
      </c>
      <c r="BU60" s="56" t="n">
        <f aca="false">BU45+BU46+BU47+BU49+BU52+BU56</f>
        <v>-0</v>
      </c>
      <c r="BV60" s="56" t="n">
        <f aca="false">BV45+BV46+BV47+BV49+BV52+BV56</f>
        <v>-0</v>
      </c>
      <c r="BW60" s="56" t="n">
        <f aca="false">BW45+BW46+BW47+BW49+BW52+BW56</f>
        <v>-0</v>
      </c>
      <c r="BX60" s="56" t="n">
        <f aca="false">BX45+BX46+BX47+BX49+BX52+BX56</f>
        <v>-0</v>
      </c>
      <c r="BY60" s="56" t="n">
        <f aca="false">BY45+BY46+BY47+BY49+BY52+BY56</f>
        <v>-0</v>
      </c>
      <c r="BZ60" s="56" t="n">
        <f aca="false">BZ45+BZ46+BZ47+BZ49+BZ52+BZ56</f>
        <v>-0</v>
      </c>
      <c r="CA60" s="56" t="n">
        <f aca="false">CA45+CA46+CA47+CA49+CA52+CA56</f>
        <v>-0</v>
      </c>
      <c r="CB60" s="56" t="n">
        <f aca="false">CB45+CB46+CB47+CB49+CB52+CB56</f>
        <v>-0</v>
      </c>
      <c r="CC60" s="56" t="n">
        <f aca="false">CC45+CC46+CC47+CC49+CC52+CC56</f>
        <v>-0</v>
      </c>
      <c r="CD60" s="56" t="n">
        <f aca="false">CD45+CD46+CD47+CD49+CD52+CD56</f>
        <v>-0</v>
      </c>
      <c r="CE60" s="56" t="n">
        <f aca="false">CE45+CE46+CE47+CE49+CE52+CE56</f>
        <v>-0</v>
      </c>
      <c r="CF60" s="56" t="n">
        <f aca="false">CF45+CF46+CF47+CF49+CF52+CF56</f>
        <v>-0</v>
      </c>
      <c r="CG60" s="56" t="n">
        <f aca="false">CG45+CG46+CG47+CG49+CG52+CG56</f>
        <v>-0</v>
      </c>
      <c r="CH60" s="56" t="n">
        <f aca="false">CH45+CH46+CH47+CH49+CH52+CH56</f>
        <v>-0</v>
      </c>
      <c r="CI60" s="56" t="n">
        <f aca="false">CI45+CI46+CI47+CI49+CI52+CI56</f>
        <v>-0</v>
      </c>
      <c r="CJ60" s="56" t="n">
        <f aca="false">CJ45+CJ46+CJ47+CJ49+CJ52+CJ56</f>
        <v>-0</v>
      </c>
      <c r="CK60" s="56" t="n">
        <f aca="false">CK45+CK46+CK47+CK49+CK52+CK56</f>
        <v>-0</v>
      </c>
      <c r="CL60" s="56" t="n">
        <f aca="false">CL45+CL46+CL47+CL49+CL52+CL56</f>
        <v>-0</v>
      </c>
      <c r="CM60" s="56" t="n">
        <f aca="false">CM45+CM46+CM47+CM49+CM52+CM56</f>
        <v>-0</v>
      </c>
      <c r="CN60" s="56" t="n">
        <f aca="false">CN45+CN46+CN47+CN49+CN52+CN56</f>
        <v>-0</v>
      </c>
      <c r="CO60" s="56" t="n">
        <f aca="false">CO45+CO46+CO47+CO49+CO52+CO56</f>
        <v>-0</v>
      </c>
      <c r="CP60" s="56" t="n">
        <f aca="false">CP45+CP46+CP47+CP49+CP52+CP56</f>
        <v>-0</v>
      </c>
      <c r="CQ60" s="56" t="n">
        <f aca="false">CQ45+CQ46+CQ47+CQ49+CQ52+CQ56</f>
        <v>-0</v>
      </c>
      <c r="CR60" s="56" t="n">
        <f aca="false">CR45+CR46+CR47+CR49+CR52+CR56</f>
        <v>-0</v>
      </c>
      <c r="CS60" s="56" t="n">
        <f aca="false">CS45+CS46+CS47+CS49+CS52+CS56</f>
        <v>-0</v>
      </c>
      <c r="CT60" s="56" t="n">
        <f aca="false">CT45+CT46+CT47+CT49+CT52+CT56</f>
        <v>-0</v>
      </c>
      <c r="CU60" s="56" t="n">
        <f aca="false">CU45+CU46+CU47+CU49+CU52+CU56</f>
        <v>-0</v>
      </c>
      <c r="CV60" s="56" t="n">
        <f aca="false">CV45+CV46+CV47+CV49+CV52+CV56</f>
        <v>-0</v>
      </c>
      <c r="CW60" s="56" t="n">
        <f aca="false">CW45+CW46+CW47+CW49+CW52+CW56</f>
        <v>-0</v>
      </c>
      <c r="CX60" s="56" t="n">
        <f aca="false">CX45+CX46+CX47+CX49+CX52+CX56</f>
        <v>-0</v>
      </c>
      <c r="CY60" s="56" t="n">
        <f aca="false">CY45+CY46+CY47+CY49+CY52+CY56</f>
        <v>-0</v>
      </c>
      <c r="CZ60" s="56" t="n">
        <f aca="false">CZ45+CZ46+CZ47+CZ49+CZ52+CZ56</f>
        <v>-0</v>
      </c>
      <c r="DA60" s="56" t="n">
        <f aca="false">DA45+DA46+DA47+DA49+DA52+DA56</f>
        <v>-0</v>
      </c>
      <c r="DB60" s="56" t="n">
        <f aca="false">DB45+DB46+DB47+DB49+DB52+DB56</f>
        <v>-0</v>
      </c>
      <c r="DC60" s="56" t="n">
        <f aca="false">DC45+DC46+DC47+DC49+DC52+DC56</f>
        <v>-0</v>
      </c>
      <c r="DD60" s="56" t="n">
        <f aca="false">DD45+DD46+DD47+DD49+DD52+DD56</f>
        <v>-0</v>
      </c>
      <c r="DE60" s="56" t="n">
        <f aca="false">DE45+DE46+DE47+DE49+DE52+DE56</f>
        <v>-0</v>
      </c>
      <c r="DF60" s="56" t="n">
        <f aca="false">DF45+DF46+DF47+DF49+DF52+DF56</f>
        <v>-0</v>
      </c>
      <c r="DG60" s="56" t="n">
        <f aca="false">DG45+DG46+DG47+DG49+DG52+DG56</f>
        <v>-0</v>
      </c>
      <c r="DH60" s="56" t="n">
        <f aca="false">DH45+DH46+DH47+DH49+DH52+DH56</f>
        <v>-0</v>
      </c>
      <c r="DI60" s="56" t="n">
        <f aca="false">DI45+DI46+DI47+DI49+DI52+DI56</f>
        <v>-0</v>
      </c>
      <c r="DJ60" s="56" t="n">
        <f aca="false">DJ45+DJ46+DJ47+DJ49+DJ52+DJ56</f>
        <v>-0</v>
      </c>
      <c r="DK60" s="56" t="n">
        <f aca="false">DK45+DK46+DK47+DK49+DK52+DK56</f>
        <v>-0</v>
      </c>
      <c r="DL60" s="56" t="n">
        <f aca="false">DL45+DL46+DL47+DL49+DL52+DL56</f>
        <v>-0</v>
      </c>
      <c r="DM60" s="56" t="n">
        <f aca="false">DM45+DM46+DM47+DM49+DM52+DM56</f>
        <v>-0</v>
      </c>
      <c r="DN60" s="56" t="n">
        <f aca="false">DN45+DN46+DN47+DN49+DN52+DN56</f>
        <v>-0</v>
      </c>
      <c r="DO60" s="56" t="n">
        <f aca="false">DO45+DO46+DO47+DO49+DO52+DO56</f>
        <v>-0</v>
      </c>
      <c r="DP60" s="56" t="n">
        <f aca="false">DP45+DP46+DP47+DP49+DP52+DP56</f>
        <v>-0</v>
      </c>
      <c r="DQ60" s="56" t="n">
        <f aca="false">DQ45+DQ46+DQ47+DQ49+DQ52+DQ56</f>
        <v>-0</v>
      </c>
      <c r="DR60" s="56" t="n">
        <f aca="false">DR45+DR46+DR47+DR49+DR52+DR56</f>
        <v>-0</v>
      </c>
      <c r="DS60" s="56" t="n">
        <f aca="false">DS45+DS46+DS47+DS49+DS52+DS56</f>
        <v>-0</v>
      </c>
      <c r="DT60" s="56" t="n">
        <f aca="false">DT45+DT46+DT47+DT49+DT52+DT56</f>
        <v>-0</v>
      </c>
      <c r="DU60" s="56" t="n">
        <f aca="false">DU45+DU46+DU47+DU49+DU52+DU56</f>
        <v>-0</v>
      </c>
      <c r="DV60" s="56" t="n">
        <f aca="false">DV45+DV46+DV47+DV49+DV52+DV56</f>
        <v>-0</v>
      </c>
      <c r="DW60" s="56" t="n">
        <f aca="false">DW45+DW46+DW47+DW49+DW52+DW56</f>
        <v>-0</v>
      </c>
      <c r="DX60" s="56" t="n">
        <f aca="false">DX45+DX46+DX47+DX49+DX52+DX56</f>
        <v>-0</v>
      </c>
      <c r="DY60" s="56" t="n">
        <f aca="false">DY45+DY46+DY47+DY49+DY52+DY56</f>
        <v>-0</v>
      </c>
      <c r="DZ60" s="56" t="n">
        <f aca="false">DZ45+DZ46+DZ47+DZ49+DZ52+DZ56</f>
        <v>-0</v>
      </c>
      <c r="EA60" s="56" t="n">
        <f aca="false">EA45+EA46+EA47+EA49+EA52+EA56</f>
        <v>-0</v>
      </c>
      <c r="EB60" s="56" t="n">
        <f aca="false">EB45+EB46+EB47+EB49+EB52+EB56</f>
        <v>-0</v>
      </c>
      <c r="EC60" s="56" t="n">
        <f aca="false">EC45+EC46+EC47+EC49+EC52+EC56</f>
        <v>-0</v>
      </c>
      <c r="ED60" s="56" t="n">
        <f aca="false">ED45+ED46+ED47+ED49+ED52+ED56</f>
        <v>-0</v>
      </c>
      <c r="EE60" s="56" t="n">
        <f aca="false">EE45+EE46+EE47+EE49+EE52+EE56</f>
        <v>-0</v>
      </c>
      <c r="EF60" s="56" t="n">
        <f aca="false">EF45+EF46+EF47+EF49+EF52+EF56</f>
        <v>-0</v>
      </c>
      <c r="EG60" s="56" t="n">
        <f aca="false">EG45+EG46+EG47+EG49+EG52+EG56</f>
        <v>-0</v>
      </c>
      <c r="EH60" s="56" t="n">
        <f aca="false">EH45+EH46+EH47+EH49+EH52+EH56</f>
        <v>-0</v>
      </c>
      <c r="EI60" s="56" t="n">
        <f aca="false">EI45+EI46+EI47+EI49+EI52+EI56</f>
        <v>-0</v>
      </c>
      <c r="EJ60" s="56" t="n">
        <f aca="false">EJ45+EJ46+EJ47+EJ49+EJ52+EJ56</f>
        <v>-0</v>
      </c>
      <c r="EK60" s="56" t="n">
        <f aca="false">EK45+EK46+EK47+EK49+EK52+EK56</f>
        <v>-0</v>
      </c>
      <c r="EL60" s="56" t="n">
        <f aca="false">EL45+EL46+EL47+EL49+EL52+EL56</f>
        <v>-0</v>
      </c>
      <c r="EM60" s="56" t="n">
        <f aca="false">EM45+EM46+EM47+EM49+EM52+EM56</f>
        <v>-0</v>
      </c>
      <c r="EN60" s="56" t="n">
        <f aca="false">EN45+EN46+EN47+EN49+EN52+EN56</f>
        <v>-0</v>
      </c>
      <c r="EO60" s="56" t="n">
        <f aca="false">EO45+EO46+EO47+EO49+EO52+EO56</f>
        <v>-0</v>
      </c>
    </row>
    <row r="62" customFormat="false" ht="15" hidden="false" customHeight="false" outlineLevel="0" collapsed="false">
      <c r="A62" s="9" t="s">
        <v>13</v>
      </c>
      <c r="B62" s="9"/>
      <c r="C62" s="9" t="s">
        <v>432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</row>
    <row r="63" customFormat="false" ht="15" hidden="false" customHeight="false" outlineLevel="0" collapsed="false">
      <c r="C63" s="0" t="s">
        <v>433</v>
      </c>
      <c r="D63" s="11" t="s">
        <v>19</v>
      </c>
      <c r="E63" s="47" t="n">
        <f aca="false">IF($E39=1,In_Turbine,In_Turbine_CN)</f>
        <v>950</v>
      </c>
    </row>
    <row r="64" customFormat="false" ht="15" hidden="false" customHeight="false" outlineLevel="0" collapsed="false">
      <c r="C64" s="0" t="s">
        <v>434</v>
      </c>
      <c r="D64" s="11" t="s">
        <v>33</v>
      </c>
      <c r="E64" s="47" t="n">
        <f aca="false">IF($E39=1,In_Substation,In_Substation_CN)</f>
        <v>12000</v>
      </c>
    </row>
    <row r="65" customFormat="false" ht="15" hidden="false" customHeight="false" outlineLevel="0" collapsed="false">
      <c r="C65" s="0" t="s">
        <v>435</v>
      </c>
      <c r="D65" s="11" t="s">
        <v>33</v>
      </c>
      <c r="E65" s="47" t="n">
        <f aca="false">(($E63+In_Other_Wind)*$F25+$E64)*(1+In_Capex_Contingency)+In_BESS_Capex*$F26</f>
        <v>90363.75</v>
      </c>
      <c r="I65" s="47" t="n">
        <f aca="false">SUM(J65:EO65)</f>
        <v>-90363.75</v>
      </c>
      <c r="J65" s="47" t="n">
        <f aca="false">-$E65*J12</f>
        <v>-0</v>
      </c>
      <c r="K65" s="47" t="n">
        <f aca="false">-$E65*K12</f>
        <v>-0</v>
      </c>
      <c r="L65" s="47" t="n">
        <f aca="false">-$E65*L12</f>
        <v>-0</v>
      </c>
      <c r="M65" s="47" t="n">
        <f aca="false">-$E65*M12</f>
        <v>-0</v>
      </c>
      <c r="N65" s="47" t="n">
        <f aca="false">-$E65*N12</f>
        <v>-0</v>
      </c>
      <c r="O65" s="47" t="n">
        <f aca="false">-$E65*O12</f>
        <v>-0</v>
      </c>
      <c r="P65" s="47" t="n">
        <f aca="false">-$E65*P12</f>
        <v>-0</v>
      </c>
      <c r="Q65" s="47" t="n">
        <f aca="false">-$E65*Q12</f>
        <v>-0</v>
      </c>
      <c r="R65" s="47" t="n">
        <f aca="false">-$E65*R12</f>
        <v>-11388.3082191781</v>
      </c>
      <c r="S65" s="47" t="n">
        <f aca="false">-$E65*S12</f>
        <v>-11140.7363013699</v>
      </c>
      <c r="T65" s="47" t="n">
        <f aca="false">-$E65*T12</f>
        <v>-11264.522260274</v>
      </c>
      <c r="U65" s="47" t="n">
        <f aca="false">-$E65*U12</f>
        <v>-11388.3082191781</v>
      </c>
      <c r="V65" s="47" t="n">
        <f aca="false">-$E65*V12</f>
        <v>-11388.3082191781</v>
      </c>
      <c r="W65" s="47" t="n">
        <f aca="false">-$E65*W12</f>
        <v>-11140.7363013699</v>
      </c>
      <c r="X65" s="47" t="n">
        <f aca="false">-$E65*X12</f>
        <v>-11264.522260274</v>
      </c>
      <c r="Y65" s="47" t="n">
        <f aca="false">-$E65*Y12</f>
        <v>-11388.3082191781</v>
      </c>
      <c r="Z65" s="47" t="n">
        <f aca="false">-$E65*Z12</f>
        <v>-0</v>
      </c>
      <c r="AA65" s="47" t="n">
        <f aca="false">-$E65*AA12</f>
        <v>-0</v>
      </c>
      <c r="AB65" s="47" t="n">
        <f aca="false">-$E65*AB12</f>
        <v>-0</v>
      </c>
      <c r="AC65" s="47" t="n">
        <f aca="false">-$E65*AC12</f>
        <v>-0</v>
      </c>
      <c r="AD65" s="47" t="n">
        <f aca="false">-$E65*AD12</f>
        <v>-0</v>
      </c>
      <c r="AE65" s="47" t="n">
        <f aca="false">-$E65*AE12</f>
        <v>-0</v>
      </c>
      <c r="AF65" s="47" t="n">
        <f aca="false">-$E65*AF12</f>
        <v>-0</v>
      </c>
      <c r="AG65" s="47" t="n">
        <f aca="false">-$E65*AG12</f>
        <v>-0</v>
      </c>
      <c r="AH65" s="47" t="n">
        <f aca="false">-$E65*AH12</f>
        <v>-0</v>
      </c>
      <c r="AI65" s="47" t="n">
        <f aca="false">-$E65*AI12</f>
        <v>-0</v>
      </c>
      <c r="AJ65" s="47" t="n">
        <f aca="false">-$E65*AJ12</f>
        <v>-0</v>
      </c>
      <c r="AK65" s="47" t="n">
        <f aca="false">-$E65*AK12</f>
        <v>-0</v>
      </c>
      <c r="AL65" s="47" t="n">
        <f aca="false">-$E65*AL12</f>
        <v>-0</v>
      </c>
      <c r="AM65" s="47" t="n">
        <f aca="false">-$E65*AM12</f>
        <v>-0</v>
      </c>
      <c r="AN65" s="47" t="n">
        <f aca="false">-$E65*AN12</f>
        <v>-0</v>
      </c>
      <c r="AO65" s="47" t="n">
        <f aca="false">-$E65*AO12</f>
        <v>-0</v>
      </c>
      <c r="AP65" s="47" t="n">
        <f aca="false">-$E65*AP12</f>
        <v>-0</v>
      </c>
      <c r="AQ65" s="47" t="n">
        <f aca="false">-$E65*AQ12</f>
        <v>-0</v>
      </c>
      <c r="AR65" s="47" t="n">
        <f aca="false">-$E65*AR12</f>
        <v>-0</v>
      </c>
      <c r="AS65" s="47" t="n">
        <f aca="false">-$E65*AS12</f>
        <v>-0</v>
      </c>
      <c r="AT65" s="47" t="n">
        <f aca="false">-$E65*AT12</f>
        <v>-0</v>
      </c>
      <c r="AU65" s="47" t="n">
        <f aca="false">-$E65*AU12</f>
        <v>-0</v>
      </c>
      <c r="AV65" s="47" t="n">
        <f aca="false">-$E65*AV12</f>
        <v>-0</v>
      </c>
      <c r="AW65" s="47" t="n">
        <f aca="false">-$E65*AW12</f>
        <v>-0</v>
      </c>
      <c r="AX65" s="47" t="n">
        <f aca="false">-$E65*AX12</f>
        <v>-0</v>
      </c>
      <c r="AY65" s="47" t="n">
        <f aca="false">-$E65*AY12</f>
        <v>-0</v>
      </c>
      <c r="AZ65" s="47" t="n">
        <f aca="false">-$E65*AZ12</f>
        <v>-0</v>
      </c>
      <c r="BA65" s="47" t="n">
        <f aca="false">-$E65*BA12</f>
        <v>-0</v>
      </c>
      <c r="BB65" s="47" t="n">
        <f aca="false">-$E65*BB12</f>
        <v>-0</v>
      </c>
      <c r="BC65" s="47" t="n">
        <f aca="false">-$E65*BC12</f>
        <v>-0</v>
      </c>
      <c r="BD65" s="47" t="n">
        <f aca="false">-$E65*BD12</f>
        <v>-0</v>
      </c>
      <c r="BE65" s="47" t="n">
        <f aca="false">-$E65*BE12</f>
        <v>-0</v>
      </c>
      <c r="BF65" s="47" t="n">
        <f aca="false">-$E65*BF12</f>
        <v>-0</v>
      </c>
      <c r="BG65" s="47" t="n">
        <f aca="false">-$E65*BG12</f>
        <v>-0</v>
      </c>
      <c r="BH65" s="47" t="n">
        <f aca="false">-$E65*BH12</f>
        <v>-0</v>
      </c>
      <c r="BI65" s="47" t="n">
        <f aca="false">-$E65*BI12</f>
        <v>-0</v>
      </c>
      <c r="BJ65" s="47" t="n">
        <f aca="false">-$E65*BJ12</f>
        <v>-0</v>
      </c>
      <c r="BK65" s="47" t="n">
        <f aca="false">-$E65*BK12</f>
        <v>-0</v>
      </c>
      <c r="BL65" s="47" t="n">
        <f aca="false">-$E65*BL12</f>
        <v>-0</v>
      </c>
      <c r="BM65" s="47" t="n">
        <f aca="false">-$E65*BM12</f>
        <v>-0</v>
      </c>
      <c r="BN65" s="47" t="n">
        <f aca="false">-$E65*BN12</f>
        <v>-0</v>
      </c>
      <c r="BO65" s="47" t="n">
        <f aca="false">-$E65*BO12</f>
        <v>-0</v>
      </c>
      <c r="BP65" s="47" t="n">
        <f aca="false">-$E65*BP12</f>
        <v>-0</v>
      </c>
      <c r="BQ65" s="47" t="n">
        <f aca="false">-$E65*BQ12</f>
        <v>-0</v>
      </c>
      <c r="BR65" s="47" t="n">
        <f aca="false">-$E65*BR12</f>
        <v>-0</v>
      </c>
      <c r="BS65" s="47" t="n">
        <f aca="false">-$E65*BS12</f>
        <v>-0</v>
      </c>
      <c r="BT65" s="47" t="n">
        <f aca="false">-$E65*BT12</f>
        <v>-0</v>
      </c>
      <c r="BU65" s="47" t="n">
        <f aca="false">-$E65*BU12</f>
        <v>-0</v>
      </c>
      <c r="BV65" s="47" t="n">
        <f aca="false">-$E65*BV12</f>
        <v>-0</v>
      </c>
      <c r="BW65" s="47" t="n">
        <f aca="false">-$E65*BW12</f>
        <v>-0</v>
      </c>
      <c r="BX65" s="47" t="n">
        <f aca="false">-$E65*BX12</f>
        <v>-0</v>
      </c>
      <c r="BY65" s="47" t="n">
        <f aca="false">-$E65*BY12</f>
        <v>-0</v>
      </c>
      <c r="BZ65" s="47" t="n">
        <f aca="false">-$E65*BZ12</f>
        <v>-0</v>
      </c>
      <c r="CA65" s="47" t="n">
        <f aca="false">-$E65*CA12</f>
        <v>-0</v>
      </c>
      <c r="CB65" s="47" t="n">
        <f aca="false">-$E65*CB12</f>
        <v>-0</v>
      </c>
      <c r="CC65" s="47" t="n">
        <f aca="false">-$E65*CC12</f>
        <v>-0</v>
      </c>
      <c r="CD65" s="47" t="n">
        <f aca="false">-$E65*CD12</f>
        <v>-0</v>
      </c>
      <c r="CE65" s="47" t="n">
        <f aca="false">-$E65*CE12</f>
        <v>-0</v>
      </c>
      <c r="CF65" s="47" t="n">
        <f aca="false">-$E65*CF12</f>
        <v>-0</v>
      </c>
      <c r="CG65" s="47" t="n">
        <f aca="false">-$E65*CG12</f>
        <v>-0</v>
      </c>
      <c r="CH65" s="47" t="n">
        <f aca="false">-$E65*CH12</f>
        <v>-0</v>
      </c>
      <c r="CI65" s="47" t="n">
        <f aca="false">-$E65*CI12</f>
        <v>-0</v>
      </c>
      <c r="CJ65" s="47" t="n">
        <f aca="false">-$E65*CJ12</f>
        <v>-0</v>
      </c>
      <c r="CK65" s="47" t="n">
        <f aca="false">-$E65*CK12</f>
        <v>-0</v>
      </c>
      <c r="CL65" s="47" t="n">
        <f aca="false">-$E65*CL12</f>
        <v>-0</v>
      </c>
      <c r="CM65" s="47" t="n">
        <f aca="false">-$E65*CM12</f>
        <v>-0</v>
      </c>
      <c r="CN65" s="47" t="n">
        <f aca="false">-$E65*CN12</f>
        <v>-0</v>
      </c>
      <c r="CO65" s="47" t="n">
        <f aca="false">-$E65*CO12</f>
        <v>-0</v>
      </c>
      <c r="CP65" s="47" t="n">
        <f aca="false">-$E65*CP12</f>
        <v>-0</v>
      </c>
      <c r="CQ65" s="47" t="n">
        <f aca="false">-$E65*CQ12</f>
        <v>-0</v>
      </c>
      <c r="CR65" s="47" t="n">
        <f aca="false">-$E65*CR12</f>
        <v>-0</v>
      </c>
      <c r="CS65" s="47" t="n">
        <f aca="false">-$E65*CS12</f>
        <v>-0</v>
      </c>
      <c r="CT65" s="47" t="n">
        <f aca="false">-$E65*CT12</f>
        <v>-0</v>
      </c>
      <c r="CU65" s="47" t="n">
        <f aca="false">-$E65*CU12</f>
        <v>-0</v>
      </c>
      <c r="CV65" s="47" t="n">
        <f aca="false">-$E65*CV12</f>
        <v>-0</v>
      </c>
      <c r="CW65" s="47" t="n">
        <f aca="false">-$E65*CW12</f>
        <v>-0</v>
      </c>
      <c r="CX65" s="47" t="n">
        <f aca="false">-$E65*CX12</f>
        <v>-0</v>
      </c>
      <c r="CY65" s="47" t="n">
        <f aca="false">-$E65*CY12</f>
        <v>-0</v>
      </c>
      <c r="CZ65" s="47" t="n">
        <f aca="false">-$E65*CZ12</f>
        <v>-0</v>
      </c>
      <c r="DA65" s="47" t="n">
        <f aca="false">-$E65*DA12</f>
        <v>-0</v>
      </c>
      <c r="DB65" s="47" t="n">
        <f aca="false">-$E65*DB12</f>
        <v>-0</v>
      </c>
      <c r="DC65" s="47" t="n">
        <f aca="false">-$E65*DC12</f>
        <v>-0</v>
      </c>
      <c r="DD65" s="47" t="n">
        <f aca="false">-$E65*DD12</f>
        <v>-0</v>
      </c>
      <c r="DE65" s="47" t="n">
        <f aca="false">-$E65*DE12</f>
        <v>-0</v>
      </c>
      <c r="DF65" s="47" t="n">
        <f aca="false">-$E65*DF12</f>
        <v>-0</v>
      </c>
      <c r="DG65" s="47" t="n">
        <f aca="false">-$E65*DG12</f>
        <v>-0</v>
      </c>
      <c r="DH65" s="47" t="n">
        <f aca="false">-$E65*DH12</f>
        <v>-0</v>
      </c>
      <c r="DI65" s="47" t="n">
        <f aca="false">-$E65*DI12</f>
        <v>-0</v>
      </c>
      <c r="DJ65" s="47" t="n">
        <f aca="false">-$E65*DJ12</f>
        <v>-0</v>
      </c>
      <c r="DK65" s="47" t="n">
        <f aca="false">-$E65*DK12</f>
        <v>-0</v>
      </c>
      <c r="DL65" s="47" t="n">
        <f aca="false">-$E65*DL12</f>
        <v>-0</v>
      </c>
      <c r="DM65" s="47" t="n">
        <f aca="false">-$E65*DM12</f>
        <v>-0</v>
      </c>
      <c r="DN65" s="47" t="n">
        <f aca="false">-$E65*DN12</f>
        <v>-0</v>
      </c>
      <c r="DO65" s="47" t="n">
        <f aca="false">-$E65*DO12</f>
        <v>-0</v>
      </c>
      <c r="DP65" s="47" t="n">
        <f aca="false">-$E65*DP12</f>
        <v>-0</v>
      </c>
      <c r="DQ65" s="47" t="n">
        <f aca="false">-$E65*DQ12</f>
        <v>-0</v>
      </c>
      <c r="DR65" s="47" t="n">
        <f aca="false">-$E65*DR12</f>
        <v>-0</v>
      </c>
      <c r="DS65" s="47" t="n">
        <f aca="false">-$E65*DS12</f>
        <v>-0</v>
      </c>
      <c r="DT65" s="47" t="n">
        <f aca="false">-$E65*DT12</f>
        <v>-0</v>
      </c>
      <c r="DU65" s="47" t="n">
        <f aca="false">-$E65*DU12</f>
        <v>-0</v>
      </c>
      <c r="DV65" s="47" t="n">
        <f aca="false">-$E65*DV12</f>
        <v>-0</v>
      </c>
      <c r="DW65" s="47" t="n">
        <f aca="false">-$E65*DW12</f>
        <v>-0</v>
      </c>
      <c r="DX65" s="47" t="n">
        <f aca="false">-$E65*DX12</f>
        <v>-0</v>
      </c>
      <c r="DY65" s="47" t="n">
        <f aca="false">-$E65*DY12</f>
        <v>-0</v>
      </c>
      <c r="DZ65" s="47" t="n">
        <f aca="false">-$E65*DZ12</f>
        <v>-0</v>
      </c>
      <c r="EA65" s="47" t="n">
        <f aca="false">-$E65*EA12</f>
        <v>-0</v>
      </c>
      <c r="EB65" s="47" t="n">
        <f aca="false">-$E65*EB12</f>
        <v>-0</v>
      </c>
      <c r="EC65" s="47" t="n">
        <f aca="false">-$E65*EC12</f>
        <v>-0</v>
      </c>
      <c r="ED65" s="47" t="n">
        <f aca="false">-$E65*ED12</f>
        <v>-0</v>
      </c>
      <c r="EE65" s="47" t="n">
        <f aca="false">-$E65*EE12</f>
        <v>-0</v>
      </c>
      <c r="EF65" s="47" t="n">
        <f aca="false">-$E65*EF12</f>
        <v>-0</v>
      </c>
      <c r="EG65" s="47" t="n">
        <f aca="false">-$E65*EG12</f>
        <v>-0</v>
      </c>
      <c r="EH65" s="47" t="n">
        <f aca="false">-$E65*EH12</f>
        <v>-0</v>
      </c>
      <c r="EI65" s="47" t="n">
        <f aca="false">-$E65*EI12</f>
        <v>-0</v>
      </c>
      <c r="EJ65" s="47" t="n">
        <f aca="false">-$E65*EJ12</f>
        <v>-0</v>
      </c>
      <c r="EK65" s="47" t="n">
        <f aca="false">-$E65*EK12</f>
        <v>-0</v>
      </c>
      <c r="EL65" s="47" t="n">
        <f aca="false">-$E65*EL12</f>
        <v>-0</v>
      </c>
      <c r="EM65" s="47" t="n">
        <f aca="false">-$E65*EM12</f>
        <v>-0</v>
      </c>
      <c r="EN65" s="47" t="n">
        <f aca="false">-$E65*EN12</f>
        <v>-0</v>
      </c>
      <c r="EO65" s="47" t="n">
        <f aca="false">-$E65*EO12</f>
        <v>-0</v>
      </c>
    </row>
    <row r="66" customFormat="false" ht="15" hidden="false" customHeight="false" outlineLevel="0" collapsed="false">
      <c r="C66" s="0" t="s">
        <v>436</v>
      </c>
      <c r="D66" s="11" t="s">
        <v>33</v>
      </c>
      <c r="E66" s="47" t="n">
        <f aca="false">$E32*In_MVA</f>
        <v>2500</v>
      </c>
      <c r="I66" s="47" t="n">
        <f aca="false">SUM(J66:EO66)</f>
        <v>-2500</v>
      </c>
      <c r="J66" s="47" t="n">
        <f aca="false">-$E66*J14</f>
        <v>-0</v>
      </c>
      <c r="K66" s="47" t="n">
        <f aca="false">-$E66*K14</f>
        <v>-0</v>
      </c>
      <c r="L66" s="47" t="n">
        <f aca="false">-$E66*L14</f>
        <v>-0</v>
      </c>
      <c r="M66" s="47" t="n">
        <f aca="false">-$E66*M14</f>
        <v>-0</v>
      </c>
      <c r="N66" s="47" t="n">
        <f aca="false">-$E66*N14</f>
        <v>-0</v>
      </c>
      <c r="O66" s="47" t="n">
        <f aca="false">-$E66*O14</f>
        <v>-0</v>
      </c>
      <c r="P66" s="47" t="n">
        <f aca="false">-$E66*P14</f>
        <v>-0</v>
      </c>
      <c r="Q66" s="47" t="n">
        <f aca="false">-$E66*Q14</f>
        <v>-0</v>
      </c>
      <c r="R66" s="47" t="n">
        <f aca="false">-$E66*R14</f>
        <v>-0</v>
      </c>
      <c r="S66" s="47" t="n">
        <f aca="false">-$E66*S14</f>
        <v>-0</v>
      </c>
      <c r="T66" s="47" t="n">
        <f aca="false">-$E66*T14</f>
        <v>-0</v>
      </c>
      <c r="U66" s="47" t="n">
        <f aca="false">-$E66*U14</f>
        <v>-0</v>
      </c>
      <c r="V66" s="47" t="n">
        <f aca="false">-$E66*V14</f>
        <v>-0</v>
      </c>
      <c r="W66" s="47" t="n">
        <f aca="false">-$E66*W14</f>
        <v>-0</v>
      </c>
      <c r="X66" s="47" t="n">
        <f aca="false">-$E66*X14</f>
        <v>-0</v>
      </c>
      <c r="Y66" s="47" t="n">
        <f aca="false">-$E66*Y14</f>
        <v>-2500</v>
      </c>
      <c r="Z66" s="47" t="n">
        <f aca="false">-$E66*Z14</f>
        <v>-0</v>
      </c>
      <c r="AA66" s="47" t="n">
        <f aca="false">-$E66*AA14</f>
        <v>-0</v>
      </c>
      <c r="AB66" s="47" t="n">
        <f aca="false">-$E66*AB14</f>
        <v>-0</v>
      </c>
      <c r="AC66" s="47" t="n">
        <f aca="false">-$E66*AC14</f>
        <v>-0</v>
      </c>
      <c r="AD66" s="47" t="n">
        <f aca="false">-$E66*AD14</f>
        <v>-0</v>
      </c>
      <c r="AE66" s="47" t="n">
        <f aca="false">-$E66*AE14</f>
        <v>-0</v>
      </c>
      <c r="AF66" s="47" t="n">
        <f aca="false">-$E66*AF14</f>
        <v>-0</v>
      </c>
      <c r="AG66" s="47" t="n">
        <f aca="false">-$E66*AG14</f>
        <v>-0</v>
      </c>
      <c r="AH66" s="47" t="n">
        <f aca="false">-$E66*AH14</f>
        <v>-0</v>
      </c>
      <c r="AI66" s="47" t="n">
        <f aca="false">-$E66*AI14</f>
        <v>-0</v>
      </c>
      <c r="AJ66" s="47" t="n">
        <f aca="false">-$E66*AJ14</f>
        <v>-0</v>
      </c>
      <c r="AK66" s="47" t="n">
        <f aca="false">-$E66*AK14</f>
        <v>-0</v>
      </c>
      <c r="AL66" s="47" t="n">
        <f aca="false">-$E66*AL14</f>
        <v>-0</v>
      </c>
      <c r="AM66" s="47" t="n">
        <f aca="false">-$E66*AM14</f>
        <v>-0</v>
      </c>
      <c r="AN66" s="47" t="n">
        <f aca="false">-$E66*AN14</f>
        <v>-0</v>
      </c>
      <c r="AO66" s="47" t="n">
        <f aca="false">-$E66*AO14</f>
        <v>-0</v>
      </c>
      <c r="AP66" s="47" t="n">
        <f aca="false">-$E66*AP14</f>
        <v>-0</v>
      </c>
      <c r="AQ66" s="47" t="n">
        <f aca="false">-$E66*AQ14</f>
        <v>-0</v>
      </c>
      <c r="AR66" s="47" t="n">
        <f aca="false">-$E66*AR14</f>
        <v>-0</v>
      </c>
      <c r="AS66" s="47" t="n">
        <f aca="false">-$E66*AS14</f>
        <v>-0</v>
      </c>
      <c r="AT66" s="47" t="n">
        <f aca="false">-$E66*AT14</f>
        <v>-0</v>
      </c>
      <c r="AU66" s="47" t="n">
        <f aca="false">-$E66*AU14</f>
        <v>-0</v>
      </c>
      <c r="AV66" s="47" t="n">
        <f aca="false">-$E66*AV14</f>
        <v>-0</v>
      </c>
      <c r="AW66" s="47" t="n">
        <f aca="false">-$E66*AW14</f>
        <v>-0</v>
      </c>
      <c r="AX66" s="47" t="n">
        <f aca="false">-$E66*AX14</f>
        <v>-0</v>
      </c>
      <c r="AY66" s="47" t="n">
        <f aca="false">-$E66*AY14</f>
        <v>-0</v>
      </c>
      <c r="AZ66" s="47" t="n">
        <f aca="false">-$E66*AZ14</f>
        <v>-0</v>
      </c>
      <c r="BA66" s="47" t="n">
        <f aca="false">-$E66*BA14</f>
        <v>-0</v>
      </c>
      <c r="BB66" s="47" t="n">
        <f aca="false">-$E66*BB14</f>
        <v>-0</v>
      </c>
      <c r="BC66" s="47" t="n">
        <f aca="false">-$E66*BC14</f>
        <v>-0</v>
      </c>
      <c r="BD66" s="47" t="n">
        <f aca="false">-$E66*BD14</f>
        <v>-0</v>
      </c>
      <c r="BE66" s="47" t="n">
        <f aca="false">-$E66*BE14</f>
        <v>-0</v>
      </c>
      <c r="BF66" s="47" t="n">
        <f aca="false">-$E66*BF14</f>
        <v>-0</v>
      </c>
      <c r="BG66" s="47" t="n">
        <f aca="false">-$E66*BG14</f>
        <v>-0</v>
      </c>
      <c r="BH66" s="47" t="n">
        <f aca="false">-$E66*BH14</f>
        <v>-0</v>
      </c>
      <c r="BI66" s="47" t="n">
        <f aca="false">-$E66*BI14</f>
        <v>-0</v>
      </c>
      <c r="BJ66" s="47" t="n">
        <f aca="false">-$E66*BJ14</f>
        <v>-0</v>
      </c>
      <c r="BK66" s="47" t="n">
        <f aca="false">-$E66*BK14</f>
        <v>-0</v>
      </c>
      <c r="BL66" s="47" t="n">
        <f aca="false">-$E66*BL14</f>
        <v>-0</v>
      </c>
      <c r="BM66" s="47" t="n">
        <f aca="false">-$E66*BM14</f>
        <v>-0</v>
      </c>
      <c r="BN66" s="47" t="n">
        <f aca="false">-$E66*BN14</f>
        <v>-0</v>
      </c>
      <c r="BO66" s="47" t="n">
        <f aca="false">-$E66*BO14</f>
        <v>-0</v>
      </c>
      <c r="BP66" s="47" t="n">
        <f aca="false">-$E66*BP14</f>
        <v>-0</v>
      </c>
      <c r="BQ66" s="47" t="n">
        <f aca="false">-$E66*BQ14</f>
        <v>-0</v>
      </c>
      <c r="BR66" s="47" t="n">
        <f aca="false">-$E66*BR14</f>
        <v>-0</v>
      </c>
      <c r="BS66" s="47" t="n">
        <f aca="false">-$E66*BS14</f>
        <v>-0</v>
      </c>
      <c r="BT66" s="47" t="n">
        <f aca="false">-$E66*BT14</f>
        <v>-0</v>
      </c>
      <c r="BU66" s="47" t="n">
        <f aca="false">-$E66*BU14</f>
        <v>-0</v>
      </c>
      <c r="BV66" s="47" t="n">
        <f aca="false">-$E66*BV14</f>
        <v>-0</v>
      </c>
      <c r="BW66" s="47" t="n">
        <f aca="false">-$E66*BW14</f>
        <v>-0</v>
      </c>
      <c r="BX66" s="47" t="n">
        <f aca="false">-$E66*BX14</f>
        <v>-0</v>
      </c>
      <c r="BY66" s="47" t="n">
        <f aca="false">-$E66*BY14</f>
        <v>-0</v>
      </c>
      <c r="BZ66" s="47" t="n">
        <f aca="false">-$E66*BZ14</f>
        <v>-0</v>
      </c>
      <c r="CA66" s="47" t="n">
        <f aca="false">-$E66*CA14</f>
        <v>-0</v>
      </c>
      <c r="CB66" s="47" t="n">
        <f aca="false">-$E66*CB14</f>
        <v>-0</v>
      </c>
      <c r="CC66" s="47" t="n">
        <f aca="false">-$E66*CC14</f>
        <v>-0</v>
      </c>
      <c r="CD66" s="47" t="n">
        <f aca="false">-$E66*CD14</f>
        <v>-0</v>
      </c>
      <c r="CE66" s="47" t="n">
        <f aca="false">-$E66*CE14</f>
        <v>-0</v>
      </c>
      <c r="CF66" s="47" t="n">
        <f aca="false">-$E66*CF14</f>
        <v>-0</v>
      </c>
      <c r="CG66" s="47" t="n">
        <f aca="false">-$E66*CG14</f>
        <v>-0</v>
      </c>
      <c r="CH66" s="47" t="n">
        <f aca="false">-$E66*CH14</f>
        <v>-0</v>
      </c>
      <c r="CI66" s="47" t="n">
        <f aca="false">-$E66*CI14</f>
        <v>-0</v>
      </c>
      <c r="CJ66" s="47" t="n">
        <f aca="false">-$E66*CJ14</f>
        <v>-0</v>
      </c>
      <c r="CK66" s="47" t="n">
        <f aca="false">-$E66*CK14</f>
        <v>-0</v>
      </c>
      <c r="CL66" s="47" t="n">
        <f aca="false">-$E66*CL14</f>
        <v>-0</v>
      </c>
      <c r="CM66" s="47" t="n">
        <f aca="false">-$E66*CM14</f>
        <v>-0</v>
      </c>
      <c r="CN66" s="47" t="n">
        <f aca="false">-$E66*CN14</f>
        <v>-0</v>
      </c>
      <c r="CO66" s="47" t="n">
        <f aca="false">-$E66*CO14</f>
        <v>-0</v>
      </c>
      <c r="CP66" s="47" t="n">
        <f aca="false">-$E66*CP14</f>
        <v>-0</v>
      </c>
      <c r="CQ66" s="47" t="n">
        <f aca="false">-$E66*CQ14</f>
        <v>-0</v>
      </c>
      <c r="CR66" s="47" t="n">
        <f aca="false">-$E66*CR14</f>
        <v>-0</v>
      </c>
      <c r="CS66" s="47" t="n">
        <f aca="false">-$E66*CS14</f>
        <v>-0</v>
      </c>
      <c r="CT66" s="47" t="n">
        <f aca="false">-$E66*CT14</f>
        <v>-0</v>
      </c>
      <c r="CU66" s="47" t="n">
        <f aca="false">-$E66*CU14</f>
        <v>-0</v>
      </c>
      <c r="CV66" s="47" t="n">
        <f aca="false">-$E66*CV14</f>
        <v>-0</v>
      </c>
      <c r="CW66" s="47" t="n">
        <f aca="false">-$E66*CW14</f>
        <v>-0</v>
      </c>
      <c r="CX66" s="47" t="n">
        <f aca="false">-$E66*CX14</f>
        <v>-0</v>
      </c>
      <c r="CY66" s="47" t="n">
        <f aca="false">-$E66*CY14</f>
        <v>-0</v>
      </c>
      <c r="CZ66" s="47" t="n">
        <f aca="false">-$E66*CZ14</f>
        <v>-0</v>
      </c>
      <c r="DA66" s="47" t="n">
        <f aca="false">-$E66*DA14</f>
        <v>-0</v>
      </c>
      <c r="DB66" s="47" t="n">
        <f aca="false">-$E66*DB14</f>
        <v>-0</v>
      </c>
      <c r="DC66" s="47" t="n">
        <f aca="false">-$E66*DC14</f>
        <v>-0</v>
      </c>
      <c r="DD66" s="47" t="n">
        <f aca="false">-$E66*DD14</f>
        <v>-0</v>
      </c>
      <c r="DE66" s="47" t="n">
        <f aca="false">-$E66*DE14</f>
        <v>-0</v>
      </c>
      <c r="DF66" s="47" t="n">
        <f aca="false">-$E66*DF14</f>
        <v>-0</v>
      </c>
      <c r="DG66" s="47" t="n">
        <f aca="false">-$E66*DG14</f>
        <v>-0</v>
      </c>
      <c r="DH66" s="47" t="n">
        <f aca="false">-$E66*DH14</f>
        <v>-0</v>
      </c>
      <c r="DI66" s="47" t="n">
        <f aca="false">-$E66*DI14</f>
        <v>-0</v>
      </c>
      <c r="DJ66" s="47" t="n">
        <f aca="false">-$E66*DJ14</f>
        <v>-0</v>
      </c>
      <c r="DK66" s="47" t="n">
        <f aca="false">-$E66*DK14</f>
        <v>-0</v>
      </c>
      <c r="DL66" s="47" t="n">
        <f aca="false">-$E66*DL14</f>
        <v>-0</v>
      </c>
      <c r="DM66" s="47" t="n">
        <f aca="false">-$E66*DM14</f>
        <v>-0</v>
      </c>
      <c r="DN66" s="47" t="n">
        <f aca="false">-$E66*DN14</f>
        <v>-0</v>
      </c>
      <c r="DO66" s="47" t="n">
        <f aca="false">-$E66*DO14</f>
        <v>-0</v>
      </c>
      <c r="DP66" s="47" t="n">
        <f aca="false">-$E66*DP14</f>
        <v>-0</v>
      </c>
      <c r="DQ66" s="47" t="n">
        <f aca="false">-$E66*DQ14</f>
        <v>-0</v>
      </c>
      <c r="DR66" s="47" t="n">
        <f aca="false">-$E66*DR14</f>
        <v>-0</v>
      </c>
      <c r="DS66" s="47" t="n">
        <f aca="false">-$E66*DS14</f>
        <v>-0</v>
      </c>
      <c r="DT66" s="47" t="n">
        <f aca="false">-$E66*DT14</f>
        <v>-0</v>
      </c>
      <c r="DU66" s="47" t="n">
        <f aca="false">-$E66*DU14</f>
        <v>-0</v>
      </c>
      <c r="DV66" s="47" t="n">
        <f aca="false">-$E66*DV14</f>
        <v>-0</v>
      </c>
      <c r="DW66" s="47" t="n">
        <f aca="false">-$E66*DW14</f>
        <v>-0</v>
      </c>
      <c r="DX66" s="47" t="n">
        <f aca="false">-$E66*DX14</f>
        <v>-0</v>
      </c>
      <c r="DY66" s="47" t="n">
        <f aca="false">-$E66*DY14</f>
        <v>-0</v>
      </c>
      <c r="DZ66" s="47" t="n">
        <f aca="false">-$E66*DZ14</f>
        <v>-0</v>
      </c>
      <c r="EA66" s="47" t="n">
        <f aca="false">-$E66*EA14</f>
        <v>-0</v>
      </c>
      <c r="EB66" s="47" t="n">
        <f aca="false">-$E66*EB14</f>
        <v>-0</v>
      </c>
      <c r="EC66" s="47" t="n">
        <f aca="false">-$E66*EC14</f>
        <v>-0</v>
      </c>
      <c r="ED66" s="47" t="n">
        <f aca="false">-$E66*ED14</f>
        <v>-0</v>
      </c>
      <c r="EE66" s="47" t="n">
        <f aca="false">-$E66*EE14</f>
        <v>-0</v>
      </c>
      <c r="EF66" s="47" t="n">
        <f aca="false">-$E66*EF14</f>
        <v>-0</v>
      </c>
      <c r="EG66" s="47" t="n">
        <f aca="false">-$E66*EG14</f>
        <v>-0</v>
      </c>
      <c r="EH66" s="47" t="n">
        <f aca="false">-$E66*EH14</f>
        <v>-0</v>
      </c>
      <c r="EI66" s="47" t="n">
        <f aca="false">-$E66*EI14</f>
        <v>-0</v>
      </c>
      <c r="EJ66" s="47" t="n">
        <f aca="false">-$E66*EJ14</f>
        <v>-0</v>
      </c>
      <c r="EK66" s="47" t="n">
        <f aca="false">-$E66*EK14</f>
        <v>-0</v>
      </c>
      <c r="EL66" s="47" t="n">
        <f aca="false">-$E66*EL14</f>
        <v>-0</v>
      </c>
      <c r="EM66" s="47" t="n">
        <f aca="false">-$E66*EM14</f>
        <v>-0</v>
      </c>
      <c r="EN66" s="47" t="n">
        <f aca="false">-$E66*EN14</f>
        <v>-0</v>
      </c>
      <c r="EO66" s="47" t="n">
        <f aca="false">-$E66*EO14</f>
        <v>-0</v>
      </c>
    </row>
    <row r="67" customFormat="false" ht="15" hidden="false" customHeight="false" outlineLevel="0" collapsed="false">
      <c r="C67" s="25" t="s">
        <v>437</v>
      </c>
      <c r="D67" s="11" t="s">
        <v>33</v>
      </c>
      <c r="E67" s="56" t="n">
        <f aca="false">SUMPRODUCT($J67:$EO67/$J22:$EO22)*$E22</f>
        <v>-105701.881860588</v>
      </c>
      <c r="I67" s="56" t="n">
        <f aca="false">SUM(J67:EO67)</f>
        <v>-101018.573150685</v>
      </c>
      <c r="J67" s="56" t="n">
        <f aca="false">J65+J55+J66</f>
        <v>-0</v>
      </c>
      <c r="K67" s="56" t="n">
        <f aca="false">K65+K55+K66</f>
        <v>-0</v>
      </c>
      <c r="L67" s="56" t="n">
        <f aca="false">L65+L55+L66</f>
        <v>-0</v>
      </c>
      <c r="M67" s="56" t="n">
        <f aca="false">M65+M55+M66</f>
        <v>-0</v>
      </c>
      <c r="N67" s="56" t="n">
        <f aca="false">N65+N55+N66</f>
        <v>-0</v>
      </c>
      <c r="O67" s="56" t="n">
        <f aca="false">O65+O55+O66</f>
        <v>-0</v>
      </c>
      <c r="P67" s="56" t="n">
        <f aca="false">P65+P55+P66</f>
        <v>-0</v>
      </c>
      <c r="Q67" s="56" t="n">
        <f aca="false">Q65+Q55+Q66</f>
        <v>-0</v>
      </c>
      <c r="R67" s="56" t="n">
        <f aca="false">R65+R55+R66</f>
        <v>-11388.3082191781</v>
      </c>
      <c r="S67" s="56" t="n">
        <f aca="false">S65+S55+S66</f>
        <v>-19295.5594520548</v>
      </c>
      <c r="T67" s="56" t="n">
        <f aca="false">T65+T55+T66</f>
        <v>-11264.522260274</v>
      </c>
      <c r="U67" s="56" t="n">
        <f aca="false">U65+U55+U66</f>
        <v>-11388.3082191781</v>
      </c>
      <c r="V67" s="56" t="n">
        <f aca="false">V65+V55+V66</f>
        <v>-11388.3082191781</v>
      </c>
      <c r="W67" s="56" t="n">
        <f aca="false">W65+W55+W66</f>
        <v>-11140.7363013699</v>
      </c>
      <c r="X67" s="56" t="n">
        <f aca="false">X65+X55+X66</f>
        <v>-11264.522260274</v>
      </c>
      <c r="Y67" s="56" t="n">
        <f aca="false">Y65+Y55+Y66</f>
        <v>-13888.3082191781</v>
      </c>
      <c r="Z67" s="56" t="n">
        <f aca="false">Z65+Z55+Z66</f>
        <v>-0</v>
      </c>
      <c r="AA67" s="56" t="n">
        <f aca="false">AA65+AA55+AA66</f>
        <v>-0</v>
      </c>
      <c r="AB67" s="56" t="n">
        <f aca="false">AB65+AB55+AB66</f>
        <v>-0</v>
      </c>
      <c r="AC67" s="56" t="n">
        <f aca="false">AC65+AC55+AC66</f>
        <v>-0</v>
      </c>
      <c r="AD67" s="56" t="n">
        <f aca="false">AD65+AD55+AD66</f>
        <v>-0</v>
      </c>
      <c r="AE67" s="56" t="n">
        <f aca="false">AE65+AE55+AE66</f>
        <v>-0</v>
      </c>
      <c r="AF67" s="56" t="n">
        <f aca="false">AF65+AF55+AF66</f>
        <v>-0</v>
      </c>
      <c r="AG67" s="56" t="n">
        <f aca="false">AG65+AG55+AG66</f>
        <v>-0</v>
      </c>
      <c r="AH67" s="56" t="n">
        <f aca="false">AH65+AH55+AH66</f>
        <v>-0</v>
      </c>
      <c r="AI67" s="56" t="n">
        <f aca="false">AI65+AI55+AI66</f>
        <v>-0</v>
      </c>
      <c r="AJ67" s="56" t="n">
        <f aca="false">AJ65+AJ55+AJ66</f>
        <v>-0</v>
      </c>
      <c r="AK67" s="56" t="n">
        <f aca="false">AK65+AK55+AK66</f>
        <v>-0</v>
      </c>
      <c r="AL67" s="56" t="n">
        <f aca="false">AL65+AL55+AL66</f>
        <v>-0</v>
      </c>
      <c r="AM67" s="56" t="n">
        <f aca="false">AM65+AM55+AM66</f>
        <v>-0</v>
      </c>
      <c r="AN67" s="56" t="n">
        <f aca="false">AN65+AN55+AN66</f>
        <v>-0</v>
      </c>
      <c r="AO67" s="56" t="n">
        <f aca="false">AO65+AO55+AO66</f>
        <v>-0</v>
      </c>
      <c r="AP67" s="56" t="n">
        <f aca="false">AP65+AP55+AP66</f>
        <v>-0</v>
      </c>
      <c r="AQ67" s="56" t="n">
        <f aca="false">AQ65+AQ55+AQ66</f>
        <v>-0</v>
      </c>
      <c r="AR67" s="56" t="n">
        <f aca="false">AR65+AR55+AR66</f>
        <v>-0</v>
      </c>
      <c r="AS67" s="56" t="n">
        <f aca="false">AS65+AS55+AS66</f>
        <v>-0</v>
      </c>
      <c r="AT67" s="56" t="n">
        <f aca="false">AT65+AT55+AT66</f>
        <v>-0</v>
      </c>
      <c r="AU67" s="56" t="n">
        <f aca="false">AU65+AU55+AU66</f>
        <v>-0</v>
      </c>
      <c r="AV67" s="56" t="n">
        <f aca="false">AV65+AV55+AV66</f>
        <v>-0</v>
      </c>
      <c r="AW67" s="56" t="n">
        <f aca="false">AW65+AW55+AW66</f>
        <v>-0</v>
      </c>
      <c r="AX67" s="56" t="n">
        <f aca="false">AX65+AX55+AX66</f>
        <v>-0</v>
      </c>
      <c r="AY67" s="56" t="n">
        <f aca="false">AY65+AY55+AY66</f>
        <v>-0</v>
      </c>
      <c r="AZ67" s="56" t="n">
        <f aca="false">AZ65+AZ55+AZ66</f>
        <v>-0</v>
      </c>
      <c r="BA67" s="56" t="n">
        <f aca="false">BA65+BA55+BA66</f>
        <v>-0</v>
      </c>
      <c r="BB67" s="56" t="n">
        <f aca="false">BB65+BB55+BB66</f>
        <v>-0</v>
      </c>
      <c r="BC67" s="56" t="n">
        <f aca="false">BC65+BC55+BC66</f>
        <v>-0</v>
      </c>
      <c r="BD67" s="56" t="n">
        <f aca="false">BD65+BD55+BD66</f>
        <v>-0</v>
      </c>
      <c r="BE67" s="56" t="n">
        <f aca="false">BE65+BE55+BE66</f>
        <v>-0</v>
      </c>
      <c r="BF67" s="56" t="n">
        <f aca="false">BF65+BF55+BF66</f>
        <v>-0</v>
      </c>
      <c r="BG67" s="56" t="n">
        <f aca="false">BG65+BG55+BG66</f>
        <v>-0</v>
      </c>
      <c r="BH67" s="56" t="n">
        <f aca="false">BH65+BH55+BH66</f>
        <v>-0</v>
      </c>
      <c r="BI67" s="56" t="n">
        <f aca="false">BI65+BI55+BI66</f>
        <v>-0</v>
      </c>
      <c r="BJ67" s="56" t="n">
        <f aca="false">BJ65+BJ55+BJ66</f>
        <v>-0</v>
      </c>
      <c r="BK67" s="56" t="n">
        <f aca="false">BK65+BK55+BK66</f>
        <v>-0</v>
      </c>
      <c r="BL67" s="56" t="n">
        <f aca="false">BL65+BL55+BL66</f>
        <v>-0</v>
      </c>
      <c r="BM67" s="56" t="n">
        <f aca="false">BM65+BM55+BM66</f>
        <v>-0</v>
      </c>
      <c r="BN67" s="56" t="n">
        <f aca="false">BN65+BN55+BN66</f>
        <v>-0</v>
      </c>
      <c r="BO67" s="56" t="n">
        <f aca="false">BO65+BO55+BO66</f>
        <v>-0</v>
      </c>
      <c r="BP67" s="56" t="n">
        <f aca="false">BP65+BP55+BP66</f>
        <v>-0</v>
      </c>
      <c r="BQ67" s="56" t="n">
        <f aca="false">BQ65+BQ55+BQ66</f>
        <v>-0</v>
      </c>
      <c r="BR67" s="56" t="n">
        <f aca="false">BR65+BR55+BR66</f>
        <v>-0</v>
      </c>
      <c r="BS67" s="56" t="n">
        <f aca="false">BS65+BS55+BS66</f>
        <v>-0</v>
      </c>
      <c r="BT67" s="56" t="n">
        <f aca="false">BT65+BT55+BT66</f>
        <v>-0</v>
      </c>
      <c r="BU67" s="56" t="n">
        <f aca="false">BU65+BU55+BU66</f>
        <v>-0</v>
      </c>
      <c r="BV67" s="56" t="n">
        <f aca="false">BV65+BV55+BV66</f>
        <v>-0</v>
      </c>
      <c r="BW67" s="56" t="n">
        <f aca="false">BW65+BW55+BW66</f>
        <v>-0</v>
      </c>
      <c r="BX67" s="56" t="n">
        <f aca="false">BX65+BX55+BX66</f>
        <v>-0</v>
      </c>
      <c r="BY67" s="56" t="n">
        <f aca="false">BY65+BY55+BY66</f>
        <v>-0</v>
      </c>
      <c r="BZ67" s="56" t="n">
        <f aca="false">BZ65+BZ55+BZ66</f>
        <v>-0</v>
      </c>
      <c r="CA67" s="56" t="n">
        <f aca="false">CA65+CA55+CA66</f>
        <v>-0</v>
      </c>
      <c r="CB67" s="56" t="n">
        <f aca="false">CB65+CB55+CB66</f>
        <v>-0</v>
      </c>
      <c r="CC67" s="56" t="n">
        <f aca="false">CC65+CC55+CC66</f>
        <v>-0</v>
      </c>
      <c r="CD67" s="56" t="n">
        <f aca="false">CD65+CD55+CD66</f>
        <v>-0</v>
      </c>
      <c r="CE67" s="56" t="n">
        <f aca="false">CE65+CE55+CE66</f>
        <v>-0</v>
      </c>
      <c r="CF67" s="56" t="n">
        <f aca="false">CF65+CF55+CF66</f>
        <v>-0</v>
      </c>
      <c r="CG67" s="56" t="n">
        <f aca="false">CG65+CG55+CG66</f>
        <v>-0</v>
      </c>
      <c r="CH67" s="56" t="n">
        <f aca="false">CH65+CH55+CH66</f>
        <v>-0</v>
      </c>
      <c r="CI67" s="56" t="n">
        <f aca="false">CI65+CI55+CI66</f>
        <v>-0</v>
      </c>
      <c r="CJ67" s="56" t="n">
        <f aca="false">CJ65+CJ55+CJ66</f>
        <v>-0</v>
      </c>
      <c r="CK67" s="56" t="n">
        <f aca="false">CK65+CK55+CK66</f>
        <v>-0</v>
      </c>
      <c r="CL67" s="56" t="n">
        <f aca="false">CL65+CL55+CL66</f>
        <v>-0</v>
      </c>
      <c r="CM67" s="56" t="n">
        <f aca="false">CM65+CM55+CM66</f>
        <v>-0</v>
      </c>
      <c r="CN67" s="56" t="n">
        <f aca="false">CN65+CN55+CN66</f>
        <v>-0</v>
      </c>
      <c r="CO67" s="56" t="n">
        <f aca="false">CO65+CO55+CO66</f>
        <v>-0</v>
      </c>
      <c r="CP67" s="56" t="n">
        <f aca="false">CP65+CP55+CP66</f>
        <v>-0</v>
      </c>
      <c r="CQ67" s="56" t="n">
        <f aca="false">CQ65+CQ55+CQ66</f>
        <v>-0</v>
      </c>
      <c r="CR67" s="56" t="n">
        <f aca="false">CR65+CR55+CR66</f>
        <v>-0</v>
      </c>
      <c r="CS67" s="56" t="n">
        <f aca="false">CS65+CS55+CS66</f>
        <v>-0</v>
      </c>
      <c r="CT67" s="56" t="n">
        <f aca="false">CT65+CT55+CT66</f>
        <v>-0</v>
      </c>
      <c r="CU67" s="56" t="n">
        <f aca="false">CU65+CU55+CU66</f>
        <v>-0</v>
      </c>
      <c r="CV67" s="56" t="n">
        <f aca="false">CV65+CV55+CV66</f>
        <v>-0</v>
      </c>
      <c r="CW67" s="56" t="n">
        <f aca="false">CW65+CW55+CW66</f>
        <v>-0</v>
      </c>
      <c r="CX67" s="56" t="n">
        <f aca="false">CX65+CX55+CX66</f>
        <v>-0</v>
      </c>
      <c r="CY67" s="56" t="n">
        <f aca="false">CY65+CY55+CY66</f>
        <v>-0</v>
      </c>
      <c r="CZ67" s="56" t="n">
        <f aca="false">CZ65+CZ55+CZ66</f>
        <v>-0</v>
      </c>
      <c r="DA67" s="56" t="n">
        <f aca="false">DA65+DA55+DA66</f>
        <v>-0</v>
      </c>
      <c r="DB67" s="56" t="n">
        <f aca="false">DB65+DB55+DB66</f>
        <v>-0</v>
      </c>
      <c r="DC67" s="56" t="n">
        <f aca="false">DC65+DC55+DC66</f>
        <v>-0</v>
      </c>
      <c r="DD67" s="56" t="n">
        <f aca="false">DD65+DD55+DD66</f>
        <v>-0</v>
      </c>
      <c r="DE67" s="56" t="n">
        <f aca="false">DE65+DE55+DE66</f>
        <v>-0</v>
      </c>
      <c r="DF67" s="56" t="n">
        <f aca="false">DF65+DF55+DF66</f>
        <v>-0</v>
      </c>
      <c r="DG67" s="56" t="n">
        <f aca="false">DG65+DG55+DG66</f>
        <v>-0</v>
      </c>
      <c r="DH67" s="56" t="n">
        <f aca="false">DH65+DH55+DH66</f>
        <v>-0</v>
      </c>
      <c r="DI67" s="56" t="n">
        <f aca="false">DI65+DI55+DI66</f>
        <v>-0</v>
      </c>
      <c r="DJ67" s="56" t="n">
        <f aca="false">DJ65+DJ55+DJ66</f>
        <v>-0</v>
      </c>
      <c r="DK67" s="56" t="n">
        <f aca="false">DK65+DK55+DK66</f>
        <v>-0</v>
      </c>
      <c r="DL67" s="56" t="n">
        <f aca="false">DL65+DL55+DL66</f>
        <v>-0</v>
      </c>
      <c r="DM67" s="56" t="n">
        <f aca="false">DM65+DM55+DM66</f>
        <v>-0</v>
      </c>
      <c r="DN67" s="56" t="n">
        <f aca="false">DN65+DN55+DN66</f>
        <v>-0</v>
      </c>
      <c r="DO67" s="56" t="n">
        <f aca="false">DO65+DO55+DO66</f>
        <v>-0</v>
      </c>
      <c r="DP67" s="56" t="n">
        <f aca="false">DP65+DP55+DP66</f>
        <v>-0</v>
      </c>
      <c r="DQ67" s="56" t="n">
        <f aca="false">DQ65+DQ55+DQ66</f>
        <v>-0</v>
      </c>
      <c r="DR67" s="56" t="n">
        <f aca="false">DR65+DR55+DR66</f>
        <v>-0</v>
      </c>
      <c r="DS67" s="56" t="n">
        <f aca="false">DS65+DS55+DS66</f>
        <v>-0</v>
      </c>
      <c r="DT67" s="56" t="n">
        <f aca="false">DT65+DT55+DT66</f>
        <v>-0</v>
      </c>
      <c r="DU67" s="56" t="n">
        <f aca="false">DU65+DU55+DU66</f>
        <v>-0</v>
      </c>
      <c r="DV67" s="56" t="n">
        <f aca="false">DV65+DV55+DV66</f>
        <v>-0</v>
      </c>
      <c r="DW67" s="56" t="n">
        <f aca="false">DW65+DW55+DW66</f>
        <v>-0</v>
      </c>
      <c r="DX67" s="56" t="n">
        <f aca="false">DX65+DX55+DX66</f>
        <v>-0</v>
      </c>
      <c r="DY67" s="56" t="n">
        <f aca="false">DY65+DY55+DY66</f>
        <v>-0</v>
      </c>
      <c r="DZ67" s="56" t="n">
        <f aca="false">DZ65+DZ55+DZ66</f>
        <v>-0</v>
      </c>
      <c r="EA67" s="56" t="n">
        <f aca="false">EA65+EA55+EA66</f>
        <v>-0</v>
      </c>
      <c r="EB67" s="56" t="n">
        <f aca="false">EB65+EB55+EB66</f>
        <v>-0</v>
      </c>
      <c r="EC67" s="56" t="n">
        <f aca="false">EC65+EC55+EC66</f>
        <v>-0</v>
      </c>
      <c r="ED67" s="56" t="n">
        <f aca="false">ED65+ED55+ED66</f>
        <v>-0</v>
      </c>
      <c r="EE67" s="56" t="n">
        <f aca="false">EE65+EE55+EE66</f>
        <v>-0</v>
      </c>
      <c r="EF67" s="56" t="n">
        <f aca="false">EF65+EF55+EF66</f>
        <v>-0</v>
      </c>
      <c r="EG67" s="56" t="n">
        <f aca="false">EG65+EG55+EG66</f>
        <v>-0</v>
      </c>
      <c r="EH67" s="56" t="n">
        <f aca="false">EH65+EH55+EH66</f>
        <v>-0</v>
      </c>
      <c r="EI67" s="56" t="n">
        <f aca="false">EI65+EI55+EI66</f>
        <v>-0</v>
      </c>
      <c r="EJ67" s="56" t="n">
        <f aca="false">EJ65+EJ55+EJ66</f>
        <v>-0</v>
      </c>
      <c r="EK67" s="56" t="n">
        <f aca="false">EK65+EK55+EK66</f>
        <v>-0</v>
      </c>
      <c r="EL67" s="56" t="n">
        <f aca="false">EL65+EL55+EL66</f>
        <v>-0</v>
      </c>
      <c r="EM67" s="56" t="n">
        <f aca="false">EM65+EM55+EM66</f>
        <v>-0</v>
      </c>
      <c r="EN67" s="56" t="n">
        <f aca="false">EN65+EN55+EN66</f>
        <v>-0</v>
      </c>
      <c r="EO67" s="56" t="n">
        <f aca="false">EO65+EO55+EO66</f>
        <v>-0</v>
      </c>
    </row>
    <row r="69" customFormat="false" ht="15" hidden="false" customHeight="false" outlineLevel="0" collapsed="false">
      <c r="A69" s="9" t="s">
        <v>13</v>
      </c>
      <c r="B69" s="9"/>
      <c r="C69" s="9" t="s">
        <v>310</v>
      </c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</row>
    <row r="70" customFormat="false" ht="15" hidden="false" customHeight="false" outlineLevel="0" collapsed="false">
      <c r="C70" s="0" t="s">
        <v>438</v>
      </c>
      <c r="D70" s="11" t="s">
        <v>386</v>
      </c>
      <c r="J70" s="54" t="n">
        <f aca="false">(1+In_Opex_Esc)^(J$7-YEAR(In_COD))</f>
        <v>0.905950644799755</v>
      </c>
      <c r="K70" s="54" t="n">
        <f aca="false">(1+In_Opex_Esc)^(K$7-YEAR(In_COD))</f>
        <v>0.928599410919749</v>
      </c>
      <c r="L70" s="54" t="n">
        <f aca="false">(1+In_Opex_Esc)^(L$7-YEAR(In_COD))</f>
        <v>0.928599410919749</v>
      </c>
      <c r="M70" s="54" t="n">
        <f aca="false">(1+In_Opex_Esc)^(M$7-YEAR(In_COD))</f>
        <v>0.928599410919749</v>
      </c>
      <c r="N70" s="54" t="n">
        <f aca="false">(1+In_Opex_Esc)^(N$7-YEAR(In_COD))</f>
        <v>0.928599410919749</v>
      </c>
      <c r="O70" s="54" t="n">
        <f aca="false">(1+In_Opex_Esc)^(O$7-YEAR(In_COD))</f>
        <v>0.951814396192743</v>
      </c>
      <c r="P70" s="54" t="n">
        <f aca="false">(1+In_Opex_Esc)^(P$7-YEAR(In_COD))</f>
        <v>0.951814396192743</v>
      </c>
      <c r="Q70" s="54" t="n">
        <f aca="false">(1+In_Opex_Esc)^(Q$7-YEAR(In_COD))</f>
        <v>0.951814396192743</v>
      </c>
      <c r="R70" s="54" t="n">
        <f aca="false">(1+In_Opex_Esc)^(R$7-YEAR(In_COD))</f>
        <v>0.951814396192743</v>
      </c>
      <c r="S70" s="54" t="n">
        <f aca="false">(1+In_Opex_Esc)^(S$7-YEAR(In_COD))</f>
        <v>0.975609756097561</v>
      </c>
      <c r="T70" s="54" t="n">
        <f aca="false">(1+In_Opex_Esc)^(T$7-YEAR(In_COD))</f>
        <v>0.975609756097561</v>
      </c>
      <c r="U70" s="54" t="n">
        <f aca="false">(1+In_Opex_Esc)^(U$7-YEAR(In_COD))</f>
        <v>0.975609756097561</v>
      </c>
      <c r="V70" s="54" t="n">
        <f aca="false">(1+In_Opex_Esc)^(V$7-YEAR(In_COD))</f>
        <v>0.975609756097561</v>
      </c>
      <c r="W70" s="54" t="n">
        <f aca="false">(1+In_Opex_Esc)^(W$7-YEAR(In_COD))</f>
        <v>1</v>
      </c>
      <c r="X70" s="54" t="n">
        <f aca="false">(1+In_Opex_Esc)^(X$7-YEAR(In_COD))</f>
        <v>1</v>
      </c>
      <c r="Y70" s="54" t="n">
        <f aca="false">(1+In_Opex_Esc)^(Y$7-YEAR(In_COD))</f>
        <v>1</v>
      </c>
      <c r="Z70" s="54" t="n">
        <f aca="false">(1+In_Opex_Esc)^(Z$7-YEAR(In_COD))</f>
        <v>1</v>
      </c>
      <c r="AA70" s="54" t="n">
        <f aca="false">(1+In_Opex_Esc)^(AA$7-YEAR(In_COD))</f>
        <v>1.025</v>
      </c>
      <c r="AB70" s="54" t="n">
        <f aca="false">(1+In_Opex_Esc)^(AB$7-YEAR(In_COD))</f>
        <v>1.025</v>
      </c>
      <c r="AC70" s="54" t="n">
        <f aca="false">(1+In_Opex_Esc)^(AC$7-YEAR(In_COD))</f>
        <v>1.025</v>
      </c>
      <c r="AD70" s="54" t="n">
        <f aca="false">(1+In_Opex_Esc)^(AD$7-YEAR(In_COD))</f>
        <v>1.025</v>
      </c>
      <c r="AE70" s="54" t="n">
        <f aca="false">(1+In_Opex_Esc)^(AE$7-YEAR(In_COD))</f>
        <v>1.050625</v>
      </c>
      <c r="AF70" s="54" t="n">
        <f aca="false">(1+In_Opex_Esc)^(AF$7-YEAR(In_COD))</f>
        <v>1.050625</v>
      </c>
      <c r="AG70" s="54" t="n">
        <f aca="false">(1+In_Opex_Esc)^(AG$7-YEAR(In_COD))</f>
        <v>1.050625</v>
      </c>
      <c r="AH70" s="54" t="n">
        <f aca="false">(1+In_Opex_Esc)^(AH$7-YEAR(In_COD))</f>
        <v>1.050625</v>
      </c>
      <c r="AI70" s="54" t="n">
        <f aca="false">(1+In_Opex_Esc)^(AI$7-YEAR(In_COD))</f>
        <v>1.076890625</v>
      </c>
      <c r="AJ70" s="54" t="n">
        <f aca="false">(1+In_Opex_Esc)^(AJ$7-YEAR(In_COD))</f>
        <v>1.076890625</v>
      </c>
      <c r="AK70" s="54" t="n">
        <f aca="false">(1+In_Opex_Esc)^(AK$7-YEAR(In_COD))</f>
        <v>1.076890625</v>
      </c>
      <c r="AL70" s="54" t="n">
        <f aca="false">(1+In_Opex_Esc)^(AL$7-YEAR(In_COD))</f>
        <v>1.076890625</v>
      </c>
      <c r="AM70" s="54" t="n">
        <f aca="false">(1+In_Opex_Esc)^(AM$7-YEAR(In_COD))</f>
        <v>1.103812890625</v>
      </c>
      <c r="AN70" s="54" t="n">
        <f aca="false">(1+In_Opex_Esc)^(AN$7-YEAR(In_COD))</f>
        <v>1.103812890625</v>
      </c>
      <c r="AO70" s="54" t="n">
        <f aca="false">(1+In_Opex_Esc)^(AO$7-YEAR(In_COD))</f>
        <v>1.103812890625</v>
      </c>
      <c r="AP70" s="54" t="n">
        <f aca="false">(1+In_Opex_Esc)^(AP$7-YEAR(In_COD))</f>
        <v>1.103812890625</v>
      </c>
      <c r="AQ70" s="54" t="n">
        <f aca="false">(1+In_Opex_Esc)^(AQ$7-YEAR(In_COD))</f>
        <v>1.13140821289062</v>
      </c>
      <c r="AR70" s="54" t="n">
        <f aca="false">(1+In_Opex_Esc)^(AR$7-YEAR(In_COD))</f>
        <v>1.13140821289062</v>
      </c>
      <c r="AS70" s="54" t="n">
        <f aca="false">(1+In_Opex_Esc)^(AS$7-YEAR(In_COD))</f>
        <v>1.13140821289062</v>
      </c>
      <c r="AT70" s="54" t="n">
        <f aca="false">(1+In_Opex_Esc)^(AT$7-YEAR(In_COD))</f>
        <v>1.13140821289062</v>
      </c>
      <c r="AU70" s="54" t="n">
        <f aca="false">(1+In_Opex_Esc)^(AU$7-YEAR(In_COD))</f>
        <v>1.15969341821289</v>
      </c>
      <c r="AV70" s="54" t="n">
        <f aca="false">(1+In_Opex_Esc)^(AV$7-YEAR(In_COD))</f>
        <v>1.15969341821289</v>
      </c>
      <c r="AW70" s="54" t="n">
        <f aca="false">(1+In_Opex_Esc)^(AW$7-YEAR(In_COD))</f>
        <v>1.15969341821289</v>
      </c>
      <c r="AX70" s="54" t="n">
        <f aca="false">(1+In_Opex_Esc)^(AX$7-YEAR(In_COD))</f>
        <v>1.15969341821289</v>
      </c>
      <c r="AY70" s="54" t="n">
        <f aca="false">(1+In_Opex_Esc)^(AY$7-YEAR(In_COD))</f>
        <v>1.18868575366821</v>
      </c>
      <c r="AZ70" s="54" t="n">
        <f aca="false">(1+In_Opex_Esc)^(AZ$7-YEAR(In_COD))</f>
        <v>1.18868575366821</v>
      </c>
      <c r="BA70" s="54" t="n">
        <f aca="false">(1+In_Opex_Esc)^(BA$7-YEAR(In_COD))</f>
        <v>1.18868575366821</v>
      </c>
      <c r="BB70" s="54" t="n">
        <f aca="false">(1+In_Opex_Esc)^(BB$7-YEAR(In_COD))</f>
        <v>1.18868575366821</v>
      </c>
      <c r="BC70" s="54" t="n">
        <f aca="false">(1+In_Opex_Esc)^(BC$7-YEAR(In_COD))</f>
        <v>1.21840289750992</v>
      </c>
      <c r="BD70" s="54" t="n">
        <f aca="false">(1+In_Opex_Esc)^(BD$7-YEAR(In_COD))</f>
        <v>1.21840289750992</v>
      </c>
      <c r="BE70" s="54" t="n">
        <f aca="false">(1+In_Opex_Esc)^(BE$7-YEAR(In_COD))</f>
        <v>1.21840289750992</v>
      </c>
      <c r="BF70" s="54" t="n">
        <f aca="false">(1+In_Opex_Esc)^(BF$7-YEAR(In_COD))</f>
        <v>1.21840289750992</v>
      </c>
      <c r="BG70" s="54" t="n">
        <f aca="false">(1+In_Opex_Esc)^(BG$7-YEAR(In_COD))</f>
        <v>1.24886296994767</v>
      </c>
      <c r="BH70" s="54" t="n">
        <f aca="false">(1+In_Opex_Esc)^(BH$7-YEAR(In_COD))</f>
        <v>1.24886296994767</v>
      </c>
      <c r="BI70" s="54" t="n">
        <f aca="false">(1+In_Opex_Esc)^(BI$7-YEAR(In_COD))</f>
        <v>1.24886296994767</v>
      </c>
      <c r="BJ70" s="54" t="n">
        <f aca="false">(1+In_Opex_Esc)^(BJ$7-YEAR(In_COD))</f>
        <v>1.24886296994767</v>
      </c>
      <c r="BK70" s="54" t="n">
        <f aca="false">(1+In_Opex_Esc)^(BK$7-YEAR(In_COD))</f>
        <v>1.28008454419636</v>
      </c>
      <c r="BL70" s="54" t="n">
        <f aca="false">(1+In_Opex_Esc)^(BL$7-YEAR(In_COD))</f>
        <v>1.28008454419636</v>
      </c>
      <c r="BM70" s="54" t="n">
        <f aca="false">(1+In_Opex_Esc)^(BM$7-YEAR(In_COD))</f>
        <v>1.28008454419636</v>
      </c>
      <c r="BN70" s="54" t="n">
        <f aca="false">(1+In_Opex_Esc)^(BN$7-YEAR(In_COD))</f>
        <v>1.28008454419636</v>
      </c>
      <c r="BO70" s="54" t="n">
        <f aca="false">(1+In_Opex_Esc)^(BO$7-YEAR(In_COD))</f>
        <v>1.31208665780127</v>
      </c>
      <c r="BP70" s="54" t="n">
        <f aca="false">(1+In_Opex_Esc)^(BP$7-YEAR(In_COD))</f>
        <v>1.31208665780127</v>
      </c>
      <c r="BQ70" s="54" t="n">
        <f aca="false">(1+In_Opex_Esc)^(BQ$7-YEAR(In_COD))</f>
        <v>1.31208665780127</v>
      </c>
      <c r="BR70" s="54" t="n">
        <f aca="false">(1+In_Opex_Esc)^(BR$7-YEAR(In_COD))</f>
        <v>1.31208665780127</v>
      </c>
      <c r="BS70" s="54" t="n">
        <f aca="false">(1+In_Opex_Esc)^(BS$7-YEAR(In_COD))</f>
        <v>1.3448888242463</v>
      </c>
      <c r="BT70" s="54" t="n">
        <f aca="false">(1+In_Opex_Esc)^(BT$7-YEAR(In_COD))</f>
        <v>1.3448888242463</v>
      </c>
      <c r="BU70" s="54" t="n">
        <f aca="false">(1+In_Opex_Esc)^(BU$7-YEAR(In_COD))</f>
        <v>1.3448888242463</v>
      </c>
      <c r="BV70" s="54" t="n">
        <f aca="false">(1+In_Opex_Esc)^(BV$7-YEAR(In_COD))</f>
        <v>1.3448888242463</v>
      </c>
      <c r="BW70" s="54" t="n">
        <f aca="false">(1+In_Opex_Esc)^(BW$7-YEAR(In_COD))</f>
        <v>1.37851104485245</v>
      </c>
      <c r="BX70" s="54" t="n">
        <f aca="false">(1+In_Opex_Esc)^(BX$7-YEAR(In_COD))</f>
        <v>1.37851104485245</v>
      </c>
      <c r="BY70" s="54" t="n">
        <f aca="false">(1+In_Opex_Esc)^(BY$7-YEAR(In_COD))</f>
        <v>1.37851104485245</v>
      </c>
      <c r="BZ70" s="54" t="n">
        <f aca="false">(1+In_Opex_Esc)^(BZ$7-YEAR(In_COD))</f>
        <v>1.37851104485245</v>
      </c>
      <c r="CA70" s="54" t="n">
        <f aca="false">(1+In_Opex_Esc)^(CA$7-YEAR(In_COD))</f>
        <v>1.41297382097377</v>
      </c>
      <c r="CB70" s="54" t="n">
        <f aca="false">(1+In_Opex_Esc)^(CB$7-YEAR(In_COD))</f>
        <v>1.41297382097377</v>
      </c>
      <c r="CC70" s="54" t="n">
        <f aca="false">(1+In_Opex_Esc)^(CC$7-YEAR(In_COD))</f>
        <v>1.41297382097377</v>
      </c>
      <c r="CD70" s="54" t="n">
        <f aca="false">(1+In_Opex_Esc)^(CD$7-YEAR(In_COD))</f>
        <v>1.41297382097377</v>
      </c>
      <c r="CE70" s="54" t="n">
        <f aca="false">(1+In_Opex_Esc)^(CE$7-YEAR(In_COD))</f>
        <v>1.44829816649811</v>
      </c>
      <c r="CF70" s="54" t="n">
        <f aca="false">(1+In_Opex_Esc)^(CF$7-YEAR(In_COD))</f>
        <v>1.44829816649811</v>
      </c>
      <c r="CG70" s="54" t="n">
        <f aca="false">(1+In_Opex_Esc)^(CG$7-YEAR(In_COD))</f>
        <v>1.44829816649811</v>
      </c>
      <c r="CH70" s="54" t="n">
        <f aca="false">(1+In_Opex_Esc)^(CH$7-YEAR(In_COD))</f>
        <v>1.44829816649811</v>
      </c>
      <c r="CI70" s="54" t="n">
        <f aca="false">(1+In_Opex_Esc)^(CI$7-YEAR(In_COD))</f>
        <v>1.48450562066056</v>
      </c>
      <c r="CJ70" s="54" t="n">
        <f aca="false">(1+In_Opex_Esc)^(CJ$7-YEAR(In_COD))</f>
        <v>1.48450562066056</v>
      </c>
      <c r="CK70" s="54" t="n">
        <f aca="false">(1+In_Opex_Esc)^(CK$7-YEAR(In_COD))</f>
        <v>1.48450562066056</v>
      </c>
      <c r="CL70" s="54" t="n">
        <f aca="false">(1+In_Opex_Esc)^(CL$7-YEAR(In_COD))</f>
        <v>1.48450562066056</v>
      </c>
      <c r="CM70" s="54" t="n">
        <f aca="false">(1+In_Opex_Esc)^(CM$7-YEAR(In_COD))</f>
        <v>1.52161826117708</v>
      </c>
      <c r="CN70" s="54" t="n">
        <f aca="false">(1+In_Opex_Esc)^(CN$7-YEAR(In_COD))</f>
        <v>1.52161826117708</v>
      </c>
      <c r="CO70" s="54" t="n">
        <f aca="false">(1+In_Opex_Esc)^(CO$7-YEAR(In_COD))</f>
        <v>1.52161826117708</v>
      </c>
      <c r="CP70" s="54" t="n">
        <f aca="false">(1+In_Opex_Esc)^(CP$7-YEAR(In_COD))</f>
        <v>1.52161826117708</v>
      </c>
      <c r="CQ70" s="54" t="n">
        <f aca="false">(1+In_Opex_Esc)^(CQ$7-YEAR(In_COD))</f>
        <v>1.5596587177065</v>
      </c>
      <c r="CR70" s="54" t="n">
        <f aca="false">(1+In_Opex_Esc)^(CR$7-YEAR(In_COD))</f>
        <v>1.5596587177065</v>
      </c>
      <c r="CS70" s="54" t="n">
        <f aca="false">(1+In_Opex_Esc)^(CS$7-YEAR(In_COD))</f>
        <v>1.5596587177065</v>
      </c>
      <c r="CT70" s="54" t="n">
        <f aca="false">(1+In_Opex_Esc)^(CT$7-YEAR(In_COD))</f>
        <v>1.5596587177065</v>
      </c>
      <c r="CU70" s="54" t="n">
        <f aca="false">(1+In_Opex_Esc)^(CU$7-YEAR(In_COD))</f>
        <v>1.59865018564917</v>
      </c>
      <c r="CV70" s="54" t="n">
        <f aca="false">(1+In_Opex_Esc)^(CV$7-YEAR(In_COD))</f>
        <v>1.59865018564917</v>
      </c>
      <c r="CW70" s="54" t="n">
        <f aca="false">(1+In_Opex_Esc)^(CW$7-YEAR(In_COD))</f>
        <v>1.59865018564917</v>
      </c>
      <c r="CX70" s="54" t="n">
        <f aca="false">(1+In_Opex_Esc)^(CX$7-YEAR(In_COD))</f>
        <v>1.59865018564917</v>
      </c>
      <c r="CY70" s="54" t="n">
        <f aca="false">(1+In_Opex_Esc)^(CY$7-YEAR(In_COD))</f>
        <v>1.63861644029039</v>
      </c>
      <c r="CZ70" s="54" t="n">
        <f aca="false">(1+In_Opex_Esc)^(CZ$7-YEAR(In_COD))</f>
        <v>1.63861644029039</v>
      </c>
      <c r="DA70" s="54" t="n">
        <f aca="false">(1+In_Opex_Esc)^(DA$7-YEAR(In_COD))</f>
        <v>1.63861644029039</v>
      </c>
      <c r="DB70" s="54" t="n">
        <f aca="false">(1+In_Opex_Esc)^(DB$7-YEAR(In_COD))</f>
        <v>1.63861644029039</v>
      </c>
      <c r="DC70" s="54" t="n">
        <f aca="false">(1+In_Opex_Esc)^(DC$7-YEAR(In_COD))</f>
        <v>1.67958185129765</v>
      </c>
      <c r="DD70" s="54" t="n">
        <f aca="false">(1+In_Opex_Esc)^(DD$7-YEAR(In_COD))</f>
        <v>1.67958185129765</v>
      </c>
      <c r="DE70" s="54" t="n">
        <f aca="false">(1+In_Opex_Esc)^(DE$7-YEAR(In_COD))</f>
        <v>1.67958185129765</v>
      </c>
      <c r="DF70" s="54" t="n">
        <f aca="false">(1+In_Opex_Esc)^(DF$7-YEAR(In_COD))</f>
        <v>1.67958185129765</v>
      </c>
      <c r="DG70" s="54" t="n">
        <f aca="false">(1+In_Opex_Esc)^(DG$7-YEAR(In_COD))</f>
        <v>1.7215713975801</v>
      </c>
      <c r="DH70" s="54" t="n">
        <f aca="false">(1+In_Opex_Esc)^(DH$7-YEAR(In_COD))</f>
        <v>1.7215713975801</v>
      </c>
      <c r="DI70" s="54" t="n">
        <f aca="false">(1+In_Opex_Esc)^(DI$7-YEAR(In_COD))</f>
        <v>1.7215713975801</v>
      </c>
      <c r="DJ70" s="54" t="n">
        <f aca="false">(1+In_Opex_Esc)^(DJ$7-YEAR(In_COD))</f>
        <v>1.7215713975801</v>
      </c>
      <c r="DK70" s="54" t="n">
        <f aca="false">(1+In_Opex_Esc)^(DK$7-YEAR(In_COD))</f>
        <v>1.7646106825196</v>
      </c>
      <c r="DL70" s="54" t="n">
        <f aca="false">(1+In_Opex_Esc)^(DL$7-YEAR(In_COD))</f>
        <v>1.7646106825196</v>
      </c>
      <c r="DM70" s="54" t="n">
        <f aca="false">(1+In_Opex_Esc)^(DM$7-YEAR(In_COD))</f>
        <v>1.7646106825196</v>
      </c>
      <c r="DN70" s="54" t="n">
        <f aca="false">(1+In_Opex_Esc)^(DN$7-YEAR(In_COD))</f>
        <v>1.7646106825196</v>
      </c>
      <c r="DO70" s="54" t="n">
        <f aca="false">(1+In_Opex_Esc)^(DO$7-YEAR(In_COD))</f>
        <v>1.80872594958259</v>
      </c>
      <c r="DP70" s="54" t="n">
        <f aca="false">(1+In_Opex_Esc)^(DP$7-YEAR(In_COD))</f>
        <v>1.80872594958259</v>
      </c>
      <c r="DQ70" s="54" t="n">
        <f aca="false">(1+In_Opex_Esc)^(DQ$7-YEAR(In_COD))</f>
        <v>1.80872594958259</v>
      </c>
      <c r="DR70" s="54" t="n">
        <f aca="false">(1+In_Opex_Esc)^(DR$7-YEAR(In_COD))</f>
        <v>1.80872594958259</v>
      </c>
      <c r="DS70" s="54" t="n">
        <f aca="false">(1+In_Opex_Esc)^(DS$7-YEAR(In_COD))</f>
        <v>1.85394409832215</v>
      </c>
      <c r="DT70" s="54" t="n">
        <f aca="false">(1+In_Opex_Esc)^(DT$7-YEAR(In_COD))</f>
        <v>1.85394409832215</v>
      </c>
      <c r="DU70" s="54" t="n">
        <f aca="false">(1+In_Opex_Esc)^(DU$7-YEAR(In_COD))</f>
        <v>1.85394409832215</v>
      </c>
      <c r="DV70" s="54" t="n">
        <f aca="false">(1+In_Opex_Esc)^(DV$7-YEAR(In_COD))</f>
        <v>1.85394409832215</v>
      </c>
      <c r="DW70" s="54" t="n">
        <f aca="false">(1+In_Opex_Esc)^(DW$7-YEAR(In_COD))</f>
        <v>1.90029270078021</v>
      </c>
      <c r="DX70" s="54" t="n">
        <f aca="false">(1+In_Opex_Esc)^(DX$7-YEAR(In_COD))</f>
        <v>1.90029270078021</v>
      </c>
      <c r="DY70" s="54" t="n">
        <f aca="false">(1+In_Opex_Esc)^(DY$7-YEAR(In_COD))</f>
        <v>1.90029270078021</v>
      </c>
      <c r="DZ70" s="54" t="n">
        <f aca="false">(1+In_Opex_Esc)^(DZ$7-YEAR(In_COD))</f>
        <v>1.90029270078021</v>
      </c>
      <c r="EA70" s="54" t="n">
        <f aca="false">(1+In_Opex_Esc)^(EA$7-YEAR(In_COD))</f>
        <v>1.94780001829971</v>
      </c>
      <c r="EB70" s="54" t="n">
        <f aca="false">(1+In_Opex_Esc)^(EB$7-YEAR(In_COD))</f>
        <v>1.94780001829971</v>
      </c>
      <c r="EC70" s="54" t="n">
        <f aca="false">(1+In_Opex_Esc)^(EC$7-YEAR(In_COD))</f>
        <v>1.94780001829971</v>
      </c>
      <c r="ED70" s="54" t="n">
        <f aca="false">(1+In_Opex_Esc)^(ED$7-YEAR(In_COD))</f>
        <v>1.94780001829971</v>
      </c>
      <c r="EE70" s="54" t="n">
        <f aca="false">(1+In_Opex_Esc)^(EE$7-YEAR(In_COD))</f>
        <v>1.9964950187572</v>
      </c>
      <c r="EF70" s="54" t="n">
        <f aca="false">(1+In_Opex_Esc)^(EF$7-YEAR(In_COD))</f>
        <v>1.9964950187572</v>
      </c>
      <c r="EG70" s="54" t="n">
        <f aca="false">(1+In_Opex_Esc)^(EG$7-YEAR(In_COD))</f>
        <v>1.9964950187572</v>
      </c>
      <c r="EH70" s="54" t="n">
        <f aca="false">(1+In_Opex_Esc)^(EH$7-YEAR(In_COD))</f>
        <v>1.9964950187572</v>
      </c>
      <c r="EI70" s="54" t="n">
        <f aca="false">(1+In_Opex_Esc)^(EI$7-YEAR(In_COD))</f>
        <v>2.04640739422613</v>
      </c>
      <c r="EJ70" s="54" t="n">
        <f aca="false">(1+In_Opex_Esc)^(EJ$7-YEAR(In_COD))</f>
        <v>2.04640739422613</v>
      </c>
      <c r="EK70" s="54" t="n">
        <f aca="false">(1+In_Opex_Esc)^(EK$7-YEAR(In_COD))</f>
        <v>2.04640739422613</v>
      </c>
      <c r="EL70" s="54" t="n">
        <f aca="false">(1+In_Opex_Esc)^(EL$7-YEAR(In_COD))</f>
        <v>2.04640739422613</v>
      </c>
      <c r="EM70" s="54" t="n">
        <f aca="false">(1+In_Opex_Esc)^(EM$7-YEAR(In_COD))</f>
        <v>2.09756757908179</v>
      </c>
      <c r="EN70" s="54" t="n">
        <f aca="false">(1+In_Opex_Esc)^(EN$7-YEAR(In_COD))</f>
        <v>2.09756757908179</v>
      </c>
      <c r="EO70" s="54" t="n">
        <f aca="false">(1+In_Opex_Esc)^(EO$7-YEAR(In_COD))</f>
        <v>2.09756757908179</v>
      </c>
    </row>
    <row r="71" customFormat="false" ht="15" hidden="false" customHeight="false" outlineLevel="0" collapsed="false">
      <c r="C71" s="0" t="s">
        <v>439</v>
      </c>
      <c r="D71" s="11" t="s">
        <v>24</v>
      </c>
      <c r="J71" s="32" t="n">
        <f aca="false">In_PPA_Price*(1+In_PPA_Esc)^(J$7-YEAR(In_COD))</f>
        <v>86.4882310034535</v>
      </c>
      <c r="K71" s="32" t="n">
        <f aca="false">In_PPA_Price*(1+In_PPA_Esc)^(K$7-YEAR(In_COD))</f>
        <v>87.353113313488</v>
      </c>
      <c r="L71" s="32" t="n">
        <f aca="false">In_PPA_Price*(1+In_PPA_Esc)^(L$7-YEAR(In_COD))</f>
        <v>87.353113313488</v>
      </c>
      <c r="M71" s="32" t="n">
        <f aca="false">In_PPA_Price*(1+In_PPA_Esc)^(M$7-YEAR(In_COD))</f>
        <v>87.353113313488</v>
      </c>
      <c r="N71" s="32" t="n">
        <f aca="false">In_PPA_Price*(1+In_PPA_Esc)^(N$7-YEAR(In_COD))</f>
        <v>87.353113313488</v>
      </c>
      <c r="O71" s="32" t="n">
        <f aca="false">In_PPA_Price*(1+In_PPA_Esc)^(O$7-YEAR(In_COD))</f>
        <v>88.2266444466229</v>
      </c>
      <c r="P71" s="32" t="n">
        <f aca="false">In_PPA_Price*(1+In_PPA_Esc)^(P$7-YEAR(In_COD))</f>
        <v>88.2266444466229</v>
      </c>
      <c r="Q71" s="32" t="n">
        <f aca="false">In_PPA_Price*(1+In_PPA_Esc)^(Q$7-YEAR(In_COD))</f>
        <v>88.2266444466229</v>
      </c>
      <c r="R71" s="32" t="n">
        <f aca="false">In_PPA_Price*(1+In_PPA_Esc)^(R$7-YEAR(In_COD))</f>
        <v>88.2266444466229</v>
      </c>
      <c r="S71" s="32" t="n">
        <f aca="false">In_PPA_Price*(1+In_PPA_Esc)^(S$7-YEAR(In_COD))</f>
        <v>89.1089108910891</v>
      </c>
      <c r="T71" s="32" t="n">
        <f aca="false">In_PPA_Price*(1+In_PPA_Esc)^(T$7-YEAR(In_COD))</f>
        <v>89.1089108910891</v>
      </c>
      <c r="U71" s="32" t="n">
        <f aca="false">In_PPA_Price*(1+In_PPA_Esc)^(U$7-YEAR(In_COD))</f>
        <v>89.1089108910891</v>
      </c>
      <c r="V71" s="32" t="n">
        <f aca="false">In_PPA_Price*(1+In_PPA_Esc)^(V$7-YEAR(In_COD))</f>
        <v>89.1089108910891</v>
      </c>
      <c r="W71" s="32" t="n">
        <f aca="false">In_PPA_Price*(1+In_PPA_Esc)^(W$7-YEAR(In_COD))</f>
        <v>90</v>
      </c>
      <c r="X71" s="32" t="n">
        <f aca="false">In_PPA_Price*(1+In_PPA_Esc)^(X$7-YEAR(In_COD))</f>
        <v>90</v>
      </c>
      <c r="Y71" s="32" t="n">
        <f aca="false">In_PPA_Price*(1+In_PPA_Esc)^(Y$7-YEAR(In_COD))</f>
        <v>90</v>
      </c>
      <c r="Z71" s="32" t="n">
        <f aca="false">In_PPA_Price*(1+In_PPA_Esc)^(Z$7-YEAR(In_COD))</f>
        <v>90</v>
      </c>
      <c r="AA71" s="32" t="n">
        <f aca="false">In_PPA_Price*(1+In_PPA_Esc)^(AA$7-YEAR(In_COD))</f>
        <v>90.9</v>
      </c>
      <c r="AB71" s="32" t="n">
        <f aca="false">In_PPA_Price*(1+In_PPA_Esc)^(AB$7-YEAR(In_COD))</f>
        <v>90.9</v>
      </c>
      <c r="AC71" s="32" t="n">
        <f aca="false">In_PPA_Price*(1+In_PPA_Esc)^(AC$7-YEAR(In_COD))</f>
        <v>90.9</v>
      </c>
      <c r="AD71" s="32" t="n">
        <f aca="false">In_PPA_Price*(1+In_PPA_Esc)^(AD$7-YEAR(In_COD))</f>
        <v>90.9</v>
      </c>
      <c r="AE71" s="32" t="n">
        <f aca="false">In_PPA_Price*(1+In_PPA_Esc)^(AE$7-YEAR(In_COD))</f>
        <v>91.809</v>
      </c>
      <c r="AF71" s="32" t="n">
        <f aca="false">In_PPA_Price*(1+In_PPA_Esc)^(AF$7-YEAR(In_COD))</f>
        <v>91.809</v>
      </c>
      <c r="AG71" s="32" t="n">
        <f aca="false">In_PPA_Price*(1+In_PPA_Esc)^(AG$7-YEAR(In_COD))</f>
        <v>91.809</v>
      </c>
      <c r="AH71" s="32" t="n">
        <f aca="false">In_PPA_Price*(1+In_PPA_Esc)^(AH$7-YEAR(In_COD))</f>
        <v>91.809</v>
      </c>
      <c r="AI71" s="32" t="n">
        <f aca="false">In_PPA_Price*(1+In_PPA_Esc)^(AI$7-YEAR(In_COD))</f>
        <v>92.72709</v>
      </c>
      <c r="AJ71" s="32" t="n">
        <f aca="false">In_PPA_Price*(1+In_PPA_Esc)^(AJ$7-YEAR(In_COD))</f>
        <v>92.72709</v>
      </c>
      <c r="AK71" s="32" t="n">
        <f aca="false">In_PPA_Price*(1+In_PPA_Esc)^(AK$7-YEAR(In_COD))</f>
        <v>92.72709</v>
      </c>
      <c r="AL71" s="32" t="n">
        <f aca="false">In_PPA_Price*(1+In_PPA_Esc)^(AL$7-YEAR(In_COD))</f>
        <v>92.72709</v>
      </c>
      <c r="AM71" s="32" t="n">
        <f aca="false">In_PPA_Price*(1+In_PPA_Esc)^(AM$7-YEAR(In_COD))</f>
        <v>93.6543609</v>
      </c>
      <c r="AN71" s="32" t="n">
        <f aca="false">In_PPA_Price*(1+In_PPA_Esc)^(AN$7-YEAR(In_COD))</f>
        <v>93.6543609</v>
      </c>
      <c r="AO71" s="32" t="n">
        <f aca="false">In_PPA_Price*(1+In_PPA_Esc)^(AO$7-YEAR(In_COD))</f>
        <v>93.6543609</v>
      </c>
      <c r="AP71" s="32" t="n">
        <f aca="false">In_PPA_Price*(1+In_PPA_Esc)^(AP$7-YEAR(In_COD))</f>
        <v>93.6543609</v>
      </c>
      <c r="AQ71" s="32" t="n">
        <f aca="false">In_PPA_Price*(1+In_PPA_Esc)^(AQ$7-YEAR(In_COD))</f>
        <v>94.590904509</v>
      </c>
      <c r="AR71" s="32" t="n">
        <f aca="false">In_PPA_Price*(1+In_PPA_Esc)^(AR$7-YEAR(In_COD))</f>
        <v>94.590904509</v>
      </c>
      <c r="AS71" s="32" t="n">
        <f aca="false">In_PPA_Price*(1+In_PPA_Esc)^(AS$7-YEAR(In_COD))</f>
        <v>94.590904509</v>
      </c>
      <c r="AT71" s="32" t="n">
        <f aca="false">In_PPA_Price*(1+In_PPA_Esc)^(AT$7-YEAR(In_COD))</f>
        <v>94.590904509</v>
      </c>
      <c r="AU71" s="32" t="n">
        <f aca="false">In_PPA_Price*(1+In_PPA_Esc)^(AU$7-YEAR(In_COD))</f>
        <v>95.53681355409</v>
      </c>
      <c r="AV71" s="32" t="n">
        <f aca="false">In_PPA_Price*(1+In_PPA_Esc)^(AV$7-YEAR(In_COD))</f>
        <v>95.53681355409</v>
      </c>
      <c r="AW71" s="32" t="n">
        <f aca="false">In_PPA_Price*(1+In_PPA_Esc)^(AW$7-YEAR(In_COD))</f>
        <v>95.53681355409</v>
      </c>
      <c r="AX71" s="32" t="n">
        <f aca="false">In_PPA_Price*(1+In_PPA_Esc)^(AX$7-YEAR(In_COD))</f>
        <v>95.53681355409</v>
      </c>
      <c r="AY71" s="32" t="n">
        <f aca="false">In_PPA_Price*(1+In_PPA_Esc)^(AY$7-YEAR(In_COD))</f>
        <v>96.4921816896309</v>
      </c>
      <c r="AZ71" s="32" t="n">
        <f aca="false">In_PPA_Price*(1+In_PPA_Esc)^(AZ$7-YEAR(In_COD))</f>
        <v>96.4921816896309</v>
      </c>
      <c r="BA71" s="32" t="n">
        <f aca="false">In_PPA_Price*(1+In_PPA_Esc)^(BA$7-YEAR(In_COD))</f>
        <v>96.4921816896309</v>
      </c>
      <c r="BB71" s="32" t="n">
        <f aca="false">In_PPA_Price*(1+In_PPA_Esc)^(BB$7-YEAR(In_COD))</f>
        <v>96.4921816896309</v>
      </c>
      <c r="BC71" s="32" t="n">
        <f aca="false">In_PPA_Price*(1+In_PPA_Esc)^(BC$7-YEAR(In_COD))</f>
        <v>97.4571035065272</v>
      </c>
      <c r="BD71" s="32" t="n">
        <f aca="false">In_PPA_Price*(1+In_PPA_Esc)^(BD$7-YEAR(In_COD))</f>
        <v>97.4571035065272</v>
      </c>
      <c r="BE71" s="32" t="n">
        <f aca="false">In_PPA_Price*(1+In_PPA_Esc)^(BE$7-YEAR(In_COD))</f>
        <v>97.4571035065272</v>
      </c>
      <c r="BF71" s="32" t="n">
        <f aca="false">In_PPA_Price*(1+In_PPA_Esc)^(BF$7-YEAR(In_COD))</f>
        <v>97.4571035065272</v>
      </c>
      <c r="BG71" s="32" t="n">
        <f aca="false">In_PPA_Price*(1+In_PPA_Esc)^(BG$7-YEAR(In_COD))</f>
        <v>98.4316745415925</v>
      </c>
      <c r="BH71" s="32" t="n">
        <f aca="false">In_PPA_Price*(1+In_PPA_Esc)^(BH$7-YEAR(In_COD))</f>
        <v>98.4316745415925</v>
      </c>
      <c r="BI71" s="32" t="n">
        <f aca="false">In_PPA_Price*(1+In_PPA_Esc)^(BI$7-YEAR(In_COD))</f>
        <v>98.4316745415925</v>
      </c>
      <c r="BJ71" s="32" t="n">
        <f aca="false">In_PPA_Price*(1+In_PPA_Esc)^(BJ$7-YEAR(In_COD))</f>
        <v>98.4316745415925</v>
      </c>
      <c r="BK71" s="32" t="n">
        <f aca="false">In_PPA_Price*(1+In_PPA_Esc)^(BK$7-YEAR(In_COD))</f>
        <v>99.4159912870084</v>
      </c>
      <c r="BL71" s="32" t="n">
        <f aca="false">In_PPA_Price*(1+In_PPA_Esc)^(BL$7-YEAR(In_COD))</f>
        <v>99.4159912870084</v>
      </c>
      <c r="BM71" s="32" t="n">
        <f aca="false">In_PPA_Price*(1+In_PPA_Esc)^(BM$7-YEAR(In_COD))</f>
        <v>99.4159912870084</v>
      </c>
      <c r="BN71" s="32" t="n">
        <f aca="false">In_PPA_Price*(1+In_PPA_Esc)^(BN$7-YEAR(In_COD))</f>
        <v>99.4159912870084</v>
      </c>
      <c r="BO71" s="32" t="n">
        <f aca="false">In_PPA_Price*(1+In_PPA_Esc)^(BO$7-YEAR(In_COD))</f>
        <v>100.410151199878</v>
      </c>
      <c r="BP71" s="32" t="n">
        <f aca="false">In_PPA_Price*(1+In_PPA_Esc)^(BP$7-YEAR(In_COD))</f>
        <v>100.410151199878</v>
      </c>
      <c r="BQ71" s="32" t="n">
        <f aca="false">In_PPA_Price*(1+In_PPA_Esc)^(BQ$7-YEAR(In_COD))</f>
        <v>100.410151199878</v>
      </c>
      <c r="BR71" s="32" t="n">
        <f aca="false">In_PPA_Price*(1+In_PPA_Esc)^(BR$7-YEAR(In_COD))</f>
        <v>100.410151199878</v>
      </c>
      <c r="BS71" s="32" t="n">
        <f aca="false">In_PPA_Price*(1+In_PPA_Esc)^(BS$7-YEAR(In_COD))</f>
        <v>101.414252711877</v>
      </c>
      <c r="BT71" s="32" t="n">
        <f aca="false">In_PPA_Price*(1+In_PPA_Esc)^(BT$7-YEAR(In_COD))</f>
        <v>101.414252711877</v>
      </c>
      <c r="BU71" s="32" t="n">
        <f aca="false">In_PPA_Price*(1+In_PPA_Esc)^(BU$7-YEAR(In_COD))</f>
        <v>101.414252711877</v>
      </c>
      <c r="BV71" s="32" t="n">
        <f aca="false">In_PPA_Price*(1+In_PPA_Esc)^(BV$7-YEAR(In_COD))</f>
        <v>101.414252711877</v>
      </c>
      <c r="BW71" s="32" t="n">
        <f aca="false">In_PPA_Price*(1+In_PPA_Esc)^(BW$7-YEAR(In_COD))</f>
        <v>102.428395238996</v>
      </c>
      <c r="BX71" s="32" t="n">
        <f aca="false">In_PPA_Price*(1+In_PPA_Esc)^(BX$7-YEAR(In_COD))</f>
        <v>102.428395238996</v>
      </c>
      <c r="BY71" s="32" t="n">
        <f aca="false">In_PPA_Price*(1+In_PPA_Esc)^(BY$7-YEAR(In_COD))</f>
        <v>102.428395238996</v>
      </c>
      <c r="BZ71" s="32" t="n">
        <f aca="false">In_PPA_Price*(1+In_PPA_Esc)^(BZ$7-YEAR(In_COD))</f>
        <v>102.428395238996</v>
      </c>
      <c r="CA71" s="32" t="n">
        <f aca="false">In_PPA_Price*(1+In_PPA_Esc)^(CA$7-YEAR(In_COD))</f>
        <v>103.452679191386</v>
      </c>
      <c r="CB71" s="32" t="n">
        <f aca="false">In_PPA_Price*(1+In_PPA_Esc)^(CB$7-YEAR(In_COD))</f>
        <v>103.452679191386</v>
      </c>
      <c r="CC71" s="32" t="n">
        <f aca="false">In_PPA_Price*(1+In_PPA_Esc)^(CC$7-YEAR(In_COD))</f>
        <v>103.452679191386</v>
      </c>
      <c r="CD71" s="32" t="n">
        <f aca="false">In_PPA_Price*(1+In_PPA_Esc)^(CD$7-YEAR(In_COD))</f>
        <v>103.452679191386</v>
      </c>
      <c r="CE71" s="32" t="n">
        <f aca="false">In_PPA_Price*(1+In_PPA_Esc)^(CE$7-YEAR(In_COD))</f>
        <v>104.4872059833</v>
      </c>
      <c r="CF71" s="32" t="n">
        <f aca="false">In_PPA_Price*(1+In_PPA_Esc)^(CF$7-YEAR(In_COD))</f>
        <v>104.4872059833</v>
      </c>
      <c r="CG71" s="32" t="n">
        <f aca="false">In_PPA_Price*(1+In_PPA_Esc)^(CG$7-YEAR(In_COD))</f>
        <v>104.4872059833</v>
      </c>
      <c r="CH71" s="32" t="n">
        <f aca="false">In_PPA_Price*(1+In_PPA_Esc)^(CH$7-YEAR(In_COD))</f>
        <v>104.4872059833</v>
      </c>
      <c r="CI71" s="32" t="n">
        <f aca="false">In_PPA_Price*(1+In_PPA_Esc)^(CI$7-YEAR(In_COD))</f>
        <v>105.532078043133</v>
      </c>
      <c r="CJ71" s="32" t="n">
        <f aca="false">In_PPA_Price*(1+In_PPA_Esc)^(CJ$7-YEAR(In_COD))</f>
        <v>105.532078043133</v>
      </c>
      <c r="CK71" s="32" t="n">
        <f aca="false">In_PPA_Price*(1+In_PPA_Esc)^(CK$7-YEAR(In_COD))</f>
        <v>105.532078043133</v>
      </c>
      <c r="CL71" s="32" t="n">
        <f aca="false">In_PPA_Price*(1+In_PPA_Esc)^(CL$7-YEAR(In_COD))</f>
        <v>105.532078043133</v>
      </c>
      <c r="CM71" s="32" t="n">
        <f aca="false">In_PPA_Price*(1+In_PPA_Esc)^(CM$7-YEAR(In_COD))</f>
        <v>106.587398823564</v>
      </c>
      <c r="CN71" s="32" t="n">
        <f aca="false">In_PPA_Price*(1+In_PPA_Esc)^(CN$7-YEAR(In_COD))</f>
        <v>106.587398823564</v>
      </c>
      <c r="CO71" s="32" t="n">
        <f aca="false">In_PPA_Price*(1+In_PPA_Esc)^(CO$7-YEAR(In_COD))</f>
        <v>106.587398823564</v>
      </c>
      <c r="CP71" s="32" t="n">
        <f aca="false">In_PPA_Price*(1+In_PPA_Esc)^(CP$7-YEAR(In_COD))</f>
        <v>106.587398823564</v>
      </c>
      <c r="CQ71" s="32" t="n">
        <f aca="false">In_PPA_Price*(1+In_PPA_Esc)^(CQ$7-YEAR(In_COD))</f>
        <v>107.6532728118</v>
      </c>
      <c r="CR71" s="32" t="n">
        <f aca="false">In_PPA_Price*(1+In_PPA_Esc)^(CR$7-YEAR(In_COD))</f>
        <v>107.6532728118</v>
      </c>
      <c r="CS71" s="32" t="n">
        <f aca="false">In_PPA_Price*(1+In_PPA_Esc)^(CS$7-YEAR(In_COD))</f>
        <v>107.6532728118</v>
      </c>
      <c r="CT71" s="32" t="n">
        <f aca="false">In_PPA_Price*(1+In_PPA_Esc)^(CT$7-YEAR(In_COD))</f>
        <v>107.6532728118</v>
      </c>
      <c r="CU71" s="32" t="n">
        <f aca="false">In_PPA_Price*(1+In_PPA_Esc)^(CU$7-YEAR(In_COD))</f>
        <v>108.729805539918</v>
      </c>
      <c r="CV71" s="32" t="n">
        <f aca="false">In_PPA_Price*(1+In_PPA_Esc)^(CV$7-YEAR(In_COD))</f>
        <v>108.729805539918</v>
      </c>
      <c r="CW71" s="32" t="n">
        <f aca="false">In_PPA_Price*(1+In_PPA_Esc)^(CW$7-YEAR(In_COD))</f>
        <v>108.729805539918</v>
      </c>
      <c r="CX71" s="32" t="n">
        <f aca="false">In_PPA_Price*(1+In_PPA_Esc)^(CX$7-YEAR(In_COD))</f>
        <v>108.729805539918</v>
      </c>
      <c r="CY71" s="32" t="n">
        <f aca="false">In_PPA_Price*(1+In_PPA_Esc)^(CY$7-YEAR(In_COD))</f>
        <v>109.817103595317</v>
      </c>
      <c r="CZ71" s="32" t="n">
        <f aca="false">In_PPA_Price*(1+In_PPA_Esc)^(CZ$7-YEAR(In_COD))</f>
        <v>109.817103595317</v>
      </c>
      <c r="DA71" s="32" t="n">
        <f aca="false">In_PPA_Price*(1+In_PPA_Esc)^(DA$7-YEAR(In_COD))</f>
        <v>109.817103595317</v>
      </c>
      <c r="DB71" s="32" t="n">
        <f aca="false">In_PPA_Price*(1+In_PPA_Esc)^(DB$7-YEAR(In_COD))</f>
        <v>109.817103595317</v>
      </c>
      <c r="DC71" s="32" t="n">
        <f aca="false">In_PPA_Price*(1+In_PPA_Esc)^(DC$7-YEAR(In_COD))</f>
        <v>110.91527463127</v>
      </c>
      <c r="DD71" s="32" t="n">
        <f aca="false">In_PPA_Price*(1+In_PPA_Esc)^(DD$7-YEAR(In_COD))</f>
        <v>110.91527463127</v>
      </c>
      <c r="DE71" s="32" t="n">
        <f aca="false">In_PPA_Price*(1+In_PPA_Esc)^(DE$7-YEAR(In_COD))</f>
        <v>110.91527463127</v>
      </c>
      <c r="DF71" s="32" t="n">
        <f aca="false">In_PPA_Price*(1+In_PPA_Esc)^(DF$7-YEAR(In_COD))</f>
        <v>110.91527463127</v>
      </c>
      <c r="DG71" s="32" t="n">
        <f aca="false">In_PPA_Price*(1+In_PPA_Esc)^(DG$7-YEAR(In_COD))</f>
        <v>112.024427377583</v>
      </c>
      <c r="DH71" s="32" t="n">
        <f aca="false">In_PPA_Price*(1+In_PPA_Esc)^(DH$7-YEAR(In_COD))</f>
        <v>112.024427377583</v>
      </c>
      <c r="DI71" s="32" t="n">
        <f aca="false">In_PPA_Price*(1+In_PPA_Esc)^(DI$7-YEAR(In_COD))</f>
        <v>112.024427377583</v>
      </c>
      <c r="DJ71" s="32" t="n">
        <f aca="false">In_PPA_Price*(1+In_PPA_Esc)^(DJ$7-YEAR(In_COD))</f>
        <v>112.024427377583</v>
      </c>
      <c r="DK71" s="32" t="n">
        <f aca="false">In_PPA_Price*(1+In_PPA_Esc)^(DK$7-YEAR(In_COD))</f>
        <v>113.144671651359</v>
      </c>
      <c r="DL71" s="32" t="n">
        <f aca="false">In_PPA_Price*(1+In_PPA_Esc)^(DL$7-YEAR(In_COD))</f>
        <v>113.144671651359</v>
      </c>
      <c r="DM71" s="32" t="n">
        <f aca="false">In_PPA_Price*(1+In_PPA_Esc)^(DM$7-YEAR(In_COD))</f>
        <v>113.144671651359</v>
      </c>
      <c r="DN71" s="32" t="n">
        <f aca="false">In_PPA_Price*(1+In_PPA_Esc)^(DN$7-YEAR(In_COD))</f>
        <v>113.144671651359</v>
      </c>
      <c r="DO71" s="32" t="n">
        <f aca="false">In_PPA_Price*(1+In_PPA_Esc)^(DO$7-YEAR(In_COD))</f>
        <v>114.276118367872</v>
      </c>
      <c r="DP71" s="32" t="n">
        <f aca="false">In_PPA_Price*(1+In_PPA_Esc)^(DP$7-YEAR(In_COD))</f>
        <v>114.276118367872</v>
      </c>
      <c r="DQ71" s="32" t="n">
        <f aca="false">In_PPA_Price*(1+In_PPA_Esc)^(DQ$7-YEAR(In_COD))</f>
        <v>114.276118367872</v>
      </c>
      <c r="DR71" s="32" t="n">
        <f aca="false">In_PPA_Price*(1+In_PPA_Esc)^(DR$7-YEAR(In_COD))</f>
        <v>114.276118367872</v>
      </c>
      <c r="DS71" s="32" t="n">
        <f aca="false">In_PPA_Price*(1+In_PPA_Esc)^(DS$7-YEAR(In_COD))</f>
        <v>115.418879551551</v>
      </c>
      <c r="DT71" s="32" t="n">
        <f aca="false">In_PPA_Price*(1+In_PPA_Esc)^(DT$7-YEAR(In_COD))</f>
        <v>115.418879551551</v>
      </c>
      <c r="DU71" s="32" t="n">
        <f aca="false">In_PPA_Price*(1+In_PPA_Esc)^(DU$7-YEAR(In_COD))</f>
        <v>115.418879551551</v>
      </c>
      <c r="DV71" s="32" t="n">
        <f aca="false">In_PPA_Price*(1+In_PPA_Esc)^(DV$7-YEAR(In_COD))</f>
        <v>115.418879551551</v>
      </c>
      <c r="DW71" s="32" t="n">
        <f aca="false">In_PPA_Price*(1+In_PPA_Esc)^(DW$7-YEAR(In_COD))</f>
        <v>116.573068347067</v>
      </c>
      <c r="DX71" s="32" t="n">
        <f aca="false">In_PPA_Price*(1+In_PPA_Esc)^(DX$7-YEAR(In_COD))</f>
        <v>116.573068347067</v>
      </c>
      <c r="DY71" s="32" t="n">
        <f aca="false">In_PPA_Price*(1+In_PPA_Esc)^(DY$7-YEAR(In_COD))</f>
        <v>116.573068347067</v>
      </c>
      <c r="DZ71" s="32" t="n">
        <f aca="false">In_PPA_Price*(1+In_PPA_Esc)^(DZ$7-YEAR(In_COD))</f>
        <v>116.573068347067</v>
      </c>
      <c r="EA71" s="32" t="n">
        <f aca="false">In_PPA_Price*(1+In_PPA_Esc)^(EA$7-YEAR(In_COD))</f>
        <v>117.738799030537</v>
      </c>
      <c r="EB71" s="32" t="n">
        <f aca="false">In_PPA_Price*(1+In_PPA_Esc)^(EB$7-YEAR(In_COD))</f>
        <v>117.738799030537</v>
      </c>
      <c r="EC71" s="32" t="n">
        <f aca="false">In_PPA_Price*(1+In_PPA_Esc)^(EC$7-YEAR(In_COD))</f>
        <v>117.738799030537</v>
      </c>
      <c r="ED71" s="32" t="n">
        <f aca="false">In_PPA_Price*(1+In_PPA_Esc)^(ED$7-YEAR(In_COD))</f>
        <v>117.738799030537</v>
      </c>
      <c r="EE71" s="32" t="n">
        <f aca="false">In_PPA_Price*(1+In_PPA_Esc)^(EE$7-YEAR(In_COD))</f>
        <v>118.916187020843</v>
      </c>
      <c r="EF71" s="32" t="n">
        <f aca="false">In_PPA_Price*(1+In_PPA_Esc)^(EF$7-YEAR(In_COD))</f>
        <v>118.916187020843</v>
      </c>
      <c r="EG71" s="32" t="n">
        <f aca="false">In_PPA_Price*(1+In_PPA_Esc)^(EG$7-YEAR(In_COD))</f>
        <v>118.916187020843</v>
      </c>
      <c r="EH71" s="32" t="n">
        <f aca="false">In_PPA_Price*(1+In_PPA_Esc)^(EH$7-YEAR(In_COD))</f>
        <v>118.916187020843</v>
      </c>
      <c r="EI71" s="32" t="n">
        <f aca="false">In_PPA_Price*(1+In_PPA_Esc)^(EI$7-YEAR(In_COD))</f>
        <v>120.105348891051</v>
      </c>
      <c r="EJ71" s="32" t="n">
        <f aca="false">In_PPA_Price*(1+In_PPA_Esc)^(EJ$7-YEAR(In_COD))</f>
        <v>120.105348891051</v>
      </c>
      <c r="EK71" s="32" t="n">
        <f aca="false">In_PPA_Price*(1+In_PPA_Esc)^(EK$7-YEAR(In_COD))</f>
        <v>120.105348891051</v>
      </c>
      <c r="EL71" s="32" t="n">
        <f aca="false">In_PPA_Price*(1+In_PPA_Esc)^(EL$7-YEAR(In_COD))</f>
        <v>120.105348891051</v>
      </c>
      <c r="EM71" s="32" t="n">
        <f aca="false">In_PPA_Price*(1+In_PPA_Esc)^(EM$7-YEAR(In_COD))</f>
        <v>121.306402379962</v>
      </c>
      <c r="EN71" s="32" t="n">
        <f aca="false">In_PPA_Price*(1+In_PPA_Esc)^(EN$7-YEAR(In_COD))</f>
        <v>121.306402379962</v>
      </c>
      <c r="EO71" s="32" t="n">
        <f aca="false">In_PPA_Price*(1+In_PPA_Esc)^(EO$7-YEAR(In_COD))</f>
        <v>121.306402379962</v>
      </c>
    </row>
    <row r="72" customFormat="false" ht="15" hidden="false" customHeight="false" outlineLevel="0" collapsed="false">
      <c r="C72" s="0" t="s">
        <v>440</v>
      </c>
      <c r="D72" s="11" t="s">
        <v>70</v>
      </c>
      <c r="E72" s="47" t="n">
        <f aca="false">SUMIF($J$7:$EO$7,YEAR(In_COD)+1,$J72:$EO72)</f>
        <v>139397.5128</v>
      </c>
      <c r="I72" s="47" t="n">
        <f aca="false">SUM(J72:EO72)</f>
        <v>4010958.36031905</v>
      </c>
      <c r="J72" s="47" t="n">
        <f aca="false">$F25*In_P50_Hours*(1-In_Curtailment)*(1-$E28)*(1-In_Degradation)^(J21-1)*J16*J$6</f>
        <v>0</v>
      </c>
      <c r="K72" s="47" t="n">
        <f aca="false">$F25*In_P50_Hours*(1-In_Curtailment)*(1-$E28)*(1-In_Degradation)^(K21-1)*K16*K$6</f>
        <v>0</v>
      </c>
      <c r="L72" s="47" t="n">
        <f aca="false">$F25*In_P50_Hours*(1-In_Curtailment)*(1-$E28)*(1-In_Degradation)^(L21-1)*L16*L$6</f>
        <v>0</v>
      </c>
      <c r="M72" s="47" t="n">
        <f aca="false">$F25*In_P50_Hours*(1-In_Curtailment)*(1-$E28)*(1-In_Degradation)^(M21-1)*M16*M$6</f>
        <v>0</v>
      </c>
      <c r="N72" s="47" t="n">
        <f aca="false">$F25*In_P50_Hours*(1-In_Curtailment)*(1-$E28)*(1-In_Degradation)^(N21-1)*N16*N$6</f>
        <v>0</v>
      </c>
      <c r="O72" s="47" t="n">
        <f aca="false">$F25*In_P50_Hours*(1-In_Curtailment)*(1-$E28)*(1-In_Degradation)^(O21-1)*O16*O$6</f>
        <v>0</v>
      </c>
      <c r="P72" s="47" t="n">
        <f aca="false">$F25*In_P50_Hours*(1-In_Curtailment)*(1-$E28)*(1-In_Degradation)^(P21-1)*P16*P$6</f>
        <v>0</v>
      </c>
      <c r="Q72" s="47" t="n">
        <f aca="false">$F25*In_P50_Hours*(1-In_Curtailment)*(1-$E28)*(1-In_Degradation)^(Q21-1)*Q16*Q$6</f>
        <v>0</v>
      </c>
      <c r="R72" s="47" t="n">
        <f aca="false">$F25*In_P50_Hours*(1-In_Curtailment)*(1-$E28)*(1-In_Degradation)^(R21-1)*R16*R$6</f>
        <v>0</v>
      </c>
      <c r="S72" s="47" t="n">
        <f aca="false">$F25*In_P50_Hours*(1-In_Curtailment)*(1-$E28)*(1-In_Degradation)^(S21-1)*S16*S$6</f>
        <v>0</v>
      </c>
      <c r="T72" s="47" t="n">
        <f aca="false">$F25*In_P50_Hours*(1-In_Curtailment)*(1-$E28)*(1-In_Degradation)^(T21-1)*T16*T$6</f>
        <v>0</v>
      </c>
      <c r="U72" s="47" t="n">
        <f aca="false">$F25*In_P50_Hours*(1-In_Curtailment)*(1-$E28)*(1-In_Degradation)^(U21-1)*U16*U$6</f>
        <v>0</v>
      </c>
      <c r="V72" s="47" t="n">
        <f aca="false">$F25*In_P50_Hours*(1-In_Curtailment)*(1-$E28)*(1-In_Degradation)^(V21-1)*V16*V$6</f>
        <v>0</v>
      </c>
      <c r="W72" s="47" t="n">
        <f aca="false">$F25*In_P50_Hours*(1-In_Curtailment)*(1-$E28)*(1-In_Degradation)^(W21-1)*W16*W$6</f>
        <v>0</v>
      </c>
      <c r="X72" s="47" t="n">
        <f aca="false">$F25*In_P50_Hours*(1-In_Curtailment)*(1-$E28)*(1-In_Degradation)^(X21-1)*X16*X$6</f>
        <v>0</v>
      </c>
      <c r="Y72" s="47" t="n">
        <f aca="false">$F25*In_P50_Hours*(1-In_Curtailment)*(1-$E28)*(1-In_Degradation)^(Y21-1)*Y16*Y$6</f>
        <v>0</v>
      </c>
      <c r="Z72" s="47" t="n">
        <f aca="false">$F25*In_P50_Hours*(1-In_Curtailment)*(1-$E28)*(1-In_Degradation)^(Z21-1)*Z16*Z$6</f>
        <v>35162.4</v>
      </c>
      <c r="AA72" s="47" t="n">
        <f aca="false">$F25*In_P50_Hours*(1-In_Curtailment)*(1-$E28)*(1-In_Degradation)^(AA21-1)*AA16*AA$6</f>
        <v>34398</v>
      </c>
      <c r="AB72" s="47" t="n">
        <f aca="false">$F25*In_P50_Hours*(1-In_Curtailment)*(1-$E28)*(1-In_Degradation)^(AB21-1)*AB16*AB$6</f>
        <v>34780.2</v>
      </c>
      <c r="AC72" s="47" t="n">
        <f aca="false">$F25*In_P50_Hours*(1-In_Curtailment)*(1-$E28)*(1-In_Degradation)^(AC21-1)*AC16*AC$6</f>
        <v>35162.4</v>
      </c>
      <c r="AD72" s="47" t="n">
        <f aca="false">$F25*In_P50_Hours*(1-In_Curtailment)*(1-$E28)*(1-In_Degradation)^(AD21-1)*AD16*AD$6</f>
        <v>35056.9128</v>
      </c>
      <c r="AE72" s="47" t="n">
        <f aca="false">$F25*In_P50_Hours*(1-In_Curtailment)*(1-$E28)*(1-In_Degradation)^(AE21-1)*AE16*AE$6</f>
        <v>34675.8594</v>
      </c>
      <c r="AF72" s="47" t="n">
        <f aca="false">$F25*In_P50_Hours*(1-In_Curtailment)*(1-$E28)*(1-In_Degradation)^(AF21-1)*AF16*AF$6</f>
        <v>34675.8594</v>
      </c>
      <c r="AG72" s="47" t="n">
        <f aca="false">$F25*In_P50_Hours*(1-In_Curtailment)*(1-$E28)*(1-In_Degradation)^(AG21-1)*AG16*AG$6</f>
        <v>35056.9128</v>
      </c>
      <c r="AH72" s="47" t="n">
        <f aca="false">$F25*In_P50_Hours*(1-In_Curtailment)*(1-$E28)*(1-In_Degradation)^(AH21-1)*AH16*AH$6</f>
        <v>34951.7420616</v>
      </c>
      <c r="AI72" s="47" t="n">
        <f aca="false">$F25*In_P50_Hours*(1-In_Curtailment)*(1-$E28)*(1-In_Degradation)^(AI21-1)*AI16*AI$6</f>
        <v>34191.921582</v>
      </c>
      <c r="AJ72" s="47" t="n">
        <f aca="false">$F25*In_P50_Hours*(1-In_Curtailment)*(1-$E28)*(1-In_Degradation)^(AJ21-1)*AJ16*AJ$6</f>
        <v>34571.8318218</v>
      </c>
      <c r="AK72" s="47" t="n">
        <f aca="false">$F25*In_P50_Hours*(1-In_Curtailment)*(1-$E28)*(1-In_Degradation)^(AK21-1)*AK16*AK$6</f>
        <v>34951.7420616</v>
      </c>
      <c r="AL72" s="47" t="n">
        <f aca="false">$F25*In_P50_Hours*(1-In_Curtailment)*(1-$E28)*(1-In_Degradation)^(AL21-1)*AL16*AL$6</f>
        <v>34846.8868354152</v>
      </c>
      <c r="AM72" s="47" t="n">
        <f aca="false">$F25*In_P50_Hours*(1-In_Curtailment)*(1-$E28)*(1-In_Degradation)^(AM21-1)*AM16*AM$6</f>
        <v>34089.345817254</v>
      </c>
      <c r="AN72" s="47" t="n">
        <f aca="false">$F25*In_P50_Hours*(1-In_Curtailment)*(1-$E28)*(1-In_Degradation)^(AN21-1)*AN16*AN$6</f>
        <v>34468.1163263346</v>
      </c>
      <c r="AO72" s="47" t="n">
        <f aca="false">$F25*In_P50_Hours*(1-In_Curtailment)*(1-$E28)*(1-In_Degradation)^(AO21-1)*AO16*AO$6</f>
        <v>34846.8868354152</v>
      </c>
      <c r="AP72" s="47" t="n">
        <f aca="false">$F25*In_P50_Hours*(1-In_Curtailment)*(1-$E28)*(1-In_Degradation)^(AP21-1)*AP16*AP$6</f>
        <v>34742.346174909</v>
      </c>
      <c r="AQ72" s="47" t="n">
        <f aca="false">$F25*In_P50_Hours*(1-In_Curtailment)*(1-$E28)*(1-In_Degradation)^(AQ21-1)*AQ16*AQ$6</f>
        <v>33987.0777798023</v>
      </c>
      <c r="AR72" s="47" t="n">
        <f aca="false">$F25*In_P50_Hours*(1-In_Curtailment)*(1-$E28)*(1-In_Degradation)^(AR21-1)*AR16*AR$6</f>
        <v>34364.7119773556</v>
      </c>
      <c r="AS72" s="47" t="n">
        <f aca="false">$F25*In_P50_Hours*(1-In_Curtailment)*(1-$E28)*(1-In_Degradation)^(AS21-1)*AS16*AS$6</f>
        <v>34742.346174909</v>
      </c>
      <c r="AT72" s="47" t="n">
        <f aca="false">$F25*In_P50_Hours*(1-In_Curtailment)*(1-$E28)*(1-In_Degradation)^(AT21-1)*AT16*AT$6</f>
        <v>34638.1191363842</v>
      </c>
      <c r="AU72" s="47" t="n">
        <f aca="false">$F25*In_P50_Hours*(1-In_Curtailment)*(1-$E28)*(1-In_Degradation)^(AU21-1)*AU16*AU$6</f>
        <v>34261.6178414235</v>
      </c>
      <c r="AV72" s="47" t="n">
        <f aca="false">$F25*In_P50_Hours*(1-In_Curtailment)*(1-$E28)*(1-In_Degradation)^(AV21-1)*AV16*AV$6</f>
        <v>34261.6178414235</v>
      </c>
      <c r="AW72" s="47" t="n">
        <f aca="false">$F25*In_P50_Hours*(1-In_Curtailment)*(1-$E28)*(1-In_Degradation)^(AW21-1)*AW16*AW$6</f>
        <v>34638.1191363842</v>
      </c>
      <c r="AX72" s="47" t="n">
        <f aca="false">$F25*In_P50_Hours*(1-In_Curtailment)*(1-$E28)*(1-In_Degradation)^(AX21-1)*AX16*AX$6</f>
        <v>34534.2047789751</v>
      </c>
      <c r="AY72" s="47" t="n">
        <f aca="false">$F25*In_P50_Hours*(1-In_Curtailment)*(1-$E28)*(1-In_Degradation)^(AY21-1)*AY16*AY$6</f>
        <v>33783.4611968235</v>
      </c>
      <c r="AZ72" s="47" t="n">
        <f aca="false">$F25*In_P50_Hours*(1-In_Curtailment)*(1-$E28)*(1-In_Degradation)^(AZ21-1)*AZ16*AZ$6</f>
        <v>34158.8329878993</v>
      </c>
      <c r="BA72" s="47" t="n">
        <f aca="false">$F25*In_P50_Hours*(1-In_Curtailment)*(1-$E28)*(1-In_Degradation)^(BA21-1)*BA16*BA$6</f>
        <v>34534.2047789751</v>
      </c>
      <c r="BB72" s="47" t="n">
        <f aca="false">$F25*In_P50_Hours*(1-In_Curtailment)*(1-$E28)*(1-In_Degradation)^(BB21-1)*BB16*BB$6</f>
        <v>34430.6021646382</v>
      </c>
      <c r="BC72" s="47" t="n">
        <f aca="false">$F25*In_P50_Hours*(1-In_Curtailment)*(1-$E28)*(1-In_Degradation)^(BC21-1)*BC16*BC$6</f>
        <v>33682.110813233</v>
      </c>
      <c r="BD72" s="47" t="n">
        <f aca="false">$F25*In_P50_Hours*(1-In_Curtailment)*(1-$E28)*(1-In_Degradation)^(BD21-1)*BD16*BD$6</f>
        <v>34056.3564889356</v>
      </c>
      <c r="BE72" s="47" t="n">
        <f aca="false">$F25*In_P50_Hours*(1-In_Curtailment)*(1-$E28)*(1-In_Degradation)^(BE21-1)*BE16*BE$6</f>
        <v>34430.6021646382</v>
      </c>
      <c r="BF72" s="47" t="n">
        <f aca="false">$F25*In_P50_Hours*(1-In_Curtailment)*(1-$E28)*(1-In_Degradation)^(BF21-1)*BF16*BF$6</f>
        <v>34327.3103581443</v>
      </c>
      <c r="BG72" s="47" t="n">
        <f aca="false">$F25*In_P50_Hours*(1-In_Curtailment)*(1-$E28)*(1-In_Degradation)^(BG21-1)*BG16*BG$6</f>
        <v>33581.0644807933</v>
      </c>
      <c r="BH72" s="47" t="n">
        <f aca="false">$F25*In_P50_Hours*(1-In_Curtailment)*(1-$E28)*(1-In_Degradation)^(BH21-1)*BH16*BH$6</f>
        <v>33954.1874194688</v>
      </c>
      <c r="BI72" s="47" t="n">
        <f aca="false">$F25*In_P50_Hours*(1-In_Curtailment)*(1-$E28)*(1-In_Degradation)^(BI21-1)*BI16*BI$6</f>
        <v>34327.3103581443</v>
      </c>
      <c r="BJ72" s="47" t="n">
        <f aca="false">$F25*In_P50_Hours*(1-In_Curtailment)*(1-$E28)*(1-In_Degradation)^(BJ21-1)*BJ16*BJ$6</f>
        <v>34224.3284270698</v>
      </c>
      <c r="BK72" s="47" t="n">
        <f aca="false">$F25*In_P50_Hours*(1-In_Curtailment)*(1-$E28)*(1-In_Degradation)^(BK21-1)*BK16*BK$6</f>
        <v>33852.3248572104</v>
      </c>
      <c r="BL72" s="47" t="n">
        <f aca="false">$F25*In_P50_Hours*(1-In_Curtailment)*(1-$E28)*(1-In_Degradation)^(BL21-1)*BL16*BL$6</f>
        <v>33852.3248572104</v>
      </c>
      <c r="BM72" s="47" t="n">
        <f aca="false">$F25*In_P50_Hours*(1-In_Curtailment)*(1-$E28)*(1-In_Degradation)^(BM21-1)*BM16*BM$6</f>
        <v>34224.3284270698</v>
      </c>
      <c r="BN72" s="47" t="n">
        <f aca="false">$F25*In_P50_Hours*(1-In_Curtailment)*(1-$E28)*(1-In_Degradation)^(BN21-1)*BN16*BN$6</f>
        <v>34121.6554417886</v>
      </c>
      <c r="BO72" s="47" t="n">
        <f aca="false">$F25*In_P50_Hours*(1-In_Curtailment)*(1-$E28)*(1-In_Degradation)^(BO21-1)*BO16*BO$6</f>
        <v>33379.8803234888</v>
      </c>
      <c r="BP72" s="47" t="n">
        <f aca="false">$F25*In_P50_Hours*(1-In_Curtailment)*(1-$E28)*(1-In_Degradation)^(BP21-1)*BP16*BP$6</f>
        <v>33750.7678826387</v>
      </c>
      <c r="BQ72" s="47" t="n">
        <f aca="false">$F25*In_P50_Hours*(1-In_Curtailment)*(1-$E28)*(1-In_Degradation)^(BQ21-1)*BQ16*BQ$6</f>
        <v>34121.6554417886</v>
      </c>
      <c r="BR72" s="47" t="n">
        <f aca="false">$F25*In_P50_Hours*(1-In_Curtailment)*(1-$E28)*(1-In_Degradation)^(BR21-1)*BR16*BR$6</f>
        <v>34019.2904754632</v>
      </c>
      <c r="BS72" s="47" t="n">
        <f aca="false">$F25*In_P50_Hours*(1-In_Curtailment)*(1-$E28)*(1-In_Degradation)^(BS21-1)*BS16*BS$6</f>
        <v>33279.7406825184</v>
      </c>
      <c r="BT72" s="47" t="n">
        <f aca="false">$F25*In_P50_Hours*(1-In_Curtailment)*(1-$E28)*(1-In_Degradation)^(BT21-1)*BT16*BT$6</f>
        <v>33649.5155789908</v>
      </c>
      <c r="BU72" s="47" t="n">
        <f aca="false">$F25*In_P50_Hours*(1-In_Curtailment)*(1-$E28)*(1-In_Degradation)^(BU21-1)*BU16*BU$6</f>
        <v>34019.2904754632</v>
      </c>
      <c r="BV72" s="47" t="n">
        <f aca="false">$F25*In_P50_Hours*(1-In_Curtailment)*(1-$E28)*(1-In_Degradation)^(BV21-1)*BV16*BV$6</f>
        <v>33917.2326040368</v>
      </c>
      <c r="BW72" s="47" t="n">
        <f aca="false">$F25*In_P50_Hours*(1-In_Curtailment)*(1-$E28)*(1-In_Degradation)^(BW21-1)*BW16*BW$6</f>
        <v>33179.9014604708</v>
      </c>
      <c r="BX72" s="47" t="n">
        <f aca="false">$F25*In_P50_Hours*(1-In_Curtailment)*(1-$E28)*(1-In_Degradation)^(BX21-1)*BX16*BX$6</f>
        <v>33548.5670322538</v>
      </c>
      <c r="BY72" s="47" t="n">
        <f aca="false">$F25*In_P50_Hours*(1-In_Curtailment)*(1-$E28)*(1-In_Degradation)^(BY21-1)*BY16*BY$6</f>
        <v>33917.2326040368</v>
      </c>
      <c r="BZ72" s="47" t="n">
        <f aca="false">$F25*In_P50_Hours*(1-In_Curtailment)*(1-$E28)*(1-In_Degradation)^(BZ21-1)*BZ16*BZ$6</f>
        <v>33815.4809062247</v>
      </c>
      <c r="CA72" s="47" t="n">
        <f aca="false">$F25*In_P50_Hours*(1-In_Curtailment)*(1-$E28)*(1-In_Degradation)^(CA21-1)*CA16*CA$6</f>
        <v>33447.9213311571</v>
      </c>
      <c r="CB72" s="47" t="n">
        <f aca="false">$F25*In_P50_Hours*(1-In_Curtailment)*(1-$E28)*(1-In_Degradation)^(CB21-1)*CB16*CB$6</f>
        <v>33447.9213311571</v>
      </c>
      <c r="CC72" s="47" t="n">
        <f aca="false">$F25*In_P50_Hours*(1-In_Curtailment)*(1-$E28)*(1-In_Degradation)^(CC21-1)*CC16*CC$6</f>
        <v>33815.4809062247</v>
      </c>
      <c r="CD72" s="47" t="n">
        <f aca="false">$F25*In_P50_Hours*(1-In_Curtailment)*(1-$E28)*(1-In_Degradation)^(CD21-1)*CD16*CD$6</f>
        <v>33714.0344635061</v>
      </c>
      <c r="CE72" s="47" t="n">
        <f aca="false">$F25*In_P50_Hours*(1-In_Curtailment)*(1-$E28)*(1-In_Degradation)^(CE21-1)*CE16*CE$6</f>
        <v>32981.1206708211</v>
      </c>
      <c r="CF72" s="47" t="n">
        <f aca="false">$F25*In_P50_Hours*(1-In_Curtailment)*(1-$E28)*(1-In_Degradation)^(CF21-1)*CF16*CF$6</f>
        <v>33347.5775671636</v>
      </c>
      <c r="CG72" s="47" t="n">
        <f aca="false">$F25*In_P50_Hours*(1-In_Curtailment)*(1-$E28)*(1-In_Degradation)^(CG21-1)*CG16*CG$6</f>
        <v>33714.0344635061</v>
      </c>
      <c r="CH72" s="47" t="n">
        <f aca="false">$F25*In_P50_Hours*(1-In_Curtailment)*(1-$E28)*(1-In_Degradation)^(CH21-1)*CH16*CH$6</f>
        <v>33612.8923601155</v>
      </c>
      <c r="CI72" s="47" t="n">
        <f aca="false">$F25*In_P50_Hours*(1-In_Curtailment)*(1-$E28)*(1-In_Degradation)^(CI21-1)*CI16*CI$6</f>
        <v>32882.1773088087</v>
      </c>
      <c r="CJ72" s="47" t="n">
        <f aca="false">$F25*In_P50_Hours*(1-In_Curtailment)*(1-$E28)*(1-In_Degradation)^(CJ21-1)*CJ16*CJ$6</f>
        <v>33247.5348344621</v>
      </c>
      <c r="CK72" s="47" t="n">
        <f aca="false">$F25*In_P50_Hours*(1-In_Curtailment)*(1-$E28)*(1-In_Degradation)^(CK21-1)*CK16*CK$6</f>
        <v>33612.8923601155</v>
      </c>
      <c r="CL72" s="47" t="n">
        <f aca="false">$F25*In_P50_Hours*(1-In_Curtailment)*(1-$E28)*(1-In_Degradation)^(CL21-1)*CL16*CL$6</f>
        <v>33512.0536830352</v>
      </c>
      <c r="CM72" s="47" t="n">
        <f aca="false">$F25*In_P50_Hours*(1-In_Curtailment)*(1-$E28)*(1-In_Degradation)^(CM21-1)*CM16*CM$6</f>
        <v>32783.5307768823</v>
      </c>
      <c r="CN72" s="47" t="n">
        <f aca="false">$F25*In_P50_Hours*(1-In_Curtailment)*(1-$E28)*(1-In_Degradation)^(CN21-1)*CN16*CN$6</f>
        <v>33147.7922299587</v>
      </c>
      <c r="CO72" s="47" t="n">
        <f aca="false">$F25*In_P50_Hours*(1-In_Curtailment)*(1-$E28)*(1-In_Degradation)^(CO21-1)*CO16*CO$6</f>
        <v>33512.0536830352</v>
      </c>
      <c r="CP72" s="47" t="n">
        <f aca="false">$F25*In_P50_Hours*(1-In_Curtailment)*(1-$E28)*(1-In_Degradation)^(CP21-1)*CP16*CP$6</f>
        <v>33411.5175219861</v>
      </c>
      <c r="CQ72" s="47" t="n">
        <f aca="false">$F25*In_P50_Hours*(1-In_Curtailment)*(1-$E28)*(1-In_Degradation)^(CQ21-1)*CQ16*CQ$6</f>
        <v>33048.3488532689</v>
      </c>
      <c r="CR72" s="47" t="n">
        <f aca="false">$F25*In_P50_Hours*(1-In_Curtailment)*(1-$E28)*(1-In_Degradation)^(CR21-1)*CR16*CR$6</f>
        <v>33048.3488532689</v>
      </c>
      <c r="CS72" s="47" t="n">
        <f aca="false">$F25*In_P50_Hours*(1-In_Curtailment)*(1-$E28)*(1-In_Degradation)^(CS21-1)*CS16*CS$6</f>
        <v>33411.5175219861</v>
      </c>
      <c r="CT72" s="47" t="n">
        <f aca="false">$F25*In_P50_Hours*(1-In_Curtailment)*(1-$E28)*(1-In_Degradation)^(CT21-1)*CT16*CT$6</f>
        <v>33311.2829694201</v>
      </c>
      <c r="CU72" s="47" t="n">
        <f aca="false">$F25*In_P50_Hours*(1-In_Curtailment)*(1-$E28)*(1-In_Degradation)^(CU21-1)*CU16*CU$6</f>
        <v>32587.124643998</v>
      </c>
      <c r="CV72" s="47" t="n">
        <f aca="false">$F25*In_P50_Hours*(1-In_Curtailment)*(1-$E28)*(1-In_Degradation)^(CV21-1)*CV16*CV$6</f>
        <v>32949.2038067091</v>
      </c>
      <c r="CW72" s="47" t="n">
        <f aca="false">$F25*In_P50_Hours*(1-In_Curtailment)*(1-$E28)*(1-In_Degradation)^(CW21-1)*CW16*CW$6</f>
        <v>33311.2829694201</v>
      </c>
      <c r="CX72" s="47" t="n">
        <f aca="false">$F25*In_P50_Hours*(1-In_Curtailment)*(1-$E28)*(1-In_Degradation)^(CX21-1)*CX16*CX$6</f>
        <v>33211.3491205119</v>
      </c>
      <c r="CY72" s="47" t="n">
        <f aca="false">$F25*In_P50_Hours*(1-In_Curtailment)*(1-$E28)*(1-In_Degradation)^(CY21-1)*CY16*CY$6</f>
        <v>32489.363270066</v>
      </c>
      <c r="CZ72" s="47" t="n">
        <f aca="false">$F25*In_P50_Hours*(1-In_Curtailment)*(1-$E28)*(1-In_Degradation)^(CZ21-1)*CZ16*CZ$6</f>
        <v>32850.3561952889</v>
      </c>
      <c r="DA72" s="47" t="n">
        <f aca="false">$F25*In_P50_Hours*(1-In_Curtailment)*(1-$E28)*(1-In_Degradation)^(DA21-1)*DA16*DA$6</f>
        <v>33211.3491205119</v>
      </c>
      <c r="DB72" s="47" t="n">
        <f aca="false">$F25*In_P50_Hours*(1-In_Curtailment)*(1-$E28)*(1-In_Degradation)^(DB21-1)*DB16*DB$6</f>
        <v>33111.7150731503</v>
      </c>
      <c r="DC72" s="47" t="n">
        <f aca="false">$F25*In_P50_Hours*(1-In_Curtailment)*(1-$E28)*(1-In_Degradation)^(DC21-1)*DC16*DC$6</f>
        <v>32391.8951802558</v>
      </c>
      <c r="DD72" s="47" t="n">
        <f aca="false">$F25*In_P50_Hours*(1-In_Curtailment)*(1-$E28)*(1-In_Degradation)^(DD21-1)*DD16*DD$6</f>
        <v>32751.8051267031</v>
      </c>
      <c r="DE72" s="47" t="n">
        <f aca="false">$F25*In_P50_Hours*(1-In_Curtailment)*(1-$E28)*(1-In_Degradation)^(DE21-1)*DE16*DE$6</f>
        <v>33111.7150731503</v>
      </c>
      <c r="DF72" s="47" t="n">
        <f aca="false">$F25*In_P50_Hours*(1-In_Curtailment)*(1-$E28)*(1-In_Degradation)^(DF21-1)*DF16*DF$6</f>
        <v>33012.3799279309</v>
      </c>
      <c r="DG72" s="47" t="n">
        <f aca="false">$F25*In_P50_Hours*(1-In_Curtailment)*(1-$E28)*(1-In_Degradation)^(DG21-1)*DG16*DG$6</f>
        <v>32653.5497113229</v>
      </c>
      <c r="DH72" s="47" t="n">
        <f aca="false">$F25*In_P50_Hours*(1-In_Curtailment)*(1-$E28)*(1-In_Degradation)^(DH21-1)*DH16*DH$6</f>
        <v>32653.5497113229</v>
      </c>
      <c r="DI72" s="47" t="n">
        <f aca="false">$F25*In_P50_Hours*(1-In_Curtailment)*(1-$E28)*(1-In_Degradation)^(DI21-1)*DI16*DI$6</f>
        <v>33012.3799279309</v>
      </c>
      <c r="DJ72" s="47" t="n">
        <f aca="false">$F25*In_P50_Hours*(1-In_Curtailment)*(1-$E28)*(1-In_Degradation)^(DJ21-1)*DJ16*DJ$6</f>
        <v>32913.3427881471</v>
      </c>
      <c r="DK72" s="47" t="n">
        <f aca="false">$F25*In_P50_Hours*(1-In_Curtailment)*(1-$E28)*(1-In_Degradation)^(DK21-1)*DK16*DK$6</f>
        <v>32197.8353362308</v>
      </c>
      <c r="DL72" s="47" t="n">
        <f aca="false">$F25*In_P50_Hours*(1-In_Curtailment)*(1-$E28)*(1-In_Degradation)^(DL21-1)*DL16*DL$6</f>
        <v>32555.589062189</v>
      </c>
      <c r="DM72" s="47" t="n">
        <f aca="false">$F25*In_P50_Hours*(1-In_Curtailment)*(1-$E28)*(1-In_Degradation)^(DM21-1)*DM16*DM$6</f>
        <v>32913.3427881471</v>
      </c>
      <c r="DN72" s="47" t="n">
        <f aca="false">$F25*In_P50_Hours*(1-In_Curtailment)*(1-$E28)*(1-In_Degradation)^(DN21-1)*DN16*DN$6</f>
        <v>32814.6027597827</v>
      </c>
      <c r="DO72" s="47" t="n">
        <f aca="false">$F25*In_P50_Hours*(1-In_Curtailment)*(1-$E28)*(1-In_Degradation)^(DO21-1)*DO16*DO$6</f>
        <v>32101.2418302222</v>
      </c>
      <c r="DP72" s="47" t="n">
        <f aca="false">$F25*In_P50_Hours*(1-In_Curtailment)*(1-$E28)*(1-In_Degradation)^(DP21-1)*DP16*DP$6</f>
        <v>32457.9222950024</v>
      </c>
      <c r="DQ72" s="47" t="n">
        <f aca="false">$F25*In_P50_Hours*(1-In_Curtailment)*(1-$E28)*(1-In_Degradation)^(DQ21-1)*DQ16*DQ$6</f>
        <v>32814.6027597827</v>
      </c>
      <c r="DR72" s="47" t="n">
        <f aca="false">$F25*In_P50_Hours*(1-In_Curtailment)*(1-$E28)*(1-In_Degradation)^(DR21-1)*DR16*DR$6</f>
        <v>32716.1589515033</v>
      </c>
      <c r="DS72" s="47" t="n">
        <f aca="false">$F25*In_P50_Hours*(1-In_Curtailment)*(1-$E28)*(1-In_Degradation)^(DS21-1)*DS16*DS$6</f>
        <v>32004.9381047315</v>
      </c>
      <c r="DT72" s="47" t="n">
        <f aca="false">$F25*In_P50_Hours*(1-In_Curtailment)*(1-$E28)*(1-In_Degradation)^(DT21-1)*DT16*DT$6</f>
        <v>32360.5485281174</v>
      </c>
      <c r="DU72" s="47" t="n">
        <f aca="false">$F25*In_P50_Hours*(1-In_Curtailment)*(1-$E28)*(1-In_Degradation)^(DU21-1)*DU16*DU$6</f>
        <v>32716.1589515033</v>
      </c>
      <c r="DV72" s="47" t="n">
        <f aca="false">$F25*In_P50_Hours*(1-In_Curtailment)*(1-$E28)*(1-In_Degradation)^(DV21-1)*DV16*DV$6</f>
        <v>32618.0104746488</v>
      </c>
      <c r="DW72" s="47" t="n">
        <f aca="false">$F25*In_P50_Hours*(1-In_Curtailment)*(1-$E28)*(1-In_Degradation)^(DW21-1)*DW16*DW$6</f>
        <v>32263.466882533</v>
      </c>
      <c r="DX72" s="47" t="n">
        <f aca="false">$F25*In_P50_Hours*(1-In_Curtailment)*(1-$E28)*(1-In_Degradation)^(DX21-1)*DX16*DX$6</f>
        <v>32263.466882533</v>
      </c>
      <c r="DY72" s="47" t="n">
        <f aca="false">$F25*In_P50_Hours*(1-In_Curtailment)*(1-$E28)*(1-In_Degradation)^(DY21-1)*DY16*DY$6</f>
        <v>32618.0104746488</v>
      </c>
      <c r="DZ72" s="47" t="n">
        <f aca="false">$F25*In_P50_Hours*(1-In_Curtailment)*(1-$E28)*(1-In_Degradation)^(DZ21-1)*DZ16*DZ$6</f>
        <v>32520.1564432249</v>
      </c>
      <c r="EA72" s="47" t="n">
        <f aca="false">$F25*In_P50_Hours*(1-In_Curtailment)*(1-$E28)*(1-In_Degradation)^(EA21-1)*EA16*EA$6</f>
        <v>31813.196520546</v>
      </c>
      <c r="EB72" s="47" t="n">
        <f aca="false">$F25*In_P50_Hours*(1-In_Curtailment)*(1-$E28)*(1-In_Degradation)^(EB21-1)*EB16*EB$6</f>
        <v>32166.6764818854</v>
      </c>
      <c r="EC72" s="47" t="n">
        <f aca="false">$F25*In_P50_Hours*(1-In_Curtailment)*(1-$E28)*(1-In_Degradation)^(EC21-1)*EC16*EC$6</f>
        <v>32520.1564432249</v>
      </c>
      <c r="ED72" s="47" t="n">
        <f aca="false">$F25*In_P50_Hours*(1-In_Curtailment)*(1-$E28)*(1-In_Degradation)^(ED21-1)*ED16*ED$6</f>
        <v>32422.5959738952</v>
      </c>
      <c r="EE72" s="47" t="n">
        <f aca="false">$F25*In_P50_Hours*(1-In_Curtailment)*(1-$E28)*(1-In_Degradation)^(EE21-1)*EE16*EE$6</f>
        <v>31717.7569309844</v>
      </c>
      <c r="EF72" s="47" t="n">
        <f aca="false">$F25*In_P50_Hours*(1-In_Curtailment)*(1-$E28)*(1-In_Degradation)^(EF21-1)*EF16*EF$6</f>
        <v>32070.1764524398</v>
      </c>
      <c r="EG72" s="47" t="n">
        <f aca="false">$F25*In_P50_Hours*(1-In_Curtailment)*(1-$E28)*(1-In_Degradation)^(EG21-1)*EG16*EG$6</f>
        <v>32422.5959738952</v>
      </c>
      <c r="EH72" s="47" t="n">
        <f aca="false">$F25*In_P50_Hours*(1-In_Curtailment)*(1-$E28)*(1-In_Degradation)^(EH21-1)*EH16*EH$6</f>
        <v>32325.3281859735</v>
      </c>
      <c r="EI72" s="47" t="n">
        <f aca="false">$F25*In_P50_Hours*(1-In_Curtailment)*(1-$E28)*(1-In_Degradation)^(EI21-1)*EI16*EI$6</f>
        <v>31622.6036601915</v>
      </c>
      <c r="EJ72" s="47" t="n">
        <f aca="false">$F25*In_P50_Hours*(1-In_Curtailment)*(1-$E28)*(1-In_Degradation)^(EJ21-1)*EJ16*EJ$6</f>
        <v>31973.9659230825</v>
      </c>
      <c r="EK72" s="47" t="n">
        <f aca="false">$F25*In_P50_Hours*(1-In_Curtailment)*(1-$E28)*(1-In_Degradation)^(EK21-1)*EK16*EK$6</f>
        <v>32325.3281859735</v>
      </c>
      <c r="EL72" s="47" t="n">
        <f aca="false">$F25*In_P50_Hours*(1-In_Curtailment)*(1-$E28)*(1-In_Degradation)^(EL21-1)*EL16*EL$6</f>
        <v>32228.3522014156</v>
      </c>
      <c r="EM72" s="47" t="n">
        <f aca="false">$F25*In_P50_Hours*(1-In_Curtailment)*(1-$E28)*(1-In_Degradation)^(EM21-1)*EM16*EM$6</f>
        <v>31878.0440253132</v>
      </c>
      <c r="EN72" s="47" t="n">
        <f aca="false">$F25*In_P50_Hours*(1-In_Curtailment)*(1-$E28)*(1-In_Degradation)^(EN21-1)*EN16*EN$6</f>
        <v>31878.0440253132</v>
      </c>
      <c r="EO72" s="47" t="n">
        <f aca="false">$F25*In_P50_Hours*(1-In_Curtailment)*(1-$E28)*(1-In_Degradation)^(EO21-1)*EO16*EO$6</f>
        <v>32228.3522014156</v>
      </c>
    </row>
    <row r="73" customFormat="false" ht="15" hidden="false" customHeight="false" outlineLevel="0" collapsed="false">
      <c r="C73" s="0" t="s">
        <v>441</v>
      </c>
      <c r="D73" s="11" t="s">
        <v>33</v>
      </c>
      <c r="E73" s="47" t="n">
        <f aca="false">SUMIF($J$7:$EO$7,YEAR(In_COD)+1,$J73:$EO73)</f>
        <v>12671.23391352</v>
      </c>
      <c r="I73" s="47" t="n">
        <f aca="false">SUM(J73:EO73)</f>
        <v>420752.711777652</v>
      </c>
      <c r="J73" s="47" t="n">
        <f aca="false">J72*J71/Thousand</f>
        <v>0</v>
      </c>
      <c r="K73" s="47" t="n">
        <f aca="false">K72*K71/Thousand</f>
        <v>0</v>
      </c>
      <c r="L73" s="47" t="n">
        <f aca="false">L72*L71/Thousand</f>
        <v>0</v>
      </c>
      <c r="M73" s="47" t="n">
        <f aca="false">M72*M71/Thousand</f>
        <v>0</v>
      </c>
      <c r="N73" s="47" t="n">
        <f aca="false">N72*N71/Thousand</f>
        <v>0</v>
      </c>
      <c r="O73" s="47" t="n">
        <f aca="false">O72*O71/Thousand</f>
        <v>0</v>
      </c>
      <c r="P73" s="47" t="n">
        <f aca="false">P72*P71/Thousand</f>
        <v>0</v>
      </c>
      <c r="Q73" s="47" t="n">
        <f aca="false">Q72*Q71/Thousand</f>
        <v>0</v>
      </c>
      <c r="R73" s="47" t="n">
        <f aca="false">R72*R71/Thousand</f>
        <v>0</v>
      </c>
      <c r="S73" s="47" t="n">
        <f aca="false">S72*S71/Thousand</f>
        <v>0</v>
      </c>
      <c r="T73" s="47" t="n">
        <f aca="false">T72*T71/Thousand</f>
        <v>0</v>
      </c>
      <c r="U73" s="47" t="n">
        <f aca="false">U72*U71/Thousand</f>
        <v>0</v>
      </c>
      <c r="V73" s="47" t="n">
        <f aca="false">V72*V71/Thousand</f>
        <v>0</v>
      </c>
      <c r="W73" s="47" t="n">
        <f aca="false">W72*W71/Thousand</f>
        <v>0</v>
      </c>
      <c r="X73" s="47" t="n">
        <f aca="false">X72*X71/Thousand</f>
        <v>0</v>
      </c>
      <c r="Y73" s="47" t="n">
        <f aca="false">Y72*Y71/Thousand</f>
        <v>0</v>
      </c>
      <c r="Z73" s="47" t="n">
        <f aca="false">Z72*Z71/Thousand</f>
        <v>3164.616</v>
      </c>
      <c r="AA73" s="47" t="n">
        <f aca="false">AA72*AA71/Thousand</f>
        <v>3126.7782</v>
      </c>
      <c r="AB73" s="47" t="n">
        <f aca="false">AB72*AB71/Thousand</f>
        <v>3161.52018</v>
      </c>
      <c r="AC73" s="47" t="n">
        <f aca="false">AC72*AC71/Thousand</f>
        <v>3196.26216</v>
      </c>
      <c r="AD73" s="47" t="n">
        <f aca="false">AD72*AD71/Thousand</f>
        <v>3186.67337352</v>
      </c>
      <c r="AE73" s="47" t="n">
        <f aca="false">AE72*AE71/Thousand</f>
        <v>3183.5559756546</v>
      </c>
      <c r="AF73" s="47" t="n">
        <f aca="false">AF72*AF71/Thousand</f>
        <v>3183.5559756546</v>
      </c>
      <c r="AG73" s="47" t="n">
        <f aca="false">AG72*AG71/Thousand</f>
        <v>3218.5401072552</v>
      </c>
      <c r="AH73" s="47" t="n">
        <f aca="false">AH72*AH71/Thousand</f>
        <v>3208.88448693344</v>
      </c>
      <c r="AI73" s="47" t="n">
        <f aca="false">AI72*AI71/Thousand</f>
        <v>3170.51738980706</v>
      </c>
      <c r="AJ73" s="47" t="n">
        <f aca="false">AJ72*AJ71/Thousand</f>
        <v>3205.74536080491</v>
      </c>
      <c r="AK73" s="47" t="n">
        <f aca="false">AK72*AK71/Thousand</f>
        <v>3240.97333180277</v>
      </c>
      <c r="AL73" s="47" t="n">
        <f aca="false">AL72*AL71/Thousand</f>
        <v>3231.25041180736</v>
      </c>
      <c r="AM73" s="47" t="n">
        <f aca="false">AM72*AM71/Thousand</f>
        <v>3192.61589601401</v>
      </c>
      <c r="AN73" s="47" t="n">
        <f aca="false">AN72*AN71/Thousand</f>
        <v>3228.08940596972</v>
      </c>
      <c r="AO73" s="47" t="n">
        <f aca="false">AO72*AO71/Thousand</f>
        <v>3263.56291592544</v>
      </c>
      <c r="AP73" s="47" t="n">
        <f aca="false">AP72*AP71/Thousand</f>
        <v>3253.77222717766</v>
      </c>
      <c r="AQ73" s="47" t="n">
        <f aca="false">AQ72*AQ71/Thousand</f>
        <v>3214.86842880923</v>
      </c>
      <c r="AR73" s="47" t="n">
        <f aca="false">AR72*AR71/Thousand</f>
        <v>3250.58918912933</v>
      </c>
      <c r="AS73" s="47" t="n">
        <f aca="false">AS72*AS71/Thousand</f>
        <v>3286.30994944944</v>
      </c>
      <c r="AT73" s="47" t="n">
        <f aca="false">AT72*AT71/Thousand</f>
        <v>3276.45101960109</v>
      </c>
      <c r="AU73" s="47" t="n">
        <f aca="false">AU72*AU71/Thousand</f>
        <v>3273.24579577756</v>
      </c>
      <c r="AV73" s="47" t="n">
        <f aca="false">AV72*AV71/Thousand</f>
        <v>3273.24579577756</v>
      </c>
      <c r="AW73" s="47" t="n">
        <f aca="false">AW72*AW71/Thousand</f>
        <v>3309.2155297971</v>
      </c>
      <c r="AX73" s="47" t="n">
        <f aca="false">AX72*AX71/Thousand</f>
        <v>3299.28788320771</v>
      </c>
      <c r="AY73" s="47" t="n">
        <f aca="false">AY72*AY71/Thousand</f>
        <v>3259.83987590848</v>
      </c>
      <c r="AZ73" s="47" t="n">
        <f aca="false">AZ72*AZ71/Thousand</f>
        <v>3296.06031897413</v>
      </c>
      <c r="BA73" s="47" t="n">
        <f aca="false">BA72*BA71/Thousand</f>
        <v>3332.28076203978</v>
      </c>
      <c r="BB73" s="47" t="n">
        <f aca="false">BB72*BB71/Thousand</f>
        <v>3322.28391975366</v>
      </c>
      <c r="BC73" s="47" t="n">
        <f aca="false">BC72*BC71/Thousand</f>
        <v>3282.56095984357</v>
      </c>
      <c r="BD73" s="47" t="n">
        <f aca="false">BD72*BD71/Thousand</f>
        <v>3319.03385939738</v>
      </c>
      <c r="BE73" s="47" t="n">
        <f aca="false">BE72*BE71/Thousand</f>
        <v>3355.5067589512</v>
      </c>
      <c r="BF73" s="47" t="n">
        <f aca="false">BF72*BF71/Thousand</f>
        <v>3345.44023867435</v>
      </c>
      <c r="BG73" s="47" t="n">
        <f aca="false">BG72*BG71/Thousand</f>
        <v>3305.44040973368</v>
      </c>
      <c r="BH73" s="47" t="n">
        <f aca="false">BH72*BH71/Thousand</f>
        <v>3342.16752539738</v>
      </c>
      <c r="BI73" s="47" t="n">
        <f aca="false">BI72*BI71/Thousand</f>
        <v>3378.89464106109</v>
      </c>
      <c r="BJ73" s="47" t="n">
        <f aca="false">BJ72*BJ71/Thousand</f>
        <v>3368.75795713791</v>
      </c>
      <c r="BK73" s="47" t="n">
        <f aca="false">BK72*BK71/Thousand</f>
        <v>3365.4624330494</v>
      </c>
      <c r="BL73" s="47" t="n">
        <f aca="false">BL72*BL71/Thousand</f>
        <v>3365.4624330494</v>
      </c>
      <c r="BM73" s="47" t="n">
        <f aca="false">BM72*BM71/Thousand</f>
        <v>3402.44553670929</v>
      </c>
      <c r="BN73" s="47" t="n">
        <f aca="false">BN72*BN71/Thousand</f>
        <v>3392.23820009916</v>
      </c>
      <c r="BO73" s="47" t="n">
        <f aca="false">BO72*BO71/Thousand</f>
        <v>3351.67883031536</v>
      </c>
      <c r="BP73" s="47" t="n">
        <f aca="false">BP72*BP71/Thousand</f>
        <v>3388.91970620776</v>
      </c>
      <c r="BQ73" s="47" t="n">
        <f aca="false">BQ72*BQ71/Thousand</f>
        <v>3426.16058210015</v>
      </c>
      <c r="BR73" s="47" t="n">
        <f aca="false">BR72*BR71/Thousand</f>
        <v>3415.88210035385</v>
      </c>
      <c r="BS73" s="47" t="n">
        <f aca="false">BS72*BS71/Thousand</f>
        <v>3375.04003176266</v>
      </c>
      <c r="BT73" s="47" t="n">
        <f aca="false">BT72*BT71/Thousand</f>
        <v>3412.54047656003</v>
      </c>
      <c r="BU73" s="47" t="n">
        <f aca="false">BU72*BU71/Thousand</f>
        <v>3450.04092135739</v>
      </c>
      <c r="BV73" s="47" t="n">
        <f aca="false">BV72*BV71/Thousand</f>
        <v>3439.69079859332</v>
      </c>
      <c r="BW73" s="47" t="n">
        <f aca="false">BW72*BW71/Thousand</f>
        <v>3398.56406078405</v>
      </c>
      <c r="BX73" s="47" t="n">
        <f aca="false">BX72*BX71/Thousand</f>
        <v>3436.32588368165</v>
      </c>
      <c r="BY73" s="47" t="n">
        <f aca="false">BY72*BY71/Thousand</f>
        <v>3474.08770657925</v>
      </c>
      <c r="BZ73" s="47" t="n">
        <f aca="false">BZ72*BZ71/Thousand</f>
        <v>3463.66544345951</v>
      </c>
      <c r="CA73" s="47" t="n">
        <f aca="false">CA72*CA71/Thousand</f>
        <v>3460.27707509091</v>
      </c>
      <c r="CB73" s="47" t="n">
        <f aca="false">CB72*CB71/Thousand</f>
        <v>3460.27707509091</v>
      </c>
      <c r="CC73" s="47" t="n">
        <f aca="false">CC72*CC71/Thousand</f>
        <v>3498.30209789411</v>
      </c>
      <c r="CD73" s="47" t="n">
        <f aca="false">CD72*CD71/Thousand</f>
        <v>3487.80719160042</v>
      </c>
      <c r="CE73" s="47" t="n">
        <f aca="false">CE72*CE71/Thousand</f>
        <v>3446.10514909216</v>
      </c>
      <c r="CF73" s="47" t="n">
        <f aca="false">CF72*CF71/Thousand</f>
        <v>3484.39520630429</v>
      </c>
      <c r="CG73" s="47" t="n">
        <f aca="false">CG72*CG71/Thousand</f>
        <v>3522.68526351643</v>
      </c>
      <c r="CH73" s="47" t="n">
        <f aca="false">CH72*CH71/Thousand</f>
        <v>3512.11720772588</v>
      </c>
      <c r="CI73" s="47" t="n">
        <f aca="false">CI72*CI71/Thousand</f>
        <v>3470.12450198133</v>
      </c>
      <c r="CJ73" s="47" t="n">
        <f aca="false">CJ72*CJ71/Thousand</f>
        <v>3508.68144089223</v>
      </c>
      <c r="CK73" s="47" t="n">
        <f aca="false">CK72*CK71/Thousand</f>
        <v>3547.23837980314</v>
      </c>
      <c r="CL73" s="47" t="n">
        <f aca="false">CL72*CL71/Thousand</f>
        <v>3536.59666466373</v>
      </c>
      <c r="CM73" s="47" t="n">
        <f aca="false">CM72*CM71/Thousand</f>
        <v>3494.31126976014</v>
      </c>
      <c r="CN73" s="47" t="n">
        <f aca="false">CN72*CN71/Thousand</f>
        <v>3533.13695053525</v>
      </c>
      <c r="CO73" s="47" t="n">
        <f aca="false">CO72*CO71/Thousand</f>
        <v>3571.96263131037</v>
      </c>
      <c r="CP73" s="47" t="n">
        <f aca="false">CP72*CP71/Thousand</f>
        <v>3561.24674341644</v>
      </c>
      <c r="CQ73" s="47" t="n">
        <f aca="false">CQ72*CQ71/Thousand</f>
        <v>3557.76291508048</v>
      </c>
      <c r="CR73" s="47" t="n">
        <f aca="false">CR72*CR71/Thousand</f>
        <v>3557.76291508048</v>
      </c>
      <c r="CS73" s="47" t="n">
        <f aca="false">CS72*CS71/Thousand</f>
        <v>3596.8592108506</v>
      </c>
      <c r="CT73" s="47" t="n">
        <f aca="false">CT72*CT71/Thousand</f>
        <v>3586.06863321805</v>
      </c>
      <c r="CU73" s="47" t="n">
        <f aca="false">CU72*CU71/Thousand</f>
        <v>3543.19172564696</v>
      </c>
      <c r="CV73" s="47" t="n">
        <f aca="false">CV72*CV71/Thousand</f>
        <v>3582.5605225986</v>
      </c>
      <c r="CW73" s="47" t="n">
        <f aca="false">CW72*CW71/Thousand</f>
        <v>3621.92931955023</v>
      </c>
      <c r="CX73" s="47" t="n">
        <f aca="false">CX72*CX71/Thousand</f>
        <v>3611.06353159158</v>
      </c>
      <c r="CY73" s="47" t="n">
        <f aca="false">CY72*CY71/Thousand</f>
        <v>3567.88777197472</v>
      </c>
      <c r="CZ73" s="47" t="n">
        <f aca="false">CZ72*CZ71/Thousand</f>
        <v>3607.53096944111</v>
      </c>
      <c r="DA73" s="47" t="n">
        <f aca="false">DA72*DA71/Thousand</f>
        <v>3647.17416690749</v>
      </c>
      <c r="DB73" s="47" t="n">
        <f aca="false">DB72*DB71/Thousand</f>
        <v>3636.23264440677</v>
      </c>
      <c r="DC73" s="47" t="n">
        <f aca="false">DC72*DC71/Thousand</f>
        <v>3592.75594974539</v>
      </c>
      <c r="DD73" s="47" t="n">
        <f aca="false">DD72*DD71/Thousand</f>
        <v>3632.67546029811</v>
      </c>
      <c r="DE73" s="47" t="n">
        <f aca="false">DE72*DE71/Thousand</f>
        <v>3672.59497085084</v>
      </c>
      <c r="DF73" s="47" t="n">
        <f aca="false">DF72*DF71/Thousand</f>
        <v>3661.57718593829</v>
      </c>
      <c r="DG73" s="47" t="n">
        <f aca="false">DG72*DG71/Thousand</f>
        <v>3657.99520825639</v>
      </c>
      <c r="DH73" s="47" t="n">
        <f aca="false">DH72*DH71/Thousand</f>
        <v>3657.99520825639</v>
      </c>
      <c r="DI73" s="47" t="n">
        <f aca="false">DI72*DI71/Thousand</f>
        <v>3698.19295779767</v>
      </c>
      <c r="DJ73" s="47" t="n">
        <f aca="false">DJ72*DJ71/Thousand</f>
        <v>3687.09837892428</v>
      </c>
      <c r="DK73" s="47" t="n">
        <f aca="false">DK72*DK71/Thousand</f>
        <v>3643.01350700236</v>
      </c>
      <c r="DL73" s="47" t="n">
        <f aca="false">DL72*DL71/Thousand</f>
        <v>3683.49143485794</v>
      </c>
      <c r="DM73" s="47" t="n">
        <f aca="false">DM72*DM71/Thousand</f>
        <v>3723.96936271352</v>
      </c>
      <c r="DN73" s="47" t="n">
        <f aca="false">DN72*DN71/Thousand</f>
        <v>3712.79745462538</v>
      </c>
      <c r="DO73" s="47" t="n">
        <f aca="false">DO72*DO71/Thousand</f>
        <v>3668.40531114616</v>
      </c>
      <c r="DP73" s="47" t="n">
        <f aca="false">DP72*DP71/Thousand</f>
        <v>3709.1653701589</v>
      </c>
      <c r="DQ73" s="47" t="n">
        <f aca="false">DQ72*DQ71/Thousand</f>
        <v>3749.92542917163</v>
      </c>
      <c r="DR73" s="47" t="n">
        <f aca="false">DR72*DR71/Thousand</f>
        <v>3738.67565288412</v>
      </c>
      <c r="DS73" s="47" t="n">
        <f aca="false">DS72*DS71/Thousand</f>
        <v>3693.97409616485</v>
      </c>
      <c r="DT73" s="47" t="n">
        <f aca="false">DT72*DT71/Thousand</f>
        <v>3735.0182527889</v>
      </c>
      <c r="DU73" s="47" t="n">
        <f aca="false">DU72*DU71/Thousand</f>
        <v>3776.06240941296</v>
      </c>
      <c r="DV73" s="47" t="n">
        <f aca="false">DV72*DV71/Thousand</f>
        <v>3764.73422218472</v>
      </c>
      <c r="DW73" s="47" t="n">
        <f aca="false">DW72*DW71/Thousand</f>
        <v>3761.05133001084</v>
      </c>
      <c r="DX73" s="47" t="n">
        <f aca="false">DX72*DX71/Thousand</f>
        <v>3761.05133001084</v>
      </c>
      <c r="DY73" s="47" t="n">
        <f aca="false">DY72*DY71/Thousand</f>
        <v>3802.38156440657</v>
      </c>
      <c r="DZ73" s="47" t="n">
        <f aca="false">DZ72*DZ71/Thousand</f>
        <v>3790.97441971335</v>
      </c>
      <c r="EA73" s="47" t="n">
        <f aca="false">EA72*EA71/Thousand</f>
        <v>3745.64755165156</v>
      </c>
      <c r="EB73" s="47" t="n">
        <f aca="false">EB72*EB71/Thousand</f>
        <v>3787.26585778102</v>
      </c>
      <c r="EC73" s="47" t="n">
        <f aca="false">EC72*EC71/Thousand</f>
        <v>3828.88416391048</v>
      </c>
      <c r="ED73" s="47" t="n">
        <f aca="false">ED72*ED71/Thousand</f>
        <v>3817.39751141875</v>
      </c>
      <c r="EE73" s="47" t="n">
        <f aca="false">EE72*EE71/Thousand</f>
        <v>3771.75471508657</v>
      </c>
      <c r="EF73" s="47" t="n">
        <f aca="false">EF72*EF71/Thousand</f>
        <v>3813.66310080975</v>
      </c>
      <c r="EG73" s="47" t="n">
        <f aca="false">EG72*EG71/Thousand</f>
        <v>3855.57148653294</v>
      </c>
      <c r="EH73" s="47" t="n">
        <f aca="false">EH72*EH71/Thousand</f>
        <v>3844.00477207334</v>
      </c>
      <c r="EI73" s="47" t="n">
        <f aca="false">EI72*EI71/Thousand</f>
        <v>3798.04384545072</v>
      </c>
      <c r="EJ73" s="47" t="n">
        <f aca="false">EJ72*EJ71/Thousand</f>
        <v>3840.2443326224</v>
      </c>
      <c r="EK73" s="47" t="n">
        <f aca="false">EK72*EK71/Thousand</f>
        <v>3882.44481979407</v>
      </c>
      <c r="EL73" s="47" t="n">
        <f aca="false">EL72*EL71/Thousand</f>
        <v>3870.79748533469</v>
      </c>
      <c r="EM73" s="47" t="n">
        <f aca="false">EM72*EM71/Thousand</f>
        <v>3867.01083562077</v>
      </c>
      <c r="EN73" s="47" t="n">
        <f aca="false">EN72*EN71/Thousand</f>
        <v>3867.01083562077</v>
      </c>
      <c r="EO73" s="47" t="n">
        <f aca="false">EO72*EO71/Thousand</f>
        <v>3909.50546018804</v>
      </c>
    </row>
    <row r="74" customFormat="false" ht="15" hidden="false" customHeight="false" outlineLevel="0" collapsed="false">
      <c r="C74" s="0" t="s">
        <v>442</v>
      </c>
      <c r="D74" s="11" t="s">
        <v>33</v>
      </c>
      <c r="I74" s="47" t="n">
        <f aca="false">SUM(J74:EO74)</f>
        <v>-29733.4185659025</v>
      </c>
      <c r="J74" s="47" t="n">
        <f aca="false">-In_Var_Opex*J72*J70/Thousand</f>
        <v>-0</v>
      </c>
      <c r="K74" s="47" t="n">
        <f aca="false">-In_Var_Opex*K72*K70/Thousand</f>
        <v>-0</v>
      </c>
      <c r="L74" s="47" t="n">
        <f aca="false">-In_Var_Opex*L72*L70/Thousand</f>
        <v>-0</v>
      </c>
      <c r="M74" s="47" t="n">
        <f aca="false">-In_Var_Opex*M72*M70/Thousand</f>
        <v>-0</v>
      </c>
      <c r="N74" s="47" t="n">
        <f aca="false">-In_Var_Opex*N72*N70/Thousand</f>
        <v>-0</v>
      </c>
      <c r="O74" s="47" t="n">
        <f aca="false">-In_Var_Opex*O72*O70/Thousand</f>
        <v>-0</v>
      </c>
      <c r="P74" s="47" t="n">
        <f aca="false">-In_Var_Opex*P72*P70/Thousand</f>
        <v>-0</v>
      </c>
      <c r="Q74" s="47" t="n">
        <f aca="false">-In_Var_Opex*Q72*Q70/Thousand</f>
        <v>-0</v>
      </c>
      <c r="R74" s="47" t="n">
        <f aca="false">-In_Var_Opex*R72*R70/Thousand</f>
        <v>-0</v>
      </c>
      <c r="S74" s="47" t="n">
        <f aca="false">-In_Var_Opex*S72*S70/Thousand</f>
        <v>-0</v>
      </c>
      <c r="T74" s="47" t="n">
        <f aca="false">-In_Var_Opex*T72*T70/Thousand</f>
        <v>-0</v>
      </c>
      <c r="U74" s="47" t="n">
        <f aca="false">-In_Var_Opex*U72*U70/Thousand</f>
        <v>-0</v>
      </c>
      <c r="V74" s="47" t="n">
        <f aca="false">-In_Var_Opex*V72*V70/Thousand</f>
        <v>-0</v>
      </c>
      <c r="W74" s="47" t="n">
        <f aca="false">-In_Var_Opex*W72*W70/Thousand</f>
        <v>-0</v>
      </c>
      <c r="X74" s="47" t="n">
        <f aca="false">-In_Var_Opex*X72*X70/Thousand</f>
        <v>-0</v>
      </c>
      <c r="Y74" s="47" t="n">
        <f aca="false">-In_Var_Opex*Y72*Y70/Thousand</f>
        <v>-0</v>
      </c>
      <c r="Z74" s="47" t="n">
        <f aca="false">-In_Var_Opex*Z72*Z70/Thousand</f>
        <v>-175.812</v>
      </c>
      <c r="AA74" s="47" t="n">
        <f aca="false">-In_Var_Opex*AA72*AA70/Thousand</f>
        <v>-176.28975</v>
      </c>
      <c r="AB74" s="47" t="n">
        <f aca="false">-In_Var_Opex*AB72*AB70/Thousand</f>
        <v>-178.248525</v>
      </c>
      <c r="AC74" s="47" t="n">
        <f aca="false">-In_Var_Opex*AC72*AC70/Thousand</f>
        <v>-180.2073</v>
      </c>
      <c r="AD74" s="47" t="n">
        <f aca="false">-In_Var_Opex*AD72*AD70/Thousand</f>
        <v>-179.6666781</v>
      </c>
      <c r="AE74" s="47" t="n">
        <f aca="false">-In_Var_Opex*AE72*AE70/Thousand</f>
        <v>-182.156623910625</v>
      </c>
      <c r="AF74" s="47" t="n">
        <f aca="false">-In_Var_Opex*AF72*AF70/Thousand</f>
        <v>-182.156623910625</v>
      </c>
      <c r="AG74" s="47" t="n">
        <f aca="false">-In_Var_Opex*AG72*AG70/Thousand</f>
        <v>-184.1583450525</v>
      </c>
      <c r="AH74" s="47" t="n">
        <f aca="false">-In_Var_Opex*AH72*AH70/Thousand</f>
        <v>-183.605870017343</v>
      </c>
      <c r="AI74" s="47" t="n">
        <f aca="false">-In_Var_Opex*AI72*AI70/Thousand</f>
        <v>-184.104799011955</v>
      </c>
      <c r="AJ74" s="47" t="n">
        <f aca="false">-In_Var_Opex*AJ72*AJ70/Thousand</f>
        <v>-186.150407889865</v>
      </c>
      <c r="AK74" s="47" t="n">
        <f aca="false">-In_Var_Opex*AK72*AK70/Thousand</f>
        <v>-188.196016767776</v>
      </c>
      <c r="AL74" s="47" t="n">
        <f aca="false">-In_Var_Opex*AL72*AL70/Thousand</f>
        <v>-187.631428717473</v>
      </c>
      <c r="AM74" s="47" t="n">
        <f aca="false">-In_Var_Opex*AM72*AM70/Thousand</f>
        <v>-188.141296730292</v>
      </c>
      <c r="AN74" s="47" t="n">
        <f aca="false">-In_Var_Opex*AN72*AN70/Thousand</f>
        <v>-190.231755582851</v>
      </c>
      <c r="AO74" s="47" t="n">
        <f aca="false">-In_Var_Opex*AO72*AO70/Thousand</f>
        <v>-192.32221443541</v>
      </c>
      <c r="AP74" s="47" t="n">
        <f aca="false">-In_Var_Opex*AP72*AP70/Thousand</f>
        <v>-191.745247792103</v>
      </c>
      <c r="AQ74" s="47" t="n">
        <f aca="false">-In_Var_Opex*AQ72*AQ70/Thousand</f>
        <v>-192.266294661104</v>
      </c>
      <c r="AR74" s="47" t="n">
        <f aca="false">-In_Var_Opex*AR72*AR70/Thousand</f>
        <v>-194.402586824005</v>
      </c>
      <c r="AS74" s="47" t="n">
        <f aca="false">-In_Var_Opex*AS72*AS70/Thousand</f>
        <v>-196.538878986906</v>
      </c>
      <c r="AT74" s="47" t="n">
        <f aca="false">-In_Var_Opex*AT72*AT70/Thousand</f>
        <v>-195.949262349945</v>
      </c>
      <c r="AU74" s="47" t="n">
        <f aca="false">-In_Var_Opex*AU72*AU70/Thousand</f>
        <v>-198.664863540121</v>
      </c>
      <c r="AV74" s="47" t="n">
        <f aca="false">-In_Var_Opex*AV72*AV70/Thousand</f>
        <v>-198.664863540121</v>
      </c>
      <c r="AW74" s="47" t="n">
        <f aca="false">-In_Var_Opex*AW72*AW70/Thousand</f>
        <v>-200.847993908694</v>
      </c>
      <c r="AX74" s="47" t="n">
        <f aca="false">-In_Var_Opex*AX72*AX70/Thousand</f>
        <v>-200.245449926968</v>
      </c>
      <c r="AY74" s="47" t="n">
        <f aca="false">-In_Var_Opex*AY72*AY70/Thousand</f>
        <v>-200.789595171334</v>
      </c>
      <c r="AZ74" s="47" t="n">
        <f aca="false">-In_Var_Opex*AZ72*AZ70/Thousand</f>
        <v>-203.020590673238</v>
      </c>
      <c r="BA74" s="47" t="n">
        <f aca="false">-In_Var_Opex*BA72*BA70/Thousand</f>
        <v>-205.251586175142</v>
      </c>
      <c r="BB74" s="47" t="n">
        <f aca="false">-In_Var_Opex*BB72*BB70/Thousand</f>
        <v>-204.635831416616</v>
      </c>
      <c r="BC74" s="47" t="n">
        <f aca="false">-In_Var_Opex*BC72*BC70/Thousand</f>
        <v>-205.191907045466</v>
      </c>
      <c r="BD74" s="47" t="n">
        <f aca="false">-In_Var_Opex*BD72*BD70/Thousand</f>
        <v>-207.471817123749</v>
      </c>
      <c r="BE74" s="47" t="n">
        <f aca="false">-In_Var_Opex*BE72*BE70/Thousand</f>
        <v>-209.751727202032</v>
      </c>
      <c r="BF74" s="47" t="n">
        <f aca="false">-In_Var_Opex*BF72*BF70/Thousand</f>
        <v>-209.122472020426</v>
      </c>
      <c r="BG74" s="47" t="n">
        <f aca="false">-In_Var_Opex*BG72*BG70/Thousand</f>
        <v>-209.690739607438</v>
      </c>
      <c r="BH74" s="47" t="n">
        <f aca="false">-In_Var_Opex*BH72*BH70/Thousand</f>
        <v>-212.020636714187</v>
      </c>
      <c r="BI74" s="47" t="n">
        <f aca="false">-In_Var_Opex*BI72*BI70/Thousand</f>
        <v>-214.350533820936</v>
      </c>
      <c r="BJ74" s="47" t="n">
        <f aca="false">-In_Var_Opex*BJ72*BJ70/Thousand</f>
        <v>-213.707482219474</v>
      </c>
      <c r="BK74" s="47" t="n">
        <f aca="false">-In_Var_Opex*BK72*BK70/Thousand</f>
        <v>-216.669189174146</v>
      </c>
      <c r="BL74" s="47" t="n">
        <f aca="false">-In_Var_Opex*BL72*BL70/Thousand</f>
        <v>-216.669189174146</v>
      </c>
      <c r="BM74" s="47" t="n">
        <f aca="false">-In_Var_Opex*BM72*BM70/Thousand</f>
        <v>-219.05016927496</v>
      </c>
      <c r="BN74" s="47" t="n">
        <f aca="false">-In_Var_Opex*BN72*BN70/Thousand</f>
        <v>-218.393018767136</v>
      </c>
      <c r="BO74" s="47" t="n">
        <f aca="false">-In_Var_Opex*BO72*BO70/Thousand</f>
        <v>-218.986478057264</v>
      </c>
      <c r="BP74" s="47" t="n">
        <f aca="false">-In_Var_Opex*BP72*BP70/Thousand</f>
        <v>-221.419661146789</v>
      </c>
      <c r="BQ74" s="47" t="n">
        <f aca="false">-In_Var_Opex*BQ72*BQ70/Thousand</f>
        <v>-223.852844236314</v>
      </c>
      <c r="BR74" s="47" t="n">
        <f aca="false">-In_Var_Opex*BR72*BR70/Thousand</f>
        <v>-223.181285703605</v>
      </c>
      <c r="BS74" s="47" t="n">
        <f aca="false">-In_Var_Opex*BS72*BS70/Thousand</f>
        <v>-223.787756588669</v>
      </c>
      <c r="BT74" s="47" t="n">
        <f aca="false">-In_Var_Opex*BT72*BT70/Thousand</f>
        <v>-226.274287217432</v>
      </c>
      <c r="BU74" s="47" t="n">
        <f aca="false">-In_Var_Opex*BU72*BU70/Thousand</f>
        <v>-228.760817846195</v>
      </c>
      <c r="BV74" s="47" t="n">
        <f aca="false">-In_Var_Opex*BV72*BV70/Thousand</f>
        <v>-228.074535392656</v>
      </c>
      <c r="BW74" s="47" t="n">
        <f aca="false">-In_Var_Opex*BW72*BW70/Thousand</f>
        <v>-228.694303151876</v>
      </c>
      <c r="BX74" s="47" t="n">
        <f aca="false">-In_Var_Opex*BX72*BX70/Thousand</f>
        <v>-231.235350964674</v>
      </c>
      <c r="BY74" s="47" t="n">
        <f aca="false">-In_Var_Opex*BY72*BY70/Thousand</f>
        <v>-233.776398777473</v>
      </c>
      <c r="BZ74" s="47" t="n">
        <f aca="false">-In_Var_Opex*BZ72*BZ70/Thousand</f>
        <v>-233.07506958114</v>
      </c>
      <c r="CA74" s="47" t="n">
        <f aca="false">-In_Var_Opex*CA72*CA70/Thousand</f>
        <v>-236.305186034575</v>
      </c>
      <c r="CB74" s="47" t="n">
        <f aca="false">-In_Var_Opex*CB72*CB70/Thousand</f>
        <v>-236.305186034575</v>
      </c>
      <c r="CC74" s="47" t="n">
        <f aca="false">-In_Var_Opex*CC72*CC70/Thousand</f>
        <v>-238.901946320669</v>
      </c>
      <c r="CD74" s="47" t="n">
        <f aca="false">-In_Var_Opex*CD72*CD70/Thousand</f>
        <v>-238.185240481707</v>
      </c>
      <c r="CE74" s="47" t="n">
        <f aca="false">-In_Var_Opex*CE72*CE70/Thousand</f>
        <v>-238.832482983016</v>
      </c>
      <c r="CF74" s="47" t="n">
        <f aca="false">-In_Var_Opex*CF72*CF70/Thousand</f>
        <v>-241.486177238383</v>
      </c>
      <c r="CG74" s="47" t="n">
        <f aca="false">-In_Var_Opex*CG72*CG70/Thousand</f>
        <v>-244.13987149375</v>
      </c>
      <c r="CH74" s="47" t="n">
        <f aca="false">-In_Var_Opex*CH72*CH70/Thousand</f>
        <v>-243.407451879268</v>
      </c>
      <c r="CI74" s="47" t="n">
        <f aca="false">-In_Var_Opex*CI72*CI70/Thousand</f>
        <v>-244.068885172418</v>
      </c>
      <c r="CJ74" s="47" t="n">
        <f aca="false">-In_Var_Opex*CJ72*CJ70/Thousand</f>
        <v>-246.780761674334</v>
      </c>
      <c r="CK74" s="47" t="n">
        <f aca="false">-In_Var_Opex*CK72*CK70/Thousand</f>
        <v>-249.49263817625</v>
      </c>
      <c r="CL74" s="47" t="n">
        <f aca="false">-In_Var_Opex*CL72*CL70/Thousand</f>
        <v>-248.744160261721</v>
      </c>
      <c r="CM74" s="47" t="n">
        <f aca="false">-In_Var_Opex*CM72*CM70/Thousand</f>
        <v>-249.420095479824</v>
      </c>
      <c r="CN74" s="47" t="n">
        <f aca="false">-In_Var_Opex*CN72*CN70/Thousand</f>
        <v>-252.191429874044</v>
      </c>
      <c r="CO74" s="47" t="n">
        <f aca="false">-In_Var_Opex*CO72*CO70/Thousand</f>
        <v>-254.962764268264</v>
      </c>
      <c r="CP74" s="47" t="n">
        <f aca="false">-In_Var_Opex*CP72*CP70/Thousand</f>
        <v>-254.197875975459</v>
      </c>
      <c r="CQ74" s="47" t="n">
        <f aca="false">-In_Var_Opex*CQ72*CQ70/Thousand</f>
        <v>-257.720726974032</v>
      </c>
      <c r="CR74" s="47" t="n">
        <f aca="false">-In_Var_Opex*CR72*CR70/Thousand</f>
        <v>-257.720726974032</v>
      </c>
      <c r="CS74" s="47" t="n">
        <f aca="false">-In_Var_Opex*CS72*CS70/Thousand</f>
        <v>-260.552822874846</v>
      </c>
      <c r="CT74" s="47" t="n">
        <f aca="false">-In_Var_Opex*CT72*CT70/Thousand</f>
        <v>-259.771164406221</v>
      </c>
      <c r="CU74" s="47" t="n">
        <f aca="false">-In_Var_Opex*CU72*CU70/Thousand</f>
        <v>-260.477064309499</v>
      </c>
      <c r="CV74" s="47" t="n">
        <f aca="false">-In_Var_Opex*CV72*CV70/Thousand</f>
        <v>-263.371253912938</v>
      </c>
      <c r="CW74" s="47" t="n">
        <f aca="false">-In_Var_Opex*CW72*CW70/Thousand</f>
        <v>-266.265443516377</v>
      </c>
      <c r="CX74" s="47" t="n">
        <f aca="false">-In_Var_Opex*CX72*CX70/Thousand</f>
        <v>-265.466647185828</v>
      </c>
      <c r="CY74" s="47" t="n">
        <f aca="false">-In_Var_Opex*CY72*CY70/Thousand</f>
        <v>-266.188023944485</v>
      </c>
      <c r="CZ74" s="47" t="n">
        <f aca="false">-In_Var_Opex*CZ72*CZ70/Thousand</f>
        <v>-269.145668654979</v>
      </c>
      <c r="DA74" s="47" t="n">
        <f aca="false">-In_Var_Opex*DA72*DA70/Thousand</f>
        <v>-272.103313365473</v>
      </c>
      <c r="DB74" s="47" t="n">
        <f aca="false">-In_Var_Opex*DB72*DB70/Thousand</f>
        <v>-271.287003425377</v>
      </c>
      <c r="DC74" s="47" t="n">
        <f aca="false">-In_Var_Opex*DC72*DC70/Thousand</f>
        <v>-272.024196369468</v>
      </c>
      <c r="DD74" s="47" t="n">
        <f aca="false">-In_Var_Opex*DD72*DD70/Thousand</f>
        <v>-275.04668744024</v>
      </c>
      <c r="DE74" s="47" t="n">
        <f aca="false">-In_Var_Opex*DE72*DE70/Thousand</f>
        <v>-278.069178511011</v>
      </c>
      <c r="DF74" s="47" t="n">
        <f aca="false">-In_Var_Opex*DF72*DF70/Thousand</f>
        <v>-277.234970975478</v>
      </c>
      <c r="DG74" s="47" t="n">
        <f aca="false">-In_Var_Opex*DG72*DG70/Thousand</f>
        <v>-281.077086062367</v>
      </c>
      <c r="DH74" s="47" t="n">
        <f aca="false">-In_Var_Opex*DH72*DH70/Thousand</f>
        <v>-281.077086062367</v>
      </c>
      <c r="DI74" s="47" t="n">
        <f aca="false">-In_Var_Opex*DI72*DI70/Thousand</f>
        <v>-284.165845249865</v>
      </c>
      <c r="DJ74" s="47" t="n">
        <f aca="false">-In_Var_Opex*DJ72*DJ70/Thousand</f>
        <v>-283.313347714116</v>
      </c>
      <c r="DK74" s="47" t="n">
        <f aca="false">-In_Var_Opex*DK72*DK70/Thousand</f>
        <v>-284.0832209416</v>
      </c>
      <c r="DL74" s="47" t="n">
        <f aca="false">-In_Var_Opex*DL72*DL70/Thousand</f>
        <v>-287.239701174284</v>
      </c>
      <c r="DM74" s="47" t="n">
        <f aca="false">-In_Var_Opex*DM72*DM70/Thousand</f>
        <v>-290.396181406969</v>
      </c>
      <c r="DN74" s="47" t="n">
        <f aca="false">-In_Var_Opex*DN72*DN70/Thousand</f>
        <v>-289.524992862748</v>
      </c>
      <c r="DO74" s="47" t="n">
        <f aca="false">-In_Var_Opex*DO72*DO70/Thousand</f>
        <v>-290.311745560744</v>
      </c>
      <c r="DP74" s="47" t="n">
        <f aca="false">-In_Var_Opex*DP72*DP70/Thousand</f>
        <v>-293.53743162253</v>
      </c>
      <c r="DQ74" s="47" t="n">
        <f aca="false">-In_Var_Opex*DQ72*DQ70/Thousand</f>
        <v>-296.763117684316</v>
      </c>
      <c r="DR74" s="47" t="n">
        <f aca="false">-In_Var_Opex*DR72*DR70/Thousand</f>
        <v>-295.872828331263</v>
      </c>
      <c r="DS74" s="47" t="n">
        <f aca="false">-In_Var_Opex*DS72*DS70/Thousand</f>
        <v>-296.676830582163</v>
      </c>
      <c r="DT74" s="47" t="n">
        <f aca="false">-In_Var_Opex*DT72*DT70/Thousand</f>
        <v>-299.973239810854</v>
      </c>
      <c r="DU74" s="47" t="n">
        <f aca="false">-In_Var_Opex*DU72*DU70/Thousand</f>
        <v>-303.269649039545</v>
      </c>
      <c r="DV74" s="47" t="n">
        <f aca="false">-In_Var_Opex*DV72*DV70/Thousand</f>
        <v>-302.359840092426</v>
      </c>
      <c r="DW74" s="47" t="n">
        <f aca="false">-In_Var_Opex*DW72*DW70/Thousand</f>
        <v>-306.550153093707</v>
      </c>
      <c r="DX74" s="47" t="n">
        <f aca="false">-In_Var_Opex*DX72*DX70/Thousand</f>
        <v>-306.550153093707</v>
      </c>
      <c r="DY74" s="47" t="n">
        <f aca="false">-In_Var_Opex*DY72*DY70/Thousand</f>
        <v>-309.918836094737</v>
      </c>
      <c r="DZ74" s="47" t="n">
        <f aca="false">-In_Var_Opex*DZ72*DZ70/Thousand</f>
        <v>-308.989079586453</v>
      </c>
      <c r="EA74" s="47" t="n">
        <f aca="false">-In_Var_Opex*EA72*EA70/Thousand</f>
        <v>-309.828723824459</v>
      </c>
      <c r="EB74" s="47" t="n">
        <f aca="false">-In_Var_Opex*EB72*EB70/Thousand</f>
        <v>-313.271265200287</v>
      </c>
      <c r="EC74" s="47" t="n">
        <f aca="false">-In_Var_Opex*EC72*EC70/Thousand</f>
        <v>-316.713806576114</v>
      </c>
      <c r="ED74" s="47" t="n">
        <f aca="false">-In_Var_Opex*ED72*ED70/Thousand</f>
        <v>-315.763665156386</v>
      </c>
      <c r="EE74" s="47" t="n">
        <f aca="false">-In_Var_Opex*EE72*EE70/Thousand</f>
        <v>-316.621718594311</v>
      </c>
      <c r="EF74" s="47" t="n">
        <f aca="false">-In_Var_Opex*EF72*EF70/Thousand</f>
        <v>-320.139737689803</v>
      </c>
      <c r="EG74" s="47" t="n">
        <f aca="false">-In_Var_Opex*EG72*EG70/Thousand</f>
        <v>-323.657756785295</v>
      </c>
      <c r="EH74" s="47" t="n">
        <f aca="false">-In_Var_Opex*EH72*EH70/Thousand</f>
        <v>-322.686783514939</v>
      </c>
      <c r="EI74" s="47" t="n">
        <f aca="false">-In_Var_Opex*EI72*EI70/Thousand</f>
        <v>-323.563649774491</v>
      </c>
      <c r="EJ74" s="47" t="n">
        <f aca="false">-In_Var_Opex*EJ72*EJ70/Thousand</f>
        <v>-327.158801438652</v>
      </c>
      <c r="EK74" s="47" t="n">
        <f aca="false">-In_Var_Opex*EK72*EK70/Thousand</f>
        <v>-330.753953102813</v>
      </c>
      <c r="EL74" s="47" t="n">
        <f aca="false">-In_Var_Opex*EL72*EL70/Thousand</f>
        <v>-329.761691243504</v>
      </c>
      <c r="EM74" s="47" t="n">
        <f aca="false">-In_Var_Opex*EM72*EM70/Thousand</f>
        <v>-334.331758160194</v>
      </c>
      <c r="EN74" s="47" t="n">
        <f aca="false">-In_Var_Opex*EN72*EN70/Thousand</f>
        <v>-334.331758160194</v>
      </c>
      <c r="EO74" s="47" t="n">
        <f aca="false">-In_Var_Opex*EO72*EO70/Thousand</f>
        <v>-338.005733524592</v>
      </c>
    </row>
    <row r="75" customFormat="false" ht="15" hidden="false" customHeight="false" outlineLevel="0" collapsed="false">
      <c r="C75" s="0" t="s">
        <v>443</v>
      </c>
      <c r="D75" s="11" t="s">
        <v>33</v>
      </c>
      <c r="I75" s="47" t="n">
        <f aca="false">SUM(J75:EO75)</f>
        <v>-60869.5202640337</v>
      </c>
      <c r="J75" s="47" t="n">
        <f aca="false">-(In_Fixed_Opex*$F25+In_Admin)*J70*J16*J$6</f>
        <v>-0</v>
      </c>
      <c r="K75" s="47" t="n">
        <f aca="false">-(In_Fixed_Opex*$F25+In_Admin)*K70*K16*K$6</f>
        <v>-0</v>
      </c>
      <c r="L75" s="47" t="n">
        <f aca="false">-(In_Fixed_Opex*$F25+In_Admin)*L70*L16*L$6</f>
        <v>-0</v>
      </c>
      <c r="M75" s="47" t="n">
        <f aca="false">-(In_Fixed_Opex*$F25+In_Admin)*M70*M16*M$6</f>
        <v>-0</v>
      </c>
      <c r="N75" s="47" t="n">
        <f aca="false">-(In_Fixed_Opex*$F25+In_Admin)*N70*N16*N$6</f>
        <v>-0</v>
      </c>
      <c r="O75" s="47" t="n">
        <f aca="false">-(In_Fixed_Opex*$F25+In_Admin)*O70*O16*O$6</f>
        <v>-0</v>
      </c>
      <c r="P75" s="47" t="n">
        <f aca="false">-(In_Fixed_Opex*$F25+In_Admin)*P70*P16*P$6</f>
        <v>-0</v>
      </c>
      <c r="Q75" s="47" t="n">
        <f aca="false">-(In_Fixed_Opex*$F25+In_Admin)*Q70*Q16*Q$6</f>
        <v>-0</v>
      </c>
      <c r="R75" s="47" t="n">
        <f aca="false">-(In_Fixed_Opex*$F25+In_Admin)*R70*R16*R$6</f>
        <v>-0</v>
      </c>
      <c r="S75" s="47" t="n">
        <f aca="false">-(In_Fixed_Opex*$F25+In_Admin)*S70*S16*S$6</f>
        <v>-0</v>
      </c>
      <c r="T75" s="47" t="n">
        <f aca="false">-(In_Fixed_Opex*$F25+In_Admin)*T70*T16*T$6</f>
        <v>-0</v>
      </c>
      <c r="U75" s="47" t="n">
        <f aca="false">-(In_Fixed_Opex*$F25+In_Admin)*U70*U16*U$6</f>
        <v>-0</v>
      </c>
      <c r="V75" s="47" t="n">
        <f aca="false">-(In_Fixed_Opex*$F25+In_Admin)*V70*V16*V$6</f>
        <v>-0</v>
      </c>
      <c r="W75" s="47" t="n">
        <f aca="false">-(In_Fixed_Opex*$F25+In_Admin)*W70*W16*W$6</f>
        <v>-0</v>
      </c>
      <c r="X75" s="47" t="n">
        <f aca="false">-(In_Fixed_Opex*$F25+In_Admin)*X70*X16*X$6</f>
        <v>-0</v>
      </c>
      <c r="Y75" s="47" t="n">
        <f aca="false">-(In_Fixed_Opex*$F25+In_Admin)*Y70*Y16*Y$6</f>
        <v>-0</v>
      </c>
      <c r="Z75" s="47" t="n">
        <f aca="false">-(In_Fixed_Opex*$F25+In_Admin)*Z70*Z16*Z$6</f>
        <v>-342.794520547945</v>
      </c>
      <c r="AA75" s="47" t="n">
        <f aca="false">-(In_Fixed_Opex*$F25+In_Admin)*AA70*AA16*AA$6</f>
        <v>-343.72602739726</v>
      </c>
      <c r="AB75" s="47" t="n">
        <f aca="false">-(In_Fixed_Opex*$F25+In_Admin)*AB70*AB16*AB$6</f>
        <v>-347.545205479452</v>
      </c>
      <c r="AC75" s="47" t="n">
        <f aca="false">-(In_Fixed_Opex*$F25+In_Admin)*AC70*AC16*AC$6</f>
        <v>-351.364383561644</v>
      </c>
      <c r="AD75" s="47" t="n">
        <f aca="false">-(In_Fixed_Opex*$F25+In_Admin)*AD70*AD16*AD$6</f>
        <v>-351.364383561644</v>
      </c>
      <c r="AE75" s="47" t="n">
        <f aca="false">-(In_Fixed_Opex*$F25+In_Admin)*AE70*AE16*AE$6</f>
        <v>-356.233835616438</v>
      </c>
      <c r="AF75" s="47" t="n">
        <f aca="false">-(In_Fixed_Opex*$F25+In_Admin)*AF70*AF16*AF$6</f>
        <v>-356.233835616438</v>
      </c>
      <c r="AG75" s="47" t="n">
        <f aca="false">-(In_Fixed_Opex*$F25+In_Admin)*AG70*AG16*AG$6</f>
        <v>-360.148493150685</v>
      </c>
      <c r="AH75" s="47" t="n">
        <f aca="false">-(In_Fixed_Opex*$F25+In_Admin)*AH70*AH16*AH$6</f>
        <v>-360.148493150685</v>
      </c>
      <c r="AI75" s="47" t="n">
        <f aca="false">-(In_Fixed_Opex*$F25+In_Admin)*AI70*AI16*AI$6</f>
        <v>-361.127157534246</v>
      </c>
      <c r="AJ75" s="47" t="n">
        <f aca="false">-(In_Fixed_Opex*$F25+In_Admin)*AJ70*AJ16*AJ$6</f>
        <v>-365.139681506849</v>
      </c>
      <c r="AK75" s="47" t="n">
        <f aca="false">-(In_Fixed_Opex*$F25+In_Admin)*AK70*AK16*AK$6</f>
        <v>-369.152205479452</v>
      </c>
      <c r="AL75" s="47" t="n">
        <f aca="false">-(In_Fixed_Opex*$F25+In_Admin)*AL70*AL16*AL$6</f>
        <v>-369.152205479452</v>
      </c>
      <c r="AM75" s="47" t="n">
        <f aca="false">-(In_Fixed_Opex*$F25+In_Admin)*AM70*AM16*AM$6</f>
        <v>-370.155336472603</v>
      </c>
      <c r="AN75" s="47" t="n">
        <f aca="false">-(In_Fixed_Opex*$F25+In_Admin)*AN70*AN16*AN$6</f>
        <v>-374.268173544521</v>
      </c>
      <c r="AO75" s="47" t="n">
        <f aca="false">-(In_Fixed_Opex*$F25+In_Admin)*AO70*AO16*AO$6</f>
        <v>-378.381010616438</v>
      </c>
      <c r="AP75" s="47" t="n">
        <f aca="false">-(In_Fixed_Opex*$F25+In_Admin)*AP70*AP16*AP$6</f>
        <v>-378.381010616438</v>
      </c>
      <c r="AQ75" s="47" t="n">
        <f aca="false">-(In_Fixed_Opex*$F25+In_Admin)*AQ70*AQ16*AQ$6</f>
        <v>-379.409219884418</v>
      </c>
      <c r="AR75" s="47" t="n">
        <f aca="false">-(In_Fixed_Opex*$F25+In_Admin)*AR70*AR16*AR$6</f>
        <v>-383.624877883134</v>
      </c>
      <c r="AS75" s="47" t="n">
        <f aca="false">-(In_Fixed_Opex*$F25+In_Admin)*AS70*AS16*AS$6</f>
        <v>-387.840535881849</v>
      </c>
      <c r="AT75" s="47" t="n">
        <f aca="false">-(In_Fixed_Opex*$F25+In_Admin)*AT70*AT16*AT$6</f>
        <v>-387.840535881849</v>
      </c>
      <c r="AU75" s="47" t="n">
        <f aca="false">-(In_Fixed_Opex*$F25+In_Admin)*AU70*AU16*AU$6</f>
        <v>-393.215499830212</v>
      </c>
      <c r="AV75" s="47" t="n">
        <f aca="false">-(In_Fixed_Opex*$F25+In_Admin)*AV70*AV16*AV$6</f>
        <v>-393.215499830212</v>
      </c>
      <c r="AW75" s="47" t="n">
        <f aca="false">-(In_Fixed_Opex*$F25+In_Admin)*AW70*AW16*AW$6</f>
        <v>-397.536549278895</v>
      </c>
      <c r="AX75" s="47" t="n">
        <f aca="false">-(In_Fixed_Opex*$F25+In_Admin)*AX70*AX16*AX$6</f>
        <v>-397.536549278895</v>
      </c>
      <c r="AY75" s="47" t="n">
        <f aca="false">-(In_Fixed_Opex*$F25+In_Admin)*AY70*AY16*AY$6</f>
        <v>-398.616811641066</v>
      </c>
      <c r="AZ75" s="47" t="n">
        <f aca="false">-(In_Fixed_Opex*$F25+In_Admin)*AZ70*AZ16*AZ$6</f>
        <v>-403.045887325967</v>
      </c>
      <c r="BA75" s="47" t="n">
        <f aca="false">-(In_Fixed_Opex*$F25+In_Admin)*BA70*BA16*BA$6</f>
        <v>-407.474963010868</v>
      </c>
      <c r="BB75" s="47" t="n">
        <f aca="false">-(In_Fixed_Opex*$F25+In_Admin)*BB70*BB16*BB$6</f>
        <v>-407.474963010868</v>
      </c>
      <c r="BC75" s="47" t="n">
        <f aca="false">-(In_Fixed_Opex*$F25+In_Admin)*BC70*BC16*BC$6</f>
        <v>-408.582231932093</v>
      </c>
      <c r="BD75" s="47" t="n">
        <f aca="false">-(In_Fixed_Opex*$F25+In_Admin)*BD70*BD16*BD$6</f>
        <v>-413.122034509116</v>
      </c>
      <c r="BE75" s="47" t="n">
        <f aca="false">-(In_Fixed_Opex*$F25+In_Admin)*BE70*BE16*BE$6</f>
        <v>-417.661837086139</v>
      </c>
      <c r="BF75" s="47" t="n">
        <f aca="false">-(In_Fixed_Opex*$F25+In_Admin)*BF70*BF16*BF$6</f>
        <v>-417.661837086139</v>
      </c>
      <c r="BG75" s="47" t="n">
        <f aca="false">-(In_Fixed_Opex*$F25+In_Admin)*BG70*BG16*BG$6</f>
        <v>-418.796787730395</v>
      </c>
      <c r="BH75" s="47" t="n">
        <f aca="false">-(In_Fixed_Opex*$F25+In_Admin)*BH70*BH16*BH$6</f>
        <v>-423.450085371844</v>
      </c>
      <c r="BI75" s="47" t="n">
        <f aca="false">-(In_Fixed_Opex*$F25+In_Admin)*BI70*BI16*BI$6</f>
        <v>-428.103383013293</v>
      </c>
      <c r="BJ75" s="47" t="n">
        <f aca="false">-(In_Fixed_Opex*$F25+In_Admin)*BJ70*BJ16*BJ$6</f>
        <v>-428.103383013293</v>
      </c>
      <c r="BK75" s="47" t="n">
        <f aca="false">-(In_Fixed_Opex*$F25+In_Admin)*BK70*BK16*BK$6</f>
        <v>-434.03633750614</v>
      </c>
      <c r="BL75" s="47" t="n">
        <f aca="false">-(In_Fixed_Opex*$F25+In_Admin)*BL70*BL16*BL$6</f>
        <v>-434.03633750614</v>
      </c>
      <c r="BM75" s="47" t="n">
        <f aca="false">-(In_Fixed_Opex*$F25+In_Admin)*BM70*BM16*BM$6</f>
        <v>-438.805967588625</v>
      </c>
      <c r="BN75" s="47" t="n">
        <f aca="false">-(In_Fixed_Opex*$F25+In_Admin)*BN70*BN16*BN$6</f>
        <v>-438.805967588625</v>
      </c>
      <c r="BO75" s="47" t="n">
        <f aca="false">-(In_Fixed_Opex*$F25+In_Admin)*BO70*BO16*BO$6</f>
        <v>-439.998375109246</v>
      </c>
      <c r="BP75" s="47" t="n">
        <f aca="false">-(In_Fixed_Opex*$F25+In_Admin)*BP70*BP16*BP$6</f>
        <v>-444.887245943794</v>
      </c>
      <c r="BQ75" s="47" t="n">
        <f aca="false">-(In_Fixed_Opex*$F25+In_Admin)*BQ70*BQ16*BQ$6</f>
        <v>-449.776116778341</v>
      </c>
      <c r="BR75" s="47" t="n">
        <f aca="false">-(In_Fixed_Opex*$F25+In_Admin)*BR70*BR16*BR$6</f>
        <v>-449.776116778341</v>
      </c>
      <c r="BS75" s="47" t="n">
        <f aca="false">-(In_Fixed_Opex*$F25+In_Admin)*BS70*BS16*BS$6</f>
        <v>-450.998334486977</v>
      </c>
      <c r="BT75" s="47" t="n">
        <f aca="false">-(In_Fixed_Opex*$F25+In_Admin)*BT70*BT16*BT$6</f>
        <v>-456.009427092388</v>
      </c>
      <c r="BU75" s="47" t="n">
        <f aca="false">-(In_Fixed_Opex*$F25+In_Admin)*BU70*BU16*BU$6</f>
        <v>-461.020519697799</v>
      </c>
      <c r="BV75" s="47" t="n">
        <f aca="false">-(In_Fixed_Opex*$F25+In_Admin)*BV70*BV16*BV$6</f>
        <v>-461.020519697799</v>
      </c>
      <c r="BW75" s="47" t="n">
        <f aca="false">-(In_Fixed_Opex*$F25+In_Admin)*BW70*BW16*BW$6</f>
        <v>-462.273292849152</v>
      </c>
      <c r="BX75" s="47" t="n">
        <f aca="false">-(In_Fixed_Opex*$F25+In_Admin)*BX70*BX16*BX$6</f>
        <v>-467.409662769698</v>
      </c>
      <c r="BY75" s="47" t="n">
        <f aca="false">-(In_Fixed_Opex*$F25+In_Admin)*BY70*BY16*BY$6</f>
        <v>-472.546032690244</v>
      </c>
      <c r="BZ75" s="47" t="n">
        <f aca="false">-(In_Fixed_Opex*$F25+In_Admin)*BZ70*BZ16*BZ$6</f>
        <v>-472.546032690244</v>
      </c>
      <c r="CA75" s="47" t="n">
        <f aca="false">-(In_Fixed_Opex*$F25+In_Admin)*CA70*CA16*CA$6</f>
        <v>-479.09490433894</v>
      </c>
      <c r="CB75" s="47" t="n">
        <f aca="false">-(In_Fixed_Opex*$F25+In_Admin)*CB70*CB16*CB$6</f>
        <v>-479.09490433894</v>
      </c>
      <c r="CC75" s="47" t="n">
        <f aca="false">-(In_Fixed_Opex*$F25+In_Admin)*CC70*CC16*CC$6</f>
        <v>-484.3596835075</v>
      </c>
      <c r="CD75" s="47" t="n">
        <f aca="false">-(In_Fixed_Opex*$F25+In_Admin)*CD70*CD16*CD$6</f>
        <v>-484.3596835075</v>
      </c>
      <c r="CE75" s="47" t="n">
        <f aca="false">-(In_Fixed_Opex*$F25+In_Admin)*CE70*CE16*CE$6</f>
        <v>-485.67587829964</v>
      </c>
      <c r="CF75" s="47" t="n">
        <f aca="false">-(In_Fixed_Opex*$F25+In_Admin)*CF70*CF16*CF$6</f>
        <v>-491.072276947414</v>
      </c>
      <c r="CG75" s="47" t="n">
        <f aca="false">-(In_Fixed_Opex*$F25+In_Admin)*CG70*CG16*CG$6</f>
        <v>-496.468675595188</v>
      </c>
      <c r="CH75" s="47" t="n">
        <f aca="false">-(In_Fixed_Opex*$F25+In_Admin)*CH70*CH16*CH$6</f>
        <v>-496.468675595188</v>
      </c>
      <c r="CI75" s="47" t="n">
        <f aca="false">-(In_Fixed_Opex*$F25+In_Admin)*CI70*CI16*CI$6</f>
        <v>-497.817775257131</v>
      </c>
      <c r="CJ75" s="47" t="n">
        <f aca="false">-(In_Fixed_Opex*$F25+In_Admin)*CJ70*CJ16*CJ$6</f>
        <v>-503.349083871099</v>
      </c>
      <c r="CK75" s="47" t="n">
        <f aca="false">-(In_Fixed_Opex*$F25+In_Admin)*CK70*CK16*CK$6</f>
        <v>-508.880392485067</v>
      </c>
      <c r="CL75" s="47" t="n">
        <f aca="false">-(In_Fixed_Opex*$F25+In_Admin)*CL70*CL16*CL$6</f>
        <v>-508.880392485067</v>
      </c>
      <c r="CM75" s="47" t="n">
        <f aca="false">-(In_Fixed_Opex*$F25+In_Admin)*CM70*CM16*CM$6</f>
        <v>-510.263219638559</v>
      </c>
      <c r="CN75" s="47" t="n">
        <f aca="false">-(In_Fixed_Opex*$F25+In_Admin)*CN70*CN16*CN$6</f>
        <v>-515.932810967877</v>
      </c>
      <c r="CO75" s="47" t="n">
        <f aca="false">-(In_Fixed_Opex*$F25+In_Admin)*CO70*CO16*CO$6</f>
        <v>-521.602402297194</v>
      </c>
      <c r="CP75" s="47" t="n">
        <f aca="false">-(In_Fixed_Opex*$F25+In_Admin)*CP70*CP16*CP$6</f>
        <v>-521.602402297194</v>
      </c>
      <c r="CQ75" s="47" t="n">
        <f aca="false">-(In_Fixed_Opex*$F25+In_Admin)*CQ70*CQ16*CQ$6</f>
        <v>-528.831131242074</v>
      </c>
      <c r="CR75" s="47" t="n">
        <f aca="false">-(In_Fixed_Opex*$F25+In_Admin)*CR70*CR16*CR$6</f>
        <v>-528.831131242074</v>
      </c>
      <c r="CS75" s="47" t="n">
        <f aca="false">-(In_Fixed_Opex*$F25+In_Admin)*CS70*CS16*CS$6</f>
        <v>-534.642462354624</v>
      </c>
      <c r="CT75" s="47" t="n">
        <f aca="false">-(In_Fixed_Opex*$F25+In_Admin)*CT70*CT16*CT$6</f>
        <v>-534.642462354624</v>
      </c>
      <c r="CU75" s="47" t="n">
        <f aca="false">-(In_Fixed_Opex*$F25+In_Admin)*CU70*CU16*CU$6</f>
        <v>-536.095295132761</v>
      </c>
      <c r="CV75" s="47" t="n">
        <f aca="false">-(In_Fixed_Opex*$F25+In_Admin)*CV70*CV16*CV$6</f>
        <v>-542.051909523125</v>
      </c>
      <c r="CW75" s="47" t="n">
        <f aca="false">-(In_Fixed_Opex*$F25+In_Admin)*CW70*CW16*CW$6</f>
        <v>-548.008523913489</v>
      </c>
      <c r="CX75" s="47" t="n">
        <f aca="false">-(In_Fixed_Opex*$F25+In_Admin)*CX70*CX16*CX$6</f>
        <v>-548.008523913489</v>
      </c>
      <c r="CY75" s="47" t="n">
        <f aca="false">-(In_Fixed_Opex*$F25+In_Admin)*CY70*CY16*CY$6</f>
        <v>-549.49767751108</v>
      </c>
      <c r="CZ75" s="47" t="n">
        <f aca="false">-(In_Fixed_Opex*$F25+In_Admin)*CZ70*CZ16*CZ$6</f>
        <v>-555.603207261203</v>
      </c>
      <c r="DA75" s="47" t="n">
        <f aca="false">-(In_Fixed_Opex*$F25+In_Admin)*DA70*DA16*DA$6</f>
        <v>-561.708737011326</v>
      </c>
      <c r="DB75" s="47" t="n">
        <f aca="false">-(In_Fixed_Opex*$F25+In_Admin)*DB70*DB16*DB$6</f>
        <v>-561.708737011326</v>
      </c>
      <c r="DC75" s="47" t="n">
        <f aca="false">-(In_Fixed_Opex*$F25+In_Admin)*DC70*DC16*DC$6</f>
        <v>-563.235119448857</v>
      </c>
      <c r="DD75" s="47" t="n">
        <f aca="false">-(In_Fixed_Opex*$F25+In_Admin)*DD70*DD16*DD$6</f>
        <v>-569.493287442734</v>
      </c>
      <c r="DE75" s="47" t="n">
        <f aca="false">-(In_Fixed_Opex*$F25+In_Admin)*DE70*DE16*DE$6</f>
        <v>-575.75145543661</v>
      </c>
      <c r="DF75" s="47" t="n">
        <f aca="false">-(In_Fixed_Opex*$F25+In_Admin)*DF70*DF16*DF$6</f>
        <v>-575.75145543661</v>
      </c>
      <c r="DG75" s="47" t="n">
        <f aca="false">-(In_Fixed_Opex*$F25+In_Admin)*DG70*DG16*DG$6</f>
        <v>-583.730619628802</v>
      </c>
      <c r="DH75" s="47" t="n">
        <f aca="false">-(In_Fixed_Opex*$F25+In_Admin)*DH70*DH16*DH$6</f>
        <v>-583.730619628802</v>
      </c>
      <c r="DI75" s="47" t="n">
        <f aca="false">-(In_Fixed_Opex*$F25+In_Admin)*DI70*DI16*DI$6</f>
        <v>-590.145241822525</v>
      </c>
      <c r="DJ75" s="47" t="n">
        <f aca="false">-(In_Fixed_Opex*$F25+In_Admin)*DJ70*DJ16*DJ$6</f>
        <v>-590.145241822525</v>
      </c>
      <c r="DK75" s="47" t="n">
        <f aca="false">-(In_Fixed_Opex*$F25+In_Admin)*DK70*DK16*DK$6</f>
        <v>-591.748897370955</v>
      </c>
      <c r="DL75" s="47" t="n">
        <f aca="false">-(In_Fixed_Opex*$F25+In_Admin)*DL70*DL16*DL$6</f>
        <v>-598.323885119522</v>
      </c>
      <c r="DM75" s="47" t="n">
        <f aca="false">-(In_Fixed_Opex*$F25+In_Admin)*DM70*DM16*DM$6</f>
        <v>-604.898872868088</v>
      </c>
      <c r="DN75" s="47" t="n">
        <f aca="false">-(In_Fixed_Opex*$F25+In_Admin)*DN70*DN16*DN$6</f>
        <v>-604.898872868088</v>
      </c>
      <c r="DO75" s="47" t="n">
        <f aca="false">-(In_Fixed_Opex*$F25+In_Admin)*DO70*DO16*DO$6</f>
        <v>-606.542619805229</v>
      </c>
      <c r="DP75" s="47" t="n">
        <f aca="false">-(In_Fixed_Opex*$F25+In_Admin)*DP70*DP16*DP$6</f>
        <v>-613.28198224751</v>
      </c>
      <c r="DQ75" s="47" t="n">
        <f aca="false">-(In_Fixed_Opex*$F25+In_Admin)*DQ70*DQ16*DQ$6</f>
        <v>-620.02134468979</v>
      </c>
      <c r="DR75" s="47" t="n">
        <f aca="false">-(In_Fixed_Opex*$F25+In_Admin)*DR70*DR16*DR$6</f>
        <v>-620.02134468979</v>
      </c>
      <c r="DS75" s="47" t="n">
        <f aca="false">-(In_Fixed_Opex*$F25+In_Admin)*DS70*DS16*DS$6</f>
        <v>-621.70618530036</v>
      </c>
      <c r="DT75" s="47" t="n">
        <f aca="false">-(In_Fixed_Opex*$F25+In_Admin)*DT70*DT16*DT$6</f>
        <v>-628.614031803698</v>
      </c>
      <c r="DU75" s="47" t="n">
        <f aca="false">-(In_Fixed_Opex*$F25+In_Admin)*DU70*DU16*DU$6</f>
        <v>-635.521878307035</v>
      </c>
      <c r="DV75" s="47" t="n">
        <f aca="false">-(In_Fixed_Opex*$F25+In_Admin)*DV70*DV16*DV$6</f>
        <v>-635.521878307035</v>
      </c>
      <c r="DW75" s="47" t="n">
        <f aca="false">-(In_Fixed_Opex*$F25+In_Admin)*DW70*DW16*DW$6</f>
        <v>-644.32938259879</v>
      </c>
      <c r="DX75" s="47" t="n">
        <f aca="false">-(In_Fixed_Opex*$F25+In_Admin)*DX70*DX16*DX$6</f>
        <v>-644.32938259879</v>
      </c>
      <c r="DY75" s="47" t="n">
        <f aca="false">-(In_Fixed_Opex*$F25+In_Admin)*DY70*DY16*DY$6</f>
        <v>-651.409925264711</v>
      </c>
      <c r="DZ75" s="47" t="n">
        <f aca="false">-(In_Fixed_Opex*$F25+In_Admin)*DZ70*DZ16*DZ$6</f>
        <v>-651.409925264711</v>
      </c>
      <c r="EA75" s="47" t="n">
        <f aca="false">-(In_Fixed_Opex*$F25+In_Admin)*EA70*EA16*EA$6</f>
        <v>-653.180060931191</v>
      </c>
      <c r="EB75" s="47" t="n">
        <f aca="false">-(In_Fixed_Opex*$F25+In_Admin)*EB70*EB16*EB$6</f>
        <v>-660.43761716376</v>
      </c>
      <c r="EC75" s="47" t="n">
        <f aca="false">-(In_Fixed_Opex*$F25+In_Admin)*EC70*EC16*EC$6</f>
        <v>-667.695173396328</v>
      </c>
      <c r="ED75" s="47" t="n">
        <f aca="false">-(In_Fixed_Opex*$F25+In_Admin)*ED70*ED16*ED$6</f>
        <v>-667.695173396328</v>
      </c>
      <c r="EE75" s="47" t="n">
        <f aca="false">-(In_Fixed_Opex*$F25+In_Admin)*EE70*EE16*EE$6</f>
        <v>-669.50956245447</v>
      </c>
      <c r="EF75" s="47" t="n">
        <f aca="false">-(In_Fixed_Opex*$F25+In_Admin)*EF70*EF16*EF$6</f>
        <v>-676.948557592854</v>
      </c>
      <c r="EG75" s="47" t="n">
        <f aca="false">-(In_Fixed_Opex*$F25+In_Admin)*EG70*EG16*EG$6</f>
        <v>-684.387552731237</v>
      </c>
      <c r="EH75" s="47" t="n">
        <f aca="false">-(In_Fixed_Opex*$F25+In_Admin)*EH70*EH16*EH$6</f>
        <v>-684.387552731237</v>
      </c>
      <c r="EI75" s="47" t="n">
        <f aca="false">-(In_Fixed_Opex*$F25+In_Admin)*EI70*EI16*EI$6</f>
        <v>-686.247301515832</v>
      </c>
      <c r="EJ75" s="47" t="n">
        <f aca="false">-(In_Fixed_Opex*$F25+In_Admin)*EJ70*EJ16*EJ$6</f>
        <v>-693.872271532675</v>
      </c>
      <c r="EK75" s="47" t="n">
        <f aca="false">-(In_Fixed_Opex*$F25+In_Admin)*EK70*EK16*EK$6</f>
        <v>-701.497241549517</v>
      </c>
      <c r="EL75" s="47" t="n">
        <f aca="false">-(In_Fixed_Opex*$F25+In_Admin)*EL70*EL16*EL$6</f>
        <v>-701.497241549517</v>
      </c>
      <c r="EM75" s="47" t="n">
        <f aca="false">-(In_Fixed_Opex*$F25+In_Admin)*EM70*EM16*EM$6</f>
        <v>-711.219078320991</v>
      </c>
      <c r="EN75" s="47" t="n">
        <f aca="false">-(In_Fixed_Opex*$F25+In_Admin)*EN70*EN16*EN$6</f>
        <v>-711.219078320991</v>
      </c>
      <c r="EO75" s="47" t="n">
        <f aca="false">-(In_Fixed_Opex*$F25+In_Admin)*EO70*EO16*EO$6</f>
        <v>-719.034672588255</v>
      </c>
    </row>
    <row r="76" customFormat="false" ht="15" hidden="false" customHeight="false" outlineLevel="0" collapsed="false">
      <c r="C76" s="0" t="s">
        <v>444</v>
      </c>
      <c r="D76" s="11" t="s">
        <v>33</v>
      </c>
      <c r="I76" s="47" t="n">
        <f aca="false">SUM(J76:EO76)</f>
        <v>-7708.87664873263</v>
      </c>
      <c r="J76" s="47" t="n">
        <f aca="false">-In_Lease*$F25*J70*J17*J$6</f>
        <v>-0</v>
      </c>
      <c r="K76" s="47" t="n">
        <f aca="false">-In_Lease*$F25*K70*K17*K$6</f>
        <v>-0</v>
      </c>
      <c r="L76" s="47" t="n">
        <f aca="false">-In_Lease*$F25*L70*L17*L$6</f>
        <v>-0</v>
      </c>
      <c r="M76" s="47" t="n">
        <f aca="false">-In_Lease*$F25*M70*M17*M$6</f>
        <v>-0</v>
      </c>
      <c r="N76" s="47" t="n">
        <f aca="false">-In_Lease*$F25*N70*N17*N$6</f>
        <v>-0</v>
      </c>
      <c r="O76" s="47" t="n">
        <f aca="false">-In_Lease*$F25*O70*O17*O$6</f>
        <v>-0</v>
      </c>
      <c r="P76" s="47" t="n">
        <f aca="false">-In_Lease*$F25*P70*P17*P$6</f>
        <v>-0</v>
      </c>
      <c r="Q76" s="47" t="n">
        <f aca="false">-In_Lease*$F25*Q70*Q17*Q$6</f>
        <v>-0</v>
      </c>
      <c r="R76" s="47" t="n">
        <f aca="false">-In_Lease*$F25*R70*R17*R$6</f>
        <v>-39.5850480389201</v>
      </c>
      <c r="S76" s="47" t="n">
        <f aca="false">-In_Lease*$F25*S70*S17*S$6</f>
        <v>-39.6926161042432</v>
      </c>
      <c r="T76" s="47" t="n">
        <f aca="false">-In_Lease*$F25*T70*T17*T$6</f>
        <v>-40.1336451720682</v>
      </c>
      <c r="U76" s="47" t="n">
        <f aca="false">-In_Lease*$F25*U70*U17*U$6</f>
        <v>-40.5746742398931</v>
      </c>
      <c r="V76" s="47" t="n">
        <f aca="false">-In_Lease*$F25*V70*V17*V$6</f>
        <v>-40.5746742398931</v>
      </c>
      <c r="W76" s="47" t="n">
        <f aca="false">-In_Lease*$F25*W70*W17*W$6</f>
        <v>-40.6849315068493</v>
      </c>
      <c r="X76" s="47" t="n">
        <f aca="false">-In_Lease*$F25*X70*X17*X$6</f>
        <v>-41.1369863013699</v>
      </c>
      <c r="Y76" s="47" t="n">
        <f aca="false">-In_Lease*$F25*Y70*Y17*Y$6</f>
        <v>-41.5890410958904</v>
      </c>
      <c r="Z76" s="47" t="n">
        <f aca="false">-In_Lease*$F25*Z70*Z17*Z$6</f>
        <v>-41.5890410958904</v>
      </c>
      <c r="AA76" s="47" t="n">
        <f aca="false">-In_Lease*$F25*AA70*AA17*AA$6</f>
        <v>-41.7020547945206</v>
      </c>
      <c r="AB76" s="47" t="n">
        <f aca="false">-In_Lease*$F25*AB70*AB17*AB$6</f>
        <v>-42.1654109589041</v>
      </c>
      <c r="AC76" s="47" t="n">
        <f aca="false">-In_Lease*$F25*AC70*AC17*AC$6</f>
        <v>-42.6287671232877</v>
      </c>
      <c r="AD76" s="47" t="n">
        <f aca="false">-In_Lease*$F25*AD70*AD17*AD$6</f>
        <v>-42.6287671232877</v>
      </c>
      <c r="AE76" s="47" t="n">
        <f aca="false">-In_Lease*$F25*AE70*AE17*AE$6</f>
        <v>-43.2195462328767</v>
      </c>
      <c r="AF76" s="47" t="n">
        <f aca="false">-In_Lease*$F25*AF70*AF17*AF$6</f>
        <v>-43.2195462328767</v>
      </c>
      <c r="AG76" s="47" t="n">
        <f aca="false">-In_Lease*$F25*AG70*AG17*AG$6</f>
        <v>-43.6944863013699</v>
      </c>
      <c r="AH76" s="47" t="n">
        <f aca="false">-In_Lease*$F25*AH70*AH17*AH$6</f>
        <v>-43.6944863013699</v>
      </c>
      <c r="AI76" s="47" t="n">
        <f aca="false">-In_Lease*$F25*AI70*AI17*AI$6</f>
        <v>-43.8132213184931</v>
      </c>
      <c r="AJ76" s="47" t="n">
        <f aca="false">-In_Lease*$F25*AJ70*AJ17*AJ$6</f>
        <v>-44.3000348886986</v>
      </c>
      <c r="AK76" s="47" t="n">
        <f aca="false">-In_Lease*$F25*AK70*AK17*AK$6</f>
        <v>-44.7868484589041</v>
      </c>
      <c r="AL76" s="47" t="n">
        <f aca="false">-In_Lease*$F25*AL70*AL17*AL$6</f>
        <v>-44.7868484589041</v>
      </c>
      <c r="AM76" s="47" t="n">
        <f aca="false">-In_Lease*$F25*AM70*AM17*AM$6</f>
        <v>-44.9085518514555</v>
      </c>
      <c r="AN76" s="47" t="n">
        <f aca="false">-In_Lease*$F25*AN70*AN17*AN$6</f>
        <v>-45.4075357609161</v>
      </c>
      <c r="AO76" s="47" t="n">
        <f aca="false">-In_Lease*$F25*AO70*AO17*AO$6</f>
        <v>-45.9065196703767</v>
      </c>
      <c r="AP76" s="47" t="n">
        <f aca="false">-In_Lease*$F25*AP70*AP17*AP$6</f>
        <v>-45.9065196703767</v>
      </c>
      <c r="AQ76" s="47" t="n">
        <f aca="false">-In_Lease*$F25*AQ70*AQ17*AQ$6</f>
        <v>-46.0312656477419</v>
      </c>
      <c r="AR76" s="47" t="n">
        <f aca="false">-In_Lease*$F25*AR70*AR17*AR$6</f>
        <v>-46.542724154939</v>
      </c>
      <c r="AS76" s="47" t="n">
        <f aca="false">-In_Lease*$F25*AS70*AS17*AS$6</f>
        <v>-47.0541826621361</v>
      </c>
      <c r="AT76" s="47" t="n">
        <f aca="false">-In_Lease*$F25*AT70*AT17*AT$6</f>
        <v>-47.0541826621361</v>
      </c>
      <c r="AU76" s="47" t="n">
        <f aca="false">-In_Lease*$F25*AU70*AU17*AU$6</f>
        <v>-47.7062922588125</v>
      </c>
      <c r="AV76" s="47" t="n">
        <f aca="false">-In_Lease*$F25*AV70*AV17*AV$6</f>
        <v>-47.7062922588125</v>
      </c>
      <c r="AW76" s="47" t="n">
        <f aca="false">-In_Lease*$F25*AW70*AW17*AW$6</f>
        <v>-48.2305372286895</v>
      </c>
      <c r="AX76" s="47" t="n">
        <f aca="false">-In_Lease*$F25*AX70*AX17*AX$6</f>
        <v>-48.2305372286895</v>
      </c>
      <c r="AY76" s="47" t="n">
        <f aca="false">-In_Lease*$F25*AY70*AY17*AY$6</f>
        <v>-48.3615984711588</v>
      </c>
      <c r="AZ76" s="47" t="n">
        <f aca="false">-In_Lease*$F25*AZ70*AZ17*AZ$6</f>
        <v>-48.8989495652828</v>
      </c>
      <c r="BA76" s="47" t="n">
        <f aca="false">-In_Lease*$F25*BA70*BA17*BA$6</f>
        <v>-49.4363006594068</v>
      </c>
      <c r="BB76" s="47" t="n">
        <f aca="false">-In_Lease*$F25*BB70*BB17*BB$6</f>
        <v>-49.4363006594068</v>
      </c>
      <c r="BC76" s="47" t="n">
        <f aca="false">-In_Lease*$F25*BC70*BC17*BC$6</f>
        <v>-49.5706384329377</v>
      </c>
      <c r="BD76" s="47" t="n">
        <f aca="false">-In_Lease*$F25*BD70*BD17*BD$6</f>
        <v>-50.1214233044148</v>
      </c>
      <c r="BE76" s="47" t="n">
        <f aca="false">-In_Lease*$F25*BE70*BE17*BE$6</f>
        <v>-50.6722081758919</v>
      </c>
      <c r="BF76" s="47" t="n">
        <f aca="false">-In_Lease*$F25*BF70*BF17*BF$6</f>
        <v>-50.6722081758919</v>
      </c>
      <c r="BG76" s="47" t="n">
        <f aca="false">-In_Lease*$F25*BG70*BG17*BG$6</f>
        <v>-50.8099043937612</v>
      </c>
      <c r="BH76" s="47" t="n">
        <f aca="false">-In_Lease*$F25*BH70*BH17*BH$6</f>
        <v>-51.3744588870252</v>
      </c>
      <c r="BI76" s="47" t="n">
        <f aca="false">-In_Lease*$F25*BI70*BI17*BI$6</f>
        <v>-51.9390133802892</v>
      </c>
      <c r="BJ76" s="47" t="n">
        <f aca="false">-In_Lease*$F25*BJ70*BJ17*BJ$6</f>
        <v>-51.9390133802892</v>
      </c>
      <c r="BK76" s="47" t="n">
        <f aca="false">-In_Lease*$F25*BK70*BK17*BK$6</f>
        <v>-52.6588203592008</v>
      </c>
      <c r="BL76" s="47" t="n">
        <f aca="false">-In_Lease*$F25*BL70*BL17*BL$6</f>
        <v>-52.6588203592008</v>
      </c>
      <c r="BM76" s="47" t="n">
        <f aca="false">-In_Lease*$F25*BM70*BM17*BM$6</f>
        <v>-53.2374887147964</v>
      </c>
      <c r="BN76" s="47" t="n">
        <f aca="false">-In_Lease*$F25*BN70*BN17*BN$6</f>
        <v>-53.2374887147964</v>
      </c>
      <c r="BO76" s="47" t="n">
        <f aca="false">-In_Lease*$F25*BO70*BO17*BO$6</f>
        <v>-53.3821558036953</v>
      </c>
      <c r="BP76" s="47" t="n">
        <f aca="false">-In_Lease*$F25*BP70*BP17*BP$6</f>
        <v>-53.9752908681808</v>
      </c>
      <c r="BQ76" s="47" t="n">
        <f aca="false">-In_Lease*$F25*BQ70*BQ17*BQ$6</f>
        <v>-54.5684259326664</v>
      </c>
      <c r="BR76" s="47" t="n">
        <f aca="false">-In_Lease*$F25*BR70*BR17*BR$6</f>
        <v>-54.5684259326664</v>
      </c>
      <c r="BS76" s="47" t="n">
        <f aca="false">-In_Lease*$F25*BS70*BS17*BS$6</f>
        <v>-54.7167096987877</v>
      </c>
      <c r="BT76" s="47" t="n">
        <f aca="false">-In_Lease*$F25*BT70*BT17*BT$6</f>
        <v>-55.3246731398854</v>
      </c>
      <c r="BU76" s="47" t="n">
        <f aca="false">-In_Lease*$F25*BU70*BU17*BU$6</f>
        <v>-55.932636580983</v>
      </c>
      <c r="BV76" s="47" t="n">
        <f aca="false">-In_Lease*$F25*BV70*BV17*BV$6</f>
        <v>-55.932636580983</v>
      </c>
      <c r="BW76" s="47" t="n">
        <f aca="false">-In_Lease*$F25*BW70*BW17*BW$6</f>
        <v>-56.0846274412574</v>
      </c>
      <c r="BX76" s="47" t="n">
        <f aca="false">-In_Lease*$F25*BX70*BX17*BX$6</f>
        <v>-56.7077899683825</v>
      </c>
      <c r="BY76" s="47" t="n">
        <f aca="false">-In_Lease*$F25*BY70*BY17*BY$6</f>
        <v>-57.3309524955076</v>
      </c>
      <c r="BZ76" s="47" t="n">
        <f aca="false">-In_Lease*$F25*BZ70*BZ17*BZ$6</f>
        <v>-57.3309524955076</v>
      </c>
      <c r="CA76" s="47" t="n">
        <f aca="false">-In_Lease*$F25*CA70*CA17*CA$6</f>
        <v>-58.125484717592</v>
      </c>
      <c r="CB76" s="47" t="n">
        <f aca="false">-In_Lease*$F25*CB70*CB17*CB$6</f>
        <v>-58.125484717592</v>
      </c>
      <c r="CC76" s="47" t="n">
        <f aca="false">-In_Lease*$F25*CC70*CC17*CC$6</f>
        <v>-58.7642263078953</v>
      </c>
      <c r="CD76" s="47" t="n">
        <f aca="false">-In_Lease*$F25*CD70*CD17*CD$6</f>
        <v>-58.7642263078953</v>
      </c>
      <c r="CE76" s="47" t="n">
        <f aca="false">-In_Lease*$F25*CE70*CE17*CE$6</f>
        <v>-58.923911705471</v>
      </c>
      <c r="CF76" s="47" t="n">
        <f aca="false">-In_Lease*$F25*CF70*CF17*CF$6</f>
        <v>-59.5786218355318</v>
      </c>
      <c r="CG76" s="47" t="n">
        <f aca="false">-In_Lease*$F25*CG70*CG17*CG$6</f>
        <v>-60.2333319655926</v>
      </c>
      <c r="CH76" s="47" t="n">
        <f aca="false">-In_Lease*$F25*CH70*CH17*CH$6</f>
        <v>-60.2333319655926</v>
      </c>
      <c r="CI76" s="47" t="n">
        <f aca="false">-In_Lease*$F25*CI70*CI17*CI$6</f>
        <v>-60.3970094981078</v>
      </c>
      <c r="CJ76" s="47" t="n">
        <f aca="false">-In_Lease*$F25*CJ70*CJ17*CJ$6</f>
        <v>-61.0680873814201</v>
      </c>
      <c r="CK76" s="47" t="n">
        <f aca="false">-In_Lease*$F25*CK70*CK17*CK$6</f>
        <v>-61.7391652647324</v>
      </c>
      <c r="CL76" s="47" t="n">
        <f aca="false">-In_Lease*$F25*CL70*CL17*CL$6</f>
        <v>-61.7391652647324</v>
      </c>
      <c r="CM76" s="47" t="n">
        <f aca="false">-In_Lease*$F25*CM70*CM17*CM$6</f>
        <v>-61.9069347355605</v>
      </c>
      <c r="CN76" s="47" t="n">
        <f aca="false">-In_Lease*$F25*CN70*CN17*CN$6</f>
        <v>-62.5947895659556</v>
      </c>
      <c r="CO76" s="47" t="n">
        <f aca="false">-In_Lease*$F25*CO70*CO17*CO$6</f>
        <v>-63.2826443963507</v>
      </c>
      <c r="CP76" s="47" t="n">
        <f aca="false">-In_Lease*$F25*CP70*CP17*CP$6</f>
        <v>-63.2826443963507</v>
      </c>
      <c r="CQ76" s="47" t="n">
        <f aca="false">-In_Lease*$F25*CQ70*CQ17*CQ$6</f>
        <v>-64.1596593051045</v>
      </c>
      <c r="CR76" s="47" t="n">
        <f aca="false">-In_Lease*$F25*CR70*CR17*CR$6</f>
        <v>-64.1596593051045</v>
      </c>
      <c r="CS76" s="47" t="n">
        <f aca="false">-In_Lease*$F25*CS70*CS17*CS$6</f>
        <v>-64.8647105062595</v>
      </c>
      <c r="CT76" s="47" t="n">
        <f aca="false">-In_Lease*$F25*CT70*CT17*CT$6</f>
        <v>-64.8647105062595</v>
      </c>
      <c r="CU76" s="47" t="n">
        <f aca="false">-In_Lease*$F25*CU70*CU17*CU$6</f>
        <v>-65.0409733065482</v>
      </c>
      <c r="CV76" s="47" t="n">
        <f aca="false">-In_Lease*$F25*CV70*CV17*CV$6</f>
        <v>-65.7636507877321</v>
      </c>
      <c r="CW76" s="47" t="n">
        <f aca="false">-In_Lease*$F25*CW70*CW17*CW$6</f>
        <v>-66.486328268916</v>
      </c>
      <c r="CX76" s="47" t="n">
        <f aca="false">-In_Lease*$F25*CX70*CX17*CX$6</f>
        <v>-66.486328268916</v>
      </c>
      <c r="CY76" s="47" t="n">
        <f aca="false">-In_Lease*$F25*CY70*CY17*CY$6</f>
        <v>-66.6669976392119</v>
      </c>
      <c r="CZ76" s="47" t="n">
        <f aca="false">-In_Lease*$F25*CZ70*CZ17*CZ$6</f>
        <v>-67.4077420574254</v>
      </c>
      <c r="DA76" s="47" t="n">
        <f aca="false">-In_Lease*$F25*DA70*DA17*DA$6</f>
        <v>-68.1484864756389</v>
      </c>
      <c r="DB76" s="47" t="n">
        <f aca="false">-In_Lease*$F25*DB70*DB17*DB$6</f>
        <v>-68.1484864756389</v>
      </c>
      <c r="DC76" s="47" t="n">
        <f aca="false">-In_Lease*$F25*DC70*DC17*DC$6</f>
        <v>-68.3336725801922</v>
      </c>
      <c r="DD76" s="47" t="n">
        <f aca="false">-In_Lease*$F25*DD70*DD17*DD$6</f>
        <v>-69.0929356088611</v>
      </c>
      <c r="DE76" s="47" t="n">
        <f aca="false">-In_Lease*$F25*DE70*DE17*DE$6</f>
        <v>-69.8521986375299</v>
      </c>
      <c r="DF76" s="47" t="n">
        <f aca="false">-In_Lease*$F25*DF70*DF17*DF$6</f>
        <v>-69.8521986375299</v>
      </c>
      <c r="DG76" s="47" t="n">
        <f aca="false">-In_Lease*$F25*DG70*DG17*DG$6</f>
        <v>-70.8202589990826</v>
      </c>
      <c r="DH76" s="47" t="n">
        <f aca="false">-In_Lease*$F25*DH70*DH17*DH$6</f>
        <v>-70.8202589990826</v>
      </c>
      <c r="DI76" s="47" t="n">
        <f aca="false">-In_Lease*$F25*DI70*DI17*DI$6</f>
        <v>-71.5985036034681</v>
      </c>
      <c r="DJ76" s="47" t="n">
        <f aca="false">-In_Lease*$F25*DJ70*DJ17*DJ$6</f>
        <v>-71.5985036034681</v>
      </c>
      <c r="DK76" s="47" t="n">
        <f aca="false">-In_Lease*$F25*DK70*DK17*DK$6</f>
        <v>-71.7930647545645</v>
      </c>
      <c r="DL76" s="47" t="n">
        <f aca="false">-In_Lease*$F25*DL70*DL17*DL$6</f>
        <v>-72.5907654740596</v>
      </c>
      <c r="DM76" s="47" t="n">
        <f aca="false">-In_Lease*$F25*DM70*DM17*DM$6</f>
        <v>-73.3884661935548</v>
      </c>
      <c r="DN76" s="47" t="n">
        <f aca="false">-In_Lease*$F25*DN70*DN17*DN$6</f>
        <v>-73.3884661935548</v>
      </c>
      <c r="DO76" s="47" t="n">
        <f aca="false">-In_Lease*$F25*DO70*DO17*DO$6</f>
        <v>-73.5878913734286</v>
      </c>
      <c r="DP76" s="47" t="n">
        <f aca="false">-In_Lease*$F25*DP70*DP17*DP$6</f>
        <v>-74.4055346109111</v>
      </c>
      <c r="DQ76" s="47" t="n">
        <f aca="false">-In_Lease*$F25*DQ70*DQ17*DQ$6</f>
        <v>-75.2231778483937</v>
      </c>
      <c r="DR76" s="47" t="n">
        <f aca="false">-In_Lease*$F25*DR70*DR17*DR$6</f>
        <v>-75.2231778483937</v>
      </c>
      <c r="DS76" s="47" t="n">
        <f aca="false">-In_Lease*$F25*DS70*DS17*DS$6</f>
        <v>-75.4275886577643</v>
      </c>
      <c r="DT76" s="47" t="n">
        <f aca="false">-In_Lease*$F25*DT70*DT17*DT$6</f>
        <v>-76.2656729761839</v>
      </c>
      <c r="DU76" s="47" t="n">
        <f aca="false">-In_Lease*$F25*DU70*DU17*DU$6</f>
        <v>-77.1037572946035</v>
      </c>
      <c r="DV76" s="47" t="n">
        <f aca="false">-In_Lease*$F25*DV70*DV17*DV$6</f>
        <v>-77.1037572946035</v>
      </c>
      <c r="DW76" s="47" t="n">
        <f aca="false">-In_Lease*$F25*DW70*DW17*DW$6</f>
        <v>-78.1723148005885</v>
      </c>
      <c r="DX76" s="47" t="n">
        <f aca="false">-In_Lease*$F25*DX70*DX17*DX$6</f>
        <v>-78.1723148005885</v>
      </c>
      <c r="DY76" s="47" t="n">
        <f aca="false">-In_Lease*$F25*DY70*DY17*DY$6</f>
        <v>-79.0313512269686</v>
      </c>
      <c r="DZ76" s="47" t="n">
        <f aca="false">-In_Lease*$F25*DZ70*DZ17*DZ$6</f>
        <v>-79.0313512269686</v>
      </c>
      <c r="EA76" s="47" t="n">
        <f aca="false">-In_Lease*$F25*EA70*EA17*EA$6</f>
        <v>-79.2461103335636</v>
      </c>
      <c r="EB76" s="47" t="n">
        <f aca="false">-In_Lease*$F25*EB70*EB17*EB$6</f>
        <v>-80.1266226706032</v>
      </c>
      <c r="EC76" s="47" t="n">
        <f aca="false">-In_Lease*$F25*EC70*EC17*EC$6</f>
        <v>-81.0071350076428</v>
      </c>
      <c r="ED76" s="47" t="n">
        <f aca="false">-In_Lease*$F25*ED70*ED17*ED$6</f>
        <v>-81.0071350076428</v>
      </c>
      <c r="EE76" s="47" t="n">
        <f aca="false">-In_Lease*$F25*EE70*EE17*EE$6</f>
        <v>-81.2272630919027</v>
      </c>
      <c r="EF76" s="47" t="n">
        <f aca="false">-In_Lease*$F25*EF70*EF17*EF$6</f>
        <v>-82.1297882373683</v>
      </c>
      <c r="EG76" s="47" t="n">
        <f aca="false">-In_Lease*$F25*EG70*EG17*EG$6</f>
        <v>-83.0323133828338</v>
      </c>
      <c r="EH76" s="47" t="n">
        <f aca="false">-In_Lease*$F25*EH70*EH17*EH$6</f>
        <v>-83.0323133828338</v>
      </c>
      <c r="EI76" s="47" t="n">
        <f aca="false">-In_Lease*$F25*EI70*EI17*EI$6</f>
        <v>-83.2579446692002</v>
      </c>
      <c r="EJ76" s="47" t="n">
        <f aca="false">-In_Lease*$F25*EJ70*EJ17*EJ$6</f>
        <v>-84.1830329433024</v>
      </c>
      <c r="EK76" s="47" t="n">
        <f aca="false">-In_Lease*$F25*EK70*EK17*EK$6</f>
        <v>-85.1081212174047</v>
      </c>
      <c r="EL76" s="47" t="n">
        <f aca="false">-In_Lease*$F25*EL70*EL17*EL$6</f>
        <v>-85.1081212174047</v>
      </c>
      <c r="EM76" s="47" t="n">
        <f aca="false">-In_Lease*$F25*EM70*EM17*EM$6</f>
        <v>-86.287608766885</v>
      </c>
      <c r="EN76" s="47" t="n">
        <f aca="false">-In_Lease*$F25*EN70*EN17*EN$6</f>
        <v>-86.287608766885</v>
      </c>
      <c r="EO76" s="47" t="n">
        <f aca="false">-In_Lease*$F25*EO70*EO17*EO$6</f>
        <v>-87.2358242478398</v>
      </c>
    </row>
    <row r="77" customFormat="false" ht="15" hidden="false" customHeight="false" outlineLevel="0" collapsed="false">
      <c r="C77" s="0" t="s">
        <v>445</v>
      </c>
      <c r="D77" s="11" t="s">
        <v>33</v>
      </c>
      <c r="I77" s="47" t="n">
        <f aca="false">SUM(J77:EO77)</f>
        <v>-10098.0650826636</v>
      </c>
      <c r="J77" s="47" t="n">
        <f aca="false">-J73*(In_MEKH+In_HIPA+In_Innovation)</f>
        <v>-0</v>
      </c>
      <c r="K77" s="47" t="n">
        <f aca="false">-K73*(In_MEKH+In_HIPA+In_Innovation)</f>
        <v>-0</v>
      </c>
      <c r="L77" s="47" t="n">
        <f aca="false">-L73*(In_MEKH+In_HIPA+In_Innovation)</f>
        <v>-0</v>
      </c>
      <c r="M77" s="47" t="n">
        <f aca="false">-M73*(In_MEKH+In_HIPA+In_Innovation)</f>
        <v>-0</v>
      </c>
      <c r="N77" s="47" t="n">
        <f aca="false">-N73*(In_MEKH+In_HIPA+In_Innovation)</f>
        <v>-0</v>
      </c>
      <c r="O77" s="47" t="n">
        <f aca="false">-O73*(In_MEKH+In_HIPA+In_Innovation)</f>
        <v>-0</v>
      </c>
      <c r="P77" s="47" t="n">
        <f aca="false">-P73*(In_MEKH+In_HIPA+In_Innovation)</f>
        <v>-0</v>
      </c>
      <c r="Q77" s="47" t="n">
        <f aca="false">-Q73*(In_MEKH+In_HIPA+In_Innovation)</f>
        <v>-0</v>
      </c>
      <c r="R77" s="47" t="n">
        <f aca="false">-R73*(In_MEKH+In_HIPA+In_Innovation)</f>
        <v>-0</v>
      </c>
      <c r="S77" s="47" t="n">
        <f aca="false">-S73*(In_MEKH+In_HIPA+In_Innovation)</f>
        <v>-0</v>
      </c>
      <c r="T77" s="47" t="n">
        <f aca="false">-T73*(In_MEKH+In_HIPA+In_Innovation)</f>
        <v>-0</v>
      </c>
      <c r="U77" s="47" t="n">
        <f aca="false">-U73*(In_MEKH+In_HIPA+In_Innovation)</f>
        <v>-0</v>
      </c>
      <c r="V77" s="47" t="n">
        <f aca="false">-V73*(In_MEKH+In_HIPA+In_Innovation)</f>
        <v>-0</v>
      </c>
      <c r="W77" s="47" t="n">
        <f aca="false">-W73*(In_MEKH+In_HIPA+In_Innovation)</f>
        <v>-0</v>
      </c>
      <c r="X77" s="47" t="n">
        <f aca="false">-X73*(In_MEKH+In_HIPA+In_Innovation)</f>
        <v>-0</v>
      </c>
      <c r="Y77" s="47" t="n">
        <f aca="false">-Y73*(In_MEKH+In_HIPA+In_Innovation)</f>
        <v>-0</v>
      </c>
      <c r="Z77" s="47" t="n">
        <f aca="false">-Z73*(In_MEKH+In_HIPA+In_Innovation)</f>
        <v>-75.950784</v>
      </c>
      <c r="AA77" s="47" t="n">
        <f aca="false">-AA73*(In_MEKH+In_HIPA+In_Innovation)</f>
        <v>-75.0426768</v>
      </c>
      <c r="AB77" s="47" t="n">
        <f aca="false">-AB73*(In_MEKH+In_HIPA+In_Innovation)</f>
        <v>-75.87648432</v>
      </c>
      <c r="AC77" s="47" t="n">
        <f aca="false">-AC73*(In_MEKH+In_HIPA+In_Innovation)</f>
        <v>-76.71029184</v>
      </c>
      <c r="AD77" s="47" t="n">
        <f aca="false">-AD73*(In_MEKH+In_HIPA+In_Innovation)</f>
        <v>-76.48016096448</v>
      </c>
      <c r="AE77" s="47" t="n">
        <f aca="false">-AE73*(In_MEKH+In_HIPA+In_Innovation)</f>
        <v>-76.4053434157104</v>
      </c>
      <c r="AF77" s="47" t="n">
        <f aca="false">-AF73*(In_MEKH+In_HIPA+In_Innovation)</f>
        <v>-76.4053434157104</v>
      </c>
      <c r="AG77" s="47" t="n">
        <f aca="false">-AG73*(In_MEKH+In_HIPA+In_Innovation)</f>
        <v>-77.2449625741248</v>
      </c>
      <c r="AH77" s="47" t="n">
        <f aca="false">-AH73*(In_MEKH+In_HIPA+In_Innovation)</f>
        <v>-77.0132276864024</v>
      </c>
      <c r="AI77" s="47" t="n">
        <f aca="false">-AI73*(In_MEKH+In_HIPA+In_Innovation)</f>
        <v>-76.0924173553694</v>
      </c>
      <c r="AJ77" s="47" t="n">
        <f aca="false">-AJ73*(In_MEKH+In_HIPA+In_Innovation)</f>
        <v>-76.9378886593179</v>
      </c>
      <c r="AK77" s="47" t="n">
        <f aca="false">-AK73*(In_MEKH+In_HIPA+In_Innovation)</f>
        <v>-77.7833599632665</v>
      </c>
      <c r="AL77" s="47" t="n">
        <f aca="false">-AL73*(In_MEKH+In_HIPA+In_Innovation)</f>
        <v>-77.5500098833767</v>
      </c>
      <c r="AM77" s="47" t="n">
        <f aca="false">-AM73*(In_MEKH+In_HIPA+In_Innovation)</f>
        <v>-76.6227815043363</v>
      </c>
      <c r="AN77" s="47" t="n">
        <f aca="false">-AN73*(In_MEKH+In_HIPA+In_Innovation)</f>
        <v>-77.4741457432734</v>
      </c>
      <c r="AO77" s="47" t="n">
        <f aca="false">-AO73*(In_MEKH+In_HIPA+In_Innovation)</f>
        <v>-78.3255099822104</v>
      </c>
      <c r="AP77" s="47" t="n">
        <f aca="false">-AP73*(In_MEKH+In_HIPA+In_Innovation)</f>
        <v>-78.0905334522638</v>
      </c>
      <c r="AQ77" s="47" t="n">
        <f aca="false">-AQ73*(In_MEKH+In_HIPA+In_Innovation)</f>
        <v>-77.1568422914215</v>
      </c>
      <c r="AR77" s="47" t="n">
        <f aca="false">-AR73*(In_MEKH+In_HIPA+In_Innovation)</f>
        <v>-78.014140539104</v>
      </c>
      <c r="AS77" s="47" t="n">
        <f aca="false">-AS73*(In_MEKH+In_HIPA+In_Innovation)</f>
        <v>-78.8714387867865</v>
      </c>
      <c r="AT77" s="47" t="n">
        <f aca="false">-AT73*(In_MEKH+In_HIPA+In_Innovation)</f>
        <v>-78.6348244704261</v>
      </c>
      <c r="AU77" s="47" t="n">
        <f aca="false">-AU73*(In_MEKH+In_HIPA+In_Innovation)</f>
        <v>-78.5578990986615</v>
      </c>
      <c r="AV77" s="47" t="n">
        <f aca="false">-AV73*(In_MEKH+In_HIPA+In_Innovation)</f>
        <v>-78.5578990986615</v>
      </c>
      <c r="AW77" s="47" t="n">
        <f aca="false">-AW73*(In_MEKH+In_HIPA+In_Innovation)</f>
        <v>-79.4211727151304</v>
      </c>
      <c r="AX77" s="47" t="n">
        <f aca="false">-AX73*(In_MEKH+In_HIPA+In_Innovation)</f>
        <v>-79.182909196985</v>
      </c>
      <c r="AY77" s="47" t="n">
        <f aca="false">-AY73*(In_MEKH+In_HIPA+In_Innovation)</f>
        <v>-78.2361570218036</v>
      </c>
      <c r="AZ77" s="47" t="n">
        <f aca="false">-AZ73*(In_MEKH+In_HIPA+In_Innovation)</f>
        <v>-79.1054476553792</v>
      </c>
      <c r="BA77" s="47" t="n">
        <f aca="false">-BA73*(In_MEKH+In_HIPA+In_Innovation)</f>
        <v>-79.9747382889548</v>
      </c>
      <c r="BB77" s="47" t="n">
        <f aca="false">-BB73*(In_MEKH+In_HIPA+In_Innovation)</f>
        <v>-79.7348140740879</v>
      </c>
      <c r="BC77" s="47" t="n">
        <f aca="false">-BC73*(In_MEKH+In_HIPA+In_Innovation)</f>
        <v>-78.7814630362456</v>
      </c>
      <c r="BD77" s="47" t="n">
        <f aca="false">-BD73*(In_MEKH+In_HIPA+In_Innovation)</f>
        <v>-79.6568126255372</v>
      </c>
      <c r="BE77" s="47" t="n">
        <f aca="false">-BE73*(In_MEKH+In_HIPA+In_Innovation)</f>
        <v>-80.5321622148288</v>
      </c>
      <c r="BF77" s="47" t="n">
        <f aca="false">-BF73*(In_MEKH+In_HIPA+In_Innovation)</f>
        <v>-80.2905657281844</v>
      </c>
      <c r="BG77" s="47" t="n">
        <f aca="false">-BG73*(In_MEKH+In_HIPA+In_Innovation)</f>
        <v>-79.3305698336082</v>
      </c>
      <c r="BH77" s="47" t="n">
        <f aca="false">-BH73*(In_MEKH+In_HIPA+In_Innovation)</f>
        <v>-80.2120206095372</v>
      </c>
      <c r="BI77" s="47" t="n">
        <f aca="false">-BI73*(In_MEKH+In_HIPA+In_Innovation)</f>
        <v>-81.0934713854662</v>
      </c>
      <c r="BJ77" s="47" t="n">
        <f aca="false">-BJ73*(In_MEKH+In_HIPA+In_Innovation)</f>
        <v>-80.8501909713098</v>
      </c>
      <c r="BK77" s="47" t="n">
        <f aca="false">-BK73*(In_MEKH+In_HIPA+In_Innovation)</f>
        <v>-80.7710983931857</v>
      </c>
      <c r="BL77" s="47" t="n">
        <f aca="false">-BL73*(In_MEKH+In_HIPA+In_Innovation)</f>
        <v>-80.7710983931857</v>
      </c>
      <c r="BM77" s="47" t="n">
        <f aca="false">-BM73*(In_MEKH+In_HIPA+In_Innovation)</f>
        <v>-81.6586928810229</v>
      </c>
      <c r="BN77" s="47" t="n">
        <f aca="false">-BN73*(In_MEKH+In_HIPA+In_Innovation)</f>
        <v>-81.4137168023798</v>
      </c>
      <c r="BO77" s="47" t="n">
        <f aca="false">-BO73*(In_MEKH+In_HIPA+In_Innovation)</f>
        <v>-80.4402919275687</v>
      </c>
      <c r="BP77" s="47" t="n">
        <f aca="false">-BP73*(In_MEKH+In_HIPA+In_Innovation)</f>
        <v>-81.3340729489862</v>
      </c>
      <c r="BQ77" s="47" t="n">
        <f aca="false">-BQ73*(In_MEKH+In_HIPA+In_Innovation)</f>
        <v>-82.2278539704036</v>
      </c>
      <c r="BR77" s="47" t="n">
        <f aca="false">-BR73*(In_MEKH+In_HIPA+In_Innovation)</f>
        <v>-81.9811704084924</v>
      </c>
      <c r="BS77" s="47" t="n">
        <f aca="false">-BS73*(In_MEKH+In_HIPA+In_Innovation)</f>
        <v>-81.0009607623039</v>
      </c>
      <c r="BT77" s="47" t="n">
        <f aca="false">-BT73*(In_MEKH+In_HIPA+In_Innovation)</f>
        <v>-81.9009714374406</v>
      </c>
      <c r="BU77" s="47" t="n">
        <f aca="false">-BU73*(In_MEKH+In_HIPA+In_Innovation)</f>
        <v>-82.8009821125773</v>
      </c>
      <c r="BV77" s="47" t="n">
        <f aca="false">-BV73*(In_MEKH+In_HIPA+In_Innovation)</f>
        <v>-82.5525791662396</v>
      </c>
      <c r="BW77" s="47" t="n">
        <f aca="false">-BW73*(In_MEKH+In_HIPA+In_Innovation)</f>
        <v>-81.5655374588172</v>
      </c>
      <c r="BX77" s="47" t="n">
        <f aca="false">-BX73*(In_MEKH+In_HIPA+In_Innovation)</f>
        <v>-82.4718212083596</v>
      </c>
      <c r="BY77" s="47" t="n">
        <f aca="false">-BY73*(In_MEKH+In_HIPA+In_Innovation)</f>
        <v>-83.378104957902</v>
      </c>
      <c r="BZ77" s="47" t="n">
        <f aca="false">-BZ73*(In_MEKH+In_HIPA+In_Innovation)</f>
        <v>-83.1279706430283</v>
      </c>
      <c r="CA77" s="47" t="n">
        <f aca="false">-CA73*(In_MEKH+In_HIPA+In_Innovation)</f>
        <v>-83.0466498021818</v>
      </c>
      <c r="CB77" s="47" t="n">
        <f aca="false">-CB73*(In_MEKH+In_HIPA+In_Innovation)</f>
        <v>-83.0466498021818</v>
      </c>
      <c r="CC77" s="47" t="n">
        <f aca="false">-CC73*(In_MEKH+In_HIPA+In_Innovation)</f>
        <v>-83.9592503494586</v>
      </c>
      <c r="CD77" s="47" t="n">
        <f aca="false">-CD73*(In_MEKH+In_HIPA+In_Innovation)</f>
        <v>-83.7073725984102</v>
      </c>
      <c r="CE77" s="47" t="n">
        <f aca="false">-CE73*(In_MEKH+In_HIPA+In_Innovation)</f>
        <v>-82.7065235782118</v>
      </c>
      <c r="CF77" s="47" t="n">
        <f aca="false">-CF73*(In_MEKH+In_HIPA+In_Innovation)</f>
        <v>-83.625484951303</v>
      </c>
      <c r="CG77" s="47" t="n">
        <f aca="false">-CG73*(In_MEKH+In_HIPA+In_Innovation)</f>
        <v>-84.5444463243943</v>
      </c>
      <c r="CH77" s="47" t="n">
        <f aca="false">-CH73*(In_MEKH+In_HIPA+In_Innovation)</f>
        <v>-84.2908129854211</v>
      </c>
      <c r="CI77" s="47" t="n">
        <f aca="false">-CI73*(In_MEKH+In_HIPA+In_Innovation)</f>
        <v>-83.2829880475519</v>
      </c>
      <c r="CJ77" s="47" t="n">
        <f aca="false">-CJ73*(In_MEKH+In_HIPA+In_Innovation)</f>
        <v>-84.2083545814136</v>
      </c>
      <c r="CK77" s="47" t="n">
        <f aca="false">-CK73*(In_MEKH+In_HIPA+In_Innovation)</f>
        <v>-85.1337211152753</v>
      </c>
      <c r="CL77" s="47" t="n">
        <f aca="false">-CL73*(In_MEKH+In_HIPA+In_Innovation)</f>
        <v>-84.8783199519295</v>
      </c>
      <c r="CM77" s="47" t="n">
        <f aca="false">-CM73*(In_MEKH+In_HIPA+In_Innovation)</f>
        <v>-83.8634704742434</v>
      </c>
      <c r="CN77" s="47" t="n">
        <f aca="false">-CN73*(In_MEKH+In_HIPA+In_Innovation)</f>
        <v>-84.7952868128461</v>
      </c>
      <c r="CO77" s="47" t="n">
        <f aca="false">-CO73*(In_MEKH+In_HIPA+In_Innovation)</f>
        <v>-85.7271031514488</v>
      </c>
      <c r="CP77" s="47" t="n">
        <f aca="false">-CP73*(In_MEKH+In_HIPA+In_Innovation)</f>
        <v>-85.4699218419945</v>
      </c>
      <c r="CQ77" s="47" t="n">
        <f aca="false">-CQ73*(In_MEKH+In_HIPA+In_Innovation)</f>
        <v>-85.3863099619316</v>
      </c>
      <c r="CR77" s="47" t="n">
        <f aca="false">-CR73*(In_MEKH+In_HIPA+In_Innovation)</f>
        <v>-85.3863099619316</v>
      </c>
      <c r="CS77" s="47" t="n">
        <f aca="false">-CS73*(In_MEKH+In_HIPA+In_Innovation)</f>
        <v>-86.3246210604144</v>
      </c>
      <c r="CT77" s="47" t="n">
        <f aca="false">-CT73*(In_MEKH+In_HIPA+In_Innovation)</f>
        <v>-86.0656471972332</v>
      </c>
      <c r="CU77" s="47" t="n">
        <f aca="false">-CU73*(In_MEKH+In_HIPA+In_Innovation)</f>
        <v>-85.0366014155271</v>
      </c>
      <c r="CV77" s="47" t="n">
        <f aca="false">-CV73*(In_MEKH+In_HIPA+In_Innovation)</f>
        <v>-85.9814525423663</v>
      </c>
      <c r="CW77" s="47" t="n">
        <f aca="false">-CW73*(In_MEKH+In_HIPA+In_Innovation)</f>
        <v>-86.9263036692055</v>
      </c>
      <c r="CX77" s="47" t="n">
        <f aca="false">-CX73*(In_MEKH+In_HIPA+In_Innovation)</f>
        <v>-86.6655247581979</v>
      </c>
      <c r="CY77" s="47" t="n">
        <f aca="false">-CY73*(In_MEKH+In_HIPA+In_Innovation)</f>
        <v>-85.6293065273933</v>
      </c>
      <c r="CZ77" s="47" t="n">
        <f aca="false">-CZ73*(In_MEKH+In_HIPA+In_Innovation)</f>
        <v>-86.5807432665866</v>
      </c>
      <c r="DA77" s="47" t="n">
        <f aca="false">-DA73*(In_MEKH+In_HIPA+In_Innovation)</f>
        <v>-87.5321800057799</v>
      </c>
      <c r="DB77" s="47" t="n">
        <f aca="false">-DB73*(In_MEKH+In_HIPA+In_Innovation)</f>
        <v>-87.2695834657625</v>
      </c>
      <c r="DC77" s="47" t="n">
        <f aca="false">-DC73*(In_MEKH+In_HIPA+In_Innovation)</f>
        <v>-86.2261427938893</v>
      </c>
      <c r="DD77" s="47" t="n">
        <f aca="false">-DD73*(In_MEKH+In_HIPA+In_Innovation)</f>
        <v>-87.1842110471547</v>
      </c>
      <c r="DE77" s="47" t="n">
        <f aca="false">-DE73*(In_MEKH+In_HIPA+In_Innovation)</f>
        <v>-88.1422793004201</v>
      </c>
      <c r="DF77" s="47" t="n">
        <f aca="false">-DF73*(In_MEKH+In_HIPA+In_Innovation)</f>
        <v>-87.8778524625189</v>
      </c>
      <c r="DG77" s="47" t="n">
        <f aca="false">-DG73*(In_MEKH+In_HIPA+In_Innovation)</f>
        <v>-87.7918849981534</v>
      </c>
      <c r="DH77" s="47" t="n">
        <f aca="false">-DH73*(In_MEKH+In_HIPA+In_Innovation)</f>
        <v>-87.7918849981534</v>
      </c>
      <c r="DI77" s="47" t="n">
        <f aca="false">-DI73*(In_MEKH+In_HIPA+In_Innovation)</f>
        <v>-88.7566309871441</v>
      </c>
      <c r="DJ77" s="47" t="n">
        <f aca="false">-DJ73*(In_MEKH+In_HIPA+In_Innovation)</f>
        <v>-88.4903610941826</v>
      </c>
      <c r="DK77" s="47" t="n">
        <f aca="false">-DK73*(In_MEKH+In_HIPA+In_Innovation)</f>
        <v>-87.4323241680565</v>
      </c>
      <c r="DL77" s="47" t="n">
        <f aca="false">-DL73*(In_MEKH+In_HIPA+In_Innovation)</f>
        <v>-88.4037944365905</v>
      </c>
      <c r="DM77" s="47" t="n">
        <f aca="false">-DM73*(In_MEKH+In_HIPA+In_Innovation)</f>
        <v>-89.3752647051245</v>
      </c>
      <c r="DN77" s="47" t="n">
        <f aca="false">-DN73*(In_MEKH+In_HIPA+In_Innovation)</f>
        <v>-89.1071389110091</v>
      </c>
      <c r="DO77" s="47" t="n">
        <f aca="false">-DO73*(In_MEKH+In_HIPA+In_Innovation)</f>
        <v>-88.0417274675079</v>
      </c>
      <c r="DP77" s="47" t="n">
        <f aca="false">-DP73*(In_MEKH+In_HIPA+In_Innovation)</f>
        <v>-89.0199688838135</v>
      </c>
      <c r="DQ77" s="47" t="n">
        <f aca="false">-DQ73*(In_MEKH+In_HIPA+In_Innovation)</f>
        <v>-89.9982103001192</v>
      </c>
      <c r="DR77" s="47" t="n">
        <f aca="false">-DR73*(In_MEKH+In_HIPA+In_Innovation)</f>
        <v>-89.7282156692188</v>
      </c>
      <c r="DS77" s="47" t="n">
        <f aca="false">-DS73*(In_MEKH+In_HIPA+In_Innovation)</f>
        <v>-88.6553783079564</v>
      </c>
      <c r="DT77" s="47" t="n">
        <f aca="false">-DT73*(In_MEKH+In_HIPA+In_Innovation)</f>
        <v>-89.6404380669337</v>
      </c>
      <c r="DU77" s="47" t="n">
        <f aca="false">-DU73*(In_MEKH+In_HIPA+In_Innovation)</f>
        <v>-90.625497825911</v>
      </c>
      <c r="DV77" s="47" t="n">
        <f aca="false">-DV73*(In_MEKH+In_HIPA+In_Innovation)</f>
        <v>-90.3536213324333</v>
      </c>
      <c r="DW77" s="47" t="n">
        <f aca="false">-DW73*(In_MEKH+In_HIPA+In_Innovation)</f>
        <v>-90.2652319202602</v>
      </c>
      <c r="DX77" s="47" t="n">
        <f aca="false">-DX73*(In_MEKH+In_HIPA+In_Innovation)</f>
        <v>-90.2652319202602</v>
      </c>
      <c r="DY77" s="47" t="n">
        <f aca="false">-DY73*(In_MEKH+In_HIPA+In_Innovation)</f>
        <v>-91.2571575457576</v>
      </c>
      <c r="DZ77" s="47" t="n">
        <f aca="false">-DZ73*(In_MEKH+In_HIPA+In_Innovation)</f>
        <v>-90.9833860731203</v>
      </c>
      <c r="EA77" s="47" t="n">
        <f aca="false">-EA73*(In_MEKH+In_HIPA+In_Innovation)</f>
        <v>-89.8955412396374</v>
      </c>
      <c r="EB77" s="47" t="n">
        <f aca="false">-EB73*(In_MEKH+In_HIPA+In_Innovation)</f>
        <v>-90.8943805867445</v>
      </c>
      <c r="EC77" s="47" t="n">
        <f aca="false">-EC73*(In_MEKH+In_HIPA+In_Innovation)</f>
        <v>-91.8932199338516</v>
      </c>
      <c r="ED77" s="47" t="n">
        <f aca="false">-ED73*(In_MEKH+In_HIPA+In_Innovation)</f>
        <v>-91.61754027405</v>
      </c>
      <c r="EE77" s="47" t="n">
        <f aca="false">-EE73*(In_MEKH+In_HIPA+In_Innovation)</f>
        <v>-90.5221131620776</v>
      </c>
      <c r="EF77" s="47" t="n">
        <f aca="false">-EF73*(In_MEKH+In_HIPA+In_Innovation)</f>
        <v>-91.5279144194341</v>
      </c>
      <c r="EG77" s="47" t="n">
        <f aca="false">-EG73*(In_MEKH+In_HIPA+In_Innovation)</f>
        <v>-92.5337156767905</v>
      </c>
      <c r="EH77" s="47" t="n">
        <f aca="false">-EH73*(In_MEKH+In_HIPA+In_Innovation)</f>
        <v>-92.2561145297601</v>
      </c>
      <c r="EI77" s="47" t="n">
        <f aca="false">-EI73*(In_MEKH+In_HIPA+In_Innovation)</f>
        <v>-91.1530522908173</v>
      </c>
      <c r="EJ77" s="47" t="n">
        <f aca="false">-EJ73*(In_MEKH+In_HIPA+In_Innovation)</f>
        <v>-92.1658639829375</v>
      </c>
      <c r="EK77" s="47" t="n">
        <f aca="false">-EK73*(In_MEKH+In_HIPA+In_Innovation)</f>
        <v>-93.1786756750577</v>
      </c>
      <c r="EL77" s="47" t="n">
        <f aca="false">-EL73*(In_MEKH+In_HIPA+In_Innovation)</f>
        <v>-92.8991396480325</v>
      </c>
      <c r="EM77" s="47" t="n">
        <f aca="false">-EM73*(In_MEKH+In_HIPA+In_Innovation)</f>
        <v>-92.8082600548986</v>
      </c>
      <c r="EN77" s="47" t="n">
        <f aca="false">-EN73*(In_MEKH+In_HIPA+In_Innovation)</f>
        <v>-92.8082600548986</v>
      </c>
      <c r="EO77" s="47" t="n">
        <f aca="false">-EO73*(In_MEKH+In_HIPA+In_Innovation)</f>
        <v>-93.8281310445129</v>
      </c>
    </row>
    <row r="78" customFormat="false" ht="15" hidden="false" customHeight="false" outlineLevel="0" collapsed="false">
      <c r="C78" s="0" t="s">
        <v>326</v>
      </c>
      <c r="D78" s="11" t="s">
        <v>33</v>
      </c>
      <c r="I78" s="47" t="n">
        <f aca="false">SUM(J78:EO78)</f>
        <v>-4936.62840952233</v>
      </c>
      <c r="J78" s="47" t="n">
        <f aca="false">In_Opex_Contingency*(J74+J75+J76-J73*In_MEKH)</f>
        <v>-0</v>
      </c>
      <c r="K78" s="47" t="n">
        <f aca="false">In_Opex_Contingency*(K74+K75+K76-K73*In_MEKH)</f>
        <v>-0</v>
      </c>
      <c r="L78" s="47" t="n">
        <f aca="false">In_Opex_Contingency*(L74+L75+L76-L73*In_MEKH)</f>
        <v>-0</v>
      </c>
      <c r="M78" s="47" t="n">
        <f aca="false">In_Opex_Contingency*(M74+M75+M76-M73*In_MEKH)</f>
        <v>-0</v>
      </c>
      <c r="N78" s="47" t="n">
        <f aca="false">In_Opex_Contingency*(N74+N75+N76-N73*In_MEKH)</f>
        <v>-0</v>
      </c>
      <c r="O78" s="47" t="n">
        <f aca="false">In_Opex_Contingency*(O74+O75+O76-O73*In_MEKH)</f>
        <v>-0</v>
      </c>
      <c r="P78" s="47" t="n">
        <f aca="false">In_Opex_Contingency*(P74+P75+P76-P73*In_MEKH)</f>
        <v>-0</v>
      </c>
      <c r="Q78" s="47" t="n">
        <f aca="false">In_Opex_Contingency*(Q74+Q75+Q76-Q73*In_MEKH)</f>
        <v>-0</v>
      </c>
      <c r="R78" s="47" t="n">
        <f aca="false">In_Opex_Contingency*(R74+R75+R76-R73*In_MEKH)</f>
        <v>-1.979252401946</v>
      </c>
      <c r="S78" s="47" t="n">
        <f aca="false">In_Opex_Contingency*(S74+S75+S76-S73*In_MEKH)</f>
        <v>-1.98463080521216</v>
      </c>
      <c r="T78" s="47" t="n">
        <f aca="false">In_Opex_Contingency*(T74+T75+T76-T73*In_MEKH)</f>
        <v>-2.00668225860341</v>
      </c>
      <c r="U78" s="47" t="n">
        <f aca="false">In_Opex_Contingency*(U74+U75+U76-U73*In_MEKH)</f>
        <v>-2.02873371199466</v>
      </c>
      <c r="V78" s="47" t="n">
        <f aca="false">In_Opex_Contingency*(V74+V75+V76-V73*In_MEKH)</f>
        <v>-2.02873371199466</v>
      </c>
      <c r="W78" s="47" t="n">
        <f aca="false">In_Opex_Contingency*(W74+W75+W76-W73*In_MEKH)</f>
        <v>-2.03424657534247</v>
      </c>
      <c r="X78" s="47" t="n">
        <f aca="false">In_Opex_Contingency*(X74+X75+X76-X73*In_MEKH)</f>
        <v>-2.05684931506849</v>
      </c>
      <c r="Y78" s="47" t="n">
        <f aca="false">In_Opex_Contingency*(Y74+Y75+Y76-Y73*In_MEKH)</f>
        <v>-2.07945205479452</v>
      </c>
      <c r="Z78" s="47" t="n">
        <f aca="false">In_Opex_Contingency*(Z74+Z75+Z76-Z73*In_MEKH)</f>
        <v>-28.1680088821918</v>
      </c>
      <c r="AA78" s="47" t="n">
        <f aca="false">In_Opex_Contingency*(AA74+AA75+AA76-AA73*In_MEKH)</f>
        <v>-28.242230519589</v>
      </c>
      <c r="AB78" s="47" t="n">
        <f aca="false">In_Opex_Contingency*(AB74+AB75+AB76-AB73*In_MEKH)</f>
        <v>-28.5560330809178</v>
      </c>
      <c r="AC78" s="47" t="n">
        <f aca="false">In_Opex_Contingency*(AC74+AC75+AC76-AC73*In_MEKH)</f>
        <v>-28.8698356422466</v>
      </c>
      <c r="AD78" s="47" t="n">
        <f aca="false">In_Opex_Contingency*(AD74+AD75+AD76-AD73*In_MEKH)</f>
        <v>-28.8423251079226</v>
      </c>
      <c r="AE78" s="47" t="n">
        <f aca="false">In_Opex_Contingency*(AE74+AE75+AE76-AE73*In_MEKH)</f>
        <v>-29.2396780867797</v>
      </c>
      <c r="AF78" s="47" t="n">
        <f aca="false">In_Opex_Contingency*(AF74+AF75+AF76-AF73*In_MEKH)</f>
        <v>-29.2396780867797</v>
      </c>
      <c r="AG78" s="47" t="n">
        <f aca="false">In_Opex_Contingency*(AG74+AG75+AG76-AG73*In_MEKH)</f>
        <v>-29.5609932305905</v>
      </c>
      <c r="AH78" s="47" t="n">
        <f aca="false">In_Opex_Contingency*(AH74+AH75+AH76-AH73*In_MEKH)</f>
        <v>-29.5328866978166</v>
      </c>
      <c r="AI78" s="47" t="n">
        <f aca="false">In_Opex_Contingency*(AI74+AI75+AI76-AI73*In_MEKH)</f>
        <v>-29.6107847627251</v>
      </c>
      <c r="AJ78" s="47" t="n">
        <f aca="false">In_Opex_Contingency*(AJ74+AJ75+AJ76-AJ73*In_MEKH)</f>
        <v>-29.9397934823109</v>
      </c>
      <c r="AK78" s="47" t="n">
        <f aca="false">In_Opex_Contingency*(AK74+AK75+AK76-AK73*In_MEKH)</f>
        <v>-30.2688022018968</v>
      </c>
      <c r="AL78" s="47" t="n">
        <f aca="false">In_Opex_Contingency*(AL74+AL75+AL76-AL73*In_MEKH)</f>
        <v>-30.2400866533818</v>
      </c>
      <c r="AM78" s="47" t="n">
        <f aca="false">In_Opex_Contingency*(AM74+AM75+AM76-AM73*In_MEKH)</f>
        <v>-30.3198900475182</v>
      </c>
      <c r="AN78" s="47" t="n">
        <f aca="false">In_Opex_Contingency*(AN74+AN75+AN76-AN73*In_MEKH)</f>
        <v>-30.6567777147129</v>
      </c>
      <c r="AO78" s="47" t="n">
        <f aca="false">In_Opex_Contingency*(AO74+AO75+AO76-AO73*In_MEKH)</f>
        <v>-30.9936653819075</v>
      </c>
      <c r="AP78" s="47" t="n">
        <f aca="false">In_Opex_Contingency*(AP74+AP75+AP76-AP73*In_MEKH)</f>
        <v>-30.9643275153048</v>
      </c>
      <c r="AQ78" s="47" t="n">
        <f aca="false">In_Opex_Contingency*(AQ74+AQ75+AQ76-AQ73*In_MEKH)</f>
        <v>-31.0460824311036</v>
      </c>
      <c r="AR78" s="47" t="n">
        <f aca="false">In_Opex_Contingency*(AR74+AR75+AR76-AR73*In_MEKH)</f>
        <v>-31.3910389025603</v>
      </c>
      <c r="AS78" s="47" t="n">
        <f aca="false">In_Opex_Contingency*(AS74+AS75+AS76-AS73*In_MEKH)</f>
        <v>-31.735995374017</v>
      </c>
      <c r="AT78" s="47" t="n">
        <f aca="false">In_Opex_Contingency*(AT74+AT75+AT76-AT73*In_MEKH)</f>
        <v>-31.7060215956766</v>
      </c>
      <c r="AU78" s="47" t="n">
        <f aca="false">In_Opex_Contingency*(AU74+AU75+AU76-AU73*In_MEKH)</f>
        <v>-32.1429950712461</v>
      </c>
      <c r="AV78" s="47" t="n">
        <f aca="false">In_Opex_Contingency*(AV74+AV75+AV76-AV73*In_MEKH)</f>
        <v>-32.1429950712461</v>
      </c>
      <c r="AW78" s="47" t="n">
        <f aca="false">In_Opex_Contingency*(AW74+AW75+AW76-AW73*In_MEKH)</f>
        <v>-32.4962147973038</v>
      </c>
      <c r="AX78" s="47" t="n">
        <f aca="false">In_Opex_Contingency*(AX74+AX75+AX76-AX73*In_MEKH)</f>
        <v>-32.465591215888</v>
      </c>
      <c r="AY78" s="47" t="n">
        <f aca="false">In_Opex_Contingency*(AY74+AY75+AY76-AY73*In_MEKH)</f>
        <v>-32.5513922579734</v>
      </c>
      <c r="AZ78" s="47" t="n">
        <f aca="false">In_Opex_Contingency*(AZ74+AZ75+AZ76-AZ73*In_MEKH)</f>
        <v>-32.9130743941731</v>
      </c>
      <c r="BA78" s="47" t="n">
        <f aca="false">In_Opex_Contingency*(BA74+BA75+BA76-BA73*In_MEKH)</f>
        <v>-33.2747565303728</v>
      </c>
      <c r="BB78" s="47" t="n">
        <f aca="false">In_Opex_Contingency*(BB74+BB75+BB76-BB73*In_MEKH)</f>
        <v>-33.2434689503322</v>
      </c>
      <c r="BC78" s="47" t="n">
        <f aca="false">In_Opex_Contingency*(BC74+BC75+BC76-BC73*In_MEKH)</f>
        <v>-33.331366918517</v>
      </c>
      <c r="BD78" s="47" t="n">
        <f aca="false">In_Opex_Contingency*(BD74+BD75+BD76-BD73*In_MEKH)</f>
        <v>-33.7017154398339</v>
      </c>
      <c r="BE78" s="47" t="n">
        <f aca="false">In_Opex_Contingency*(BE74+BE75+BE76-BE73*In_MEKH)</f>
        <v>-34.0720639611507</v>
      </c>
      <c r="BF78" s="47" t="n">
        <f aca="false">In_Opex_Contingency*(BF74+BF75+BF76-BF73*In_MEKH)</f>
        <v>-34.0400978760566</v>
      </c>
      <c r="BG78" s="47" t="n">
        <f aca="false">In_Opex_Contingency*(BG74+BG75+BG76-BG73*In_MEKH)</f>
        <v>-34.1301436070664</v>
      </c>
      <c r="BH78" s="47" t="n">
        <f aca="false">In_Opex_Contingency*(BH74+BH75+BH76-BH73*In_MEKH)</f>
        <v>-34.5093674249227</v>
      </c>
      <c r="BI78" s="47" t="n">
        <f aca="false">In_Opex_Contingency*(BI74+BI75+BI76-BI73*In_MEKH)</f>
        <v>-34.888591242779</v>
      </c>
      <c r="BJ78" s="47" t="n">
        <f aca="false">In_Opex_Contingency*(BJ74+BJ75+BJ76-BJ73*In_MEKH)</f>
        <v>-34.8559318285097</v>
      </c>
      <c r="BK78" s="47" t="n">
        <f aca="false">In_Opex_Contingency*(BK74+BK75+BK76-BK73*In_MEKH)</f>
        <v>-35.3364904736268</v>
      </c>
      <c r="BL78" s="47" t="n">
        <f aca="false">In_Opex_Contingency*(BL74+BL75+BL76-BL73*In_MEKH)</f>
        <v>-35.3364904736268</v>
      </c>
      <c r="BM78" s="47" t="n">
        <f aca="false">In_Opex_Contingency*(BM74+BM75+BM76-BM73*In_MEKH)</f>
        <v>-35.7248035557546</v>
      </c>
      <c r="BN78" s="47" t="n">
        <f aca="false">In_Opex_Contingency*(BN74+BN75+BN76-BN73*In_MEKH)</f>
        <v>-35.6914356635328</v>
      </c>
      <c r="BO78" s="47" t="n">
        <f aca="false">In_Opex_Contingency*(BO74+BO75+BO76-BO73*In_MEKH)</f>
        <v>-35.785934390026</v>
      </c>
      <c r="BP78" s="47" t="n">
        <f aca="false">In_Opex_Contingency*(BP74+BP75+BP76-BP73*In_MEKH)</f>
        <v>-36.1835558832485</v>
      </c>
      <c r="BQ78" s="47" t="n">
        <f aca="false">In_Opex_Contingency*(BQ74+BQ75+BQ76-BQ73*In_MEKH)</f>
        <v>-36.5811773764711</v>
      </c>
      <c r="BR78" s="47" t="n">
        <f aca="false">In_Opex_Contingency*(BR74+BR75+BR76-BR73*In_MEKH)</f>
        <v>-36.5470855257483</v>
      </c>
      <c r="BS78" s="47" t="n">
        <f aca="false">In_Opex_Contingency*(BS74+BS75+BS76-BS73*In_MEKH)</f>
        <v>-36.6438920403098</v>
      </c>
      <c r="BT78" s="47" t="n">
        <f aca="false">In_Opex_Contingency*(BT74+BT75+BT76-BT73*In_MEKH)</f>
        <v>-37.0510463963133</v>
      </c>
      <c r="BU78" s="47" t="n">
        <f aca="false">In_Opex_Contingency*(BU74+BU75+BU76-BU73*In_MEKH)</f>
        <v>-37.4582007523167</v>
      </c>
      <c r="BV78" s="47" t="n">
        <f aca="false">In_Opex_Contingency*(BV74+BV75+BV76-BV73*In_MEKH)</f>
        <v>-37.4233691235016</v>
      </c>
      <c r="BW78" s="47" t="n">
        <f aca="false">In_Opex_Contingency*(BW74+BW75+BW76-BW73*In_MEKH)</f>
        <v>-37.5225393751534</v>
      </c>
      <c r="BX78" s="47" t="n">
        <f aca="false">In_Opex_Contingency*(BX74+BX75+BX76-BX73*In_MEKH)</f>
        <v>-37.9394564793218</v>
      </c>
      <c r="BY78" s="47" t="n">
        <f aca="false">In_Opex_Contingency*(BY74+BY75+BY76-BY73*In_MEKH)</f>
        <v>-38.3563735834902</v>
      </c>
      <c r="BZ78" s="47" t="n">
        <f aca="false">In_Opex_Contingency*(BZ74+BZ75+BZ76-BZ73*In_MEKH)</f>
        <v>-38.3207860105176</v>
      </c>
      <c r="CA78" s="47" t="n">
        <f aca="false">In_Opex_Contingency*(CA74+CA75+CA76-CA73*In_MEKH)</f>
        <v>-38.8492926083099</v>
      </c>
      <c r="CB78" s="47" t="n">
        <f aca="false">In_Opex_Contingency*(CB74+CB75+CB76-CB73*In_MEKH)</f>
        <v>-38.8492926083099</v>
      </c>
      <c r="CC78" s="47" t="n">
        <f aca="false">In_Opex_Contingency*(CC74+CC75+CC76-CC73*In_MEKH)</f>
        <v>-39.2762079116979</v>
      </c>
      <c r="CD78" s="47" t="n">
        <f aca="false">In_Opex_Contingency*(CD74+CD75+CD76-CD73*In_MEKH)</f>
        <v>-39.2398478744351</v>
      </c>
      <c r="CE78" s="47" t="n">
        <f aca="false">In_Opex_Contingency*(CE74+CE75+CE76-CE73*In_MEKH)</f>
        <v>-39.343918906861</v>
      </c>
      <c r="CF78" s="47" t="n">
        <f aca="false">In_Opex_Contingency*(CF74+CF75+CF76-CF73*In_MEKH)</f>
        <v>-39.7810735613816</v>
      </c>
      <c r="CG78" s="47" t="n">
        <f aca="false">In_Opex_Contingency*(CG74+CG75+CG76-CG73*In_MEKH)</f>
        <v>-40.2182282159023</v>
      </c>
      <c r="CH78" s="47" t="n">
        <f aca="false">In_Opex_Contingency*(CH74+CH75+CH76-CH73*In_MEKH)</f>
        <v>-40.1810788323887</v>
      </c>
      <c r="CI78" s="47" t="n">
        <f aca="false">In_Opex_Contingency*(CI74+CI75+CI76-CI73*In_MEKH)</f>
        <v>-40.2876897214819</v>
      </c>
      <c r="CJ78" s="47" t="n">
        <f aca="false">In_Opex_Contingency*(CJ74+CJ75+CJ76-CJ73*In_MEKH)</f>
        <v>-40.7353307183873</v>
      </c>
      <c r="CK78" s="47" t="n">
        <f aca="false">In_Opex_Contingency*(CK74+CK75+CK76-CK73*In_MEKH)</f>
        <v>-41.1829717152927</v>
      </c>
      <c r="CL78" s="47" t="n">
        <f aca="false">In_Opex_Contingency*(CL74+CL75+CL76-CL73*In_MEKH)</f>
        <v>-41.1450157338092</v>
      </c>
      <c r="CM78" s="47" t="n">
        <f aca="false">In_Opex_Contingency*(CM74+CM75+CM76-CM73*In_MEKH)</f>
        <v>-41.2542280561852</v>
      </c>
      <c r="CN78" s="47" t="n">
        <f aca="false">In_Opex_Contingency*(CN74+CN75+CN76-CN73*In_MEKH)</f>
        <v>-41.7126083679206</v>
      </c>
      <c r="CO78" s="47" t="n">
        <f aca="false">In_Opex_Contingency*(CO74+CO75+CO76-CO73*In_MEKH)</f>
        <v>-42.170988679656</v>
      </c>
      <c r="CP78" s="47" t="n">
        <f aca="false">In_Opex_Contingency*(CP74+CP75+CP76-CP73*In_MEKH)</f>
        <v>-42.132208470621</v>
      </c>
      <c r="CQ78" s="47" t="n">
        <f aca="false">In_Opex_Contingency*(CQ74+CQ75+CQ76-CQ73*In_MEKH)</f>
        <v>-42.7134640218145</v>
      </c>
      <c r="CR78" s="47" t="n">
        <f aca="false">In_Opex_Contingency*(CR74+CR75+CR76-CR73*In_MEKH)</f>
        <v>-42.7134640218145</v>
      </c>
      <c r="CS78" s="47" t="n">
        <f aca="false">In_Opex_Contingency*(CS74+CS75+CS76-CS73*In_MEKH)</f>
        <v>-43.182842747329</v>
      </c>
      <c r="CT78" s="47" t="n">
        <f aca="false">In_Opex_Contingency*(CT74+CT75+CT76-CT73*In_MEKH)</f>
        <v>-43.1432202950161</v>
      </c>
      <c r="CU78" s="47" t="n">
        <f aca="false">In_Opex_Contingency*(CU74+CU75+CU76-CU73*In_MEKH)</f>
        <v>-43.2578262237228</v>
      </c>
      <c r="CV78" s="47" t="n">
        <f aca="false">In_Opex_Contingency*(CV74+CV75+CV76-CV73*In_MEKH)</f>
        <v>-43.7384687373197</v>
      </c>
      <c r="CW78" s="47" t="n">
        <f aca="false">In_Opex_Contingency*(CW74+CW75+CW76-CW73*In_MEKH)</f>
        <v>-44.2191112509166</v>
      </c>
      <c r="CX78" s="47" t="n">
        <f aca="false">In_Opex_Contingency*(CX74+CX75+CX76-CX73*In_MEKH)</f>
        <v>-44.1786281449912</v>
      </c>
      <c r="CY78" s="47" t="n">
        <f aca="false">In_Opex_Contingency*(CY74+CY75+CY76-CY73*In_MEKH)</f>
        <v>-44.2960293433376</v>
      </c>
      <c r="CZ78" s="47" t="n">
        <f aca="false">In_Opex_Contingency*(CZ74+CZ75+CZ76-CZ73*In_MEKH)</f>
        <v>-44.7882074471524</v>
      </c>
      <c r="DA78" s="47" t="n">
        <f aca="false">In_Opex_Contingency*(DA74+DA75+DA76-DA73*In_MEKH)</f>
        <v>-45.2803855509673</v>
      </c>
      <c r="DB78" s="47" t="n">
        <f aca="false">In_Opex_Contingency*(DB74+DB75+DB76-DB73*In_MEKH)</f>
        <v>-45.2390229778375</v>
      </c>
      <c r="DC78" s="47" t="n">
        <f aca="false">In_Opex_Contingency*(DC74+DC75+DC76-DC73*In_MEKH)</f>
        <v>-45.3592872174131</v>
      </c>
      <c r="DD78" s="47" t="n">
        <f aca="false">In_Opex_Contingency*(DD74+DD75+DD76-DD73*In_MEKH)</f>
        <v>-45.8632792976066</v>
      </c>
      <c r="DE78" s="47" t="n">
        <f aca="false">In_Opex_Contingency*(DE74+DE75+DE76-DE73*In_MEKH)</f>
        <v>-46.3672713778001</v>
      </c>
      <c r="DF78" s="47" t="n">
        <f aca="false">In_Opex_Contingency*(DF74+DF75+DF76-DF73*In_MEKH)</f>
        <v>-46.3250101117778</v>
      </c>
      <c r="DG78" s="47" t="n">
        <f aca="false">In_Opex_Contingency*(DG74+DG75+DG76-DG73*In_MEKH)</f>
        <v>-46.9642979949254</v>
      </c>
      <c r="DH78" s="47" t="n">
        <f aca="false">In_Opex_Contingency*(DH74+DH75+DH76-DH73*In_MEKH)</f>
        <v>-46.9642979949254</v>
      </c>
      <c r="DI78" s="47" t="n">
        <f aca="false">In_Opex_Contingency*(DI74+DI75+DI76-DI73*In_MEKH)</f>
        <v>-47.4803891816828</v>
      </c>
      <c r="DJ78" s="47" t="n">
        <f aca="false">In_Opex_Contingency*(DJ74+DJ75+DJ76-DJ73*In_MEKH)</f>
        <v>-47.4372095759517</v>
      </c>
      <c r="DK78" s="47" t="n">
        <f aca="false">In_Opex_Contingency*(DK74+DK75+DK76-DK73*In_MEKH)</f>
        <v>-47.5634098287061</v>
      </c>
      <c r="DL78" s="47" t="n">
        <f aca="false">In_Opex_Contingency*(DL74+DL75+DL76-DL73*In_MEKH)</f>
        <v>-48.0918921601362</v>
      </c>
      <c r="DM78" s="47" t="n">
        <f aca="false">In_Opex_Contingency*(DM74+DM75+DM76-DM73*In_MEKH)</f>
        <v>-48.6203744915662</v>
      </c>
      <c r="DN78" s="47" t="n">
        <f aca="false">In_Opex_Contingency*(DN74+DN75+DN76-DN73*In_MEKH)</f>
        <v>-48.5762564689508</v>
      </c>
      <c r="DO78" s="47" t="n">
        <f aca="false">In_Opex_Contingency*(DO74+DO75+DO76-DO73*In_MEKH)</f>
        <v>-48.7055331025274</v>
      </c>
      <c r="DP78" s="47" t="n">
        <f aca="false">In_Opex_Contingency*(DP74+DP75+DP76-DP73*In_MEKH)</f>
        <v>-49.2467056925555</v>
      </c>
      <c r="DQ78" s="47" t="n">
        <f aca="false">In_Opex_Contingency*(DQ74+DQ75+DQ76-DQ73*In_MEKH)</f>
        <v>-49.7878782825836</v>
      </c>
      <c r="DR78" s="47" t="n">
        <f aca="false">In_Opex_Contingency*(DR74+DR75+DR76-DR73*In_MEKH)</f>
        <v>-49.7428013261166</v>
      </c>
      <c r="DS78" s="47" t="n">
        <f aca="false">In_Opex_Contingency*(DS74+DS75+DS76-DS73*In_MEKH)</f>
        <v>-49.8752289318226</v>
      </c>
      <c r="DT78" s="47" t="n">
        <f aca="false">In_Opex_Contingency*(DT74+DT75+DT76-DT73*In_MEKH)</f>
        <v>-50.4293981421762</v>
      </c>
      <c r="DU78" s="47" t="n">
        <f aca="false">In_Opex_Contingency*(DU74+DU75+DU76-DU73*In_MEKH)</f>
        <v>-50.9835673525298</v>
      </c>
      <c r="DV78" s="47" t="n">
        <f aca="false">In_Opex_Contingency*(DV74+DV75+DV76-DV73*In_MEKH)</f>
        <v>-50.9375104958125</v>
      </c>
      <c r="DW78" s="47" t="n">
        <f aca="false">In_Opex_Contingency*(DW74+DW75+DW76-DW73*In_MEKH)</f>
        <v>-51.6406450911548</v>
      </c>
      <c r="DX78" s="47" t="n">
        <f aca="false">In_Opex_Contingency*(DX74+DX75+DX76-DX73*In_MEKH)</f>
        <v>-51.6406450911548</v>
      </c>
      <c r="DY78" s="47" t="n">
        <f aca="false">In_Opex_Contingency*(DY74+DY75+DY76-DY73*In_MEKH)</f>
        <v>-52.2081247075411</v>
      </c>
      <c r="DZ78" s="47" t="n">
        <f aca="false">In_Opex_Contingency*(DZ74+DZ75+DZ76-DZ73*In_MEKH)</f>
        <v>-52.1610665248923</v>
      </c>
      <c r="EA78" s="47" t="n">
        <f aca="false">In_Opex_Contingency*(EA74+EA75+EA76-EA73*In_MEKH)</f>
        <v>-52.3000271320433</v>
      </c>
      <c r="EB78" s="47" t="n">
        <f aca="false">In_Opex_Contingency*(EB74+EB75+EB76-EB73*In_MEKH)</f>
        <v>-52.8811385446215</v>
      </c>
      <c r="EC78" s="47" t="n">
        <f aca="false">In_Opex_Contingency*(EC74+EC75+EC76-EC73*In_MEKH)</f>
        <v>-53.4622499571998</v>
      </c>
      <c r="ED78" s="47" t="n">
        <f aca="false">In_Opex_Contingency*(ED74+ED75+ED76-ED73*In_MEKH)</f>
        <v>-53.4141685535888</v>
      </c>
      <c r="EE78" s="47" t="n">
        <f aca="false">In_Opex_Contingency*(EE74+EE75+EE76-EE73*In_MEKH)</f>
        <v>-53.5565149427885</v>
      </c>
      <c r="EF78" s="47" t="n">
        <f aca="false">In_Opex_Contingency*(EF74+EF75+EF76-EF73*In_MEKH)</f>
        <v>-54.1515873310417</v>
      </c>
      <c r="EG78" s="47" t="n">
        <f aca="false">In_Opex_Contingency*(EG74+EG75+EG76-EG73*In_MEKH)</f>
        <v>-54.7466597192949</v>
      </c>
      <c r="EH78" s="47" t="n">
        <f aca="false">In_Opex_Contingency*(EH74+EH75+EH76-EH73*In_MEKH)</f>
        <v>-54.6975327200541</v>
      </c>
      <c r="EI78" s="47" t="n">
        <f aca="false">In_Opex_Contingency*(EI74+EI75+EI76-EI73*In_MEKH)</f>
        <v>-54.8433469902487</v>
      </c>
      <c r="EJ78" s="47" t="n">
        <f aca="false">In_Opex_Contingency*(EJ74+EJ75+EJ76-EJ73*In_MEKH)</f>
        <v>-55.4527175123626</v>
      </c>
      <c r="EK78" s="47" t="n">
        <f aca="false">In_Opex_Contingency*(EK74+EK75+EK76-EK73*In_MEKH)</f>
        <v>-56.0620880344765</v>
      </c>
      <c r="EL78" s="47" t="n">
        <f aca="false">In_Opex_Contingency*(EL74+EL75+EL76-EL73*In_MEKH)</f>
        <v>-56.0118925747881</v>
      </c>
      <c r="EM78" s="47" t="n">
        <f aca="false">In_Opex_Contingency*(EM74+EM75+EM76-EM73*In_MEKH)</f>
        <v>-56.7852728041846</v>
      </c>
      <c r="EN78" s="47" t="n">
        <f aca="false">In_Opex_Contingency*(EN74+EN75+EN76-EN73*In_MEKH)</f>
        <v>-56.7852728041846</v>
      </c>
      <c r="EO78" s="47" t="n">
        <f aca="false">In_Opex_Contingency*(EO74+EO75+EO76-EO73*In_MEKH)</f>
        <v>-57.4092867910437</v>
      </c>
    </row>
    <row r="79" customFormat="false" ht="15" hidden="false" customHeight="false" outlineLevel="0" collapsed="false">
      <c r="C79" s="0" t="s">
        <v>23</v>
      </c>
      <c r="D79" s="11" t="s">
        <v>33</v>
      </c>
      <c r="I79" s="47" t="n">
        <f aca="false">SUM(J79:EO79)</f>
        <v>-12032.8750809572</v>
      </c>
      <c r="J79" s="47" t="n">
        <f aca="false">-$E33*J72/Thousand</f>
        <v>-0</v>
      </c>
      <c r="K79" s="47" t="n">
        <f aca="false">-$E33*K72/Thousand</f>
        <v>-0</v>
      </c>
      <c r="L79" s="47" t="n">
        <f aca="false">-$E33*L72/Thousand</f>
        <v>-0</v>
      </c>
      <c r="M79" s="47" t="n">
        <f aca="false">-$E33*M72/Thousand</f>
        <v>-0</v>
      </c>
      <c r="N79" s="47" t="n">
        <f aca="false">-$E33*N72/Thousand</f>
        <v>-0</v>
      </c>
      <c r="O79" s="47" t="n">
        <f aca="false">-$E33*O72/Thousand</f>
        <v>-0</v>
      </c>
      <c r="P79" s="47" t="n">
        <f aca="false">-$E33*P72/Thousand</f>
        <v>-0</v>
      </c>
      <c r="Q79" s="47" t="n">
        <f aca="false">-$E33*Q72/Thousand</f>
        <v>-0</v>
      </c>
      <c r="R79" s="47" t="n">
        <f aca="false">-$E33*R72/Thousand</f>
        <v>-0</v>
      </c>
      <c r="S79" s="47" t="n">
        <f aca="false">-$E33*S72/Thousand</f>
        <v>-0</v>
      </c>
      <c r="T79" s="47" t="n">
        <f aca="false">-$E33*T72/Thousand</f>
        <v>-0</v>
      </c>
      <c r="U79" s="47" t="n">
        <f aca="false">-$E33*U72/Thousand</f>
        <v>-0</v>
      </c>
      <c r="V79" s="47" t="n">
        <f aca="false">-$E33*V72/Thousand</f>
        <v>-0</v>
      </c>
      <c r="W79" s="47" t="n">
        <f aca="false">-$E33*W72/Thousand</f>
        <v>-0</v>
      </c>
      <c r="X79" s="47" t="n">
        <f aca="false">-$E33*X72/Thousand</f>
        <v>-0</v>
      </c>
      <c r="Y79" s="47" t="n">
        <f aca="false">-$E33*Y72/Thousand</f>
        <v>-0</v>
      </c>
      <c r="Z79" s="47" t="n">
        <f aca="false">-$E33*Z72/Thousand</f>
        <v>-105.4872</v>
      </c>
      <c r="AA79" s="47" t="n">
        <f aca="false">-$E33*AA72/Thousand</f>
        <v>-103.194</v>
      </c>
      <c r="AB79" s="47" t="n">
        <f aca="false">-$E33*AB72/Thousand</f>
        <v>-104.3406</v>
      </c>
      <c r="AC79" s="47" t="n">
        <f aca="false">-$E33*AC72/Thousand</f>
        <v>-105.4872</v>
      </c>
      <c r="AD79" s="47" t="n">
        <f aca="false">-$E33*AD72/Thousand</f>
        <v>-105.1707384</v>
      </c>
      <c r="AE79" s="47" t="n">
        <f aca="false">-$E33*AE72/Thousand</f>
        <v>-104.0275782</v>
      </c>
      <c r="AF79" s="47" t="n">
        <f aca="false">-$E33*AF72/Thousand</f>
        <v>-104.0275782</v>
      </c>
      <c r="AG79" s="47" t="n">
        <f aca="false">-$E33*AG72/Thousand</f>
        <v>-105.1707384</v>
      </c>
      <c r="AH79" s="47" t="n">
        <f aca="false">-$E33*AH72/Thousand</f>
        <v>-104.8552261848</v>
      </c>
      <c r="AI79" s="47" t="n">
        <f aca="false">-$E33*AI72/Thousand</f>
        <v>-102.575764746</v>
      </c>
      <c r="AJ79" s="47" t="n">
        <f aca="false">-$E33*AJ72/Thousand</f>
        <v>-103.7154954654</v>
      </c>
      <c r="AK79" s="47" t="n">
        <f aca="false">-$E33*AK72/Thousand</f>
        <v>-104.8552261848</v>
      </c>
      <c r="AL79" s="47" t="n">
        <f aca="false">-$E33*AL72/Thousand</f>
        <v>-104.540660506246</v>
      </c>
      <c r="AM79" s="47" t="n">
        <f aca="false">-$E33*AM72/Thousand</f>
        <v>-102.268037451762</v>
      </c>
      <c r="AN79" s="47" t="n">
        <f aca="false">-$E33*AN72/Thousand</f>
        <v>-103.404348979004</v>
      </c>
      <c r="AO79" s="47" t="n">
        <f aca="false">-$E33*AO72/Thousand</f>
        <v>-104.540660506246</v>
      </c>
      <c r="AP79" s="47" t="n">
        <f aca="false">-$E33*AP72/Thousand</f>
        <v>-104.227038524727</v>
      </c>
      <c r="AQ79" s="47" t="n">
        <f aca="false">-$E33*AQ72/Thousand</f>
        <v>-101.961233339407</v>
      </c>
      <c r="AR79" s="47" t="n">
        <f aca="false">-$E33*AR72/Thousand</f>
        <v>-103.094135932067</v>
      </c>
      <c r="AS79" s="47" t="n">
        <f aca="false">-$E33*AS72/Thousand</f>
        <v>-104.227038524727</v>
      </c>
      <c r="AT79" s="47" t="n">
        <f aca="false">-$E33*AT72/Thousand</f>
        <v>-103.914357409153</v>
      </c>
      <c r="AU79" s="47" t="n">
        <f aca="false">-$E33*AU72/Thousand</f>
        <v>-102.784853524271</v>
      </c>
      <c r="AV79" s="47" t="n">
        <f aca="false">-$E33*AV72/Thousand</f>
        <v>-102.784853524271</v>
      </c>
      <c r="AW79" s="47" t="n">
        <f aca="false">-$E33*AW72/Thousand</f>
        <v>-103.914357409153</v>
      </c>
      <c r="AX79" s="47" t="n">
        <f aca="false">-$E33*AX72/Thousand</f>
        <v>-103.602614336925</v>
      </c>
      <c r="AY79" s="47" t="n">
        <f aca="false">-$E33*AY72/Thousand</f>
        <v>-101.35038359047</v>
      </c>
      <c r="AZ79" s="47" t="n">
        <f aca="false">-$E33*AZ72/Thousand</f>
        <v>-102.476498963698</v>
      </c>
      <c r="BA79" s="47" t="n">
        <f aca="false">-$E33*BA72/Thousand</f>
        <v>-103.602614336925</v>
      </c>
      <c r="BB79" s="47" t="n">
        <f aca="false">-$E33*BB72/Thousand</f>
        <v>-103.291806493914</v>
      </c>
      <c r="BC79" s="47" t="n">
        <f aca="false">-$E33*BC72/Thousand</f>
        <v>-101.046332439699</v>
      </c>
      <c r="BD79" s="47" t="n">
        <f aca="false">-$E33*BD72/Thousand</f>
        <v>-102.169069466807</v>
      </c>
      <c r="BE79" s="47" t="n">
        <f aca="false">-$E33*BE72/Thousand</f>
        <v>-103.291806493914</v>
      </c>
      <c r="BF79" s="47" t="n">
        <f aca="false">-$E33*BF72/Thousand</f>
        <v>-102.981931074433</v>
      </c>
      <c r="BG79" s="47" t="n">
        <f aca="false">-$E33*BG72/Thousand</f>
        <v>-100.74319344238</v>
      </c>
      <c r="BH79" s="47" t="n">
        <f aca="false">-$E33*BH72/Thousand</f>
        <v>-101.862562258406</v>
      </c>
      <c r="BI79" s="47" t="n">
        <f aca="false">-$E33*BI72/Thousand</f>
        <v>-102.981931074433</v>
      </c>
      <c r="BJ79" s="47" t="n">
        <f aca="false">-$E33*BJ72/Thousand</f>
        <v>-102.672985281209</v>
      </c>
      <c r="BK79" s="47" t="n">
        <f aca="false">-$E33*BK72/Thousand</f>
        <v>-101.556974571631</v>
      </c>
      <c r="BL79" s="47" t="n">
        <f aca="false">-$E33*BL72/Thousand</f>
        <v>-101.556974571631</v>
      </c>
      <c r="BM79" s="47" t="n">
        <f aca="false">-$E33*BM72/Thousand</f>
        <v>-102.672985281209</v>
      </c>
      <c r="BN79" s="47" t="n">
        <f aca="false">-$E33*BN72/Thousand</f>
        <v>-102.364966325366</v>
      </c>
      <c r="BO79" s="47" t="n">
        <f aca="false">-$E33*BO72/Thousand</f>
        <v>-100.139640970467</v>
      </c>
      <c r="BP79" s="47" t="n">
        <f aca="false">-$E33*BP72/Thousand</f>
        <v>-101.252303647916</v>
      </c>
      <c r="BQ79" s="47" t="n">
        <f aca="false">-$E33*BQ72/Thousand</f>
        <v>-102.364966325366</v>
      </c>
      <c r="BR79" s="47" t="n">
        <f aca="false">-$E33*BR72/Thousand</f>
        <v>-102.05787142639</v>
      </c>
      <c r="BS79" s="47" t="n">
        <f aca="false">-$E33*BS72/Thousand</f>
        <v>-99.8392220475551</v>
      </c>
      <c r="BT79" s="47" t="n">
        <f aca="false">-$E33*BT72/Thousand</f>
        <v>-100.948546736972</v>
      </c>
      <c r="BU79" s="47" t="n">
        <f aca="false">-$E33*BU72/Thousand</f>
        <v>-102.05787142639</v>
      </c>
      <c r="BV79" s="47" t="n">
        <f aca="false">-$E33*BV72/Thousand</f>
        <v>-101.751697812111</v>
      </c>
      <c r="BW79" s="47" t="n">
        <f aca="false">-$E33*BW72/Thousand</f>
        <v>-99.5397043814125</v>
      </c>
      <c r="BX79" s="47" t="n">
        <f aca="false">-$E33*BX72/Thousand</f>
        <v>-100.645701096762</v>
      </c>
      <c r="BY79" s="47" t="n">
        <f aca="false">-$E33*BY72/Thousand</f>
        <v>-101.751697812111</v>
      </c>
      <c r="BZ79" s="47" t="n">
        <f aca="false">-$E33*BZ72/Thousand</f>
        <v>-101.446442718674</v>
      </c>
      <c r="CA79" s="47" t="n">
        <f aca="false">-$E33*CA72/Thousand</f>
        <v>-100.343763993471</v>
      </c>
      <c r="CB79" s="47" t="n">
        <f aca="false">-$E33*CB72/Thousand</f>
        <v>-100.343763993471</v>
      </c>
      <c r="CC79" s="47" t="n">
        <f aca="false">-$E33*CC72/Thousand</f>
        <v>-101.446442718674</v>
      </c>
      <c r="CD79" s="47" t="n">
        <f aca="false">-$E33*CD72/Thousand</f>
        <v>-101.142103390518</v>
      </c>
      <c r="CE79" s="47" t="n">
        <f aca="false">-$E33*CE72/Thousand</f>
        <v>-98.9433620124634</v>
      </c>
      <c r="CF79" s="47" t="n">
        <f aca="false">-$E33*CF72/Thousand</f>
        <v>-100.042732701491</v>
      </c>
      <c r="CG79" s="47" t="n">
        <f aca="false">-$E33*CG72/Thousand</f>
        <v>-101.142103390518</v>
      </c>
      <c r="CH79" s="47" t="n">
        <f aca="false">-$E33*CH72/Thousand</f>
        <v>-100.838677080347</v>
      </c>
      <c r="CI79" s="47" t="n">
        <f aca="false">-$E33*CI72/Thousand</f>
        <v>-98.646531926426</v>
      </c>
      <c r="CJ79" s="47" t="n">
        <f aca="false">-$E33*CJ72/Thousand</f>
        <v>-99.7426045033863</v>
      </c>
      <c r="CK79" s="47" t="n">
        <f aca="false">-$E33*CK72/Thousand</f>
        <v>-100.838677080347</v>
      </c>
      <c r="CL79" s="47" t="n">
        <f aca="false">-$E33*CL72/Thousand</f>
        <v>-100.536161049106</v>
      </c>
      <c r="CM79" s="47" t="n">
        <f aca="false">-$E33*CM72/Thousand</f>
        <v>-98.3505923306468</v>
      </c>
      <c r="CN79" s="47" t="n">
        <f aca="false">-$E33*CN72/Thousand</f>
        <v>-99.4433766898762</v>
      </c>
      <c r="CO79" s="47" t="n">
        <f aca="false">-$E33*CO72/Thousand</f>
        <v>-100.536161049106</v>
      </c>
      <c r="CP79" s="47" t="n">
        <f aca="false">-$E33*CP72/Thousand</f>
        <v>-100.234552565958</v>
      </c>
      <c r="CQ79" s="47" t="n">
        <f aca="false">-$E33*CQ72/Thousand</f>
        <v>-99.1450465598065</v>
      </c>
      <c r="CR79" s="47" t="n">
        <f aca="false">-$E33*CR72/Thousand</f>
        <v>-99.1450465598065</v>
      </c>
      <c r="CS79" s="47" t="n">
        <f aca="false">-$E33*CS72/Thousand</f>
        <v>-100.234552565958</v>
      </c>
      <c r="CT79" s="47" t="n">
        <f aca="false">-$E33*CT72/Thousand</f>
        <v>-99.9338489082604</v>
      </c>
      <c r="CU79" s="47" t="n">
        <f aca="false">-$E33*CU72/Thousand</f>
        <v>-97.7613739319939</v>
      </c>
      <c r="CV79" s="47" t="n">
        <f aca="false">-$E33*CV72/Thousand</f>
        <v>-98.8476114201271</v>
      </c>
      <c r="CW79" s="47" t="n">
        <f aca="false">-$E33*CW72/Thousand</f>
        <v>-99.9338489082604</v>
      </c>
      <c r="CX79" s="47" t="n">
        <f aca="false">-$E33*CX72/Thousand</f>
        <v>-99.6340473615356</v>
      </c>
      <c r="CY79" s="47" t="n">
        <f aca="false">-$E33*CY72/Thousand</f>
        <v>-97.4680898101979</v>
      </c>
      <c r="CZ79" s="47" t="n">
        <f aca="false">-$E33*CZ72/Thousand</f>
        <v>-98.5510685858667</v>
      </c>
      <c r="DA79" s="47" t="n">
        <f aca="false">-$E33*DA72/Thousand</f>
        <v>-99.6340473615356</v>
      </c>
      <c r="DB79" s="47" t="n">
        <f aca="false">-$E33*DB72/Thousand</f>
        <v>-99.335145219451</v>
      </c>
      <c r="DC79" s="47" t="n">
        <f aca="false">-$E33*DC72/Thousand</f>
        <v>-97.1756855407673</v>
      </c>
      <c r="DD79" s="47" t="n">
        <f aca="false">-$E33*DD72/Thousand</f>
        <v>-98.2554153801091</v>
      </c>
      <c r="DE79" s="47" t="n">
        <f aca="false">-$E33*DE72/Thousand</f>
        <v>-99.335145219451</v>
      </c>
      <c r="DF79" s="47" t="n">
        <f aca="false">-$E33*DF72/Thousand</f>
        <v>-99.0371397837927</v>
      </c>
      <c r="DG79" s="47" t="n">
        <f aca="false">-$E33*DG72/Thousand</f>
        <v>-97.9606491339688</v>
      </c>
      <c r="DH79" s="47" t="n">
        <f aca="false">-$E33*DH72/Thousand</f>
        <v>-97.9606491339688</v>
      </c>
      <c r="DI79" s="47" t="n">
        <f aca="false">-$E33*DI72/Thousand</f>
        <v>-99.0371397837927</v>
      </c>
      <c r="DJ79" s="47" t="n">
        <f aca="false">-$E33*DJ72/Thousand</f>
        <v>-98.7400283644413</v>
      </c>
      <c r="DK79" s="47" t="n">
        <f aca="false">-$E33*DK72/Thousand</f>
        <v>-96.5935060086926</v>
      </c>
      <c r="DL79" s="47" t="n">
        <f aca="false">-$E33*DL72/Thousand</f>
        <v>-97.6667671865669</v>
      </c>
      <c r="DM79" s="47" t="n">
        <f aca="false">-$E33*DM72/Thousand</f>
        <v>-98.7400283644413</v>
      </c>
      <c r="DN79" s="47" t="n">
        <f aca="false">-$E33*DN72/Thousand</f>
        <v>-98.443808279348</v>
      </c>
      <c r="DO79" s="47" t="n">
        <f aca="false">-$E33*DO72/Thousand</f>
        <v>-96.3037254906665</v>
      </c>
      <c r="DP79" s="47" t="n">
        <f aca="false">-$E33*DP72/Thousand</f>
        <v>-97.3737668850072</v>
      </c>
      <c r="DQ79" s="47" t="n">
        <f aca="false">-$E33*DQ72/Thousand</f>
        <v>-98.443808279348</v>
      </c>
      <c r="DR79" s="47" t="n">
        <f aca="false">-$E33*DR72/Thousand</f>
        <v>-98.1484768545099</v>
      </c>
      <c r="DS79" s="47" t="n">
        <f aca="false">-$E33*DS72/Thousand</f>
        <v>-96.0148143141945</v>
      </c>
      <c r="DT79" s="47" t="n">
        <f aca="false">-$E33*DT72/Thousand</f>
        <v>-97.0816455843522</v>
      </c>
      <c r="DU79" s="47" t="n">
        <f aca="false">-$E33*DU72/Thousand</f>
        <v>-98.1484768545099</v>
      </c>
      <c r="DV79" s="47" t="n">
        <f aca="false">-$E33*DV72/Thousand</f>
        <v>-97.8540314239464</v>
      </c>
      <c r="DW79" s="47" t="n">
        <f aca="false">-$E33*DW72/Thousand</f>
        <v>-96.7904006475991</v>
      </c>
      <c r="DX79" s="47" t="n">
        <f aca="false">-$E33*DX72/Thousand</f>
        <v>-96.7904006475991</v>
      </c>
      <c r="DY79" s="47" t="n">
        <f aca="false">-$E33*DY72/Thousand</f>
        <v>-97.8540314239464</v>
      </c>
      <c r="DZ79" s="47" t="n">
        <f aca="false">-$E33*DZ72/Thousand</f>
        <v>-97.5604693296746</v>
      </c>
      <c r="EA79" s="47" t="n">
        <f aca="false">-$E33*EA72/Thousand</f>
        <v>-95.4395895616381</v>
      </c>
      <c r="EB79" s="47" t="n">
        <f aca="false">-$E33*EB72/Thousand</f>
        <v>-96.5000294456563</v>
      </c>
      <c r="EC79" s="47" t="n">
        <f aca="false">-$E33*EC72/Thousand</f>
        <v>-97.5604693296746</v>
      </c>
      <c r="ED79" s="47" t="n">
        <f aca="false">-$E33*ED72/Thousand</f>
        <v>-97.2677879216855</v>
      </c>
      <c r="EE79" s="47" t="n">
        <f aca="false">-$E33*EE72/Thousand</f>
        <v>-95.1532707929532</v>
      </c>
      <c r="EF79" s="47" t="n">
        <f aca="false">-$E33*EF72/Thousand</f>
        <v>-96.2105293573194</v>
      </c>
      <c r="EG79" s="47" t="n">
        <f aca="false">-$E33*EG72/Thousand</f>
        <v>-97.2677879216855</v>
      </c>
      <c r="EH79" s="47" t="n">
        <f aca="false">-$E33*EH72/Thousand</f>
        <v>-96.9759845579205</v>
      </c>
      <c r="EI79" s="47" t="n">
        <f aca="false">-$E33*EI72/Thousand</f>
        <v>-94.8678109805744</v>
      </c>
      <c r="EJ79" s="47" t="n">
        <f aca="false">-$E33*EJ72/Thousand</f>
        <v>-95.9218977692474</v>
      </c>
      <c r="EK79" s="47" t="n">
        <f aca="false">-$E33*EK72/Thousand</f>
        <v>-96.9759845579205</v>
      </c>
      <c r="EL79" s="47" t="n">
        <f aca="false">-$E33*EL72/Thousand</f>
        <v>-96.6850566042467</v>
      </c>
      <c r="EM79" s="47" t="n">
        <f aca="false">-$E33*EM72/Thousand</f>
        <v>-95.6341320759397</v>
      </c>
      <c r="EN79" s="47" t="n">
        <f aca="false">-$E33*EN72/Thousand</f>
        <v>-95.6341320759397</v>
      </c>
      <c r="EO79" s="47" t="n">
        <f aca="false">-$E33*EO72/Thousand</f>
        <v>-96.6850566042467</v>
      </c>
    </row>
    <row r="80" customFormat="false" ht="15" hidden="false" customHeight="false" outlineLevel="0" collapsed="false">
      <c r="C80" s="25" t="s">
        <v>446</v>
      </c>
      <c r="D80" s="11" t="s">
        <v>33</v>
      </c>
      <c r="E80" s="56" t="n">
        <f aca="false">SUMIF($J$7:$EO$7,YEAR(In_COD)+1,$J80:$EO80)</f>
        <v>9556.88408374485</v>
      </c>
      <c r="I80" s="56" t="n">
        <f aca="false">SUM(J80:EO80)</f>
        <v>295373.32772584</v>
      </c>
      <c r="J80" s="56" t="n">
        <f aca="false">SUM(J73:J79)</f>
        <v>0</v>
      </c>
      <c r="K80" s="56" t="n">
        <f aca="false">SUM(K73:K79)</f>
        <v>0</v>
      </c>
      <c r="L80" s="56" t="n">
        <f aca="false">SUM(L73:L79)</f>
        <v>0</v>
      </c>
      <c r="M80" s="56" t="n">
        <f aca="false">SUM(M73:M79)</f>
        <v>0</v>
      </c>
      <c r="N80" s="56" t="n">
        <f aca="false">SUM(N73:N79)</f>
        <v>0</v>
      </c>
      <c r="O80" s="56" t="n">
        <f aca="false">SUM(O73:O79)</f>
        <v>0</v>
      </c>
      <c r="P80" s="56" t="n">
        <f aca="false">SUM(P73:P79)</f>
        <v>0</v>
      </c>
      <c r="Q80" s="56" t="n">
        <f aca="false">SUM(Q73:Q79)</f>
        <v>0</v>
      </c>
      <c r="R80" s="56" t="n">
        <f aca="false">SUM(R73:R79)</f>
        <v>-41.5643004408661</v>
      </c>
      <c r="S80" s="56" t="n">
        <f aca="false">SUM(S73:S79)</f>
        <v>-41.6772469094554</v>
      </c>
      <c r="T80" s="56" t="n">
        <f aca="false">SUM(T73:T79)</f>
        <v>-42.1403274306716</v>
      </c>
      <c r="U80" s="56" t="n">
        <f aca="false">SUM(U73:U79)</f>
        <v>-42.6034079518878</v>
      </c>
      <c r="V80" s="56" t="n">
        <f aca="false">SUM(V73:V79)</f>
        <v>-42.6034079518878</v>
      </c>
      <c r="W80" s="56" t="n">
        <f aca="false">SUM(W73:W79)</f>
        <v>-42.7191780821918</v>
      </c>
      <c r="X80" s="56" t="n">
        <f aca="false">SUM(X73:X79)</f>
        <v>-43.1938356164384</v>
      </c>
      <c r="Y80" s="56" t="n">
        <f aca="false">SUM(Y73:Y79)</f>
        <v>-43.6684931506849</v>
      </c>
      <c r="Z80" s="56" t="n">
        <f aca="false">SUM(Z73:Z79)</f>
        <v>2394.81444547397</v>
      </c>
      <c r="AA80" s="56" t="n">
        <f aca="false">SUM(AA73:AA79)</f>
        <v>2358.58146048863</v>
      </c>
      <c r="AB80" s="56" t="n">
        <f aca="false">SUM(AB73:AB79)</f>
        <v>2384.78792116073</v>
      </c>
      <c r="AC80" s="56" t="n">
        <f aca="false">SUM(AC73:AC79)</f>
        <v>2410.99438183282</v>
      </c>
      <c r="AD80" s="56" t="n">
        <f aca="false">SUM(AD73:AD79)</f>
        <v>2402.52032026267</v>
      </c>
      <c r="AE80" s="56" t="n">
        <f aca="false">SUM(AE73:AE79)</f>
        <v>2392.27337019217</v>
      </c>
      <c r="AF80" s="56" t="n">
        <f aca="false">SUM(AF73:AF79)</f>
        <v>2392.27337019217</v>
      </c>
      <c r="AG80" s="56" t="n">
        <f aca="false">SUM(AG73:AG79)</f>
        <v>2418.56208854593</v>
      </c>
      <c r="AH80" s="56" t="n">
        <f aca="false">SUM(AH73:AH79)</f>
        <v>2410.03429689502</v>
      </c>
      <c r="AI80" s="56" t="n">
        <f aca="false">SUM(AI73:AI79)</f>
        <v>2373.19324507827</v>
      </c>
      <c r="AJ80" s="56" t="n">
        <f aca="false">SUM(AJ73:AJ79)</f>
        <v>2399.56205891247</v>
      </c>
      <c r="AK80" s="56" t="n">
        <f aca="false">SUM(AK73:AK79)</f>
        <v>2425.93087274668</v>
      </c>
      <c r="AL80" s="56" t="n">
        <f aca="false">SUM(AL73:AL79)</f>
        <v>2417.34917210853</v>
      </c>
      <c r="AM80" s="56" t="n">
        <f aca="false">SUM(AM73:AM79)</f>
        <v>2380.20000195605</v>
      </c>
      <c r="AN80" s="56" t="n">
        <f aca="false">SUM(AN73:AN79)</f>
        <v>2406.64666864445</v>
      </c>
      <c r="AO80" s="56" t="n">
        <f aca="false">SUM(AO73:AO79)</f>
        <v>2433.09333533285</v>
      </c>
      <c r="AP80" s="56" t="n">
        <f aca="false">SUM(AP73:AP79)</f>
        <v>2424.45754960645</v>
      </c>
      <c r="AQ80" s="56" t="n">
        <f aca="false">SUM(AQ73:AQ79)</f>
        <v>2386.99749055404</v>
      </c>
      <c r="AR80" s="56" t="n">
        <f aca="false">SUM(AR73:AR79)</f>
        <v>2413.51968489352</v>
      </c>
      <c r="AS80" s="56" t="n">
        <f aca="false">SUM(AS73:AS79)</f>
        <v>2440.04187923301</v>
      </c>
      <c r="AT80" s="56" t="n">
        <f aca="false">SUM(AT73:AT79)</f>
        <v>2431.3518352319</v>
      </c>
      <c r="AU80" s="56" t="n">
        <f aca="false">SUM(AU73:AU79)</f>
        <v>2420.17339245424</v>
      </c>
      <c r="AV80" s="56" t="n">
        <f aca="false">SUM(AV73:AV79)</f>
        <v>2420.17339245424</v>
      </c>
      <c r="AW80" s="56" t="n">
        <f aca="false">SUM(AW73:AW79)</f>
        <v>2446.76870445923</v>
      </c>
      <c r="AX80" s="56" t="n">
        <f aca="false">SUM(AX73:AX79)</f>
        <v>2438.02423202336</v>
      </c>
      <c r="AY80" s="56" t="n">
        <f aca="false">SUM(AY73:AY79)</f>
        <v>2399.93393775468</v>
      </c>
      <c r="AZ80" s="56" t="n">
        <f aca="false">SUM(AZ73:AZ79)</f>
        <v>2426.5998703964</v>
      </c>
      <c r="BA80" s="56" t="n">
        <f aca="false">SUM(BA73:BA79)</f>
        <v>2453.26580303812</v>
      </c>
      <c r="BB80" s="56" t="n">
        <f aca="false">SUM(BB73:BB79)</f>
        <v>2444.46673514844</v>
      </c>
      <c r="BC80" s="56" t="n">
        <f aca="false">SUM(BC73:BC79)</f>
        <v>2406.05702003861</v>
      </c>
      <c r="BD80" s="56" t="n">
        <f aca="false">SUM(BD73:BD79)</f>
        <v>2432.79098692793</v>
      </c>
      <c r="BE80" s="56" t="n">
        <f aca="false">SUM(BE73:BE79)</f>
        <v>2459.52495381724</v>
      </c>
      <c r="BF80" s="56" t="n">
        <f aca="false">SUM(BF73:BF79)</f>
        <v>2450.67112671322</v>
      </c>
      <c r="BG80" s="56" t="n">
        <f aca="false">SUM(BG73:BG79)</f>
        <v>2411.93907111903</v>
      </c>
      <c r="BH80" s="56" t="n">
        <f aca="false">SUM(BH73:BH79)</f>
        <v>2438.73839413146</v>
      </c>
      <c r="BI80" s="56" t="n">
        <f aca="false">SUM(BI73:BI79)</f>
        <v>2465.5377171439</v>
      </c>
      <c r="BJ80" s="56" t="n">
        <f aca="false">SUM(BJ73:BJ79)</f>
        <v>2456.62897044382</v>
      </c>
      <c r="BK80" s="56" t="n">
        <f aca="false">SUM(BK73:BK79)</f>
        <v>2444.43352257147</v>
      </c>
      <c r="BL80" s="56" t="n">
        <f aca="false">SUM(BL73:BL79)</f>
        <v>2444.43352257147</v>
      </c>
      <c r="BM80" s="56" t="n">
        <f aca="false">SUM(BM73:BM79)</f>
        <v>2471.29542941292</v>
      </c>
      <c r="BN80" s="56" t="n">
        <f aca="false">SUM(BN73:BN79)</f>
        <v>2462.33160623732</v>
      </c>
      <c r="BO80" s="56" t="n">
        <f aca="false">SUM(BO73:BO79)</f>
        <v>2422.9459540571</v>
      </c>
      <c r="BP80" s="56" t="n">
        <f aca="false">SUM(BP73:BP79)</f>
        <v>2449.86757576884</v>
      </c>
      <c r="BQ80" s="56" t="n">
        <f aca="false">SUM(BQ73:BQ79)</f>
        <v>2476.78919748059</v>
      </c>
      <c r="BR80" s="56" t="n">
        <f aca="false">SUM(BR73:BR79)</f>
        <v>2467.77014457861</v>
      </c>
      <c r="BS80" s="56" t="n">
        <f aca="false">SUM(BS73:BS79)</f>
        <v>2428.05315613806</v>
      </c>
      <c r="BT80" s="56" t="n">
        <f aca="false">SUM(BT73:BT79)</f>
        <v>2455.03152453959</v>
      </c>
      <c r="BU80" s="56" t="n">
        <f aca="false">SUM(BU73:BU79)</f>
        <v>2482.00989294113</v>
      </c>
      <c r="BV80" s="56" t="n">
        <f aca="false">SUM(BV73:BV79)</f>
        <v>2472.93546082003</v>
      </c>
      <c r="BW80" s="56" t="n">
        <f aca="false">SUM(BW73:BW79)</f>
        <v>2432.88405612638</v>
      </c>
      <c r="BX80" s="56" t="n">
        <f aca="false">SUM(BX73:BX79)</f>
        <v>2459.91610119445</v>
      </c>
      <c r="BY80" s="56" t="n">
        <f aca="false">SUM(BY73:BY79)</f>
        <v>2486.94814626252</v>
      </c>
      <c r="BZ80" s="56" t="n">
        <f aca="false">SUM(BZ73:BZ79)</f>
        <v>2477.8181893204</v>
      </c>
      <c r="CA80" s="56" t="n">
        <f aca="false">SUM(CA73:CA79)</f>
        <v>2464.51179359584</v>
      </c>
      <c r="CB80" s="56" t="n">
        <f aca="false">SUM(CB73:CB79)</f>
        <v>2464.51179359584</v>
      </c>
      <c r="CC80" s="56" t="n">
        <f aca="false">SUM(CC73:CC79)</f>
        <v>2491.59434077821</v>
      </c>
      <c r="CD80" s="56" t="n">
        <f aca="false">SUM(CD73:CD79)</f>
        <v>2482.40871743996</v>
      </c>
      <c r="CE80" s="56" t="n">
        <f aca="false">SUM(CE73:CE79)</f>
        <v>2441.67907160649</v>
      </c>
      <c r="CF80" s="56" t="n">
        <f aca="false">SUM(CF73:CF79)</f>
        <v>2468.80883906879</v>
      </c>
      <c r="CG80" s="56" t="n">
        <f aca="false">SUM(CG73:CG79)</f>
        <v>2495.93860653108</v>
      </c>
      <c r="CH80" s="56" t="n">
        <f aca="false">SUM(CH73:CH79)</f>
        <v>2486.69717938767</v>
      </c>
      <c r="CI80" s="56" t="n">
        <f aca="false">SUM(CI73:CI79)</f>
        <v>2445.62362235821</v>
      </c>
      <c r="CJ80" s="56" t="n">
        <f aca="false">SUM(CJ73:CJ79)</f>
        <v>2472.79721816219</v>
      </c>
      <c r="CK80" s="56" t="n">
        <f aca="false">SUM(CK73:CK79)</f>
        <v>2499.97081396617</v>
      </c>
      <c r="CL80" s="56" t="n">
        <f aca="false">SUM(CL73:CL79)</f>
        <v>2490.67344991736</v>
      </c>
      <c r="CM80" s="56" t="n">
        <f aca="false">SUM(CM73:CM79)</f>
        <v>2449.25272904512</v>
      </c>
      <c r="CN80" s="56" t="n">
        <f aca="false">SUM(CN73:CN79)</f>
        <v>2476.46664825673</v>
      </c>
      <c r="CO80" s="56" t="n">
        <f aca="false">SUM(CO73:CO79)</f>
        <v>2503.68056746835</v>
      </c>
      <c r="CP80" s="56" t="n">
        <f aca="false">SUM(CP73:CP79)</f>
        <v>2494.32713786886</v>
      </c>
      <c r="CQ80" s="56" t="n">
        <f aca="false">SUM(CQ73:CQ79)</f>
        <v>2479.80657701572</v>
      </c>
      <c r="CR80" s="56" t="n">
        <f aca="false">SUM(CR73:CR79)</f>
        <v>2479.80657701572</v>
      </c>
      <c r="CS80" s="56" t="n">
        <f aca="false">SUM(CS73:CS79)</f>
        <v>2507.05719874117</v>
      </c>
      <c r="CT80" s="56" t="n">
        <f aca="false">SUM(CT73:CT79)</f>
        <v>2497.64757955043</v>
      </c>
      <c r="CU80" s="56" t="n">
        <f aca="false">SUM(CU73:CU79)</f>
        <v>2455.52259132691</v>
      </c>
      <c r="CV80" s="56" t="n">
        <f aca="false">SUM(CV73:CV79)</f>
        <v>2482.80617567499</v>
      </c>
      <c r="CW80" s="56" t="n">
        <f aca="false">SUM(CW73:CW79)</f>
        <v>2510.08976002306</v>
      </c>
      <c r="CX80" s="56" t="n">
        <f aca="false">SUM(CX73:CX79)</f>
        <v>2500.62383195862</v>
      </c>
      <c r="CY80" s="56" t="n">
        <f aca="false">SUM(CY73:CY79)</f>
        <v>2458.14164719902</v>
      </c>
      <c r="CZ80" s="56" t="n">
        <f aca="false">SUM(CZ73:CZ79)</f>
        <v>2485.45433216789</v>
      </c>
      <c r="DA80" s="56" t="n">
        <f aca="false">SUM(DA73:DA79)</f>
        <v>2512.76701713677</v>
      </c>
      <c r="DB80" s="56" t="n">
        <f aca="false">SUM(DB73:DB79)</f>
        <v>2503.24466583138</v>
      </c>
      <c r="DC80" s="56" t="n">
        <f aca="false">SUM(DC73:DC79)</f>
        <v>2460.4018457948</v>
      </c>
      <c r="DD80" s="56" t="n">
        <f aca="false">SUM(DD73:DD79)</f>
        <v>2487.73964408141</v>
      </c>
      <c r="DE80" s="56" t="n">
        <f aca="false">SUM(DE73:DE79)</f>
        <v>2515.07744236802</v>
      </c>
      <c r="DF80" s="56" t="n">
        <f aca="false">SUM(DF73:DF79)</f>
        <v>2505.49855853058</v>
      </c>
      <c r="DG80" s="56" t="n">
        <f aca="false">SUM(DG73:DG79)</f>
        <v>2489.65041143909</v>
      </c>
      <c r="DH80" s="56" t="n">
        <f aca="false">SUM(DH73:DH79)</f>
        <v>2489.65041143909</v>
      </c>
      <c r="DI80" s="56" t="n">
        <f aca="false">SUM(DI73:DI79)</f>
        <v>2517.00920716919</v>
      </c>
      <c r="DJ80" s="56" t="n">
        <f aca="false">SUM(DJ73:DJ79)</f>
        <v>2507.37368674959</v>
      </c>
      <c r="DK80" s="56" t="n">
        <f aca="false">SUM(DK73:DK79)</f>
        <v>2463.79908392978</v>
      </c>
      <c r="DL80" s="56" t="n">
        <f aca="false">SUM(DL73:DL79)</f>
        <v>2491.17462930678</v>
      </c>
      <c r="DM80" s="56" t="n">
        <f aca="false">SUM(DM73:DM79)</f>
        <v>2518.55017468378</v>
      </c>
      <c r="DN80" s="56" t="n">
        <f aca="false">SUM(DN73:DN79)</f>
        <v>2508.85791904168</v>
      </c>
      <c r="DO80" s="56" t="n">
        <f aca="false">SUM(DO73:DO79)</f>
        <v>2464.91206834606</v>
      </c>
      <c r="DP80" s="56" t="n">
        <f aca="false">SUM(DP73:DP79)</f>
        <v>2492.29998021657</v>
      </c>
      <c r="DQ80" s="56" t="n">
        <f aca="false">SUM(DQ73:DQ79)</f>
        <v>2519.68789208708</v>
      </c>
      <c r="DR80" s="56" t="n">
        <f aca="false">SUM(DR73:DR79)</f>
        <v>2509.93880816483</v>
      </c>
      <c r="DS80" s="56" t="n">
        <f aca="false">SUM(DS73:DS79)</f>
        <v>2465.61807007059</v>
      </c>
      <c r="DT80" s="56" t="n">
        <f aca="false">SUM(DT73:DT79)</f>
        <v>2493.01382640471</v>
      </c>
      <c r="DU80" s="56" t="n">
        <f aca="false">SUM(DU73:DU79)</f>
        <v>2520.40958273882</v>
      </c>
      <c r="DV80" s="56" t="n">
        <f aca="false">SUM(DV73:DV79)</f>
        <v>2510.60358323846</v>
      </c>
      <c r="DW80" s="56" t="n">
        <f aca="false">SUM(DW73:DW79)</f>
        <v>2493.30320185874</v>
      </c>
      <c r="DX80" s="56" t="n">
        <f aca="false">SUM(DX73:DX79)</f>
        <v>2493.30320185874</v>
      </c>
      <c r="DY80" s="56" t="n">
        <f aca="false">SUM(DY73:DY79)</f>
        <v>2520.70213814291</v>
      </c>
      <c r="DZ80" s="56" t="n">
        <f aca="false">SUM(DZ73:DZ79)</f>
        <v>2510.83914170753</v>
      </c>
      <c r="EA80" s="56" t="n">
        <f aca="false">SUM(EA73:EA79)</f>
        <v>2465.75749862902</v>
      </c>
      <c r="EB80" s="56" t="n">
        <f aca="false">SUM(EB73:EB79)</f>
        <v>2493.15480416935</v>
      </c>
      <c r="EC80" s="56" t="n">
        <f aca="false">SUM(EC73:EC79)</f>
        <v>2520.55210970967</v>
      </c>
      <c r="ED80" s="56" t="n">
        <f aca="false">SUM(ED73:ED79)</f>
        <v>2510.63204110907</v>
      </c>
      <c r="EE80" s="56" t="n">
        <f aca="false">SUM(EE73:EE79)</f>
        <v>2465.16427204807</v>
      </c>
      <c r="EF80" s="56" t="n">
        <f aca="false">SUM(EF73:EF79)</f>
        <v>2492.55498618193</v>
      </c>
      <c r="EG80" s="56" t="n">
        <f aca="false">SUM(EG73:EG79)</f>
        <v>2519.9457003158</v>
      </c>
      <c r="EH80" s="56" t="n">
        <f aca="false">SUM(EH73:EH79)</f>
        <v>2509.96849063659</v>
      </c>
      <c r="EI80" s="56" t="n">
        <f aca="false">SUM(EI73:EI79)</f>
        <v>2464.11073922956</v>
      </c>
      <c r="EJ80" s="56" t="n">
        <f aca="false">SUM(EJ73:EJ79)</f>
        <v>2491.48974744322</v>
      </c>
      <c r="EK80" s="56" t="n">
        <f aca="false">SUM(EK73:EK79)</f>
        <v>2518.86875565688</v>
      </c>
      <c r="EL80" s="56" t="n">
        <f aca="false">SUM(EL73:EL79)</f>
        <v>2508.8343424972</v>
      </c>
      <c r="EM80" s="56" t="n">
        <f aca="false">SUM(EM73:EM79)</f>
        <v>2489.94472543768</v>
      </c>
      <c r="EN80" s="56" t="n">
        <f aca="false">SUM(EN73:EN79)</f>
        <v>2489.94472543768</v>
      </c>
      <c r="EO80" s="56" t="n">
        <f aca="false">SUM(EO73:EO79)</f>
        <v>2517.30675538755</v>
      </c>
    </row>
    <row r="82" customFormat="false" ht="15" hidden="false" customHeight="false" outlineLevel="0" collapsed="false">
      <c r="A82" s="9" t="s">
        <v>13</v>
      </c>
      <c r="B82" s="9"/>
      <c r="C82" s="9" t="s">
        <v>447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</row>
    <row r="83" customFormat="false" ht="15" hidden="false" customHeight="false" outlineLevel="0" collapsed="false">
      <c r="C83" s="0" t="s">
        <v>448</v>
      </c>
      <c r="D83" s="11" t="s">
        <v>33</v>
      </c>
      <c r="J83" s="57" t="n">
        <v>0</v>
      </c>
      <c r="K83" s="57" t="n">
        <v>0</v>
      </c>
      <c r="L83" s="57" t="n">
        <v>0</v>
      </c>
      <c r="M83" s="57" t="n">
        <v>0</v>
      </c>
      <c r="N83" s="57" t="n">
        <v>0</v>
      </c>
      <c r="O83" s="57" t="n">
        <v>0</v>
      </c>
      <c r="P83" s="57" t="n">
        <v>0</v>
      </c>
      <c r="Q83" s="57" t="n">
        <v>0</v>
      </c>
      <c r="R83" s="57" t="n">
        <v>0</v>
      </c>
      <c r="S83" s="57" t="n">
        <v>0</v>
      </c>
      <c r="T83" s="57" t="n">
        <v>0</v>
      </c>
      <c r="U83" s="57" t="n">
        <v>0</v>
      </c>
      <c r="V83" s="57" t="n">
        <v>0</v>
      </c>
      <c r="W83" s="57" t="n">
        <v>0</v>
      </c>
      <c r="X83" s="57" t="n">
        <v>0</v>
      </c>
      <c r="Y83" s="57" t="n">
        <v>0</v>
      </c>
      <c r="Z83" s="57" t="n">
        <v>-19.2968578344355</v>
      </c>
      <c r="AA83" s="57" t="n">
        <v>-19.3489005052117</v>
      </c>
      <c r="AB83" s="57" t="n">
        <v>-20.6219184736774</v>
      </c>
      <c r="AC83" s="57" t="n">
        <v>-21.9127271619451</v>
      </c>
      <c r="AD83" s="57" t="n">
        <v>-21.7706281408856</v>
      </c>
      <c r="AE83" s="57" t="n">
        <v>-22.6477645618415</v>
      </c>
      <c r="AF83" s="57" t="n">
        <v>-23.1442033799983</v>
      </c>
      <c r="AG83" s="57" t="n">
        <v>-24.4681305813514</v>
      </c>
      <c r="AH83" s="57" t="n">
        <v>-24.3493119964386</v>
      </c>
      <c r="AI83" s="57" t="n">
        <v>-24.4096316183969</v>
      </c>
      <c r="AJ83" s="57" t="n">
        <v>-28.2357404359199</v>
      </c>
      <c r="AK83" s="57" t="n">
        <v>-29.6360960998907</v>
      </c>
      <c r="AL83" s="57" t="n">
        <v>-59.1140983487414</v>
      </c>
      <c r="AM83" s="57" t="n">
        <v>-59.1388082760621</v>
      </c>
      <c r="AN83" s="57" t="n">
        <v>-61.9433858530009</v>
      </c>
      <c r="AO83" s="57" t="n">
        <v>-64.7847322902451</v>
      </c>
      <c r="AP83" s="57" t="n">
        <v>-64.6465054951068</v>
      </c>
      <c r="AQ83" s="57" t="n">
        <v>-64.6819574104565</v>
      </c>
      <c r="AR83" s="57" t="n">
        <v>-67.5556406369342</v>
      </c>
      <c r="AS83" s="57" t="n">
        <v>-70.4668212398134</v>
      </c>
      <c r="AT83" s="57" t="n">
        <v>-70.3796976281976</v>
      </c>
      <c r="AU83" s="57" t="n">
        <v>-72.1716686271647</v>
      </c>
      <c r="AV83" s="57" t="n">
        <v>-73.3973490983255</v>
      </c>
      <c r="AW83" s="57" t="n">
        <v>-76.3808408203201</v>
      </c>
      <c r="AX83" s="57" t="n">
        <v>-76.3476639986033</v>
      </c>
      <c r="AY83" s="57" t="n">
        <v>-76.4112405204462</v>
      </c>
      <c r="AZ83" s="57" t="n">
        <v>-79.4300307701277</v>
      </c>
      <c r="BA83" s="57" t="n">
        <v>-82.487861379872</v>
      </c>
      <c r="BB83" s="57" t="n">
        <v>-82.5110342014282</v>
      </c>
      <c r="BC83" s="57" t="n">
        <v>-82.5919342883361</v>
      </c>
      <c r="BD83" s="57" t="n">
        <v>-85.6866509628386</v>
      </c>
      <c r="BE83" s="57" t="n">
        <v>-88.8212217591824</v>
      </c>
      <c r="BF83" s="57" t="n">
        <v>-88.9035388822994</v>
      </c>
      <c r="BG83" s="57" t="n">
        <v>-89.0041761436998</v>
      </c>
      <c r="BH83" s="57" t="n">
        <v>-92.1772994846162</v>
      </c>
      <c r="BI83" s="57" t="n">
        <v>-95.3911216653956</v>
      </c>
      <c r="BJ83" s="57" t="n">
        <v>-95.5355032621081</v>
      </c>
      <c r="BK83" s="57" t="n">
        <v>-97.4420956489771</v>
      </c>
      <c r="BL83" s="57" t="n">
        <v>-98.937176064772</v>
      </c>
      <c r="BM83" s="57" t="n">
        <v>-102.233159762077</v>
      </c>
      <c r="BN83" s="57" t="n">
        <v>-102.442944268205</v>
      </c>
      <c r="BO83" s="57" t="n">
        <v>-102.591075104896</v>
      </c>
      <c r="BP83" s="57" t="n">
        <v>-105.929206633589</v>
      </c>
      <c r="BQ83" s="57" t="n">
        <v>-109.309828330987</v>
      </c>
      <c r="BR83" s="57" t="n">
        <v>-109.587930669549</v>
      </c>
      <c r="BS83" s="57" t="n">
        <v>-109.76379949778</v>
      </c>
      <c r="BT83" s="57" t="n">
        <v>-113.188496638924</v>
      </c>
      <c r="BU83" s="57" t="n">
        <v>-116.656630320836</v>
      </c>
      <c r="BV83" s="57" t="n">
        <v>-117.006383029449</v>
      </c>
      <c r="BW83" s="57" t="n">
        <v>-117.212921327643</v>
      </c>
      <c r="BX83" s="57" t="n">
        <v>-120.727153567094</v>
      </c>
      <c r="BY83" s="57" t="n">
        <v>-124.285805660231</v>
      </c>
      <c r="BZ83" s="57" t="n">
        <v>-124.710691195127</v>
      </c>
      <c r="CA83" s="57" t="n">
        <v>-126.767754996788</v>
      </c>
      <c r="CB83" s="57" t="n">
        <v>-128.58267354016</v>
      </c>
      <c r="CC83" s="57" t="n">
        <v>-132.235275141541</v>
      </c>
      <c r="CD83" s="57" t="n">
        <v>-132.739221897046</v>
      </c>
      <c r="CE83" s="57" t="n">
        <v>-133.016771913304</v>
      </c>
      <c r="CF83" s="57" t="n">
        <v>-136.719833584533</v>
      </c>
      <c r="CG83" s="57" t="n">
        <v>-140.469402732266</v>
      </c>
      <c r="CH83" s="57" t="n">
        <v>-141.055938099377</v>
      </c>
      <c r="CI83" s="57" t="n">
        <v>-141.373861633399</v>
      </c>
      <c r="CJ83" s="57" t="n">
        <v>-145.176229683433</v>
      </c>
      <c r="CK83" s="57" t="n">
        <v>-149.02620985261</v>
      </c>
      <c r="CL83" s="57" t="n">
        <v>-149.69930881943</v>
      </c>
      <c r="CM83" s="57" t="n">
        <v>-150.061158827923</v>
      </c>
      <c r="CN83" s="57" t="n">
        <v>-153.966392194327</v>
      </c>
      <c r="CO83" s="57" t="n">
        <v>-157.920386440503</v>
      </c>
      <c r="CP83" s="57" t="n">
        <v>-158.68420313202</v>
      </c>
      <c r="CQ83" s="57" t="n">
        <v>-160.935697290495</v>
      </c>
      <c r="CR83" s="57" t="n">
        <v>-163.130493908728</v>
      </c>
      <c r="CS83" s="57" t="n">
        <v>-167.192559999953</v>
      </c>
      <c r="CT83" s="57" t="n">
        <v>-168.051726678946</v>
      </c>
      <c r="CU83" s="57" t="n">
        <v>-166.224183016148</v>
      </c>
      <c r="CV83" s="57" t="n">
        <v>-168.071118382994</v>
      </c>
      <c r="CW83" s="57" t="n">
        <v>-169.91805374984</v>
      </c>
      <c r="CX83" s="57" t="n">
        <v>-168.498164540174</v>
      </c>
      <c r="CY83" s="57" t="n">
        <v>-166.617041396964</v>
      </c>
      <c r="CZ83" s="57" t="n">
        <v>-168.46834185693</v>
      </c>
      <c r="DA83" s="57" t="n">
        <v>-170.319642316896</v>
      </c>
      <c r="DB83" s="57" t="n">
        <v>-375.486699874706</v>
      </c>
      <c r="DC83" s="57" t="n">
        <v>-369.060276869219</v>
      </c>
      <c r="DD83" s="57" t="n">
        <v>-373.160946612211</v>
      </c>
      <c r="DE83" s="57" t="n">
        <v>-377.261616355202</v>
      </c>
      <c r="DF83" s="57" t="n">
        <v>-375.824783779586</v>
      </c>
      <c r="DG83" s="57" t="n">
        <v>-373.447561715863</v>
      </c>
      <c r="DH83" s="57" t="n">
        <v>-373.447561715863</v>
      </c>
      <c r="DI83" s="57" t="n">
        <v>-377.551381075378</v>
      </c>
      <c r="DJ83" s="57" t="n">
        <v>-376.106053012438</v>
      </c>
      <c r="DK83" s="57" t="n">
        <v>-369.569862589466</v>
      </c>
      <c r="DL83" s="57" t="n">
        <v>-373.676194396016</v>
      </c>
      <c r="DM83" s="57" t="n">
        <v>-377.782526202566</v>
      </c>
      <c r="DN83" s="57" t="n">
        <v>-376.328687856251</v>
      </c>
      <c r="DO83" s="57" t="n">
        <v>-369.736810251908</v>
      </c>
      <c r="DP83" s="57" t="n">
        <v>-373.844997032485</v>
      </c>
      <c r="DQ83" s="57" t="n">
        <v>-377.953183813062</v>
      </c>
      <c r="DR83" s="57" t="n">
        <v>-376.490821224723</v>
      </c>
      <c r="DS83" s="57" t="n">
        <v>-369.842710510588</v>
      </c>
      <c r="DT83" s="57" t="n">
        <v>-373.952073960705</v>
      </c>
      <c r="DU83" s="57" t="n">
        <v>-378.061437410823</v>
      </c>
      <c r="DV83" s="57" t="n">
        <v>-376.590537485769</v>
      </c>
      <c r="DW83" s="57" t="n">
        <v>-373.995480278811</v>
      </c>
      <c r="DX83" s="57" t="n">
        <v>-373.995480278811</v>
      </c>
      <c r="DY83" s="57" t="n">
        <v>-378.105320721435</v>
      </c>
      <c r="DZ83" s="57" t="n">
        <v>-376.625871256129</v>
      </c>
      <c r="EA83" s="57" t="n">
        <v>-369.863624794353</v>
      </c>
      <c r="EB83" s="57" t="n">
        <v>-373.973220625401</v>
      </c>
      <c r="EC83" s="57" t="n">
        <v>-378.08281645645</v>
      </c>
      <c r="ED83" s="57" t="n">
        <v>-376.59480616636</v>
      </c>
      <c r="EE83" s="57" t="n">
        <v>-369.774640807209</v>
      </c>
      <c r="EF83" s="57" t="n">
        <v>-373.883247927289</v>
      </c>
      <c r="EG83" s="57" t="n">
        <v>-377.991855047369</v>
      </c>
      <c r="EH83" s="57" t="n">
        <v>-376.495273595488</v>
      </c>
      <c r="EI83" s="57" t="n">
        <v>-369.616610884433</v>
      </c>
      <c r="EJ83" s="57" t="n">
        <v>-373.723462116482</v>
      </c>
      <c r="EK83" s="57" t="n">
        <v>-377.830313348532</v>
      </c>
      <c r="EL83" s="57" t="n">
        <v>-376.325151374578</v>
      </c>
      <c r="EM83" s="57" t="n">
        <v>-373.491708815651</v>
      </c>
      <c r="EN83" s="57" t="n">
        <v>-373.491708815651</v>
      </c>
      <c r="EO83" s="57" t="n">
        <v>-377.596013308131</v>
      </c>
    </row>
    <row r="84" customFormat="false" ht="15" hidden="false" customHeight="false" outlineLevel="0" collapsed="false">
      <c r="C84" s="0" t="s">
        <v>449</v>
      </c>
      <c r="D84" s="11" t="s">
        <v>33</v>
      </c>
      <c r="I84" s="47" t="n">
        <f aca="false">SUM(J84:EO84)</f>
        <v>272307.46702939</v>
      </c>
      <c r="J84" s="47" t="n">
        <f aca="false">(J80+J56+J83)*(J$4&gt;In_COD)</f>
        <v>-0</v>
      </c>
      <c r="K84" s="47" t="n">
        <f aca="false">(K80+K56+K83)*(K$4&gt;In_COD)</f>
        <v>-0</v>
      </c>
      <c r="L84" s="47" t="n">
        <f aca="false">(L80+L56+L83)*(L$4&gt;In_COD)</f>
        <v>-0</v>
      </c>
      <c r="M84" s="47" t="n">
        <f aca="false">(M80+M56+M83)*(M$4&gt;In_COD)</f>
        <v>-0</v>
      </c>
      <c r="N84" s="47" t="n">
        <f aca="false">(N80+N56+N83)*(N$4&gt;In_COD)</f>
        <v>-0</v>
      </c>
      <c r="O84" s="47" t="n">
        <f aca="false">(O80+O56+O83)*(O$4&gt;In_COD)</f>
        <v>-0</v>
      </c>
      <c r="P84" s="47" t="n">
        <f aca="false">(P80+P56+P83)*(P$4&gt;In_COD)</f>
        <v>-0</v>
      </c>
      <c r="Q84" s="47" t="n">
        <f aca="false">(Q80+Q56+Q83)*(Q$4&gt;In_COD)</f>
        <v>-0</v>
      </c>
      <c r="R84" s="47" t="n">
        <f aca="false">(R80+R56+R83)*(R$4&gt;In_COD)</f>
        <v>-0</v>
      </c>
      <c r="S84" s="47" t="n">
        <f aca="false">(S80+S56+S83)*(S$4&gt;In_COD)</f>
        <v>-0</v>
      </c>
      <c r="T84" s="47" t="n">
        <f aca="false">(T80+T56+T83)*(T$4&gt;In_COD)</f>
        <v>-0</v>
      </c>
      <c r="U84" s="47" t="n">
        <f aca="false">(U80+U56+U83)*(U$4&gt;In_COD)</f>
        <v>-0</v>
      </c>
      <c r="V84" s="47" t="n">
        <f aca="false">(V80+V56+V83)*(V$4&gt;In_COD)</f>
        <v>-0</v>
      </c>
      <c r="W84" s="47" t="n">
        <f aca="false">(W80+W56+W83)*(W$4&gt;In_COD)</f>
        <v>-0</v>
      </c>
      <c r="X84" s="47" t="n">
        <f aca="false">(X80+X56+X83)*(X$4&gt;In_COD)</f>
        <v>-0</v>
      </c>
      <c r="Y84" s="47" t="n">
        <f aca="false">(Y80+Y56+Y83)*(Y$4&gt;In_COD)</f>
        <v>-0</v>
      </c>
      <c r="Z84" s="47" t="n">
        <f aca="false">(Z80+Z56+Z83)*(Z$4&gt;In_COD)</f>
        <v>2341.99775277371</v>
      </c>
      <c r="AA84" s="47" t="n">
        <f aca="false">(AA80+AA56+AA83)*(AA$4&gt;In_COD)</f>
        <v>2306.44141717989</v>
      </c>
      <c r="AB84" s="47" t="n">
        <f aca="false">(AB80+AB56+AB83)*(AB$4&gt;In_COD)</f>
        <v>2331.01051385237</v>
      </c>
      <c r="AC84" s="47" t="n">
        <f aca="false">(AC80+AC56+AC83)*(AC$4&gt;In_COD)</f>
        <v>2355.56181980505</v>
      </c>
      <c r="AD84" s="47" t="n">
        <f aca="false">(AD80+AD56+AD83)*(AD$4&gt;In_COD)</f>
        <v>2347.22985725595</v>
      </c>
      <c r="AE84" s="47" t="n">
        <f aca="false">(AE80+AE56+AE83)*(AE$4&gt;In_COD)</f>
        <v>2336.47011679565</v>
      </c>
      <c r="AF84" s="47" t="n">
        <f aca="false">(AF80+AF56+AF83)*(AF$4&gt;In_COD)</f>
        <v>2335.97367797749</v>
      </c>
      <c r="AG84" s="47" t="n">
        <f aca="false">(AG80+AG56+AG83)*(AG$4&gt;In_COD)</f>
        <v>2360.57412309875</v>
      </c>
      <c r="AH84" s="47" t="n">
        <f aca="false">(AH80+AH56+AH83)*(AH$4&gt;In_COD)</f>
        <v>2352.16515003275</v>
      </c>
      <c r="AI84" s="47" t="n">
        <f aca="false">(AI80+AI56+AI83)*(AI$4&gt;In_COD)</f>
        <v>2315.99247065634</v>
      </c>
      <c r="AJ84" s="47" t="n">
        <f aca="false">(AJ80+AJ56+AJ83)*(AJ$4&gt;In_COD)</f>
        <v>2371.32631847655</v>
      </c>
      <c r="AK84" s="47" t="n">
        <f aca="false">(AK80+AK56+AK83)*(AK$4&gt;In_COD)</f>
        <v>2396.29477664678</v>
      </c>
      <c r="AL84" s="47" t="n">
        <f aca="false">(AL80+AL56+AL83)*(AL$4&gt;In_COD)</f>
        <v>2358.23507375979</v>
      </c>
      <c r="AM84" s="47" t="n">
        <f aca="false">(AM80+AM56+AM83)*(AM$4&gt;In_COD)</f>
        <v>2321.06119367998</v>
      </c>
      <c r="AN84" s="47" t="n">
        <f aca="false">(AN80+AN56+AN83)*(AN$4&gt;In_COD)</f>
        <v>2344.70328279144</v>
      </c>
      <c r="AO84" s="47" t="n">
        <f aca="false">(AO80+AO56+AO83)*(AO$4&gt;In_COD)</f>
        <v>2368.3086030426</v>
      </c>
      <c r="AP84" s="47" t="n">
        <f aca="false">(AP80+AP56+AP83)*(AP$4&gt;In_COD)</f>
        <v>2359.81104411134</v>
      </c>
      <c r="AQ84" s="47" t="n">
        <f aca="false">(AQ80+AQ56+AQ83)*(AQ$4&gt;In_COD)</f>
        <v>2322.31553314358</v>
      </c>
      <c r="AR84" s="47" t="n">
        <f aca="false">(AR80+AR56+AR83)*(AR$4&gt;In_COD)</f>
        <v>2345.96404425659</v>
      </c>
      <c r="AS84" s="47" t="n">
        <f aca="false">(AS80+AS56+AS83)*(AS$4&gt;In_COD)</f>
        <v>2369.5750579932</v>
      </c>
      <c r="AT84" s="47" t="n">
        <f aca="false">(AT80+AT56+AT83)*(AT$4&gt;In_COD)</f>
        <v>2360.9721376037</v>
      </c>
      <c r="AU84" s="47" t="n">
        <f aca="false">(AU80+AU56+AU83)*(AU$4&gt;In_COD)</f>
        <v>2348.00172382708</v>
      </c>
      <c r="AV84" s="47" t="n">
        <f aca="false">(AV80+AV56+AV83)*(AV$4&gt;In_COD)</f>
        <v>2346.77604335592</v>
      </c>
      <c r="AW84" s="47" t="n">
        <f aca="false">(AW80+AW56+AW83)*(AW$4&gt;In_COD)</f>
        <v>2370.38786363891</v>
      </c>
      <c r="AX84" s="47" t="n">
        <f aca="false">(AX80+AX56+AX83)*(AX$4&gt;In_COD)</f>
        <v>2361.67656802475</v>
      </c>
      <c r="AY84" s="47" t="n">
        <f aca="false">(AY80+AY56+AY83)*(AY$4&gt;In_COD)</f>
        <v>2323.52269723423</v>
      </c>
      <c r="AZ84" s="47" t="n">
        <f aca="false">(AZ80+AZ56+AZ83)*(AZ$4&gt;In_COD)</f>
        <v>2347.16983962627</v>
      </c>
      <c r="BA84" s="47" t="n">
        <f aca="false">(BA80+BA56+BA83)*(BA$4&gt;In_COD)</f>
        <v>2370.77794165824</v>
      </c>
      <c r="BB84" s="47" t="n">
        <f aca="false">(BB80+BB56+BB83)*(BB$4&gt;In_COD)</f>
        <v>2361.95570094701</v>
      </c>
      <c r="BC84" s="47" t="n">
        <f aca="false">(BC80+BC56+BC83)*(BC$4&gt;In_COD)</f>
        <v>2323.46508575027</v>
      </c>
      <c r="BD84" s="47" t="n">
        <f aca="false">(BD80+BD56+BD83)*(BD$4&gt;In_COD)</f>
        <v>2347.10433596509</v>
      </c>
      <c r="BE84" s="47" t="n">
        <f aca="false">(BE80+BE56+BE83)*(BE$4&gt;In_COD)</f>
        <v>2370.70373205806</v>
      </c>
      <c r="BF84" s="47" t="n">
        <f aca="false">(BF80+BF56+BF83)*(BF$4&gt;In_COD)</f>
        <v>2361.76758783092</v>
      </c>
      <c r="BG84" s="47" t="n">
        <f aca="false">(BG80+BG56+BG83)*(BG$4&gt;In_COD)</f>
        <v>2322.93489497533</v>
      </c>
      <c r="BH84" s="47" t="n">
        <f aca="false">(BH80+BH56+BH83)*(BH$4&gt;In_COD)</f>
        <v>2346.56109464684</v>
      </c>
      <c r="BI84" s="47" t="n">
        <f aca="false">(BI80+BI56+BI83)*(BI$4&gt;In_COD)</f>
        <v>2370.1465954785</v>
      </c>
      <c r="BJ84" s="47" t="n">
        <f aca="false">(BJ80+BJ56+BJ83)*(BJ$4&gt;In_COD)</f>
        <v>2361.09346718172</v>
      </c>
      <c r="BK84" s="47" t="n">
        <f aca="false">(BK80+BK56+BK83)*(BK$4&gt;In_COD)</f>
        <v>2346.9914269225</v>
      </c>
      <c r="BL84" s="47" t="n">
        <f aca="false">(BL80+BL56+BL83)*(BL$4&gt;In_COD)</f>
        <v>2345.4963465067</v>
      </c>
      <c r="BM84" s="47" t="n">
        <f aca="false">(BM80+BM56+BM83)*(BM$4&gt;In_COD)</f>
        <v>2369.06226965084</v>
      </c>
      <c r="BN84" s="47" t="n">
        <f aca="false">(BN80+BN56+BN83)*(BN$4&gt;In_COD)</f>
        <v>2359.88866196912</v>
      </c>
      <c r="BO84" s="47" t="n">
        <f aca="false">(BO80+BO56+BO83)*(BO$4&gt;In_COD)</f>
        <v>2320.3548789522</v>
      </c>
      <c r="BP84" s="47" t="n">
        <f aca="false">(BP80+BP56+BP83)*(BP$4&gt;In_COD)</f>
        <v>2343.93836913525</v>
      </c>
      <c r="BQ84" s="47" t="n">
        <f aca="false">(BQ80+BQ56+BQ83)*(BQ$4&gt;In_COD)</f>
        <v>2367.4793691496</v>
      </c>
      <c r="BR84" s="47" t="n">
        <f aca="false">(BR80+BR56+BR83)*(BR$4&gt;In_COD)</f>
        <v>2358.18221390906</v>
      </c>
      <c r="BS84" s="47" t="n">
        <f aca="false">(BS80+BS56+BS83)*(BS$4&gt;In_COD)</f>
        <v>2318.28935664028</v>
      </c>
      <c r="BT84" s="47" t="n">
        <f aca="false">(BT80+BT56+BT83)*(BT$4&gt;In_COD)</f>
        <v>2341.84302790067</v>
      </c>
      <c r="BU84" s="47" t="n">
        <f aca="false">(BU80+BU56+BU83)*(BU$4&gt;In_COD)</f>
        <v>2365.35326262029</v>
      </c>
      <c r="BV84" s="47" t="n">
        <f aca="false">(BV80+BV56+BV83)*(BV$4&gt;In_COD)</f>
        <v>2355.92907779058</v>
      </c>
      <c r="BW84" s="47" t="n">
        <f aca="false">(BW80+BW56+BW83)*(BW$4&gt;In_COD)</f>
        <v>2315.67113479874</v>
      </c>
      <c r="BX84" s="47" t="n">
        <f aca="false">(BX80+BX56+BX83)*(BX$4&gt;In_COD)</f>
        <v>2339.18894762736</v>
      </c>
      <c r="BY84" s="47" t="n">
        <f aca="false">(BY80+BY56+BY83)*(BY$4&gt;In_COD)</f>
        <v>2362.66234060229</v>
      </c>
      <c r="BZ84" s="47" t="n">
        <f aca="false">(BZ80+BZ56+BZ83)*(BZ$4&gt;In_COD)</f>
        <v>2353.10749812527</v>
      </c>
      <c r="CA84" s="47" t="n">
        <f aca="false">(CA80+CA56+CA83)*(CA$4&gt;In_COD)</f>
        <v>2337.74403859905</v>
      </c>
      <c r="CB84" s="47" t="n">
        <f aca="false">(CB80+CB56+CB83)*(CB$4&gt;In_COD)</f>
        <v>2335.92912005568</v>
      </c>
      <c r="CC84" s="47" t="n">
        <f aca="false">(CC80+CC56+CC83)*(CC$4&gt;In_COD)</f>
        <v>2359.35906563667</v>
      </c>
      <c r="CD84" s="47" t="n">
        <f aca="false">(CD80+CD56+CD83)*(CD$4&gt;In_COD)</f>
        <v>2349.66949554291</v>
      </c>
      <c r="CE84" s="47" t="n">
        <f aca="false">(CE80+CE56+CE83)*(CE$4&gt;In_COD)</f>
        <v>2308.66229969319</v>
      </c>
      <c r="CF84" s="47" t="n">
        <f aca="false">(CF80+CF56+CF83)*(CF$4&gt;In_COD)</f>
        <v>2332.08900548426</v>
      </c>
      <c r="CG84" s="47" t="n">
        <f aca="false">(CG80+CG56+CG83)*(CG$4&gt;In_COD)</f>
        <v>2355.46920379882</v>
      </c>
      <c r="CH84" s="47" t="n">
        <f aca="false">(CH80+CH56+CH83)*(CH$4&gt;In_COD)</f>
        <v>2345.6412412883</v>
      </c>
      <c r="CI84" s="47" t="n">
        <f aca="false">(CI80+CI56+CI83)*(CI$4&gt;In_COD)</f>
        <v>2304.24976072481</v>
      </c>
      <c r="CJ84" s="47" t="n">
        <f aca="false">(CJ80+CJ56+CJ83)*(CJ$4&gt;In_COD)</f>
        <v>2327.62098847876</v>
      </c>
      <c r="CK84" s="47" t="n">
        <f aca="false">(CK80+CK56+CK83)*(CK$4&gt;In_COD)</f>
        <v>2350.94460411356</v>
      </c>
      <c r="CL84" s="47" t="n">
        <f aca="false">(CL80+CL56+CL83)*(CL$4&gt;In_COD)</f>
        <v>2340.97414109793</v>
      </c>
      <c r="CM84" s="47" t="n">
        <f aca="false">(CM80+CM56+CM83)*(CM$4&gt;In_COD)</f>
        <v>2299.1915702172</v>
      </c>
      <c r="CN84" s="47" t="n">
        <f aca="false">(CN80+CN56+CN83)*(CN$4&gt;In_COD)</f>
        <v>2322.50025606241</v>
      </c>
      <c r="CO84" s="47" t="n">
        <f aca="false">(CO80+CO56+CO83)*(CO$4&gt;In_COD)</f>
        <v>2345.76018102784</v>
      </c>
      <c r="CP84" s="47" t="n">
        <f aca="false">(CP80+CP56+CP83)*(CP$4&gt;In_COD)</f>
        <v>2335.64293473684</v>
      </c>
      <c r="CQ84" s="47" t="n">
        <f aca="false">(CQ80+CQ56+CQ83)*(CQ$4&gt;In_COD)</f>
        <v>2318.87087972523</v>
      </c>
      <c r="CR84" s="47" t="n">
        <f aca="false">(CR80+CR56+CR83)*(CR$4&gt;In_COD)</f>
        <v>2316.67608310699</v>
      </c>
      <c r="CS84" s="47" t="n">
        <f aca="false">(CS80+CS56+CS83)*(CS$4&gt;In_COD)</f>
        <v>2339.86463874122</v>
      </c>
      <c r="CT84" s="47" t="n">
        <f aca="false">(CT80+CT56+CT83)*(CT$4&gt;In_COD)</f>
        <v>2329.59585287149</v>
      </c>
      <c r="CU84" s="47" t="n">
        <f aca="false">(CU80+CU56+CU83)*(CU$4&gt;In_COD)</f>
        <v>2289.29840831076</v>
      </c>
      <c r="CV84" s="47" t="n">
        <f aca="false">(CV80+CV56+CV83)*(CV$4&gt;In_COD)</f>
        <v>2314.73505729199</v>
      </c>
      <c r="CW84" s="47" t="n">
        <f aca="false">(CW80+CW56+CW83)*(CW$4&gt;In_COD)</f>
        <v>2340.17170627322</v>
      </c>
      <c r="CX84" s="47" t="n">
        <f aca="false">(CX80+CX56+CX83)*(CX$4&gt;In_COD)</f>
        <v>2332.12566741845</v>
      </c>
      <c r="CY84" s="47" t="n">
        <f aca="false">(CY80+CY56+CY83)*(CY$4&gt;In_COD)</f>
        <v>2291.52460580205</v>
      </c>
      <c r="CZ84" s="47" t="n">
        <f aca="false">(CZ80+CZ56+CZ83)*(CZ$4&gt;In_COD)</f>
        <v>2316.98599031096</v>
      </c>
      <c r="DA84" s="47" t="n">
        <f aca="false">(DA80+DA56+DA83)*(DA$4&gt;In_COD)</f>
        <v>2342.44737481988</v>
      </c>
      <c r="DB84" s="47" t="n">
        <f aca="false">(DB80+DB56+DB83)*(DB$4&gt;In_COD)</f>
        <v>2127.75796595667</v>
      </c>
      <c r="DC84" s="47" t="n">
        <f aca="false">(DC80+DC56+DC83)*(DC$4&gt;In_COD)</f>
        <v>2091.34156892558</v>
      </c>
      <c r="DD84" s="47" t="n">
        <f aca="false">(DD80+DD56+DD83)*(DD$4&gt;In_COD)</f>
        <v>2114.5786974692</v>
      </c>
      <c r="DE84" s="47" t="n">
        <f aca="false">(DE80+DE56+DE83)*(DE$4&gt;In_COD)</f>
        <v>2137.81582601281</v>
      </c>
      <c r="DF84" s="47" t="n">
        <f aca="false">(DF80+DF56+DF83)*(DF$4&gt;In_COD)</f>
        <v>2129.67377475099</v>
      </c>
      <c r="DG84" s="47" t="n">
        <f aca="false">(DG80+DG56+DG83)*(DG$4&gt;In_COD)</f>
        <v>2116.20284972323</v>
      </c>
      <c r="DH84" s="47" t="n">
        <f aca="false">(DH80+DH56+DH83)*(DH$4&gt;In_COD)</f>
        <v>2116.20284972323</v>
      </c>
      <c r="DI84" s="47" t="n">
        <f aca="false">(DI80+DI56+DI83)*(DI$4&gt;In_COD)</f>
        <v>2139.45782609381</v>
      </c>
      <c r="DJ84" s="47" t="n">
        <f aca="false">(DJ80+DJ56+DJ83)*(DJ$4&gt;In_COD)</f>
        <v>2131.26763373715</v>
      </c>
      <c r="DK84" s="47" t="n">
        <f aca="false">(DK80+DK56+DK83)*(DK$4&gt;In_COD)</f>
        <v>2094.22922134031</v>
      </c>
      <c r="DL84" s="47" t="n">
        <f aca="false">(DL80+DL56+DL83)*(DL$4&gt;In_COD)</f>
        <v>2117.49843491076</v>
      </c>
      <c r="DM84" s="47" t="n">
        <f aca="false">(DM80+DM56+DM83)*(DM$4&gt;In_COD)</f>
        <v>2140.76764848121</v>
      </c>
      <c r="DN84" s="47" t="n">
        <f aca="false">(DN80+DN56+DN83)*(DN$4&gt;In_COD)</f>
        <v>2132.52923118543</v>
      </c>
      <c r="DO84" s="47" t="n">
        <f aca="false">(DO80+DO56+DO83)*(DO$4&gt;In_COD)</f>
        <v>2095.17525809415</v>
      </c>
      <c r="DP84" s="47" t="n">
        <f aca="false">(DP80+DP56+DP83)*(DP$4&gt;In_COD)</f>
        <v>2118.45498318409</v>
      </c>
      <c r="DQ84" s="47" t="n">
        <f aca="false">(DQ80+DQ56+DQ83)*(DQ$4&gt;In_COD)</f>
        <v>2141.73470827402</v>
      </c>
      <c r="DR84" s="47" t="n">
        <f aca="false">(DR80+DR56+DR83)*(DR$4&gt;In_COD)</f>
        <v>2133.4479869401</v>
      </c>
      <c r="DS84" s="47" t="n">
        <f aca="false">(DS80+DS56+DS83)*(DS$4&gt;In_COD)</f>
        <v>2095.77535956</v>
      </c>
      <c r="DT84" s="47" t="n">
        <f aca="false">(DT80+DT56+DT83)*(DT$4&gt;In_COD)</f>
        <v>2119.061752444</v>
      </c>
      <c r="DU84" s="47" t="n">
        <f aca="false">(DU80+DU56+DU83)*(DU$4&gt;In_COD)</f>
        <v>2142.348145328</v>
      </c>
      <c r="DV84" s="47" t="n">
        <f aca="false">(DV80+DV56+DV83)*(DV$4&gt;In_COD)</f>
        <v>2134.01304575269</v>
      </c>
      <c r="DW84" s="47" t="n">
        <f aca="false">(DW80+DW56+DW83)*(DW$4&gt;In_COD)</f>
        <v>2119.30772157993</v>
      </c>
      <c r="DX84" s="47" t="n">
        <f aca="false">(DX80+DX56+DX83)*(DX$4&gt;In_COD)</f>
        <v>2119.30772157993</v>
      </c>
      <c r="DY84" s="47" t="n">
        <f aca="false">(DY80+DY56+DY83)*(DY$4&gt;In_COD)</f>
        <v>2142.59681742147</v>
      </c>
      <c r="DZ84" s="47" t="n">
        <f aca="false">(DZ80+DZ56+DZ83)*(DZ$4&gt;In_COD)</f>
        <v>2134.2132704514</v>
      </c>
      <c r="EA84" s="47" t="n">
        <f aca="false">(EA80+EA56+EA83)*(EA$4&gt;In_COD)</f>
        <v>2095.89387383467</v>
      </c>
      <c r="EB84" s="47" t="n">
        <f aca="false">(EB80+EB56+EB83)*(EB$4&gt;In_COD)</f>
        <v>2119.18158354395</v>
      </c>
      <c r="EC84" s="47" t="n">
        <f aca="false">(EC80+EC56+EC83)*(EC$4&gt;In_COD)</f>
        <v>2142.46929325322</v>
      </c>
      <c r="ED84" s="47" t="n">
        <f aca="false">(ED80+ED56+ED83)*(ED$4&gt;In_COD)</f>
        <v>2134.03723494271</v>
      </c>
      <c r="EE84" s="47" t="n">
        <f aca="false">(EE80+EE56+EE83)*(EE$4&gt;In_COD)</f>
        <v>2095.38963124086</v>
      </c>
      <c r="EF84" s="47" t="n">
        <f aca="false">(EF80+EF56+EF83)*(EF$4&gt;In_COD)</f>
        <v>2118.67173825464</v>
      </c>
      <c r="EG84" s="47" t="n">
        <f aca="false">(EG80+EG56+EG83)*(EG$4&gt;In_COD)</f>
        <v>2141.95384526843</v>
      </c>
      <c r="EH84" s="47" t="n">
        <f aca="false">(EH80+EH56+EH83)*(EH$4&gt;In_COD)</f>
        <v>2133.47321704111</v>
      </c>
      <c r="EI84" s="47" t="n">
        <f aca="false">(EI80+EI56+EI83)*(EI$4&gt;In_COD)</f>
        <v>2094.49412834513</v>
      </c>
      <c r="EJ84" s="47" t="n">
        <f aca="false">(EJ80+EJ56+EJ83)*(EJ$4&gt;In_COD)</f>
        <v>2117.76628532674</v>
      </c>
      <c r="EK84" s="47" t="n">
        <f aca="false">(EK80+EK56+EK83)*(EK$4&gt;In_COD)</f>
        <v>2141.03844230835</v>
      </c>
      <c r="EL84" s="47" t="n">
        <f aca="false">(EL80+EL56+EL83)*(EL$4&gt;In_COD)</f>
        <v>2132.50919112262</v>
      </c>
      <c r="EM84" s="47" t="n">
        <f aca="false">(EM80+EM56+EM83)*(EM$4&gt;In_COD)</f>
        <v>2116.45301662203</v>
      </c>
      <c r="EN84" s="47" t="n">
        <f aca="false">(EN80+EN56+EN83)*(EN$4&gt;In_COD)</f>
        <v>2116.45301662203</v>
      </c>
      <c r="EO84" s="47" t="n">
        <f aca="false">(EO80+EO56+EO83)*(EO$4&gt;In_COD)</f>
        <v>2139.71074207941</v>
      </c>
    </row>
    <row r="85" customFormat="false" ht="15" hidden="false" customHeight="false" outlineLevel="0" collapsed="false">
      <c r="C85" s="0" t="s">
        <v>450</v>
      </c>
      <c r="D85" s="11" t="s">
        <v>33</v>
      </c>
      <c r="E85" s="47" t="n">
        <f aca="false">SUMPRODUCT($J85:$EO85/$J22:$EO22)*$E22</f>
        <v>92452.503444118</v>
      </c>
      <c r="I85" s="47" t="n">
        <f aca="false">SUM(J85:EO85)</f>
        <v>140688.605689638</v>
      </c>
      <c r="J85" s="47" t="n">
        <f aca="false">J84/In_DSCR*J18</f>
        <v>-0</v>
      </c>
      <c r="K85" s="47" t="n">
        <f aca="false">K84/In_DSCR*K18</f>
        <v>-0</v>
      </c>
      <c r="L85" s="47" t="n">
        <f aca="false">L84/In_DSCR*L18</f>
        <v>-0</v>
      </c>
      <c r="M85" s="47" t="n">
        <f aca="false">M84/In_DSCR*M18</f>
        <v>-0</v>
      </c>
      <c r="N85" s="47" t="n">
        <f aca="false">N84/In_DSCR*N18</f>
        <v>-0</v>
      </c>
      <c r="O85" s="47" t="n">
        <f aca="false">O84/In_DSCR*O18</f>
        <v>-0</v>
      </c>
      <c r="P85" s="47" t="n">
        <f aca="false">P84/In_DSCR*P18</f>
        <v>-0</v>
      </c>
      <c r="Q85" s="47" t="n">
        <f aca="false">Q84/In_DSCR*Q18</f>
        <v>-0</v>
      </c>
      <c r="R85" s="47" t="n">
        <f aca="false">R84/In_DSCR*R18</f>
        <v>-0</v>
      </c>
      <c r="S85" s="47" t="n">
        <f aca="false">S84/In_DSCR*S18</f>
        <v>-0</v>
      </c>
      <c r="T85" s="47" t="n">
        <f aca="false">T84/In_DSCR*T18</f>
        <v>-0</v>
      </c>
      <c r="U85" s="47" t="n">
        <f aca="false">U84/In_DSCR*U18</f>
        <v>-0</v>
      </c>
      <c r="V85" s="47" t="n">
        <f aca="false">V84/In_DSCR*V18</f>
        <v>-0</v>
      </c>
      <c r="W85" s="47" t="n">
        <f aca="false">W84/In_DSCR*W18</f>
        <v>-0</v>
      </c>
      <c r="X85" s="47" t="n">
        <f aca="false">X84/In_DSCR*X18</f>
        <v>-0</v>
      </c>
      <c r="Y85" s="47" t="n">
        <f aca="false">Y84/In_DSCR*Y18</f>
        <v>-0</v>
      </c>
      <c r="Z85" s="47" t="n">
        <f aca="false">Z84/In_DSCR*Z18</f>
        <v>1951.66479397809</v>
      </c>
      <c r="AA85" s="47" t="n">
        <f aca="false">AA84/In_DSCR*AA18</f>
        <v>1922.03451431658</v>
      </c>
      <c r="AB85" s="47" t="n">
        <f aca="false">AB84/In_DSCR*AB18</f>
        <v>1942.50876154364</v>
      </c>
      <c r="AC85" s="47" t="n">
        <f aca="false">AC84/In_DSCR*AC18</f>
        <v>1962.96818317087</v>
      </c>
      <c r="AD85" s="47" t="n">
        <f aca="false">AD84/In_DSCR*AD18</f>
        <v>1956.02488104663</v>
      </c>
      <c r="AE85" s="47" t="n">
        <f aca="false">AE84/In_DSCR*AE18</f>
        <v>1947.05843066304</v>
      </c>
      <c r="AF85" s="47" t="n">
        <f aca="false">AF84/In_DSCR*AF18</f>
        <v>1946.64473164791</v>
      </c>
      <c r="AG85" s="47" t="n">
        <f aca="false">AG84/In_DSCR*AG18</f>
        <v>1967.14510258229</v>
      </c>
      <c r="AH85" s="47" t="n">
        <f aca="false">AH84/In_DSCR*AH18</f>
        <v>1960.13762502729</v>
      </c>
      <c r="AI85" s="47" t="n">
        <f aca="false">AI84/In_DSCR*AI18</f>
        <v>1929.99372554695</v>
      </c>
      <c r="AJ85" s="47" t="n">
        <f aca="false">AJ84/In_DSCR*AJ18</f>
        <v>1976.10526539713</v>
      </c>
      <c r="AK85" s="47" t="n">
        <f aca="false">AK84/In_DSCR*AK18</f>
        <v>1996.91231387232</v>
      </c>
      <c r="AL85" s="47" t="n">
        <f aca="false">AL84/In_DSCR*AL18</f>
        <v>1965.19589479982</v>
      </c>
      <c r="AM85" s="47" t="n">
        <f aca="false">AM84/In_DSCR*AM18</f>
        <v>1934.21766139999</v>
      </c>
      <c r="AN85" s="47" t="n">
        <f aca="false">AN84/In_DSCR*AN18</f>
        <v>1953.9194023262</v>
      </c>
      <c r="AO85" s="47" t="n">
        <f aca="false">AO84/In_DSCR*AO18</f>
        <v>1973.5905025355</v>
      </c>
      <c r="AP85" s="47" t="n">
        <f aca="false">AP84/In_DSCR*AP18</f>
        <v>1966.50920342612</v>
      </c>
      <c r="AQ85" s="47" t="n">
        <f aca="false">AQ84/In_DSCR*AQ18</f>
        <v>1935.26294428632</v>
      </c>
      <c r="AR85" s="47" t="n">
        <f aca="false">AR84/In_DSCR*AR18</f>
        <v>1954.97003688049</v>
      </c>
      <c r="AS85" s="47" t="n">
        <f aca="false">AS84/In_DSCR*AS18</f>
        <v>1974.645881661</v>
      </c>
      <c r="AT85" s="47" t="n">
        <f aca="false">AT84/In_DSCR*AT18</f>
        <v>1967.47678133642</v>
      </c>
      <c r="AU85" s="47" t="n">
        <f aca="false">AU84/In_DSCR*AU18</f>
        <v>1956.66810318923</v>
      </c>
      <c r="AV85" s="47" t="n">
        <f aca="false">AV84/In_DSCR*AV18</f>
        <v>1955.6467027966</v>
      </c>
      <c r="AW85" s="47" t="n">
        <f aca="false">AW84/In_DSCR*AW18</f>
        <v>1975.32321969909</v>
      </c>
      <c r="AX85" s="47" t="n">
        <f aca="false">AX84/In_DSCR*AX18</f>
        <v>1968.06380668729</v>
      </c>
      <c r="AY85" s="47" t="n">
        <f aca="false">AY84/In_DSCR*AY18</f>
        <v>1936.26891436186</v>
      </c>
      <c r="AZ85" s="47" t="n">
        <f aca="false">AZ84/In_DSCR*AZ18</f>
        <v>1955.97486635522</v>
      </c>
      <c r="BA85" s="47" t="n">
        <f aca="false">BA84/In_DSCR*BA18</f>
        <v>1975.6482847152</v>
      </c>
      <c r="BB85" s="47" t="n">
        <f aca="false">BB84/In_DSCR*BB18</f>
        <v>1968.29641745584</v>
      </c>
      <c r="BC85" s="47" t="n">
        <f aca="false">BC84/In_DSCR*BC18</f>
        <v>1936.22090479189</v>
      </c>
      <c r="BD85" s="47" t="n">
        <f aca="false">BD84/In_DSCR*BD18</f>
        <v>1955.92027997091</v>
      </c>
      <c r="BE85" s="47" t="n">
        <f aca="false">BE84/In_DSCR*BE18</f>
        <v>1975.58644338172</v>
      </c>
      <c r="BF85" s="47" t="n">
        <f aca="false">BF84/In_DSCR*BF18</f>
        <v>1968.13965652576</v>
      </c>
      <c r="BG85" s="47" t="n">
        <f aca="false">BG84/In_DSCR*BG18</f>
        <v>1935.77907914611</v>
      </c>
      <c r="BH85" s="47" t="n">
        <f aca="false">BH84/In_DSCR*BH18</f>
        <v>1955.46757887237</v>
      </c>
      <c r="BI85" s="47" t="n">
        <f aca="false">BI84/In_DSCR*BI18</f>
        <v>1975.12216289875</v>
      </c>
      <c r="BJ85" s="47" t="n">
        <f aca="false">BJ84/In_DSCR*BJ18</f>
        <v>1967.5778893181</v>
      </c>
      <c r="BK85" s="47" t="n">
        <f aca="false">BK84/In_DSCR*BK18</f>
        <v>1955.82618910208</v>
      </c>
      <c r="BL85" s="47" t="n">
        <f aca="false">BL84/In_DSCR*BL18</f>
        <v>1954.58028875558</v>
      </c>
      <c r="BM85" s="47" t="n">
        <f aca="false">BM84/In_DSCR*BM18</f>
        <v>1974.21855804237</v>
      </c>
      <c r="BN85" s="47" t="n">
        <f aca="false">BN84/In_DSCR*BN18</f>
        <v>1966.57388497426</v>
      </c>
      <c r="BO85" s="47" t="n">
        <f aca="false">BO84/In_DSCR*BO18</f>
        <v>1933.6290657935</v>
      </c>
      <c r="BP85" s="47" t="n">
        <f aca="false">BP84/In_DSCR*BP18</f>
        <v>1953.28197427938</v>
      </c>
      <c r="BQ85" s="47" t="n">
        <f aca="false">BQ84/In_DSCR*BQ18</f>
        <v>1972.89947429133</v>
      </c>
      <c r="BR85" s="47" t="n">
        <f aca="false">BR84/In_DSCR*BR18</f>
        <v>1965.15184492422</v>
      </c>
      <c r="BS85" s="47" t="n">
        <f aca="false">BS84/In_DSCR*BS18</f>
        <v>1931.90779720023</v>
      </c>
      <c r="BT85" s="47" t="n">
        <f aca="false">BT84/In_DSCR*BT18</f>
        <v>1951.53585658389</v>
      </c>
      <c r="BU85" s="47" t="n">
        <f aca="false">BU84/In_DSCR*BU18</f>
        <v>1971.12771885024</v>
      </c>
      <c r="BV85" s="47" t="n">
        <f aca="false">BV84/In_DSCR*BV18</f>
        <v>1963.27423149215</v>
      </c>
      <c r="BW85" s="47" t="n">
        <f aca="false">BW84/In_DSCR*BW18</f>
        <v>1929.72594566561</v>
      </c>
      <c r="BX85" s="47" t="n">
        <f aca="false">BX84/In_DSCR*BX18</f>
        <v>1949.3241230228</v>
      </c>
      <c r="BY85" s="47" t="n">
        <f aca="false">BY84/In_DSCR*BY18</f>
        <v>1968.88528383524</v>
      </c>
      <c r="BZ85" s="47" t="n">
        <f aca="false">BZ84/In_DSCR*BZ18</f>
        <v>1960.92291510439</v>
      </c>
      <c r="CA85" s="47" t="n">
        <f aca="false">CA84/In_DSCR*CA18</f>
        <v>1948.12003216588</v>
      </c>
      <c r="CB85" s="47" t="n">
        <f aca="false">CB84/In_DSCR*CB18</f>
        <v>1946.6076000464</v>
      </c>
      <c r="CC85" s="47" t="n">
        <f aca="false">CC84/In_DSCR*CC18</f>
        <v>1966.13255469723</v>
      </c>
      <c r="CD85" s="47" t="n">
        <f aca="false">CD84/In_DSCR*CD18</f>
        <v>1958.05791295243</v>
      </c>
      <c r="CE85" s="47" t="n">
        <f aca="false">CE84/In_DSCR*CE18</f>
        <v>1923.88524974433</v>
      </c>
      <c r="CF85" s="47" t="n">
        <f aca="false">CF84/In_DSCR*CF18</f>
        <v>1943.40750457021</v>
      </c>
      <c r="CG85" s="47" t="n">
        <f aca="false">CG84/In_DSCR*CG18</f>
        <v>1962.89100316568</v>
      </c>
      <c r="CH85" s="47" t="n">
        <f aca="false">CH84/In_DSCR*CH18</f>
        <v>1954.70103440691</v>
      </c>
      <c r="CI85" s="47" t="n">
        <f aca="false">CI84/In_DSCR*CI18</f>
        <v>1920.20813393735</v>
      </c>
      <c r="CJ85" s="47" t="n">
        <f aca="false">CJ84/In_DSCR*CJ18</f>
        <v>1939.68415706563</v>
      </c>
      <c r="CK85" s="47" t="n">
        <f aca="false">CK84/In_DSCR*CK18</f>
        <v>1959.12050342797</v>
      </c>
      <c r="CL85" s="47" t="n">
        <f aca="false">CL84/In_DSCR*CL18</f>
        <v>1950.81178424828</v>
      </c>
      <c r="CM85" s="47" t="n">
        <f aca="false">CM84/In_DSCR*CM18</f>
        <v>1915.992975181</v>
      </c>
      <c r="CN85" s="47" t="n">
        <f aca="false">CN84/In_DSCR*CN18</f>
        <v>1935.41688005201</v>
      </c>
      <c r="CO85" s="47" t="n">
        <f aca="false">CO84/In_DSCR*CO18</f>
        <v>1954.80015085654</v>
      </c>
      <c r="CP85" s="47" t="n">
        <f aca="false">CP84/In_DSCR*CP18</f>
        <v>1946.3691122807</v>
      </c>
      <c r="CQ85" s="47" t="n">
        <f aca="false">CQ84/In_DSCR*CQ18</f>
        <v>1932.39239977102</v>
      </c>
      <c r="CR85" s="47" t="n">
        <f aca="false">CR84/In_DSCR*CR18</f>
        <v>1930.56340258916</v>
      </c>
      <c r="CS85" s="47" t="n">
        <f aca="false">CS84/In_DSCR*CS18</f>
        <v>1949.88719895101</v>
      </c>
      <c r="CT85" s="47" t="n">
        <f aca="false">CT84/In_DSCR*CT18</f>
        <v>0</v>
      </c>
      <c r="CU85" s="47" t="n">
        <f aca="false">CU84/In_DSCR*CU18</f>
        <v>0</v>
      </c>
      <c r="CV85" s="47" t="n">
        <f aca="false">CV84/In_DSCR*CV18</f>
        <v>0</v>
      </c>
      <c r="CW85" s="47" t="n">
        <f aca="false">CW84/In_DSCR*CW18</f>
        <v>0</v>
      </c>
      <c r="CX85" s="47" t="n">
        <f aca="false">CX84/In_DSCR*CX18</f>
        <v>0</v>
      </c>
      <c r="CY85" s="47" t="n">
        <f aca="false">CY84/In_DSCR*CY18</f>
        <v>0</v>
      </c>
      <c r="CZ85" s="47" t="n">
        <f aca="false">CZ84/In_DSCR*CZ18</f>
        <v>0</v>
      </c>
      <c r="DA85" s="47" t="n">
        <f aca="false">DA84/In_DSCR*DA18</f>
        <v>0</v>
      </c>
      <c r="DB85" s="47" t="n">
        <f aca="false">DB84/In_DSCR*DB18</f>
        <v>0</v>
      </c>
      <c r="DC85" s="47" t="n">
        <f aca="false">DC84/In_DSCR*DC18</f>
        <v>0</v>
      </c>
      <c r="DD85" s="47" t="n">
        <f aca="false">DD84/In_DSCR*DD18</f>
        <v>0</v>
      </c>
      <c r="DE85" s="47" t="n">
        <f aca="false">DE84/In_DSCR*DE18</f>
        <v>0</v>
      </c>
      <c r="DF85" s="47" t="n">
        <f aca="false">DF84/In_DSCR*DF18</f>
        <v>0</v>
      </c>
      <c r="DG85" s="47" t="n">
        <f aca="false">DG84/In_DSCR*DG18</f>
        <v>0</v>
      </c>
      <c r="DH85" s="47" t="n">
        <f aca="false">DH84/In_DSCR*DH18</f>
        <v>0</v>
      </c>
      <c r="DI85" s="47" t="n">
        <f aca="false">DI84/In_DSCR*DI18</f>
        <v>0</v>
      </c>
      <c r="DJ85" s="47" t="n">
        <f aca="false">DJ84/In_DSCR*DJ18</f>
        <v>0</v>
      </c>
      <c r="DK85" s="47" t="n">
        <f aca="false">DK84/In_DSCR*DK18</f>
        <v>0</v>
      </c>
      <c r="DL85" s="47" t="n">
        <f aca="false">DL84/In_DSCR*DL18</f>
        <v>0</v>
      </c>
      <c r="DM85" s="47" t="n">
        <f aca="false">DM84/In_DSCR*DM18</f>
        <v>0</v>
      </c>
      <c r="DN85" s="47" t="n">
        <f aca="false">DN84/In_DSCR*DN18</f>
        <v>0</v>
      </c>
      <c r="DO85" s="47" t="n">
        <f aca="false">DO84/In_DSCR*DO18</f>
        <v>0</v>
      </c>
      <c r="DP85" s="47" t="n">
        <f aca="false">DP84/In_DSCR*DP18</f>
        <v>0</v>
      </c>
      <c r="DQ85" s="47" t="n">
        <f aca="false">DQ84/In_DSCR*DQ18</f>
        <v>0</v>
      </c>
      <c r="DR85" s="47" t="n">
        <f aca="false">DR84/In_DSCR*DR18</f>
        <v>0</v>
      </c>
      <c r="DS85" s="47" t="n">
        <f aca="false">DS84/In_DSCR*DS18</f>
        <v>0</v>
      </c>
      <c r="DT85" s="47" t="n">
        <f aca="false">DT84/In_DSCR*DT18</f>
        <v>0</v>
      </c>
      <c r="DU85" s="47" t="n">
        <f aca="false">DU84/In_DSCR*DU18</f>
        <v>0</v>
      </c>
      <c r="DV85" s="47" t="n">
        <f aca="false">DV84/In_DSCR*DV18</f>
        <v>0</v>
      </c>
      <c r="DW85" s="47" t="n">
        <f aca="false">DW84/In_DSCR*DW18</f>
        <v>0</v>
      </c>
      <c r="DX85" s="47" t="n">
        <f aca="false">DX84/In_DSCR*DX18</f>
        <v>0</v>
      </c>
      <c r="DY85" s="47" t="n">
        <f aca="false">DY84/In_DSCR*DY18</f>
        <v>0</v>
      </c>
      <c r="DZ85" s="47" t="n">
        <f aca="false">DZ84/In_DSCR*DZ18</f>
        <v>0</v>
      </c>
      <c r="EA85" s="47" t="n">
        <f aca="false">EA84/In_DSCR*EA18</f>
        <v>0</v>
      </c>
      <c r="EB85" s="47" t="n">
        <f aca="false">EB84/In_DSCR*EB18</f>
        <v>0</v>
      </c>
      <c r="EC85" s="47" t="n">
        <f aca="false">EC84/In_DSCR*EC18</f>
        <v>0</v>
      </c>
      <c r="ED85" s="47" t="n">
        <f aca="false">ED84/In_DSCR*ED18</f>
        <v>0</v>
      </c>
      <c r="EE85" s="47" t="n">
        <f aca="false">EE84/In_DSCR*EE18</f>
        <v>0</v>
      </c>
      <c r="EF85" s="47" t="n">
        <f aca="false">EF84/In_DSCR*EF18</f>
        <v>0</v>
      </c>
      <c r="EG85" s="47" t="n">
        <f aca="false">EG84/In_DSCR*EG18</f>
        <v>0</v>
      </c>
      <c r="EH85" s="47" t="n">
        <f aca="false">EH84/In_DSCR*EH18</f>
        <v>0</v>
      </c>
      <c r="EI85" s="47" t="n">
        <f aca="false">EI84/In_DSCR*EI18</f>
        <v>0</v>
      </c>
      <c r="EJ85" s="47" t="n">
        <f aca="false">EJ84/In_DSCR*EJ18</f>
        <v>0</v>
      </c>
      <c r="EK85" s="47" t="n">
        <f aca="false">EK84/In_DSCR*EK18</f>
        <v>0</v>
      </c>
      <c r="EL85" s="47" t="n">
        <f aca="false">EL84/In_DSCR*EL18</f>
        <v>0</v>
      </c>
      <c r="EM85" s="47" t="n">
        <f aca="false">EM84/In_DSCR*EM18</f>
        <v>0</v>
      </c>
      <c r="EN85" s="47" t="n">
        <f aca="false">EN84/In_DSCR*EN18</f>
        <v>0</v>
      </c>
      <c r="EO85" s="47" t="n">
        <f aca="false">EO84/In_DSCR*EO18</f>
        <v>0</v>
      </c>
    </row>
    <row r="86" customFormat="false" ht="15" hidden="false" customHeight="false" outlineLevel="0" collapsed="false">
      <c r="C86" s="0" t="s">
        <v>451</v>
      </c>
      <c r="D86" s="11" t="s">
        <v>33</v>
      </c>
      <c r="E86" s="47" t="n">
        <f aca="false">IF(In_Debt_Mult&gt;0,In_Debt_Mult*$E80,$E85)</f>
        <v>92452.503444118</v>
      </c>
    </row>
    <row r="87" customFormat="false" ht="15" hidden="false" customHeight="false" outlineLevel="0" collapsed="false">
      <c r="C87" s="25" t="s">
        <v>452</v>
      </c>
      <c r="D87" s="11" t="s">
        <v>27</v>
      </c>
      <c r="E87" s="33" t="n">
        <f aca="false">MIN(In_Gearing,$E85/-$E67,$E86/-$E67)</f>
        <v>0.55</v>
      </c>
      <c r="F87" s="33" t="n">
        <f aca="false">$E87*-$E67/$E85</f>
        <v>0.628820560369826</v>
      </c>
    </row>
    <row r="89" customFormat="false" ht="15" hidden="false" customHeight="false" outlineLevel="0" collapsed="false">
      <c r="A89" s="9" t="s">
        <v>13</v>
      </c>
      <c r="B89" s="9"/>
      <c r="C89" s="9" t="s">
        <v>336</v>
      </c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</row>
    <row r="90" customFormat="false" ht="15" hidden="false" customHeight="false" outlineLevel="0" collapsed="false">
      <c r="C90" s="0" t="s">
        <v>453</v>
      </c>
      <c r="D90" s="11" t="s">
        <v>33</v>
      </c>
      <c r="I90" s="47" t="n">
        <f aca="false">SUM(J90:EO90)</f>
        <v>-30331.8528440843</v>
      </c>
      <c r="J90" s="47" t="n">
        <f aca="false">-I96*$F22*(J$4&gt;In_COD)</f>
        <v>-0</v>
      </c>
      <c r="K90" s="47" t="n">
        <f aca="false">-J96*$F22*(K$4&gt;In_COD)</f>
        <v>-0</v>
      </c>
      <c r="L90" s="47" t="n">
        <f aca="false">-K96*$F22*(L$4&gt;In_COD)</f>
        <v>-0</v>
      </c>
      <c r="M90" s="47" t="n">
        <f aca="false">-L96*$F22*(M$4&gt;In_COD)</f>
        <v>-0</v>
      </c>
      <c r="N90" s="47" t="n">
        <f aca="false">-M96*$F22*(N$4&gt;In_COD)</f>
        <v>-0</v>
      </c>
      <c r="O90" s="47" t="n">
        <f aca="false">-N96*$F22*(O$4&gt;In_COD)</f>
        <v>-0</v>
      </c>
      <c r="P90" s="47" t="n">
        <f aca="false">-O96*$F22*(P$4&gt;In_COD)</f>
        <v>-0</v>
      </c>
      <c r="Q90" s="47" t="n">
        <f aca="false">-P96*$F22*(Q$4&gt;In_COD)</f>
        <v>-0</v>
      </c>
      <c r="R90" s="47" t="n">
        <f aca="false">-Q96*$F22*(R$4&gt;In_COD)</f>
        <v>-0</v>
      </c>
      <c r="S90" s="47" t="n">
        <f aca="false">-R96*$F22*(S$4&gt;In_COD)</f>
        <v>-0</v>
      </c>
      <c r="T90" s="47" t="n">
        <f aca="false">-S96*$F22*(T$4&gt;In_COD)</f>
        <v>-0</v>
      </c>
      <c r="U90" s="47" t="n">
        <f aca="false">-T96*$F22*(U$4&gt;In_COD)</f>
        <v>-0</v>
      </c>
      <c r="V90" s="47" t="n">
        <f aca="false">-U96*$F22*(V$4&gt;In_COD)</f>
        <v>-0</v>
      </c>
      <c r="W90" s="47" t="n">
        <f aca="false">-V96*$F22*(W$4&gt;In_COD)</f>
        <v>-0</v>
      </c>
      <c r="X90" s="47" t="n">
        <f aca="false">-W96*$F22*(X$4&gt;In_COD)</f>
        <v>-0</v>
      </c>
      <c r="Y90" s="47" t="n">
        <f aca="false">-X96*$F22*(Y$4&gt;In_COD)</f>
        <v>-0</v>
      </c>
      <c r="Z90" s="47" t="n">
        <f aca="false">-Y96*$F22*(Z$4&gt;In_COD)</f>
        <v>-726.700437791545</v>
      </c>
      <c r="AA90" s="47" t="n">
        <f aca="false">-Z96*$F22*(AA$4&gt;In_COD)</f>
        <v>-720.443606396397</v>
      </c>
      <c r="AB90" s="47" t="n">
        <f aca="false">-AA96*$F22*(AB$4&gt;In_COD)</f>
        <v>-714.341466222068</v>
      </c>
      <c r="AC90" s="47" t="n">
        <f aca="false">-AB96*$F22*(AC$4&gt;In_COD)</f>
        <v>-708.002116450379</v>
      </c>
      <c r="AD90" s="47" t="n">
        <f aca="false">-AC96*$F22*(AD$4&gt;In_COD)</f>
        <v>-701.422708494389</v>
      </c>
      <c r="AE90" s="47" t="n">
        <f aca="false">-AD96*$F22*(AE$4&gt;In_COD)</f>
        <v>-694.815634078105</v>
      </c>
      <c r="AF90" s="47" t="n">
        <f aca="false">-AE96*$F22*(AF$4&gt;In_COD)</f>
        <v>-688.196449836052</v>
      </c>
      <c r="AG90" s="47" t="n">
        <f aca="false">-AF96*$F22*(AG$4&gt;In_COD)</f>
        <v>-681.497777571555</v>
      </c>
      <c r="AH90" s="47" t="n">
        <f aca="false">-AG96*$F22*(AH$4&gt;In_COD)</f>
        <v>-674.554233719518</v>
      </c>
      <c r="AI90" s="47" t="n">
        <f aca="false">-AH96*$F22*(AI$4&gt;In_COD)</f>
        <v>-667.578976143866</v>
      </c>
      <c r="AJ90" s="47" t="n">
        <f aca="false">-AI96*$F22*(AJ$4&gt;In_COD)</f>
        <v>-660.753466645556</v>
      </c>
      <c r="AK90" s="47" t="n">
        <f aca="false">-AJ96*$F22*(AK$4&gt;In_COD)</f>
        <v>-653.480189724416</v>
      </c>
      <c r="AL90" s="47" t="n">
        <f aca="false">-AK96*$F22*(AL$4&gt;In_COD)</f>
        <v>-645.952448093239</v>
      </c>
      <c r="AM90" s="47" t="n">
        <f aca="false">-AL96*$F22*(AM$4&gt;In_COD)</f>
        <v>-638.579908896848</v>
      </c>
      <c r="AN90" s="47" t="n">
        <f aca="false">-AM96*$F22*(AN$4&gt;In_COD)</f>
        <v>-631.358709836574</v>
      </c>
      <c r="AO90" s="47" t="n">
        <f aca="false">-AN96*$F22*(AO$4&gt;In_COD)</f>
        <v>-623.892385040928</v>
      </c>
      <c r="AP90" s="47" t="n">
        <f aca="false">-AO96*$F22*(AP$4&gt;In_COD)</f>
        <v>-616.178111282128</v>
      </c>
      <c r="AQ90" s="47" t="n">
        <f aca="false">-AP96*$F22*(AQ$4&gt;In_COD)</f>
        <v>-608.423069932269</v>
      </c>
      <c r="AR90" s="47" t="n">
        <f aca="false">-AQ96*$F22*(AR$4&gt;In_COD)</f>
        <v>-600.816694192809</v>
      </c>
      <c r="AS90" s="47" t="n">
        <f aca="false">-AR96*$F22*(AS$4&gt;In_COD)</f>
        <v>-592.960335944002</v>
      </c>
      <c r="AT90" s="47" t="n">
        <f aca="false">-AS96*$F22*(AT$4&gt;In_COD)</f>
        <v>-584.851116020326</v>
      </c>
      <c r="AU90" s="47" t="n">
        <f aca="false">-AT96*$F22*(AU$4&gt;In_COD)</f>
        <v>-576.696881818648</v>
      </c>
      <c r="AV90" s="47" t="n">
        <f aca="false">-AU96*$F22*(AV$4&gt;In_COD)</f>
        <v>-568.525678677566</v>
      </c>
      <c r="AW90" s="47" t="n">
        <f aca="false">-AV96*$F22*(AW$4&gt;In_COD)</f>
        <v>-560.260363966811</v>
      </c>
      <c r="AX90" s="47" t="n">
        <f aca="false">-AW96*$F22*(AX$4&gt;In_COD)</f>
        <v>-551.737070342362</v>
      </c>
      <c r="AY90" s="47" t="n">
        <f aca="false">-AX96*$F22*(AY$4&gt;In_COD)</f>
        <v>-543.164296399583</v>
      </c>
      <c r="AZ90" s="47" t="n">
        <f aca="false">-AY96*$F22*(AZ$4&gt;In_COD)</f>
        <v>-534.734278807632</v>
      </c>
      <c r="BA90" s="47" t="n">
        <f aca="false">-AZ96*$F22*(BA$4&gt;In_COD)</f>
        <v>-526.043992148592</v>
      </c>
      <c r="BB90" s="47" t="n">
        <f aca="false">-BA96*$F22*(BB$4&gt;In_COD)</f>
        <v>-517.090438781846</v>
      </c>
      <c r="BC90" s="47" t="n">
        <f aca="false">-BB96*$F22*(BC$4&gt;In_COD)</f>
        <v>-508.082753564138</v>
      </c>
      <c r="BD90" s="47" t="n">
        <f aca="false">-BC96*$F22*(BD$4&gt;In_COD)</f>
        <v>-499.214594054302</v>
      </c>
      <c r="BE90" s="47" t="n">
        <f aca="false">-BD96*$F22*(BE$4&gt;In_COD)</f>
        <v>-490.080740398855</v>
      </c>
      <c r="BF90" s="47" t="n">
        <f aca="false">-BE96*$F22*(BF$4&gt;In_COD)</f>
        <v>-480.678132474012</v>
      </c>
      <c r="BG90" s="47" t="n">
        <f aca="false">-BF96*$F22*(BG$4&gt;In_COD)</f>
        <v>-471.216525608655</v>
      </c>
      <c r="BH90" s="47" t="n">
        <f aca="false">-BG96*$F22*(BH$4&gt;In_COD)</f>
        <v>-461.891011112502</v>
      </c>
      <c r="BI90" s="47" t="n">
        <f aca="false">-BH96*$F22*(BI$4&gt;In_COD)</f>
        <v>-452.294171017264</v>
      </c>
      <c r="BJ90" s="47" t="n">
        <f aca="false">-BI96*$F22*(BJ$4&gt;In_COD)</f>
        <v>-442.422880339069</v>
      </c>
      <c r="BK90" s="47" t="n">
        <f aca="false">-BJ96*$F22*(BK$4&gt;In_COD)</f>
        <v>-432.487498456654</v>
      </c>
      <c r="BL90" s="47" t="n">
        <f aca="false">-BK96*$F22*(BL$4&gt;In_COD)</f>
        <v>-422.520295684648</v>
      </c>
      <c r="BM90" s="47" t="n">
        <f aca="false">-BL96*$F22*(BM$4&gt;In_COD)</f>
        <v>-412.438295974917</v>
      </c>
      <c r="BN90" s="47" t="n">
        <f aca="false">-BM96*$F22*(BN$4&gt;In_COD)</f>
        <v>-402.075909425095</v>
      </c>
      <c r="BO90" s="47" t="n">
        <f aca="false">-BN96*$F22*(BO$4&gt;In_COD)</f>
        <v>-391.644082138431</v>
      </c>
      <c r="BP90" s="47" t="n">
        <f aca="false">-BO96*$F22*(BP$4&gt;In_COD)</f>
        <v>-381.340811756416</v>
      </c>
      <c r="BQ90" s="47" t="n">
        <f aca="false">-BP96*$F22*(BQ$4&gt;In_COD)</f>
        <v>-370.754273583038</v>
      </c>
      <c r="BR90" s="47" t="n">
        <f aca="false">-BQ96*$F22*(BR$4&gt;In_COD)</f>
        <v>-359.881205090611</v>
      </c>
      <c r="BS90" s="47" t="n">
        <f aca="false">-BR96*$F22*(BS$4&gt;In_COD)</f>
        <v>-348.933121600031</v>
      </c>
      <c r="BT90" s="47" t="n">
        <f aca="false">-BS96*$F22*(BT$4&gt;In_COD)</f>
        <v>-338.109493824802</v>
      </c>
      <c r="BU90" s="47" t="n">
        <f aca="false">-BT96*$F22*(BU$4&gt;In_COD)</f>
        <v>-326.996289111126</v>
      </c>
      <c r="BV90" s="47" t="n">
        <f aca="false">-BU96*$F22*(BV$4&gt;In_COD)</f>
        <v>-315.590172265917</v>
      </c>
      <c r="BW90" s="47" t="n">
        <f aca="false">-BV96*$F22*(BW$4&gt;In_COD)</f>
        <v>-304.103209389159</v>
      </c>
      <c r="BX90" s="47" t="n">
        <f aca="false">-BW96*$F22*(BX$4&gt;In_COD)</f>
        <v>-292.736357625103</v>
      </c>
      <c r="BY90" s="47" t="n">
        <f aca="false">-BX96*$F22*(BY$4&gt;In_COD)</f>
        <v>-281.073373503146</v>
      </c>
      <c r="BZ90" s="47" t="n">
        <f aca="false">-BY96*$F22*(BZ$4&gt;In_COD)</f>
        <v>-269.110846328371</v>
      </c>
      <c r="CA90" s="47" t="n">
        <f aca="false">-BZ96*$F22*(CA$4&gt;In_COD)</f>
        <v>-257.061373828501</v>
      </c>
      <c r="CB90" s="47" t="n">
        <f aca="false">-CA96*$F22*(CB$4&gt;In_COD)</f>
        <v>-244.961916872679</v>
      </c>
      <c r="CC90" s="47" t="n">
        <f aca="false">-CB96*$F22*(CC$4&gt;In_COD)</f>
        <v>-232.723104810071</v>
      </c>
      <c r="CD90" s="47" t="n">
        <f aca="false">-CC96*$F22*(CD$4&gt;In_COD)</f>
        <v>-220.177836435121</v>
      </c>
      <c r="CE90" s="47" t="n">
        <f aca="false">-CD96*$F22*(CE$4&gt;In_COD)</f>
        <v>-207.539220964819</v>
      </c>
      <c r="CF90" s="47" t="n">
        <f aca="false">-CE96*$F22*(CF$4&gt;In_COD)</f>
        <v>-195.011228716486</v>
      </c>
      <c r="CG90" s="47" t="n">
        <f aca="false">-CF96*$F22*(CG$4&gt;In_COD)</f>
        <v>-182.173186624807</v>
      </c>
      <c r="CH90" s="47" t="n">
        <f aca="false">-CG96*$F22*(CH$4&gt;In_COD)</f>
        <v>-169.021523700673</v>
      </c>
      <c r="CI90" s="47" t="n">
        <f aca="false">-CH96*$F22*(CI$4&gt;In_COD)</f>
        <v>-155.769840249291</v>
      </c>
      <c r="CJ90" s="47" t="n">
        <f aca="false">-CI96*$F22*(CJ$4&gt;In_COD)</f>
        <v>-142.623633817292</v>
      </c>
      <c r="CK90" s="47" t="n">
        <f aca="false">-CJ96*$F22*(CK$4&gt;In_COD)</f>
        <v>-129.160013257677</v>
      </c>
      <c r="CL90" s="47" t="n">
        <f aca="false">-CK96*$F22*(CL$4&gt;In_COD)</f>
        <v>-115.375322763428</v>
      </c>
      <c r="CM90" s="47" t="n">
        <f aca="false">-CL96*$F22*(CM$4&gt;In_COD)</f>
        <v>-101.483632306133</v>
      </c>
      <c r="CN90" s="47" t="n">
        <f aca="false">-CM96*$F22*(CN$4&gt;In_COD)</f>
        <v>-87.6919805059852</v>
      </c>
      <c r="CO90" s="47" t="n">
        <f aca="false">-CN96*$F22*(CO$4&gt;In_COD)</f>
        <v>-73.5752561740159</v>
      </c>
      <c r="CP90" s="47" t="n">
        <f aca="false">-CO96*$F22*(CP$4&gt;In_COD)</f>
        <v>-59.1297152977833</v>
      </c>
      <c r="CQ90" s="47" t="n">
        <f aca="false">-CP96*$F22*(CQ$4&gt;In_COD)</f>
        <v>-44.5698752906197</v>
      </c>
      <c r="CR90" s="47" t="n">
        <f aca="false">-CQ96*$F22*(CR$4&gt;In_COD)</f>
        <v>-29.9378978357724</v>
      </c>
      <c r="CS90" s="47" t="n">
        <f aca="false">-CR96*$F22*(CS$4&gt;In_COD)</f>
        <v>-15.1373970506496</v>
      </c>
      <c r="CT90" s="47" t="n">
        <f aca="false">-CS96*$F22*(CT$4&gt;In_COD)</f>
        <v>-3.66355834557908E-012</v>
      </c>
      <c r="CU90" s="47" t="n">
        <f aca="false">-CT96*$F22*(CU$4&gt;In_COD)</f>
        <v>-3.70935282489882E-012</v>
      </c>
      <c r="CV90" s="47" t="n">
        <f aca="false">-CU96*$F22*(CV$4&gt;In_COD)</f>
        <v>-3.75571973521005E-012</v>
      </c>
      <c r="CW90" s="47" t="n">
        <f aca="false">-CV96*$F22*(CW$4&gt;In_COD)</f>
        <v>-3.80266623190018E-012</v>
      </c>
      <c r="CX90" s="47" t="n">
        <f aca="false">-CW96*$F22*(CX$4&gt;In_COD)</f>
        <v>-3.85019955979893E-012</v>
      </c>
      <c r="CY90" s="47" t="n">
        <f aca="false">-CX96*$F22*(CY$4&gt;In_COD)</f>
        <v>-3.89832705429642E-012</v>
      </c>
      <c r="CZ90" s="47" t="n">
        <f aca="false">-CY96*$F22*(CZ$4&gt;In_COD)</f>
        <v>-3.94705614247512E-012</v>
      </c>
      <c r="DA90" s="47" t="n">
        <f aca="false">-CZ96*$F22*(DA$4&gt;In_COD)</f>
        <v>-3.99639434425606E-012</v>
      </c>
      <c r="DB90" s="47" t="n">
        <f aca="false">-DA96*$F22*(DB$4&gt;In_COD)</f>
        <v>-4.04634927355926E-012</v>
      </c>
      <c r="DC90" s="47" t="n">
        <f aca="false">-DB96*$F22*(DC$4&gt;In_COD)</f>
        <v>-4.09692863947875E-012</v>
      </c>
      <c r="DD90" s="47" t="n">
        <f aca="false">-DC96*$F22*(DD$4&gt;In_COD)</f>
        <v>-4.14814024747224E-012</v>
      </c>
      <c r="DE90" s="47" t="n">
        <f aca="false">-DD96*$F22*(DE$4&gt;In_COD)</f>
        <v>-4.19999200056564E-012</v>
      </c>
      <c r="DF90" s="47" t="n">
        <f aca="false">-DE96*$F22*(DF$4&gt;In_COD)</f>
        <v>-4.25249190057271E-012</v>
      </c>
      <c r="DG90" s="47" t="n">
        <f aca="false">-DF96*$F22*(DG$4&gt;In_COD)</f>
        <v>-4.30564804932987E-012</v>
      </c>
      <c r="DH90" s="47" t="n">
        <f aca="false">-DG96*$F22*(DH$4&gt;In_COD)</f>
        <v>-4.35946864994649E-012</v>
      </c>
      <c r="DI90" s="47" t="n">
        <f aca="false">-DH96*$F22*(DI$4&gt;In_COD)</f>
        <v>-4.41396200807082E-012</v>
      </c>
      <c r="DJ90" s="47" t="n">
        <f aca="false">-DI96*$F22*(DJ$4&gt;In_COD)</f>
        <v>-4.46913653317171E-012</v>
      </c>
      <c r="DK90" s="47" t="n">
        <f aca="false">-DJ96*$F22*(DK$4&gt;In_COD)</f>
        <v>-4.52500073983635E-012</v>
      </c>
      <c r="DL90" s="47" t="n">
        <f aca="false">-DK96*$F22*(DL$4&gt;In_COD)</f>
        <v>-4.58156324908431E-012</v>
      </c>
      <c r="DM90" s="47" t="n">
        <f aca="false">-DL96*$F22*(DM$4&gt;In_COD)</f>
        <v>-4.63883278969786E-012</v>
      </c>
      <c r="DN90" s="47" t="n">
        <f aca="false">-DM96*$F22*(DN$4&gt;In_COD)</f>
        <v>-4.69681819956909E-012</v>
      </c>
      <c r="DO90" s="47" t="n">
        <f aca="false">-DN96*$F22*(DO$4&gt;In_COD)</f>
        <v>-4.7555284270637E-012</v>
      </c>
      <c r="DP90" s="47" t="n">
        <f aca="false">-DO96*$F22*(DP$4&gt;In_COD)</f>
        <v>-4.81497253240199E-012</v>
      </c>
      <c r="DQ90" s="47" t="n">
        <f aca="false">-DP96*$F22*(DQ$4&gt;In_COD)</f>
        <v>-4.87515968905702E-012</v>
      </c>
      <c r="DR90" s="47" t="n">
        <f aca="false">-DQ96*$F22*(DR$4&gt;In_COD)</f>
        <v>-4.93609918517023E-012</v>
      </c>
      <c r="DS90" s="47" t="n">
        <f aca="false">-DR96*$F22*(DS$4&gt;In_COD)</f>
        <v>-4.99780042498486E-012</v>
      </c>
      <c r="DT90" s="47" t="n">
        <f aca="false">-DS96*$F22*(DT$4&gt;In_COD)</f>
        <v>-5.06027293029717E-012</v>
      </c>
      <c r="DU90" s="47" t="n">
        <f aca="false">-DT96*$F22*(DU$4&gt;In_COD)</f>
        <v>-5.12352634192589E-012</v>
      </c>
      <c r="DV90" s="47" t="n">
        <f aca="false">-DU96*$F22*(DV$4&gt;In_COD)</f>
        <v>-5.18757042119996E-012</v>
      </c>
      <c r="DW90" s="47" t="n">
        <f aca="false">-DV96*$F22*(DW$4&gt;In_COD)</f>
        <v>-5.25241505146496E-012</v>
      </c>
      <c r="DX90" s="47" t="n">
        <f aca="false">-DW96*$F22*(DX$4&gt;In_COD)</f>
        <v>-5.31807023960827E-012</v>
      </c>
      <c r="DY90" s="47" t="n">
        <f aca="false">-DX96*$F22*(DY$4&gt;In_COD)</f>
        <v>-5.38454611760337E-012</v>
      </c>
      <c r="DZ90" s="47" t="n">
        <f aca="false">-DY96*$F22*(DZ$4&gt;In_COD)</f>
        <v>-5.45185294407342E-012</v>
      </c>
      <c r="EA90" s="47" t="n">
        <f aca="false">-DZ96*$F22*(EA$4&gt;In_COD)</f>
        <v>-5.52000110587433E-012</v>
      </c>
      <c r="EB90" s="47" t="n">
        <f aca="false">-EA96*$F22*(EB$4&gt;In_COD)</f>
        <v>-5.58900111969776E-012</v>
      </c>
      <c r="EC90" s="47" t="n">
        <f aca="false">-EB96*$F22*(EC$4&gt;In_COD)</f>
        <v>-5.65886363369398E-012</v>
      </c>
      <c r="ED90" s="47" t="n">
        <f aca="false">-EC96*$F22*(ED$4&gt;In_COD)</f>
        <v>-5.72959942911516E-012</v>
      </c>
      <c r="EE90" s="47" t="n">
        <f aca="false">-ED96*$F22*(EE$4&gt;In_COD)</f>
        <v>-5.8012194219791E-012</v>
      </c>
      <c r="EF90" s="47" t="n">
        <f aca="false">-EE96*$F22*(EF$4&gt;In_COD)</f>
        <v>-5.87373466475384E-012</v>
      </c>
      <c r="EG90" s="47" t="n">
        <f aca="false">-EF96*$F22*(EG$4&gt;In_COD)</f>
        <v>-5.94715634806326E-012</v>
      </c>
      <c r="EH90" s="47" t="n">
        <f aca="false">-EG96*$F22*(EH$4&gt;In_COD)</f>
        <v>-6.02149580241405E-012</v>
      </c>
      <c r="EI90" s="47" t="n">
        <f aca="false">-EH96*$F22*(EI$4&gt;In_COD)</f>
        <v>-6.09676449994423E-012</v>
      </c>
      <c r="EJ90" s="47" t="n">
        <f aca="false">-EI96*$F22*(EJ$4&gt;In_COD)</f>
        <v>-6.17297405619353E-012</v>
      </c>
      <c r="EK90" s="47" t="n">
        <f aca="false">-EJ96*$F22*(EK$4&gt;In_COD)</f>
        <v>-6.25013623189595E-012</v>
      </c>
      <c r="EL90" s="47" t="n">
        <f aca="false">-EK96*$F22*(EL$4&gt;In_COD)</f>
        <v>-6.32826293479465E-012</v>
      </c>
      <c r="EM90" s="47" t="n">
        <f aca="false">-EL96*$F22*(EM$4&gt;In_COD)</f>
        <v>-6.40736622147958E-012</v>
      </c>
      <c r="EN90" s="47" t="n">
        <f aca="false">-EM96*$F22*(EN$4&gt;In_COD)</f>
        <v>-6.48745829924808E-012</v>
      </c>
      <c r="EO90" s="47" t="n">
        <f aca="false">-EN96*$F22*(EO$4&gt;In_COD)</f>
        <v>-6.56855152798868E-012</v>
      </c>
    </row>
    <row r="91" customFormat="false" ht="15" hidden="false" customHeight="false" outlineLevel="0" collapsed="false">
      <c r="C91" s="0" t="s">
        <v>454</v>
      </c>
      <c r="D91" s="11" t="s">
        <v>33</v>
      </c>
      <c r="I91" s="47" t="n">
        <f aca="false">SUM(J91:EO91)</f>
        <v>-88467.8878674074</v>
      </c>
      <c r="J91" s="47" t="n">
        <f aca="false">-J85*$F87</f>
        <v>0</v>
      </c>
      <c r="K91" s="47" t="n">
        <f aca="false">-K85*$F87</f>
        <v>0</v>
      </c>
      <c r="L91" s="47" t="n">
        <f aca="false">-L85*$F87</f>
        <v>0</v>
      </c>
      <c r="M91" s="47" t="n">
        <f aca="false">-M85*$F87</f>
        <v>0</v>
      </c>
      <c r="N91" s="47" t="n">
        <f aca="false">-N85*$F87</f>
        <v>0</v>
      </c>
      <c r="O91" s="47" t="n">
        <f aca="false">-O85*$F87</f>
        <v>0</v>
      </c>
      <c r="P91" s="47" t="n">
        <f aca="false">-P85*$F87</f>
        <v>0</v>
      </c>
      <c r="Q91" s="47" t="n">
        <f aca="false">-Q85*$F87</f>
        <v>0</v>
      </c>
      <c r="R91" s="47" t="n">
        <f aca="false">-R85*$F87</f>
        <v>0</v>
      </c>
      <c r="S91" s="47" t="n">
        <f aca="false">-S85*$F87</f>
        <v>0</v>
      </c>
      <c r="T91" s="47" t="n">
        <f aca="false">-T85*$F87</f>
        <v>0</v>
      </c>
      <c r="U91" s="47" t="n">
        <f aca="false">-U85*$F87</f>
        <v>0</v>
      </c>
      <c r="V91" s="47" t="n">
        <f aca="false">-V85*$F87</f>
        <v>0</v>
      </c>
      <c r="W91" s="47" t="n">
        <f aca="false">-W85*$F87</f>
        <v>0</v>
      </c>
      <c r="X91" s="47" t="n">
        <f aca="false">-X85*$F87</f>
        <v>0</v>
      </c>
      <c r="Y91" s="47" t="n">
        <f aca="false">-Y85*$F87</f>
        <v>0</v>
      </c>
      <c r="Z91" s="47" t="n">
        <f aca="false">-Z85*$F87</f>
        <v>-1227.24694940336</v>
      </c>
      <c r="AA91" s="47" t="n">
        <f aca="false">-AA85*$F87</f>
        <v>-1208.6148203427</v>
      </c>
      <c r="AB91" s="47" t="n">
        <f aca="false">-AB85*$F87</f>
        <v>-1221.48944795717</v>
      </c>
      <c r="AC91" s="47" t="n">
        <f aca="false">-AC85*$F87</f>
        <v>-1234.35475292965</v>
      </c>
      <c r="AD91" s="47" t="n">
        <f aca="false">-AD85*$F87</f>
        <v>-1229.98866179706</v>
      </c>
      <c r="AE91" s="47" t="n">
        <f aca="false">-AE85*$F87</f>
        <v>-1224.35037344233</v>
      </c>
      <c r="AF91" s="47" t="n">
        <f aca="false">-AF85*$F87</f>
        <v>-1224.09023099581</v>
      </c>
      <c r="AG91" s="47" t="n">
        <f aca="false">-AG85*$F87</f>
        <v>-1236.98128573456</v>
      </c>
      <c r="AH91" s="47" t="n">
        <f aca="false">-AH85*$F87</f>
        <v>-1232.57483977164</v>
      </c>
      <c r="AI91" s="47" t="n">
        <f aca="false">-AI85*$F87</f>
        <v>-1213.61973600868</v>
      </c>
      <c r="AJ91" s="47" t="n">
        <f aca="false">-AJ85*$F87</f>
        <v>-1242.61562033678</v>
      </c>
      <c r="AK91" s="47" t="n">
        <f aca="false">-AK85*$F87</f>
        <v>-1255.6995202186</v>
      </c>
      <c r="AL91" s="47" t="n">
        <f aca="false">-AL85*$F87</f>
        <v>-1235.75558380451</v>
      </c>
      <c r="AM91" s="47" t="n">
        <f aca="false">-AM85*$F87</f>
        <v>-1216.27583371875</v>
      </c>
      <c r="AN91" s="47" t="n">
        <f aca="false">-AN85*$F87</f>
        <v>-1228.66469348824</v>
      </c>
      <c r="AO91" s="47" t="n">
        <f aca="false">-AO85*$F87</f>
        <v>-1241.03428574494</v>
      </c>
      <c r="AP91" s="47" t="n">
        <f aca="false">-AP85*$F87</f>
        <v>-1236.58141927083</v>
      </c>
      <c r="AQ91" s="47" t="n">
        <f aca="false">-AQ85*$F87</f>
        <v>-1216.93312908908</v>
      </c>
      <c r="AR91" s="47" t="n">
        <f aca="false">-AR85*$F87</f>
        <v>-1229.32535409741</v>
      </c>
      <c r="AS91" s="47" t="n">
        <f aca="false">-AS85*$F87</f>
        <v>-1241.69792983804</v>
      </c>
      <c r="AT91" s="47" t="n">
        <f aca="false">-AT85*$F87</f>
        <v>-1237.18985215459</v>
      </c>
      <c r="AU91" s="47" t="n">
        <f aca="false">-AU85*$F87</f>
        <v>-1230.39313310522</v>
      </c>
      <c r="AV91" s="47" t="n">
        <f aca="false">-AV85*$F87</f>
        <v>-1229.75085553796</v>
      </c>
      <c r="AW91" s="47" t="n">
        <f aca="false">-AW85*$F87</f>
        <v>-1242.12385392271</v>
      </c>
      <c r="AX91" s="47" t="n">
        <f aca="false">-AX85*$F87</f>
        <v>-1237.55898576468</v>
      </c>
      <c r="AY91" s="47" t="n">
        <f aca="false">-AY85*$F87</f>
        <v>-1217.5657037557</v>
      </c>
      <c r="AZ91" s="47" t="n">
        <f aca="false">-AZ85*$F87</f>
        <v>-1229.95721153079</v>
      </c>
      <c r="BA91" s="47" t="n">
        <f aca="false">-BA85*$F87</f>
        <v>-1242.3282614883</v>
      </c>
      <c r="BB91" s="47" t="n">
        <f aca="false">-BB85*$F87</f>
        <v>-1237.7052561985</v>
      </c>
      <c r="BC91" s="47" t="n">
        <f aca="false">-BC85*$F87</f>
        <v>-1217.53551435101</v>
      </c>
      <c r="BD91" s="47" t="n">
        <f aca="false">-BD85*$F87</f>
        <v>-1229.92288649001</v>
      </c>
      <c r="BE91" s="47" t="n">
        <f aca="false">-BE85*$F87</f>
        <v>-1242.28937438632</v>
      </c>
      <c r="BF91" s="47" t="n">
        <f aca="false">-BF85*$F87</f>
        <v>-1237.60668170261</v>
      </c>
      <c r="BG91" s="47" t="n">
        <f aca="false">-BG85*$F87</f>
        <v>-1217.25768530084</v>
      </c>
      <c r="BH91" s="47" t="n">
        <f aca="false">-BH85*$F87</f>
        <v>-1229.63821873155</v>
      </c>
      <c r="BI91" s="47" t="n">
        <f aca="false">-BI85*$F87</f>
        <v>-1241.99742527285</v>
      </c>
      <c r="BJ91" s="47" t="n">
        <f aca="false">-BJ85*$F87</f>
        <v>-1237.25343093228</v>
      </c>
      <c r="BK91" s="47" t="n">
        <f aca="false">-BK85*$F87</f>
        <v>-1229.86372021715</v>
      </c>
      <c r="BL91" s="47" t="n">
        <f aca="false">-BL85*$F87</f>
        <v>-1229.0802724631</v>
      </c>
      <c r="BM91" s="47" t="n">
        <f aca="false">-BM85*$F87</f>
        <v>-1241.42921996071</v>
      </c>
      <c r="BN91" s="47" t="n">
        <f aca="false">-BN85*$F87</f>
        <v>-1236.62209235818</v>
      </c>
      <c r="BO91" s="47" t="n">
        <f aca="false">-BO85*$F87</f>
        <v>-1215.90571269965</v>
      </c>
      <c r="BP91" s="47" t="n">
        <f aca="false">-BP85*$F87</f>
        <v>-1228.26386562664</v>
      </c>
      <c r="BQ91" s="47" t="n">
        <f aca="false">-BQ85*$F87</f>
        <v>-1240.59975297721</v>
      </c>
      <c r="BR91" s="47" t="n">
        <f aca="false">-BR85*$F87</f>
        <v>-1235.72788433704</v>
      </c>
      <c r="BS91" s="47" t="n">
        <f aca="false">-BS85*$F87</f>
        <v>-1214.82334361829</v>
      </c>
      <c r="BT91" s="47" t="n">
        <f aca="false">-BT85*$F87</f>
        <v>-1227.16587091889</v>
      </c>
      <c r="BU91" s="47" t="n">
        <f aca="false">-BU85*$F87</f>
        <v>-1239.48563672791</v>
      </c>
      <c r="BV91" s="47" t="n">
        <f aca="false">-BV85*$F87</f>
        <v>-1234.54720240653</v>
      </c>
      <c r="BW91" s="47" t="n">
        <f aca="false">-BW85*$F87</f>
        <v>-1213.45135051364</v>
      </c>
      <c r="BX91" s="47" t="n">
        <f aca="false">-BX85*$F87</f>
        <v>-1225.77508738161</v>
      </c>
      <c r="BY91" s="47" t="n">
        <f aca="false">-BY85*$F87</f>
        <v>-1238.07554748518</v>
      </c>
      <c r="BZ91" s="47" t="n">
        <f aca="false">-BZ85*$F87</f>
        <v>-1233.06864631798</v>
      </c>
      <c r="CA91" s="47" t="n">
        <f aca="false">-CA85*$F87</f>
        <v>-1225.01793029423</v>
      </c>
      <c r="CB91" s="47" t="n">
        <f aca="false">-CB85*$F87</f>
        <v>-1224.06688188134</v>
      </c>
      <c r="CC91" s="47" t="n">
        <f aca="false">-CC85*$F87</f>
        <v>-1236.34457480607</v>
      </c>
      <c r="CD91" s="47" t="n">
        <f aca="false">-CD85*$F87</f>
        <v>-1231.26707405932</v>
      </c>
      <c r="CE91" s="47" t="n">
        <f aca="false">-CE85*$F87</f>
        <v>-1209.77860083147</v>
      </c>
      <c r="CF91" s="47" t="n">
        <f aca="false">-CF85*$F87</f>
        <v>-1222.05459605077</v>
      </c>
      <c r="CG91" s="47" t="n">
        <f aca="false">-CG85*$F87</f>
        <v>-1234.30622055553</v>
      </c>
      <c r="CH91" s="47" t="n">
        <f aca="false">-CH85*$F87</f>
        <v>-1229.15619981123</v>
      </c>
      <c r="CI91" s="47" t="n">
        <f aca="false">-CI85*$F87</f>
        <v>-1207.46635480918</v>
      </c>
      <c r="CJ91" s="47" t="n">
        <f aca="false">-CJ85*$F87</f>
        <v>-1219.71327858649</v>
      </c>
      <c r="CK91" s="47" t="n">
        <f aca="false">-CK85*$F87</f>
        <v>-1231.93525279759</v>
      </c>
      <c r="CL91" s="47" t="n">
        <f aca="false">-CL85*$F87</f>
        <v>-1226.71055934706</v>
      </c>
      <c r="CM91" s="47" t="n">
        <f aca="false">-CM85*$F87</f>
        <v>-1204.81577631797</v>
      </c>
      <c r="CN91" s="47" t="n">
        <f aca="false">-CN85*$F87</f>
        <v>-1217.02992706352</v>
      </c>
      <c r="CO91" s="47" t="n">
        <f aca="false">-CO85*$F87</f>
        <v>-1229.21852627263</v>
      </c>
      <c r="CP91" s="47" t="n">
        <f aca="false">-CP85*$F87</f>
        <v>-1223.91691587087</v>
      </c>
      <c r="CQ91" s="47" t="n">
        <f aca="false">-CQ85*$F87</f>
        <v>-1215.12807167841</v>
      </c>
      <c r="CR91" s="47" t="n">
        <f aca="false">-CR85*$F87</f>
        <v>-1213.97796064559</v>
      </c>
      <c r="CS91" s="47" t="n">
        <f aca="false">-CS85*$F87</f>
        <v>-1226.12916110233</v>
      </c>
      <c r="CT91" s="47" t="n">
        <f aca="false">-CT85*$F87</f>
        <v>-0</v>
      </c>
      <c r="CU91" s="47" t="n">
        <f aca="false">-CU85*$F87</f>
        <v>-0</v>
      </c>
      <c r="CV91" s="47" t="n">
        <f aca="false">-CV85*$F87</f>
        <v>-0</v>
      </c>
      <c r="CW91" s="47" t="n">
        <f aca="false">-CW85*$F87</f>
        <v>-0</v>
      </c>
      <c r="CX91" s="47" t="n">
        <f aca="false">-CX85*$F87</f>
        <v>-0</v>
      </c>
      <c r="CY91" s="47" t="n">
        <f aca="false">-CY85*$F87</f>
        <v>-0</v>
      </c>
      <c r="CZ91" s="47" t="n">
        <f aca="false">-CZ85*$F87</f>
        <v>-0</v>
      </c>
      <c r="DA91" s="47" t="n">
        <f aca="false">-DA85*$F87</f>
        <v>-0</v>
      </c>
      <c r="DB91" s="47" t="n">
        <f aca="false">-DB85*$F87</f>
        <v>-0</v>
      </c>
      <c r="DC91" s="47" t="n">
        <f aca="false">-DC85*$F87</f>
        <v>-0</v>
      </c>
      <c r="DD91" s="47" t="n">
        <f aca="false">-DD85*$F87</f>
        <v>-0</v>
      </c>
      <c r="DE91" s="47" t="n">
        <f aca="false">-DE85*$F87</f>
        <v>-0</v>
      </c>
      <c r="DF91" s="47" t="n">
        <f aca="false">-DF85*$F87</f>
        <v>-0</v>
      </c>
      <c r="DG91" s="47" t="n">
        <f aca="false">-DG85*$F87</f>
        <v>-0</v>
      </c>
      <c r="DH91" s="47" t="n">
        <f aca="false">-DH85*$F87</f>
        <v>-0</v>
      </c>
      <c r="DI91" s="47" t="n">
        <f aca="false">-DI85*$F87</f>
        <v>-0</v>
      </c>
      <c r="DJ91" s="47" t="n">
        <f aca="false">-DJ85*$F87</f>
        <v>-0</v>
      </c>
      <c r="DK91" s="47" t="n">
        <f aca="false">-DK85*$F87</f>
        <v>-0</v>
      </c>
      <c r="DL91" s="47" t="n">
        <f aca="false">-DL85*$F87</f>
        <v>-0</v>
      </c>
      <c r="DM91" s="47" t="n">
        <f aca="false">-DM85*$F87</f>
        <v>-0</v>
      </c>
      <c r="DN91" s="47" t="n">
        <f aca="false">-DN85*$F87</f>
        <v>-0</v>
      </c>
      <c r="DO91" s="47" t="n">
        <f aca="false">-DO85*$F87</f>
        <v>-0</v>
      </c>
      <c r="DP91" s="47" t="n">
        <f aca="false">-DP85*$F87</f>
        <v>-0</v>
      </c>
      <c r="DQ91" s="47" t="n">
        <f aca="false">-DQ85*$F87</f>
        <v>-0</v>
      </c>
      <c r="DR91" s="47" t="n">
        <f aca="false">-DR85*$F87</f>
        <v>-0</v>
      </c>
      <c r="DS91" s="47" t="n">
        <f aca="false">-DS85*$F87</f>
        <v>-0</v>
      </c>
      <c r="DT91" s="47" t="n">
        <f aca="false">-DT85*$F87</f>
        <v>-0</v>
      </c>
      <c r="DU91" s="47" t="n">
        <f aca="false">-DU85*$F87</f>
        <v>-0</v>
      </c>
      <c r="DV91" s="47" t="n">
        <f aca="false">-DV85*$F87</f>
        <v>-0</v>
      </c>
      <c r="DW91" s="47" t="n">
        <f aca="false">-DW85*$F87</f>
        <v>-0</v>
      </c>
      <c r="DX91" s="47" t="n">
        <f aca="false">-DX85*$F87</f>
        <v>-0</v>
      </c>
      <c r="DY91" s="47" t="n">
        <f aca="false">-DY85*$F87</f>
        <v>-0</v>
      </c>
      <c r="DZ91" s="47" t="n">
        <f aca="false">-DZ85*$F87</f>
        <v>-0</v>
      </c>
      <c r="EA91" s="47" t="n">
        <f aca="false">-EA85*$F87</f>
        <v>-0</v>
      </c>
      <c r="EB91" s="47" t="n">
        <f aca="false">-EB85*$F87</f>
        <v>-0</v>
      </c>
      <c r="EC91" s="47" t="n">
        <f aca="false">-EC85*$F87</f>
        <v>-0</v>
      </c>
      <c r="ED91" s="47" t="n">
        <f aca="false">-ED85*$F87</f>
        <v>-0</v>
      </c>
      <c r="EE91" s="47" t="n">
        <f aca="false">-EE85*$F87</f>
        <v>-0</v>
      </c>
      <c r="EF91" s="47" t="n">
        <f aca="false">-EF85*$F87</f>
        <v>-0</v>
      </c>
      <c r="EG91" s="47" t="n">
        <f aca="false">-EG85*$F87</f>
        <v>-0</v>
      </c>
      <c r="EH91" s="47" t="n">
        <f aca="false">-EH85*$F87</f>
        <v>-0</v>
      </c>
      <c r="EI91" s="47" t="n">
        <f aca="false">-EI85*$F87</f>
        <v>-0</v>
      </c>
      <c r="EJ91" s="47" t="n">
        <f aca="false">-EJ85*$F87</f>
        <v>-0</v>
      </c>
      <c r="EK91" s="47" t="n">
        <f aca="false">-EK85*$F87</f>
        <v>-0</v>
      </c>
      <c r="EL91" s="47" t="n">
        <f aca="false">-EL85*$F87</f>
        <v>-0</v>
      </c>
      <c r="EM91" s="47" t="n">
        <f aca="false">-EM85*$F87</f>
        <v>-0</v>
      </c>
      <c r="EN91" s="47" t="n">
        <f aca="false">-EN85*$F87</f>
        <v>-0</v>
      </c>
      <c r="EO91" s="47" t="n">
        <f aca="false">-EO85*$F87</f>
        <v>-0</v>
      </c>
    </row>
    <row r="92" customFormat="false" ht="15" hidden="false" customHeight="false" outlineLevel="0" collapsed="false">
      <c r="C92" s="0" t="s">
        <v>455</v>
      </c>
      <c r="D92" s="11" t="s">
        <v>33</v>
      </c>
      <c r="J92" s="18" t="n">
        <f aca="false">I96</f>
        <v>0</v>
      </c>
      <c r="K92" s="18" t="n">
        <f aca="false">J96</f>
        <v>0</v>
      </c>
      <c r="L92" s="18" t="n">
        <f aca="false">K96</f>
        <v>0</v>
      </c>
      <c r="M92" s="18" t="n">
        <f aca="false">L96</f>
        <v>0</v>
      </c>
      <c r="N92" s="18" t="n">
        <f aca="false">M96</f>
        <v>0</v>
      </c>
      <c r="O92" s="18" t="n">
        <f aca="false">N96</f>
        <v>0</v>
      </c>
      <c r="P92" s="18" t="n">
        <f aca="false">O96</f>
        <v>0</v>
      </c>
      <c r="Q92" s="18" t="n">
        <f aca="false">P96</f>
        <v>0</v>
      </c>
      <c r="R92" s="18" t="n">
        <f aca="false">Q96</f>
        <v>0</v>
      </c>
      <c r="S92" s="18" t="n">
        <f aca="false">R96</f>
        <v>6263.56952054795</v>
      </c>
      <c r="T92" s="18" t="n">
        <f aca="false">S96</f>
        <v>16954.4218381849</v>
      </c>
      <c r="U92" s="18" t="n">
        <f aca="false">T96</f>
        <v>23361.8393543129</v>
      </c>
      <c r="V92" s="18" t="n">
        <f aca="false">U96</f>
        <v>29917.4318667898</v>
      </c>
      <c r="W92" s="18" t="n">
        <f aca="false">V96</f>
        <v>36554.9692856726</v>
      </c>
      <c r="X92" s="18" t="n">
        <f aca="false">W96</f>
        <v>43139.3113674969</v>
      </c>
      <c r="Y92" s="18" t="n">
        <f aca="false">X96</f>
        <v>49874.0400027413</v>
      </c>
      <c r="Z92" s="18" t="n">
        <f aca="false">Y96</f>
        <v>58136.0350233236</v>
      </c>
      <c r="AA92" s="18" t="n">
        <f aca="false">Z96</f>
        <v>57635.4885117117</v>
      </c>
      <c r="AB92" s="18" t="n">
        <f aca="false">AA96</f>
        <v>57147.3172977654</v>
      </c>
      <c r="AC92" s="18" t="n">
        <f aca="false">AB96</f>
        <v>56640.1693160303</v>
      </c>
      <c r="AD92" s="18" t="n">
        <f aca="false">AC96</f>
        <v>56113.8166795511</v>
      </c>
      <c r="AE92" s="18" t="n">
        <f aca="false">AD96</f>
        <v>55585.2507262484</v>
      </c>
      <c r="AF92" s="18" t="n">
        <f aca="false">AE96</f>
        <v>55055.7159868842</v>
      </c>
      <c r="AG92" s="18" t="n">
        <f aca="false">AF96</f>
        <v>54519.8222057244</v>
      </c>
      <c r="AH92" s="18" t="n">
        <f aca="false">AG96</f>
        <v>53964.3386975614</v>
      </c>
      <c r="AI92" s="18" t="n">
        <f aca="false">AH96</f>
        <v>53406.3180915093</v>
      </c>
      <c r="AJ92" s="18" t="n">
        <f aca="false">AI96</f>
        <v>52860.2773316445</v>
      </c>
      <c r="AK92" s="18" t="n">
        <f aca="false">AJ96</f>
        <v>52278.4151779533</v>
      </c>
      <c r="AL92" s="18" t="n">
        <f aca="false">AK96</f>
        <v>51676.1958474591</v>
      </c>
      <c r="AM92" s="18" t="n">
        <f aca="false">AL96</f>
        <v>51086.3927117478</v>
      </c>
      <c r="AN92" s="18" t="n">
        <f aca="false">AM96</f>
        <v>50508.6967869259</v>
      </c>
      <c r="AO92" s="18" t="n">
        <f aca="false">AN96</f>
        <v>49911.3908032742</v>
      </c>
      <c r="AP92" s="18" t="n">
        <f aca="false">AO96</f>
        <v>49294.2489025702</v>
      </c>
      <c r="AQ92" s="18" t="n">
        <f aca="false">AP96</f>
        <v>48673.8455945815</v>
      </c>
      <c r="AR92" s="18" t="n">
        <f aca="false">AQ96</f>
        <v>48065.3355354247</v>
      </c>
      <c r="AS92" s="18" t="n">
        <f aca="false">AR96</f>
        <v>47436.8268755201</v>
      </c>
      <c r="AT92" s="18" t="n">
        <f aca="false">AS96</f>
        <v>46788.0892816261</v>
      </c>
      <c r="AU92" s="18" t="n">
        <f aca="false">AT96</f>
        <v>46135.7505454918</v>
      </c>
      <c r="AV92" s="18" t="n">
        <f aca="false">AU96</f>
        <v>45482.0542942052</v>
      </c>
      <c r="AW92" s="18" t="n">
        <f aca="false">AV96</f>
        <v>44820.8291173449</v>
      </c>
      <c r="AX92" s="18" t="n">
        <f aca="false">AW96</f>
        <v>44138.965627389</v>
      </c>
      <c r="AY92" s="18" t="n">
        <f aca="false">AX96</f>
        <v>43453.1437119666</v>
      </c>
      <c r="AZ92" s="18" t="n">
        <f aca="false">AY96</f>
        <v>42778.7423046105</v>
      </c>
      <c r="BA92" s="18" t="n">
        <f aca="false">AZ96</f>
        <v>42083.5193718874</v>
      </c>
      <c r="BB92" s="18" t="n">
        <f aca="false">BA96</f>
        <v>41367.2351025477</v>
      </c>
      <c r="BC92" s="18" t="n">
        <f aca="false">BB96</f>
        <v>40646.620285131</v>
      </c>
      <c r="BD92" s="18" t="n">
        <f aca="false">BC96</f>
        <v>39937.1675243441</v>
      </c>
      <c r="BE92" s="18" t="n">
        <f aca="false">BD96</f>
        <v>39206.4592319084</v>
      </c>
      <c r="BF92" s="18" t="n">
        <f aca="false">BE96</f>
        <v>38454.250597921</v>
      </c>
      <c r="BG92" s="18" t="n">
        <f aca="false">BF96</f>
        <v>37697.3220486924</v>
      </c>
      <c r="BH92" s="18" t="n">
        <f aca="false">BG96</f>
        <v>36951.2808890002</v>
      </c>
      <c r="BI92" s="18" t="n">
        <f aca="false">BH96</f>
        <v>36183.5336813811</v>
      </c>
      <c r="BJ92" s="18" t="n">
        <f aca="false">BI96</f>
        <v>35393.8304271255</v>
      </c>
      <c r="BK92" s="18" t="n">
        <f aca="false">BJ96</f>
        <v>34598.9998765323</v>
      </c>
      <c r="BL92" s="18" t="n">
        <f aca="false">BK96</f>
        <v>33801.6236547718</v>
      </c>
      <c r="BM92" s="18" t="n">
        <f aca="false">BL96</f>
        <v>32995.0636779934</v>
      </c>
      <c r="BN92" s="18" t="n">
        <f aca="false">BM96</f>
        <v>32166.0727540076</v>
      </c>
      <c r="BO92" s="18" t="n">
        <f aca="false">BN96</f>
        <v>31331.5265710745</v>
      </c>
      <c r="BP92" s="18" t="n">
        <f aca="false">BO96</f>
        <v>30507.2649405133</v>
      </c>
      <c r="BQ92" s="18" t="n">
        <f aca="false">BP96</f>
        <v>29660.3418866431</v>
      </c>
      <c r="BR92" s="18" t="n">
        <f aca="false">BQ96</f>
        <v>28790.4964072489</v>
      </c>
      <c r="BS92" s="18" t="n">
        <f aca="false">BR96</f>
        <v>27914.6497280024</v>
      </c>
      <c r="BT92" s="18" t="n">
        <f aca="false">BS96</f>
        <v>27048.7595059842</v>
      </c>
      <c r="BU92" s="18" t="n">
        <f aca="false">BT96</f>
        <v>26159.7031288901</v>
      </c>
      <c r="BV92" s="18" t="n">
        <f aca="false">BU96</f>
        <v>25247.2137812733</v>
      </c>
      <c r="BW92" s="18" t="n">
        <f aca="false">BV96</f>
        <v>24328.2567511327</v>
      </c>
      <c r="BX92" s="18" t="n">
        <f aca="false">BW96</f>
        <v>23418.9086100082</v>
      </c>
      <c r="BY92" s="18" t="n">
        <f aca="false">BX96</f>
        <v>22485.8698802517</v>
      </c>
      <c r="BZ92" s="18" t="n">
        <f aca="false">BY96</f>
        <v>21528.8677062697</v>
      </c>
      <c r="CA92" s="18" t="n">
        <f aca="false">BZ96</f>
        <v>20564.9099062801</v>
      </c>
      <c r="CB92" s="18" t="n">
        <f aca="false">CA96</f>
        <v>19596.9533498143</v>
      </c>
      <c r="CC92" s="18" t="n">
        <f aca="false">CB96</f>
        <v>18617.8483848057</v>
      </c>
      <c r="CD92" s="18" t="n">
        <f aca="false">CC96</f>
        <v>17614.2269148097</v>
      </c>
      <c r="CE92" s="18" t="n">
        <f aca="false">CD96</f>
        <v>16603.1376771855</v>
      </c>
      <c r="CF92" s="18" t="n">
        <f aca="false">CE96</f>
        <v>15600.8982973188</v>
      </c>
      <c r="CG92" s="18" t="n">
        <f aca="false">CF96</f>
        <v>14573.8549299846</v>
      </c>
      <c r="CH92" s="18" t="n">
        <f aca="false">CG96</f>
        <v>13521.7218960538</v>
      </c>
      <c r="CI92" s="18" t="n">
        <f aca="false">CH96</f>
        <v>12461.5872199433</v>
      </c>
      <c r="CJ92" s="18" t="n">
        <f aca="false">CI96</f>
        <v>11409.8907053834</v>
      </c>
      <c r="CK92" s="18" t="n">
        <f aca="false">CJ96</f>
        <v>10332.8010606142</v>
      </c>
      <c r="CL92" s="18" t="n">
        <f aca="false">CK96</f>
        <v>9230.02582107428</v>
      </c>
      <c r="CM92" s="18" t="n">
        <f aca="false">CL96</f>
        <v>8118.69058449064</v>
      </c>
      <c r="CN92" s="18" t="n">
        <f aca="false">CM96</f>
        <v>7015.35844047881</v>
      </c>
      <c r="CO92" s="18" t="n">
        <f aca="false">CN96</f>
        <v>5886.02049392127</v>
      </c>
      <c r="CP92" s="18" t="n">
        <f aca="false">CO96</f>
        <v>4730.37722382266</v>
      </c>
      <c r="CQ92" s="18" t="n">
        <f aca="false">CP96</f>
        <v>3565.59002324958</v>
      </c>
      <c r="CR92" s="18" t="n">
        <f aca="false">CQ96</f>
        <v>2395.03182686179</v>
      </c>
      <c r="CS92" s="18" t="n">
        <f aca="false">CR96</f>
        <v>1210.99176405197</v>
      </c>
      <c r="CT92" s="18" t="n">
        <f aca="false">CS96</f>
        <v>2.93084667646326E-010</v>
      </c>
      <c r="CU92" s="18" t="n">
        <f aca="false">CT96</f>
        <v>2.96748225991905E-010</v>
      </c>
      <c r="CV92" s="18" t="n">
        <f aca="false">CU96</f>
        <v>3.00457578816804E-010</v>
      </c>
      <c r="CW92" s="18" t="n">
        <f aca="false">CV96</f>
        <v>3.04213298552014E-010</v>
      </c>
      <c r="CX92" s="18" t="n">
        <f aca="false">CW96</f>
        <v>3.08015964783914E-010</v>
      </c>
      <c r="CY92" s="18" t="n">
        <f aca="false">CX96</f>
        <v>3.11866164343713E-010</v>
      </c>
      <c r="CZ92" s="18" t="n">
        <f aca="false">CY96</f>
        <v>3.1576449139801E-010</v>
      </c>
      <c r="DA92" s="18" t="n">
        <f aca="false">CZ96</f>
        <v>3.19711547540485E-010</v>
      </c>
      <c r="DB92" s="18" t="n">
        <f aca="false">DA96</f>
        <v>3.23707941884741E-010</v>
      </c>
      <c r="DC92" s="18" t="n">
        <f aca="false">DB96</f>
        <v>3.277542911583E-010</v>
      </c>
      <c r="DD92" s="18" t="n">
        <f aca="false">DC96</f>
        <v>3.31851219797779E-010</v>
      </c>
      <c r="DE92" s="18" t="n">
        <f aca="false">DD96</f>
        <v>3.35999360045251E-010</v>
      </c>
      <c r="DF92" s="18" t="n">
        <f aca="false">DE96</f>
        <v>3.40199352045817E-010</v>
      </c>
      <c r="DG92" s="18" t="n">
        <f aca="false">DF96</f>
        <v>3.44451843946389E-010</v>
      </c>
      <c r="DH92" s="18" t="n">
        <f aca="false">DG96</f>
        <v>3.48757491995719E-010</v>
      </c>
      <c r="DI92" s="18" t="n">
        <f aca="false">DH96</f>
        <v>3.53116960645666E-010</v>
      </c>
      <c r="DJ92" s="18" t="n">
        <f aca="false">DI96</f>
        <v>3.57530922653737E-010</v>
      </c>
      <c r="DK92" s="18" t="n">
        <f aca="false">DJ96</f>
        <v>3.62000059186908E-010</v>
      </c>
      <c r="DL92" s="18" t="n">
        <f aca="false">DK96</f>
        <v>3.66525059926745E-010</v>
      </c>
      <c r="DM92" s="18" t="n">
        <f aca="false">DL96</f>
        <v>3.71106623175829E-010</v>
      </c>
      <c r="DN92" s="18" t="n">
        <f aca="false">DM96</f>
        <v>3.75745455965527E-010</v>
      </c>
      <c r="DO92" s="18" t="n">
        <f aca="false">DN96</f>
        <v>3.80442274165096E-010</v>
      </c>
      <c r="DP92" s="18" t="n">
        <f aca="false">DO96</f>
        <v>3.85197802592159E-010</v>
      </c>
      <c r="DQ92" s="18" t="n">
        <f aca="false">DP96</f>
        <v>3.90012775124561E-010</v>
      </c>
      <c r="DR92" s="18" t="n">
        <f aca="false">DQ96</f>
        <v>3.94887934813618E-010</v>
      </c>
      <c r="DS92" s="18" t="n">
        <f aca="false">DR96</f>
        <v>3.99824033998789E-010</v>
      </c>
      <c r="DT92" s="18" t="n">
        <f aca="false">DS96</f>
        <v>4.04821834423774E-010</v>
      </c>
      <c r="DU92" s="18" t="n">
        <f aca="false">DT96</f>
        <v>4.09882107354071E-010</v>
      </c>
      <c r="DV92" s="18" t="n">
        <f aca="false">DU96</f>
        <v>4.15005633695997E-010</v>
      </c>
      <c r="DW92" s="18" t="n">
        <f aca="false">DV96</f>
        <v>4.20193204117197E-010</v>
      </c>
      <c r="DX92" s="18" t="n">
        <f aca="false">DW96</f>
        <v>4.25445619168662E-010</v>
      </c>
      <c r="DY92" s="18" t="n">
        <f aca="false">DX96</f>
        <v>4.3076368940827E-010</v>
      </c>
      <c r="DZ92" s="18" t="n">
        <f aca="false">DY96</f>
        <v>4.36148235525873E-010</v>
      </c>
      <c r="EA92" s="18" t="n">
        <f aca="false">DZ96</f>
        <v>4.41600088469947E-010</v>
      </c>
      <c r="EB92" s="18" t="n">
        <f aca="false">EA96</f>
        <v>4.47120089575821E-010</v>
      </c>
      <c r="EC92" s="18" t="n">
        <f aca="false">EB96</f>
        <v>4.52709090695519E-010</v>
      </c>
      <c r="ED92" s="18" t="n">
        <f aca="false">EC96</f>
        <v>4.58367954329213E-010</v>
      </c>
      <c r="EE92" s="18" t="n">
        <f aca="false">ED96</f>
        <v>4.64097553758328E-010</v>
      </c>
      <c r="EF92" s="18" t="n">
        <f aca="false">EE96</f>
        <v>4.69898773180307E-010</v>
      </c>
      <c r="EG92" s="18" t="n">
        <f aca="false">EF96</f>
        <v>4.75772507845061E-010</v>
      </c>
      <c r="EH92" s="18" t="n">
        <f aca="false">EG96</f>
        <v>4.81719664193124E-010</v>
      </c>
      <c r="EI92" s="18" t="n">
        <f aca="false">EH96</f>
        <v>4.87741159995538E-010</v>
      </c>
      <c r="EJ92" s="18" t="n">
        <f aca="false">EI96</f>
        <v>4.93837924495483E-010</v>
      </c>
      <c r="EK92" s="18" t="n">
        <f aca="false">EJ96</f>
        <v>5.00010898551676E-010</v>
      </c>
      <c r="EL92" s="18" t="n">
        <f aca="false">EK96</f>
        <v>5.06261034783572E-010</v>
      </c>
      <c r="EM92" s="18" t="n">
        <f aca="false">EL96</f>
        <v>5.12589297718367E-010</v>
      </c>
      <c r="EN92" s="18" t="n">
        <f aca="false">EM96</f>
        <v>5.18996663939846E-010</v>
      </c>
      <c r="EO92" s="18" t="n">
        <f aca="false">EN96</f>
        <v>5.25484122239094E-010</v>
      </c>
    </row>
    <row r="93" customFormat="false" ht="15" hidden="false" customHeight="false" outlineLevel="0" collapsed="false">
      <c r="C93" s="0" t="s">
        <v>456</v>
      </c>
      <c r="D93" s="11" t="s">
        <v>33</v>
      </c>
      <c r="I93" s="47" t="n">
        <f aca="false">SUM(J93:EO93)</f>
        <v>55560.2152328767</v>
      </c>
      <c r="J93" s="47" t="n">
        <f aca="false">-$E87*J67</f>
        <v>0</v>
      </c>
      <c r="K93" s="47" t="n">
        <f aca="false">-$E87*K67</f>
        <v>0</v>
      </c>
      <c r="L93" s="47" t="n">
        <f aca="false">-$E87*L67</f>
        <v>0</v>
      </c>
      <c r="M93" s="47" t="n">
        <f aca="false">-$E87*M67</f>
        <v>0</v>
      </c>
      <c r="N93" s="47" t="n">
        <f aca="false">-$E87*N67</f>
        <v>0</v>
      </c>
      <c r="O93" s="47" t="n">
        <f aca="false">-$E87*O67</f>
        <v>0</v>
      </c>
      <c r="P93" s="47" t="n">
        <f aca="false">-$E87*P67</f>
        <v>0</v>
      </c>
      <c r="Q93" s="47" t="n">
        <f aca="false">-$E87*Q67</f>
        <v>0</v>
      </c>
      <c r="R93" s="47" t="n">
        <f aca="false">-$E87*R67</f>
        <v>6263.56952054795</v>
      </c>
      <c r="S93" s="47" t="n">
        <f aca="false">-$E87*S67</f>
        <v>10612.5576986301</v>
      </c>
      <c r="T93" s="47" t="n">
        <f aca="false">-$E87*T67</f>
        <v>6195.48724315069</v>
      </c>
      <c r="U93" s="47" t="n">
        <f aca="false">-$E87*U67</f>
        <v>6263.56952054795</v>
      </c>
      <c r="V93" s="47" t="n">
        <f aca="false">-$E87*V67</f>
        <v>6263.56952054795</v>
      </c>
      <c r="W93" s="47" t="n">
        <f aca="false">-$E87*W67</f>
        <v>6127.40496575343</v>
      </c>
      <c r="X93" s="47" t="n">
        <f aca="false">-$E87*X67</f>
        <v>6195.48724315069</v>
      </c>
      <c r="Y93" s="47" t="n">
        <f aca="false">-$E87*Y67</f>
        <v>7638.56952054795</v>
      </c>
      <c r="Z93" s="47" t="n">
        <f aca="false">-$E87*Z67</f>
        <v>0</v>
      </c>
      <c r="AA93" s="47" t="n">
        <f aca="false">-$E87*AA67</f>
        <v>0</v>
      </c>
      <c r="AB93" s="47" t="n">
        <f aca="false">-$E87*AB67</f>
        <v>0</v>
      </c>
      <c r="AC93" s="47" t="n">
        <f aca="false">-$E87*AC67</f>
        <v>0</v>
      </c>
      <c r="AD93" s="47" t="n">
        <f aca="false">-$E87*AD67</f>
        <v>0</v>
      </c>
      <c r="AE93" s="47" t="n">
        <f aca="false">-$E87*AE67</f>
        <v>0</v>
      </c>
      <c r="AF93" s="47" t="n">
        <f aca="false">-$E87*AF67</f>
        <v>0</v>
      </c>
      <c r="AG93" s="47" t="n">
        <f aca="false">-$E87*AG67</f>
        <v>0</v>
      </c>
      <c r="AH93" s="47" t="n">
        <f aca="false">-$E87*AH67</f>
        <v>0</v>
      </c>
      <c r="AI93" s="47" t="n">
        <f aca="false">-$E87*AI67</f>
        <v>0</v>
      </c>
      <c r="AJ93" s="47" t="n">
        <f aca="false">-$E87*AJ67</f>
        <v>0</v>
      </c>
      <c r="AK93" s="47" t="n">
        <f aca="false">-$E87*AK67</f>
        <v>0</v>
      </c>
      <c r="AL93" s="47" t="n">
        <f aca="false">-$E87*AL67</f>
        <v>0</v>
      </c>
      <c r="AM93" s="47" t="n">
        <f aca="false">-$E87*AM67</f>
        <v>0</v>
      </c>
      <c r="AN93" s="47" t="n">
        <f aca="false">-$E87*AN67</f>
        <v>0</v>
      </c>
      <c r="AO93" s="47" t="n">
        <f aca="false">-$E87*AO67</f>
        <v>0</v>
      </c>
      <c r="AP93" s="47" t="n">
        <f aca="false">-$E87*AP67</f>
        <v>0</v>
      </c>
      <c r="AQ93" s="47" t="n">
        <f aca="false">-$E87*AQ67</f>
        <v>0</v>
      </c>
      <c r="AR93" s="47" t="n">
        <f aca="false">-$E87*AR67</f>
        <v>0</v>
      </c>
      <c r="AS93" s="47" t="n">
        <f aca="false">-$E87*AS67</f>
        <v>0</v>
      </c>
      <c r="AT93" s="47" t="n">
        <f aca="false">-$E87*AT67</f>
        <v>0</v>
      </c>
      <c r="AU93" s="47" t="n">
        <f aca="false">-$E87*AU67</f>
        <v>0</v>
      </c>
      <c r="AV93" s="47" t="n">
        <f aca="false">-$E87*AV67</f>
        <v>0</v>
      </c>
      <c r="AW93" s="47" t="n">
        <f aca="false">-$E87*AW67</f>
        <v>0</v>
      </c>
      <c r="AX93" s="47" t="n">
        <f aca="false">-$E87*AX67</f>
        <v>0</v>
      </c>
      <c r="AY93" s="47" t="n">
        <f aca="false">-$E87*AY67</f>
        <v>0</v>
      </c>
      <c r="AZ93" s="47" t="n">
        <f aca="false">-$E87*AZ67</f>
        <v>0</v>
      </c>
      <c r="BA93" s="47" t="n">
        <f aca="false">-$E87*BA67</f>
        <v>0</v>
      </c>
      <c r="BB93" s="47" t="n">
        <f aca="false">-$E87*BB67</f>
        <v>0</v>
      </c>
      <c r="BC93" s="47" t="n">
        <f aca="false">-$E87*BC67</f>
        <v>0</v>
      </c>
      <c r="BD93" s="47" t="n">
        <f aca="false">-$E87*BD67</f>
        <v>0</v>
      </c>
      <c r="BE93" s="47" t="n">
        <f aca="false">-$E87*BE67</f>
        <v>0</v>
      </c>
      <c r="BF93" s="47" t="n">
        <f aca="false">-$E87*BF67</f>
        <v>0</v>
      </c>
      <c r="BG93" s="47" t="n">
        <f aca="false">-$E87*BG67</f>
        <v>0</v>
      </c>
      <c r="BH93" s="47" t="n">
        <f aca="false">-$E87*BH67</f>
        <v>0</v>
      </c>
      <c r="BI93" s="47" t="n">
        <f aca="false">-$E87*BI67</f>
        <v>0</v>
      </c>
      <c r="BJ93" s="47" t="n">
        <f aca="false">-$E87*BJ67</f>
        <v>0</v>
      </c>
      <c r="BK93" s="47" t="n">
        <f aca="false">-$E87*BK67</f>
        <v>0</v>
      </c>
      <c r="BL93" s="47" t="n">
        <f aca="false">-$E87*BL67</f>
        <v>0</v>
      </c>
      <c r="BM93" s="47" t="n">
        <f aca="false">-$E87*BM67</f>
        <v>0</v>
      </c>
      <c r="BN93" s="47" t="n">
        <f aca="false">-$E87*BN67</f>
        <v>0</v>
      </c>
      <c r="BO93" s="47" t="n">
        <f aca="false">-$E87*BO67</f>
        <v>0</v>
      </c>
      <c r="BP93" s="47" t="n">
        <f aca="false">-$E87*BP67</f>
        <v>0</v>
      </c>
      <c r="BQ93" s="47" t="n">
        <f aca="false">-$E87*BQ67</f>
        <v>0</v>
      </c>
      <c r="BR93" s="47" t="n">
        <f aca="false">-$E87*BR67</f>
        <v>0</v>
      </c>
      <c r="BS93" s="47" t="n">
        <f aca="false">-$E87*BS67</f>
        <v>0</v>
      </c>
      <c r="BT93" s="47" t="n">
        <f aca="false">-$E87*BT67</f>
        <v>0</v>
      </c>
      <c r="BU93" s="47" t="n">
        <f aca="false">-$E87*BU67</f>
        <v>0</v>
      </c>
      <c r="BV93" s="47" t="n">
        <f aca="false">-$E87*BV67</f>
        <v>0</v>
      </c>
      <c r="BW93" s="47" t="n">
        <f aca="false">-$E87*BW67</f>
        <v>0</v>
      </c>
      <c r="BX93" s="47" t="n">
        <f aca="false">-$E87*BX67</f>
        <v>0</v>
      </c>
      <c r="BY93" s="47" t="n">
        <f aca="false">-$E87*BY67</f>
        <v>0</v>
      </c>
      <c r="BZ93" s="47" t="n">
        <f aca="false">-$E87*BZ67</f>
        <v>0</v>
      </c>
      <c r="CA93" s="47" t="n">
        <f aca="false">-$E87*CA67</f>
        <v>0</v>
      </c>
      <c r="CB93" s="47" t="n">
        <f aca="false">-$E87*CB67</f>
        <v>0</v>
      </c>
      <c r="CC93" s="47" t="n">
        <f aca="false">-$E87*CC67</f>
        <v>0</v>
      </c>
      <c r="CD93" s="47" t="n">
        <f aca="false">-$E87*CD67</f>
        <v>0</v>
      </c>
      <c r="CE93" s="47" t="n">
        <f aca="false">-$E87*CE67</f>
        <v>0</v>
      </c>
      <c r="CF93" s="47" t="n">
        <f aca="false">-$E87*CF67</f>
        <v>0</v>
      </c>
      <c r="CG93" s="47" t="n">
        <f aca="false">-$E87*CG67</f>
        <v>0</v>
      </c>
      <c r="CH93" s="47" t="n">
        <f aca="false">-$E87*CH67</f>
        <v>0</v>
      </c>
      <c r="CI93" s="47" t="n">
        <f aca="false">-$E87*CI67</f>
        <v>0</v>
      </c>
      <c r="CJ93" s="47" t="n">
        <f aca="false">-$E87*CJ67</f>
        <v>0</v>
      </c>
      <c r="CK93" s="47" t="n">
        <f aca="false">-$E87*CK67</f>
        <v>0</v>
      </c>
      <c r="CL93" s="47" t="n">
        <f aca="false">-$E87*CL67</f>
        <v>0</v>
      </c>
      <c r="CM93" s="47" t="n">
        <f aca="false">-$E87*CM67</f>
        <v>0</v>
      </c>
      <c r="CN93" s="47" t="n">
        <f aca="false">-$E87*CN67</f>
        <v>0</v>
      </c>
      <c r="CO93" s="47" t="n">
        <f aca="false">-$E87*CO67</f>
        <v>0</v>
      </c>
      <c r="CP93" s="47" t="n">
        <f aca="false">-$E87*CP67</f>
        <v>0</v>
      </c>
      <c r="CQ93" s="47" t="n">
        <f aca="false">-$E87*CQ67</f>
        <v>0</v>
      </c>
      <c r="CR93" s="47" t="n">
        <f aca="false">-$E87*CR67</f>
        <v>0</v>
      </c>
      <c r="CS93" s="47" t="n">
        <f aca="false">-$E87*CS67</f>
        <v>0</v>
      </c>
      <c r="CT93" s="47" t="n">
        <f aca="false">-$E87*CT67</f>
        <v>0</v>
      </c>
      <c r="CU93" s="47" t="n">
        <f aca="false">-$E87*CU67</f>
        <v>0</v>
      </c>
      <c r="CV93" s="47" t="n">
        <f aca="false">-$E87*CV67</f>
        <v>0</v>
      </c>
      <c r="CW93" s="47" t="n">
        <f aca="false">-$E87*CW67</f>
        <v>0</v>
      </c>
      <c r="CX93" s="47" t="n">
        <f aca="false">-$E87*CX67</f>
        <v>0</v>
      </c>
      <c r="CY93" s="47" t="n">
        <f aca="false">-$E87*CY67</f>
        <v>0</v>
      </c>
      <c r="CZ93" s="47" t="n">
        <f aca="false">-$E87*CZ67</f>
        <v>0</v>
      </c>
      <c r="DA93" s="47" t="n">
        <f aca="false">-$E87*DA67</f>
        <v>0</v>
      </c>
      <c r="DB93" s="47" t="n">
        <f aca="false">-$E87*DB67</f>
        <v>0</v>
      </c>
      <c r="DC93" s="47" t="n">
        <f aca="false">-$E87*DC67</f>
        <v>0</v>
      </c>
      <c r="DD93" s="47" t="n">
        <f aca="false">-$E87*DD67</f>
        <v>0</v>
      </c>
      <c r="DE93" s="47" t="n">
        <f aca="false">-$E87*DE67</f>
        <v>0</v>
      </c>
      <c r="DF93" s="47" t="n">
        <f aca="false">-$E87*DF67</f>
        <v>0</v>
      </c>
      <c r="DG93" s="47" t="n">
        <f aca="false">-$E87*DG67</f>
        <v>0</v>
      </c>
      <c r="DH93" s="47" t="n">
        <f aca="false">-$E87*DH67</f>
        <v>0</v>
      </c>
      <c r="DI93" s="47" t="n">
        <f aca="false">-$E87*DI67</f>
        <v>0</v>
      </c>
      <c r="DJ93" s="47" t="n">
        <f aca="false">-$E87*DJ67</f>
        <v>0</v>
      </c>
      <c r="DK93" s="47" t="n">
        <f aca="false">-$E87*DK67</f>
        <v>0</v>
      </c>
      <c r="DL93" s="47" t="n">
        <f aca="false">-$E87*DL67</f>
        <v>0</v>
      </c>
      <c r="DM93" s="47" t="n">
        <f aca="false">-$E87*DM67</f>
        <v>0</v>
      </c>
      <c r="DN93" s="47" t="n">
        <f aca="false">-$E87*DN67</f>
        <v>0</v>
      </c>
      <c r="DO93" s="47" t="n">
        <f aca="false">-$E87*DO67</f>
        <v>0</v>
      </c>
      <c r="DP93" s="47" t="n">
        <f aca="false">-$E87*DP67</f>
        <v>0</v>
      </c>
      <c r="DQ93" s="47" t="n">
        <f aca="false">-$E87*DQ67</f>
        <v>0</v>
      </c>
      <c r="DR93" s="47" t="n">
        <f aca="false">-$E87*DR67</f>
        <v>0</v>
      </c>
      <c r="DS93" s="47" t="n">
        <f aca="false">-$E87*DS67</f>
        <v>0</v>
      </c>
      <c r="DT93" s="47" t="n">
        <f aca="false">-$E87*DT67</f>
        <v>0</v>
      </c>
      <c r="DU93" s="47" t="n">
        <f aca="false">-$E87*DU67</f>
        <v>0</v>
      </c>
      <c r="DV93" s="47" t="n">
        <f aca="false">-$E87*DV67</f>
        <v>0</v>
      </c>
      <c r="DW93" s="47" t="n">
        <f aca="false">-$E87*DW67</f>
        <v>0</v>
      </c>
      <c r="DX93" s="47" t="n">
        <f aca="false">-$E87*DX67</f>
        <v>0</v>
      </c>
      <c r="DY93" s="47" t="n">
        <f aca="false">-$E87*DY67</f>
        <v>0</v>
      </c>
      <c r="DZ93" s="47" t="n">
        <f aca="false">-$E87*DZ67</f>
        <v>0</v>
      </c>
      <c r="EA93" s="47" t="n">
        <f aca="false">-$E87*EA67</f>
        <v>0</v>
      </c>
      <c r="EB93" s="47" t="n">
        <f aca="false">-$E87*EB67</f>
        <v>0</v>
      </c>
      <c r="EC93" s="47" t="n">
        <f aca="false">-$E87*EC67</f>
        <v>0</v>
      </c>
      <c r="ED93" s="47" t="n">
        <f aca="false">-$E87*ED67</f>
        <v>0</v>
      </c>
      <c r="EE93" s="47" t="n">
        <f aca="false">-$E87*EE67</f>
        <v>0</v>
      </c>
      <c r="EF93" s="47" t="n">
        <f aca="false">-$E87*EF67</f>
        <v>0</v>
      </c>
      <c r="EG93" s="47" t="n">
        <f aca="false">-$E87*EG67</f>
        <v>0</v>
      </c>
      <c r="EH93" s="47" t="n">
        <f aca="false">-$E87*EH67</f>
        <v>0</v>
      </c>
      <c r="EI93" s="47" t="n">
        <f aca="false">-$E87*EI67</f>
        <v>0</v>
      </c>
      <c r="EJ93" s="47" t="n">
        <f aca="false">-$E87*EJ67</f>
        <v>0</v>
      </c>
      <c r="EK93" s="47" t="n">
        <f aca="false">-$E87*EK67</f>
        <v>0</v>
      </c>
      <c r="EL93" s="47" t="n">
        <f aca="false">-$E87*EL67</f>
        <v>0</v>
      </c>
      <c r="EM93" s="47" t="n">
        <f aca="false">-$E87*EM67</f>
        <v>0</v>
      </c>
      <c r="EN93" s="47" t="n">
        <f aca="false">-$E87*EN67</f>
        <v>0</v>
      </c>
      <c r="EO93" s="47" t="n">
        <f aca="false">-$E87*EO67</f>
        <v>0</v>
      </c>
    </row>
    <row r="94" customFormat="false" ht="15" hidden="false" customHeight="false" outlineLevel="0" collapsed="false">
      <c r="C94" s="0" t="s">
        <v>457</v>
      </c>
      <c r="D94" s="11" t="s">
        <v>33</v>
      </c>
      <c r="I94" s="47" t="n">
        <f aca="false">SUM(J94:EO94)</f>
        <v>2575.81979044683</v>
      </c>
      <c r="J94" s="47" t="n">
        <f aca="false">J92*$F22*(J$4&lt;=In_COD)</f>
        <v>0</v>
      </c>
      <c r="K94" s="47" t="n">
        <f aca="false">K92*$F22*(K$4&lt;=In_COD)</f>
        <v>0</v>
      </c>
      <c r="L94" s="47" t="n">
        <f aca="false">L92*$F22*(L$4&lt;=In_COD)</f>
        <v>0</v>
      </c>
      <c r="M94" s="47" t="n">
        <f aca="false">M92*$F22*(M$4&lt;=In_COD)</f>
        <v>0</v>
      </c>
      <c r="N94" s="47" t="n">
        <f aca="false">N92*$F22*(N$4&lt;=In_COD)</f>
        <v>0</v>
      </c>
      <c r="O94" s="47" t="n">
        <f aca="false">O92*$F22*(O$4&lt;=In_COD)</f>
        <v>0</v>
      </c>
      <c r="P94" s="47" t="n">
        <f aca="false">P92*$F22*(P$4&lt;=In_COD)</f>
        <v>0</v>
      </c>
      <c r="Q94" s="47" t="n">
        <f aca="false">Q92*$F22*(Q$4&lt;=In_COD)</f>
        <v>0</v>
      </c>
      <c r="R94" s="47" t="n">
        <f aca="false">R92*$F22*(R$4&lt;=In_COD)</f>
        <v>0</v>
      </c>
      <c r="S94" s="47" t="n">
        <f aca="false">S92*$F22*(S$4&lt;=In_COD)</f>
        <v>78.2946190068494</v>
      </c>
      <c r="T94" s="47" t="n">
        <f aca="false">T92*$F22*(T$4&lt;=In_COD)</f>
        <v>211.930272977312</v>
      </c>
      <c r="U94" s="47" t="n">
        <f aca="false">U92*$F22*(U$4&lt;=In_COD)</f>
        <v>292.022991928912</v>
      </c>
      <c r="V94" s="47" t="n">
        <f aca="false">V92*$F22*(V$4&lt;=In_COD)</f>
        <v>373.967898334873</v>
      </c>
      <c r="W94" s="47" t="n">
        <f aca="false">W92*$F22*(W$4&lt;=In_COD)</f>
        <v>456.937116070908</v>
      </c>
      <c r="X94" s="47" t="n">
        <f aca="false">X92*$F22*(X$4&lt;=In_COD)</f>
        <v>539.241392093712</v>
      </c>
      <c r="Y94" s="47" t="n">
        <f aca="false">Y92*$F22*(Y$4&lt;=In_COD)</f>
        <v>623.425500034267</v>
      </c>
      <c r="Z94" s="47" t="n">
        <f aca="false">Z92*$F22*(Z$4&lt;=In_COD)</f>
        <v>0</v>
      </c>
      <c r="AA94" s="47" t="n">
        <f aca="false">AA92*$F22*(AA$4&lt;=In_COD)</f>
        <v>0</v>
      </c>
      <c r="AB94" s="47" t="n">
        <f aca="false">AB92*$F22*(AB$4&lt;=In_COD)</f>
        <v>0</v>
      </c>
      <c r="AC94" s="47" t="n">
        <f aca="false">AC92*$F22*(AC$4&lt;=In_COD)</f>
        <v>0</v>
      </c>
      <c r="AD94" s="47" t="n">
        <f aca="false">AD92*$F22*(AD$4&lt;=In_COD)</f>
        <v>0</v>
      </c>
      <c r="AE94" s="47" t="n">
        <f aca="false">AE92*$F22*(AE$4&lt;=In_COD)</f>
        <v>0</v>
      </c>
      <c r="AF94" s="47" t="n">
        <f aca="false">AF92*$F22*(AF$4&lt;=In_COD)</f>
        <v>0</v>
      </c>
      <c r="AG94" s="47" t="n">
        <f aca="false">AG92*$F22*(AG$4&lt;=In_COD)</f>
        <v>0</v>
      </c>
      <c r="AH94" s="47" t="n">
        <f aca="false">AH92*$F22*(AH$4&lt;=In_COD)</f>
        <v>0</v>
      </c>
      <c r="AI94" s="47" t="n">
        <f aca="false">AI92*$F22*(AI$4&lt;=In_COD)</f>
        <v>0</v>
      </c>
      <c r="AJ94" s="47" t="n">
        <f aca="false">AJ92*$F22*(AJ$4&lt;=In_COD)</f>
        <v>0</v>
      </c>
      <c r="AK94" s="47" t="n">
        <f aca="false">AK92*$F22*(AK$4&lt;=In_COD)</f>
        <v>0</v>
      </c>
      <c r="AL94" s="47" t="n">
        <f aca="false">AL92*$F22*(AL$4&lt;=In_COD)</f>
        <v>0</v>
      </c>
      <c r="AM94" s="47" t="n">
        <f aca="false">AM92*$F22*(AM$4&lt;=In_COD)</f>
        <v>0</v>
      </c>
      <c r="AN94" s="47" t="n">
        <f aca="false">AN92*$F22*(AN$4&lt;=In_COD)</f>
        <v>0</v>
      </c>
      <c r="AO94" s="47" t="n">
        <f aca="false">AO92*$F22*(AO$4&lt;=In_COD)</f>
        <v>0</v>
      </c>
      <c r="AP94" s="47" t="n">
        <f aca="false">AP92*$F22*(AP$4&lt;=In_COD)</f>
        <v>0</v>
      </c>
      <c r="AQ94" s="47" t="n">
        <f aca="false">AQ92*$F22*(AQ$4&lt;=In_COD)</f>
        <v>0</v>
      </c>
      <c r="AR94" s="47" t="n">
        <f aca="false">AR92*$F22*(AR$4&lt;=In_COD)</f>
        <v>0</v>
      </c>
      <c r="AS94" s="47" t="n">
        <f aca="false">AS92*$F22*(AS$4&lt;=In_COD)</f>
        <v>0</v>
      </c>
      <c r="AT94" s="47" t="n">
        <f aca="false">AT92*$F22*(AT$4&lt;=In_COD)</f>
        <v>0</v>
      </c>
      <c r="AU94" s="47" t="n">
        <f aca="false">AU92*$F22*(AU$4&lt;=In_COD)</f>
        <v>0</v>
      </c>
      <c r="AV94" s="47" t="n">
        <f aca="false">AV92*$F22*(AV$4&lt;=In_COD)</f>
        <v>0</v>
      </c>
      <c r="AW94" s="47" t="n">
        <f aca="false">AW92*$F22*(AW$4&lt;=In_COD)</f>
        <v>0</v>
      </c>
      <c r="AX94" s="47" t="n">
        <f aca="false">AX92*$F22*(AX$4&lt;=In_COD)</f>
        <v>0</v>
      </c>
      <c r="AY94" s="47" t="n">
        <f aca="false">AY92*$F22*(AY$4&lt;=In_COD)</f>
        <v>0</v>
      </c>
      <c r="AZ94" s="47" t="n">
        <f aca="false">AZ92*$F22*(AZ$4&lt;=In_COD)</f>
        <v>0</v>
      </c>
      <c r="BA94" s="47" t="n">
        <f aca="false">BA92*$F22*(BA$4&lt;=In_COD)</f>
        <v>0</v>
      </c>
      <c r="BB94" s="47" t="n">
        <f aca="false">BB92*$F22*(BB$4&lt;=In_COD)</f>
        <v>0</v>
      </c>
      <c r="BC94" s="47" t="n">
        <f aca="false">BC92*$F22*(BC$4&lt;=In_COD)</f>
        <v>0</v>
      </c>
      <c r="BD94" s="47" t="n">
        <f aca="false">BD92*$F22*(BD$4&lt;=In_COD)</f>
        <v>0</v>
      </c>
      <c r="BE94" s="47" t="n">
        <f aca="false">BE92*$F22*(BE$4&lt;=In_COD)</f>
        <v>0</v>
      </c>
      <c r="BF94" s="47" t="n">
        <f aca="false">BF92*$F22*(BF$4&lt;=In_COD)</f>
        <v>0</v>
      </c>
      <c r="BG94" s="47" t="n">
        <f aca="false">BG92*$F22*(BG$4&lt;=In_COD)</f>
        <v>0</v>
      </c>
      <c r="BH94" s="47" t="n">
        <f aca="false">BH92*$F22*(BH$4&lt;=In_COD)</f>
        <v>0</v>
      </c>
      <c r="BI94" s="47" t="n">
        <f aca="false">BI92*$F22*(BI$4&lt;=In_COD)</f>
        <v>0</v>
      </c>
      <c r="BJ94" s="47" t="n">
        <f aca="false">BJ92*$F22*(BJ$4&lt;=In_COD)</f>
        <v>0</v>
      </c>
      <c r="BK94" s="47" t="n">
        <f aca="false">BK92*$F22*(BK$4&lt;=In_COD)</f>
        <v>0</v>
      </c>
      <c r="BL94" s="47" t="n">
        <f aca="false">BL92*$F22*(BL$4&lt;=In_COD)</f>
        <v>0</v>
      </c>
      <c r="BM94" s="47" t="n">
        <f aca="false">BM92*$F22*(BM$4&lt;=In_COD)</f>
        <v>0</v>
      </c>
      <c r="BN94" s="47" t="n">
        <f aca="false">BN92*$F22*(BN$4&lt;=In_COD)</f>
        <v>0</v>
      </c>
      <c r="BO94" s="47" t="n">
        <f aca="false">BO92*$F22*(BO$4&lt;=In_COD)</f>
        <v>0</v>
      </c>
      <c r="BP94" s="47" t="n">
        <f aca="false">BP92*$F22*(BP$4&lt;=In_COD)</f>
        <v>0</v>
      </c>
      <c r="BQ94" s="47" t="n">
        <f aca="false">BQ92*$F22*(BQ$4&lt;=In_COD)</f>
        <v>0</v>
      </c>
      <c r="BR94" s="47" t="n">
        <f aca="false">BR92*$F22*(BR$4&lt;=In_COD)</f>
        <v>0</v>
      </c>
      <c r="BS94" s="47" t="n">
        <f aca="false">BS92*$F22*(BS$4&lt;=In_COD)</f>
        <v>0</v>
      </c>
      <c r="BT94" s="47" t="n">
        <f aca="false">BT92*$F22*(BT$4&lt;=In_COD)</f>
        <v>0</v>
      </c>
      <c r="BU94" s="47" t="n">
        <f aca="false">BU92*$F22*(BU$4&lt;=In_COD)</f>
        <v>0</v>
      </c>
      <c r="BV94" s="47" t="n">
        <f aca="false">BV92*$F22*(BV$4&lt;=In_COD)</f>
        <v>0</v>
      </c>
      <c r="BW94" s="47" t="n">
        <f aca="false">BW92*$F22*(BW$4&lt;=In_COD)</f>
        <v>0</v>
      </c>
      <c r="BX94" s="47" t="n">
        <f aca="false">BX92*$F22*(BX$4&lt;=In_COD)</f>
        <v>0</v>
      </c>
      <c r="BY94" s="47" t="n">
        <f aca="false">BY92*$F22*(BY$4&lt;=In_COD)</f>
        <v>0</v>
      </c>
      <c r="BZ94" s="47" t="n">
        <f aca="false">BZ92*$F22*(BZ$4&lt;=In_COD)</f>
        <v>0</v>
      </c>
      <c r="CA94" s="47" t="n">
        <f aca="false">CA92*$F22*(CA$4&lt;=In_COD)</f>
        <v>0</v>
      </c>
      <c r="CB94" s="47" t="n">
        <f aca="false">CB92*$F22*(CB$4&lt;=In_COD)</f>
        <v>0</v>
      </c>
      <c r="CC94" s="47" t="n">
        <f aca="false">CC92*$F22*(CC$4&lt;=In_COD)</f>
        <v>0</v>
      </c>
      <c r="CD94" s="47" t="n">
        <f aca="false">CD92*$F22*(CD$4&lt;=In_COD)</f>
        <v>0</v>
      </c>
      <c r="CE94" s="47" t="n">
        <f aca="false">CE92*$F22*(CE$4&lt;=In_COD)</f>
        <v>0</v>
      </c>
      <c r="CF94" s="47" t="n">
        <f aca="false">CF92*$F22*(CF$4&lt;=In_COD)</f>
        <v>0</v>
      </c>
      <c r="CG94" s="47" t="n">
        <f aca="false">CG92*$F22*(CG$4&lt;=In_COD)</f>
        <v>0</v>
      </c>
      <c r="CH94" s="47" t="n">
        <f aca="false">CH92*$F22*(CH$4&lt;=In_COD)</f>
        <v>0</v>
      </c>
      <c r="CI94" s="47" t="n">
        <f aca="false">CI92*$F22*(CI$4&lt;=In_COD)</f>
        <v>0</v>
      </c>
      <c r="CJ94" s="47" t="n">
        <f aca="false">CJ92*$F22*(CJ$4&lt;=In_COD)</f>
        <v>0</v>
      </c>
      <c r="CK94" s="47" t="n">
        <f aca="false">CK92*$F22*(CK$4&lt;=In_COD)</f>
        <v>0</v>
      </c>
      <c r="CL94" s="47" t="n">
        <f aca="false">CL92*$F22*(CL$4&lt;=In_COD)</f>
        <v>0</v>
      </c>
      <c r="CM94" s="47" t="n">
        <f aca="false">CM92*$F22*(CM$4&lt;=In_COD)</f>
        <v>0</v>
      </c>
      <c r="CN94" s="47" t="n">
        <f aca="false">CN92*$F22*(CN$4&lt;=In_COD)</f>
        <v>0</v>
      </c>
      <c r="CO94" s="47" t="n">
        <f aca="false">CO92*$F22*(CO$4&lt;=In_COD)</f>
        <v>0</v>
      </c>
      <c r="CP94" s="47" t="n">
        <f aca="false">CP92*$F22*(CP$4&lt;=In_COD)</f>
        <v>0</v>
      </c>
      <c r="CQ94" s="47" t="n">
        <f aca="false">CQ92*$F22*(CQ$4&lt;=In_COD)</f>
        <v>0</v>
      </c>
      <c r="CR94" s="47" t="n">
        <f aca="false">CR92*$F22*(CR$4&lt;=In_COD)</f>
        <v>0</v>
      </c>
      <c r="CS94" s="47" t="n">
        <f aca="false">CS92*$F22*(CS$4&lt;=In_COD)</f>
        <v>0</v>
      </c>
      <c r="CT94" s="47" t="n">
        <f aca="false">CT92*$F22*(CT$4&lt;=In_COD)</f>
        <v>0</v>
      </c>
      <c r="CU94" s="47" t="n">
        <f aca="false">CU92*$F22*(CU$4&lt;=In_COD)</f>
        <v>0</v>
      </c>
      <c r="CV94" s="47" t="n">
        <f aca="false">CV92*$F22*(CV$4&lt;=In_COD)</f>
        <v>0</v>
      </c>
      <c r="CW94" s="47" t="n">
        <f aca="false">CW92*$F22*(CW$4&lt;=In_COD)</f>
        <v>0</v>
      </c>
      <c r="CX94" s="47" t="n">
        <f aca="false">CX92*$F22*(CX$4&lt;=In_COD)</f>
        <v>0</v>
      </c>
      <c r="CY94" s="47" t="n">
        <f aca="false">CY92*$F22*(CY$4&lt;=In_COD)</f>
        <v>0</v>
      </c>
      <c r="CZ94" s="47" t="n">
        <f aca="false">CZ92*$F22*(CZ$4&lt;=In_COD)</f>
        <v>0</v>
      </c>
      <c r="DA94" s="47" t="n">
        <f aca="false">DA92*$F22*(DA$4&lt;=In_COD)</f>
        <v>0</v>
      </c>
      <c r="DB94" s="47" t="n">
        <f aca="false">DB92*$F22*(DB$4&lt;=In_COD)</f>
        <v>0</v>
      </c>
      <c r="DC94" s="47" t="n">
        <f aca="false">DC92*$F22*(DC$4&lt;=In_COD)</f>
        <v>0</v>
      </c>
      <c r="DD94" s="47" t="n">
        <f aca="false">DD92*$F22*(DD$4&lt;=In_COD)</f>
        <v>0</v>
      </c>
      <c r="DE94" s="47" t="n">
        <f aca="false">DE92*$F22*(DE$4&lt;=In_COD)</f>
        <v>0</v>
      </c>
      <c r="DF94" s="47" t="n">
        <f aca="false">DF92*$F22*(DF$4&lt;=In_COD)</f>
        <v>0</v>
      </c>
      <c r="DG94" s="47" t="n">
        <f aca="false">DG92*$F22*(DG$4&lt;=In_COD)</f>
        <v>0</v>
      </c>
      <c r="DH94" s="47" t="n">
        <f aca="false">DH92*$F22*(DH$4&lt;=In_COD)</f>
        <v>0</v>
      </c>
      <c r="DI94" s="47" t="n">
        <f aca="false">DI92*$F22*(DI$4&lt;=In_COD)</f>
        <v>0</v>
      </c>
      <c r="DJ94" s="47" t="n">
        <f aca="false">DJ92*$F22*(DJ$4&lt;=In_COD)</f>
        <v>0</v>
      </c>
      <c r="DK94" s="47" t="n">
        <f aca="false">DK92*$F22*(DK$4&lt;=In_COD)</f>
        <v>0</v>
      </c>
      <c r="DL94" s="47" t="n">
        <f aca="false">DL92*$F22*(DL$4&lt;=In_COD)</f>
        <v>0</v>
      </c>
      <c r="DM94" s="47" t="n">
        <f aca="false">DM92*$F22*(DM$4&lt;=In_COD)</f>
        <v>0</v>
      </c>
      <c r="DN94" s="47" t="n">
        <f aca="false">DN92*$F22*(DN$4&lt;=In_COD)</f>
        <v>0</v>
      </c>
      <c r="DO94" s="47" t="n">
        <f aca="false">DO92*$F22*(DO$4&lt;=In_COD)</f>
        <v>0</v>
      </c>
      <c r="DP94" s="47" t="n">
        <f aca="false">DP92*$F22*(DP$4&lt;=In_COD)</f>
        <v>0</v>
      </c>
      <c r="DQ94" s="47" t="n">
        <f aca="false">DQ92*$F22*(DQ$4&lt;=In_COD)</f>
        <v>0</v>
      </c>
      <c r="DR94" s="47" t="n">
        <f aca="false">DR92*$F22*(DR$4&lt;=In_COD)</f>
        <v>0</v>
      </c>
      <c r="DS94" s="47" t="n">
        <f aca="false">DS92*$F22*(DS$4&lt;=In_COD)</f>
        <v>0</v>
      </c>
      <c r="DT94" s="47" t="n">
        <f aca="false">DT92*$F22*(DT$4&lt;=In_COD)</f>
        <v>0</v>
      </c>
      <c r="DU94" s="47" t="n">
        <f aca="false">DU92*$F22*(DU$4&lt;=In_COD)</f>
        <v>0</v>
      </c>
      <c r="DV94" s="47" t="n">
        <f aca="false">DV92*$F22*(DV$4&lt;=In_COD)</f>
        <v>0</v>
      </c>
      <c r="DW94" s="47" t="n">
        <f aca="false">DW92*$F22*(DW$4&lt;=In_COD)</f>
        <v>0</v>
      </c>
      <c r="DX94" s="47" t="n">
        <f aca="false">DX92*$F22*(DX$4&lt;=In_COD)</f>
        <v>0</v>
      </c>
      <c r="DY94" s="47" t="n">
        <f aca="false">DY92*$F22*(DY$4&lt;=In_COD)</f>
        <v>0</v>
      </c>
      <c r="DZ94" s="47" t="n">
        <f aca="false">DZ92*$F22*(DZ$4&lt;=In_COD)</f>
        <v>0</v>
      </c>
      <c r="EA94" s="47" t="n">
        <f aca="false">EA92*$F22*(EA$4&lt;=In_COD)</f>
        <v>0</v>
      </c>
      <c r="EB94" s="47" t="n">
        <f aca="false">EB92*$F22*(EB$4&lt;=In_COD)</f>
        <v>0</v>
      </c>
      <c r="EC94" s="47" t="n">
        <f aca="false">EC92*$F22*(EC$4&lt;=In_COD)</f>
        <v>0</v>
      </c>
      <c r="ED94" s="47" t="n">
        <f aca="false">ED92*$F22*(ED$4&lt;=In_COD)</f>
        <v>0</v>
      </c>
      <c r="EE94" s="47" t="n">
        <f aca="false">EE92*$F22*(EE$4&lt;=In_COD)</f>
        <v>0</v>
      </c>
      <c r="EF94" s="47" t="n">
        <f aca="false">EF92*$F22*(EF$4&lt;=In_COD)</f>
        <v>0</v>
      </c>
      <c r="EG94" s="47" t="n">
        <f aca="false">EG92*$F22*(EG$4&lt;=In_COD)</f>
        <v>0</v>
      </c>
      <c r="EH94" s="47" t="n">
        <f aca="false">EH92*$F22*(EH$4&lt;=In_COD)</f>
        <v>0</v>
      </c>
      <c r="EI94" s="47" t="n">
        <f aca="false">EI92*$F22*(EI$4&lt;=In_COD)</f>
        <v>0</v>
      </c>
      <c r="EJ94" s="47" t="n">
        <f aca="false">EJ92*$F22*(EJ$4&lt;=In_COD)</f>
        <v>0</v>
      </c>
      <c r="EK94" s="47" t="n">
        <f aca="false">EK92*$F22*(EK$4&lt;=In_COD)</f>
        <v>0</v>
      </c>
      <c r="EL94" s="47" t="n">
        <f aca="false">EL92*$F22*(EL$4&lt;=In_COD)</f>
        <v>0</v>
      </c>
      <c r="EM94" s="47" t="n">
        <f aca="false">EM92*$F22*(EM$4&lt;=In_COD)</f>
        <v>0</v>
      </c>
      <c r="EN94" s="47" t="n">
        <f aca="false">EN92*$F22*(EN$4&lt;=In_COD)</f>
        <v>0</v>
      </c>
      <c r="EO94" s="47" t="n">
        <f aca="false">EO92*$F22*(EO$4&lt;=In_COD)</f>
        <v>0</v>
      </c>
    </row>
    <row r="95" customFormat="false" ht="15" hidden="false" customHeight="false" outlineLevel="0" collapsed="false">
      <c r="C95" s="0" t="s">
        <v>458</v>
      </c>
      <c r="D95" s="11" t="s">
        <v>33</v>
      </c>
      <c r="I95" s="47" t="n">
        <f aca="false">SUM(J95:EO95)</f>
        <v>-58136.0350233231</v>
      </c>
      <c r="J95" s="47" t="n">
        <f aca="false">J91-J90</f>
        <v>0</v>
      </c>
      <c r="K95" s="47" t="n">
        <f aca="false">K91-K90</f>
        <v>0</v>
      </c>
      <c r="L95" s="47" t="n">
        <f aca="false">L91-L90</f>
        <v>0</v>
      </c>
      <c r="M95" s="47" t="n">
        <f aca="false">M91-M90</f>
        <v>0</v>
      </c>
      <c r="N95" s="47" t="n">
        <f aca="false">N91-N90</f>
        <v>0</v>
      </c>
      <c r="O95" s="47" t="n">
        <f aca="false">O91-O90</f>
        <v>0</v>
      </c>
      <c r="P95" s="47" t="n">
        <f aca="false">P91-P90</f>
        <v>0</v>
      </c>
      <c r="Q95" s="47" t="n">
        <f aca="false">Q91-Q90</f>
        <v>0</v>
      </c>
      <c r="R95" s="47" t="n">
        <f aca="false">R91-R90</f>
        <v>0</v>
      </c>
      <c r="S95" s="47" t="n">
        <f aca="false">S91-S90</f>
        <v>0</v>
      </c>
      <c r="T95" s="47" t="n">
        <f aca="false">T91-T90</f>
        <v>0</v>
      </c>
      <c r="U95" s="47" t="n">
        <f aca="false">U91-U90</f>
        <v>0</v>
      </c>
      <c r="V95" s="47" t="n">
        <f aca="false">V91-V90</f>
        <v>0</v>
      </c>
      <c r="W95" s="47" t="n">
        <f aca="false">W91-W90</f>
        <v>0</v>
      </c>
      <c r="X95" s="47" t="n">
        <f aca="false">X91-X90</f>
        <v>0</v>
      </c>
      <c r="Y95" s="47" t="n">
        <f aca="false">Y91-Y90</f>
        <v>0</v>
      </c>
      <c r="Z95" s="47" t="n">
        <f aca="false">Z91-Z90</f>
        <v>-500.546511611819</v>
      </c>
      <c r="AA95" s="47" t="n">
        <f aca="false">AA91-AA90</f>
        <v>-488.171213946299</v>
      </c>
      <c r="AB95" s="47" t="n">
        <f aca="false">AB91-AB90</f>
        <v>-507.147981735102</v>
      </c>
      <c r="AC95" s="47" t="n">
        <f aca="false">AC91-AC90</f>
        <v>-526.352636479269</v>
      </c>
      <c r="AD95" s="47" t="n">
        <f aca="false">AD91-AD90</f>
        <v>-528.565953302674</v>
      </c>
      <c r="AE95" s="47" t="n">
        <f aca="false">AE91-AE90</f>
        <v>-529.534739364223</v>
      </c>
      <c r="AF95" s="47" t="n">
        <f aca="false">AF91-AF90</f>
        <v>-535.893781159757</v>
      </c>
      <c r="AG95" s="47" t="n">
        <f aca="false">AG91-AG90</f>
        <v>-555.483508163</v>
      </c>
      <c r="AH95" s="47" t="n">
        <f aca="false">AH91-AH90</f>
        <v>-558.020606052124</v>
      </c>
      <c r="AI95" s="47" t="n">
        <f aca="false">AI91-AI90</f>
        <v>-546.040759864817</v>
      </c>
      <c r="AJ95" s="47" t="n">
        <f aca="false">AJ91-AJ90</f>
        <v>-581.862153691228</v>
      </c>
      <c r="AK95" s="47" t="n">
        <f aca="false">AK91-AK90</f>
        <v>-602.219330494182</v>
      </c>
      <c r="AL95" s="47" t="n">
        <f aca="false">AL91-AL90</f>
        <v>-589.803135711267</v>
      </c>
      <c r="AM95" s="47" t="n">
        <f aca="false">AM91-AM90</f>
        <v>-577.695924821905</v>
      </c>
      <c r="AN95" s="47" t="n">
        <f aca="false">AN91-AN90</f>
        <v>-597.305983651665</v>
      </c>
      <c r="AO95" s="47" t="n">
        <f aca="false">AO91-AO90</f>
        <v>-617.141900704012</v>
      </c>
      <c r="AP95" s="47" t="n">
        <f aca="false">AP91-AP90</f>
        <v>-620.403307988702</v>
      </c>
      <c r="AQ95" s="47" t="n">
        <f aca="false">AQ91-AQ90</f>
        <v>-608.510059156811</v>
      </c>
      <c r="AR95" s="47" t="n">
        <f aca="false">AR91-AR90</f>
        <v>-628.508659904601</v>
      </c>
      <c r="AS95" s="47" t="n">
        <f aca="false">AS91-AS90</f>
        <v>-648.737593894038</v>
      </c>
      <c r="AT95" s="47" t="n">
        <f aca="false">AT91-AT90</f>
        <v>-652.338736134263</v>
      </c>
      <c r="AU95" s="47" t="n">
        <f aca="false">AU91-AU90</f>
        <v>-653.696251286568</v>
      </c>
      <c r="AV95" s="47" t="n">
        <f aca="false">AV91-AV90</f>
        <v>-661.225176860392</v>
      </c>
      <c r="AW95" s="47" t="n">
        <f aca="false">AW91-AW90</f>
        <v>-681.863489955902</v>
      </c>
      <c r="AX95" s="47" t="n">
        <f aca="false">AX91-AX90</f>
        <v>-685.821915422315</v>
      </c>
      <c r="AY95" s="47" t="n">
        <f aca="false">AY91-AY90</f>
        <v>-674.401407356116</v>
      </c>
      <c r="AZ95" s="47" t="n">
        <f aca="false">AZ91-AZ90</f>
        <v>-695.222932723155</v>
      </c>
      <c r="BA95" s="47" t="n">
        <f aca="false">BA91-BA90</f>
        <v>-716.284269339707</v>
      </c>
      <c r="BB95" s="47" t="n">
        <f aca="false">BB91-BB90</f>
        <v>-720.614817416658</v>
      </c>
      <c r="BC95" s="47" t="n">
        <f aca="false">BC91-BC90</f>
        <v>-709.452760786872</v>
      </c>
      <c r="BD95" s="47" t="n">
        <f aca="false">BD91-BD90</f>
        <v>-730.70829243571</v>
      </c>
      <c r="BE95" s="47" t="n">
        <f aca="false">BE91-BE90</f>
        <v>-752.208633987468</v>
      </c>
      <c r="BF95" s="47" t="n">
        <f aca="false">BF91-BF90</f>
        <v>-756.928549228596</v>
      </c>
      <c r="BG95" s="47" t="n">
        <f aca="false">BG91-BG90</f>
        <v>-746.041159692186</v>
      </c>
      <c r="BH95" s="47" t="n">
        <f aca="false">BH91-BH90</f>
        <v>-767.747207619048</v>
      </c>
      <c r="BI95" s="47" t="n">
        <f aca="false">BI91-BI90</f>
        <v>-789.70325425559</v>
      </c>
      <c r="BJ95" s="47" t="n">
        <f aca="false">BJ91-BJ90</f>
        <v>-794.830550593215</v>
      </c>
      <c r="BK95" s="47" t="n">
        <f aca="false">BK91-BK90</f>
        <v>-797.376221760497</v>
      </c>
      <c r="BL95" s="47" t="n">
        <f aca="false">BL91-BL90</f>
        <v>-806.559976778455</v>
      </c>
      <c r="BM95" s="47" t="n">
        <f aca="false">BM91-BM90</f>
        <v>-828.990923985794</v>
      </c>
      <c r="BN95" s="47" t="n">
        <f aca="false">BN91-BN90</f>
        <v>-834.546182933088</v>
      </c>
      <c r="BO95" s="47" t="n">
        <f aca="false">BO91-BO90</f>
        <v>-824.261630561221</v>
      </c>
      <c r="BP95" s="47" t="n">
        <f aca="false">BP91-BP90</f>
        <v>-846.923053870222</v>
      </c>
      <c r="BQ95" s="47" t="n">
        <f aca="false">BQ91-BQ90</f>
        <v>-869.845479394174</v>
      </c>
      <c r="BR95" s="47" t="n">
        <f aca="false">BR91-BR90</f>
        <v>-875.846679246431</v>
      </c>
      <c r="BS95" s="47" t="n">
        <f aca="false">BS91-BS90</f>
        <v>-865.890222018256</v>
      </c>
      <c r="BT95" s="47" t="n">
        <f aca="false">BT91-BT90</f>
        <v>-889.056377094088</v>
      </c>
      <c r="BU95" s="47" t="n">
        <f aca="false">BU91-BU90</f>
        <v>-912.48934761678</v>
      </c>
      <c r="BV95" s="47" t="n">
        <f aca="false">BV91-BV90</f>
        <v>-918.957030140614</v>
      </c>
      <c r="BW95" s="47" t="n">
        <f aca="false">BW91-BW90</f>
        <v>-909.348141124484</v>
      </c>
      <c r="BX95" s="47" t="n">
        <f aca="false">BX91-BX90</f>
        <v>-933.038729756512</v>
      </c>
      <c r="BY95" s="47" t="n">
        <f aca="false">BY91-BY90</f>
        <v>-957.002173982035</v>
      </c>
      <c r="BZ95" s="47" t="n">
        <f aca="false">BZ91-BZ90</f>
        <v>-963.957799989607</v>
      </c>
      <c r="CA95" s="47" t="n">
        <f aca="false">CA91-CA90</f>
        <v>-967.956556465729</v>
      </c>
      <c r="CB95" s="47" t="n">
        <f aca="false">CB91-CB90</f>
        <v>-979.104965008659</v>
      </c>
      <c r="CC95" s="47" t="n">
        <f aca="false">CC91-CC90</f>
        <v>-1003.621469996</v>
      </c>
      <c r="CD95" s="47" t="n">
        <f aca="false">CD91-CD90</f>
        <v>-1011.0892376242</v>
      </c>
      <c r="CE95" s="47" t="n">
        <f aca="false">CE91-CE90</f>
        <v>-1002.23937986665</v>
      </c>
      <c r="CF95" s="47" t="n">
        <f aca="false">CF91-CF90</f>
        <v>-1027.04336733428</v>
      </c>
      <c r="CG95" s="47" t="n">
        <f aca="false">CG91-CG90</f>
        <v>-1052.13303393073</v>
      </c>
      <c r="CH95" s="47" t="n">
        <f aca="false">CH91-CH90</f>
        <v>-1060.13467611056</v>
      </c>
      <c r="CI95" s="47" t="n">
        <f aca="false">CI91-CI90</f>
        <v>-1051.69651455989</v>
      </c>
      <c r="CJ95" s="47" t="n">
        <f aca="false">CJ91-CJ90</f>
        <v>-1077.08964476919</v>
      </c>
      <c r="CK95" s="47" t="n">
        <f aca="false">CK91-CK90</f>
        <v>-1102.77523953991</v>
      </c>
      <c r="CL95" s="47" t="n">
        <f aca="false">CL91-CL90</f>
        <v>-1111.33523658363</v>
      </c>
      <c r="CM95" s="47" t="n">
        <f aca="false">CM91-CM90</f>
        <v>-1103.33214401183</v>
      </c>
      <c r="CN95" s="47" t="n">
        <f aca="false">CN91-CN90</f>
        <v>-1129.33794655754</v>
      </c>
      <c r="CO95" s="47" t="n">
        <f aca="false">CO91-CO90</f>
        <v>-1155.64327009861</v>
      </c>
      <c r="CP95" s="47" t="n">
        <f aca="false">CP91-CP90</f>
        <v>-1164.78720057309</v>
      </c>
      <c r="CQ95" s="47" t="n">
        <f aca="false">CQ91-CQ90</f>
        <v>-1170.55819638779</v>
      </c>
      <c r="CR95" s="47" t="n">
        <f aca="false">CR91-CR90</f>
        <v>-1184.04006280982</v>
      </c>
      <c r="CS95" s="47" t="n">
        <f aca="false">CS91-CS90</f>
        <v>-1210.99176405168</v>
      </c>
      <c r="CT95" s="47" t="n">
        <f aca="false">CT91-CT90</f>
        <v>3.66355834557908E-012</v>
      </c>
      <c r="CU95" s="47" t="n">
        <f aca="false">CU91-CU90</f>
        <v>3.70935282489882E-012</v>
      </c>
      <c r="CV95" s="47" t="n">
        <f aca="false">CV91-CV90</f>
        <v>3.75571973521005E-012</v>
      </c>
      <c r="CW95" s="47" t="n">
        <f aca="false">CW91-CW90</f>
        <v>3.80266623190018E-012</v>
      </c>
      <c r="CX95" s="47" t="n">
        <f aca="false">CX91-CX90</f>
        <v>3.85019955979893E-012</v>
      </c>
      <c r="CY95" s="47" t="n">
        <f aca="false">CY91-CY90</f>
        <v>3.89832705429642E-012</v>
      </c>
      <c r="CZ95" s="47" t="n">
        <f aca="false">CZ91-CZ90</f>
        <v>3.94705614247512E-012</v>
      </c>
      <c r="DA95" s="47" t="n">
        <f aca="false">DA91-DA90</f>
        <v>3.99639434425606E-012</v>
      </c>
      <c r="DB95" s="47" t="n">
        <f aca="false">DB91-DB90</f>
        <v>4.04634927355926E-012</v>
      </c>
      <c r="DC95" s="47" t="n">
        <f aca="false">DC91-DC90</f>
        <v>4.09692863947875E-012</v>
      </c>
      <c r="DD95" s="47" t="n">
        <f aca="false">DD91-DD90</f>
        <v>4.14814024747224E-012</v>
      </c>
      <c r="DE95" s="47" t="n">
        <f aca="false">DE91-DE90</f>
        <v>4.19999200056564E-012</v>
      </c>
      <c r="DF95" s="47" t="n">
        <f aca="false">DF91-DF90</f>
        <v>4.25249190057271E-012</v>
      </c>
      <c r="DG95" s="47" t="n">
        <f aca="false">DG91-DG90</f>
        <v>4.30564804932987E-012</v>
      </c>
      <c r="DH95" s="47" t="n">
        <f aca="false">DH91-DH90</f>
        <v>4.35946864994649E-012</v>
      </c>
      <c r="DI95" s="47" t="n">
        <f aca="false">DI91-DI90</f>
        <v>4.41396200807082E-012</v>
      </c>
      <c r="DJ95" s="47" t="n">
        <f aca="false">DJ91-DJ90</f>
        <v>4.46913653317171E-012</v>
      </c>
      <c r="DK95" s="47" t="n">
        <f aca="false">DK91-DK90</f>
        <v>4.52500073983635E-012</v>
      </c>
      <c r="DL95" s="47" t="n">
        <f aca="false">DL91-DL90</f>
        <v>4.58156324908431E-012</v>
      </c>
      <c r="DM95" s="47" t="n">
        <f aca="false">DM91-DM90</f>
        <v>4.63883278969786E-012</v>
      </c>
      <c r="DN95" s="47" t="n">
        <f aca="false">DN91-DN90</f>
        <v>4.69681819956909E-012</v>
      </c>
      <c r="DO95" s="47" t="n">
        <f aca="false">DO91-DO90</f>
        <v>4.7555284270637E-012</v>
      </c>
      <c r="DP95" s="47" t="n">
        <f aca="false">DP91-DP90</f>
        <v>4.81497253240199E-012</v>
      </c>
      <c r="DQ95" s="47" t="n">
        <f aca="false">DQ91-DQ90</f>
        <v>4.87515968905702E-012</v>
      </c>
      <c r="DR95" s="47" t="n">
        <f aca="false">DR91-DR90</f>
        <v>4.93609918517023E-012</v>
      </c>
      <c r="DS95" s="47" t="n">
        <f aca="false">DS91-DS90</f>
        <v>4.99780042498486E-012</v>
      </c>
      <c r="DT95" s="47" t="n">
        <f aca="false">DT91-DT90</f>
        <v>5.06027293029717E-012</v>
      </c>
      <c r="DU95" s="47" t="n">
        <f aca="false">DU91-DU90</f>
        <v>5.12352634192589E-012</v>
      </c>
      <c r="DV95" s="47" t="n">
        <f aca="false">DV91-DV90</f>
        <v>5.18757042119996E-012</v>
      </c>
      <c r="DW95" s="47" t="n">
        <f aca="false">DW91-DW90</f>
        <v>5.25241505146496E-012</v>
      </c>
      <c r="DX95" s="47" t="n">
        <f aca="false">DX91-DX90</f>
        <v>5.31807023960827E-012</v>
      </c>
      <c r="DY95" s="47" t="n">
        <f aca="false">DY91-DY90</f>
        <v>5.38454611760337E-012</v>
      </c>
      <c r="DZ95" s="47" t="n">
        <f aca="false">DZ91-DZ90</f>
        <v>5.45185294407342E-012</v>
      </c>
      <c r="EA95" s="47" t="n">
        <f aca="false">EA91-EA90</f>
        <v>5.52000110587433E-012</v>
      </c>
      <c r="EB95" s="47" t="n">
        <f aca="false">EB91-EB90</f>
        <v>5.58900111969776E-012</v>
      </c>
      <c r="EC95" s="47" t="n">
        <f aca="false">EC91-EC90</f>
        <v>5.65886363369398E-012</v>
      </c>
      <c r="ED95" s="47" t="n">
        <f aca="false">ED91-ED90</f>
        <v>5.72959942911516E-012</v>
      </c>
      <c r="EE95" s="47" t="n">
        <f aca="false">EE91-EE90</f>
        <v>5.8012194219791E-012</v>
      </c>
      <c r="EF95" s="47" t="n">
        <f aca="false">EF91-EF90</f>
        <v>5.87373466475384E-012</v>
      </c>
      <c r="EG95" s="47" t="n">
        <f aca="false">EG91-EG90</f>
        <v>5.94715634806326E-012</v>
      </c>
      <c r="EH95" s="47" t="n">
        <f aca="false">EH91-EH90</f>
        <v>6.02149580241405E-012</v>
      </c>
      <c r="EI95" s="47" t="n">
        <f aca="false">EI91-EI90</f>
        <v>6.09676449994423E-012</v>
      </c>
      <c r="EJ95" s="47" t="n">
        <f aca="false">EJ91-EJ90</f>
        <v>6.17297405619353E-012</v>
      </c>
      <c r="EK95" s="47" t="n">
        <f aca="false">EK91-EK90</f>
        <v>6.25013623189595E-012</v>
      </c>
      <c r="EL95" s="47" t="n">
        <f aca="false">EL91-EL90</f>
        <v>6.32826293479465E-012</v>
      </c>
      <c r="EM95" s="47" t="n">
        <f aca="false">EM91-EM90</f>
        <v>6.40736622147958E-012</v>
      </c>
      <c r="EN95" s="47" t="n">
        <f aca="false">EN91-EN90</f>
        <v>6.48745829924808E-012</v>
      </c>
      <c r="EO95" s="47" t="n">
        <f aca="false">EO91-EO90</f>
        <v>6.56855152798868E-012</v>
      </c>
    </row>
    <row r="96" customFormat="false" ht="15" hidden="false" customHeight="false" outlineLevel="0" collapsed="false">
      <c r="C96" s="25" t="s">
        <v>459</v>
      </c>
      <c r="D96" s="11" t="s">
        <v>33</v>
      </c>
      <c r="E96" s="56" t="n">
        <f aca="false">SUMIF($J$4:$EO$4,In_COD,$J96:$EO96)</f>
        <v>58136.0350233236</v>
      </c>
      <c r="I96" s="58"/>
      <c r="J96" s="56" t="n">
        <f aca="false">SUM(J92:J95)</f>
        <v>0</v>
      </c>
      <c r="K96" s="56" t="n">
        <f aca="false">SUM(K92:K95)</f>
        <v>0</v>
      </c>
      <c r="L96" s="56" t="n">
        <f aca="false">SUM(L92:L95)</f>
        <v>0</v>
      </c>
      <c r="M96" s="56" t="n">
        <f aca="false">SUM(M92:M95)</f>
        <v>0</v>
      </c>
      <c r="N96" s="56" t="n">
        <f aca="false">SUM(N92:N95)</f>
        <v>0</v>
      </c>
      <c r="O96" s="56" t="n">
        <f aca="false">SUM(O92:O95)</f>
        <v>0</v>
      </c>
      <c r="P96" s="56" t="n">
        <f aca="false">SUM(P92:P95)</f>
        <v>0</v>
      </c>
      <c r="Q96" s="56" t="n">
        <f aca="false">SUM(Q92:Q95)</f>
        <v>0</v>
      </c>
      <c r="R96" s="56" t="n">
        <f aca="false">SUM(R92:R95)</f>
        <v>6263.56952054795</v>
      </c>
      <c r="S96" s="56" t="n">
        <f aca="false">SUM(S92:S95)</f>
        <v>16954.4218381849</v>
      </c>
      <c r="T96" s="56" t="n">
        <f aca="false">SUM(T92:T95)</f>
        <v>23361.8393543129</v>
      </c>
      <c r="U96" s="56" t="n">
        <f aca="false">SUM(U92:U95)</f>
        <v>29917.4318667898</v>
      </c>
      <c r="V96" s="56" t="n">
        <f aca="false">SUM(V92:V95)</f>
        <v>36554.9692856726</v>
      </c>
      <c r="W96" s="56" t="n">
        <f aca="false">SUM(W92:W95)</f>
        <v>43139.3113674969</v>
      </c>
      <c r="X96" s="56" t="n">
        <f aca="false">SUM(X92:X95)</f>
        <v>49874.0400027413</v>
      </c>
      <c r="Y96" s="56" t="n">
        <f aca="false">SUM(Y92:Y95)</f>
        <v>58136.0350233236</v>
      </c>
      <c r="Z96" s="56" t="n">
        <f aca="false">SUM(Z92:Z95)</f>
        <v>57635.4885117117</v>
      </c>
      <c r="AA96" s="56" t="n">
        <f aca="false">SUM(AA92:AA95)</f>
        <v>57147.3172977654</v>
      </c>
      <c r="AB96" s="56" t="n">
        <f aca="false">SUM(AB92:AB95)</f>
        <v>56640.1693160303</v>
      </c>
      <c r="AC96" s="56" t="n">
        <f aca="false">SUM(AC92:AC95)</f>
        <v>56113.8166795511</v>
      </c>
      <c r="AD96" s="56" t="n">
        <f aca="false">SUM(AD92:AD95)</f>
        <v>55585.2507262484</v>
      </c>
      <c r="AE96" s="56" t="n">
        <f aca="false">SUM(AE92:AE95)</f>
        <v>55055.7159868842</v>
      </c>
      <c r="AF96" s="56" t="n">
        <f aca="false">SUM(AF92:AF95)</f>
        <v>54519.8222057244</v>
      </c>
      <c r="AG96" s="56" t="n">
        <f aca="false">SUM(AG92:AG95)</f>
        <v>53964.3386975614</v>
      </c>
      <c r="AH96" s="56" t="n">
        <f aca="false">SUM(AH92:AH95)</f>
        <v>53406.3180915093</v>
      </c>
      <c r="AI96" s="56" t="n">
        <f aca="false">SUM(AI92:AI95)</f>
        <v>52860.2773316445</v>
      </c>
      <c r="AJ96" s="56" t="n">
        <f aca="false">SUM(AJ92:AJ95)</f>
        <v>52278.4151779533</v>
      </c>
      <c r="AK96" s="56" t="n">
        <f aca="false">SUM(AK92:AK95)</f>
        <v>51676.1958474591</v>
      </c>
      <c r="AL96" s="56" t="n">
        <f aca="false">SUM(AL92:AL95)</f>
        <v>51086.3927117478</v>
      </c>
      <c r="AM96" s="56" t="n">
        <f aca="false">SUM(AM92:AM95)</f>
        <v>50508.6967869259</v>
      </c>
      <c r="AN96" s="56" t="n">
        <f aca="false">SUM(AN92:AN95)</f>
        <v>49911.3908032742</v>
      </c>
      <c r="AO96" s="56" t="n">
        <f aca="false">SUM(AO92:AO95)</f>
        <v>49294.2489025702</v>
      </c>
      <c r="AP96" s="56" t="n">
        <f aca="false">SUM(AP92:AP95)</f>
        <v>48673.8455945815</v>
      </c>
      <c r="AQ96" s="56" t="n">
        <f aca="false">SUM(AQ92:AQ95)</f>
        <v>48065.3355354247</v>
      </c>
      <c r="AR96" s="56" t="n">
        <f aca="false">SUM(AR92:AR95)</f>
        <v>47436.8268755201</v>
      </c>
      <c r="AS96" s="56" t="n">
        <f aca="false">SUM(AS92:AS95)</f>
        <v>46788.0892816261</v>
      </c>
      <c r="AT96" s="56" t="n">
        <f aca="false">SUM(AT92:AT95)</f>
        <v>46135.7505454918</v>
      </c>
      <c r="AU96" s="56" t="n">
        <f aca="false">SUM(AU92:AU95)</f>
        <v>45482.0542942052</v>
      </c>
      <c r="AV96" s="56" t="n">
        <f aca="false">SUM(AV92:AV95)</f>
        <v>44820.8291173449</v>
      </c>
      <c r="AW96" s="56" t="n">
        <f aca="false">SUM(AW92:AW95)</f>
        <v>44138.965627389</v>
      </c>
      <c r="AX96" s="56" t="n">
        <f aca="false">SUM(AX92:AX95)</f>
        <v>43453.1437119666</v>
      </c>
      <c r="AY96" s="56" t="n">
        <f aca="false">SUM(AY92:AY95)</f>
        <v>42778.7423046105</v>
      </c>
      <c r="AZ96" s="56" t="n">
        <f aca="false">SUM(AZ92:AZ95)</f>
        <v>42083.5193718874</v>
      </c>
      <c r="BA96" s="56" t="n">
        <f aca="false">SUM(BA92:BA95)</f>
        <v>41367.2351025477</v>
      </c>
      <c r="BB96" s="56" t="n">
        <f aca="false">SUM(BB92:BB95)</f>
        <v>40646.620285131</v>
      </c>
      <c r="BC96" s="56" t="n">
        <f aca="false">SUM(BC92:BC95)</f>
        <v>39937.1675243441</v>
      </c>
      <c r="BD96" s="56" t="n">
        <f aca="false">SUM(BD92:BD95)</f>
        <v>39206.4592319084</v>
      </c>
      <c r="BE96" s="56" t="n">
        <f aca="false">SUM(BE92:BE95)</f>
        <v>38454.250597921</v>
      </c>
      <c r="BF96" s="56" t="n">
        <f aca="false">SUM(BF92:BF95)</f>
        <v>37697.3220486924</v>
      </c>
      <c r="BG96" s="56" t="n">
        <f aca="false">SUM(BG92:BG95)</f>
        <v>36951.2808890002</v>
      </c>
      <c r="BH96" s="56" t="n">
        <f aca="false">SUM(BH92:BH95)</f>
        <v>36183.5336813811</v>
      </c>
      <c r="BI96" s="56" t="n">
        <f aca="false">SUM(BI92:BI95)</f>
        <v>35393.8304271255</v>
      </c>
      <c r="BJ96" s="56" t="n">
        <f aca="false">SUM(BJ92:BJ95)</f>
        <v>34598.9998765323</v>
      </c>
      <c r="BK96" s="56" t="n">
        <f aca="false">SUM(BK92:BK95)</f>
        <v>33801.6236547718</v>
      </c>
      <c r="BL96" s="56" t="n">
        <f aca="false">SUM(BL92:BL95)</f>
        <v>32995.0636779934</v>
      </c>
      <c r="BM96" s="56" t="n">
        <f aca="false">SUM(BM92:BM95)</f>
        <v>32166.0727540076</v>
      </c>
      <c r="BN96" s="56" t="n">
        <f aca="false">SUM(BN92:BN95)</f>
        <v>31331.5265710745</v>
      </c>
      <c r="BO96" s="56" t="n">
        <f aca="false">SUM(BO92:BO95)</f>
        <v>30507.2649405133</v>
      </c>
      <c r="BP96" s="56" t="n">
        <f aca="false">SUM(BP92:BP95)</f>
        <v>29660.3418866431</v>
      </c>
      <c r="BQ96" s="56" t="n">
        <f aca="false">SUM(BQ92:BQ95)</f>
        <v>28790.4964072489</v>
      </c>
      <c r="BR96" s="56" t="n">
        <f aca="false">SUM(BR92:BR95)</f>
        <v>27914.6497280024</v>
      </c>
      <c r="BS96" s="56" t="n">
        <f aca="false">SUM(BS92:BS95)</f>
        <v>27048.7595059842</v>
      </c>
      <c r="BT96" s="56" t="n">
        <f aca="false">SUM(BT92:BT95)</f>
        <v>26159.7031288901</v>
      </c>
      <c r="BU96" s="56" t="n">
        <f aca="false">SUM(BU92:BU95)</f>
        <v>25247.2137812733</v>
      </c>
      <c r="BV96" s="56" t="n">
        <f aca="false">SUM(BV92:BV95)</f>
        <v>24328.2567511327</v>
      </c>
      <c r="BW96" s="56" t="n">
        <f aca="false">SUM(BW92:BW95)</f>
        <v>23418.9086100082</v>
      </c>
      <c r="BX96" s="56" t="n">
        <f aca="false">SUM(BX92:BX95)</f>
        <v>22485.8698802517</v>
      </c>
      <c r="BY96" s="56" t="n">
        <f aca="false">SUM(BY92:BY95)</f>
        <v>21528.8677062697</v>
      </c>
      <c r="BZ96" s="56" t="n">
        <f aca="false">SUM(BZ92:BZ95)</f>
        <v>20564.9099062801</v>
      </c>
      <c r="CA96" s="56" t="n">
        <f aca="false">SUM(CA92:CA95)</f>
        <v>19596.9533498143</v>
      </c>
      <c r="CB96" s="56" t="n">
        <f aca="false">SUM(CB92:CB95)</f>
        <v>18617.8483848057</v>
      </c>
      <c r="CC96" s="56" t="n">
        <f aca="false">SUM(CC92:CC95)</f>
        <v>17614.2269148097</v>
      </c>
      <c r="CD96" s="56" t="n">
        <f aca="false">SUM(CD92:CD95)</f>
        <v>16603.1376771855</v>
      </c>
      <c r="CE96" s="56" t="n">
        <f aca="false">SUM(CE92:CE95)</f>
        <v>15600.8982973188</v>
      </c>
      <c r="CF96" s="56" t="n">
        <f aca="false">SUM(CF92:CF95)</f>
        <v>14573.8549299846</v>
      </c>
      <c r="CG96" s="56" t="n">
        <f aca="false">SUM(CG92:CG95)</f>
        <v>13521.7218960538</v>
      </c>
      <c r="CH96" s="56" t="n">
        <f aca="false">SUM(CH92:CH95)</f>
        <v>12461.5872199433</v>
      </c>
      <c r="CI96" s="56" t="n">
        <f aca="false">SUM(CI92:CI95)</f>
        <v>11409.8907053834</v>
      </c>
      <c r="CJ96" s="56" t="n">
        <f aca="false">SUM(CJ92:CJ95)</f>
        <v>10332.8010606142</v>
      </c>
      <c r="CK96" s="56" t="n">
        <f aca="false">SUM(CK92:CK95)</f>
        <v>9230.02582107428</v>
      </c>
      <c r="CL96" s="56" t="n">
        <f aca="false">SUM(CL92:CL95)</f>
        <v>8118.69058449064</v>
      </c>
      <c r="CM96" s="56" t="n">
        <f aca="false">SUM(CM92:CM95)</f>
        <v>7015.35844047881</v>
      </c>
      <c r="CN96" s="56" t="n">
        <f aca="false">SUM(CN92:CN95)</f>
        <v>5886.02049392127</v>
      </c>
      <c r="CO96" s="56" t="n">
        <f aca="false">SUM(CO92:CO95)</f>
        <v>4730.37722382266</v>
      </c>
      <c r="CP96" s="56" t="n">
        <f aca="false">SUM(CP92:CP95)</f>
        <v>3565.59002324958</v>
      </c>
      <c r="CQ96" s="56" t="n">
        <f aca="false">SUM(CQ92:CQ95)</f>
        <v>2395.03182686179</v>
      </c>
      <c r="CR96" s="56" t="n">
        <f aca="false">SUM(CR92:CR95)</f>
        <v>1210.99176405197</v>
      </c>
      <c r="CS96" s="56" t="n">
        <f aca="false">SUM(CS92:CS95)</f>
        <v>2.93084667646326E-010</v>
      </c>
      <c r="CT96" s="56" t="n">
        <f aca="false">SUM(CT92:CT95)</f>
        <v>2.96748225991905E-010</v>
      </c>
      <c r="CU96" s="56" t="n">
        <f aca="false">SUM(CU92:CU95)</f>
        <v>3.00457578816804E-010</v>
      </c>
      <c r="CV96" s="56" t="n">
        <f aca="false">SUM(CV92:CV95)</f>
        <v>3.04213298552014E-010</v>
      </c>
      <c r="CW96" s="56" t="n">
        <f aca="false">SUM(CW92:CW95)</f>
        <v>3.08015964783914E-010</v>
      </c>
      <c r="CX96" s="56" t="n">
        <f aca="false">SUM(CX92:CX95)</f>
        <v>3.11866164343713E-010</v>
      </c>
      <c r="CY96" s="56" t="n">
        <f aca="false">SUM(CY92:CY95)</f>
        <v>3.1576449139801E-010</v>
      </c>
      <c r="CZ96" s="56" t="n">
        <f aca="false">SUM(CZ92:CZ95)</f>
        <v>3.19711547540485E-010</v>
      </c>
      <c r="DA96" s="56" t="n">
        <f aca="false">SUM(DA92:DA95)</f>
        <v>3.23707941884741E-010</v>
      </c>
      <c r="DB96" s="56" t="n">
        <f aca="false">SUM(DB92:DB95)</f>
        <v>3.277542911583E-010</v>
      </c>
      <c r="DC96" s="56" t="n">
        <f aca="false">SUM(DC92:DC95)</f>
        <v>3.31851219797779E-010</v>
      </c>
      <c r="DD96" s="56" t="n">
        <f aca="false">SUM(DD92:DD95)</f>
        <v>3.35999360045251E-010</v>
      </c>
      <c r="DE96" s="56" t="n">
        <f aca="false">SUM(DE92:DE95)</f>
        <v>3.40199352045817E-010</v>
      </c>
      <c r="DF96" s="56" t="n">
        <f aca="false">SUM(DF92:DF95)</f>
        <v>3.44451843946389E-010</v>
      </c>
      <c r="DG96" s="56" t="n">
        <f aca="false">SUM(DG92:DG95)</f>
        <v>3.48757491995719E-010</v>
      </c>
      <c r="DH96" s="56" t="n">
        <f aca="false">SUM(DH92:DH95)</f>
        <v>3.53116960645666E-010</v>
      </c>
      <c r="DI96" s="56" t="n">
        <f aca="false">SUM(DI92:DI95)</f>
        <v>3.57530922653737E-010</v>
      </c>
      <c r="DJ96" s="56" t="n">
        <f aca="false">SUM(DJ92:DJ95)</f>
        <v>3.62000059186908E-010</v>
      </c>
      <c r="DK96" s="56" t="n">
        <f aca="false">SUM(DK92:DK95)</f>
        <v>3.66525059926745E-010</v>
      </c>
      <c r="DL96" s="56" t="n">
        <f aca="false">SUM(DL92:DL95)</f>
        <v>3.71106623175829E-010</v>
      </c>
      <c r="DM96" s="56" t="n">
        <f aca="false">SUM(DM92:DM95)</f>
        <v>3.75745455965527E-010</v>
      </c>
      <c r="DN96" s="56" t="n">
        <f aca="false">SUM(DN92:DN95)</f>
        <v>3.80442274165096E-010</v>
      </c>
      <c r="DO96" s="56" t="n">
        <f aca="false">SUM(DO92:DO95)</f>
        <v>3.85197802592159E-010</v>
      </c>
      <c r="DP96" s="56" t="n">
        <f aca="false">SUM(DP92:DP95)</f>
        <v>3.90012775124561E-010</v>
      </c>
      <c r="DQ96" s="56" t="n">
        <f aca="false">SUM(DQ92:DQ95)</f>
        <v>3.94887934813618E-010</v>
      </c>
      <c r="DR96" s="56" t="n">
        <f aca="false">SUM(DR92:DR95)</f>
        <v>3.99824033998789E-010</v>
      </c>
      <c r="DS96" s="56" t="n">
        <f aca="false">SUM(DS92:DS95)</f>
        <v>4.04821834423774E-010</v>
      </c>
      <c r="DT96" s="56" t="n">
        <f aca="false">SUM(DT92:DT95)</f>
        <v>4.09882107354071E-010</v>
      </c>
      <c r="DU96" s="56" t="n">
        <f aca="false">SUM(DU92:DU95)</f>
        <v>4.15005633695997E-010</v>
      </c>
      <c r="DV96" s="56" t="n">
        <f aca="false">SUM(DV92:DV95)</f>
        <v>4.20193204117197E-010</v>
      </c>
      <c r="DW96" s="56" t="n">
        <f aca="false">SUM(DW92:DW95)</f>
        <v>4.25445619168662E-010</v>
      </c>
      <c r="DX96" s="56" t="n">
        <f aca="false">SUM(DX92:DX95)</f>
        <v>4.3076368940827E-010</v>
      </c>
      <c r="DY96" s="56" t="n">
        <f aca="false">SUM(DY92:DY95)</f>
        <v>4.36148235525873E-010</v>
      </c>
      <c r="DZ96" s="56" t="n">
        <f aca="false">SUM(DZ92:DZ95)</f>
        <v>4.41600088469947E-010</v>
      </c>
      <c r="EA96" s="56" t="n">
        <f aca="false">SUM(EA92:EA95)</f>
        <v>4.47120089575821E-010</v>
      </c>
      <c r="EB96" s="56" t="n">
        <f aca="false">SUM(EB92:EB95)</f>
        <v>4.52709090695519E-010</v>
      </c>
      <c r="EC96" s="56" t="n">
        <f aca="false">SUM(EC92:EC95)</f>
        <v>4.58367954329213E-010</v>
      </c>
      <c r="ED96" s="56" t="n">
        <f aca="false">SUM(ED92:ED95)</f>
        <v>4.64097553758328E-010</v>
      </c>
      <c r="EE96" s="56" t="n">
        <f aca="false">SUM(EE92:EE95)</f>
        <v>4.69898773180307E-010</v>
      </c>
      <c r="EF96" s="56" t="n">
        <f aca="false">SUM(EF92:EF95)</f>
        <v>4.75772507845061E-010</v>
      </c>
      <c r="EG96" s="56" t="n">
        <f aca="false">SUM(EG92:EG95)</f>
        <v>4.81719664193124E-010</v>
      </c>
      <c r="EH96" s="56" t="n">
        <f aca="false">SUM(EH92:EH95)</f>
        <v>4.87741159995538E-010</v>
      </c>
      <c r="EI96" s="56" t="n">
        <f aca="false">SUM(EI92:EI95)</f>
        <v>4.93837924495483E-010</v>
      </c>
      <c r="EJ96" s="56" t="n">
        <f aca="false">SUM(EJ92:EJ95)</f>
        <v>5.00010898551676E-010</v>
      </c>
      <c r="EK96" s="56" t="n">
        <f aca="false">SUM(EK92:EK95)</f>
        <v>5.06261034783572E-010</v>
      </c>
      <c r="EL96" s="56" t="n">
        <f aca="false">SUM(EL92:EL95)</f>
        <v>5.12589297718367E-010</v>
      </c>
      <c r="EM96" s="56" t="n">
        <f aca="false">SUM(EM92:EM95)</f>
        <v>5.18996663939846E-010</v>
      </c>
      <c r="EN96" s="56" t="n">
        <f aca="false">SUM(EN92:EN95)</f>
        <v>5.25484122239094E-010</v>
      </c>
      <c r="EO96" s="56" t="n">
        <f aca="false">SUM(EO92:EO95)</f>
        <v>5.32052673767083E-010</v>
      </c>
    </row>
    <row r="97" customFormat="false" ht="15" hidden="false" customHeight="false" outlineLevel="0" collapsed="false">
      <c r="C97" s="0" t="s">
        <v>460</v>
      </c>
      <c r="D97" s="11" t="s">
        <v>33</v>
      </c>
      <c r="I97" s="47" t="n">
        <f aca="false">SUM(J97:EO97)</f>
        <v>-1017.38061290816</v>
      </c>
      <c r="J97" s="47" t="n">
        <f aca="false">-In_Upfront_Fee*$E96*(J92=0)*(J93&gt;0)</f>
        <v>-0</v>
      </c>
      <c r="K97" s="47" t="n">
        <f aca="false">-In_Upfront_Fee*$E96*(K92=0)*(K93&gt;0)</f>
        <v>-0</v>
      </c>
      <c r="L97" s="47" t="n">
        <f aca="false">-In_Upfront_Fee*$E96*(L92=0)*(L93&gt;0)</f>
        <v>-0</v>
      </c>
      <c r="M97" s="47" t="n">
        <f aca="false">-In_Upfront_Fee*$E96*(M92=0)*(M93&gt;0)</f>
        <v>-0</v>
      </c>
      <c r="N97" s="47" t="n">
        <f aca="false">-In_Upfront_Fee*$E96*(N92=0)*(N93&gt;0)</f>
        <v>-0</v>
      </c>
      <c r="O97" s="47" t="n">
        <f aca="false">-In_Upfront_Fee*$E96*(O92=0)*(O93&gt;0)</f>
        <v>-0</v>
      </c>
      <c r="P97" s="47" t="n">
        <f aca="false">-In_Upfront_Fee*$E96*(P92=0)*(P93&gt;0)</f>
        <v>-0</v>
      </c>
      <c r="Q97" s="47" t="n">
        <f aca="false">-In_Upfront_Fee*$E96*(Q92=0)*(Q93&gt;0)</f>
        <v>-0</v>
      </c>
      <c r="R97" s="47" t="n">
        <f aca="false">-In_Upfront_Fee*$E96*(R92=0)*(R93&gt;0)</f>
        <v>-1017.38061290816</v>
      </c>
      <c r="S97" s="47" t="n">
        <f aca="false">-In_Upfront_Fee*$E96*(S92=0)*(S93&gt;0)</f>
        <v>-0</v>
      </c>
      <c r="T97" s="47" t="n">
        <f aca="false">-In_Upfront_Fee*$E96*(T92=0)*(T93&gt;0)</f>
        <v>-0</v>
      </c>
      <c r="U97" s="47" t="n">
        <f aca="false">-In_Upfront_Fee*$E96*(U92=0)*(U93&gt;0)</f>
        <v>-0</v>
      </c>
      <c r="V97" s="47" t="n">
        <f aca="false">-In_Upfront_Fee*$E96*(V92=0)*(V93&gt;0)</f>
        <v>-0</v>
      </c>
      <c r="W97" s="47" t="n">
        <f aca="false">-In_Upfront_Fee*$E96*(W92=0)*(W93&gt;0)</f>
        <v>-0</v>
      </c>
      <c r="X97" s="47" t="n">
        <f aca="false">-In_Upfront_Fee*$E96*(X92=0)*(X93&gt;0)</f>
        <v>-0</v>
      </c>
      <c r="Y97" s="47" t="n">
        <f aca="false">-In_Upfront_Fee*$E96*(Y92=0)*(Y93&gt;0)</f>
        <v>-0</v>
      </c>
      <c r="Z97" s="47" t="n">
        <f aca="false">-In_Upfront_Fee*$E96*(Z92=0)*(Z93&gt;0)</f>
        <v>-0</v>
      </c>
      <c r="AA97" s="47" t="n">
        <f aca="false">-In_Upfront_Fee*$E96*(AA92=0)*(AA93&gt;0)</f>
        <v>-0</v>
      </c>
      <c r="AB97" s="47" t="n">
        <f aca="false">-In_Upfront_Fee*$E96*(AB92=0)*(AB93&gt;0)</f>
        <v>-0</v>
      </c>
      <c r="AC97" s="47" t="n">
        <f aca="false">-In_Upfront_Fee*$E96*(AC92=0)*(AC93&gt;0)</f>
        <v>-0</v>
      </c>
      <c r="AD97" s="47" t="n">
        <f aca="false">-In_Upfront_Fee*$E96*(AD92=0)*(AD93&gt;0)</f>
        <v>-0</v>
      </c>
      <c r="AE97" s="47" t="n">
        <f aca="false">-In_Upfront_Fee*$E96*(AE92=0)*(AE93&gt;0)</f>
        <v>-0</v>
      </c>
      <c r="AF97" s="47" t="n">
        <f aca="false">-In_Upfront_Fee*$E96*(AF92=0)*(AF93&gt;0)</f>
        <v>-0</v>
      </c>
      <c r="AG97" s="47" t="n">
        <f aca="false">-In_Upfront_Fee*$E96*(AG92=0)*(AG93&gt;0)</f>
        <v>-0</v>
      </c>
      <c r="AH97" s="47" t="n">
        <f aca="false">-In_Upfront_Fee*$E96*(AH92=0)*(AH93&gt;0)</f>
        <v>-0</v>
      </c>
      <c r="AI97" s="47" t="n">
        <f aca="false">-In_Upfront_Fee*$E96*(AI92=0)*(AI93&gt;0)</f>
        <v>-0</v>
      </c>
      <c r="AJ97" s="47" t="n">
        <f aca="false">-In_Upfront_Fee*$E96*(AJ92=0)*(AJ93&gt;0)</f>
        <v>-0</v>
      </c>
      <c r="AK97" s="47" t="n">
        <f aca="false">-In_Upfront_Fee*$E96*(AK92=0)*(AK93&gt;0)</f>
        <v>-0</v>
      </c>
      <c r="AL97" s="47" t="n">
        <f aca="false">-In_Upfront_Fee*$E96*(AL92=0)*(AL93&gt;0)</f>
        <v>-0</v>
      </c>
      <c r="AM97" s="47" t="n">
        <f aca="false">-In_Upfront_Fee*$E96*(AM92=0)*(AM93&gt;0)</f>
        <v>-0</v>
      </c>
      <c r="AN97" s="47" t="n">
        <f aca="false">-In_Upfront_Fee*$E96*(AN92=0)*(AN93&gt;0)</f>
        <v>-0</v>
      </c>
      <c r="AO97" s="47" t="n">
        <f aca="false">-In_Upfront_Fee*$E96*(AO92=0)*(AO93&gt;0)</f>
        <v>-0</v>
      </c>
      <c r="AP97" s="47" t="n">
        <f aca="false">-In_Upfront_Fee*$E96*(AP92=0)*(AP93&gt;0)</f>
        <v>-0</v>
      </c>
      <c r="AQ97" s="47" t="n">
        <f aca="false">-In_Upfront_Fee*$E96*(AQ92=0)*(AQ93&gt;0)</f>
        <v>-0</v>
      </c>
      <c r="AR97" s="47" t="n">
        <f aca="false">-In_Upfront_Fee*$E96*(AR92=0)*(AR93&gt;0)</f>
        <v>-0</v>
      </c>
      <c r="AS97" s="47" t="n">
        <f aca="false">-In_Upfront_Fee*$E96*(AS92=0)*(AS93&gt;0)</f>
        <v>-0</v>
      </c>
      <c r="AT97" s="47" t="n">
        <f aca="false">-In_Upfront_Fee*$E96*(AT92=0)*(AT93&gt;0)</f>
        <v>-0</v>
      </c>
      <c r="AU97" s="47" t="n">
        <f aca="false">-In_Upfront_Fee*$E96*(AU92=0)*(AU93&gt;0)</f>
        <v>-0</v>
      </c>
      <c r="AV97" s="47" t="n">
        <f aca="false">-In_Upfront_Fee*$E96*(AV92=0)*(AV93&gt;0)</f>
        <v>-0</v>
      </c>
      <c r="AW97" s="47" t="n">
        <f aca="false">-In_Upfront_Fee*$E96*(AW92=0)*(AW93&gt;0)</f>
        <v>-0</v>
      </c>
      <c r="AX97" s="47" t="n">
        <f aca="false">-In_Upfront_Fee*$E96*(AX92=0)*(AX93&gt;0)</f>
        <v>-0</v>
      </c>
      <c r="AY97" s="47" t="n">
        <f aca="false">-In_Upfront_Fee*$E96*(AY92=0)*(AY93&gt;0)</f>
        <v>-0</v>
      </c>
      <c r="AZ97" s="47" t="n">
        <f aca="false">-In_Upfront_Fee*$E96*(AZ92=0)*(AZ93&gt;0)</f>
        <v>-0</v>
      </c>
      <c r="BA97" s="47" t="n">
        <f aca="false">-In_Upfront_Fee*$E96*(BA92=0)*(BA93&gt;0)</f>
        <v>-0</v>
      </c>
      <c r="BB97" s="47" t="n">
        <f aca="false">-In_Upfront_Fee*$E96*(BB92=0)*(BB93&gt;0)</f>
        <v>-0</v>
      </c>
      <c r="BC97" s="47" t="n">
        <f aca="false">-In_Upfront_Fee*$E96*(BC92=0)*(BC93&gt;0)</f>
        <v>-0</v>
      </c>
      <c r="BD97" s="47" t="n">
        <f aca="false">-In_Upfront_Fee*$E96*(BD92=0)*(BD93&gt;0)</f>
        <v>-0</v>
      </c>
      <c r="BE97" s="47" t="n">
        <f aca="false">-In_Upfront_Fee*$E96*(BE92=0)*(BE93&gt;0)</f>
        <v>-0</v>
      </c>
      <c r="BF97" s="47" t="n">
        <f aca="false">-In_Upfront_Fee*$E96*(BF92=0)*(BF93&gt;0)</f>
        <v>-0</v>
      </c>
      <c r="BG97" s="47" t="n">
        <f aca="false">-In_Upfront_Fee*$E96*(BG92=0)*(BG93&gt;0)</f>
        <v>-0</v>
      </c>
      <c r="BH97" s="47" t="n">
        <f aca="false">-In_Upfront_Fee*$E96*(BH92=0)*(BH93&gt;0)</f>
        <v>-0</v>
      </c>
      <c r="BI97" s="47" t="n">
        <f aca="false">-In_Upfront_Fee*$E96*(BI92=0)*(BI93&gt;0)</f>
        <v>-0</v>
      </c>
      <c r="BJ97" s="47" t="n">
        <f aca="false">-In_Upfront_Fee*$E96*(BJ92=0)*(BJ93&gt;0)</f>
        <v>-0</v>
      </c>
      <c r="BK97" s="47" t="n">
        <f aca="false">-In_Upfront_Fee*$E96*(BK92=0)*(BK93&gt;0)</f>
        <v>-0</v>
      </c>
      <c r="BL97" s="47" t="n">
        <f aca="false">-In_Upfront_Fee*$E96*(BL92=0)*(BL93&gt;0)</f>
        <v>-0</v>
      </c>
      <c r="BM97" s="47" t="n">
        <f aca="false">-In_Upfront_Fee*$E96*(BM92=0)*(BM93&gt;0)</f>
        <v>-0</v>
      </c>
      <c r="BN97" s="47" t="n">
        <f aca="false">-In_Upfront_Fee*$E96*(BN92=0)*(BN93&gt;0)</f>
        <v>-0</v>
      </c>
      <c r="BO97" s="47" t="n">
        <f aca="false">-In_Upfront_Fee*$E96*(BO92=0)*(BO93&gt;0)</f>
        <v>-0</v>
      </c>
      <c r="BP97" s="47" t="n">
        <f aca="false">-In_Upfront_Fee*$E96*(BP92=0)*(BP93&gt;0)</f>
        <v>-0</v>
      </c>
      <c r="BQ97" s="47" t="n">
        <f aca="false">-In_Upfront_Fee*$E96*(BQ92=0)*(BQ93&gt;0)</f>
        <v>-0</v>
      </c>
      <c r="BR97" s="47" t="n">
        <f aca="false">-In_Upfront_Fee*$E96*(BR92=0)*(BR93&gt;0)</f>
        <v>-0</v>
      </c>
      <c r="BS97" s="47" t="n">
        <f aca="false">-In_Upfront_Fee*$E96*(BS92=0)*(BS93&gt;0)</f>
        <v>-0</v>
      </c>
      <c r="BT97" s="47" t="n">
        <f aca="false">-In_Upfront_Fee*$E96*(BT92=0)*(BT93&gt;0)</f>
        <v>-0</v>
      </c>
      <c r="BU97" s="47" t="n">
        <f aca="false">-In_Upfront_Fee*$E96*(BU92=0)*(BU93&gt;0)</f>
        <v>-0</v>
      </c>
      <c r="BV97" s="47" t="n">
        <f aca="false">-In_Upfront_Fee*$E96*(BV92=0)*(BV93&gt;0)</f>
        <v>-0</v>
      </c>
      <c r="BW97" s="47" t="n">
        <f aca="false">-In_Upfront_Fee*$E96*(BW92=0)*(BW93&gt;0)</f>
        <v>-0</v>
      </c>
      <c r="BX97" s="47" t="n">
        <f aca="false">-In_Upfront_Fee*$E96*(BX92=0)*(BX93&gt;0)</f>
        <v>-0</v>
      </c>
      <c r="BY97" s="47" t="n">
        <f aca="false">-In_Upfront_Fee*$E96*(BY92=0)*(BY93&gt;0)</f>
        <v>-0</v>
      </c>
      <c r="BZ97" s="47" t="n">
        <f aca="false">-In_Upfront_Fee*$E96*(BZ92=0)*(BZ93&gt;0)</f>
        <v>-0</v>
      </c>
      <c r="CA97" s="47" t="n">
        <f aca="false">-In_Upfront_Fee*$E96*(CA92=0)*(CA93&gt;0)</f>
        <v>-0</v>
      </c>
      <c r="CB97" s="47" t="n">
        <f aca="false">-In_Upfront_Fee*$E96*(CB92=0)*(CB93&gt;0)</f>
        <v>-0</v>
      </c>
      <c r="CC97" s="47" t="n">
        <f aca="false">-In_Upfront_Fee*$E96*(CC92=0)*(CC93&gt;0)</f>
        <v>-0</v>
      </c>
      <c r="CD97" s="47" t="n">
        <f aca="false">-In_Upfront_Fee*$E96*(CD92=0)*(CD93&gt;0)</f>
        <v>-0</v>
      </c>
      <c r="CE97" s="47" t="n">
        <f aca="false">-In_Upfront_Fee*$E96*(CE92=0)*(CE93&gt;0)</f>
        <v>-0</v>
      </c>
      <c r="CF97" s="47" t="n">
        <f aca="false">-In_Upfront_Fee*$E96*(CF92=0)*(CF93&gt;0)</f>
        <v>-0</v>
      </c>
      <c r="CG97" s="47" t="n">
        <f aca="false">-In_Upfront_Fee*$E96*(CG92=0)*(CG93&gt;0)</f>
        <v>-0</v>
      </c>
      <c r="CH97" s="47" t="n">
        <f aca="false">-In_Upfront_Fee*$E96*(CH92=0)*(CH93&gt;0)</f>
        <v>-0</v>
      </c>
      <c r="CI97" s="47" t="n">
        <f aca="false">-In_Upfront_Fee*$E96*(CI92=0)*(CI93&gt;0)</f>
        <v>-0</v>
      </c>
      <c r="CJ97" s="47" t="n">
        <f aca="false">-In_Upfront_Fee*$E96*(CJ92=0)*(CJ93&gt;0)</f>
        <v>-0</v>
      </c>
      <c r="CK97" s="47" t="n">
        <f aca="false">-In_Upfront_Fee*$E96*(CK92=0)*(CK93&gt;0)</f>
        <v>-0</v>
      </c>
      <c r="CL97" s="47" t="n">
        <f aca="false">-In_Upfront_Fee*$E96*(CL92=0)*(CL93&gt;0)</f>
        <v>-0</v>
      </c>
      <c r="CM97" s="47" t="n">
        <f aca="false">-In_Upfront_Fee*$E96*(CM92=0)*(CM93&gt;0)</f>
        <v>-0</v>
      </c>
      <c r="CN97" s="47" t="n">
        <f aca="false">-In_Upfront_Fee*$E96*(CN92=0)*(CN93&gt;0)</f>
        <v>-0</v>
      </c>
      <c r="CO97" s="47" t="n">
        <f aca="false">-In_Upfront_Fee*$E96*(CO92=0)*(CO93&gt;0)</f>
        <v>-0</v>
      </c>
      <c r="CP97" s="47" t="n">
        <f aca="false">-In_Upfront_Fee*$E96*(CP92=0)*(CP93&gt;0)</f>
        <v>-0</v>
      </c>
      <c r="CQ97" s="47" t="n">
        <f aca="false">-In_Upfront_Fee*$E96*(CQ92=0)*(CQ93&gt;0)</f>
        <v>-0</v>
      </c>
      <c r="CR97" s="47" t="n">
        <f aca="false">-In_Upfront_Fee*$E96*(CR92=0)*(CR93&gt;0)</f>
        <v>-0</v>
      </c>
      <c r="CS97" s="47" t="n">
        <f aca="false">-In_Upfront_Fee*$E96*(CS92=0)*(CS93&gt;0)</f>
        <v>-0</v>
      </c>
      <c r="CT97" s="47" t="n">
        <f aca="false">-In_Upfront_Fee*$E96*(CT92=0)*(CT93&gt;0)</f>
        <v>-0</v>
      </c>
      <c r="CU97" s="47" t="n">
        <f aca="false">-In_Upfront_Fee*$E96*(CU92=0)*(CU93&gt;0)</f>
        <v>-0</v>
      </c>
      <c r="CV97" s="47" t="n">
        <f aca="false">-In_Upfront_Fee*$E96*(CV92=0)*(CV93&gt;0)</f>
        <v>-0</v>
      </c>
      <c r="CW97" s="47" t="n">
        <f aca="false">-In_Upfront_Fee*$E96*(CW92=0)*(CW93&gt;0)</f>
        <v>-0</v>
      </c>
      <c r="CX97" s="47" t="n">
        <f aca="false">-In_Upfront_Fee*$E96*(CX92=0)*(CX93&gt;0)</f>
        <v>-0</v>
      </c>
      <c r="CY97" s="47" t="n">
        <f aca="false">-In_Upfront_Fee*$E96*(CY92=0)*(CY93&gt;0)</f>
        <v>-0</v>
      </c>
      <c r="CZ97" s="47" t="n">
        <f aca="false">-In_Upfront_Fee*$E96*(CZ92=0)*(CZ93&gt;0)</f>
        <v>-0</v>
      </c>
      <c r="DA97" s="47" t="n">
        <f aca="false">-In_Upfront_Fee*$E96*(DA92=0)*(DA93&gt;0)</f>
        <v>-0</v>
      </c>
      <c r="DB97" s="47" t="n">
        <f aca="false">-In_Upfront_Fee*$E96*(DB92=0)*(DB93&gt;0)</f>
        <v>-0</v>
      </c>
      <c r="DC97" s="47" t="n">
        <f aca="false">-In_Upfront_Fee*$E96*(DC92=0)*(DC93&gt;0)</f>
        <v>-0</v>
      </c>
      <c r="DD97" s="47" t="n">
        <f aca="false">-In_Upfront_Fee*$E96*(DD92=0)*(DD93&gt;0)</f>
        <v>-0</v>
      </c>
      <c r="DE97" s="47" t="n">
        <f aca="false">-In_Upfront_Fee*$E96*(DE92=0)*(DE93&gt;0)</f>
        <v>-0</v>
      </c>
      <c r="DF97" s="47" t="n">
        <f aca="false">-In_Upfront_Fee*$E96*(DF92=0)*(DF93&gt;0)</f>
        <v>-0</v>
      </c>
      <c r="DG97" s="47" t="n">
        <f aca="false">-In_Upfront_Fee*$E96*(DG92=0)*(DG93&gt;0)</f>
        <v>-0</v>
      </c>
      <c r="DH97" s="47" t="n">
        <f aca="false">-In_Upfront_Fee*$E96*(DH92=0)*(DH93&gt;0)</f>
        <v>-0</v>
      </c>
      <c r="DI97" s="47" t="n">
        <f aca="false">-In_Upfront_Fee*$E96*(DI92=0)*(DI93&gt;0)</f>
        <v>-0</v>
      </c>
      <c r="DJ97" s="47" t="n">
        <f aca="false">-In_Upfront_Fee*$E96*(DJ92=0)*(DJ93&gt;0)</f>
        <v>-0</v>
      </c>
      <c r="DK97" s="47" t="n">
        <f aca="false">-In_Upfront_Fee*$E96*(DK92=0)*(DK93&gt;0)</f>
        <v>-0</v>
      </c>
      <c r="DL97" s="47" t="n">
        <f aca="false">-In_Upfront_Fee*$E96*(DL92=0)*(DL93&gt;0)</f>
        <v>-0</v>
      </c>
      <c r="DM97" s="47" t="n">
        <f aca="false">-In_Upfront_Fee*$E96*(DM92=0)*(DM93&gt;0)</f>
        <v>-0</v>
      </c>
      <c r="DN97" s="47" t="n">
        <f aca="false">-In_Upfront_Fee*$E96*(DN92=0)*(DN93&gt;0)</f>
        <v>-0</v>
      </c>
      <c r="DO97" s="47" t="n">
        <f aca="false">-In_Upfront_Fee*$E96*(DO92=0)*(DO93&gt;0)</f>
        <v>-0</v>
      </c>
      <c r="DP97" s="47" t="n">
        <f aca="false">-In_Upfront_Fee*$E96*(DP92=0)*(DP93&gt;0)</f>
        <v>-0</v>
      </c>
      <c r="DQ97" s="47" t="n">
        <f aca="false">-In_Upfront_Fee*$E96*(DQ92=0)*(DQ93&gt;0)</f>
        <v>-0</v>
      </c>
      <c r="DR97" s="47" t="n">
        <f aca="false">-In_Upfront_Fee*$E96*(DR92=0)*(DR93&gt;0)</f>
        <v>-0</v>
      </c>
      <c r="DS97" s="47" t="n">
        <f aca="false">-In_Upfront_Fee*$E96*(DS92=0)*(DS93&gt;0)</f>
        <v>-0</v>
      </c>
      <c r="DT97" s="47" t="n">
        <f aca="false">-In_Upfront_Fee*$E96*(DT92=0)*(DT93&gt;0)</f>
        <v>-0</v>
      </c>
      <c r="DU97" s="47" t="n">
        <f aca="false">-In_Upfront_Fee*$E96*(DU92=0)*(DU93&gt;0)</f>
        <v>-0</v>
      </c>
      <c r="DV97" s="47" t="n">
        <f aca="false">-In_Upfront_Fee*$E96*(DV92=0)*(DV93&gt;0)</f>
        <v>-0</v>
      </c>
      <c r="DW97" s="47" t="n">
        <f aca="false">-In_Upfront_Fee*$E96*(DW92=0)*(DW93&gt;0)</f>
        <v>-0</v>
      </c>
      <c r="DX97" s="47" t="n">
        <f aca="false">-In_Upfront_Fee*$E96*(DX92=0)*(DX93&gt;0)</f>
        <v>-0</v>
      </c>
      <c r="DY97" s="47" t="n">
        <f aca="false">-In_Upfront_Fee*$E96*(DY92=0)*(DY93&gt;0)</f>
        <v>-0</v>
      </c>
      <c r="DZ97" s="47" t="n">
        <f aca="false">-In_Upfront_Fee*$E96*(DZ92=0)*(DZ93&gt;0)</f>
        <v>-0</v>
      </c>
      <c r="EA97" s="47" t="n">
        <f aca="false">-In_Upfront_Fee*$E96*(EA92=0)*(EA93&gt;0)</f>
        <v>-0</v>
      </c>
      <c r="EB97" s="47" t="n">
        <f aca="false">-In_Upfront_Fee*$E96*(EB92=0)*(EB93&gt;0)</f>
        <v>-0</v>
      </c>
      <c r="EC97" s="47" t="n">
        <f aca="false">-In_Upfront_Fee*$E96*(EC92=0)*(EC93&gt;0)</f>
        <v>-0</v>
      </c>
      <c r="ED97" s="47" t="n">
        <f aca="false">-In_Upfront_Fee*$E96*(ED92=0)*(ED93&gt;0)</f>
        <v>-0</v>
      </c>
      <c r="EE97" s="47" t="n">
        <f aca="false">-In_Upfront_Fee*$E96*(EE92=0)*(EE93&gt;0)</f>
        <v>-0</v>
      </c>
      <c r="EF97" s="47" t="n">
        <f aca="false">-In_Upfront_Fee*$E96*(EF92=0)*(EF93&gt;0)</f>
        <v>-0</v>
      </c>
      <c r="EG97" s="47" t="n">
        <f aca="false">-In_Upfront_Fee*$E96*(EG92=0)*(EG93&gt;0)</f>
        <v>-0</v>
      </c>
      <c r="EH97" s="47" t="n">
        <f aca="false">-In_Upfront_Fee*$E96*(EH92=0)*(EH93&gt;0)</f>
        <v>-0</v>
      </c>
      <c r="EI97" s="47" t="n">
        <f aca="false">-In_Upfront_Fee*$E96*(EI92=0)*(EI93&gt;0)</f>
        <v>-0</v>
      </c>
      <c r="EJ97" s="47" t="n">
        <f aca="false">-In_Upfront_Fee*$E96*(EJ92=0)*(EJ93&gt;0)</f>
        <v>-0</v>
      </c>
      <c r="EK97" s="47" t="n">
        <f aca="false">-In_Upfront_Fee*$E96*(EK92=0)*(EK93&gt;0)</f>
        <v>-0</v>
      </c>
      <c r="EL97" s="47" t="n">
        <f aca="false">-In_Upfront_Fee*$E96*(EL92=0)*(EL93&gt;0)</f>
        <v>-0</v>
      </c>
      <c r="EM97" s="47" t="n">
        <f aca="false">-In_Upfront_Fee*$E96*(EM92=0)*(EM93&gt;0)</f>
        <v>-0</v>
      </c>
      <c r="EN97" s="47" t="n">
        <f aca="false">-In_Upfront_Fee*$E96*(EN92=0)*(EN93&gt;0)</f>
        <v>-0</v>
      </c>
      <c r="EO97" s="47" t="n">
        <f aca="false">-In_Upfront_Fee*$E96*(EO92=0)*(EO93&gt;0)</f>
        <v>-0</v>
      </c>
    </row>
    <row r="98" customFormat="false" ht="15" hidden="false" customHeight="false" outlineLevel="0" collapsed="false">
      <c r="C98" s="0" t="s">
        <v>461</v>
      </c>
      <c r="D98" s="11" t="s">
        <v>33</v>
      </c>
      <c r="I98" s="47" t="n">
        <f aca="false">SUM(J98:EO98)</f>
        <v>-548.095640244877</v>
      </c>
      <c r="J98" s="47" t="n">
        <f aca="false">-In_Commitment_Fee*($I93-SUM($J93:J93)+J93)*J$6*(J12&gt;0)</f>
        <v>-0</v>
      </c>
      <c r="K98" s="47" t="n">
        <f aca="false">-In_Commitment_Fee*($I93-SUM($J93:K93)+K93)*K$6*(K12&gt;0)</f>
        <v>-0</v>
      </c>
      <c r="L98" s="47" t="n">
        <f aca="false">-In_Commitment_Fee*($I93-SUM($J93:L93)+L93)*L$6*(L12&gt;0)</f>
        <v>-0</v>
      </c>
      <c r="M98" s="47" t="n">
        <f aca="false">-In_Commitment_Fee*($I93-SUM($J93:M93)+M93)*M$6*(M12&gt;0)</f>
        <v>-0</v>
      </c>
      <c r="N98" s="47" t="n">
        <f aca="false">-In_Commitment_Fee*($I93-SUM($J93:N93)+N93)*N$6*(N12&gt;0)</f>
        <v>-0</v>
      </c>
      <c r="O98" s="47" t="n">
        <f aca="false">-In_Commitment_Fee*($I93-SUM($J93:O93)+O93)*O$6*(O12&gt;0)</f>
        <v>-0</v>
      </c>
      <c r="P98" s="47" t="n">
        <f aca="false">-In_Commitment_Fee*($I93-SUM($J93:P93)+P93)*P$6*(P12&gt;0)</f>
        <v>-0</v>
      </c>
      <c r="Q98" s="47" t="n">
        <f aca="false">-In_Commitment_Fee*($I93-SUM($J93:Q93)+Q93)*Q$6*(Q12&gt;0)</f>
        <v>-0</v>
      </c>
      <c r="R98" s="47" t="n">
        <f aca="false">-In_Commitment_Fee*($I93-SUM($J93:R93)+R93)*R$6*(R12&gt;0)</f>
        <v>-126.037967706361</v>
      </c>
      <c r="S98" s="47" t="n">
        <f aca="false">-In_Commitment_Fee*($I93-SUM($J93:S93)+S93)*S$6*(S12&gt;0)</f>
        <v>-109.398035690373</v>
      </c>
      <c r="T98" s="47" t="n">
        <f aca="false">-In_Commitment_Fee*($I93-SUM($J93:T93)+T93)*T$6*(T12&gt;0)</f>
        <v>-86.8007344745731</v>
      </c>
      <c r="U98" s="47" t="n">
        <f aca="false">-In_Commitment_Fee*($I93-SUM($J93:U93)+U93)*U$6*(U12&gt;0)</f>
        <v>-73.7001683233252</v>
      </c>
      <c r="V98" s="47" t="n">
        <f aca="false">-In_Commitment_Fee*($I93-SUM($J93:V93)+V93)*V$6*(V12&gt;0)</f>
        <v>-59.4913037671233</v>
      </c>
      <c r="W98" s="47" t="n">
        <f aca="false">-In_Commitment_Fee*($I93-SUM($J93:W93)+W93)*W$6*(W12&gt;0)</f>
        <v>-44.29803835851</v>
      </c>
      <c r="X98" s="47" t="n">
        <f aca="false">-In_Commitment_Fee*($I93-SUM($J93:X93)+X93)*X$6*(X12&gt;0)</f>
        <v>-31.0413492862169</v>
      </c>
      <c r="Y98" s="47" t="n">
        <f aca="false">-In_Commitment_Fee*($I93-SUM($J93:Y93)+Y93)*Y$6*(Y12&gt;0)</f>
        <v>-17.3280426383937</v>
      </c>
      <c r="Z98" s="47" t="n">
        <f aca="false">-In_Commitment_Fee*($I93-SUM($J93:Z93)+Z93)*Z$6*(Z12&gt;0)</f>
        <v>-0</v>
      </c>
      <c r="AA98" s="47" t="n">
        <f aca="false">-In_Commitment_Fee*($I93-SUM($J93:AA93)+AA93)*AA$6*(AA12&gt;0)</f>
        <v>-0</v>
      </c>
      <c r="AB98" s="47" t="n">
        <f aca="false">-In_Commitment_Fee*($I93-SUM($J93:AB93)+AB93)*AB$6*(AB12&gt;0)</f>
        <v>-0</v>
      </c>
      <c r="AC98" s="47" t="n">
        <f aca="false">-In_Commitment_Fee*($I93-SUM($J93:AC93)+AC93)*AC$6*(AC12&gt;0)</f>
        <v>-0</v>
      </c>
      <c r="AD98" s="47" t="n">
        <f aca="false">-In_Commitment_Fee*($I93-SUM($J93:AD93)+AD93)*AD$6*(AD12&gt;0)</f>
        <v>-0</v>
      </c>
      <c r="AE98" s="47" t="n">
        <f aca="false">-In_Commitment_Fee*($I93-SUM($J93:AE93)+AE93)*AE$6*(AE12&gt;0)</f>
        <v>-0</v>
      </c>
      <c r="AF98" s="47" t="n">
        <f aca="false">-In_Commitment_Fee*($I93-SUM($J93:AF93)+AF93)*AF$6*(AF12&gt;0)</f>
        <v>-0</v>
      </c>
      <c r="AG98" s="47" t="n">
        <f aca="false">-In_Commitment_Fee*($I93-SUM($J93:AG93)+AG93)*AG$6*(AG12&gt;0)</f>
        <v>-0</v>
      </c>
      <c r="AH98" s="47" t="n">
        <f aca="false">-In_Commitment_Fee*($I93-SUM($J93:AH93)+AH93)*AH$6*(AH12&gt;0)</f>
        <v>-0</v>
      </c>
      <c r="AI98" s="47" t="n">
        <f aca="false">-In_Commitment_Fee*($I93-SUM($J93:AI93)+AI93)*AI$6*(AI12&gt;0)</f>
        <v>-0</v>
      </c>
      <c r="AJ98" s="47" t="n">
        <f aca="false">-In_Commitment_Fee*($I93-SUM($J93:AJ93)+AJ93)*AJ$6*(AJ12&gt;0)</f>
        <v>-0</v>
      </c>
      <c r="AK98" s="47" t="n">
        <f aca="false">-In_Commitment_Fee*($I93-SUM($J93:AK93)+AK93)*AK$6*(AK12&gt;0)</f>
        <v>-0</v>
      </c>
      <c r="AL98" s="47" t="n">
        <f aca="false">-In_Commitment_Fee*($I93-SUM($J93:AL93)+AL93)*AL$6*(AL12&gt;0)</f>
        <v>-0</v>
      </c>
      <c r="AM98" s="47" t="n">
        <f aca="false">-In_Commitment_Fee*($I93-SUM($J93:AM93)+AM93)*AM$6*(AM12&gt;0)</f>
        <v>-0</v>
      </c>
      <c r="AN98" s="47" t="n">
        <f aca="false">-In_Commitment_Fee*($I93-SUM($J93:AN93)+AN93)*AN$6*(AN12&gt;0)</f>
        <v>-0</v>
      </c>
      <c r="AO98" s="47" t="n">
        <f aca="false">-In_Commitment_Fee*($I93-SUM($J93:AO93)+AO93)*AO$6*(AO12&gt;0)</f>
        <v>-0</v>
      </c>
      <c r="AP98" s="47" t="n">
        <f aca="false">-In_Commitment_Fee*($I93-SUM($J93:AP93)+AP93)*AP$6*(AP12&gt;0)</f>
        <v>-0</v>
      </c>
      <c r="AQ98" s="47" t="n">
        <f aca="false">-In_Commitment_Fee*($I93-SUM($J93:AQ93)+AQ93)*AQ$6*(AQ12&gt;0)</f>
        <v>-0</v>
      </c>
      <c r="AR98" s="47" t="n">
        <f aca="false">-In_Commitment_Fee*($I93-SUM($J93:AR93)+AR93)*AR$6*(AR12&gt;0)</f>
        <v>-0</v>
      </c>
      <c r="AS98" s="47" t="n">
        <f aca="false">-In_Commitment_Fee*($I93-SUM($J93:AS93)+AS93)*AS$6*(AS12&gt;0)</f>
        <v>-0</v>
      </c>
      <c r="AT98" s="47" t="n">
        <f aca="false">-In_Commitment_Fee*($I93-SUM($J93:AT93)+AT93)*AT$6*(AT12&gt;0)</f>
        <v>-0</v>
      </c>
      <c r="AU98" s="47" t="n">
        <f aca="false">-In_Commitment_Fee*($I93-SUM($J93:AU93)+AU93)*AU$6*(AU12&gt;0)</f>
        <v>-0</v>
      </c>
      <c r="AV98" s="47" t="n">
        <f aca="false">-In_Commitment_Fee*($I93-SUM($J93:AV93)+AV93)*AV$6*(AV12&gt;0)</f>
        <v>-0</v>
      </c>
      <c r="AW98" s="47" t="n">
        <f aca="false">-In_Commitment_Fee*($I93-SUM($J93:AW93)+AW93)*AW$6*(AW12&gt;0)</f>
        <v>-0</v>
      </c>
      <c r="AX98" s="47" t="n">
        <f aca="false">-In_Commitment_Fee*($I93-SUM($J93:AX93)+AX93)*AX$6*(AX12&gt;0)</f>
        <v>-0</v>
      </c>
      <c r="AY98" s="47" t="n">
        <f aca="false">-In_Commitment_Fee*($I93-SUM($J93:AY93)+AY93)*AY$6*(AY12&gt;0)</f>
        <v>-0</v>
      </c>
      <c r="AZ98" s="47" t="n">
        <f aca="false">-In_Commitment_Fee*($I93-SUM($J93:AZ93)+AZ93)*AZ$6*(AZ12&gt;0)</f>
        <v>-0</v>
      </c>
      <c r="BA98" s="47" t="n">
        <f aca="false">-In_Commitment_Fee*($I93-SUM($J93:BA93)+BA93)*BA$6*(BA12&gt;0)</f>
        <v>-0</v>
      </c>
      <c r="BB98" s="47" t="n">
        <f aca="false">-In_Commitment_Fee*($I93-SUM($J93:BB93)+BB93)*BB$6*(BB12&gt;0)</f>
        <v>-0</v>
      </c>
      <c r="BC98" s="47" t="n">
        <f aca="false">-In_Commitment_Fee*($I93-SUM($J93:BC93)+BC93)*BC$6*(BC12&gt;0)</f>
        <v>-0</v>
      </c>
      <c r="BD98" s="47" t="n">
        <f aca="false">-In_Commitment_Fee*($I93-SUM($J93:BD93)+BD93)*BD$6*(BD12&gt;0)</f>
        <v>-0</v>
      </c>
      <c r="BE98" s="47" t="n">
        <f aca="false">-In_Commitment_Fee*($I93-SUM($J93:BE93)+BE93)*BE$6*(BE12&gt;0)</f>
        <v>-0</v>
      </c>
      <c r="BF98" s="47" t="n">
        <f aca="false">-In_Commitment_Fee*($I93-SUM($J93:BF93)+BF93)*BF$6*(BF12&gt;0)</f>
        <v>-0</v>
      </c>
      <c r="BG98" s="47" t="n">
        <f aca="false">-In_Commitment_Fee*($I93-SUM($J93:BG93)+BG93)*BG$6*(BG12&gt;0)</f>
        <v>-0</v>
      </c>
      <c r="BH98" s="47" t="n">
        <f aca="false">-In_Commitment_Fee*($I93-SUM($J93:BH93)+BH93)*BH$6*(BH12&gt;0)</f>
        <v>-0</v>
      </c>
      <c r="BI98" s="47" t="n">
        <f aca="false">-In_Commitment_Fee*($I93-SUM($J93:BI93)+BI93)*BI$6*(BI12&gt;0)</f>
        <v>-0</v>
      </c>
      <c r="BJ98" s="47" t="n">
        <f aca="false">-In_Commitment_Fee*($I93-SUM($J93:BJ93)+BJ93)*BJ$6*(BJ12&gt;0)</f>
        <v>-0</v>
      </c>
      <c r="BK98" s="47" t="n">
        <f aca="false">-In_Commitment_Fee*($I93-SUM($J93:BK93)+BK93)*BK$6*(BK12&gt;0)</f>
        <v>-0</v>
      </c>
      <c r="BL98" s="47" t="n">
        <f aca="false">-In_Commitment_Fee*($I93-SUM($J93:BL93)+BL93)*BL$6*(BL12&gt;0)</f>
        <v>-0</v>
      </c>
      <c r="BM98" s="47" t="n">
        <f aca="false">-In_Commitment_Fee*($I93-SUM($J93:BM93)+BM93)*BM$6*(BM12&gt;0)</f>
        <v>-0</v>
      </c>
      <c r="BN98" s="47" t="n">
        <f aca="false">-In_Commitment_Fee*($I93-SUM($J93:BN93)+BN93)*BN$6*(BN12&gt;0)</f>
        <v>-0</v>
      </c>
      <c r="BO98" s="47" t="n">
        <f aca="false">-In_Commitment_Fee*($I93-SUM($J93:BO93)+BO93)*BO$6*(BO12&gt;0)</f>
        <v>-0</v>
      </c>
      <c r="BP98" s="47" t="n">
        <f aca="false">-In_Commitment_Fee*($I93-SUM($J93:BP93)+BP93)*BP$6*(BP12&gt;0)</f>
        <v>-0</v>
      </c>
      <c r="BQ98" s="47" t="n">
        <f aca="false">-In_Commitment_Fee*($I93-SUM($J93:BQ93)+BQ93)*BQ$6*(BQ12&gt;0)</f>
        <v>-0</v>
      </c>
      <c r="BR98" s="47" t="n">
        <f aca="false">-In_Commitment_Fee*($I93-SUM($J93:BR93)+BR93)*BR$6*(BR12&gt;0)</f>
        <v>-0</v>
      </c>
      <c r="BS98" s="47" t="n">
        <f aca="false">-In_Commitment_Fee*($I93-SUM($J93:BS93)+BS93)*BS$6*(BS12&gt;0)</f>
        <v>-0</v>
      </c>
      <c r="BT98" s="47" t="n">
        <f aca="false">-In_Commitment_Fee*($I93-SUM($J93:BT93)+BT93)*BT$6*(BT12&gt;0)</f>
        <v>-0</v>
      </c>
      <c r="BU98" s="47" t="n">
        <f aca="false">-In_Commitment_Fee*($I93-SUM($J93:BU93)+BU93)*BU$6*(BU12&gt;0)</f>
        <v>-0</v>
      </c>
      <c r="BV98" s="47" t="n">
        <f aca="false">-In_Commitment_Fee*($I93-SUM($J93:BV93)+BV93)*BV$6*(BV12&gt;0)</f>
        <v>-0</v>
      </c>
      <c r="BW98" s="47" t="n">
        <f aca="false">-In_Commitment_Fee*($I93-SUM($J93:BW93)+BW93)*BW$6*(BW12&gt;0)</f>
        <v>-0</v>
      </c>
      <c r="BX98" s="47" t="n">
        <f aca="false">-In_Commitment_Fee*($I93-SUM($J93:BX93)+BX93)*BX$6*(BX12&gt;0)</f>
        <v>-0</v>
      </c>
      <c r="BY98" s="47" t="n">
        <f aca="false">-In_Commitment_Fee*($I93-SUM($J93:BY93)+BY93)*BY$6*(BY12&gt;0)</f>
        <v>-0</v>
      </c>
      <c r="BZ98" s="47" t="n">
        <f aca="false">-In_Commitment_Fee*($I93-SUM($J93:BZ93)+BZ93)*BZ$6*(BZ12&gt;0)</f>
        <v>-0</v>
      </c>
      <c r="CA98" s="47" t="n">
        <f aca="false">-In_Commitment_Fee*($I93-SUM($J93:CA93)+CA93)*CA$6*(CA12&gt;0)</f>
        <v>-0</v>
      </c>
      <c r="CB98" s="47" t="n">
        <f aca="false">-In_Commitment_Fee*($I93-SUM($J93:CB93)+CB93)*CB$6*(CB12&gt;0)</f>
        <v>-0</v>
      </c>
      <c r="CC98" s="47" t="n">
        <f aca="false">-In_Commitment_Fee*($I93-SUM($J93:CC93)+CC93)*CC$6*(CC12&gt;0)</f>
        <v>-0</v>
      </c>
      <c r="CD98" s="47" t="n">
        <f aca="false">-In_Commitment_Fee*($I93-SUM($J93:CD93)+CD93)*CD$6*(CD12&gt;0)</f>
        <v>-0</v>
      </c>
      <c r="CE98" s="47" t="n">
        <f aca="false">-In_Commitment_Fee*($I93-SUM($J93:CE93)+CE93)*CE$6*(CE12&gt;0)</f>
        <v>-0</v>
      </c>
      <c r="CF98" s="47" t="n">
        <f aca="false">-In_Commitment_Fee*($I93-SUM($J93:CF93)+CF93)*CF$6*(CF12&gt;0)</f>
        <v>-0</v>
      </c>
      <c r="CG98" s="47" t="n">
        <f aca="false">-In_Commitment_Fee*($I93-SUM($J93:CG93)+CG93)*CG$6*(CG12&gt;0)</f>
        <v>-0</v>
      </c>
      <c r="CH98" s="47" t="n">
        <f aca="false">-In_Commitment_Fee*($I93-SUM($J93:CH93)+CH93)*CH$6*(CH12&gt;0)</f>
        <v>-0</v>
      </c>
      <c r="CI98" s="47" t="n">
        <f aca="false">-In_Commitment_Fee*($I93-SUM($J93:CI93)+CI93)*CI$6*(CI12&gt;0)</f>
        <v>-0</v>
      </c>
      <c r="CJ98" s="47" t="n">
        <f aca="false">-In_Commitment_Fee*($I93-SUM($J93:CJ93)+CJ93)*CJ$6*(CJ12&gt;0)</f>
        <v>-0</v>
      </c>
      <c r="CK98" s="47" t="n">
        <f aca="false">-In_Commitment_Fee*($I93-SUM($J93:CK93)+CK93)*CK$6*(CK12&gt;0)</f>
        <v>-0</v>
      </c>
      <c r="CL98" s="47" t="n">
        <f aca="false">-In_Commitment_Fee*($I93-SUM($J93:CL93)+CL93)*CL$6*(CL12&gt;0)</f>
        <v>-0</v>
      </c>
      <c r="CM98" s="47" t="n">
        <f aca="false">-In_Commitment_Fee*($I93-SUM($J93:CM93)+CM93)*CM$6*(CM12&gt;0)</f>
        <v>-0</v>
      </c>
      <c r="CN98" s="47" t="n">
        <f aca="false">-In_Commitment_Fee*($I93-SUM($J93:CN93)+CN93)*CN$6*(CN12&gt;0)</f>
        <v>-0</v>
      </c>
      <c r="CO98" s="47" t="n">
        <f aca="false">-In_Commitment_Fee*($I93-SUM($J93:CO93)+CO93)*CO$6*(CO12&gt;0)</f>
        <v>-0</v>
      </c>
      <c r="CP98" s="47" t="n">
        <f aca="false">-In_Commitment_Fee*($I93-SUM($J93:CP93)+CP93)*CP$6*(CP12&gt;0)</f>
        <v>-0</v>
      </c>
      <c r="CQ98" s="47" t="n">
        <f aca="false">-In_Commitment_Fee*($I93-SUM($J93:CQ93)+CQ93)*CQ$6*(CQ12&gt;0)</f>
        <v>-0</v>
      </c>
      <c r="CR98" s="47" t="n">
        <f aca="false">-In_Commitment_Fee*($I93-SUM($J93:CR93)+CR93)*CR$6*(CR12&gt;0)</f>
        <v>-0</v>
      </c>
      <c r="CS98" s="47" t="n">
        <f aca="false">-In_Commitment_Fee*($I93-SUM($J93:CS93)+CS93)*CS$6*(CS12&gt;0)</f>
        <v>-0</v>
      </c>
      <c r="CT98" s="47" t="n">
        <f aca="false">-In_Commitment_Fee*($I93-SUM($J93:CT93)+CT93)*CT$6*(CT12&gt;0)</f>
        <v>-0</v>
      </c>
      <c r="CU98" s="47" t="n">
        <f aca="false">-In_Commitment_Fee*($I93-SUM($J93:CU93)+CU93)*CU$6*(CU12&gt;0)</f>
        <v>-0</v>
      </c>
      <c r="CV98" s="47" t="n">
        <f aca="false">-In_Commitment_Fee*($I93-SUM($J93:CV93)+CV93)*CV$6*(CV12&gt;0)</f>
        <v>-0</v>
      </c>
      <c r="CW98" s="47" t="n">
        <f aca="false">-In_Commitment_Fee*($I93-SUM($J93:CW93)+CW93)*CW$6*(CW12&gt;0)</f>
        <v>-0</v>
      </c>
      <c r="CX98" s="47" t="n">
        <f aca="false">-In_Commitment_Fee*($I93-SUM($J93:CX93)+CX93)*CX$6*(CX12&gt;0)</f>
        <v>-0</v>
      </c>
      <c r="CY98" s="47" t="n">
        <f aca="false">-In_Commitment_Fee*($I93-SUM($J93:CY93)+CY93)*CY$6*(CY12&gt;0)</f>
        <v>-0</v>
      </c>
      <c r="CZ98" s="47" t="n">
        <f aca="false">-In_Commitment_Fee*($I93-SUM($J93:CZ93)+CZ93)*CZ$6*(CZ12&gt;0)</f>
        <v>-0</v>
      </c>
      <c r="DA98" s="47" t="n">
        <f aca="false">-In_Commitment_Fee*($I93-SUM($J93:DA93)+DA93)*DA$6*(DA12&gt;0)</f>
        <v>-0</v>
      </c>
      <c r="DB98" s="47" t="n">
        <f aca="false">-In_Commitment_Fee*($I93-SUM($J93:DB93)+DB93)*DB$6*(DB12&gt;0)</f>
        <v>-0</v>
      </c>
      <c r="DC98" s="47" t="n">
        <f aca="false">-In_Commitment_Fee*($I93-SUM($J93:DC93)+DC93)*DC$6*(DC12&gt;0)</f>
        <v>-0</v>
      </c>
      <c r="DD98" s="47" t="n">
        <f aca="false">-In_Commitment_Fee*($I93-SUM($J93:DD93)+DD93)*DD$6*(DD12&gt;0)</f>
        <v>-0</v>
      </c>
      <c r="DE98" s="47" t="n">
        <f aca="false">-In_Commitment_Fee*($I93-SUM($J93:DE93)+DE93)*DE$6*(DE12&gt;0)</f>
        <v>-0</v>
      </c>
      <c r="DF98" s="47" t="n">
        <f aca="false">-In_Commitment_Fee*($I93-SUM($J93:DF93)+DF93)*DF$6*(DF12&gt;0)</f>
        <v>-0</v>
      </c>
      <c r="DG98" s="47" t="n">
        <f aca="false">-In_Commitment_Fee*($I93-SUM($J93:DG93)+DG93)*DG$6*(DG12&gt;0)</f>
        <v>-0</v>
      </c>
      <c r="DH98" s="47" t="n">
        <f aca="false">-In_Commitment_Fee*($I93-SUM($J93:DH93)+DH93)*DH$6*(DH12&gt;0)</f>
        <v>-0</v>
      </c>
      <c r="DI98" s="47" t="n">
        <f aca="false">-In_Commitment_Fee*($I93-SUM($J93:DI93)+DI93)*DI$6*(DI12&gt;0)</f>
        <v>-0</v>
      </c>
      <c r="DJ98" s="47" t="n">
        <f aca="false">-In_Commitment_Fee*($I93-SUM($J93:DJ93)+DJ93)*DJ$6*(DJ12&gt;0)</f>
        <v>-0</v>
      </c>
      <c r="DK98" s="47" t="n">
        <f aca="false">-In_Commitment_Fee*($I93-SUM($J93:DK93)+DK93)*DK$6*(DK12&gt;0)</f>
        <v>-0</v>
      </c>
      <c r="DL98" s="47" t="n">
        <f aca="false">-In_Commitment_Fee*($I93-SUM($J93:DL93)+DL93)*DL$6*(DL12&gt;0)</f>
        <v>-0</v>
      </c>
      <c r="DM98" s="47" t="n">
        <f aca="false">-In_Commitment_Fee*($I93-SUM($J93:DM93)+DM93)*DM$6*(DM12&gt;0)</f>
        <v>-0</v>
      </c>
      <c r="DN98" s="47" t="n">
        <f aca="false">-In_Commitment_Fee*($I93-SUM($J93:DN93)+DN93)*DN$6*(DN12&gt;0)</f>
        <v>-0</v>
      </c>
      <c r="DO98" s="47" t="n">
        <f aca="false">-In_Commitment_Fee*($I93-SUM($J93:DO93)+DO93)*DO$6*(DO12&gt;0)</f>
        <v>-0</v>
      </c>
      <c r="DP98" s="47" t="n">
        <f aca="false">-In_Commitment_Fee*($I93-SUM($J93:DP93)+DP93)*DP$6*(DP12&gt;0)</f>
        <v>-0</v>
      </c>
      <c r="DQ98" s="47" t="n">
        <f aca="false">-In_Commitment_Fee*($I93-SUM($J93:DQ93)+DQ93)*DQ$6*(DQ12&gt;0)</f>
        <v>-0</v>
      </c>
      <c r="DR98" s="47" t="n">
        <f aca="false">-In_Commitment_Fee*($I93-SUM($J93:DR93)+DR93)*DR$6*(DR12&gt;0)</f>
        <v>-0</v>
      </c>
      <c r="DS98" s="47" t="n">
        <f aca="false">-In_Commitment_Fee*($I93-SUM($J93:DS93)+DS93)*DS$6*(DS12&gt;0)</f>
        <v>-0</v>
      </c>
      <c r="DT98" s="47" t="n">
        <f aca="false">-In_Commitment_Fee*($I93-SUM($J93:DT93)+DT93)*DT$6*(DT12&gt;0)</f>
        <v>-0</v>
      </c>
      <c r="DU98" s="47" t="n">
        <f aca="false">-In_Commitment_Fee*($I93-SUM($J93:DU93)+DU93)*DU$6*(DU12&gt;0)</f>
        <v>-0</v>
      </c>
      <c r="DV98" s="47" t="n">
        <f aca="false">-In_Commitment_Fee*($I93-SUM($J93:DV93)+DV93)*DV$6*(DV12&gt;0)</f>
        <v>-0</v>
      </c>
      <c r="DW98" s="47" t="n">
        <f aca="false">-In_Commitment_Fee*($I93-SUM($J93:DW93)+DW93)*DW$6*(DW12&gt;0)</f>
        <v>-0</v>
      </c>
      <c r="DX98" s="47" t="n">
        <f aca="false">-In_Commitment_Fee*($I93-SUM($J93:DX93)+DX93)*DX$6*(DX12&gt;0)</f>
        <v>-0</v>
      </c>
      <c r="DY98" s="47" t="n">
        <f aca="false">-In_Commitment_Fee*($I93-SUM($J93:DY93)+DY93)*DY$6*(DY12&gt;0)</f>
        <v>-0</v>
      </c>
      <c r="DZ98" s="47" t="n">
        <f aca="false">-In_Commitment_Fee*($I93-SUM($J93:DZ93)+DZ93)*DZ$6*(DZ12&gt;0)</f>
        <v>-0</v>
      </c>
      <c r="EA98" s="47" t="n">
        <f aca="false">-In_Commitment_Fee*($I93-SUM($J93:EA93)+EA93)*EA$6*(EA12&gt;0)</f>
        <v>-0</v>
      </c>
      <c r="EB98" s="47" t="n">
        <f aca="false">-In_Commitment_Fee*($I93-SUM($J93:EB93)+EB93)*EB$6*(EB12&gt;0)</f>
        <v>-0</v>
      </c>
      <c r="EC98" s="47" t="n">
        <f aca="false">-In_Commitment_Fee*($I93-SUM($J93:EC93)+EC93)*EC$6*(EC12&gt;0)</f>
        <v>-0</v>
      </c>
      <c r="ED98" s="47" t="n">
        <f aca="false">-In_Commitment_Fee*($I93-SUM($J93:ED93)+ED93)*ED$6*(ED12&gt;0)</f>
        <v>-0</v>
      </c>
      <c r="EE98" s="47" t="n">
        <f aca="false">-In_Commitment_Fee*($I93-SUM($J93:EE93)+EE93)*EE$6*(EE12&gt;0)</f>
        <v>-0</v>
      </c>
      <c r="EF98" s="47" t="n">
        <f aca="false">-In_Commitment_Fee*($I93-SUM($J93:EF93)+EF93)*EF$6*(EF12&gt;0)</f>
        <v>-0</v>
      </c>
      <c r="EG98" s="47" t="n">
        <f aca="false">-In_Commitment_Fee*($I93-SUM($J93:EG93)+EG93)*EG$6*(EG12&gt;0)</f>
        <v>-0</v>
      </c>
      <c r="EH98" s="47" t="n">
        <f aca="false">-In_Commitment_Fee*($I93-SUM($J93:EH93)+EH93)*EH$6*(EH12&gt;0)</f>
        <v>-0</v>
      </c>
      <c r="EI98" s="47" t="n">
        <f aca="false">-In_Commitment_Fee*($I93-SUM($J93:EI93)+EI93)*EI$6*(EI12&gt;0)</f>
        <v>-0</v>
      </c>
      <c r="EJ98" s="47" t="n">
        <f aca="false">-In_Commitment_Fee*($I93-SUM($J93:EJ93)+EJ93)*EJ$6*(EJ12&gt;0)</f>
        <v>-0</v>
      </c>
      <c r="EK98" s="47" t="n">
        <f aca="false">-In_Commitment_Fee*($I93-SUM($J93:EK93)+EK93)*EK$6*(EK12&gt;0)</f>
        <v>-0</v>
      </c>
      <c r="EL98" s="47" t="n">
        <f aca="false">-In_Commitment_Fee*($I93-SUM($J93:EL93)+EL93)*EL$6*(EL12&gt;0)</f>
        <v>-0</v>
      </c>
      <c r="EM98" s="47" t="n">
        <f aca="false">-In_Commitment_Fee*($I93-SUM($J93:EM93)+EM93)*EM$6*(EM12&gt;0)</f>
        <v>-0</v>
      </c>
      <c r="EN98" s="47" t="n">
        <f aca="false">-In_Commitment_Fee*($I93-SUM($J93:EN93)+EN93)*EN$6*(EN12&gt;0)</f>
        <v>-0</v>
      </c>
      <c r="EO98" s="47" t="n">
        <f aca="false">-In_Commitment_Fee*($I93-SUM($J93:EO93)+EO93)*EO$6*(EO12&gt;0)</f>
        <v>-0</v>
      </c>
    </row>
    <row r="99" customFormat="false" ht="15" hidden="false" customHeight="false" outlineLevel="0" collapsed="false">
      <c r="C99" s="0" t="s">
        <v>462</v>
      </c>
      <c r="D99" s="11" t="s">
        <v>33</v>
      </c>
      <c r="E99" s="47" t="n">
        <f aca="false">-SUMIFS($J91:$EO91,$J$4:$EO$4,"&gt;"&amp;In_COD,$J$4:$EO$4,"&lt;="&amp;EDATE(In_COD,In_DSRA_Months))</f>
        <v>1227.24694940336</v>
      </c>
      <c r="I99" s="47" t="n">
        <f aca="false">SUM(J99:EO99)</f>
        <v>0</v>
      </c>
      <c r="J99" s="47" t="n">
        <f aca="false">$E99*(J19-J14)</f>
        <v>0</v>
      </c>
      <c r="K99" s="47" t="n">
        <f aca="false">$E99*(K19-K14)</f>
        <v>0</v>
      </c>
      <c r="L99" s="47" t="n">
        <f aca="false">$E99*(L19-L14)</f>
        <v>0</v>
      </c>
      <c r="M99" s="47" t="n">
        <f aca="false">$E99*(M19-M14)</f>
        <v>0</v>
      </c>
      <c r="N99" s="47" t="n">
        <f aca="false">$E99*(N19-N14)</f>
        <v>0</v>
      </c>
      <c r="O99" s="47" t="n">
        <f aca="false">$E99*(O19-O14)</f>
        <v>0</v>
      </c>
      <c r="P99" s="47" t="n">
        <f aca="false">$E99*(P19-P14)</f>
        <v>0</v>
      </c>
      <c r="Q99" s="47" t="n">
        <f aca="false">$E99*(Q19-Q14)</f>
        <v>0</v>
      </c>
      <c r="R99" s="47" t="n">
        <f aca="false">$E99*(R19-R14)</f>
        <v>0</v>
      </c>
      <c r="S99" s="47" t="n">
        <f aca="false">$E99*(S19-S14)</f>
        <v>0</v>
      </c>
      <c r="T99" s="47" t="n">
        <f aca="false">$E99*(T19-T14)</f>
        <v>0</v>
      </c>
      <c r="U99" s="47" t="n">
        <f aca="false">$E99*(U19-U14)</f>
        <v>0</v>
      </c>
      <c r="V99" s="47" t="n">
        <f aca="false">$E99*(V19-V14)</f>
        <v>0</v>
      </c>
      <c r="W99" s="47" t="n">
        <f aca="false">$E99*(W19-W14)</f>
        <v>0</v>
      </c>
      <c r="X99" s="47" t="n">
        <f aca="false">$E99*(X19-X14)</f>
        <v>0</v>
      </c>
      <c r="Y99" s="47" t="n">
        <f aca="false">$E99*(Y19-Y14)</f>
        <v>-1227.24694940336</v>
      </c>
      <c r="Z99" s="47" t="n">
        <f aca="false">$E99*(Z19-Z14)</f>
        <v>0</v>
      </c>
      <c r="AA99" s="47" t="n">
        <f aca="false">$E99*(AA19-AA14)</f>
        <v>0</v>
      </c>
      <c r="AB99" s="47" t="n">
        <f aca="false">$E99*(AB19-AB14)</f>
        <v>0</v>
      </c>
      <c r="AC99" s="47" t="n">
        <f aca="false">$E99*(AC19-AC14)</f>
        <v>0</v>
      </c>
      <c r="AD99" s="47" t="n">
        <f aca="false">$E99*(AD19-AD14)</f>
        <v>0</v>
      </c>
      <c r="AE99" s="47" t="n">
        <f aca="false">$E99*(AE19-AE14)</f>
        <v>0</v>
      </c>
      <c r="AF99" s="47" t="n">
        <f aca="false">$E99*(AF19-AF14)</f>
        <v>0</v>
      </c>
      <c r="AG99" s="47" t="n">
        <f aca="false">$E99*(AG19-AG14)</f>
        <v>0</v>
      </c>
      <c r="AH99" s="47" t="n">
        <f aca="false">$E99*(AH19-AH14)</f>
        <v>0</v>
      </c>
      <c r="AI99" s="47" t="n">
        <f aca="false">$E99*(AI19-AI14)</f>
        <v>0</v>
      </c>
      <c r="AJ99" s="47" t="n">
        <f aca="false">$E99*(AJ19-AJ14)</f>
        <v>0</v>
      </c>
      <c r="AK99" s="47" t="n">
        <f aca="false">$E99*(AK19-AK14)</f>
        <v>0</v>
      </c>
      <c r="AL99" s="47" t="n">
        <f aca="false">$E99*(AL19-AL14)</f>
        <v>0</v>
      </c>
      <c r="AM99" s="47" t="n">
        <f aca="false">$E99*(AM19-AM14)</f>
        <v>0</v>
      </c>
      <c r="AN99" s="47" t="n">
        <f aca="false">$E99*(AN19-AN14)</f>
        <v>0</v>
      </c>
      <c r="AO99" s="47" t="n">
        <f aca="false">$E99*(AO19-AO14)</f>
        <v>0</v>
      </c>
      <c r="AP99" s="47" t="n">
        <f aca="false">$E99*(AP19-AP14)</f>
        <v>0</v>
      </c>
      <c r="AQ99" s="47" t="n">
        <f aca="false">$E99*(AQ19-AQ14)</f>
        <v>0</v>
      </c>
      <c r="AR99" s="47" t="n">
        <f aca="false">$E99*(AR19-AR14)</f>
        <v>0</v>
      </c>
      <c r="AS99" s="47" t="n">
        <f aca="false">$E99*(AS19-AS14)</f>
        <v>0</v>
      </c>
      <c r="AT99" s="47" t="n">
        <f aca="false">$E99*(AT19-AT14)</f>
        <v>0</v>
      </c>
      <c r="AU99" s="47" t="n">
        <f aca="false">$E99*(AU19-AU14)</f>
        <v>0</v>
      </c>
      <c r="AV99" s="47" t="n">
        <f aca="false">$E99*(AV19-AV14)</f>
        <v>0</v>
      </c>
      <c r="AW99" s="47" t="n">
        <f aca="false">$E99*(AW19-AW14)</f>
        <v>0</v>
      </c>
      <c r="AX99" s="47" t="n">
        <f aca="false">$E99*(AX19-AX14)</f>
        <v>0</v>
      </c>
      <c r="AY99" s="47" t="n">
        <f aca="false">$E99*(AY19-AY14)</f>
        <v>0</v>
      </c>
      <c r="AZ99" s="47" t="n">
        <f aca="false">$E99*(AZ19-AZ14)</f>
        <v>0</v>
      </c>
      <c r="BA99" s="47" t="n">
        <f aca="false">$E99*(BA19-BA14)</f>
        <v>0</v>
      </c>
      <c r="BB99" s="47" t="n">
        <f aca="false">$E99*(BB19-BB14)</f>
        <v>0</v>
      </c>
      <c r="BC99" s="47" t="n">
        <f aca="false">$E99*(BC19-BC14)</f>
        <v>0</v>
      </c>
      <c r="BD99" s="47" t="n">
        <f aca="false">$E99*(BD19-BD14)</f>
        <v>0</v>
      </c>
      <c r="BE99" s="47" t="n">
        <f aca="false">$E99*(BE19-BE14)</f>
        <v>0</v>
      </c>
      <c r="BF99" s="47" t="n">
        <f aca="false">$E99*(BF19-BF14)</f>
        <v>0</v>
      </c>
      <c r="BG99" s="47" t="n">
        <f aca="false">$E99*(BG19-BG14)</f>
        <v>0</v>
      </c>
      <c r="BH99" s="47" t="n">
        <f aca="false">$E99*(BH19-BH14)</f>
        <v>0</v>
      </c>
      <c r="BI99" s="47" t="n">
        <f aca="false">$E99*(BI19-BI14)</f>
        <v>0</v>
      </c>
      <c r="BJ99" s="47" t="n">
        <f aca="false">$E99*(BJ19-BJ14)</f>
        <v>0</v>
      </c>
      <c r="BK99" s="47" t="n">
        <f aca="false">$E99*(BK19-BK14)</f>
        <v>0</v>
      </c>
      <c r="BL99" s="47" t="n">
        <f aca="false">$E99*(BL19-BL14)</f>
        <v>0</v>
      </c>
      <c r="BM99" s="47" t="n">
        <f aca="false">$E99*(BM19-BM14)</f>
        <v>0</v>
      </c>
      <c r="BN99" s="47" t="n">
        <f aca="false">$E99*(BN19-BN14)</f>
        <v>0</v>
      </c>
      <c r="BO99" s="47" t="n">
        <f aca="false">$E99*(BO19-BO14)</f>
        <v>0</v>
      </c>
      <c r="BP99" s="47" t="n">
        <f aca="false">$E99*(BP19-BP14)</f>
        <v>0</v>
      </c>
      <c r="BQ99" s="47" t="n">
        <f aca="false">$E99*(BQ19-BQ14)</f>
        <v>0</v>
      </c>
      <c r="BR99" s="47" t="n">
        <f aca="false">$E99*(BR19-BR14)</f>
        <v>0</v>
      </c>
      <c r="BS99" s="47" t="n">
        <f aca="false">$E99*(BS19-BS14)</f>
        <v>0</v>
      </c>
      <c r="BT99" s="47" t="n">
        <f aca="false">$E99*(BT19-BT14)</f>
        <v>0</v>
      </c>
      <c r="BU99" s="47" t="n">
        <f aca="false">$E99*(BU19-BU14)</f>
        <v>0</v>
      </c>
      <c r="BV99" s="47" t="n">
        <f aca="false">$E99*(BV19-BV14)</f>
        <v>0</v>
      </c>
      <c r="BW99" s="47" t="n">
        <f aca="false">$E99*(BW19-BW14)</f>
        <v>0</v>
      </c>
      <c r="BX99" s="47" t="n">
        <f aca="false">$E99*(BX19-BX14)</f>
        <v>0</v>
      </c>
      <c r="BY99" s="47" t="n">
        <f aca="false">$E99*(BY19-BY14)</f>
        <v>0</v>
      </c>
      <c r="BZ99" s="47" t="n">
        <f aca="false">$E99*(BZ19-BZ14)</f>
        <v>0</v>
      </c>
      <c r="CA99" s="47" t="n">
        <f aca="false">$E99*(CA19-CA14)</f>
        <v>0</v>
      </c>
      <c r="CB99" s="47" t="n">
        <f aca="false">$E99*(CB19-CB14)</f>
        <v>0</v>
      </c>
      <c r="CC99" s="47" t="n">
        <f aca="false">$E99*(CC19-CC14)</f>
        <v>0</v>
      </c>
      <c r="CD99" s="47" t="n">
        <f aca="false">$E99*(CD19-CD14)</f>
        <v>0</v>
      </c>
      <c r="CE99" s="47" t="n">
        <f aca="false">$E99*(CE19-CE14)</f>
        <v>0</v>
      </c>
      <c r="CF99" s="47" t="n">
        <f aca="false">$E99*(CF19-CF14)</f>
        <v>0</v>
      </c>
      <c r="CG99" s="47" t="n">
        <f aca="false">$E99*(CG19-CG14)</f>
        <v>0</v>
      </c>
      <c r="CH99" s="47" t="n">
        <f aca="false">$E99*(CH19-CH14)</f>
        <v>0</v>
      </c>
      <c r="CI99" s="47" t="n">
        <f aca="false">$E99*(CI19-CI14)</f>
        <v>0</v>
      </c>
      <c r="CJ99" s="47" t="n">
        <f aca="false">$E99*(CJ19-CJ14)</f>
        <v>0</v>
      </c>
      <c r="CK99" s="47" t="n">
        <f aca="false">$E99*(CK19-CK14)</f>
        <v>0</v>
      </c>
      <c r="CL99" s="47" t="n">
        <f aca="false">$E99*(CL19-CL14)</f>
        <v>0</v>
      </c>
      <c r="CM99" s="47" t="n">
        <f aca="false">$E99*(CM19-CM14)</f>
        <v>0</v>
      </c>
      <c r="CN99" s="47" t="n">
        <f aca="false">$E99*(CN19-CN14)</f>
        <v>0</v>
      </c>
      <c r="CO99" s="47" t="n">
        <f aca="false">$E99*(CO19-CO14)</f>
        <v>0</v>
      </c>
      <c r="CP99" s="47" t="n">
        <f aca="false">$E99*(CP19-CP14)</f>
        <v>0</v>
      </c>
      <c r="CQ99" s="47" t="n">
        <f aca="false">$E99*(CQ19-CQ14)</f>
        <v>0</v>
      </c>
      <c r="CR99" s="47" t="n">
        <f aca="false">$E99*(CR19-CR14)</f>
        <v>0</v>
      </c>
      <c r="CS99" s="47" t="n">
        <f aca="false">$E99*(CS19-CS14)</f>
        <v>1227.24694940336</v>
      </c>
      <c r="CT99" s="47" t="n">
        <f aca="false">$E99*(CT19-CT14)</f>
        <v>0</v>
      </c>
      <c r="CU99" s="47" t="n">
        <f aca="false">$E99*(CU19-CU14)</f>
        <v>0</v>
      </c>
      <c r="CV99" s="47" t="n">
        <f aca="false">$E99*(CV19-CV14)</f>
        <v>0</v>
      </c>
      <c r="CW99" s="47" t="n">
        <f aca="false">$E99*(CW19-CW14)</f>
        <v>0</v>
      </c>
      <c r="CX99" s="47" t="n">
        <f aca="false">$E99*(CX19-CX14)</f>
        <v>0</v>
      </c>
      <c r="CY99" s="47" t="n">
        <f aca="false">$E99*(CY19-CY14)</f>
        <v>0</v>
      </c>
      <c r="CZ99" s="47" t="n">
        <f aca="false">$E99*(CZ19-CZ14)</f>
        <v>0</v>
      </c>
      <c r="DA99" s="47" t="n">
        <f aca="false">$E99*(DA19-DA14)</f>
        <v>0</v>
      </c>
      <c r="DB99" s="47" t="n">
        <f aca="false">$E99*(DB19-DB14)</f>
        <v>0</v>
      </c>
      <c r="DC99" s="47" t="n">
        <f aca="false">$E99*(DC19-DC14)</f>
        <v>0</v>
      </c>
      <c r="DD99" s="47" t="n">
        <f aca="false">$E99*(DD19-DD14)</f>
        <v>0</v>
      </c>
      <c r="DE99" s="47" t="n">
        <f aca="false">$E99*(DE19-DE14)</f>
        <v>0</v>
      </c>
      <c r="DF99" s="47" t="n">
        <f aca="false">$E99*(DF19-DF14)</f>
        <v>0</v>
      </c>
      <c r="DG99" s="47" t="n">
        <f aca="false">$E99*(DG19-DG14)</f>
        <v>0</v>
      </c>
      <c r="DH99" s="47" t="n">
        <f aca="false">$E99*(DH19-DH14)</f>
        <v>0</v>
      </c>
      <c r="DI99" s="47" t="n">
        <f aca="false">$E99*(DI19-DI14)</f>
        <v>0</v>
      </c>
      <c r="DJ99" s="47" t="n">
        <f aca="false">$E99*(DJ19-DJ14)</f>
        <v>0</v>
      </c>
      <c r="DK99" s="47" t="n">
        <f aca="false">$E99*(DK19-DK14)</f>
        <v>0</v>
      </c>
      <c r="DL99" s="47" t="n">
        <f aca="false">$E99*(DL19-DL14)</f>
        <v>0</v>
      </c>
      <c r="DM99" s="47" t="n">
        <f aca="false">$E99*(DM19-DM14)</f>
        <v>0</v>
      </c>
      <c r="DN99" s="47" t="n">
        <f aca="false">$E99*(DN19-DN14)</f>
        <v>0</v>
      </c>
      <c r="DO99" s="47" t="n">
        <f aca="false">$E99*(DO19-DO14)</f>
        <v>0</v>
      </c>
      <c r="DP99" s="47" t="n">
        <f aca="false">$E99*(DP19-DP14)</f>
        <v>0</v>
      </c>
      <c r="DQ99" s="47" t="n">
        <f aca="false">$E99*(DQ19-DQ14)</f>
        <v>0</v>
      </c>
      <c r="DR99" s="47" t="n">
        <f aca="false">$E99*(DR19-DR14)</f>
        <v>0</v>
      </c>
      <c r="DS99" s="47" t="n">
        <f aca="false">$E99*(DS19-DS14)</f>
        <v>0</v>
      </c>
      <c r="DT99" s="47" t="n">
        <f aca="false">$E99*(DT19-DT14)</f>
        <v>0</v>
      </c>
      <c r="DU99" s="47" t="n">
        <f aca="false">$E99*(DU19-DU14)</f>
        <v>0</v>
      </c>
      <c r="DV99" s="47" t="n">
        <f aca="false">$E99*(DV19-DV14)</f>
        <v>0</v>
      </c>
      <c r="DW99" s="47" t="n">
        <f aca="false">$E99*(DW19-DW14)</f>
        <v>0</v>
      </c>
      <c r="DX99" s="47" t="n">
        <f aca="false">$E99*(DX19-DX14)</f>
        <v>0</v>
      </c>
      <c r="DY99" s="47" t="n">
        <f aca="false">$E99*(DY19-DY14)</f>
        <v>0</v>
      </c>
      <c r="DZ99" s="47" t="n">
        <f aca="false">$E99*(DZ19-DZ14)</f>
        <v>0</v>
      </c>
      <c r="EA99" s="47" t="n">
        <f aca="false">$E99*(EA19-EA14)</f>
        <v>0</v>
      </c>
      <c r="EB99" s="47" t="n">
        <f aca="false">$E99*(EB19-EB14)</f>
        <v>0</v>
      </c>
      <c r="EC99" s="47" t="n">
        <f aca="false">$E99*(EC19-EC14)</f>
        <v>0</v>
      </c>
      <c r="ED99" s="47" t="n">
        <f aca="false">$E99*(ED19-ED14)</f>
        <v>0</v>
      </c>
      <c r="EE99" s="47" t="n">
        <f aca="false">$E99*(EE19-EE14)</f>
        <v>0</v>
      </c>
      <c r="EF99" s="47" t="n">
        <f aca="false">$E99*(EF19-EF14)</f>
        <v>0</v>
      </c>
      <c r="EG99" s="47" t="n">
        <f aca="false">$E99*(EG19-EG14)</f>
        <v>0</v>
      </c>
      <c r="EH99" s="47" t="n">
        <f aca="false">$E99*(EH19-EH14)</f>
        <v>0</v>
      </c>
      <c r="EI99" s="47" t="n">
        <f aca="false">$E99*(EI19-EI14)</f>
        <v>0</v>
      </c>
      <c r="EJ99" s="47" t="n">
        <f aca="false">$E99*(EJ19-EJ14)</f>
        <v>0</v>
      </c>
      <c r="EK99" s="47" t="n">
        <f aca="false">$E99*(EK19-EK14)</f>
        <v>0</v>
      </c>
      <c r="EL99" s="47" t="n">
        <f aca="false">$E99*(EL19-EL14)</f>
        <v>0</v>
      </c>
      <c r="EM99" s="47" t="n">
        <f aca="false">$E99*(EM19-EM14)</f>
        <v>0</v>
      </c>
      <c r="EN99" s="47" t="n">
        <f aca="false">$E99*(EN19-EN14)</f>
        <v>0</v>
      </c>
      <c r="EO99" s="47" t="n">
        <f aca="false">$E99*(EO19-EO14)</f>
        <v>0</v>
      </c>
    </row>
    <row r="100" customFormat="false" ht="15" hidden="false" customHeight="false" outlineLevel="0" collapsed="false">
      <c r="C100" s="0" t="s">
        <v>463</v>
      </c>
      <c r="D100" s="11" t="s">
        <v>13</v>
      </c>
      <c r="E100" s="52" t="n">
        <f aca="false">MIN($J100:$EO100)</f>
        <v>1.90833454824417</v>
      </c>
      <c r="J100" s="52" t="str">
        <f aca="false">IF(J91&lt;0,J84/-J91,"")</f>
        <v/>
      </c>
      <c r="K100" s="52" t="str">
        <f aca="false">IF(K91&lt;0,K84/-K91,"")</f>
        <v/>
      </c>
      <c r="L100" s="52" t="str">
        <f aca="false">IF(L91&lt;0,L84/-L91,"")</f>
        <v/>
      </c>
      <c r="M100" s="52" t="str">
        <f aca="false">IF(M91&lt;0,M84/-M91,"")</f>
        <v/>
      </c>
      <c r="N100" s="52" t="str">
        <f aca="false">IF(N91&lt;0,N84/-N91,"")</f>
        <v/>
      </c>
      <c r="O100" s="52" t="str">
        <f aca="false">IF(O91&lt;0,O84/-O91,"")</f>
        <v/>
      </c>
      <c r="P100" s="52" t="str">
        <f aca="false">IF(P91&lt;0,P84/-P91,"")</f>
        <v/>
      </c>
      <c r="Q100" s="52" t="str">
        <f aca="false">IF(Q91&lt;0,Q84/-Q91,"")</f>
        <v/>
      </c>
      <c r="R100" s="52" t="str">
        <f aca="false">IF(R91&lt;0,R84/-R91,"")</f>
        <v/>
      </c>
      <c r="S100" s="52" t="str">
        <f aca="false">IF(S91&lt;0,S84/-S91,"")</f>
        <v/>
      </c>
      <c r="T100" s="52" t="str">
        <f aca="false">IF(T91&lt;0,T84/-T91,"")</f>
        <v/>
      </c>
      <c r="U100" s="52" t="str">
        <f aca="false">IF(U91&lt;0,U84/-U91,"")</f>
        <v/>
      </c>
      <c r="V100" s="52" t="str">
        <f aca="false">IF(V91&lt;0,V84/-V91,"")</f>
        <v/>
      </c>
      <c r="W100" s="52" t="str">
        <f aca="false">IF(W91&lt;0,W84/-W91,"")</f>
        <v/>
      </c>
      <c r="X100" s="52" t="str">
        <f aca="false">IF(X91&lt;0,X84/-X91,"")</f>
        <v/>
      </c>
      <c r="Y100" s="52" t="str">
        <f aca="false">IF(Y91&lt;0,Y84/-Y91,"")</f>
        <v/>
      </c>
      <c r="Z100" s="52" t="n">
        <f aca="false">IF(Z91&lt;0,Z84/-Z91,"")</f>
        <v>1.90833454824417</v>
      </c>
      <c r="AA100" s="52" t="n">
        <f aca="false">IF(AA91&lt;0,AA84/-AA91,"")</f>
        <v>1.90833454824417</v>
      </c>
      <c r="AB100" s="52" t="n">
        <f aca="false">IF(AB91&lt;0,AB84/-AB91,"")</f>
        <v>1.90833454824417</v>
      </c>
      <c r="AC100" s="52" t="n">
        <f aca="false">IF(AC91&lt;0,AC84/-AC91,"")</f>
        <v>1.90833454824417</v>
      </c>
      <c r="AD100" s="52" t="n">
        <f aca="false">IF(AD91&lt;0,AD84/-AD91,"")</f>
        <v>1.90833454824417</v>
      </c>
      <c r="AE100" s="52" t="n">
        <f aca="false">IF(AE91&lt;0,AE84/-AE91,"")</f>
        <v>1.90833454824417</v>
      </c>
      <c r="AF100" s="52" t="n">
        <f aca="false">IF(AF91&lt;0,AF84/-AF91,"")</f>
        <v>1.90833454824417</v>
      </c>
      <c r="AG100" s="52" t="n">
        <f aca="false">IF(AG91&lt;0,AG84/-AG91,"")</f>
        <v>1.90833454824417</v>
      </c>
      <c r="AH100" s="52" t="n">
        <f aca="false">IF(AH91&lt;0,AH84/-AH91,"")</f>
        <v>1.90833454824417</v>
      </c>
      <c r="AI100" s="52" t="n">
        <f aca="false">IF(AI91&lt;0,AI84/-AI91,"")</f>
        <v>1.90833454824417</v>
      </c>
      <c r="AJ100" s="52" t="n">
        <f aca="false">IF(AJ91&lt;0,AJ84/-AJ91,"")</f>
        <v>1.90833454824417</v>
      </c>
      <c r="AK100" s="52" t="n">
        <f aca="false">IF(AK91&lt;0,AK84/-AK91,"")</f>
        <v>1.90833454824417</v>
      </c>
      <c r="AL100" s="52" t="n">
        <f aca="false">IF(AL91&lt;0,AL84/-AL91,"")</f>
        <v>1.90833454824417</v>
      </c>
      <c r="AM100" s="52" t="n">
        <f aca="false">IF(AM91&lt;0,AM84/-AM91,"")</f>
        <v>1.90833454824417</v>
      </c>
      <c r="AN100" s="52" t="n">
        <f aca="false">IF(AN91&lt;0,AN84/-AN91,"")</f>
        <v>1.90833454824417</v>
      </c>
      <c r="AO100" s="52" t="n">
        <f aca="false">IF(AO91&lt;0,AO84/-AO91,"")</f>
        <v>1.90833454824417</v>
      </c>
      <c r="AP100" s="52" t="n">
        <f aca="false">IF(AP91&lt;0,AP84/-AP91,"")</f>
        <v>1.90833454824417</v>
      </c>
      <c r="AQ100" s="52" t="n">
        <f aca="false">IF(AQ91&lt;0,AQ84/-AQ91,"")</f>
        <v>1.90833454824417</v>
      </c>
      <c r="AR100" s="52" t="n">
        <f aca="false">IF(AR91&lt;0,AR84/-AR91,"")</f>
        <v>1.90833454824417</v>
      </c>
      <c r="AS100" s="52" t="n">
        <f aca="false">IF(AS91&lt;0,AS84/-AS91,"")</f>
        <v>1.90833454824417</v>
      </c>
      <c r="AT100" s="52" t="n">
        <f aca="false">IF(AT91&lt;0,AT84/-AT91,"")</f>
        <v>1.90833454824417</v>
      </c>
      <c r="AU100" s="52" t="n">
        <f aca="false">IF(AU91&lt;0,AU84/-AU91,"")</f>
        <v>1.90833454824417</v>
      </c>
      <c r="AV100" s="52" t="n">
        <f aca="false">IF(AV91&lt;0,AV84/-AV91,"")</f>
        <v>1.90833454824417</v>
      </c>
      <c r="AW100" s="52" t="n">
        <f aca="false">IF(AW91&lt;0,AW84/-AW91,"")</f>
        <v>1.90833454824417</v>
      </c>
      <c r="AX100" s="52" t="n">
        <f aca="false">IF(AX91&lt;0,AX84/-AX91,"")</f>
        <v>1.90833454824417</v>
      </c>
      <c r="AY100" s="52" t="n">
        <f aca="false">IF(AY91&lt;0,AY84/-AY91,"")</f>
        <v>1.90833454824417</v>
      </c>
      <c r="AZ100" s="52" t="n">
        <f aca="false">IF(AZ91&lt;0,AZ84/-AZ91,"")</f>
        <v>1.90833454824417</v>
      </c>
      <c r="BA100" s="52" t="n">
        <f aca="false">IF(BA91&lt;0,BA84/-BA91,"")</f>
        <v>1.90833454824417</v>
      </c>
      <c r="BB100" s="52" t="n">
        <f aca="false">IF(BB91&lt;0,BB84/-BB91,"")</f>
        <v>1.90833454824417</v>
      </c>
      <c r="BC100" s="52" t="n">
        <f aca="false">IF(BC91&lt;0,BC84/-BC91,"")</f>
        <v>1.90833454824417</v>
      </c>
      <c r="BD100" s="52" t="n">
        <f aca="false">IF(BD91&lt;0,BD84/-BD91,"")</f>
        <v>1.90833454824417</v>
      </c>
      <c r="BE100" s="52" t="n">
        <f aca="false">IF(BE91&lt;0,BE84/-BE91,"")</f>
        <v>1.90833454824417</v>
      </c>
      <c r="BF100" s="52" t="n">
        <f aca="false">IF(BF91&lt;0,BF84/-BF91,"")</f>
        <v>1.90833454824417</v>
      </c>
      <c r="BG100" s="52" t="n">
        <f aca="false">IF(BG91&lt;0,BG84/-BG91,"")</f>
        <v>1.90833454824417</v>
      </c>
      <c r="BH100" s="52" t="n">
        <f aca="false">IF(BH91&lt;0,BH84/-BH91,"")</f>
        <v>1.90833454824417</v>
      </c>
      <c r="BI100" s="52" t="n">
        <f aca="false">IF(BI91&lt;0,BI84/-BI91,"")</f>
        <v>1.90833454824417</v>
      </c>
      <c r="BJ100" s="52" t="n">
        <f aca="false">IF(BJ91&lt;0,BJ84/-BJ91,"")</f>
        <v>1.90833454824417</v>
      </c>
      <c r="BK100" s="52" t="n">
        <f aca="false">IF(BK91&lt;0,BK84/-BK91,"")</f>
        <v>1.90833454824417</v>
      </c>
      <c r="BL100" s="52" t="n">
        <f aca="false">IF(BL91&lt;0,BL84/-BL91,"")</f>
        <v>1.90833454824417</v>
      </c>
      <c r="BM100" s="52" t="n">
        <f aca="false">IF(BM91&lt;0,BM84/-BM91,"")</f>
        <v>1.90833454824417</v>
      </c>
      <c r="BN100" s="52" t="n">
        <f aca="false">IF(BN91&lt;0,BN84/-BN91,"")</f>
        <v>1.90833454824417</v>
      </c>
      <c r="BO100" s="52" t="n">
        <f aca="false">IF(BO91&lt;0,BO84/-BO91,"")</f>
        <v>1.90833454824417</v>
      </c>
      <c r="BP100" s="52" t="n">
        <f aca="false">IF(BP91&lt;0,BP84/-BP91,"")</f>
        <v>1.90833454824417</v>
      </c>
      <c r="BQ100" s="52" t="n">
        <f aca="false">IF(BQ91&lt;0,BQ84/-BQ91,"")</f>
        <v>1.90833454824417</v>
      </c>
      <c r="BR100" s="52" t="n">
        <f aca="false">IF(BR91&lt;0,BR84/-BR91,"")</f>
        <v>1.90833454824417</v>
      </c>
      <c r="BS100" s="52" t="n">
        <f aca="false">IF(BS91&lt;0,BS84/-BS91,"")</f>
        <v>1.90833454824417</v>
      </c>
      <c r="BT100" s="52" t="n">
        <f aca="false">IF(BT91&lt;0,BT84/-BT91,"")</f>
        <v>1.90833454824417</v>
      </c>
      <c r="BU100" s="52" t="n">
        <f aca="false">IF(BU91&lt;0,BU84/-BU91,"")</f>
        <v>1.90833454824417</v>
      </c>
      <c r="BV100" s="52" t="n">
        <f aca="false">IF(BV91&lt;0,BV84/-BV91,"")</f>
        <v>1.90833454824417</v>
      </c>
      <c r="BW100" s="52" t="n">
        <f aca="false">IF(BW91&lt;0,BW84/-BW91,"")</f>
        <v>1.90833454824417</v>
      </c>
      <c r="BX100" s="52" t="n">
        <f aca="false">IF(BX91&lt;0,BX84/-BX91,"")</f>
        <v>1.90833454824417</v>
      </c>
      <c r="BY100" s="52" t="n">
        <f aca="false">IF(BY91&lt;0,BY84/-BY91,"")</f>
        <v>1.90833454824417</v>
      </c>
      <c r="BZ100" s="52" t="n">
        <f aca="false">IF(BZ91&lt;0,BZ84/-BZ91,"")</f>
        <v>1.90833454824417</v>
      </c>
      <c r="CA100" s="52" t="n">
        <f aca="false">IF(CA91&lt;0,CA84/-CA91,"")</f>
        <v>1.90833454824417</v>
      </c>
      <c r="CB100" s="52" t="n">
        <f aca="false">IF(CB91&lt;0,CB84/-CB91,"")</f>
        <v>1.90833454824417</v>
      </c>
      <c r="CC100" s="52" t="n">
        <f aca="false">IF(CC91&lt;0,CC84/-CC91,"")</f>
        <v>1.90833454824417</v>
      </c>
      <c r="CD100" s="52" t="n">
        <f aca="false">IF(CD91&lt;0,CD84/-CD91,"")</f>
        <v>1.90833454824417</v>
      </c>
      <c r="CE100" s="52" t="n">
        <f aca="false">IF(CE91&lt;0,CE84/-CE91,"")</f>
        <v>1.90833454824417</v>
      </c>
      <c r="CF100" s="52" t="n">
        <f aca="false">IF(CF91&lt;0,CF84/-CF91,"")</f>
        <v>1.90833454824417</v>
      </c>
      <c r="CG100" s="52" t="n">
        <f aca="false">IF(CG91&lt;0,CG84/-CG91,"")</f>
        <v>1.90833454824417</v>
      </c>
      <c r="CH100" s="52" t="n">
        <f aca="false">IF(CH91&lt;0,CH84/-CH91,"")</f>
        <v>1.90833454824417</v>
      </c>
      <c r="CI100" s="52" t="n">
        <f aca="false">IF(CI91&lt;0,CI84/-CI91,"")</f>
        <v>1.90833454824417</v>
      </c>
      <c r="CJ100" s="52" t="n">
        <f aca="false">IF(CJ91&lt;0,CJ84/-CJ91,"")</f>
        <v>1.90833454824417</v>
      </c>
      <c r="CK100" s="52" t="n">
        <f aca="false">IF(CK91&lt;0,CK84/-CK91,"")</f>
        <v>1.90833454824417</v>
      </c>
      <c r="CL100" s="52" t="n">
        <f aca="false">IF(CL91&lt;0,CL84/-CL91,"")</f>
        <v>1.90833454824417</v>
      </c>
      <c r="CM100" s="52" t="n">
        <f aca="false">IF(CM91&lt;0,CM84/-CM91,"")</f>
        <v>1.90833454824417</v>
      </c>
      <c r="CN100" s="52" t="n">
        <f aca="false">IF(CN91&lt;0,CN84/-CN91,"")</f>
        <v>1.90833454824417</v>
      </c>
      <c r="CO100" s="52" t="n">
        <f aca="false">IF(CO91&lt;0,CO84/-CO91,"")</f>
        <v>1.90833454824417</v>
      </c>
      <c r="CP100" s="52" t="n">
        <f aca="false">IF(CP91&lt;0,CP84/-CP91,"")</f>
        <v>1.90833454824417</v>
      </c>
      <c r="CQ100" s="52" t="n">
        <f aca="false">IF(CQ91&lt;0,CQ84/-CQ91,"")</f>
        <v>1.90833454824417</v>
      </c>
      <c r="CR100" s="52" t="n">
        <f aca="false">IF(CR91&lt;0,CR84/-CR91,"")</f>
        <v>1.90833454824417</v>
      </c>
      <c r="CS100" s="52" t="n">
        <f aca="false">IF(CS91&lt;0,CS84/-CS91,"")</f>
        <v>1.90833454824417</v>
      </c>
      <c r="CT100" s="52" t="str">
        <f aca="false">IF(CT91&lt;0,CT84/-CT91,"")</f>
        <v/>
      </c>
      <c r="CU100" s="52" t="str">
        <f aca="false">IF(CU91&lt;0,CU84/-CU91,"")</f>
        <v/>
      </c>
      <c r="CV100" s="52" t="str">
        <f aca="false">IF(CV91&lt;0,CV84/-CV91,"")</f>
        <v/>
      </c>
      <c r="CW100" s="52" t="str">
        <f aca="false">IF(CW91&lt;0,CW84/-CW91,"")</f>
        <v/>
      </c>
      <c r="CX100" s="52" t="str">
        <f aca="false">IF(CX91&lt;0,CX84/-CX91,"")</f>
        <v/>
      </c>
      <c r="CY100" s="52" t="str">
        <f aca="false">IF(CY91&lt;0,CY84/-CY91,"")</f>
        <v/>
      </c>
      <c r="CZ100" s="52" t="str">
        <f aca="false">IF(CZ91&lt;0,CZ84/-CZ91,"")</f>
        <v/>
      </c>
      <c r="DA100" s="52" t="str">
        <f aca="false">IF(DA91&lt;0,DA84/-DA91,"")</f>
        <v/>
      </c>
      <c r="DB100" s="52" t="str">
        <f aca="false">IF(DB91&lt;0,DB84/-DB91,"")</f>
        <v/>
      </c>
      <c r="DC100" s="52" t="str">
        <f aca="false">IF(DC91&lt;0,DC84/-DC91,"")</f>
        <v/>
      </c>
      <c r="DD100" s="52" t="str">
        <f aca="false">IF(DD91&lt;0,DD84/-DD91,"")</f>
        <v/>
      </c>
      <c r="DE100" s="52" t="str">
        <f aca="false">IF(DE91&lt;0,DE84/-DE91,"")</f>
        <v/>
      </c>
      <c r="DF100" s="52" t="str">
        <f aca="false">IF(DF91&lt;0,DF84/-DF91,"")</f>
        <v/>
      </c>
      <c r="DG100" s="52" t="str">
        <f aca="false">IF(DG91&lt;0,DG84/-DG91,"")</f>
        <v/>
      </c>
      <c r="DH100" s="52" t="str">
        <f aca="false">IF(DH91&lt;0,DH84/-DH91,"")</f>
        <v/>
      </c>
      <c r="DI100" s="52" t="str">
        <f aca="false">IF(DI91&lt;0,DI84/-DI91,"")</f>
        <v/>
      </c>
      <c r="DJ100" s="52" t="str">
        <f aca="false">IF(DJ91&lt;0,DJ84/-DJ91,"")</f>
        <v/>
      </c>
      <c r="DK100" s="52" t="str">
        <f aca="false">IF(DK91&lt;0,DK84/-DK91,"")</f>
        <v/>
      </c>
      <c r="DL100" s="52" t="str">
        <f aca="false">IF(DL91&lt;0,DL84/-DL91,"")</f>
        <v/>
      </c>
      <c r="DM100" s="52" t="str">
        <f aca="false">IF(DM91&lt;0,DM84/-DM91,"")</f>
        <v/>
      </c>
      <c r="DN100" s="52" t="str">
        <f aca="false">IF(DN91&lt;0,DN84/-DN91,"")</f>
        <v/>
      </c>
      <c r="DO100" s="52" t="str">
        <f aca="false">IF(DO91&lt;0,DO84/-DO91,"")</f>
        <v/>
      </c>
      <c r="DP100" s="52" t="str">
        <f aca="false">IF(DP91&lt;0,DP84/-DP91,"")</f>
        <v/>
      </c>
      <c r="DQ100" s="52" t="str">
        <f aca="false">IF(DQ91&lt;0,DQ84/-DQ91,"")</f>
        <v/>
      </c>
      <c r="DR100" s="52" t="str">
        <f aca="false">IF(DR91&lt;0,DR84/-DR91,"")</f>
        <v/>
      </c>
      <c r="DS100" s="52" t="str">
        <f aca="false">IF(DS91&lt;0,DS84/-DS91,"")</f>
        <v/>
      </c>
      <c r="DT100" s="52" t="str">
        <f aca="false">IF(DT91&lt;0,DT84/-DT91,"")</f>
        <v/>
      </c>
      <c r="DU100" s="52" t="str">
        <f aca="false">IF(DU91&lt;0,DU84/-DU91,"")</f>
        <v/>
      </c>
      <c r="DV100" s="52" t="str">
        <f aca="false">IF(DV91&lt;0,DV84/-DV91,"")</f>
        <v/>
      </c>
      <c r="DW100" s="52" t="str">
        <f aca="false">IF(DW91&lt;0,DW84/-DW91,"")</f>
        <v/>
      </c>
      <c r="DX100" s="52" t="str">
        <f aca="false">IF(DX91&lt;0,DX84/-DX91,"")</f>
        <v/>
      </c>
      <c r="DY100" s="52" t="str">
        <f aca="false">IF(DY91&lt;0,DY84/-DY91,"")</f>
        <v/>
      </c>
      <c r="DZ100" s="52" t="str">
        <f aca="false">IF(DZ91&lt;0,DZ84/-DZ91,"")</f>
        <v/>
      </c>
      <c r="EA100" s="52" t="str">
        <f aca="false">IF(EA91&lt;0,EA84/-EA91,"")</f>
        <v/>
      </c>
      <c r="EB100" s="52" t="str">
        <f aca="false">IF(EB91&lt;0,EB84/-EB91,"")</f>
        <v/>
      </c>
      <c r="EC100" s="52" t="str">
        <f aca="false">IF(EC91&lt;0,EC84/-EC91,"")</f>
        <v/>
      </c>
      <c r="ED100" s="52" t="str">
        <f aca="false">IF(ED91&lt;0,ED84/-ED91,"")</f>
        <v/>
      </c>
      <c r="EE100" s="52" t="str">
        <f aca="false">IF(EE91&lt;0,EE84/-EE91,"")</f>
        <v/>
      </c>
      <c r="EF100" s="52" t="str">
        <f aca="false">IF(EF91&lt;0,EF84/-EF91,"")</f>
        <v/>
      </c>
      <c r="EG100" s="52" t="str">
        <f aca="false">IF(EG91&lt;0,EG84/-EG91,"")</f>
        <v/>
      </c>
      <c r="EH100" s="52" t="str">
        <f aca="false">IF(EH91&lt;0,EH84/-EH91,"")</f>
        <v/>
      </c>
      <c r="EI100" s="52" t="str">
        <f aca="false">IF(EI91&lt;0,EI84/-EI91,"")</f>
        <v/>
      </c>
      <c r="EJ100" s="52" t="str">
        <f aca="false">IF(EJ91&lt;0,EJ84/-EJ91,"")</f>
        <v/>
      </c>
      <c r="EK100" s="52" t="str">
        <f aca="false">IF(EK91&lt;0,EK84/-EK91,"")</f>
        <v/>
      </c>
      <c r="EL100" s="52" t="str">
        <f aca="false">IF(EL91&lt;0,EL84/-EL91,"")</f>
        <v/>
      </c>
      <c r="EM100" s="52" t="str">
        <f aca="false">IF(EM91&lt;0,EM84/-EM91,"")</f>
        <v/>
      </c>
      <c r="EN100" s="52" t="str">
        <f aca="false">IF(EN91&lt;0,EN84/-EN91,"")</f>
        <v/>
      </c>
      <c r="EO100" s="52" t="str">
        <f aca="false">IF(EO91&lt;0,EO84/-EO91,"")</f>
        <v/>
      </c>
    </row>
    <row r="102" customFormat="false" ht="15" hidden="false" customHeight="false" outlineLevel="0" collapsed="false">
      <c r="A102" s="9" t="s">
        <v>13</v>
      </c>
      <c r="B102" s="9"/>
      <c r="C102" s="9" t="s">
        <v>464</v>
      </c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</row>
    <row r="103" customFormat="false" ht="15" hidden="false" customHeight="false" outlineLevel="0" collapsed="false">
      <c r="C103" s="0" t="s">
        <v>465</v>
      </c>
      <c r="D103" s="11" t="s">
        <v>33</v>
      </c>
      <c r="E103" s="47" t="n">
        <f aca="false">$I94-($I65+$I55+$I66+$I52+$I45+$I46+$I47)</f>
        <v>109360.831297296</v>
      </c>
      <c r="I103" s="47" t="n">
        <f aca="false">SUM(J103:EO103)</f>
        <v>-109360.831297296</v>
      </c>
      <c r="J103" s="47" t="n">
        <f aca="false">-$E103*J20</f>
        <v>-0</v>
      </c>
      <c r="K103" s="47" t="n">
        <f aca="false">-$E103*K20</f>
        <v>-0</v>
      </c>
      <c r="L103" s="47" t="n">
        <f aca="false">-$E103*L20</f>
        <v>-0</v>
      </c>
      <c r="M103" s="47" t="n">
        <f aca="false">-$E103*M20</f>
        <v>-0</v>
      </c>
      <c r="N103" s="47" t="n">
        <f aca="false">-$E103*N20</f>
        <v>-0</v>
      </c>
      <c r="O103" s="47" t="n">
        <f aca="false">-$E103*O20</f>
        <v>-0</v>
      </c>
      <c r="P103" s="47" t="n">
        <f aca="false">-$E103*P20</f>
        <v>-0</v>
      </c>
      <c r="Q103" s="47" t="n">
        <f aca="false">-$E103*Q20</f>
        <v>-0</v>
      </c>
      <c r="R103" s="47" t="n">
        <f aca="false">-$E103*R20</f>
        <v>-0</v>
      </c>
      <c r="S103" s="47" t="n">
        <f aca="false">-$E103*S20</f>
        <v>-0</v>
      </c>
      <c r="T103" s="47" t="n">
        <f aca="false">-$E103*T20</f>
        <v>-0</v>
      </c>
      <c r="U103" s="47" t="n">
        <f aca="false">-$E103*U20</f>
        <v>-0</v>
      </c>
      <c r="V103" s="47" t="n">
        <f aca="false">-$E103*V20</f>
        <v>-0</v>
      </c>
      <c r="W103" s="47" t="n">
        <f aca="false">-$E103*W20</f>
        <v>-0</v>
      </c>
      <c r="X103" s="47" t="n">
        <f aca="false">-$E103*X20</f>
        <v>-0</v>
      </c>
      <c r="Y103" s="47" t="n">
        <f aca="false">-$E103*Y20</f>
        <v>-0</v>
      </c>
      <c r="Z103" s="47" t="n">
        <f aca="false">-$E103*Z20</f>
        <v>-1377.30273502413</v>
      </c>
      <c r="AA103" s="47" t="n">
        <f aca="false">-$E103*AA20</f>
        <v>-1347.36137121925</v>
      </c>
      <c r="AB103" s="47" t="n">
        <f aca="false">-$E103*AB20</f>
        <v>-1362.33205312169</v>
      </c>
      <c r="AC103" s="47" t="n">
        <f aca="false">-$E103*AC20</f>
        <v>-1377.30273502413</v>
      </c>
      <c r="AD103" s="47" t="n">
        <f aca="false">-$E103*AD20</f>
        <v>-1377.30273502413</v>
      </c>
      <c r="AE103" s="47" t="n">
        <f aca="false">-$E103*AE20</f>
        <v>-1362.33205312169</v>
      </c>
      <c r="AF103" s="47" t="n">
        <f aca="false">-$E103*AF20</f>
        <v>-1362.33205312169</v>
      </c>
      <c r="AG103" s="47" t="n">
        <f aca="false">-$E103*AG20</f>
        <v>-1377.30273502413</v>
      </c>
      <c r="AH103" s="47" t="n">
        <f aca="false">-$E103*AH20</f>
        <v>-1377.30273502413</v>
      </c>
      <c r="AI103" s="47" t="n">
        <f aca="false">-$E103*AI20</f>
        <v>-1347.36137121925</v>
      </c>
      <c r="AJ103" s="47" t="n">
        <f aca="false">-$E103*AJ20</f>
        <v>-1362.33205312169</v>
      </c>
      <c r="AK103" s="47" t="n">
        <f aca="false">-$E103*AK20</f>
        <v>-1377.30273502413</v>
      </c>
      <c r="AL103" s="47" t="n">
        <f aca="false">-$E103*AL20</f>
        <v>-1377.30273502413</v>
      </c>
      <c r="AM103" s="47" t="n">
        <f aca="false">-$E103*AM20</f>
        <v>-1347.36137121925</v>
      </c>
      <c r="AN103" s="47" t="n">
        <f aca="false">-$E103*AN20</f>
        <v>-1362.33205312169</v>
      </c>
      <c r="AO103" s="47" t="n">
        <f aca="false">-$E103*AO20</f>
        <v>-1377.30273502413</v>
      </c>
      <c r="AP103" s="47" t="n">
        <f aca="false">-$E103*AP20</f>
        <v>-1377.30273502413</v>
      </c>
      <c r="AQ103" s="47" t="n">
        <f aca="false">-$E103*AQ20</f>
        <v>-1347.36137121925</v>
      </c>
      <c r="AR103" s="47" t="n">
        <f aca="false">-$E103*AR20</f>
        <v>-1362.33205312169</v>
      </c>
      <c r="AS103" s="47" t="n">
        <f aca="false">-$E103*AS20</f>
        <v>-1377.30273502413</v>
      </c>
      <c r="AT103" s="47" t="n">
        <f aca="false">-$E103*AT20</f>
        <v>-1377.30273502413</v>
      </c>
      <c r="AU103" s="47" t="n">
        <f aca="false">-$E103*AU20</f>
        <v>-1362.33205312169</v>
      </c>
      <c r="AV103" s="47" t="n">
        <f aca="false">-$E103*AV20</f>
        <v>-1362.33205312169</v>
      </c>
      <c r="AW103" s="47" t="n">
        <f aca="false">-$E103*AW20</f>
        <v>-1377.30273502413</v>
      </c>
      <c r="AX103" s="47" t="n">
        <f aca="false">-$E103*AX20</f>
        <v>-1377.30273502413</v>
      </c>
      <c r="AY103" s="47" t="n">
        <f aca="false">-$E103*AY20</f>
        <v>-1347.36137121925</v>
      </c>
      <c r="AZ103" s="47" t="n">
        <f aca="false">-$E103*AZ20</f>
        <v>-1362.33205312169</v>
      </c>
      <c r="BA103" s="47" t="n">
        <f aca="false">-$E103*BA20</f>
        <v>-1377.30273502413</v>
      </c>
      <c r="BB103" s="47" t="n">
        <f aca="false">-$E103*BB20</f>
        <v>-1377.30273502413</v>
      </c>
      <c r="BC103" s="47" t="n">
        <f aca="false">-$E103*BC20</f>
        <v>-1347.36137121925</v>
      </c>
      <c r="BD103" s="47" t="n">
        <f aca="false">-$E103*BD20</f>
        <v>-1362.33205312169</v>
      </c>
      <c r="BE103" s="47" t="n">
        <f aca="false">-$E103*BE20</f>
        <v>-1377.30273502413</v>
      </c>
      <c r="BF103" s="47" t="n">
        <f aca="false">-$E103*BF20</f>
        <v>-1377.30273502413</v>
      </c>
      <c r="BG103" s="47" t="n">
        <f aca="false">-$E103*BG20</f>
        <v>-1347.36137121925</v>
      </c>
      <c r="BH103" s="47" t="n">
        <f aca="false">-$E103*BH20</f>
        <v>-1362.33205312169</v>
      </c>
      <c r="BI103" s="47" t="n">
        <f aca="false">-$E103*BI20</f>
        <v>-1377.30273502413</v>
      </c>
      <c r="BJ103" s="47" t="n">
        <f aca="false">-$E103*BJ20</f>
        <v>-1377.30273502413</v>
      </c>
      <c r="BK103" s="47" t="n">
        <f aca="false">-$E103*BK20</f>
        <v>-1362.33205312169</v>
      </c>
      <c r="BL103" s="47" t="n">
        <f aca="false">-$E103*BL20</f>
        <v>-1362.33205312169</v>
      </c>
      <c r="BM103" s="47" t="n">
        <f aca="false">-$E103*BM20</f>
        <v>-1377.30273502413</v>
      </c>
      <c r="BN103" s="47" t="n">
        <f aca="false">-$E103*BN20</f>
        <v>-1377.30273502413</v>
      </c>
      <c r="BO103" s="47" t="n">
        <f aca="false">-$E103*BO20</f>
        <v>-1347.36137121925</v>
      </c>
      <c r="BP103" s="47" t="n">
        <f aca="false">-$E103*BP20</f>
        <v>-1362.33205312169</v>
      </c>
      <c r="BQ103" s="47" t="n">
        <f aca="false">-$E103*BQ20</f>
        <v>-1377.30273502413</v>
      </c>
      <c r="BR103" s="47" t="n">
        <f aca="false">-$E103*BR20</f>
        <v>-1377.30273502413</v>
      </c>
      <c r="BS103" s="47" t="n">
        <f aca="false">-$E103*BS20</f>
        <v>-1347.36137121925</v>
      </c>
      <c r="BT103" s="47" t="n">
        <f aca="false">-$E103*BT20</f>
        <v>-1362.33205312169</v>
      </c>
      <c r="BU103" s="47" t="n">
        <f aca="false">-$E103*BU20</f>
        <v>-1377.30273502413</v>
      </c>
      <c r="BV103" s="47" t="n">
        <f aca="false">-$E103*BV20</f>
        <v>-1377.30273502413</v>
      </c>
      <c r="BW103" s="47" t="n">
        <f aca="false">-$E103*BW20</f>
        <v>-1347.36137121925</v>
      </c>
      <c r="BX103" s="47" t="n">
        <f aca="false">-$E103*BX20</f>
        <v>-1362.33205312169</v>
      </c>
      <c r="BY103" s="47" t="n">
        <f aca="false">-$E103*BY20</f>
        <v>-1377.30273502413</v>
      </c>
      <c r="BZ103" s="47" t="n">
        <f aca="false">-$E103*BZ20</f>
        <v>-1377.30273502413</v>
      </c>
      <c r="CA103" s="47" t="n">
        <f aca="false">-$E103*CA20</f>
        <v>-1362.33205312169</v>
      </c>
      <c r="CB103" s="47" t="n">
        <f aca="false">-$E103*CB20</f>
        <v>-1362.33205312169</v>
      </c>
      <c r="CC103" s="47" t="n">
        <f aca="false">-$E103*CC20</f>
        <v>-1377.30273502413</v>
      </c>
      <c r="CD103" s="47" t="n">
        <f aca="false">-$E103*CD20</f>
        <v>-1377.30273502413</v>
      </c>
      <c r="CE103" s="47" t="n">
        <f aca="false">-$E103*CE20</f>
        <v>-1347.36137121925</v>
      </c>
      <c r="CF103" s="47" t="n">
        <f aca="false">-$E103*CF20</f>
        <v>-1362.33205312169</v>
      </c>
      <c r="CG103" s="47" t="n">
        <f aca="false">-$E103*CG20</f>
        <v>-1377.30273502413</v>
      </c>
      <c r="CH103" s="47" t="n">
        <f aca="false">-$E103*CH20</f>
        <v>-1377.30273502413</v>
      </c>
      <c r="CI103" s="47" t="n">
        <f aca="false">-$E103*CI20</f>
        <v>-1347.36137121925</v>
      </c>
      <c r="CJ103" s="47" t="n">
        <f aca="false">-$E103*CJ20</f>
        <v>-1362.33205312169</v>
      </c>
      <c r="CK103" s="47" t="n">
        <f aca="false">-$E103*CK20</f>
        <v>-1377.30273502413</v>
      </c>
      <c r="CL103" s="47" t="n">
        <f aca="false">-$E103*CL20</f>
        <v>-1377.30273502413</v>
      </c>
      <c r="CM103" s="47" t="n">
        <f aca="false">-$E103*CM20</f>
        <v>-1347.36137121925</v>
      </c>
      <c r="CN103" s="47" t="n">
        <f aca="false">-$E103*CN20</f>
        <v>-1362.33205312169</v>
      </c>
      <c r="CO103" s="47" t="n">
        <f aca="false">-$E103*CO20</f>
        <v>-1377.30273502413</v>
      </c>
      <c r="CP103" s="47" t="n">
        <f aca="false">-$E103*CP20</f>
        <v>-1377.30273502413</v>
      </c>
      <c r="CQ103" s="47" t="n">
        <f aca="false">-$E103*CQ20</f>
        <v>-1362.33205312169</v>
      </c>
      <c r="CR103" s="47" t="n">
        <f aca="false">-$E103*CR20</f>
        <v>-1362.33205312169</v>
      </c>
      <c r="CS103" s="47" t="n">
        <f aca="false">-$E103*CS20</f>
        <v>-1377.30273502413</v>
      </c>
      <c r="CT103" s="47" t="n">
        <f aca="false">-$E103*CT20</f>
        <v>-1377.30273502413</v>
      </c>
      <c r="CU103" s="47" t="n">
        <f aca="false">-$E103*CU20</f>
        <v>-1347.36137121925</v>
      </c>
      <c r="CV103" s="47" t="n">
        <f aca="false">-$E103*CV20</f>
        <v>-1362.33205312169</v>
      </c>
      <c r="CW103" s="47" t="n">
        <f aca="false">-$E103*CW20</f>
        <v>-1377.30273502413</v>
      </c>
      <c r="CX103" s="47" t="n">
        <f aca="false">-$E103*CX20</f>
        <v>-1377.30273502413</v>
      </c>
      <c r="CY103" s="47" t="n">
        <f aca="false">-$E103*CY20</f>
        <v>-1347.36137121925</v>
      </c>
      <c r="CZ103" s="47" t="n">
        <f aca="false">-$E103*CZ20</f>
        <v>-1362.33205312169</v>
      </c>
      <c r="DA103" s="47" t="n">
        <f aca="false">-$E103*DA20</f>
        <v>-1377.30273502413</v>
      </c>
      <c r="DB103" s="47" t="n">
        <f aca="false">-$E103*DB20</f>
        <v>-0</v>
      </c>
      <c r="DC103" s="47" t="n">
        <f aca="false">-$E103*DC20</f>
        <v>-0</v>
      </c>
      <c r="DD103" s="47" t="n">
        <f aca="false">-$E103*DD20</f>
        <v>-0</v>
      </c>
      <c r="DE103" s="47" t="n">
        <f aca="false">-$E103*DE20</f>
        <v>-0</v>
      </c>
      <c r="DF103" s="47" t="n">
        <f aca="false">-$E103*DF20</f>
        <v>-0</v>
      </c>
      <c r="DG103" s="47" t="n">
        <f aca="false">-$E103*DG20</f>
        <v>-0</v>
      </c>
      <c r="DH103" s="47" t="n">
        <f aca="false">-$E103*DH20</f>
        <v>-0</v>
      </c>
      <c r="DI103" s="47" t="n">
        <f aca="false">-$E103*DI20</f>
        <v>-0</v>
      </c>
      <c r="DJ103" s="47" t="n">
        <f aca="false">-$E103*DJ20</f>
        <v>-0</v>
      </c>
      <c r="DK103" s="47" t="n">
        <f aca="false">-$E103*DK20</f>
        <v>-0</v>
      </c>
      <c r="DL103" s="47" t="n">
        <f aca="false">-$E103*DL20</f>
        <v>-0</v>
      </c>
      <c r="DM103" s="47" t="n">
        <f aca="false">-$E103*DM20</f>
        <v>-0</v>
      </c>
      <c r="DN103" s="47" t="n">
        <f aca="false">-$E103*DN20</f>
        <v>-0</v>
      </c>
      <c r="DO103" s="47" t="n">
        <f aca="false">-$E103*DO20</f>
        <v>-0</v>
      </c>
      <c r="DP103" s="47" t="n">
        <f aca="false">-$E103*DP20</f>
        <v>-0</v>
      </c>
      <c r="DQ103" s="47" t="n">
        <f aca="false">-$E103*DQ20</f>
        <v>-0</v>
      </c>
      <c r="DR103" s="47" t="n">
        <f aca="false">-$E103*DR20</f>
        <v>-0</v>
      </c>
      <c r="DS103" s="47" t="n">
        <f aca="false">-$E103*DS20</f>
        <v>-0</v>
      </c>
      <c r="DT103" s="47" t="n">
        <f aca="false">-$E103*DT20</f>
        <v>-0</v>
      </c>
      <c r="DU103" s="47" t="n">
        <f aca="false">-$E103*DU20</f>
        <v>-0</v>
      </c>
      <c r="DV103" s="47" t="n">
        <f aca="false">-$E103*DV20</f>
        <v>-0</v>
      </c>
      <c r="DW103" s="47" t="n">
        <f aca="false">-$E103*DW20</f>
        <v>-0</v>
      </c>
      <c r="DX103" s="47" t="n">
        <f aca="false">-$E103*DX20</f>
        <v>-0</v>
      </c>
      <c r="DY103" s="47" t="n">
        <f aca="false">-$E103*DY20</f>
        <v>-0</v>
      </c>
      <c r="DZ103" s="47" t="n">
        <f aca="false">-$E103*DZ20</f>
        <v>-0</v>
      </c>
      <c r="EA103" s="47" t="n">
        <f aca="false">-$E103*EA20</f>
        <v>-0</v>
      </c>
      <c r="EB103" s="47" t="n">
        <f aca="false">-$E103*EB20</f>
        <v>-0</v>
      </c>
      <c r="EC103" s="47" t="n">
        <f aca="false">-$E103*EC20</f>
        <v>-0</v>
      </c>
      <c r="ED103" s="47" t="n">
        <f aca="false">-$E103*ED20</f>
        <v>-0</v>
      </c>
      <c r="EE103" s="47" t="n">
        <f aca="false">-$E103*EE20</f>
        <v>-0</v>
      </c>
      <c r="EF103" s="47" t="n">
        <f aca="false">-$E103*EF20</f>
        <v>-0</v>
      </c>
      <c r="EG103" s="47" t="n">
        <f aca="false">-$E103*EG20</f>
        <v>-0</v>
      </c>
      <c r="EH103" s="47" t="n">
        <f aca="false">-$E103*EH20</f>
        <v>-0</v>
      </c>
      <c r="EI103" s="47" t="n">
        <f aca="false">-$E103*EI20</f>
        <v>-0</v>
      </c>
      <c r="EJ103" s="47" t="n">
        <f aca="false">-$E103*EJ20</f>
        <v>-0</v>
      </c>
      <c r="EK103" s="47" t="n">
        <f aca="false">-$E103*EK20</f>
        <v>-0</v>
      </c>
      <c r="EL103" s="47" t="n">
        <f aca="false">-$E103*EL20</f>
        <v>-0</v>
      </c>
      <c r="EM103" s="47" t="n">
        <f aca="false">-$E103*EM20</f>
        <v>-0</v>
      </c>
      <c r="EN103" s="47" t="n">
        <f aca="false">-$E103*EN20</f>
        <v>-0</v>
      </c>
      <c r="EO103" s="47" t="n">
        <f aca="false">-$E103*EO20</f>
        <v>-0</v>
      </c>
    </row>
    <row r="104" customFormat="false" ht="15" hidden="false" customHeight="false" outlineLevel="0" collapsed="false">
      <c r="C104" s="0" t="s">
        <v>466</v>
      </c>
      <c r="D104" s="11" t="s">
        <v>33</v>
      </c>
      <c r="I104" s="47" t="n">
        <f aca="false">SUM(J104:EO104)</f>
        <v>153284.036207268</v>
      </c>
      <c r="J104" s="47" t="n">
        <f aca="false">J80+J103+J90+J97+J98+J49+J56</f>
        <v>-12.8099380746857</v>
      </c>
      <c r="K104" s="47" t="n">
        <f aca="false">K80+K103+K90+K97+K98+K49+K56</f>
        <v>-19.6746856821167</v>
      </c>
      <c r="L104" s="47" t="n">
        <f aca="false">L80+L103+L90+L97+L98+L49+L56</f>
        <v>-33.1554888346782</v>
      </c>
      <c r="M104" s="47" t="n">
        <f aca="false">M80+M103+M90+M97+M98+M49+M56</f>
        <v>-33.5198348658285</v>
      </c>
      <c r="N104" s="47" t="n">
        <f aca="false">N80+N103+N90+N97+N98+N49+N56</f>
        <v>-33.5198348658285</v>
      </c>
      <c r="O104" s="47" t="n">
        <f aca="false">O80+O103+O90+O97+O98+O49+O56</f>
        <v>-33.1554888346782</v>
      </c>
      <c r="P104" s="47" t="n">
        <f aca="false">P80+P103+P90+P97+P98+P49+P56</f>
        <v>-33.1554888346782</v>
      </c>
      <c r="Q104" s="47" t="n">
        <f aca="false">Q80+Q103+Q90+Q97+Q98+Q49+Q56</f>
        <v>-33.5198348658285</v>
      </c>
      <c r="R104" s="47" t="n">
        <f aca="false">R80+R103+R90+R97+R98+R49+R56</f>
        <v>-1218.50271592122</v>
      </c>
      <c r="S104" s="47" t="n">
        <f aca="false">S80+S103+S90+S97+S98+S49+S56</f>
        <v>-183.866425403357</v>
      </c>
      <c r="T104" s="47" t="n">
        <f aca="false">T80+T103+T90+T97+T98+T49+T56</f>
        <v>-162.096550739923</v>
      </c>
      <c r="U104" s="47" t="n">
        <f aca="false">U80+U103+U90+U97+U98+U49+U56</f>
        <v>-149.823411141041</v>
      </c>
      <c r="V104" s="47" t="n">
        <f aca="false">V80+V103+V90+V97+V98+V49+V56</f>
        <v>-135.61454658484</v>
      </c>
      <c r="W104" s="47" t="n">
        <f aca="false">W80+W103+W90+W97+W98+W49+W56</f>
        <v>-119.80835924423</v>
      </c>
      <c r="X104" s="47" t="n">
        <f aca="false">X80+X103+X90+X97+X98+X49+X56</f>
        <v>-107.390673737333</v>
      </c>
      <c r="Y104" s="47" t="n">
        <f aca="false">Y80+Y103+Y90+Y97+Y98+Y49+Y56</f>
        <v>-94.5163706549071</v>
      </c>
      <c r="Z104" s="47" t="n">
        <f aca="false">Z80+Z103+Z90+Z97+Z98+Z49+Z56</f>
        <v>257.291437792473</v>
      </c>
      <c r="AA104" s="47" t="n">
        <f aca="false">AA80+AA103+AA90+AA97+AA98+AA49+AA56</f>
        <v>257.985340069452</v>
      </c>
      <c r="AB104" s="47" t="n">
        <f aca="false">AB80+AB103+AB90+AB97+AB98+AB49+AB56</f>
        <v>274.95891298229</v>
      </c>
      <c r="AC104" s="47" t="n">
        <f aca="false">AC80+AC103+AC90+AC97+AC98+AC49+AC56</f>
        <v>292.169695492488</v>
      </c>
      <c r="AD104" s="47" t="n">
        <f aca="false">AD80+AD103+AD90+AD97+AD98+AD49+AD56</f>
        <v>290.275041878324</v>
      </c>
      <c r="AE104" s="47" t="n">
        <f aca="false">AE80+AE103+AE90+AE97+AE98+AE49+AE56</f>
        <v>301.970194157697</v>
      </c>
      <c r="AF104" s="47" t="n">
        <f aca="false">AF80+AF103+AF90+AF97+AF98+AF49+AF56</f>
        <v>308.58937839975</v>
      </c>
      <c r="AG104" s="47" t="n">
        <f aca="false">AG80+AG103+AG90+AG97+AG98+AG49+AG56</f>
        <v>326.24174108442</v>
      </c>
      <c r="AH104" s="47" t="n">
        <f aca="false">AH80+AH103+AH90+AH97+AH98+AH49+AH56</f>
        <v>324.657493285546</v>
      </c>
      <c r="AI104" s="47" t="n">
        <f aca="false">AI80+AI103+AI90+AI97+AI98+AI49+AI56</f>
        <v>325.46175491162</v>
      </c>
      <c r="AJ104" s="47" t="n">
        <f aca="false">AJ80+AJ103+AJ90+AJ97+AJ98+AJ49+AJ56</f>
        <v>376.476539145225</v>
      </c>
      <c r="AK104" s="47" t="n">
        <f aca="false">AK80+AK103+AK90+AK97+AK98+AK49+AK56</f>
        <v>395.147947998133</v>
      </c>
      <c r="AL104" s="47" t="n">
        <f aca="false">AL80+AL103+AL90+AL97+AL98+AL49+AL56</f>
        <v>394.093988991163</v>
      </c>
      <c r="AM104" s="47" t="n">
        <f aca="false">AM80+AM103+AM90+AM97+AM98+AM49+AM56</f>
        <v>394.258721839943</v>
      </c>
      <c r="AN104" s="47" t="n">
        <f aca="false">AN80+AN103+AN90+AN97+AN98+AN49+AN56</f>
        <v>412.955905686181</v>
      </c>
      <c r="AO104" s="47" t="n">
        <f aca="false">AO80+AO103+AO90+AO97+AO98+AO49+AO56</f>
        <v>431.898215267792</v>
      </c>
      <c r="AP104" s="47" t="n">
        <f aca="false">AP80+AP103+AP90+AP97+AP98+AP49+AP56</f>
        <v>430.97670330019</v>
      </c>
      <c r="AQ104" s="47" t="n">
        <f aca="false">AQ80+AQ103+AQ90+AQ97+AQ98+AQ49+AQ56</f>
        <v>431.213049402512</v>
      </c>
      <c r="AR104" s="47" t="n">
        <f aca="false">AR80+AR103+AR90+AR97+AR98+AR49+AR56</f>
        <v>450.370937579025</v>
      </c>
      <c r="AS104" s="47" t="n">
        <f aca="false">AS80+AS103+AS90+AS97+AS98+AS49+AS56</f>
        <v>469.778808264886</v>
      </c>
      <c r="AT104" s="47" t="n">
        <f aca="false">AT80+AT103+AT90+AT97+AT98+AT49+AT56</f>
        <v>469.197984187449</v>
      </c>
      <c r="AU104" s="47" t="n">
        <f aca="false">AU80+AU103+AU90+AU97+AU98+AU49+AU56</f>
        <v>481.144457513903</v>
      </c>
      <c r="AV104" s="47" t="n">
        <f aca="false">AV80+AV103+AV90+AV97+AV98+AV49+AV56</f>
        <v>489.315660654985</v>
      </c>
      <c r="AW104" s="47" t="n">
        <f aca="false">AW80+AW103+AW90+AW97+AW98+AW49+AW56</f>
        <v>509.205605468296</v>
      </c>
      <c r="AX104" s="47" t="n">
        <f aca="false">AX80+AX103+AX90+AX97+AX98+AX49+AX56</f>
        <v>508.984426656867</v>
      </c>
      <c r="AY104" s="47" t="n">
        <f aca="false">AY80+AY103+AY90+AY97+AY98+AY49+AY56</f>
        <v>509.40827013584</v>
      </c>
      <c r="AZ104" s="47" t="n">
        <f aca="false">AZ80+AZ103+AZ90+AZ97+AZ98+AZ49+AZ56</f>
        <v>529.533538467074</v>
      </c>
      <c r="BA104" s="47" t="n">
        <f aca="false">BA80+BA103+BA90+BA97+BA98+BA49+BA56</f>
        <v>549.919075865396</v>
      </c>
      <c r="BB104" s="47" t="n">
        <f aca="false">BB80+BB103+BB90+BB97+BB98+BB49+BB56</f>
        <v>550.073561342466</v>
      </c>
      <c r="BC104" s="47" t="n">
        <f aca="false">BC80+BC103+BC90+BC97+BC98+BC49+BC56</f>
        <v>550.612895255216</v>
      </c>
      <c r="BD104" s="47" t="n">
        <f aca="false">BD80+BD103+BD90+BD97+BD98+BD49+BD56</f>
        <v>571.244339751934</v>
      </c>
      <c r="BE104" s="47" t="n">
        <f aca="false">BE80+BE103+BE90+BE97+BE98+BE49+BE56</f>
        <v>592.141478394261</v>
      </c>
      <c r="BF104" s="47" t="n">
        <f aca="false">BF80+BF103+BF90+BF97+BF98+BF49+BF56</f>
        <v>592.690259215078</v>
      </c>
      <c r="BG104" s="47" t="n">
        <f aca="false">BG80+BG103+BG90+BG97+BG98+BG49+BG56</f>
        <v>593.361174291119</v>
      </c>
      <c r="BH104" s="47" t="n">
        <f aca="false">BH80+BH103+BH90+BH97+BH98+BH49+BH56</f>
        <v>614.515329897268</v>
      </c>
      <c r="BI104" s="47" t="n">
        <f aca="false">BI80+BI103+BI90+BI97+BI98+BI49+BI56</f>
        <v>635.940811102504</v>
      </c>
      <c r="BJ104" s="47" t="n">
        <f aca="false">BJ80+BJ103+BJ90+BJ97+BJ98+BJ49+BJ56</f>
        <v>636.903355080627</v>
      </c>
      <c r="BK104" s="47" t="n">
        <f aca="false">BK80+BK103+BK90+BK97+BK98+BK49+BK56</f>
        <v>649.613970993128</v>
      </c>
      <c r="BL104" s="47" t="n">
        <f aca="false">BL80+BL103+BL90+BL97+BL98+BL49+BL56</f>
        <v>659.581173765134</v>
      </c>
      <c r="BM104" s="47" t="n">
        <f aca="false">BM80+BM103+BM90+BM97+BM98+BM49+BM56</f>
        <v>681.554398413874</v>
      </c>
      <c r="BN104" s="47" t="n">
        <f aca="false">BN80+BN103+BN90+BN97+BN98+BN49+BN56</f>
        <v>682.952961788101</v>
      </c>
      <c r="BO104" s="47" t="n">
        <f aca="false">BO80+BO103+BO90+BO97+BO98+BO49+BO56</f>
        <v>683.940500699411</v>
      </c>
      <c r="BP104" s="47" t="n">
        <f aca="false">BP80+BP103+BP90+BP97+BP98+BP49+BP56</f>
        <v>706.194710890736</v>
      </c>
      <c r="BQ104" s="47" t="n">
        <f aca="false">BQ80+BQ103+BQ90+BQ97+BQ98+BQ49+BQ56</f>
        <v>728.732188873424</v>
      </c>
      <c r="BR104" s="47" t="n">
        <f aca="false">BR80+BR103+BR90+BR97+BR98+BR49+BR56</f>
        <v>730.58620446387</v>
      </c>
      <c r="BS104" s="47" t="n">
        <f aca="false">BS80+BS103+BS90+BS97+BS98+BS49+BS56</f>
        <v>731.758663318774</v>
      </c>
      <c r="BT104" s="47" t="n">
        <f aca="false">BT80+BT103+BT90+BT97+BT98+BT49+BT56</f>
        <v>754.589977593101</v>
      </c>
      <c r="BU104" s="47" t="n">
        <f aca="false">BU80+BU103+BU90+BU97+BU98+BU49+BU56</f>
        <v>777.710868805875</v>
      </c>
      <c r="BV104" s="47" t="n">
        <f aca="false">BV80+BV103+BV90+BV97+BV98+BV49+BV56</f>
        <v>780.042553529982</v>
      </c>
      <c r="BW104" s="47" t="n">
        <f aca="false">BW80+BW103+BW90+BW97+BW98+BW49+BW56</f>
        <v>781.419475517967</v>
      </c>
      <c r="BX104" s="47" t="n">
        <f aca="false">BX80+BX103+BX90+BX97+BX98+BX49+BX56</f>
        <v>804.847690447658</v>
      </c>
      <c r="BY104" s="47" t="n">
        <f aca="false">BY80+BY103+BY90+BY97+BY98+BY49+BY56</f>
        <v>828.572037735249</v>
      </c>
      <c r="BZ104" s="47" t="n">
        <f aca="false">BZ80+BZ103+BZ90+BZ97+BZ98+BZ49+BZ56</f>
        <v>831.404607967902</v>
      </c>
      <c r="CA104" s="47" t="n">
        <f aca="false">CA80+CA103+CA90+CA97+CA98+CA49+CA56</f>
        <v>845.118366645648</v>
      </c>
      <c r="CB104" s="47" t="n">
        <f aca="false">CB80+CB103+CB90+CB97+CB98+CB49+CB56</f>
        <v>857.21782360147</v>
      </c>
      <c r="CC104" s="47" t="n">
        <f aca="false">CC80+CC103+CC90+CC97+CC98+CC49+CC56</f>
        <v>881.568500944015</v>
      </c>
      <c r="CD104" s="47" t="n">
        <f aca="false">CD80+CD103+CD90+CD97+CD98+CD49+CD56</f>
        <v>884.928145980711</v>
      </c>
      <c r="CE104" s="47" t="n">
        <f aca="false">CE80+CE103+CE90+CE97+CE98+CE49+CE56</f>
        <v>886.778479422422</v>
      </c>
      <c r="CF104" s="47" t="n">
        <f aca="false">CF80+CF103+CF90+CF97+CF98+CF49+CF56</f>
        <v>911.465557230613</v>
      </c>
      <c r="CG104" s="47" t="n">
        <f aca="false">CG80+CG103+CG90+CG97+CG98+CG49+CG56</f>
        <v>936.46268488215</v>
      </c>
      <c r="CH104" s="47" t="n">
        <f aca="false">CH80+CH103+CH90+CH97+CH98+CH49+CH56</f>
        <v>940.372920662875</v>
      </c>
      <c r="CI104" s="47" t="n">
        <f aca="false">CI80+CI103+CI90+CI97+CI98+CI49+CI56</f>
        <v>942.492410889668</v>
      </c>
      <c r="CJ104" s="47" t="n">
        <f aca="false">CJ80+CJ103+CJ90+CJ97+CJ98+CJ49+CJ56</f>
        <v>967.841531223211</v>
      </c>
      <c r="CK104" s="47" t="n">
        <f aca="false">CK80+CK103+CK90+CK97+CK98+CK49+CK56</f>
        <v>993.50806568437</v>
      </c>
      <c r="CL104" s="47" t="n">
        <f aca="false">CL80+CL103+CL90+CL97+CL98+CL49+CL56</f>
        <v>997.995392129809</v>
      </c>
      <c r="CM104" s="47" t="n">
        <f aca="false">CM80+CM103+CM90+CM97+CM98+CM49+CM56</f>
        <v>1000.40772551973</v>
      </c>
      <c r="CN104" s="47" t="n">
        <f aca="false">CN80+CN103+CN90+CN97+CN98+CN49+CN56</f>
        <v>1026.44261462906</v>
      </c>
      <c r="CO104" s="47" t="n">
        <f aca="false">CO80+CO103+CO90+CO97+CO98+CO49+CO56</f>
        <v>1052.8025762702</v>
      </c>
      <c r="CP104" s="47" t="n">
        <f aca="false">CP80+CP103+CP90+CP97+CP98+CP49+CP56</f>
        <v>1057.89468754695</v>
      </c>
      <c r="CQ104" s="47" t="n">
        <f aca="false">CQ80+CQ103+CQ90+CQ97+CQ98+CQ49+CQ56</f>
        <v>1072.90464860341</v>
      </c>
      <c r="CR104" s="47" t="n">
        <f aca="false">CR80+CR103+CR90+CR97+CR98+CR49+CR56</f>
        <v>1087.53662605826</v>
      </c>
      <c r="CS104" s="47" t="n">
        <f aca="false">CS80+CS103+CS90+CS97+CS98+CS49+CS56</f>
        <v>1114.61706666639</v>
      </c>
      <c r="CT104" s="47" t="n">
        <f aca="false">CT80+CT103+CT90+CT97+CT98+CT49+CT56</f>
        <v>1120.3448445263</v>
      </c>
      <c r="CU104" s="47" t="n">
        <f aca="false">CU80+CU103+CU90+CU97+CU98+CU49+CU56</f>
        <v>1108.16122010765</v>
      </c>
      <c r="CV104" s="47" t="n">
        <f aca="false">CV80+CV103+CV90+CV97+CV98+CV49+CV56</f>
        <v>1120.47412255329</v>
      </c>
      <c r="CW104" s="47" t="n">
        <f aca="false">CW80+CW103+CW90+CW97+CW98+CW49+CW56</f>
        <v>1132.78702499893</v>
      </c>
      <c r="CX104" s="47" t="n">
        <f aca="false">CX80+CX103+CX90+CX97+CX98+CX49+CX56</f>
        <v>1123.32109693449</v>
      </c>
      <c r="CY104" s="47" t="n">
        <f aca="false">CY80+CY103+CY90+CY97+CY98+CY49+CY56</f>
        <v>1110.78027597976</v>
      </c>
      <c r="CZ104" s="47" t="n">
        <f aca="false">CZ80+CZ103+CZ90+CZ97+CZ98+CZ49+CZ56</f>
        <v>1123.1222790462</v>
      </c>
      <c r="DA104" s="47" t="n">
        <f aca="false">DA80+DA103+DA90+DA97+DA98+DA49+DA56</f>
        <v>1135.46428211264</v>
      </c>
      <c r="DB104" s="47" t="n">
        <f aca="false">DB80+DB103+DB90+DB97+DB98+DB49+DB56</f>
        <v>2503.24466583137</v>
      </c>
      <c r="DC104" s="47" t="n">
        <f aca="false">DC80+DC103+DC90+DC97+DC98+DC49+DC56</f>
        <v>2460.40184579479</v>
      </c>
      <c r="DD104" s="47" t="n">
        <f aca="false">DD80+DD103+DD90+DD97+DD98+DD49+DD56</f>
        <v>2487.7396440814</v>
      </c>
      <c r="DE104" s="47" t="n">
        <f aca="false">DE80+DE103+DE90+DE97+DE98+DE49+DE56</f>
        <v>2515.07744236801</v>
      </c>
      <c r="DF104" s="47" t="n">
        <f aca="false">DF80+DF103+DF90+DF97+DF98+DF49+DF56</f>
        <v>2505.49855853058</v>
      </c>
      <c r="DG104" s="47" t="n">
        <f aca="false">DG80+DG103+DG90+DG97+DG98+DG49+DG56</f>
        <v>2489.65041143909</v>
      </c>
      <c r="DH104" s="47" t="n">
        <f aca="false">DH80+DH103+DH90+DH97+DH98+DH49+DH56</f>
        <v>2489.65041143909</v>
      </c>
      <c r="DI104" s="47" t="n">
        <f aca="false">DI80+DI103+DI90+DI97+DI98+DI49+DI56</f>
        <v>2517.00920716919</v>
      </c>
      <c r="DJ104" s="47" t="n">
        <f aca="false">DJ80+DJ103+DJ90+DJ97+DJ98+DJ49+DJ56</f>
        <v>2507.37368674959</v>
      </c>
      <c r="DK104" s="47" t="n">
        <f aca="false">DK80+DK103+DK90+DK97+DK98+DK49+DK56</f>
        <v>2463.79908392978</v>
      </c>
      <c r="DL104" s="47" t="n">
        <f aca="false">DL80+DL103+DL90+DL97+DL98+DL49+DL56</f>
        <v>2491.17462930677</v>
      </c>
      <c r="DM104" s="47" t="n">
        <f aca="false">DM80+DM103+DM90+DM97+DM98+DM49+DM56</f>
        <v>2518.55017468377</v>
      </c>
      <c r="DN104" s="47" t="n">
        <f aca="false">DN80+DN103+DN90+DN97+DN98+DN49+DN56</f>
        <v>2508.85791904168</v>
      </c>
      <c r="DO104" s="47" t="n">
        <f aca="false">DO80+DO103+DO90+DO97+DO98+DO49+DO56</f>
        <v>2464.91206834605</v>
      </c>
      <c r="DP104" s="47" t="n">
        <f aca="false">DP80+DP103+DP90+DP97+DP98+DP49+DP56</f>
        <v>2492.29998021656</v>
      </c>
      <c r="DQ104" s="47" t="n">
        <f aca="false">DQ80+DQ103+DQ90+DQ97+DQ98+DQ49+DQ56</f>
        <v>2519.68789208708</v>
      </c>
      <c r="DR104" s="47" t="n">
        <f aca="false">DR80+DR103+DR90+DR97+DR98+DR49+DR56</f>
        <v>2509.93880816482</v>
      </c>
      <c r="DS104" s="47" t="n">
        <f aca="false">DS80+DS103+DS90+DS97+DS98+DS49+DS56</f>
        <v>2465.61807007058</v>
      </c>
      <c r="DT104" s="47" t="n">
        <f aca="false">DT80+DT103+DT90+DT97+DT98+DT49+DT56</f>
        <v>2493.0138264047</v>
      </c>
      <c r="DU104" s="47" t="n">
        <f aca="false">DU80+DU103+DU90+DU97+DU98+DU49+DU56</f>
        <v>2520.40958273882</v>
      </c>
      <c r="DV104" s="47" t="n">
        <f aca="false">DV80+DV103+DV90+DV97+DV98+DV49+DV56</f>
        <v>2510.60358323846</v>
      </c>
      <c r="DW104" s="47" t="n">
        <f aca="false">DW80+DW103+DW90+DW97+DW98+DW49+DW56</f>
        <v>2493.30320185874</v>
      </c>
      <c r="DX104" s="47" t="n">
        <f aca="false">DX80+DX103+DX90+DX97+DX98+DX49+DX56</f>
        <v>2493.30320185874</v>
      </c>
      <c r="DY104" s="47" t="n">
        <f aca="false">DY80+DY103+DY90+DY97+DY98+DY49+DY56</f>
        <v>2520.7021381429</v>
      </c>
      <c r="DZ104" s="47" t="n">
        <f aca="false">DZ80+DZ103+DZ90+DZ97+DZ98+DZ49+DZ56</f>
        <v>2510.83914170752</v>
      </c>
      <c r="EA104" s="47" t="n">
        <f aca="false">EA80+EA103+EA90+EA97+EA98+EA49+EA56</f>
        <v>2465.75749862902</v>
      </c>
      <c r="EB104" s="47" t="n">
        <f aca="false">EB80+EB103+EB90+EB97+EB98+EB49+EB56</f>
        <v>2493.15480416934</v>
      </c>
      <c r="EC104" s="47" t="n">
        <f aca="false">EC80+EC103+EC90+EC97+EC98+EC49+EC56</f>
        <v>2520.55210970967</v>
      </c>
      <c r="ED104" s="47" t="n">
        <f aca="false">ED80+ED103+ED90+ED97+ED98+ED49+ED56</f>
        <v>2510.63204110906</v>
      </c>
      <c r="EE104" s="47" t="n">
        <f aca="false">EE80+EE103+EE90+EE97+EE98+EE49+EE56</f>
        <v>2465.16427204806</v>
      </c>
      <c r="EF104" s="47" t="n">
        <f aca="false">EF80+EF103+EF90+EF97+EF98+EF49+EF56</f>
        <v>2492.55498618193</v>
      </c>
      <c r="EG104" s="47" t="n">
        <f aca="false">EG80+EG103+EG90+EG97+EG98+EG49+EG56</f>
        <v>2519.94570031579</v>
      </c>
      <c r="EH104" s="47" t="n">
        <f aca="false">EH80+EH103+EH90+EH97+EH98+EH49+EH56</f>
        <v>2509.96849063659</v>
      </c>
      <c r="EI104" s="47" t="n">
        <f aca="false">EI80+EI103+EI90+EI97+EI98+EI49+EI56</f>
        <v>2464.11073922955</v>
      </c>
      <c r="EJ104" s="47" t="n">
        <f aca="false">EJ80+EJ103+EJ90+EJ97+EJ98+EJ49+EJ56</f>
        <v>2491.48974744321</v>
      </c>
      <c r="EK104" s="47" t="n">
        <f aca="false">EK80+EK103+EK90+EK97+EK98+EK49+EK56</f>
        <v>2518.86875565688</v>
      </c>
      <c r="EL104" s="47" t="n">
        <f aca="false">EL80+EL103+EL90+EL97+EL98+EL49+EL56</f>
        <v>2508.83434249719</v>
      </c>
      <c r="EM104" s="47" t="n">
        <f aca="false">EM80+EM103+EM90+EM97+EM98+EM49+EM56</f>
        <v>2489.94472543767</v>
      </c>
      <c r="EN104" s="47" t="n">
        <f aca="false">EN80+EN103+EN90+EN97+EN98+EN49+EN56</f>
        <v>2489.94472543767</v>
      </c>
      <c r="EO104" s="47" t="n">
        <f aca="false">EO80+EO103+EO90+EO97+EO98+EO49+EO56</f>
        <v>2517.30675538754</v>
      </c>
    </row>
    <row r="105" customFormat="false" ht="15" hidden="false" customHeight="false" outlineLevel="0" collapsed="false">
      <c r="C105" s="0" t="s">
        <v>467</v>
      </c>
      <c r="D105" s="11" t="s">
        <v>33</v>
      </c>
      <c r="J105" s="18" t="n">
        <f aca="false">I109</f>
        <v>0</v>
      </c>
      <c r="K105" s="18" t="n">
        <f aca="false">J109</f>
        <v>12.8099380746857</v>
      </c>
      <c r="L105" s="18" t="n">
        <f aca="false">K109</f>
        <v>32.4846237568024</v>
      </c>
      <c r="M105" s="18" t="n">
        <f aca="false">L109</f>
        <v>65.6401125914806</v>
      </c>
      <c r="N105" s="18" t="n">
        <f aca="false">M109</f>
        <v>99.1599474573091</v>
      </c>
      <c r="O105" s="18" t="n">
        <f aca="false">N109</f>
        <v>132.679782323138</v>
      </c>
      <c r="P105" s="18" t="n">
        <f aca="false">O109</f>
        <v>165.835271157816</v>
      </c>
      <c r="Q105" s="18" t="n">
        <f aca="false">P109</f>
        <v>198.990759992494</v>
      </c>
      <c r="R105" s="18" t="n">
        <f aca="false">Q109</f>
        <v>232.510594858322</v>
      </c>
      <c r="S105" s="18" t="n">
        <f aca="false">R109</f>
        <v>1451.01331077954</v>
      </c>
      <c r="T105" s="18" t="n">
        <f aca="false">S109</f>
        <v>1634.8797361829</v>
      </c>
      <c r="U105" s="18" t="n">
        <f aca="false">T109</f>
        <v>1796.97628692282</v>
      </c>
      <c r="V105" s="18" t="n">
        <f aca="false">U109</f>
        <v>1946.79969806386</v>
      </c>
      <c r="W105" s="18" t="n">
        <f aca="false">V109</f>
        <v>2082.4142446487</v>
      </c>
      <c r="X105" s="18" t="n">
        <f aca="false">W109</f>
        <v>2202.22260389293</v>
      </c>
      <c r="Y105" s="18" t="n">
        <f aca="false">X109</f>
        <v>2309.61327763026</v>
      </c>
      <c r="Z105" s="18" t="n">
        <f aca="false">Y109</f>
        <v>2404.12964828517</v>
      </c>
      <c r="AA105" s="18" t="n">
        <f aca="false">Z109</f>
        <v>2275.48392938894</v>
      </c>
      <c r="AB105" s="18" t="n">
        <f aca="false">AA109</f>
        <v>2146.49125935421</v>
      </c>
      <c r="AC105" s="18" t="n">
        <f aca="false">AB109</f>
        <v>2009.01180286306</v>
      </c>
      <c r="AD105" s="18" t="n">
        <f aca="false">AC109</f>
        <v>1862.92695511682</v>
      </c>
      <c r="AE105" s="18" t="n">
        <f aca="false">AD109</f>
        <v>1717.78943417766</v>
      </c>
      <c r="AF105" s="18" t="n">
        <f aca="false">AE109</f>
        <v>1566.80433709881</v>
      </c>
      <c r="AG105" s="18" t="n">
        <f aca="false">AF109</f>
        <v>1412.50964789893</v>
      </c>
      <c r="AH105" s="18" t="n">
        <f aca="false">AG109</f>
        <v>1249.38877735672</v>
      </c>
      <c r="AI105" s="18" t="n">
        <f aca="false">AH109</f>
        <v>1087.06003071395</v>
      </c>
      <c r="AJ105" s="18" t="n">
        <f aca="false">AI109</f>
        <v>924.329153258142</v>
      </c>
      <c r="AK105" s="18" t="n">
        <f aca="false">AJ109</f>
        <v>736.09088368553</v>
      </c>
      <c r="AL105" s="18" t="n">
        <f aca="false">AK109</f>
        <v>0</v>
      </c>
      <c r="AM105" s="18" t="n">
        <f aca="false">AL109</f>
        <v>0</v>
      </c>
      <c r="AN105" s="18" t="n">
        <f aca="false">AM109</f>
        <v>0</v>
      </c>
      <c r="AO105" s="18" t="n">
        <f aca="false">AN109</f>
        <v>0</v>
      </c>
      <c r="AP105" s="18" t="n">
        <f aca="false">AO109</f>
        <v>0</v>
      </c>
      <c r="AQ105" s="18" t="n">
        <f aca="false">AP109</f>
        <v>0</v>
      </c>
      <c r="AR105" s="18" t="n">
        <f aca="false">AQ109</f>
        <v>0</v>
      </c>
      <c r="AS105" s="18" t="n">
        <f aca="false">AR109</f>
        <v>0</v>
      </c>
      <c r="AT105" s="18" t="n">
        <f aca="false">AS109</f>
        <v>0</v>
      </c>
      <c r="AU105" s="18" t="n">
        <f aca="false">AT109</f>
        <v>0</v>
      </c>
      <c r="AV105" s="18" t="n">
        <f aca="false">AU109</f>
        <v>0</v>
      </c>
      <c r="AW105" s="18" t="n">
        <f aca="false">AV109</f>
        <v>0</v>
      </c>
      <c r="AX105" s="18" t="n">
        <f aca="false">AW109</f>
        <v>0</v>
      </c>
      <c r="AY105" s="18" t="n">
        <f aca="false">AX109</f>
        <v>0</v>
      </c>
      <c r="AZ105" s="18" t="n">
        <f aca="false">AY109</f>
        <v>0</v>
      </c>
      <c r="BA105" s="18" t="n">
        <f aca="false">AZ109</f>
        <v>0</v>
      </c>
      <c r="BB105" s="18" t="n">
        <f aca="false">BA109</f>
        <v>0</v>
      </c>
      <c r="BC105" s="18" t="n">
        <f aca="false">BB109</f>
        <v>0</v>
      </c>
      <c r="BD105" s="18" t="n">
        <f aca="false">BC109</f>
        <v>0</v>
      </c>
      <c r="BE105" s="18" t="n">
        <f aca="false">BD109</f>
        <v>0</v>
      </c>
      <c r="BF105" s="18" t="n">
        <f aca="false">BE109</f>
        <v>0</v>
      </c>
      <c r="BG105" s="18" t="n">
        <f aca="false">BF109</f>
        <v>0</v>
      </c>
      <c r="BH105" s="18" t="n">
        <f aca="false">BG109</f>
        <v>0</v>
      </c>
      <c r="BI105" s="18" t="n">
        <f aca="false">BH109</f>
        <v>0</v>
      </c>
      <c r="BJ105" s="18" t="n">
        <f aca="false">BI109</f>
        <v>0</v>
      </c>
      <c r="BK105" s="18" t="n">
        <f aca="false">BJ109</f>
        <v>0</v>
      </c>
      <c r="BL105" s="18" t="n">
        <f aca="false">BK109</f>
        <v>0</v>
      </c>
      <c r="BM105" s="18" t="n">
        <f aca="false">BL109</f>
        <v>0</v>
      </c>
      <c r="BN105" s="18" t="n">
        <f aca="false">BM109</f>
        <v>0</v>
      </c>
      <c r="BO105" s="18" t="n">
        <f aca="false">BN109</f>
        <v>0</v>
      </c>
      <c r="BP105" s="18" t="n">
        <f aca="false">BO109</f>
        <v>0</v>
      </c>
      <c r="BQ105" s="18" t="n">
        <f aca="false">BP109</f>
        <v>0</v>
      </c>
      <c r="BR105" s="18" t="n">
        <f aca="false">BQ109</f>
        <v>0</v>
      </c>
      <c r="BS105" s="18" t="n">
        <f aca="false">BR109</f>
        <v>0</v>
      </c>
      <c r="BT105" s="18" t="n">
        <f aca="false">BS109</f>
        <v>0</v>
      </c>
      <c r="BU105" s="18" t="n">
        <f aca="false">BT109</f>
        <v>0</v>
      </c>
      <c r="BV105" s="18" t="n">
        <f aca="false">BU109</f>
        <v>0</v>
      </c>
      <c r="BW105" s="18" t="n">
        <f aca="false">BV109</f>
        <v>0</v>
      </c>
      <c r="BX105" s="18" t="n">
        <f aca="false">BW109</f>
        <v>0</v>
      </c>
      <c r="BY105" s="18" t="n">
        <f aca="false">BX109</f>
        <v>0</v>
      </c>
      <c r="BZ105" s="18" t="n">
        <f aca="false">BY109</f>
        <v>0</v>
      </c>
      <c r="CA105" s="18" t="n">
        <f aca="false">BZ109</f>
        <v>0</v>
      </c>
      <c r="CB105" s="18" t="n">
        <f aca="false">CA109</f>
        <v>0</v>
      </c>
      <c r="CC105" s="18" t="n">
        <f aca="false">CB109</f>
        <v>0</v>
      </c>
      <c r="CD105" s="18" t="n">
        <f aca="false">CC109</f>
        <v>0</v>
      </c>
      <c r="CE105" s="18" t="n">
        <f aca="false">CD109</f>
        <v>0</v>
      </c>
      <c r="CF105" s="18" t="n">
        <f aca="false">CE109</f>
        <v>0</v>
      </c>
      <c r="CG105" s="18" t="n">
        <f aca="false">CF109</f>
        <v>0</v>
      </c>
      <c r="CH105" s="18" t="n">
        <f aca="false">CG109</f>
        <v>0</v>
      </c>
      <c r="CI105" s="18" t="n">
        <f aca="false">CH109</f>
        <v>0</v>
      </c>
      <c r="CJ105" s="18" t="n">
        <f aca="false">CI109</f>
        <v>0</v>
      </c>
      <c r="CK105" s="18" t="n">
        <f aca="false">CJ109</f>
        <v>0</v>
      </c>
      <c r="CL105" s="18" t="n">
        <f aca="false">CK109</f>
        <v>0</v>
      </c>
      <c r="CM105" s="18" t="n">
        <f aca="false">CL109</f>
        <v>0</v>
      </c>
      <c r="CN105" s="18" t="n">
        <f aca="false">CM109</f>
        <v>0</v>
      </c>
      <c r="CO105" s="18" t="n">
        <f aca="false">CN109</f>
        <v>0</v>
      </c>
      <c r="CP105" s="18" t="n">
        <f aca="false">CO109</f>
        <v>0</v>
      </c>
      <c r="CQ105" s="18" t="n">
        <f aca="false">CP109</f>
        <v>0</v>
      </c>
      <c r="CR105" s="18" t="n">
        <f aca="false">CQ109</f>
        <v>0</v>
      </c>
      <c r="CS105" s="18" t="n">
        <f aca="false">CR109</f>
        <v>0</v>
      </c>
      <c r="CT105" s="18" t="n">
        <f aca="false">CS109</f>
        <v>0</v>
      </c>
      <c r="CU105" s="18" t="n">
        <f aca="false">CT109</f>
        <v>0</v>
      </c>
      <c r="CV105" s="18" t="n">
        <f aca="false">CU109</f>
        <v>0</v>
      </c>
      <c r="CW105" s="18" t="n">
        <f aca="false">CV109</f>
        <v>0</v>
      </c>
      <c r="CX105" s="18" t="n">
        <f aca="false">CW109</f>
        <v>0</v>
      </c>
      <c r="CY105" s="18" t="n">
        <f aca="false">CX109</f>
        <v>0</v>
      </c>
      <c r="CZ105" s="18" t="n">
        <f aca="false">CY109</f>
        <v>0</v>
      </c>
      <c r="DA105" s="18" t="n">
        <f aca="false">CZ109</f>
        <v>0</v>
      </c>
      <c r="DB105" s="18" t="n">
        <f aca="false">DA109</f>
        <v>0</v>
      </c>
      <c r="DC105" s="18" t="n">
        <f aca="false">DB109</f>
        <v>0</v>
      </c>
      <c r="DD105" s="18" t="n">
        <f aca="false">DC109</f>
        <v>0</v>
      </c>
      <c r="DE105" s="18" t="n">
        <f aca="false">DD109</f>
        <v>0</v>
      </c>
      <c r="DF105" s="18" t="n">
        <f aca="false">DE109</f>
        <v>0</v>
      </c>
      <c r="DG105" s="18" t="n">
        <f aca="false">DF109</f>
        <v>0</v>
      </c>
      <c r="DH105" s="18" t="n">
        <f aca="false">DG109</f>
        <v>0</v>
      </c>
      <c r="DI105" s="18" t="n">
        <f aca="false">DH109</f>
        <v>0</v>
      </c>
      <c r="DJ105" s="18" t="n">
        <f aca="false">DI109</f>
        <v>0</v>
      </c>
      <c r="DK105" s="18" t="n">
        <f aca="false">DJ109</f>
        <v>0</v>
      </c>
      <c r="DL105" s="18" t="n">
        <f aca="false">DK109</f>
        <v>0</v>
      </c>
      <c r="DM105" s="18" t="n">
        <f aca="false">DL109</f>
        <v>0</v>
      </c>
      <c r="DN105" s="18" t="n">
        <f aca="false">DM109</f>
        <v>0</v>
      </c>
      <c r="DO105" s="18" t="n">
        <f aca="false">DN109</f>
        <v>0</v>
      </c>
      <c r="DP105" s="18" t="n">
        <f aca="false">DO109</f>
        <v>0</v>
      </c>
      <c r="DQ105" s="18" t="n">
        <f aca="false">DP109</f>
        <v>0</v>
      </c>
      <c r="DR105" s="18" t="n">
        <f aca="false">DQ109</f>
        <v>0</v>
      </c>
      <c r="DS105" s="18" t="n">
        <f aca="false">DR109</f>
        <v>0</v>
      </c>
      <c r="DT105" s="18" t="n">
        <f aca="false">DS109</f>
        <v>0</v>
      </c>
      <c r="DU105" s="18" t="n">
        <f aca="false">DT109</f>
        <v>0</v>
      </c>
      <c r="DV105" s="18" t="n">
        <f aca="false">DU109</f>
        <v>0</v>
      </c>
      <c r="DW105" s="18" t="n">
        <f aca="false">DV109</f>
        <v>0</v>
      </c>
      <c r="DX105" s="18" t="n">
        <f aca="false">DW109</f>
        <v>0</v>
      </c>
      <c r="DY105" s="18" t="n">
        <f aca="false">DX109</f>
        <v>0</v>
      </c>
      <c r="DZ105" s="18" t="n">
        <f aca="false">DY109</f>
        <v>0</v>
      </c>
      <c r="EA105" s="18" t="n">
        <f aca="false">DZ109</f>
        <v>0</v>
      </c>
      <c r="EB105" s="18" t="n">
        <f aca="false">EA109</f>
        <v>0</v>
      </c>
      <c r="EC105" s="18" t="n">
        <f aca="false">EB109</f>
        <v>0</v>
      </c>
      <c r="ED105" s="18" t="n">
        <f aca="false">EC109</f>
        <v>0</v>
      </c>
      <c r="EE105" s="18" t="n">
        <f aca="false">ED109</f>
        <v>0</v>
      </c>
      <c r="EF105" s="18" t="n">
        <f aca="false">EE109</f>
        <v>0</v>
      </c>
      <c r="EG105" s="18" t="n">
        <f aca="false">EF109</f>
        <v>0</v>
      </c>
      <c r="EH105" s="18" t="n">
        <f aca="false">EG109</f>
        <v>0</v>
      </c>
      <c r="EI105" s="18" t="n">
        <f aca="false">EH109</f>
        <v>0</v>
      </c>
      <c r="EJ105" s="18" t="n">
        <f aca="false">EI109</f>
        <v>0</v>
      </c>
      <c r="EK105" s="18" t="n">
        <f aca="false">EJ109</f>
        <v>0</v>
      </c>
      <c r="EL105" s="18" t="n">
        <f aca="false">EK109</f>
        <v>0</v>
      </c>
      <c r="EM105" s="18" t="n">
        <f aca="false">EL109</f>
        <v>0</v>
      </c>
      <c r="EN105" s="18" t="n">
        <f aca="false">EM109</f>
        <v>0</v>
      </c>
      <c r="EO105" s="18" t="n">
        <f aca="false">EN109</f>
        <v>0</v>
      </c>
    </row>
    <row r="106" customFormat="false" ht="15" hidden="false" customHeight="false" outlineLevel="0" collapsed="false">
      <c r="C106" s="0" t="s">
        <v>468</v>
      </c>
      <c r="D106" s="11" t="s">
        <v>33</v>
      </c>
      <c r="I106" s="47" t="n">
        <f aca="false">SUM(J106:EO106)</f>
        <v>2404.12964828517</v>
      </c>
      <c r="J106" s="47" t="n">
        <f aca="false">MAX(0,-J104)</f>
        <v>12.8099380746857</v>
      </c>
      <c r="K106" s="47" t="n">
        <f aca="false">MAX(0,-K104)</f>
        <v>19.6746856821167</v>
      </c>
      <c r="L106" s="47" t="n">
        <f aca="false">MAX(0,-L104)</f>
        <v>33.1554888346782</v>
      </c>
      <c r="M106" s="47" t="n">
        <f aca="false">MAX(0,-M104)</f>
        <v>33.5198348658285</v>
      </c>
      <c r="N106" s="47" t="n">
        <f aca="false">MAX(0,-N104)</f>
        <v>33.5198348658285</v>
      </c>
      <c r="O106" s="47" t="n">
        <f aca="false">MAX(0,-O104)</f>
        <v>33.1554888346782</v>
      </c>
      <c r="P106" s="47" t="n">
        <f aca="false">MAX(0,-P104)</f>
        <v>33.1554888346782</v>
      </c>
      <c r="Q106" s="47" t="n">
        <f aca="false">MAX(0,-Q104)</f>
        <v>33.5198348658285</v>
      </c>
      <c r="R106" s="47" t="n">
        <f aca="false">MAX(0,-R104)</f>
        <v>1218.50271592122</v>
      </c>
      <c r="S106" s="47" t="n">
        <f aca="false">MAX(0,-S104)</f>
        <v>183.866425403357</v>
      </c>
      <c r="T106" s="47" t="n">
        <f aca="false">MAX(0,-T104)</f>
        <v>162.096550739923</v>
      </c>
      <c r="U106" s="47" t="n">
        <f aca="false">MAX(0,-U104)</f>
        <v>149.823411141041</v>
      </c>
      <c r="V106" s="47" t="n">
        <f aca="false">MAX(0,-V104)</f>
        <v>135.61454658484</v>
      </c>
      <c r="W106" s="47" t="n">
        <f aca="false">MAX(0,-W104)</f>
        <v>119.80835924423</v>
      </c>
      <c r="X106" s="47" t="n">
        <f aca="false">MAX(0,-X104)</f>
        <v>107.390673737333</v>
      </c>
      <c r="Y106" s="47" t="n">
        <f aca="false">MAX(0,-Y104)</f>
        <v>94.5163706549071</v>
      </c>
      <c r="Z106" s="47" t="n">
        <f aca="false">MAX(0,-Z104)</f>
        <v>0</v>
      </c>
      <c r="AA106" s="47" t="n">
        <f aca="false">MAX(0,-AA104)</f>
        <v>0</v>
      </c>
      <c r="AB106" s="47" t="n">
        <f aca="false">MAX(0,-AB104)</f>
        <v>0</v>
      </c>
      <c r="AC106" s="47" t="n">
        <f aca="false">MAX(0,-AC104)</f>
        <v>0</v>
      </c>
      <c r="AD106" s="47" t="n">
        <f aca="false">MAX(0,-AD104)</f>
        <v>0</v>
      </c>
      <c r="AE106" s="47" t="n">
        <f aca="false">MAX(0,-AE104)</f>
        <v>0</v>
      </c>
      <c r="AF106" s="47" t="n">
        <f aca="false">MAX(0,-AF104)</f>
        <v>0</v>
      </c>
      <c r="AG106" s="47" t="n">
        <f aca="false">MAX(0,-AG104)</f>
        <v>0</v>
      </c>
      <c r="AH106" s="47" t="n">
        <f aca="false">MAX(0,-AH104)</f>
        <v>0</v>
      </c>
      <c r="AI106" s="47" t="n">
        <f aca="false">MAX(0,-AI104)</f>
        <v>0</v>
      </c>
      <c r="AJ106" s="47" t="n">
        <f aca="false">MAX(0,-AJ104)</f>
        <v>0</v>
      </c>
      <c r="AK106" s="47" t="n">
        <f aca="false">MAX(0,-AK104)</f>
        <v>0</v>
      </c>
      <c r="AL106" s="47" t="n">
        <f aca="false">MAX(0,-AL104)</f>
        <v>0</v>
      </c>
      <c r="AM106" s="47" t="n">
        <f aca="false">MAX(0,-AM104)</f>
        <v>0</v>
      </c>
      <c r="AN106" s="47" t="n">
        <f aca="false">MAX(0,-AN104)</f>
        <v>0</v>
      </c>
      <c r="AO106" s="47" t="n">
        <f aca="false">MAX(0,-AO104)</f>
        <v>0</v>
      </c>
      <c r="AP106" s="47" t="n">
        <f aca="false">MAX(0,-AP104)</f>
        <v>0</v>
      </c>
      <c r="AQ106" s="47" t="n">
        <f aca="false">MAX(0,-AQ104)</f>
        <v>0</v>
      </c>
      <c r="AR106" s="47" t="n">
        <f aca="false">MAX(0,-AR104)</f>
        <v>0</v>
      </c>
      <c r="AS106" s="47" t="n">
        <f aca="false">MAX(0,-AS104)</f>
        <v>0</v>
      </c>
      <c r="AT106" s="47" t="n">
        <f aca="false">MAX(0,-AT104)</f>
        <v>0</v>
      </c>
      <c r="AU106" s="47" t="n">
        <f aca="false">MAX(0,-AU104)</f>
        <v>0</v>
      </c>
      <c r="AV106" s="47" t="n">
        <f aca="false">MAX(0,-AV104)</f>
        <v>0</v>
      </c>
      <c r="AW106" s="47" t="n">
        <f aca="false">MAX(0,-AW104)</f>
        <v>0</v>
      </c>
      <c r="AX106" s="47" t="n">
        <f aca="false">MAX(0,-AX104)</f>
        <v>0</v>
      </c>
      <c r="AY106" s="47" t="n">
        <f aca="false">MAX(0,-AY104)</f>
        <v>0</v>
      </c>
      <c r="AZ106" s="47" t="n">
        <f aca="false">MAX(0,-AZ104)</f>
        <v>0</v>
      </c>
      <c r="BA106" s="47" t="n">
        <f aca="false">MAX(0,-BA104)</f>
        <v>0</v>
      </c>
      <c r="BB106" s="47" t="n">
        <f aca="false">MAX(0,-BB104)</f>
        <v>0</v>
      </c>
      <c r="BC106" s="47" t="n">
        <f aca="false">MAX(0,-BC104)</f>
        <v>0</v>
      </c>
      <c r="BD106" s="47" t="n">
        <f aca="false">MAX(0,-BD104)</f>
        <v>0</v>
      </c>
      <c r="BE106" s="47" t="n">
        <f aca="false">MAX(0,-BE104)</f>
        <v>0</v>
      </c>
      <c r="BF106" s="47" t="n">
        <f aca="false">MAX(0,-BF104)</f>
        <v>0</v>
      </c>
      <c r="BG106" s="47" t="n">
        <f aca="false">MAX(0,-BG104)</f>
        <v>0</v>
      </c>
      <c r="BH106" s="47" t="n">
        <f aca="false">MAX(0,-BH104)</f>
        <v>0</v>
      </c>
      <c r="BI106" s="47" t="n">
        <f aca="false">MAX(0,-BI104)</f>
        <v>0</v>
      </c>
      <c r="BJ106" s="47" t="n">
        <f aca="false">MAX(0,-BJ104)</f>
        <v>0</v>
      </c>
      <c r="BK106" s="47" t="n">
        <f aca="false">MAX(0,-BK104)</f>
        <v>0</v>
      </c>
      <c r="BL106" s="47" t="n">
        <f aca="false">MAX(0,-BL104)</f>
        <v>0</v>
      </c>
      <c r="BM106" s="47" t="n">
        <f aca="false">MAX(0,-BM104)</f>
        <v>0</v>
      </c>
      <c r="BN106" s="47" t="n">
        <f aca="false">MAX(0,-BN104)</f>
        <v>0</v>
      </c>
      <c r="BO106" s="47" t="n">
        <f aca="false">MAX(0,-BO104)</f>
        <v>0</v>
      </c>
      <c r="BP106" s="47" t="n">
        <f aca="false">MAX(0,-BP104)</f>
        <v>0</v>
      </c>
      <c r="BQ106" s="47" t="n">
        <f aca="false">MAX(0,-BQ104)</f>
        <v>0</v>
      </c>
      <c r="BR106" s="47" t="n">
        <f aca="false">MAX(0,-BR104)</f>
        <v>0</v>
      </c>
      <c r="BS106" s="47" t="n">
        <f aca="false">MAX(0,-BS104)</f>
        <v>0</v>
      </c>
      <c r="BT106" s="47" t="n">
        <f aca="false">MAX(0,-BT104)</f>
        <v>0</v>
      </c>
      <c r="BU106" s="47" t="n">
        <f aca="false">MAX(0,-BU104)</f>
        <v>0</v>
      </c>
      <c r="BV106" s="47" t="n">
        <f aca="false">MAX(0,-BV104)</f>
        <v>0</v>
      </c>
      <c r="BW106" s="47" t="n">
        <f aca="false">MAX(0,-BW104)</f>
        <v>0</v>
      </c>
      <c r="BX106" s="47" t="n">
        <f aca="false">MAX(0,-BX104)</f>
        <v>0</v>
      </c>
      <c r="BY106" s="47" t="n">
        <f aca="false">MAX(0,-BY104)</f>
        <v>0</v>
      </c>
      <c r="BZ106" s="47" t="n">
        <f aca="false">MAX(0,-BZ104)</f>
        <v>0</v>
      </c>
      <c r="CA106" s="47" t="n">
        <f aca="false">MAX(0,-CA104)</f>
        <v>0</v>
      </c>
      <c r="CB106" s="47" t="n">
        <f aca="false">MAX(0,-CB104)</f>
        <v>0</v>
      </c>
      <c r="CC106" s="47" t="n">
        <f aca="false">MAX(0,-CC104)</f>
        <v>0</v>
      </c>
      <c r="CD106" s="47" t="n">
        <f aca="false">MAX(0,-CD104)</f>
        <v>0</v>
      </c>
      <c r="CE106" s="47" t="n">
        <f aca="false">MAX(0,-CE104)</f>
        <v>0</v>
      </c>
      <c r="CF106" s="47" t="n">
        <f aca="false">MAX(0,-CF104)</f>
        <v>0</v>
      </c>
      <c r="CG106" s="47" t="n">
        <f aca="false">MAX(0,-CG104)</f>
        <v>0</v>
      </c>
      <c r="CH106" s="47" t="n">
        <f aca="false">MAX(0,-CH104)</f>
        <v>0</v>
      </c>
      <c r="CI106" s="47" t="n">
        <f aca="false">MAX(0,-CI104)</f>
        <v>0</v>
      </c>
      <c r="CJ106" s="47" t="n">
        <f aca="false">MAX(0,-CJ104)</f>
        <v>0</v>
      </c>
      <c r="CK106" s="47" t="n">
        <f aca="false">MAX(0,-CK104)</f>
        <v>0</v>
      </c>
      <c r="CL106" s="47" t="n">
        <f aca="false">MAX(0,-CL104)</f>
        <v>0</v>
      </c>
      <c r="CM106" s="47" t="n">
        <f aca="false">MAX(0,-CM104)</f>
        <v>0</v>
      </c>
      <c r="CN106" s="47" t="n">
        <f aca="false">MAX(0,-CN104)</f>
        <v>0</v>
      </c>
      <c r="CO106" s="47" t="n">
        <f aca="false">MAX(0,-CO104)</f>
        <v>0</v>
      </c>
      <c r="CP106" s="47" t="n">
        <f aca="false">MAX(0,-CP104)</f>
        <v>0</v>
      </c>
      <c r="CQ106" s="47" t="n">
        <f aca="false">MAX(0,-CQ104)</f>
        <v>0</v>
      </c>
      <c r="CR106" s="47" t="n">
        <f aca="false">MAX(0,-CR104)</f>
        <v>0</v>
      </c>
      <c r="CS106" s="47" t="n">
        <f aca="false">MAX(0,-CS104)</f>
        <v>0</v>
      </c>
      <c r="CT106" s="47" t="n">
        <f aca="false">MAX(0,-CT104)</f>
        <v>0</v>
      </c>
      <c r="CU106" s="47" t="n">
        <f aca="false">MAX(0,-CU104)</f>
        <v>0</v>
      </c>
      <c r="CV106" s="47" t="n">
        <f aca="false">MAX(0,-CV104)</f>
        <v>0</v>
      </c>
      <c r="CW106" s="47" t="n">
        <f aca="false">MAX(0,-CW104)</f>
        <v>0</v>
      </c>
      <c r="CX106" s="47" t="n">
        <f aca="false">MAX(0,-CX104)</f>
        <v>0</v>
      </c>
      <c r="CY106" s="47" t="n">
        <f aca="false">MAX(0,-CY104)</f>
        <v>0</v>
      </c>
      <c r="CZ106" s="47" t="n">
        <f aca="false">MAX(0,-CZ104)</f>
        <v>0</v>
      </c>
      <c r="DA106" s="47" t="n">
        <f aca="false">MAX(0,-DA104)</f>
        <v>0</v>
      </c>
      <c r="DB106" s="47" t="n">
        <f aca="false">MAX(0,-DB104)</f>
        <v>0</v>
      </c>
      <c r="DC106" s="47" t="n">
        <f aca="false">MAX(0,-DC104)</f>
        <v>0</v>
      </c>
      <c r="DD106" s="47" t="n">
        <f aca="false">MAX(0,-DD104)</f>
        <v>0</v>
      </c>
      <c r="DE106" s="47" t="n">
        <f aca="false">MAX(0,-DE104)</f>
        <v>0</v>
      </c>
      <c r="DF106" s="47" t="n">
        <f aca="false">MAX(0,-DF104)</f>
        <v>0</v>
      </c>
      <c r="DG106" s="47" t="n">
        <f aca="false">MAX(0,-DG104)</f>
        <v>0</v>
      </c>
      <c r="DH106" s="47" t="n">
        <f aca="false">MAX(0,-DH104)</f>
        <v>0</v>
      </c>
      <c r="DI106" s="47" t="n">
        <f aca="false">MAX(0,-DI104)</f>
        <v>0</v>
      </c>
      <c r="DJ106" s="47" t="n">
        <f aca="false">MAX(0,-DJ104)</f>
        <v>0</v>
      </c>
      <c r="DK106" s="47" t="n">
        <f aca="false">MAX(0,-DK104)</f>
        <v>0</v>
      </c>
      <c r="DL106" s="47" t="n">
        <f aca="false">MAX(0,-DL104)</f>
        <v>0</v>
      </c>
      <c r="DM106" s="47" t="n">
        <f aca="false">MAX(0,-DM104)</f>
        <v>0</v>
      </c>
      <c r="DN106" s="47" t="n">
        <f aca="false">MAX(0,-DN104)</f>
        <v>0</v>
      </c>
      <c r="DO106" s="47" t="n">
        <f aca="false">MAX(0,-DO104)</f>
        <v>0</v>
      </c>
      <c r="DP106" s="47" t="n">
        <f aca="false">MAX(0,-DP104)</f>
        <v>0</v>
      </c>
      <c r="DQ106" s="47" t="n">
        <f aca="false">MAX(0,-DQ104)</f>
        <v>0</v>
      </c>
      <c r="DR106" s="47" t="n">
        <f aca="false">MAX(0,-DR104)</f>
        <v>0</v>
      </c>
      <c r="DS106" s="47" t="n">
        <f aca="false">MAX(0,-DS104)</f>
        <v>0</v>
      </c>
      <c r="DT106" s="47" t="n">
        <f aca="false">MAX(0,-DT104)</f>
        <v>0</v>
      </c>
      <c r="DU106" s="47" t="n">
        <f aca="false">MAX(0,-DU104)</f>
        <v>0</v>
      </c>
      <c r="DV106" s="47" t="n">
        <f aca="false">MAX(0,-DV104)</f>
        <v>0</v>
      </c>
      <c r="DW106" s="47" t="n">
        <f aca="false">MAX(0,-DW104)</f>
        <v>0</v>
      </c>
      <c r="DX106" s="47" t="n">
        <f aca="false">MAX(0,-DX104)</f>
        <v>0</v>
      </c>
      <c r="DY106" s="47" t="n">
        <f aca="false">MAX(0,-DY104)</f>
        <v>0</v>
      </c>
      <c r="DZ106" s="47" t="n">
        <f aca="false">MAX(0,-DZ104)</f>
        <v>0</v>
      </c>
      <c r="EA106" s="47" t="n">
        <f aca="false">MAX(0,-EA104)</f>
        <v>0</v>
      </c>
      <c r="EB106" s="47" t="n">
        <f aca="false">MAX(0,-EB104)</f>
        <v>0</v>
      </c>
      <c r="EC106" s="47" t="n">
        <f aca="false">MAX(0,-EC104)</f>
        <v>0</v>
      </c>
      <c r="ED106" s="47" t="n">
        <f aca="false">MAX(0,-ED104)</f>
        <v>0</v>
      </c>
      <c r="EE106" s="47" t="n">
        <f aca="false">MAX(0,-EE104)</f>
        <v>0</v>
      </c>
      <c r="EF106" s="47" t="n">
        <f aca="false">MAX(0,-EF104)</f>
        <v>0</v>
      </c>
      <c r="EG106" s="47" t="n">
        <f aca="false">MAX(0,-EG104)</f>
        <v>0</v>
      </c>
      <c r="EH106" s="47" t="n">
        <f aca="false">MAX(0,-EH104)</f>
        <v>0</v>
      </c>
      <c r="EI106" s="47" t="n">
        <f aca="false">MAX(0,-EI104)</f>
        <v>0</v>
      </c>
      <c r="EJ106" s="47" t="n">
        <f aca="false">MAX(0,-EJ104)</f>
        <v>0</v>
      </c>
      <c r="EK106" s="47" t="n">
        <f aca="false">MAX(0,-EK104)</f>
        <v>0</v>
      </c>
      <c r="EL106" s="47" t="n">
        <f aca="false">MAX(0,-EL104)</f>
        <v>0</v>
      </c>
      <c r="EM106" s="47" t="n">
        <f aca="false">MAX(0,-EM104)</f>
        <v>0</v>
      </c>
      <c r="EN106" s="47" t="n">
        <f aca="false">MAX(0,-EN104)</f>
        <v>0</v>
      </c>
      <c r="EO106" s="47" t="n">
        <f aca="false">MAX(0,-EO104)</f>
        <v>0</v>
      </c>
    </row>
    <row r="107" customFormat="false" ht="15" hidden="false" customHeight="false" outlineLevel="0" collapsed="false">
      <c r="C107" s="0" t="s">
        <v>469</v>
      </c>
      <c r="D107" s="11" t="s">
        <v>33</v>
      </c>
      <c r="I107" s="47" t="n">
        <f aca="false">SUM(J107:EO107)</f>
        <v>-1865.61273859871</v>
      </c>
      <c r="J107" s="47" t="n">
        <f aca="false">-MIN(J105,In_Loss_Cap*MAX(0,J104))</f>
        <v>-0</v>
      </c>
      <c r="K107" s="47" t="n">
        <f aca="false">-MIN(K105,In_Loss_Cap*MAX(0,K104))</f>
        <v>-0</v>
      </c>
      <c r="L107" s="47" t="n">
        <f aca="false">-MIN(L105,In_Loss_Cap*MAX(0,L104))</f>
        <v>-0</v>
      </c>
      <c r="M107" s="47" t="n">
        <f aca="false">-MIN(M105,In_Loss_Cap*MAX(0,M104))</f>
        <v>-0</v>
      </c>
      <c r="N107" s="47" t="n">
        <f aca="false">-MIN(N105,In_Loss_Cap*MAX(0,N104))</f>
        <v>-0</v>
      </c>
      <c r="O107" s="47" t="n">
        <f aca="false">-MIN(O105,In_Loss_Cap*MAX(0,O104))</f>
        <v>-0</v>
      </c>
      <c r="P107" s="47" t="n">
        <f aca="false">-MIN(P105,In_Loss_Cap*MAX(0,P104))</f>
        <v>-0</v>
      </c>
      <c r="Q107" s="47" t="n">
        <f aca="false">-MIN(Q105,In_Loss_Cap*MAX(0,Q104))</f>
        <v>-0</v>
      </c>
      <c r="R107" s="47" t="n">
        <f aca="false">-MIN(R105,In_Loss_Cap*MAX(0,R104))</f>
        <v>-0</v>
      </c>
      <c r="S107" s="47" t="n">
        <f aca="false">-MIN(S105,In_Loss_Cap*MAX(0,S104))</f>
        <v>-0</v>
      </c>
      <c r="T107" s="47" t="n">
        <f aca="false">-MIN(T105,In_Loss_Cap*MAX(0,T104))</f>
        <v>-0</v>
      </c>
      <c r="U107" s="47" t="n">
        <f aca="false">-MIN(U105,In_Loss_Cap*MAX(0,U104))</f>
        <v>-0</v>
      </c>
      <c r="V107" s="47" t="n">
        <f aca="false">-MIN(V105,In_Loss_Cap*MAX(0,V104))</f>
        <v>-0</v>
      </c>
      <c r="W107" s="47" t="n">
        <f aca="false">-MIN(W105,In_Loss_Cap*MAX(0,W104))</f>
        <v>-0</v>
      </c>
      <c r="X107" s="47" t="n">
        <f aca="false">-MIN(X105,In_Loss_Cap*MAX(0,X104))</f>
        <v>-0</v>
      </c>
      <c r="Y107" s="47" t="n">
        <f aca="false">-MIN(Y105,In_Loss_Cap*MAX(0,Y104))</f>
        <v>-0</v>
      </c>
      <c r="Z107" s="47" t="n">
        <f aca="false">-MIN(Z105,In_Loss_Cap*MAX(0,Z104))</f>
        <v>-128.645718896237</v>
      </c>
      <c r="AA107" s="47" t="n">
        <f aca="false">-MIN(AA105,In_Loss_Cap*MAX(0,AA104))</f>
        <v>-128.992670034726</v>
      </c>
      <c r="AB107" s="47" t="n">
        <f aca="false">-MIN(AB105,In_Loss_Cap*MAX(0,AB104))</f>
        <v>-137.479456491145</v>
      </c>
      <c r="AC107" s="47" t="n">
        <f aca="false">-MIN(AC105,In_Loss_Cap*MAX(0,AC104))</f>
        <v>-146.084847746244</v>
      </c>
      <c r="AD107" s="47" t="n">
        <f aca="false">-MIN(AD105,In_Loss_Cap*MAX(0,AD104))</f>
        <v>-145.137520939162</v>
      </c>
      <c r="AE107" s="47" t="n">
        <f aca="false">-MIN(AE105,In_Loss_Cap*MAX(0,AE104))</f>
        <v>-150.985097078848</v>
      </c>
      <c r="AF107" s="47" t="n">
        <f aca="false">-MIN(AF105,In_Loss_Cap*MAX(0,AF104))</f>
        <v>-154.294689199875</v>
      </c>
      <c r="AG107" s="47" t="n">
        <f aca="false">-MIN(AG105,In_Loss_Cap*MAX(0,AG104))</f>
        <v>-163.12087054221</v>
      </c>
      <c r="AH107" s="47" t="n">
        <f aca="false">-MIN(AH105,In_Loss_Cap*MAX(0,AH104))</f>
        <v>-162.328746642773</v>
      </c>
      <c r="AI107" s="47" t="n">
        <f aca="false">-MIN(AI105,In_Loss_Cap*MAX(0,AI104))</f>
        <v>-162.73087745581</v>
      </c>
      <c r="AJ107" s="47" t="n">
        <f aca="false">-MIN(AJ105,In_Loss_Cap*MAX(0,AJ104))</f>
        <v>-188.238269572612</v>
      </c>
      <c r="AK107" s="47" t="n">
        <f aca="false">-MIN(AK105,In_Loss_Cap*MAX(0,AK104))</f>
        <v>-197.573973999066</v>
      </c>
      <c r="AL107" s="47" t="n">
        <f aca="false">-MIN(AL105,In_Loss_Cap*MAX(0,AL104))</f>
        <v>-0</v>
      </c>
      <c r="AM107" s="47" t="n">
        <f aca="false">-MIN(AM105,In_Loss_Cap*MAX(0,AM104))</f>
        <v>-0</v>
      </c>
      <c r="AN107" s="47" t="n">
        <f aca="false">-MIN(AN105,In_Loss_Cap*MAX(0,AN104))</f>
        <v>-0</v>
      </c>
      <c r="AO107" s="47" t="n">
        <f aca="false">-MIN(AO105,In_Loss_Cap*MAX(0,AO104))</f>
        <v>-0</v>
      </c>
      <c r="AP107" s="47" t="n">
        <f aca="false">-MIN(AP105,In_Loss_Cap*MAX(0,AP104))</f>
        <v>-0</v>
      </c>
      <c r="AQ107" s="47" t="n">
        <f aca="false">-MIN(AQ105,In_Loss_Cap*MAX(0,AQ104))</f>
        <v>-0</v>
      </c>
      <c r="AR107" s="47" t="n">
        <f aca="false">-MIN(AR105,In_Loss_Cap*MAX(0,AR104))</f>
        <v>-0</v>
      </c>
      <c r="AS107" s="47" t="n">
        <f aca="false">-MIN(AS105,In_Loss_Cap*MAX(0,AS104))</f>
        <v>-0</v>
      </c>
      <c r="AT107" s="47" t="n">
        <f aca="false">-MIN(AT105,In_Loss_Cap*MAX(0,AT104))</f>
        <v>-0</v>
      </c>
      <c r="AU107" s="47" t="n">
        <f aca="false">-MIN(AU105,In_Loss_Cap*MAX(0,AU104))</f>
        <v>-0</v>
      </c>
      <c r="AV107" s="47" t="n">
        <f aca="false">-MIN(AV105,In_Loss_Cap*MAX(0,AV104))</f>
        <v>-0</v>
      </c>
      <c r="AW107" s="47" t="n">
        <f aca="false">-MIN(AW105,In_Loss_Cap*MAX(0,AW104))</f>
        <v>-0</v>
      </c>
      <c r="AX107" s="47" t="n">
        <f aca="false">-MIN(AX105,In_Loss_Cap*MAX(0,AX104))</f>
        <v>-0</v>
      </c>
      <c r="AY107" s="47" t="n">
        <f aca="false">-MIN(AY105,In_Loss_Cap*MAX(0,AY104))</f>
        <v>-0</v>
      </c>
      <c r="AZ107" s="47" t="n">
        <f aca="false">-MIN(AZ105,In_Loss_Cap*MAX(0,AZ104))</f>
        <v>-0</v>
      </c>
      <c r="BA107" s="47" t="n">
        <f aca="false">-MIN(BA105,In_Loss_Cap*MAX(0,BA104))</f>
        <v>-0</v>
      </c>
      <c r="BB107" s="47" t="n">
        <f aca="false">-MIN(BB105,In_Loss_Cap*MAX(0,BB104))</f>
        <v>-0</v>
      </c>
      <c r="BC107" s="47" t="n">
        <f aca="false">-MIN(BC105,In_Loss_Cap*MAX(0,BC104))</f>
        <v>-0</v>
      </c>
      <c r="BD107" s="47" t="n">
        <f aca="false">-MIN(BD105,In_Loss_Cap*MAX(0,BD104))</f>
        <v>-0</v>
      </c>
      <c r="BE107" s="47" t="n">
        <f aca="false">-MIN(BE105,In_Loss_Cap*MAX(0,BE104))</f>
        <v>-0</v>
      </c>
      <c r="BF107" s="47" t="n">
        <f aca="false">-MIN(BF105,In_Loss_Cap*MAX(0,BF104))</f>
        <v>-0</v>
      </c>
      <c r="BG107" s="47" t="n">
        <f aca="false">-MIN(BG105,In_Loss_Cap*MAX(0,BG104))</f>
        <v>-0</v>
      </c>
      <c r="BH107" s="47" t="n">
        <f aca="false">-MIN(BH105,In_Loss_Cap*MAX(0,BH104))</f>
        <v>-0</v>
      </c>
      <c r="BI107" s="47" t="n">
        <f aca="false">-MIN(BI105,In_Loss_Cap*MAX(0,BI104))</f>
        <v>-0</v>
      </c>
      <c r="BJ107" s="47" t="n">
        <f aca="false">-MIN(BJ105,In_Loss_Cap*MAX(0,BJ104))</f>
        <v>-0</v>
      </c>
      <c r="BK107" s="47" t="n">
        <f aca="false">-MIN(BK105,In_Loss_Cap*MAX(0,BK104))</f>
        <v>-0</v>
      </c>
      <c r="BL107" s="47" t="n">
        <f aca="false">-MIN(BL105,In_Loss_Cap*MAX(0,BL104))</f>
        <v>-0</v>
      </c>
      <c r="BM107" s="47" t="n">
        <f aca="false">-MIN(BM105,In_Loss_Cap*MAX(0,BM104))</f>
        <v>-0</v>
      </c>
      <c r="BN107" s="47" t="n">
        <f aca="false">-MIN(BN105,In_Loss_Cap*MAX(0,BN104))</f>
        <v>-0</v>
      </c>
      <c r="BO107" s="47" t="n">
        <f aca="false">-MIN(BO105,In_Loss_Cap*MAX(0,BO104))</f>
        <v>-0</v>
      </c>
      <c r="BP107" s="47" t="n">
        <f aca="false">-MIN(BP105,In_Loss_Cap*MAX(0,BP104))</f>
        <v>-0</v>
      </c>
      <c r="BQ107" s="47" t="n">
        <f aca="false">-MIN(BQ105,In_Loss_Cap*MAX(0,BQ104))</f>
        <v>-0</v>
      </c>
      <c r="BR107" s="47" t="n">
        <f aca="false">-MIN(BR105,In_Loss_Cap*MAX(0,BR104))</f>
        <v>-0</v>
      </c>
      <c r="BS107" s="47" t="n">
        <f aca="false">-MIN(BS105,In_Loss_Cap*MAX(0,BS104))</f>
        <v>-0</v>
      </c>
      <c r="BT107" s="47" t="n">
        <f aca="false">-MIN(BT105,In_Loss_Cap*MAX(0,BT104))</f>
        <v>-0</v>
      </c>
      <c r="BU107" s="47" t="n">
        <f aca="false">-MIN(BU105,In_Loss_Cap*MAX(0,BU104))</f>
        <v>-0</v>
      </c>
      <c r="BV107" s="47" t="n">
        <f aca="false">-MIN(BV105,In_Loss_Cap*MAX(0,BV104))</f>
        <v>-0</v>
      </c>
      <c r="BW107" s="47" t="n">
        <f aca="false">-MIN(BW105,In_Loss_Cap*MAX(0,BW104))</f>
        <v>-0</v>
      </c>
      <c r="BX107" s="47" t="n">
        <f aca="false">-MIN(BX105,In_Loss_Cap*MAX(0,BX104))</f>
        <v>-0</v>
      </c>
      <c r="BY107" s="47" t="n">
        <f aca="false">-MIN(BY105,In_Loss_Cap*MAX(0,BY104))</f>
        <v>-0</v>
      </c>
      <c r="BZ107" s="47" t="n">
        <f aca="false">-MIN(BZ105,In_Loss_Cap*MAX(0,BZ104))</f>
        <v>-0</v>
      </c>
      <c r="CA107" s="47" t="n">
        <f aca="false">-MIN(CA105,In_Loss_Cap*MAX(0,CA104))</f>
        <v>-0</v>
      </c>
      <c r="CB107" s="47" t="n">
        <f aca="false">-MIN(CB105,In_Loss_Cap*MAX(0,CB104))</f>
        <v>-0</v>
      </c>
      <c r="CC107" s="47" t="n">
        <f aca="false">-MIN(CC105,In_Loss_Cap*MAX(0,CC104))</f>
        <v>-0</v>
      </c>
      <c r="CD107" s="47" t="n">
        <f aca="false">-MIN(CD105,In_Loss_Cap*MAX(0,CD104))</f>
        <v>-0</v>
      </c>
      <c r="CE107" s="47" t="n">
        <f aca="false">-MIN(CE105,In_Loss_Cap*MAX(0,CE104))</f>
        <v>-0</v>
      </c>
      <c r="CF107" s="47" t="n">
        <f aca="false">-MIN(CF105,In_Loss_Cap*MAX(0,CF104))</f>
        <v>-0</v>
      </c>
      <c r="CG107" s="47" t="n">
        <f aca="false">-MIN(CG105,In_Loss_Cap*MAX(0,CG104))</f>
        <v>-0</v>
      </c>
      <c r="CH107" s="47" t="n">
        <f aca="false">-MIN(CH105,In_Loss_Cap*MAX(0,CH104))</f>
        <v>-0</v>
      </c>
      <c r="CI107" s="47" t="n">
        <f aca="false">-MIN(CI105,In_Loss_Cap*MAX(0,CI104))</f>
        <v>-0</v>
      </c>
      <c r="CJ107" s="47" t="n">
        <f aca="false">-MIN(CJ105,In_Loss_Cap*MAX(0,CJ104))</f>
        <v>-0</v>
      </c>
      <c r="CK107" s="47" t="n">
        <f aca="false">-MIN(CK105,In_Loss_Cap*MAX(0,CK104))</f>
        <v>-0</v>
      </c>
      <c r="CL107" s="47" t="n">
        <f aca="false">-MIN(CL105,In_Loss_Cap*MAX(0,CL104))</f>
        <v>-0</v>
      </c>
      <c r="CM107" s="47" t="n">
        <f aca="false">-MIN(CM105,In_Loss_Cap*MAX(0,CM104))</f>
        <v>-0</v>
      </c>
      <c r="CN107" s="47" t="n">
        <f aca="false">-MIN(CN105,In_Loss_Cap*MAX(0,CN104))</f>
        <v>-0</v>
      </c>
      <c r="CO107" s="47" t="n">
        <f aca="false">-MIN(CO105,In_Loss_Cap*MAX(0,CO104))</f>
        <v>-0</v>
      </c>
      <c r="CP107" s="47" t="n">
        <f aca="false">-MIN(CP105,In_Loss_Cap*MAX(0,CP104))</f>
        <v>-0</v>
      </c>
      <c r="CQ107" s="47" t="n">
        <f aca="false">-MIN(CQ105,In_Loss_Cap*MAX(0,CQ104))</f>
        <v>-0</v>
      </c>
      <c r="CR107" s="47" t="n">
        <f aca="false">-MIN(CR105,In_Loss_Cap*MAX(0,CR104))</f>
        <v>-0</v>
      </c>
      <c r="CS107" s="47" t="n">
        <f aca="false">-MIN(CS105,In_Loss_Cap*MAX(0,CS104))</f>
        <v>-0</v>
      </c>
      <c r="CT107" s="47" t="n">
        <f aca="false">-MIN(CT105,In_Loss_Cap*MAX(0,CT104))</f>
        <v>-0</v>
      </c>
      <c r="CU107" s="47" t="n">
        <f aca="false">-MIN(CU105,In_Loss_Cap*MAX(0,CU104))</f>
        <v>-0</v>
      </c>
      <c r="CV107" s="47" t="n">
        <f aca="false">-MIN(CV105,In_Loss_Cap*MAX(0,CV104))</f>
        <v>-0</v>
      </c>
      <c r="CW107" s="47" t="n">
        <f aca="false">-MIN(CW105,In_Loss_Cap*MAX(0,CW104))</f>
        <v>-0</v>
      </c>
      <c r="CX107" s="47" t="n">
        <f aca="false">-MIN(CX105,In_Loss_Cap*MAX(0,CX104))</f>
        <v>-0</v>
      </c>
      <c r="CY107" s="47" t="n">
        <f aca="false">-MIN(CY105,In_Loss_Cap*MAX(0,CY104))</f>
        <v>-0</v>
      </c>
      <c r="CZ107" s="47" t="n">
        <f aca="false">-MIN(CZ105,In_Loss_Cap*MAX(0,CZ104))</f>
        <v>-0</v>
      </c>
      <c r="DA107" s="47" t="n">
        <f aca="false">-MIN(DA105,In_Loss_Cap*MAX(0,DA104))</f>
        <v>-0</v>
      </c>
      <c r="DB107" s="47" t="n">
        <f aca="false">-MIN(DB105,In_Loss_Cap*MAX(0,DB104))</f>
        <v>-0</v>
      </c>
      <c r="DC107" s="47" t="n">
        <f aca="false">-MIN(DC105,In_Loss_Cap*MAX(0,DC104))</f>
        <v>-0</v>
      </c>
      <c r="DD107" s="47" t="n">
        <f aca="false">-MIN(DD105,In_Loss_Cap*MAX(0,DD104))</f>
        <v>-0</v>
      </c>
      <c r="DE107" s="47" t="n">
        <f aca="false">-MIN(DE105,In_Loss_Cap*MAX(0,DE104))</f>
        <v>-0</v>
      </c>
      <c r="DF107" s="47" t="n">
        <f aca="false">-MIN(DF105,In_Loss_Cap*MAX(0,DF104))</f>
        <v>-0</v>
      </c>
      <c r="DG107" s="47" t="n">
        <f aca="false">-MIN(DG105,In_Loss_Cap*MAX(0,DG104))</f>
        <v>-0</v>
      </c>
      <c r="DH107" s="47" t="n">
        <f aca="false">-MIN(DH105,In_Loss_Cap*MAX(0,DH104))</f>
        <v>-0</v>
      </c>
      <c r="DI107" s="47" t="n">
        <f aca="false">-MIN(DI105,In_Loss_Cap*MAX(0,DI104))</f>
        <v>-0</v>
      </c>
      <c r="DJ107" s="47" t="n">
        <f aca="false">-MIN(DJ105,In_Loss_Cap*MAX(0,DJ104))</f>
        <v>-0</v>
      </c>
      <c r="DK107" s="47" t="n">
        <f aca="false">-MIN(DK105,In_Loss_Cap*MAX(0,DK104))</f>
        <v>-0</v>
      </c>
      <c r="DL107" s="47" t="n">
        <f aca="false">-MIN(DL105,In_Loss_Cap*MAX(0,DL104))</f>
        <v>-0</v>
      </c>
      <c r="DM107" s="47" t="n">
        <f aca="false">-MIN(DM105,In_Loss_Cap*MAX(0,DM104))</f>
        <v>-0</v>
      </c>
      <c r="DN107" s="47" t="n">
        <f aca="false">-MIN(DN105,In_Loss_Cap*MAX(0,DN104))</f>
        <v>-0</v>
      </c>
      <c r="DO107" s="47" t="n">
        <f aca="false">-MIN(DO105,In_Loss_Cap*MAX(0,DO104))</f>
        <v>-0</v>
      </c>
      <c r="DP107" s="47" t="n">
        <f aca="false">-MIN(DP105,In_Loss_Cap*MAX(0,DP104))</f>
        <v>-0</v>
      </c>
      <c r="DQ107" s="47" t="n">
        <f aca="false">-MIN(DQ105,In_Loss_Cap*MAX(0,DQ104))</f>
        <v>-0</v>
      </c>
      <c r="DR107" s="47" t="n">
        <f aca="false">-MIN(DR105,In_Loss_Cap*MAX(0,DR104))</f>
        <v>-0</v>
      </c>
      <c r="DS107" s="47" t="n">
        <f aca="false">-MIN(DS105,In_Loss_Cap*MAX(0,DS104))</f>
        <v>-0</v>
      </c>
      <c r="DT107" s="47" t="n">
        <f aca="false">-MIN(DT105,In_Loss_Cap*MAX(0,DT104))</f>
        <v>-0</v>
      </c>
      <c r="DU107" s="47" t="n">
        <f aca="false">-MIN(DU105,In_Loss_Cap*MAX(0,DU104))</f>
        <v>-0</v>
      </c>
      <c r="DV107" s="47" t="n">
        <f aca="false">-MIN(DV105,In_Loss_Cap*MAX(0,DV104))</f>
        <v>-0</v>
      </c>
      <c r="DW107" s="47" t="n">
        <f aca="false">-MIN(DW105,In_Loss_Cap*MAX(0,DW104))</f>
        <v>-0</v>
      </c>
      <c r="DX107" s="47" t="n">
        <f aca="false">-MIN(DX105,In_Loss_Cap*MAX(0,DX104))</f>
        <v>-0</v>
      </c>
      <c r="DY107" s="47" t="n">
        <f aca="false">-MIN(DY105,In_Loss_Cap*MAX(0,DY104))</f>
        <v>-0</v>
      </c>
      <c r="DZ107" s="47" t="n">
        <f aca="false">-MIN(DZ105,In_Loss_Cap*MAX(0,DZ104))</f>
        <v>-0</v>
      </c>
      <c r="EA107" s="47" t="n">
        <f aca="false">-MIN(EA105,In_Loss_Cap*MAX(0,EA104))</f>
        <v>-0</v>
      </c>
      <c r="EB107" s="47" t="n">
        <f aca="false">-MIN(EB105,In_Loss_Cap*MAX(0,EB104))</f>
        <v>-0</v>
      </c>
      <c r="EC107" s="47" t="n">
        <f aca="false">-MIN(EC105,In_Loss_Cap*MAX(0,EC104))</f>
        <v>-0</v>
      </c>
      <c r="ED107" s="47" t="n">
        <f aca="false">-MIN(ED105,In_Loss_Cap*MAX(0,ED104))</f>
        <v>-0</v>
      </c>
      <c r="EE107" s="47" t="n">
        <f aca="false">-MIN(EE105,In_Loss_Cap*MAX(0,EE104))</f>
        <v>-0</v>
      </c>
      <c r="EF107" s="47" t="n">
        <f aca="false">-MIN(EF105,In_Loss_Cap*MAX(0,EF104))</f>
        <v>-0</v>
      </c>
      <c r="EG107" s="47" t="n">
        <f aca="false">-MIN(EG105,In_Loss_Cap*MAX(0,EG104))</f>
        <v>-0</v>
      </c>
      <c r="EH107" s="47" t="n">
        <f aca="false">-MIN(EH105,In_Loss_Cap*MAX(0,EH104))</f>
        <v>-0</v>
      </c>
      <c r="EI107" s="47" t="n">
        <f aca="false">-MIN(EI105,In_Loss_Cap*MAX(0,EI104))</f>
        <v>-0</v>
      </c>
      <c r="EJ107" s="47" t="n">
        <f aca="false">-MIN(EJ105,In_Loss_Cap*MAX(0,EJ104))</f>
        <v>-0</v>
      </c>
      <c r="EK107" s="47" t="n">
        <f aca="false">-MIN(EK105,In_Loss_Cap*MAX(0,EK104))</f>
        <v>-0</v>
      </c>
      <c r="EL107" s="47" t="n">
        <f aca="false">-MIN(EL105,In_Loss_Cap*MAX(0,EL104))</f>
        <v>-0</v>
      </c>
      <c r="EM107" s="47" t="n">
        <f aca="false">-MIN(EM105,In_Loss_Cap*MAX(0,EM104))</f>
        <v>-0</v>
      </c>
      <c r="EN107" s="47" t="n">
        <f aca="false">-MIN(EN105,In_Loss_Cap*MAX(0,EN104))</f>
        <v>-0</v>
      </c>
      <c r="EO107" s="47" t="n">
        <f aca="false">-MIN(EO105,In_Loss_Cap*MAX(0,EO104))</f>
        <v>-0</v>
      </c>
    </row>
    <row r="108" customFormat="false" ht="15" hidden="false" customHeight="false" outlineLevel="0" collapsed="false">
      <c r="C108" s="0" t="s">
        <v>470</v>
      </c>
      <c r="D108" s="11" t="s">
        <v>33</v>
      </c>
      <c r="E108" s="45" t="n">
        <f aca="false">EDATE(In_NTP,In_Loss_Years*Months_In_Year)</f>
        <v>48852</v>
      </c>
      <c r="I108" s="47" t="n">
        <f aca="false">SUM(J108:EO108)</f>
        <v>-538.516909686463</v>
      </c>
      <c r="J108" s="47" t="n">
        <f aca="false">-(J105+J106+J107)*N(AND(J$3&lt;=$E108,J$4&gt;=$E108))</f>
        <v>-0</v>
      </c>
      <c r="K108" s="47" t="n">
        <f aca="false">-(K105+K106+K107)*N(AND(K$3&lt;=$E108,K$4&gt;=$E108))</f>
        <v>-0</v>
      </c>
      <c r="L108" s="47" t="n">
        <f aca="false">-(L105+L106+L107)*N(AND(L$3&lt;=$E108,L$4&gt;=$E108))</f>
        <v>-0</v>
      </c>
      <c r="M108" s="47" t="n">
        <f aca="false">-(M105+M106+M107)*N(AND(M$3&lt;=$E108,M$4&gt;=$E108))</f>
        <v>-0</v>
      </c>
      <c r="N108" s="47" t="n">
        <f aca="false">-(N105+N106+N107)*N(AND(N$3&lt;=$E108,N$4&gt;=$E108))</f>
        <v>-0</v>
      </c>
      <c r="O108" s="47" t="n">
        <f aca="false">-(O105+O106+O107)*N(AND(O$3&lt;=$E108,O$4&gt;=$E108))</f>
        <v>-0</v>
      </c>
      <c r="P108" s="47" t="n">
        <f aca="false">-(P105+P106+P107)*N(AND(P$3&lt;=$E108,P$4&gt;=$E108))</f>
        <v>-0</v>
      </c>
      <c r="Q108" s="47" t="n">
        <f aca="false">-(Q105+Q106+Q107)*N(AND(Q$3&lt;=$E108,Q$4&gt;=$E108))</f>
        <v>-0</v>
      </c>
      <c r="R108" s="47" t="n">
        <f aca="false">-(R105+R106+R107)*N(AND(R$3&lt;=$E108,R$4&gt;=$E108))</f>
        <v>-0</v>
      </c>
      <c r="S108" s="47" t="n">
        <f aca="false">-(S105+S106+S107)*N(AND(S$3&lt;=$E108,S$4&gt;=$E108))</f>
        <v>-0</v>
      </c>
      <c r="T108" s="47" t="n">
        <f aca="false">-(T105+T106+T107)*N(AND(T$3&lt;=$E108,T$4&gt;=$E108))</f>
        <v>-0</v>
      </c>
      <c r="U108" s="47" t="n">
        <f aca="false">-(U105+U106+U107)*N(AND(U$3&lt;=$E108,U$4&gt;=$E108))</f>
        <v>-0</v>
      </c>
      <c r="V108" s="47" t="n">
        <f aca="false">-(V105+V106+V107)*N(AND(V$3&lt;=$E108,V$4&gt;=$E108))</f>
        <v>-0</v>
      </c>
      <c r="W108" s="47" t="n">
        <f aca="false">-(W105+W106+W107)*N(AND(W$3&lt;=$E108,W$4&gt;=$E108))</f>
        <v>-0</v>
      </c>
      <c r="X108" s="47" t="n">
        <f aca="false">-(X105+X106+X107)*N(AND(X$3&lt;=$E108,X$4&gt;=$E108))</f>
        <v>-0</v>
      </c>
      <c r="Y108" s="47" t="n">
        <f aca="false">-(Y105+Y106+Y107)*N(AND(Y$3&lt;=$E108,Y$4&gt;=$E108))</f>
        <v>-0</v>
      </c>
      <c r="Z108" s="47" t="n">
        <f aca="false">-(Z105+Z106+Z107)*N(AND(Z$3&lt;=$E108,Z$4&gt;=$E108))</f>
        <v>-0</v>
      </c>
      <c r="AA108" s="47" t="n">
        <f aca="false">-(AA105+AA106+AA107)*N(AND(AA$3&lt;=$E108,AA$4&gt;=$E108))</f>
        <v>-0</v>
      </c>
      <c r="AB108" s="47" t="n">
        <f aca="false">-(AB105+AB106+AB107)*N(AND(AB$3&lt;=$E108,AB$4&gt;=$E108))</f>
        <v>-0</v>
      </c>
      <c r="AC108" s="47" t="n">
        <f aca="false">-(AC105+AC106+AC107)*N(AND(AC$3&lt;=$E108,AC$4&gt;=$E108))</f>
        <v>-0</v>
      </c>
      <c r="AD108" s="47" t="n">
        <f aca="false">-(AD105+AD106+AD107)*N(AND(AD$3&lt;=$E108,AD$4&gt;=$E108))</f>
        <v>-0</v>
      </c>
      <c r="AE108" s="47" t="n">
        <f aca="false">-(AE105+AE106+AE107)*N(AND(AE$3&lt;=$E108,AE$4&gt;=$E108))</f>
        <v>-0</v>
      </c>
      <c r="AF108" s="47" t="n">
        <f aca="false">-(AF105+AF106+AF107)*N(AND(AF$3&lt;=$E108,AF$4&gt;=$E108))</f>
        <v>-0</v>
      </c>
      <c r="AG108" s="47" t="n">
        <f aca="false">-(AG105+AG106+AG107)*N(AND(AG$3&lt;=$E108,AG$4&gt;=$E108))</f>
        <v>-0</v>
      </c>
      <c r="AH108" s="47" t="n">
        <f aca="false">-(AH105+AH106+AH107)*N(AND(AH$3&lt;=$E108,AH$4&gt;=$E108))</f>
        <v>-0</v>
      </c>
      <c r="AI108" s="47" t="n">
        <f aca="false">-(AI105+AI106+AI107)*N(AND(AI$3&lt;=$E108,AI$4&gt;=$E108))</f>
        <v>-0</v>
      </c>
      <c r="AJ108" s="47" t="n">
        <f aca="false">-(AJ105+AJ106+AJ107)*N(AND(AJ$3&lt;=$E108,AJ$4&gt;=$E108))</f>
        <v>-0</v>
      </c>
      <c r="AK108" s="47" t="n">
        <f aca="false">-(AK105+AK106+AK107)*N(AND(AK$3&lt;=$E108,AK$4&gt;=$E108))</f>
        <v>-538.516909686463</v>
      </c>
      <c r="AL108" s="47" t="n">
        <f aca="false">-(AL105+AL106+AL107)*N(AND(AL$3&lt;=$E108,AL$4&gt;=$E108))</f>
        <v>-0</v>
      </c>
      <c r="AM108" s="47" t="n">
        <f aca="false">-(AM105+AM106+AM107)*N(AND(AM$3&lt;=$E108,AM$4&gt;=$E108))</f>
        <v>-0</v>
      </c>
      <c r="AN108" s="47" t="n">
        <f aca="false">-(AN105+AN106+AN107)*N(AND(AN$3&lt;=$E108,AN$4&gt;=$E108))</f>
        <v>-0</v>
      </c>
      <c r="AO108" s="47" t="n">
        <f aca="false">-(AO105+AO106+AO107)*N(AND(AO$3&lt;=$E108,AO$4&gt;=$E108))</f>
        <v>-0</v>
      </c>
      <c r="AP108" s="47" t="n">
        <f aca="false">-(AP105+AP106+AP107)*N(AND(AP$3&lt;=$E108,AP$4&gt;=$E108))</f>
        <v>-0</v>
      </c>
      <c r="AQ108" s="47" t="n">
        <f aca="false">-(AQ105+AQ106+AQ107)*N(AND(AQ$3&lt;=$E108,AQ$4&gt;=$E108))</f>
        <v>-0</v>
      </c>
      <c r="AR108" s="47" t="n">
        <f aca="false">-(AR105+AR106+AR107)*N(AND(AR$3&lt;=$E108,AR$4&gt;=$E108))</f>
        <v>-0</v>
      </c>
      <c r="AS108" s="47" t="n">
        <f aca="false">-(AS105+AS106+AS107)*N(AND(AS$3&lt;=$E108,AS$4&gt;=$E108))</f>
        <v>-0</v>
      </c>
      <c r="AT108" s="47" t="n">
        <f aca="false">-(AT105+AT106+AT107)*N(AND(AT$3&lt;=$E108,AT$4&gt;=$E108))</f>
        <v>-0</v>
      </c>
      <c r="AU108" s="47" t="n">
        <f aca="false">-(AU105+AU106+AU107)*N(AND(AU$3&lt;=$E108,AU$4&gt;=$E108))</f>
        <v>-0</v>
      </c>
      <c r="AV108" s="47" t="n">
        <f aca="false">-(AV105+AV106+AV107)*N(AND(AV$3&lt;=$E108,AV$4&gt;=$E108))</f>
        <v>-0</v>
      </c>
      <c r="AW108" s="47" t="n">
        <f aca="false">-(AW105+AW106+AW107)*N(AND(AW$3&lt;=$E108,AW$4&gt;=$E108))</f>
        <v>-0</v>
      </c>
      <c r="AX108" s="47" t="n">
        <f aca="false">-(AX105+AX106+AX107)*N(AND(AX$3&lt;=$E108,AX$4&gt;=$E108))</f>
        <v>-0</v>
      </c>
      <c r="AY108" s="47" t="n">
        <f aca="false">-(AY105+AY106+AY107)*N(AND(AY$3&lt;=$E108,AY$4&gt;=$E108))</f>
        <v>-0</v>
      </c>
      <c r="AZ108" s="47" t="n">
        <f aca="false">-(AZ105+AZ106+AZ107)*N(AND(AZ$3&lt;=$E108,AZ$4&gt;=$E108))</f>
        <v>-0</v>
      </c>
      <c r="BA108" s="47" t="n">
        <f aca="false">-(BA105+BA106+BA107)*N(AND(BA$3&lt;=$E108,BA$4&gt;=$E108))</f>
        <v>-0</v>
      </c>
      <c r="BB108" s="47" t="n">
        <f aca="false">-(BB105+BB106+BB107)*N(AND(BB$3&lt;=$E108,BB$4&gt;=$E108))</f>
        <v>-0</v>
      </c>
      <c r="BC108" s="47" t="n">
        <f aca="false">-(BC105+BC106+BC107)*N(AND(BC$3&lt;=$E108,BC$4&gt;=$E108))</f>
        <v>-0</v>
      </c>
      <c r="BD108" s="47" t="n">
        <f aca="false">-(BD105+BD106+BD107)*N(AND(BD$3&lt;=$E108,BD$4&gt;=$E108))</f>
        <v>-0</v>
      </c>
      <c r="BE108" s="47" t="n">
        <f aca="false">-(BE105+BE106+BE107)*N(AND(BE$3&lt;=$E108,BE$4&gt;=$E108))</f>
        <v>-0</v>
      </c>
      <c r="BF108" s="47" t="n">
        <f aca="false">-(BF105+BF106+BF107)*N(AND(BF$3&lt;=$E108,BF$4&gt;=$E108))</f>
        <v>-0</v>
      </c>
      <c r="BG108" s="47" t="n">
        <f aca="false">-(BG105+BG106+BG107)*N(AND(BG$3&lt;=$E108,BG$4&gt;=$E108))</f>
        <v>-0</v>
      </c>
      <c r="BH108" s="47" t="n">
        <f aca="false">-(BH105+BH106+BH107)*N(AND(BH$3&lt;=$E108,BH$4&gt;=$E108))</f>
        <v>-0</v>
      </c>
      <c r="BI108" s="47" t="n">
        <f aca="false">-(BI105+BI106+BI107)*N(AND(BI$3&lt;=$E108,BI$4&gt;=$E108))</f>
        <v>-0</v>
      </c>
      <c r="BJ108" s="47" t="n">
        <f aca="false">-(BJ105+BJ106+BJ107)*N(AND(BJ$3&lt;=$E108,BJ$4&gt;=$E108))</f>
        <v>-0</v>
      </c>
      <c r="BK108" s="47" t="n">
        <f aca="false">-(BK105+BK106+BK107)*N(AND(BK$3&lt;=$E108,BK$4&gt;=$E108))</f>
        <v>-0</v>
      </c>
      <c r="BL108" s="47" t="n">
        <f aca="false">-(BL105+BL106+BL107)*N(AND(BL$3&lt;=$E108,BL$4&gt;=$E108))</f>
        <v>-0</v>
      </c>
      <c r="BM108" s="47" t="n">
        <f aca="false">-(BM105+BM106+BM107)*N(AND(BM$3&lt;=$E108,BM$4&gt;=$E108))</f>
        <v>-0</v>
      </c>
      <c r="BN108" s="47" t="n">
        <f aca="false">-(BN105+BN106+BN107)*N(AND(BN$3&lt;=$E108,BN$4&gt;=$E108))</f>
        <v>-0</v>
      </c>
      <c r="BO108" s="47" t="n">
        <f aca="false">-(BO105+BO106+BO107)*N(AND(BO$3&lt;=$E108,BO$4&gt;=$E108))</f>
        <v>-0</v>
      </c>
      <c r="BP108" s="47" t="n">
        <f aca="false">-(BP105+BP106+BP107)*N(AND(BP$3&lt;=$E108,BP$4&gt;=$E108))</f>
        <v>-0</v>
      </c>
      <c r="BQ108" s="47" t="n">
        <f aca="false">-(BQ105+BQ106+BQ107)*N(AND(BQ$3&lt;=$E108,BQ$4&gt;=$E108))</f>
        <v>-0</v>
      </c>
      <c r="BR108" s="47" t="n">
        <f aca="false">-(BR105+BR106+BR107)*N(AND(BR$3&lt;=$E108,BR$4&gt;=$E108))</f>
        <v>-0</v>
      </c>
      <c r="BS108" s="47" t="n">
        <f aca="false">-(BS105+BS106+BS107)*N(AND(BS$3&lt;=$E108,BS$4&gt;=$E108))</f>
        <v>-0</v>
      </c>
      <c r="BT108" s="47" t="n">
        <f aca="false">-(BT105+BT106+BT107)*N(AND(BT$3&lt;=$E108,BT$4&gt;=$E108))</f>
        <v>-0</v>
      </c>
      <c r="BU108" s="47" t="n">
        <f aca="false">-(BU105+BU106+BU107)*N(AND(BU$3&lt;=$E108,BU$4&gt;=$E108))</f>
        <v>-0</v>
      </c>
      <c r="BV108" s="47" t="n">
        <f aca="false">-(BV105+BV106+BV107)*N(AND(BV$3&lt;=$E108,BV$4&gt;=$E108))</f>
        <v>-0</v>
      </c>
      <c r="BW108" s="47" t="n">
        <f aca="false">-(BW105+BW106+BW107)*N(AND(BW$3&lt;=$E108,BW$4&gt;=$E108))</f>
        <v>-0</v>
      </c>
      <c r="BX108" s="47" t="n">
        <f aca="false">-(BX105+BX106+BX107)*N(AND(BX$3&lt;=$E108,BX$4&gt;=$E108))</f>
        <v>-0</v>
      </c>
      <c r="BY108" s="47" t="n">
        <f aca="false">-(BY105+BY106+BY107)*N(AND(BY$3&lt;=$E108,BY$4&gt;=$E108))</f>
        <v>-0</v>
      </c>
      <c r="BZ108" s="47" t="n">
        <f aca="false">-(BZ105+BZ106+BZ107)*N(AND(BZ$3&lt;=$E108,BZ$4&gt;=$E108))</f>
        <v>-0</v>
      </c>
      <c r="CA108" s="47" t="n">
        <f aca="false">-(CA105+CA106+CA107)*N(AND(CA$3&lt;=$E108,CA$4&gt;=$E108))</f>
        <v>-0</v>
      </c>
      <c r="CB108" s="47" t="n">
        <f aca="false">-(CB105+CB106+CB107)*N(AND(CB$3&lt;=$E108,CB$4&gt;=$E108))</f>
        <v>-0</v>
      </c>
      <c r="CC108" s="47" t="n">
        <f aca="false">-(CC105+CC106+CC107)*N(AND(CC$3&lt;=$E108,CC$4&gt;=$E108))</f>
        <v>-0</v>
      </c>
      <c r="CD108" s="47" t="n">
        <f aca="false">-(CD105+CD106+CD107)*N(AND(CD$3&lt;=$E108,CD$4&gt;=$E108))</f>
        <v>-0</v>
      </c>
      <c r="CE108" s="47" t="n">
        <f aca="false">-(CE105+CE106+CE107)*N(AND(CE$3&lt;=$E108,CE$4&gt;=$E108))</f>
        <v>-0</v>
      </c>
      <c r="CF108" s="47" t="n">
        <f aca="false">-(CF105+CF106+CF107)*N(AND(CF$3&lt;=$E108,CF$4&gt;=$E108))</f>
        <v>-0</v>
      </c>
      <c r="CG108" s="47" t="n">
        <f aca="false">-(CG105+CG106+CG107)*N(AND(CG$3&lt;=$E108,CG$4&gt;=$E108))</f>
        <v>-0</v>
      </c>
      <c r="CH108" s="47" t="n">
        <f aca="false">-(CH105+CH106+CH107)*N(AND(CH$3&lt;=$E108,CH$4&gt;=$E108))</f>
        <v>-0</v>
      </c>
      <c r="CI108" s="47" t="n">
        <f aca="false">-(CI105+CI106+CI107)*N(AND(CI$3&lt;=$E108,CI$4&gt;=$E108))</f>
        <v>-0</v>
      </c>
      <c r="CJ108" s="47" t="n">
        <f aca="false">-(CJ105+CJ106+CJ107)*N(AND(CJ$3&lt;=$E108,CJ$4&gt;=$E108))</f>
        <v>-0</v>
      </c>
      <c r="CK108" s="47" t="n">
        <f aca="false">-(CK105+CK106+CK107)*N(AND(CK$3&lt;=$E108,CK$4&gt;=$E108))</f>
        <v>-0</v>
      </c>
      <c r="CL108" s="47" t="n">
        <f aca="false">-(CL105+CL106+CL107)*N(AND(CL$3&lt;=$E108,CL$4&gt;=$E108))</f>
        <v>-0</v>
      </c>
      <c r="CM108" s="47" t="n">
        <f aca="false">-(CM105+CM106+CM107)*N(AND(CM$3&lt;=$E108,CM$4&gt;=$E108))</f>
        <v>-0</v>
      </c>
      <c r="CN108" s="47" t="n">
        <f aca="false">-(CN105+CN106+CN107)*N(AND(CN$3&lt;=$E108,CN$4&gt;=$E108))</f>
        <v>-0</v>
      </c>
      <c r="CO108" s="47" t="n">
        <f aca="false">-(CO105+CO106+CO107)*N(AND(CO$3&lt;=$E108,CO$4&gt;=$E108))</f>
        <v>-0</v>
      </c>
      <c r="CP108" s="47" t="n">
        <f aca="false">-(CP105+CP106+CP107)*N(AND(CP$3&lt;=$E108,CP$4&gt;=$E108))</f>
        <v>-0</v>
      </c>
      <c r="CQ108" s="47" t="n">
        <f aca="false">-(CQ105+CQ106+CQ107)*N(AND(CQ$3&lt;=$E108,CQ$4&gt;=$E108))</f>
        <v>-0</v>
      </c>
      <c r="CR108" s="47" t="n">
        <f aca="false">-(CR105+CR106+CR107)*N(AND(CR$3&lt;=$E108,CR$4&gt;=$E108))</f>
        <v>-0</v>
      </c>
      <c r="CS108" s="47" t="n">
        <f aca="false">-(CS105+CS106+CS107)*N(AND(CS$3&lt;=$E108,CS$4&gt;=$E108))</f>
        <v>-0</v>
      </c>
      <c r="CT108" s="47" t="n">
        <f aca="false">-(CT105+CT106+CT107)*N(AND(CT$3&lt;=$E108,CT$4&gt;=$E108))</f>
        <v>-0</v>
      </c>
      <c r="CU108" s="47" t="n">
        <f aca="false">-(CU105+CU106+CU107)*N(AND(CU$3&lt;=$E108,CU$4&gt;=$E108))</f>
        <v>-0</v>
      </c>
      <c r="CV108" s="47" t="n">
        <f aca="false">-(CV105+CV106+CV107)*N(AND(CV$3&lt;=$E108,CV$4&gt;=$E108))</f>
        <v>-0</v>
      </c>
      <c r="CW108" s="47" t="n">
        <f aca="false">-(CW105+CW106+CW107)*N(AND(CW$3&lt;=$E108,CW$4&gt;=$E108))</f>
        <v>-0</v>
      </c>
      <c r="CX108" s="47" t="n">
        <f aca="false">-(CX105+CX106+CX107)*N(AND(CX$3&lt;=$E108,CX$4&gt;=$E108))</f>
        <v>-0</v>
      </c>
      <c r="CY108" s="47" t="n">
        <f aca="false">-(CY105+CY106+CY107)*N(AND(CY$3&lt;=$E108,CY$4&gt;=$E108))</f>
        <v>-0</v>
      </c>
      <c r="CZ108" s="47" t="n">
        <f aca="false">-(CZ105+CZ106+CZ107)*N(AND(CZ$3&lt;=$E108,CZ$4&gt;=$E108))</f>
        <v>-0</v>
      </c>
      <c r="DA108" s="47" t="n">
        <f aca="false">-(DA105+DA106+DA107)*N(AND(DA$3&lt;=$E108,DA$4&gt;=$E108))</f>
        <v>-0</v>
      </c>
      <c r="DB108" s="47" t="n">
        <f aca="false">-(DB105+DB106+DB107)*N(AND(DB$3&lt;=$E108,DB$4&gt;=$E108))</f>
        <v>-0</v>
      </c>
      <c r="DC108" s="47" t="n">
        <f aca="false">-(DC105+DC106+DC107)*N(AND(DC$3&lt;=$E108,DC$4&gt;=$E108))</f>
        <v>-0</v>
      </c>
      <c r="DD108" s="47" t="n">
        <f aca="false">-(DD105+DD106+DD107)*N(AND(DD$3&lt;=$E108,DD$4&gt;=$E108))</f>
        <v>-0</v>
      </c>
      <c r="DE108" s="47" t="n">
        <f aca="false">-(DE105+DE106+DE107)*N(AND(DE$3&lt;=$E108,DE$4&gt;=$E108))</f>
        <v>-0</v>
      </c>
      <c r="DF108" s="47" t="n">
        <f aca="false">-(DF105+DF106+DF107)*N(AND(DF$3&lt;=$E108,DF$4&gt;=$E108))</f>
        <v>-0</v>
      </c>
      <c r="DG108" s="47" t="n">
        <f aca="false">-(DG105+DG106+DG107)*N(AND(DG$3&lt;=$E108,DG$4&gt;=$E108))</f>
        <v>-0</v>
      </c>
      <c r="DH108" s="47" t="n">
        <f aca="false">-(DH105+DH106+DH107)*N(AND(DH$3&lt;=$E108,DH$4&gt;=$E108))</f>
        <v>-0</v>
      </c>
      <c r="DI108" s="47" t="n">
        <f aca="false">-(DI105+DI106+DI107)*N(AND(DI$3&lt;=$E108,DI$4&gt;=$E108))</f>
        <v>-0</v>
      </c>
      <c r="DJ108" s="47" t="n">
        <f aca="false">-(DJ105+DJ106+DJ107)*N(AND(DJ$3&lt;=$E108,DJ$4&gt;=$E108))</f>
        <v>-0</v>
      </c>
      <c r="DK108" s="47" t="n">
        <f aca="false">-(DK105+DK106+DK107)*N(AND(DK$3&lt;=$E108,DK$4&gt;=$E108))</f>
        <v>-0</v>
      </c>
      <c r="DL108" s="47" t="n">
        <f aca="false">-(DL105+DL106+DL107)*N(AND(DL$3&lt;=$E108,DL$4&gt;=$E108))</f>
        <v>-0</v>
      </c>
      <c r="DM108" s="47" t="n">
        <f aca="false">-(DM105+DM106+DM107)*N(AND(DM$3&lt;=$E108,DM$4&gt;=$E108))</f>
        <v>-0</v>
      </c>
      <c r="DN108" s="47" t="n">
        <f aca="false">-(DN105+DN106+DN107)*N(AND(DN$3&lt;=$E108,DN$4&gt;=$E108))</f>
        <v>-0</v>
      </c>
      <c r="DO108" s="47" t="n">
        <f aca="false">-(DO105+DO106+DO107)*N(AND(DO$3&lt;=$E108,DO$4&gt;=$E108))</f>
        <v>-0</v>
      </c>
      <c r="DP108" s="47" t="n">
        <f aca="false">-(DP105+DP106+DP107)*N(AND(DP$3&lt;=$E108,DP$4&gt;=$E108))</f>
        <v>-0</v>
      </c>
      <c r="DQ108" s="47" t="n">
        <f aca="false">-(DQ105+DQ106+DQ107)*N(AND(DQ$3&lt;=$E108,DQ$4&gt;=$E108))</f>
        <v>-0</v>
      </c>
      <c r="DR108" s="47" t="n">
        <f aca="false">-(DR105+DR106+DR107)*N(AND(DR$3&lt;=$E108,DR$4&gt;=$E108))</f>
        <v>-0</v>
      </c>
      <c r="DS108" s="47" t="n">
        <f aca="false">-(DS105+DS106+DS107)*N(AND(DS$3&lt;=$E108,DS$4&gt;=$E108))</f>
        <v>-0</v>
      </c>
      <c r="DT108" s="47" t="n">
        <f aca="false">-(DT105+DT106+DT107)*N(AND(DT$3&lt;=$E108,DT$4&gt;=$E108))</f>
        <v>-0</v>
      </c>
      <c r="DU108" s="47" t="n">
        <f aca="false">-(DU105+DU106+DU107)*N(AND(DU$3&lt;=$E108,DU$4&gt;=$E108))</f>
        <v>-0</v>
      </c>
      <c r="DV108" s="47" t="n">
        <f aca="false">-(DV105+DV106+DV107)*N(AND(DV$3&lt;=$E108,DV$4&gt;=$E108))</f>
        <v>-0</v>
      </c>
      <c r="DW108" s="47" t="n">
        <f aca="false">-(DW105+DW106+DW107)*N(AND(DW$3&lt;=$E108,DW$4&gt;=$E108))</f>
        <v>-0</v>
      </c>
      <c r="DX108" s="47" t="n">
        <f aca="false">-(DX105+DX106+DX107)*N(AND(DX$3&lt;=$E108,DX$4&gt;=$E108))</f>
        <v>-0</v>
      </c>
      <c r="DY108" s="47" t="n">
        <f aca="false">-(DY105+DY106+DY107)*N(AND(DY$3&lt;=$E108,DY$4&gt;=$E108))</f>
        <v>-0</v>
      </c>
      <c r="DZ108" s="47" t="n">
        <f aca="false">-(DZ105+DZ106+DZ107)*N(AND(DZ$3&lt;=$E108,DZ$4&gt;=$E108))</f>
        <v>-0</v>
      </c>
      <c r="EA108" s="47" t="n">
        <f aca="false">-(EA105+EA106+EA107)*N(AND(EA$3&lt;=$E108,EA$4&gt;=$E108))</f>
        <v>-0</v>
      </c>
      <c r="EB108" s="47" t="n">
        <f aca="false">-(EB105+EB106+EB107)*N(AND(EB$3&lt;=$E108,EB$4&gt;=$E108))</f>
        <v>-0</v>
      </c>
      <c r="EC108" s="47" t="n">
        <f aca="false">-(EC105+EC106+EC107)*N(AND(EC$3&lt;=$E108,EC$4&gt;=$E108))</f>
        <v>-0</v>
      </c>
      <c r="ED108" s="47" t="n">
        <f aca="false">-(ED105+ED106+ED107)*N(AND(ED$3&lt;=$E108,ED$4&gt;=$E108))</f>
        <v>-0</v>
      </c>
      <c r="EE108" s="47" t="n">
        <f aca="false">-(EE105+EE106+EE107)*N(AND(EE$3&lt;=$E108,EE$4&gt;=$E108))</f>
        <v>-0</v>
      </c>
      <c r="EF108" s="47" t="n">
        <f aca="false">-(EF105+EF106+EF107)*N(AND(EF$3&lt;=$E108,EF$4&gt;=$E108))</f>
        <v>-0</v>
      </c>
      <c r="EG108" s="47" t="n">
        <f aca="false">-(EG105+EG106+EG107)*N(AND(EG$3&lt;=$E108,EG$4&gt;=$E108))</f>
        <v>-0</v>
      </c>
      <c r="EH108" s="47" t="n">
        <f aca="false">-(EH105+EH106+EH107)*N(AND(EH$3&lt;=$E108,EH$4&gt;=$E108))</f>
        <v>-0</v>
      </c>
      <c r="EI108" s="47" t="n">
        <f aca="false">-(EI105+EI106+EI107)*N(AND(EI$3&lt;=$E108,EI$4&gt;=$E108))</f>
        <v>-0</v>
      </c>
      <c r="EJ108" s="47" t="n">
        <f aca="false">-(EJ105+EJ106+EJ107)*N(AND(EJ$3&lt;=$E108,EJ$4&gt;=$E108))</f>
        <v>-0</v>
      </c>
      <c r="EK108" s="47" t="n">
        <f aca="false">-(EK105+EK106+EK107)*N(AND(EK$3&lt;=$E108,EK$4&gt;=$E108))</f>
        <v>-0</v>
      </c>
      <c r="EL108" s="47" t="n">
        <f aca="false">-(EL105+EL106+EL107)*N(AND(EL$3&lt;=$E108,EL$4&gt;=$E108))</f>
        <v>-0</v>
      </c>
      <c r="EM108" s="47" t="n">
        <f aca="false">-(EM105+EM106+EM107)*N(AND(EM$3&lt;=$E108,EM$4&gt;=$E108))</f>
        <v>-0</v>
      </c>
      <c r="EN108" s="47" t="n">
        <f aca="false">-(EN105+EN106+EN107)*N(AND(EN$3&lt;=$E108,EN$4&gt;=$E108))</f>
        <v>-0</v>
      </c>
      <c r="EO108" s="47" t="n">
        <f aca="false">-(EO105+EO106+EO107)*N(AND(EO$3&lt;=$E108,EO$4&gt;=$E108))</f>
        <v>-0</v>
      </c>
    </row>
    <row r="109" customFormat="false" ht="15" hidden="false" customHeight="false" outlineLevel="0" collapsed="false">
      <c r="C109" s="0" t="s">
        <v>471</v>
      </c>
      <c r="D109" s="11" t="s">
        <v>33</v>
      </c>
      <c r="I109" s="58"/>
      <c r="J109" s="47" t="n">
        <f aca="false">SUM(J105:J108)</f>
        <v>12.8099380746857</v>
      </c>
      <c r="K109" s="47" t="n">
        <f aca="false">SUM(K105:K108)</f>
        <v>32.4846237568024</v>
      </c>
      <c r="L109" s="47" t="n">
        <f aca="false">SUM(L105:L108)</f>
        <v>65.6401125914806</v>
      </c>
      <c r="M109" s="47" t="n">
        <f aca="false">SUM(M105:M108)</f>
        <v>99.1599474573091</v>
      </c>
      <c r="N109" s="47" t="n">
        <f aca="false">SUM(N105:N108)</f>
        <v>132.679782323138</v>
      </c>
      <c r="O109" s="47" t="n">
        <f aca="false">SUM(O105:O108)</f>
        <v>165.835271157816</v>
      </c>
      <c r="P109" s="47" t="n">
        <f aca="false">SUM(P105:P108)</f>
        <v>198.990759992494</v>
      </c>
      <c r="Q109" s="47" t="n">
        <f aca="false">SUM(Q105:Q108)</f>
        <v>232.510594858322</v>
      </c>
      <c r="R109" s="47" t="n">
        <f aca="false">SUM(R105:R108)</f>
        <v>1451.01331077954</v>
      </c>
      <c r="S109" s="47" t="n">
        <f aca="false">SUM(S105:S108)</f>
        <v>1634.8797361829</v>
      </c>
      <c r="T109" s="47" t="n">
        <f aca="false">SUM(T105:T108)</f>
        <v>1796.97628692282</v>
      </c>
      <c r="U109" s="47" t="n">
        <f aca="false">SUM(U105:U108)</f>
        <v>1946.79969806386</v>
      </c>
      <c r="V109" s="47" t="n">
        <f aca="false">SUM(V105:V108)</f>
        <v>2082.4142446487</v>
      </c>
      <c r="W109" s="47" t="n">
        <f aca="false">SUM(W105:W108)</f>
        <v>2202.22260389293</v>
      </c>
      <c r="X109" s="47" t="n">
        <f aca="false">SUM(X105:X108)</f>
        <v>2309.61327763026</v>
      </c>
      <c r="Y109" s="47" t="n">
        <f aca="false">SUM(Y105:Y108)</f>
        <v>2404.12964828517</v>
      </c>
      <c r="Z109" s="47" t="n">
        <f aca="false">SUM(Z105:Z108)</f>
        <v>2275.48392938894</v>
      </c>
      <c r="AA109" s="47" t="n">
        <f aca="false">SUM(AA105:AA108)</f>
        <v>2146.49125935421</v>
      </c>
      <c r="AB109" s="47" t="n">
        <f aca="false">SUM(AB105:AB108)</f>
        <v>2009.01180286306</v>
      </c>
      <c r="AC109" s="47" t="n">
        <f aca="false">SUM(AC105:AC108)</f>
        <v>1862.92695511682</v>
      </c>
      <c r="AD109" s="47" t="n">
        <f aca="false">SUM(AD105:AD108)</f>
        <v>1717.78943417766</v>
      </c>
      <c r="AE109" s="47" t="n">
        <f aca="false">SUM(AE105:AE108)</f>
        <v>1566.80433709881</v>
      </c>
      <c r="AF109" s="47" t="n">
        <f aca="false">SUM(AF105:AF108)</f>
        <v>1412.50964789893</v>
      </c>
      <c r="AG109" s="47" t="n">
        <f aca="false">SUM(AG105:AG108)</f>
        <v>1249.38877735672</v>
      </c>
      <c r="AH109" s="47" t="n">
        <f aca="false">SUM(AH105:AH108)</f>
        <v>1087.06003071395</v>
      </c>
      <c r="AI109" s="47" t="n">
        <f aca="false">SUM(AI105:AI108)</f>
        <v>924.329153258142</v>
      </c>
      <c r="AJ109" s="47" t="n">
        <f aca="false">SUM(AJ105:AJ108)</f>
        <v>736.09088368553</v>
      </c>
      <c r="AK109" s="47" t="n">
        <f aca="false">SUM(AK105:AK108)</f>
        <v>0</v>
      </c>
      <c r="AL109" s="47" t="n">
        <f aca="false">SUM(AL105:AL108)</f>
        <v>0</v>
      </c>
      <c r="AM109" s="47" t="n">
        <f aca="false">SUM(AM105:AM108)</f>
        <v>0</v>
      </c>
      <c r="AN109" s="47" t="n">
        <f aca="false">SUM(AN105:AN108)</f>
        <v>0</v>
      </c>
      <c r="AO109" s="47" t="n">
        <f aca="false">SUM(AO105:AO108)</f>
        <v>0</v>
      </c>
      <c r="AP109" s="47" t="n">
        <f aca="false">SUM(AP105:AP108)</f>
        <v>0</v>
      </c>
      <c r="AQ109" s="47" t="n">
        <f aca="false">SUM(AQ105:AQ108)</f>
        <v>0</v>
      </c>
      <c r="AR109" s="47" t="n">
        <f aca="false">SUM(AR105:AR108)</f>
        <v>0</v>
      </c>
      <c r="AS109" s="47" t="n">
        <f aca="false">SUM(AS105:AS108)</f>
        <v>0</v>
      </c>
      <c r="AT109" s="47" t="n">
        <f aca="false">SUM(AT105:AT108)</f>
        <v>0</v>
      </c>
      <c r="AU109" s="47" t="n">
        <f aca="false">SUM(AU105:AU108)</f>
        <v>0</v>
      </c>
      <c r="AV109" s="47" t="n">
        <f aca="false">SUM(AV105:AV108)</f>
        <v>0</v>
      </c>
      <c r="AW109" s="47" t="n">
        <f aca="false">SUM(AW105:AW108)</f>
        <v>0</v>
      </c>
      <c r="AX109" s="47" t="n">
        <f aca="false">SUM(AX105:AX108)</f>
        <v>0</v>
      </c>
      <c r="AY109" s="47" t="n">
        <f aca="false">SUM(AY105:AY108)</f>
        <v>0</v>
      </c>
      <c r="AZ109" s="47" t="n">
        <f aca="false">SUM(AZ105:AZ108)</f>
        <v>0</v>
      </c>
      <c r="BA109" s="47" t="n">
        <f aca="false">SUM(BA105:BA108)</f>
        <v>0</v>
      </c>
      <c r="BB109" s="47" t="n">
        <f aca="false">SUM(BB105:BB108)</f>
        <v>0</v>
      </c>
      <c r="BC109" s="47" t="n">
        <f aca="false">SUM(BC105:BC108)</f>
        <v>0</v>
      </c>
      <c r="BD109" s="47" t="n">
        <f aca="false">SUM(BD105:BD108)</f>
        <v>0</v>
      </c>
      <c r="BE109" s="47" t="n">
        <f aca="false">SUM(BE105:BE108)</f>
        <v>0</v>
      </c>
      <c r="BF109" s="47" t="n">
        <f aca="false">SUM(BF105:BF108)</f>
        <v>0</v>
      </c>
      <c r="BG109" s="47" t="n">
        <f aca="false">SUM(BG105:BG108)</f>
        <v>0</v>
      </c>
      <c r="BH109" s="47" t="n">
        <f aca="false">SUM(BH105:BH108)</f>
        <v>0</v>
      </c>
      <c r="BI109" s="47" t="n">
        <f aca="false">SUM(BI105:BI108)</f>
        <v>0</v>
      </c>
      <c r="BJ109" s="47" t="n">
        <f aca="false">SUM(BJ105:BJ108)</f>
        <v>0</v>
      </c>
      <c r="BK109" s="47" t="n">
        <f aca="false">SUM(BK105:BK108)</f>
        <v>0</v>
      </c>
      <c r="BL109" s="47" t="n">
        <f aca="false">SUM(BL105:BL108)</f>
        <v>0</v>
      </c>
      <c r="BM109" s="47" t="n">
        <f aca="false">SUM(BM105:BM108)</f>
        <v>0</v>
      </c>
      <c r="BN109" s="47" t="n">
        <f aca="false">SUM(BN105:BN108)</f>
        <v>0</v>
      </c>
      <c r="BO109" s="47" t="n">
        <f aca="false">SUM(BO105:BO108)</f>
        <v>0</v>
      </c>
      <c r="BP109" s="47" t="n">
        <f aca="false">SUM(BP105:BP108)</f>
        <v>0</v>
      </c>
      <c r="BQ109" s="47" t="n">
        <f aca="false">SUM(BQ105:BQ108)</f>
        <v>0</v>
      </c>
      <c r="BR109" s="47" t="n">
        <f aca="false">SUM(BR105:BR108)</f>
        <v>0</v>
      </c>
      <c r="BS109" s="47" t="n">
        <f aca="false">SUM(BS105:BS108)</f>
        <v>0</v>
      </c>
      <c r="BT109" s="47" t="n">
        <f aca="false">SUM(BT105:BT108)</f>
        <v>0</v>
      </c>
      <c r="BU109" s="47" t="n">
        <f aca="false">SUM(BU105:BU108)</f>
        <v>0</v>
      </c>
      <c r="BV109" s="47" t="n">
        <f aca="false">SUM(BV105:BV108)</f>
        <v>0</v>
      </c>
      <c r="BW109" s="47" t="n">
        <f aca="false">SUM(BW105:BW108)</f>
        <v>0</v>
      </c>
      <c r="BX109" s="47" t="n">
        <f aca="false">SUM(BX105:BX108)</f>
        <v>0</v>
      </c>
      <c r="BY109" s="47" t="n">
        <f aca="false">SUM(BY105:BY108)</f>
        <v>0</v>
      </c>
      <c r="BZ109" s="47" t="n">
        <f aca="false">SUM(BZ105:BZ108)</f>
        <v>0</v>
      </c>
      <c r="CA109" s="47" t="n">
        <f aca="false">SUM(CA105:CA108)</f>
        <v>0</v>
      </c>
      <c r="CB109" s="47" t="n">
        <f aca="false">SUM(CB105:CB108)</f>
        <v>0</v>
      </c>
      <c r="CC109" s="47" t="n">
        <f aca="false">SUM(CC105:CC108)</f>
        <v>0</v>
      </c>
      <c r="CD109" s="47" t="n">
        <f aca="false">SUM(CD105:CD108)</f>
        <v>0</v>
      </c>
      <c r="CE109" s="47" t="n">
        <f aca="false">SUM(CE105:CE108)</f>
        <v>0</v>
      </c>
      <c r="CF109" s="47" t="n">
        <f aca="false">SUM(CF105:CF108)</f>
        <v>0</v>
      </c>
      <c r="CG109" s="47" t="n">
        <f aca="false">SUM(CG105:CG108)</f>
        <v>0</v>
      </c>
      <c r="CH109" s="47" t="n">
        <f aca="false">SUM(CH105:CH108)</f>
        <v>0</v>
      </c>
      <c r="CI109" s="47" t="n">
        <f aca="false">SUM(CI105:CI108)</f>
        <v>0</v>
      </c>
      <c r="CJ109" s="47" t="n">
        <f aca="false">SUM(CJ105:CJ108)</f>
        <v>0</v>
      </c>
      <c r="CK109" s="47" t="n">
        <f aca="false">SUM(CK105:CK108)</f>
        <v>0</v>
      </c>
      <c r="CL109" s="47" t="n">
        <f aca="false">SUM(CL105:CL108)</f>
        <v>0</v>
      </c>
      <c r="CM109" s="47" t="n">
        <f aca="false">SUM(CM105:CM108)</f>
        <v>0</v>
      </c>
      <c r="CN109" s="47" t="n">
        <f aca="false">SUM(CN105:CN108)</f>
        <v>0</v>
      </c>
      <c r="CO109" s="47" t="n">
        <f aca="false">SUM(CO105:CO108)</f>
        <v>0</v>
      </c>
      <c r="CP109" s="47" t="n">
        <f aca="false">SUM(CP105:CP108)</f>
        <v>0</v>
      </c>
      <c r="CQ109" s="47" t="n">
        <f aca="false">SUM(CQ105:CQ108)</f>
        <v>0</v>
      </c>
      <c r="CR109" s="47" t="n">
        <f aca="false">SUM(CR105:CR108)</f>
        <v>0</v>
      </c>
      <c r="CS109" s="47" t="n">
        <f aca="false">SUM(CS105:CS108)</f>
        <v>0</v>
      </c>
      <c r="CT109" s="47" t="n">
        <f aca="false">SUM(CT105:CT108)</f>
        <v>0</v>
      </c>
      <c r="CU109" s="47" t="n">
        <f aca="false">SUM(CU105:CU108)</f>
        <v>0</v>
      </c>
      <c r="CV109" s="47" t="n">
        <f aca="false">SUM(CV105:CV108)</f>
        <v>0</v>
      </c>
      <c r="CW109" s="47" t="n">
        <f aca="false">SUM(CW105:CW108)</f>
        <v>0</v>
      </c>
      <c r="CX109" s="47" t="n">
        <f aca="false">SUM(CX105:CX108)</f>
        <v>0</v>
      </c>
      <c r="CY109" s="47" t="n">
        <f aca="false">SUM(CY105:CY108)</f>
        <v>0</v>
      </c>
      <c r="CZ109" s="47" t="n">
        <f aca="false">SUM(CZ105:CZ108)</f>
        <v>0</v>
      </c>
      <c r="DA109" s="47" t="n">
        <f aca="false">SUM(DA105:DA108)</f>
        <v>0</v>
      </c>
      <c r="DB109" s="47" t="n">
        <f aca="false">SUM(DB105:DB108)</f>
        <v>0</v>
      </c>
      <c r="DC109" s="47" t="n">
        <f aca="false">SUM(DC105:DC108)</f>
        <v>0</v>
      </c>
      <c r="DD109" s="47" t="n">
        <f aca="false">SUM(DD105:DD108)</f>
        <v>0</v>
      </c>
      <c r="DE109" s="47" t="n">
        <f aca="false">SUM(DE105:DE108)</f>
        <v>0</v>
      </c>
      <c r="DF109" s="47" t="n">
        <f aca="false">SUM(DF105:DF108)</f>
        <v>0</v>
      </c>
      <c r="DG109" s="47" t="n">
        <f aca="false">SUM(DG105:DG108)</f>
        <v>0</v>
      </c>
      <c r="DH109" s="47" t="n">
        <f aca="false">SUM(DH105:DH108)</f>
        <v>0</v>
      </c>
      <c r="DI109" s="47" t="n">
        <f aca="false">SUM(DI105:DI108)</f>
        <v>0</v>
      </c>
      <c r="DJ109" s="47" t="n">
        <f aca="false">SUM(DJ105:DJ108)</f>
        <v>0</v>
      </c>
      <c r="DK109" s="47" t="n">
        <f aca="false">SUM(DK105:DK108)</f>
        <v>0</v>
      </c>
      <c r="DL109" s="47" t="n">
        <f aca="false">SUM(DL105:DL108)</f>
        <v>0</v>
      </c>
      <c r="DM109" s="47" t="n">
        <f aca="false">SUM(DM105:DM108)</f>
        <v>0</v>
      </c>
      <c r="DN109" s="47" t="n">
        <f aca="false">SUM(DN105:DN108)</f>
        <v>0</v>
      </c>
      <c r="DO109" s="47" t="n">
        <f aca="false">SUM(DO105:DO108)</f>
        <v>0</v>
      </c>
      <c r="DP109" s="47" t="n">
        <f aca="false">SUM(DP105:DP108)</f>
        <v>0</v>
      </c>
      <c r="DQ109" s="47" t="n">
        <f aca="false">SUM(DQ105:DQ108)</f>
        <v>0</v>
      </c>
      <c r="DR109" s="47" t="n">
        <f aca="false">SUM(DR105:DR108)</f>
        <v>0</v>
      </c>
      <c r="DS109" s="47" t="n">
        <f aca="false">SUM(DS105:DS108)</f>
        <v>0</v>
      </c>
      <c r="DT109" s="47" t="n">
        <f aca="false">SUM(DT105:DT108)</f>
        <v>0</v>
      </c>
      <c r="DU109" s="47" t="n">
        <f aca="false">SUM(DU105:DU108)</f>
        <v>0</v>
      </c>
      <c r="DV109" s="47" t="n">
        <f aca="false">SUM(DV105:DV108)</f>
        <v>0</v>
      </c>
      <c r="DW109" s="47" t="n">
        <f aca="false">SUM(DW105:DW108)</f>
        <v>0</v>
      </c>
      <c r="DX109" s="47" t="n">
        <f aca="false">SUM(DX105:DX108)</f>
        <v>0</v>
      </c>
      <c r="DY109" s="47" t="n">
        <f aca="false">SUM(DY105:DY108)</f>
        <v>0</v>
      </c>
      <c r="DZ109" s="47" t="n">
        <f aca="false">SUM(DZ105:DZ108)</f>
        <v>0</v>
      </c>
      <c r="EA109" s="47" t="n">
        <f aca="false">SUM(EA105:EA108)</f>
        <v>0</v>
      </c>
      <c r="EB109" s="47" t="n">
        <f aca="false">SUM(EB105:EB108)</f>
        <v>0</v>
      </c>
      <c r="EC109" s="47" t="n">
        <f aca="false">SUM(EC105:EC108)</f>
        <v>0</v>
      </c>
      <c r="ED109" s="47" t="n">
        <f aca="false">SUM(ED105:ED108)</f>
        <v>0</v>
      </c>
      <c r="EE109" s="47" t="n">
        <f aca="false">SUM(EE105:EE108)</f>
        <v>0</v>
      </c>
      <c r="EF109" s="47" t="n">
        <f aca="false">SUM(EF105:EF108)</f>
        <v>0</v>
      </c>
      <c r="EG109" s="47" t="n">
        <f aca="false">SUM(EG105:EG108)</f>
        <v>0</v>
      </c>
      <c r="EH109" s="47" t="n">
        <f aca="false">SUM(EH105:EH108)</f>
        <v>0</v>
      </c>
      <c r="EI109" s="47" t="n">
        <f aca="false">SUM(EI105:EI108)</f>
        <v>0</v>
      </c>
      <c r="EJ109" s="47" t="n">
        <f aca="false">SUM(EJ105:EJ108)</f>
        <v>0</v>
      </c>
      <c r="EK109" s="47" t="n">
        <f aca="false">SUM(EK105:EK108)</f>
        <v>0</v>
      </c>
      <c r="EL109" s="47" t="n">
        <f aca="false">SUM(EL105:EL108)</f>
        <v>0</v>
      </c>
      <c r="EM109" s="47" t="n">
        <f aca="false">SUM(EM105:EM108)</f>
        <v>0</v>
      </c>
      <c r="EN109" s="47" t="n">
        <f aca="false">SUM(EN105:EN108)</f>
        <v>0</v>
      </c>
      <c r="EO109" s="47" t="n">
        <f aca="false">SUM(EO105:EO108)</f>
        <v>0</v>
      </c>
    </row>
    <row r="110" customFormat="false" ht="15" hidden="false" customHeight="false" outlineLevel="0" collapsed="false">
      <c r="C110" s="0" t="s">
        <v>472</v>
      </c>
      <c r="D110" s="11" t="s">
        <v>33</v>
      </c>
      <c r="J110" s="47" t="n">
        <f aca="false">-In_CIT*(MAX(0,J104)+J107)-In_RH_On*In_RH_Rate*MAX(0,J104)</f>
        <v>-0</v>
      </c>
      <c r="K110" s="47" t="n">
        <f aca="false">-In_CIT*(MAX(0,K104)+K107)-In_RH_On*In_RH_Rate*MAX(0,K104)</f>
        <v>-0</v>
      </c>
      <c r="L110" s="47" t="n">
        <f aca="false">-In_CIT*(MAX(0,L104)+L107)-In_RH_On*In_RH_Rate*MAX(0,L104)</f>
        <v>-0</v>
      </c>
      <c r="M110" s="47" t="n">
        <f aca="false">-In_CIT*(MAX(0,M104)+M107)-In_RH_On*In_RH_Rate*MAX(0,M104)</f>
        <v>-0</v>
      </c>
      <c r="N110" s="47" t="n">
        <f aca="false">-In_CIT*(MAX(0,N104)+N107)-In_RH_On*In_RH_Rate*MAX(0,N104)</f>
        <v>-0</v>
      </c>
      <c r="O110" s="47" t="n">
        <f aca="false">-In_CIT*(MAX(0,O104)+O107)-In_RH_On*In_RH_Rate*MAX(0,O104)</f>
        <v>-0</v>
      </c>
      <c r="P110" s="47" t="n">
        <f aca="false">-In_CIT*(MAX(0,P104)+P107)-In_RH_On*In_RH_Rate*MAX(0,P104)</f>
        <v>-0</v>
      </c>
      <c r="Q110" s="47" t="n">
        <f aca="false">-In_CIT*(MAX(0,Q104)+Q107)-In_RH_On*In_RH_Rate*MAX(0,Q104)</f>
        <v>-0</v>
      </c>
      <c r="R110" s="47" t="n">
        <f aca="false">-In_CIT*(MAX(0,R104)+R107)-In_RH_On*In_RH_Rate*MAX(0,R104)</f>
        <v>-0</v>
      </c>
      <c r="S110" s="47" t="n">
        <f aca="false">-In_CIT*(MAX(0,S104)+S107)-In_RH_On*In_RH_Rate*MAX(0,S104)</f>
        <v>-0</v>
      </c>
      <c r="T110" s="47" t="n">
        <f aca="false">-In_CIT*(MAX(0,T104)+T107)-In_RH_On*In_RH_Rate*MAX(0,T104)</f>
        <v>-0</v>
      </c>
      <c r="U110" s="47" t="n">
        <f aca="false">-In_CIT*(MAX(0,U104)+U107)-In_RH_On*In_RH_Rate*MAX(0,U104)</f>
        <v>-0</v>
      </c>
      <c r="V110" s="47" t="n">
        <f aca="false">-In_CIT*(MAX(0,V104)+V107)-In_RH_On*In_RH_Rate*MAX(0,V104)</f>
        <v>-0</v>
      </c>
      <c r="W110" s="47" t="n">
        <f aca="false">-In_CIT*(MAX(0,W104)+W107)-In_RH_On*In_RH_Rate*MAX(0,W104)</f>
        <v>-0</v>
      </c>
      <c r="X110" s="47" t="n">
        <f aca="false">-In_CIT*(MAX(0,X104)+X107)-In_RH_On*In_RH_Rate*MAX(0,X104)</f>
        <v>-0</v>
      </c>
      <c r="Y110" s="47" t="n">
        <f aca="false">-In_CIT*(MAX(0,Y104)+Y107)-In_RH_On*In_RH_Rate*MAX(0,Y104)</f>
        <v>-0</v>
      </c>
      <c r="Z110" s="47" t="n">
        <f aca="false">-In_CIT*(MAX(0,Z104)+Z107)-In_RH_On*In_RH_Rate*MAX(0,Z104)</f>
        <v>-19.2968578344355</v>
      </c>
      <c r="AA110" s="47" t="n">
        <f aca="false">-In_CIT*(MAX(0,AA104)+AA107)-In_RH_On*In_RH_Rate*MAX(0,AA104)</f>
        <v>-19.3489005052089</v>
      </c>
      <c r="AB110" s="47" t="n">
        <f aca="false">-In_CIT*(MAX(0,AB104)+AB107)-In_RH_On*In_RH_Rate*MAX(0,AB104)</f>
        <v>-20.6219184736717</v>
      </c>
      <c r="AC110" s="47" t="n">
        <f aca="false">-In_CIT*(MAX(0,AC104)+AC107)-In_RH_On*In_RH_Rate*MAX(0,AC104)</f>
        <v>-21.9127271619366</v>
      </c>
      <c r="AD110" s="47" t="n">
        <f aca="false">-In_CIT*(MAX(0,AD104)+AD107)-In_RH_On*In_RH_Rate*MAX(0,AD104)</f>
        <v>-21.7706281408743</v>
      </c>
      <c r="AE110" s="47" t="n">
        <f aca="false">-In_CIT*(MAX(0,AE104)+AE107)-In_RH_On*In_RH_Rate*MAX(0,AE104)</f>
        <v>-22.6477645618273</v>
      </c>
      <c r="AF110" s="47" t="n">
        <f aca="false">-In_CIT*(MAX(0,AF104)+AF107)-In_RH_On*In_RH_Rate*MAX(0,AF104)</f>
        <v>-23.1442033799812</v>
      </c>
      <c r="AG110" s="47" t="n">
        <f aca="false">-In_CIT*(MAX(0,AG104)+AG107)-In_RH_On*In_RH_Rate*MAX(0,AG104)</f>
        <v>-24.4681305813315</v>
      </c>
      <c r="AH110" s="47" t="n">
        <f aca="false">-In_CIT*(MAX(0,AH104)+AH107)-In_RH_On*In_RH_Rate*MAX(0,AH104)</f>
        <v>-24.3493119964159</v>
      </c>
      <c r="AI110" s="47" t="n">
        <f aca="false">-In_CIT*(MAX(0,AI104)+AI107)-In_RH_On*In_RH_Rate*MAX(0,AI104)</f>
        <v>-24.4096316183715</v>
      </c>
      <c r="AJ110" s="47" t="n">
        <f aca="false">-In_CIT*(MAX(0,AJ104)+AJ107)-In_RH_On*In_RH_Rate*MAX(0,AJ104)</f>
        <v>-28.2357404358919</v>
      </c>
      <c r="AK110" s="47" t="n">
        <f aca="false">-In_CIT*(MAX(0,AK104)+AK107)-In_RH_On*In_RH_Rate*MAX(0,AK104)</f>
        <v>-29.6360960998599</v>
      </c>
      <c r="AL110" s="47" t="n">
        <f aca="false">-In_CIT*(MAX(0,AL104)+AL107)-In_RH_On*In_RH_Rate*MAX(0,AL104)</f>
        <v>-59.1140983486745</v>
      </c>
      <c r="AM110" s="47" t="n">
        <f aca="false">-In_CIT*(MAX(0,AM104)+AM107)-In_RH_On*In_RH_Rate*MAX(0,AM104)</f>
        <v>-59.1388082759915</v>
      </c>
      <c r="AN110" s="47" t="n">
        <f aca="false">-In_CIT*(MAX(0,AN104)+AN107)-In_RH_On*In_RH_Rate*MAX(0,AN104)</f>
        <v>-61.9433858529272</v>
      </c>
      <c r="AO110" s="47" t="n">
        <f aca="false">-In_CIT*(MAX(0,AO104)+AO107)-In_RH_On*In_RH_Rate*MAX(0,AO104)</f>
        <v>-64.7847322901688</v>
      </c>
      <c r="AP110" s="47" t="n">
        <f aca="false">-In_CIT*(MAX(0,AP104)+AP107)-In_RH_On*In_RH_Rate*MAX(0,AP104)</f>
        <v>-64.6465054950286</v>
      </c>
      <c r="AQ110" s="47" t="n">
        <f aca="false">-In_CIT*(MAX(0,AQ104)+AQ107)-In_RH_On*In_RH_Rate*MAX(0,AQ104)</f>
        <v>-64.6819574103768</v>
      </c>
      <c r="AR110" s="47" t="n">
        <f aca="false">-In_CIT*(MAX(0,AR104)+AR107)-In_RH_On*In_RH_Rate*MAX(0,AR104)</f>
        <v>-67.5556406368538</v>
      </c>
      <c r="AS110" s="47" t="n">
        <f aca="false">-In_CIT*(MAX(0,AS104)+AS107)-In_RH_On*In_RH_Rate*MAX(0,AS104)</f>
        <v>-70.4668212397329</v>
      </c>
      <c r="AT110" s="47" t="n">
        <f aca="false">-In_CIT*(MAX(0,AT104)+AT107)-In_RH_On*In_RH_Rate*MAX(0,AT104)</f>
        <v>-70.3796976281173</v>
      </c>
      <c r="AU110" s="47" t="n">
        <f aca="false">-In_CIT*(MAX(0,AU104)+AU107)-In_RH_On*In_RH_Rate*MAX(0,AU104)</f>
        <v>-72.1716686270854</v>
      </c>
      <c r="AV110" s="47" t="n">
        <f aca="false">-In_CIT*(MAX(0,AV104)+AV107)-In_RH_On*In_RH_Rate*MAX(0,AV104)</f>
        <v>-73.3973490982477</v>
      </c>
      <c r="AW110" s="47" t="n">
        <f aca="false">-In_CIT*(MAX(0,AW104)+AW107)-In_RH_On*In_RH_Rate*MAX(0,AW104)</f>
        <v>-76.3808408202443</v>
      </c>
      <c r="AX110" s="47" t="n">
        <f aca="false">-In_CIT*(MAX(0,AX104)+AX107)-In_RH_On*In_RH_Rate*MAX(0,AX104)</f>
        <v>-76.3476639985301</v>
      </c>
      <c r="AY110" s="47" t="n">
        <f aca="false">-In_CIT*(MAX(0,AY104)+AY107)-In_RH_On*In_RH_Rate*MAX(0,AY104)</f>
        <v>-76.411240520376</v>
      </c>
      <c r="AZ110" s="47" t="n">
        <f aca="false">-In_CIT*(MAX(0,AZ104)+AZ107)-In_RH_On*In_RH_Rate*MAX(0,AZ104)</f>
        <v>-79.4300307700611</v>
      </c>
      <c r="BA110" s="47" t="n">
        <f aca="false">-In_CIT*(MAX(0,BA104)+BA107)-In_RH_On*In_RH_Rate*MAX(0,BA104)</f>
        <v>-82.4878613798094</v>
      </c>
      <c r="BB110" s="47" t="n">
        <f aca="false">-In_CIT*(MAX(0,BB104)+BB107)-In_RH_On*In_RH_Rate*MAX(0,BB104)</f>
        <v>-82.5110342013699</v>
      </c>
      <c r="BC110" s="47" t="n">
        <f aca="false">-In_CIT*(MAX(0,BC104)+BC107)-In_RH_On*In_RH_Rate*MAX(0,BC104)</f>
        <v>-82.5919342882824</v>
      </c>
      <c r="BD110" s="47" t="n">
        <f aca="false">-In_CIT*(MAX(0,BD104)+BD107)-In_RH_On*In_RH_Rate*MAX(0,BD104)</f>
        <v>-85.6866509627901</v>
      </c>
      <c r="BE110" s="47" t="n">
        <f aca="false">-In_CIT*(MAX(0,BE104)+BE107)-In_RH_On*In_RH_Rate*MAX(0,BE104)</f>
        <v>-88.8212217591392</v>
      </c>
      <c r="BF110" s="47" t="n">
        <f aca="false">-In_CIT*(MAX(0,BF104)+BF107)-In_RH_On*In_RH_Rate*MAX(0,BF104)</f>
        <v>-88.9035388822617</v>
      </c>
      <c r="BG110" s="47" t="n">
        <f aca="false">-In_CIT*(MAX(0,BG104)+BG107)-In_RH_On*In_RH_Rate*MAX(0,BG104)</f>
        <v>-89.0041761436678</v>
      </c>
      <c r="BH110" s="47" t="n">
        <f aca="false">-In_CIT*(MAX(0,BH104)+BH107)-In_RH_On*In_RH_Rate*MAX(0,BH104)</f>
        <v>-92.1772994845902</v>
      </c>
      <c r="BI110" s="47" t="n">
        <f aca="false">-In_CIT*(MAX(0,BI104)+BI107)-In_RH_On*In_RH_Rate*MAX(0,BI104)</f>
        <v>-95.3911216653756</v>
      </c>
      <c r="BJ110" s="47" t="n">
        <f aca="false">-In_CIT*(MAX(0,BJ104)+BJ107)-In_RH_On*In_RH_Rate*MAX(0,BJ104)</f>
        <v>-95.5355032620941</v>
      </c>
      <c r="BK110" s="47" t="n">
        <f aca="false">-In_CIT*(MAX(0,BK104)+BK107)-In_RH_On*In_RH_Rate*MAX(0,BK104)</f>
        <v>-97.4420956489692</v>
      </c>
      <c r="BL110" s="47" t="n">
        <f aca="false">-In_CIT*(MAX(0,BL104)+BL107)-In_RH_On*In_RH_Rate*MAX(0,BL104)</f>
        <v>-98.9371760647701</v>
      </c>
      <c r="BM110" s="47" t="n">
        <f aca="false">-In_CIT*(MAX(0,BM104)+BM107)-In_RH_On*In_RH_Rate*MAX(0,BM104)</f>
        <v>-102.233159762081</v>
      </c>
      <c r="BN110" s="47" t="n">
        <f aca="false">-In_CIT*(MAX(0,BN104)+BN107)-In_RH_On*In_RH_Rate*MAX(0,BN104)</f>
        <v>-102.442944268215</v>
      </c>
      <c r="BO110" s="47" t="n">
        <f aca="false">-In_CIT*(MAX(0,BO104)+BO107)-In_RH_On*In_RH_Rate*MAX(0,BO104)</f>
        <v>-102.591075104912</v>
      </c>
      <c r="BP110" s="47" t="n">
        <f aca="false">-In_CIT*(MAX(0,BP104)+BP107)-In_RH_On*In_RH_Rate*MAX(0,BP104)</f>
        <v>-105.92920663361</v>
      </c>
      <c r="BQ110" s="47" t="n">
        <f aca="false">-In_CIT*(MAX(0,BQ104)+BQ107)-In_RH_On*In_RH_Rate*MAX(0,BQ104)</f>
        <v>-109.309828331014</v>
      </c>
      <c r="BR110" s="47" t="n">
        <f aca="false">-In_CIT*(MAX(0,BR104)+BR107)-In_RH_On*In_RH_Rate*MAX(0,BR104)</f>
        <v>-109.58793066958</v>
      </c>
      <c r="BS110" s="47" t="n">
        <f aca="false">-In_CIT*(MAX(0,BS104)+BS107)-In_RH_On*In_RH_Rate*MAX(0,BS104)</f>
        <v>-109.763799497816</v>
      </c>
      <c r="BT110" s="47" t="n">
        <f aca="false">-In_CIT*(MAX(0,BT104)+BT107)-In_RH_On*In_RH_Rate*MAX(0,BT104)</f>
        <v>-113.188496638965</v>
      </c>
      <c r="BU110" s="47" t="n">
        <f aca="false">-In_CIT*(MAX(0,BU104)+BU107)-In_RH_On*In_RH_Rate*MAX(0,BU104)</f>
        <v>-116.656630320881</v>
      </c>
      <c r="BV110" s="47" t="n">
        <f aca="false">-In_CIT*(MAX(0,BV104)+BV107)-In_RH_On*In_RH_Rate*MAX(0,BV104)</f>
        <v>-117.006383029497</v>
      </c>
      <c r="BW110" s="47" t="n">
        <f aca="false">-In_CIT*(MAX(0,BW104)+BW107)-In_RH_On*In_RH_Rate*MAX(0,BW104)</f>
        <v>-117.212921327695</v>
      </c>
      <c r="BX110" s="47" t="n">
        <f aca="false">-In_CIT*(MAX(0,BX104)+BX107)-In_RH_On*In_RH_Rate*MAX(0,BX104)</f>
        <v>-120.727153567149</v>
      </c>
      <c r="BY110" s="47" t="n">
        <f aca="false">-In_CIT*(MAX(0,BY104)+BY107)-In_RH_On*In_RH_Rate*MAX(0,BY104)</f>
        <v>-124.285805660287</v>
      </c>
      <c r="BZ110" s="47" t="n">
        <f aca="false">-In_CIT*(MAX(0,BZ104)+BZ107)-In_RH_On*In_RH_Rate*MAX(0,BZ104)</f>
        <v>-124.710691195185</v>
      </c>
      <c r="CA110" s="47" t="n">
        <f aca="false">-In_CIT*(MAX(0,CA104)+CA107)-In_RH_On*In_RH_Rate*MAX(0,CA104)</f>
        <v>-126.767754996847</v>
      </c>
      <c r="CB110" s="47" t="n">
        <f aca="false">-In_CIT*(MAX(0,CB104)+CB107)-In_RH_On*In_RH_Rate*MAX(0,CB104)</f>
        <v>-128.58267354022</v>
      </c>
      <c r="CC110" s="47" t="n">
        <f aca="false">-In_CIT*(MAX(0,CC104)+CC107)-In_RH_On*In_RH_Rate*MAX(0,CC104)</f>
        <v>-132.235275141602</v>
      </c>
      <c r="CD110" s="47" t="n">
        <f aca="false">-In_CIT*(MAX(0,CD104)+CD107)-In_RH_On*In_RH_Rate*MAX(0,CD104)</f>
        <v>-132.739221897107</v>
      </c>
      <c r="CE110" s="47" t="n">
        <f aca="false">-In_CIT*(MAX(0,CE104)+CE107)-In_RH_On*In_RH_Rate*MAX(0,CE104)</f>
        <v>-133.016771913363</v>
      </c>
      <c r="CF110" s="47" t="n">
        <f aca="false">-In_CIT*(MAX(0,CF104)+CF107)-In_RH_On*In_RH_Rate*MAX(0,CF104)</f>
        <v>-136.719833584592</v>
      </c>
      <c r="CG110" s="47" t="n">
        <f aca="false">-In_CIT*(MAX(0,CG104)+CG107)-In_RH_On*In_RH_Rate*MAX(0,CG104)</f>
        <v>-140.469402732323</v>
      </c>
      <c r="CH110" s="47" t="n">
        <f aca="false">-In_CIT*(MAX(0,CH104)+CH107)-In_RH_On*In_RH_Rate*MAX(0,CH104)</f>
        <v>-141.055938099431</v>
      </c>
      <c r="CI110" s="47" t="n">
        <f aca="false">-In_CIT*(MAX(0,CI104)+CI107)-In_RH_On*In_RH_Rate*MAX(0,CI104)</f>
        <v>-141.37386163345</v>
      </c>
      <c r="CJ110" s="47" t="n">
        <f aca="false">-In_CIT*(MAX(0,CJ104)+CJ107)-In_RH_On*In_RH_Rate*MAX(0,CJ104)</f>
        <v>-145.176229683482</v>
      </c>
      <c r="CK110" s="47" t="n">
        <f aca="false">-In_CIT*(MAX(0,CK104)+CK107)-In_RH_On*In_RH_Rate*MAX(0,CK104)</f>
        <v>-149.026209852655</v>
      </c>
      <c r="CL110" s="47" t="n">
        <f aca="false">-In_CIT*(MAX(0,CL104)+CL107)-In_RH_On*In_RH_Rate*MAX(0,CL104)</f>
        <v>-149.699308819471</v>
      </c>
      <c r="CM110" s="47" t="n">
        <f aca="false">-In_CIT*(MAX(0,CM104)+CM107)-In_RH_On*In_RH_Rate*MAX(0,CM104)</f>
        <v>-150.06115882796</v>
      </c>
      <c r="CN110" s="47" t="n">
        <f aca="false">-In_CIT*(MAX(0,CN104)+CN107)-In_RH_On*In_RH_Rate*MAX(0,CN104)</f>
        <v>-153.966392194359</v>
      </c>
      <c r="CO110" s="47" t="n">
        <f aca="false">-In_CIT*(MAX(0,CO104)+CO107)-In_RH_On*In_RH_Rate*MAX(0,CO104)</f>
        <v>-157.920386440531</v>
      </c>
      <c r="CP110" s="47" t="n">
        <f aca="false">-In_CIT*(MAX(0,CP104)+CP107)-In_RH_On*In_RH_Rate*MAX(0,CP104)</f>
        <v>-158.684203132042</v>
      </c>
      <c r="CQ110" s="47" t="n">
        <f aca="false">-In_CIT*(MAX(0,CQ104)+CQ107)-In_RH_On*In_RH_Rate*MAX(0,CQ104)</f>
        <v>-160.935697290512</v>
      </c>
      <c r="CR110" s="47" t="n">
        <f aca="false">-In_CIT*(MAX(0,CR104)+CR107)-In_RH_On*In_RH_Rate*MAX(0,CR104)</f>
        <v>-163.130493908739</v>
      </c>
      <c r="CS110" s="47" t="n">
        <f aca="false">-In_CIT*(MAX(0,CS104)+CS107)-In_RH_On*In_RH_Rate*MAX(0,CS104)</f>
        <v>-167.192559999959</v>
      </c>
      <c r="CT110" s="47" t="n">
        <f aca="false">-In_CIT*(MAX(0,CT104)+CT107)-In_RH_On*In_RH_Rate*MAX(0,CT104)</f>
        <v>-168.051726678946</v>
      </c>
      <c r="CU110" s="47" t="n">
        <f aca="false">-In_CIT*(MAX(0,CU104)+CU107)-In_RH_On*In_RH_Rate*MAX(0,CU104)</f>
        <v>-166.224183016148</v>
      </c>
      <c r="CV110" s="47" t="n">
        <f aca="false">-In_CIT*(MAX(0,CV104)+CV107)-In_RH_On*In_RH_Rate*MAX(0,CV104)</f>
        <v>-168.071118382994</v>
      </c>
      <c r="CW110" s="47" t="n">
        <f aca="false">-In_CIT*(MAX(0,CW104)+CW107)-In_RH_On*In_RH_Rate*MAX(0,CW104)</f>
        <v>-169.91805374984</v>
      </c>
      <c r="CX110" s="47" t="n">
        <f aca="false">-In_CIT*(MAX(0,CX104)+CX107)-In_RH_On*In_RH_Rate*MAX(0,CX104)</f>
        <v>-168.498164540173</v>
      </c>
      <c r="CY110" s="47" t="n">
        <f aca="false">-In_CIT*(MAX(0,CY104)+CY107)-In_RH_On*In_RH_Rate*MAX(0,CY104)</f>
        <v>-166.617041396964</v>
      </c>
      <c r="CZ110" s="47" t="n">
        <f aca="false">-In_CIT*(MAX(0,CZ104)+CZ107)-In_RH_On*In_RH_Rate*MAX(0,CZ104)</f>
        <v>-168.46834185693</v>
      </c>
      <c r="DA110" s="47" t="n">
        <f aca="false">-In_CIT*(MAX(0,DA104)+DA107)-In_RH_On*In_RH_Rate*MAX(0,DA104)</f>
        <v>-170.319642316896</v>
      </c>
      <c r="DB110" s="47" t="n">
        <f aca="false">-In_CIT*(MAX(0,DB104)+DB107)-In_RH_On*In_RH_Rate*MAX(0,DB104)</f>
        <v>-375.486699874706</v>
      </c>
      <c r="DC110" s="47" t="n">
        <f aca="false">-In_CIT*(MAX(0,DC104)+DC107)-In_RH_On*In_RH_Rate*MAX(0,DC104)</f>
        <v>-369.060276869219</v>
      </c>
      <c r="DD110" s="47" t="n">
        <f aca="false">-In_CIT*(MAX(0,DD104)+DD107)-In_RH_On*In_RH_Rate*MAX(0,DD104)</f>
        <v>-373.160946612211</v>
      </c>
      <c r="DE110" s="47" t="n">
        <f aca="false">-In_CIT*(MAX(0,DE104)+DE107)-In_RH_On*In_RH_Rate*MAX(0,DE104)</f>
        <v>-377.261616355202</v>
      </c>
      <c r="DF110" s="47" t="n">
        <f aca="false">-In_CIT*(MAX(0,DF104)+DF107)-In_RH_On*In_RH_Rate*MAX(0,DF104)</f>
        <v>-375.824783779586</v>
      </c>
      <c r="DG110" s="47" t="n">
        <f aca="false">-In_CIT*(MAX(0,DG104)+DG107)-In_RH_On*In_RH_Rate*MAX(0,DG104)</f>
        <v>-373.447561715863</v>
      </c>
      <c r="DH110" s="47" t="n">
        <f aca="false">-In_CIT*(MAX(0,DH104)+DH107)-In_RH_On*In_RH_Rate*MAX(0,DH104)</f>
        <v>-373.447561715863</v>
      </c>
      <c r="DI110" s="47" t="n">
        <f aca="false">-In_CIT*(MAX(0,DI104)+DI107)-In_RH_On*In_RH_Rate*MAX(0,DI104)</f>
        <v>-377.551381075378</v>
      </c>
      <c r="DJ110" s="47" t="n">
        <f aca="false">-In_CIT*(MAX(0,DJ104)+DJ107)-In_RH_On*In_RH_Rate*MAX(0,DJ104)</f>
        <v>-376.106053012438</v>
      </c>
      <c r="DK110" s="47" t="n">
        <f aca="false">-In_CIT*(MAX(0,DK104)+DK107)-In_RH_On*In_RH_Rate*MAX(0,DK104)</f>
        <v>-369.569862589466</v>
      </c>
      <c r="DL110" s="47" t="n">
        <f aca="false">-In_CIT*(MAX(0,DL104)+DL107)-In_RH_On*In_RH_Rate*MAX(0,DL104)</f>
        <v>-373.676194396016</v>
      </c>
      <c r="DM110" s="47" t="n">
        <f aca="false">-In_CIT*(MAX(0,DM104)+DM107)-In_RH_On*In_RH_Rate*MAX(0,DM104)</f>
        <v>-377.782526202566</v>
      </c>
      <c r="DN110" s="47" t="n">
        <f aca="false">-In_CIT*(MAX(0,DN104)+DN107)-In_RH_On*In_RH_Rate*MAX(0,DN104)</f>
        <v>-376.328687856251</v>
      </c>
      <c r="DO110" s="47" t="n">
        <f aca="false">-In_CIT*(MAX(0,DO104)+DO107)-In_RH_On*In_RH_Rate*MAX(0,DO104)</f>
        <v>-369.736810251908</v>
      </c>
      <c r="DP110" s="47" t="n">
        <f aca="false">-In_CIT*(MAX(0,DP104)+DP107)-In_RH_On*In_RH_Rate*MAX(0,DP104)</f>
        <v>-373.844997032485</v>
      </c>
      <c r="DQ110" s="47" t="n">
        <f aca="false">-In_CIT*(MAX(0,DQ104)+DQ107)-In_RH_On*In_RH_Rate*MAX(0,DQ104)</f>
        <v>-377.953183813062</v>
      </c>
      <c r="DR110" s="47" t="n">
        <f aca="false">-In_CIT*(MAX(0,DR104)+DR107)-In_RH_On*In_RH_Rate*MAX(0,DR104)</f>
        <v>-376.490821224723</v>
      </c>
      <c r="DS110" s="47" t="n">
        <f aca="false">-In_CIT*(MAX(0,DS104)+DS107)-In_RH_On*In_RH_Rate*MAX(0,DS104)</f>
        <v>-369.842710510587</v>
      </c>
      <c r="DT110" s="47" t="n">
        <f aca="false">-In_CIT*(MAX(0,DT104)+DT107)-In_RH_On*In_RH_Rate*MAX(0,DT104)</f>
        <v>-373.952073960705</v>
      </c>
      <c r="DU110" s="47" t="n">
        <f aca="false">-In_CIT*(MAX(0,DU104)+DU107)-In_RH_On*In_RH_Rate*MAX(0,DU104)</f>
        <v>-378.061437410823</v>
      </c>
      <c r="DV110" s="47" t="n">
        <f aca="false">-In_CIT*(MAX(0,DV104)+DV107)-In_RH_On*In_RH_Rate*MAX(0,DV104)</f>
        <v>-376.590537485769</v>
      </c>
      <c r="DW110" s="47" t="n">
        <f aca="false">-In_CIT*(MAX(0,DW104)+DW107)-In_RH_On*In_RH_Rate*MAX(0,DW104)</f>
        <v>-373.995480278811</v>
      </c>
      <c r="DX110" s="47" t="n">
        <f aca="false">-In_CIT*(MAX(0,DX104)+DX107)-In_RH_On*In_RH_Rate*MAX(0,DX104)</f>
        <v>-373.995480278811</v>
      </c>
      <c r="DY110" s="47" t="n">
        <f aca="false">-In_CIT*(MAX(0,DY104)+DY107)-In_RH_On*In_RH_Rate*MAX(0,DY104)</f>
        <v>-378.105320721435</v>
      </c>
      <c r="DZ110" s="47" t="n">
        <f aca="false">-In_CIT*(MAX(0,DZ104)+DZ107)-In_RH_On*In_RH_Rate*MAX(0,DZ104)</f>
        <v>-376.625871256128</v>
      </c>
      <c r="EA110" s="47" t="n">
        <f aca="false">-In_CIT*(MAX(0,EA104)+EA107)-In_RH_On*In_RH_Rate*MAX(0,EA104)</f>
        <v>-369.863624794353</v>
      </c>
      <c r="EB110" s="47" t="n">
        <f aca="false">-In_CIT*(MAX(0,EB104)+EB107)-In_RH_On*In_RH_Rate*MAX(0,EB104)</f>
        <v>-373.973220625401</v>
      </c>
      <c r="EC110" s="47" t="n">
        <f aca="false">-In_CIT*(MAX(0,EC104)+EC107)-In_RH_On*In_RH_Rate*MAX(0,EC104)</f>
        <v>-378.08281645645</v>
      </c>
      <c r="ED110" s="47" t="n">
        <f aca="false">-In_CIT*(MAX(0,ED104)+ED107)-In_RH_On*In_RH_Rate*MAX(0,ED104)</f>
        <v>-376.594806166359</v>
      </c>
      <c r="EE110" s="47" t="n">
        <f aca="false">-In_CIT*(MAX(0,EE104)+EE107)-In_RH_On*In_RH_Rate*MAX(0,EE104)</f>
        <v>-369.774640807209</v>
      </c>
      <c r="EF110" s="47" t="n">
        <f aca="false">-In_CIT*(MAX(0,EF104)+EF107)-In_RH_On*In_RH_Rate*MAX(0,EF104)</f>
        <v>-373.883247927289</v>
      </c>
      <c r="EG110" s="47" t="n">
        <f aca="false">-In_CIT*(MAX(0,EG104)+EG107)-In_RH_On*In_RH_Rate*MAX(0,EG104)</f>
        <v>-377.991855047369</v>
      </c>
      <c r="EH110" s="47" t="n">
        <f aca="false">-In_CIT*(MAX(0,EH104)+EH107)-In_RH_On*In_RH_Rate*MAX(0,EH104)</f>
        <v>-376.495273595488</v>
      </c>
      <c r="EI110" s="47" t="n">
        <f aca="false">-In_CIT*(MAX(0,EI104)+EI107)-In_RH_On*In_RH_Rate*MAX(0,EI104)</f>
        <v>-369.616610884433</v>
      </c>
      <c r="EJ110" s="47" t="n">
        <f aca="false">-In_CIT*(MAX(0,EJ104)+EJ107)-In_RH_On*In_RH_Rate*MAX(0,EJ104)</f>
        <v>-373.723462116482</v>
      </c>
      <c r="EK110" s="47" t="n">
        <f aca="false">-In_CIT*(MAX(0,EK104)+EK107)-In_RH_On*In_RH_Rate*MAX(0,EK104)</f>
        <v>-377.830313348531</v>
      </c>
      <c r="EL110" s="47" t="n">
        <f aca="false">-In_CIT*(MAX(0,EL104)+EL107)-In_RH_On*In_RH_Rate*MAX(0,EL104)</f>
        <v>-376.325151374578</v>
      </c>
      <c r="EM110" s="47" t="n">
        <f aca="false">-In_CIT*(MAX(0,EM104)+EM107)-In_RH_On*In_RH_Rate*MAX(0,EM104)</f>
        <v>-373.491708815651</v>
      </c>
      <c r="EN110" s="47" t="n">
        <f aca="false">-In_CIT*(MAX(0,EN104)+EN107)-In_RH_On*In_RH_Rate*MAX(0,EN104)</f>
        <v>-373.491708815651</v>
      </c>
      <c r="EO110" s="47" t="n">
        <f aca="false">-In_CIT*(MAX(0,EO104)+EO107)-In_RH_On*In_RH_Rate*MAX(0,EO104)</f>
        <v>-377.596013308131</v>
      </c>
    </row>
    <row r="111" customFormat="false" ht="15" hidden="false" customHeight="false" outlineLevel="0" collapsed="false">
      <c r="C111" s="0" t="s">
        <v>473</v>
      </c>
      <c r="D111" s="11" t="s">
        <v>33</v>
      </c>
      <c r="I111" s="47" t="n">
        <f aca="false">SUM(J111:EO111)</f>
        <v>3.03178282479166E-009</v>
      </c>
      <c r="J111" s="47" t="n">
        <f aca="false">ABS(J110-J83)</f>
        <v>0</v>
      </c>
      <c r="K111" s="47" t="n">
        <f aca="false">ABS(K110-K83)</f>
        <v>0</v>
      </c>
      <c r="L111" s="47" t="n">
        <f aca="false">ABS(L110-L83)</f>
        <v>0</v>
      </c>
      <c r="M111" s="47" t="n">
        <f aca="false">ABS(M110-M83)</f>
        <v>0</v>
      </c>
      <c r="N111" s="47" t="n">
        <f aca="false">ABS(N110-N83)</f>
        <v>0</v>
      </c>
      <c r="O111" s="47" t="n">
        <f aca="false">ABS(O110-O83)</f>
        <v>0</v>
      </c>
      <c r="P111" s="47" t="n">
        <f aca="false">ABS(P110-P83)</f>
        <v>0</v>
      </c>
      <c r="Q111" s="47" t="n">
        <f aca="false">ABS(Q110-Q83)</f>
        <v>0</v>
      </c>
      <c r="R111" s="47" t="n">
        <f aca="false">ABS(R110-R83)</f>
        <v>0</v>
      </c>
      <c r="S111" s="47" t="n">
        <f aca="false">ABS(S110-S83)</f>
        <v>0</v>
      </c>
      <c r="T111" s="47" t="n">
        <f aca="false">ABS(T110-T83)</f>
        <v>0</v>
      </c>
      <c r="U111" s="47" t="n">
        <f aca="false">ABS(U110-U83)</f>
        <v>0</v>
      </c>
      <c r="V111" s="47" t="n">
        <f aca="false">ABS(V110-V83)</f>
        <v>0</v>
      </c>
      <c r="W111" s="47" t="n">
        <f aca="false">ABS(W110-W83)</f>
        <v>0</v>
      </c>
      <c r="X111" s="47" t="n">
        <f aca="false">ABS(X110-X83)</f>
        <v>0</v>
      </c>
      <c r="Y111" s="47" t="n">
        <f aca="false">ABS(Y110-Y83)</f>
        <v>0</v>
      </c>
      <c r="Z111" s="47" t="n">
        <f aca="false">ABS(Z110-Z83)</f>
        <v>0</v>
      </c>
      <c r="AA111" s="47" t="n">
        <f aca="false">ABS(AA110-AA83)</f>
        <v>2.849276370398E-012</v>
      </c>
      <c r="AB111" s="47" t="n">
        <f aca="false">ABS(AB110-AB83)</f>
        <v>5.6701310313656E-012</v>
      </c>
      <c r="AC111" s="47" t="n">
        <f aca="false">ABS(AC110-AC83)</f>
        <v>8.5087492607272E-012</v>
      </c>
      <c r="AD111" s="47" t="n">
        <f aca="false">ABS(AD110-AD83)</f>
        <v>1.13828946268768E-011</v>
      </c>
      <c r="AE111" s="47" t="n">
        <f aca="false">ABS(AE110-AE83)</f>
        <v>1.42392764246324E-011</v>
      </c>
      <c r="AF111" s="47" t="n">
        <f aca="false">ABS(AF110-AF83)</f>
        <v>1.70601310856E-011</v>
      </c>
      <c r="AG111" s="47" t="n">
        <f aca="false">ABS(AG110-AG83)</f>
        <v>1.9856116750816E-011</v>
      </c>
      <c r="AH111" s="47" t="n">
        <f aca="false">ABS(AH110-AH83)</f>
        <v>2.26556551297108E-011</v>
      </c>
      <c r="AI111" s="47" t="n">
        <f aca="false">ABS(AI110-AI83)</f>
        <v>2.54090082307812E-011</v>
      </c>
      <c r="AJ111" s="47" t="n">
        <f aca="false">ABS(AJ110-AJ83)</f>
        <v>2.80877543445968E-011</v>
      </c>
      <c r="AK111" s="47" t="n">
        <f aca="false">ABS(AK110-AK83)</f>
        <v>3.07807113131275E-011</v>
      </c>
      <c r="AL111" s="47" t="n">
        <f aca="false">ABS(AL110-AL83)</f>
        <v>6.6904703999171E-011</v>
      </c>
      <c r="AM111" s="47" t="n">
        <f aca="false">ABS(AM110-AM83)</f>
        <v>7.06137370798388E-011</v>
      </c>
      <c r="AN111" s="47" t="n">
        <f aca="false">ABS(AN110-AN83)</f>
        <v>7.36690708436072E-011</v>
      </c>
      <c r="AO111" s="47" t="n">
        <f aca="false">ABS(AO110-AO83)</f>
        <v>7.62270246923436E-011</v>
      </c>
      <c r="AP111" s="47" t="n">
        <f aca="false">ABS(AP110-AP83)</f>
        <v>7.82449660619022E-011</v>
      </c>
      <c r="AQ111" s="47" t="n">
        <f aca="false">ABS(AQ110-AQ83)</f>
        <v>7.96518406787072E-011</v>
      </c>
      <c r="AR111" s="47" t="n">
        <f aca="false">ABS(AR110-AR83)</f>
        <v>8.03623834144673E-011</v>
      </c>
      <c r="AS111" s="47" t="n">
        <f aca="false">ABS(AS110-AS83)</f>
        <v>8.05613353804802E-011</v>
      </c>
      <c r="AT111" s="47" t="n">
        <f aca="false">ABS(AT110-AT83)</f>
        <v>8.02060640126001E-011</v>
      </c>
      <c r="AU111" s="47" t="n">
        <f aca="false">ABS(AU110-AU83)</f>
        <v>7.9282358456112E-011</v>
      </c>
      <c r="AV111" s="47" t="n">
        <f aca="false">ABS(AV110-AV83)</f>
        <v>7.77617970015854E-011</v>
      </c>
      <c r="AW111" s="47" t="n">
        <f aca="false">ABS(AW110-AW83)</f>
        <v>7.57154339225963E-011</v>
      </c>
      <c r="AX111" s="47" t="n">
        <f aca="false">ABS(AX110-AX83)</f>
        <v>7.31859017832903E-011</v>
      </c>
      <c r="AY111" s="47" t="n">
        <f aca="false">ABS(AY110-AY83)</f>
        <v>7.01589897289523E-011</v>
      </c>
      <c r="AZ111" s="47" t="n">
        <f aca="false">ABS(AZ110-AZ83)</f>
        <v>6.65636434860062E-011</v>
      </c>
      <c r="BA111" s="47" t="n">
        <f aca="false">ABS(BA110-BA83)</f>
        <v>6.261302587518E-011</v>
      </c>
      <c r="BB111" s="47" t="n">
        <f aca="false">ABS(BB110-BB83)</f>
        <v>5.83071368964738E-011</v>
      </c>
      <c r="BC111" s="47" t="n">
        <f aca="false">ABS(BC110-BC83)</f>
        <v>5.36317656951724E-011</v>
      </c>
      <c r="BD111" s="47" t="n">
        <f aca="false">ABS(BD110-BD83)</f>
        <v>4.85158579976996E-011</v>
      </c>
      <c r="BE111" s="47" t="n">
        <f aca="false">ABS(BE110-BE83)</f>
        <v>4.32152091889293E-011</v>
      </c>
      <c r="BF111" s="47" t="n">
        <f aca="false">ABS(BF110-BF83)</f>
        <v>3.77156084141461E-011</v>
      </c>
      <c r="BG111" s="47" t="n">
        <f aca="false">ABS(BG110-BG83)</f>
        <v>3.19886339639197E-011</v>
      </c>
      <c r="BH111" s="47" t="n">
        <f aca="false">ABS(BH110-BH83)</f>
        <v>2.60200749835349E-011</v>
      </c>
      <c r="BI111" s="47" t="n">
        <f aca="false">ABS(BI110-BI83)</f>
        <v>2.00230942937196E-011</v>
      </c>
      <c r="BJ111" s="47" t="n">
        <f aca="false">ABS(BJ110-BJ83)</f>
        <v>1.39834810397588E-011</v>
      </c>
      <c r="BK111" s="47" t="n">
        <f aca="false">ABS(BK110-BK83)</f>
        <v>7.90123522165231E-012</v>
      </c>
      <c r="BL111" s="47" t="n">
        <f aca="false">ABS(BL110-BL83)</f>
        <v>1.80477854883065E-012</v>
      </c>
      <c r="BM111" s="47" t="n">
        <f aca="false">ABS(BM110-BM83)</f>
        <v>4.19220214098459E-012</v>
      </c>
      <c r="BN111" s="47" t="n">
        <f aca="false">ABS(BN110-BN83)</f>
        <v>1.0061285138363E-011</v>
      </c>
      <c r="BO111" s="47" t="n">
        <f aca="false">ABS(BO110-BO83)</f>
        <v>1.5759837879159E-011</v>
      </c>
      <c r="BP111" s="47" t="n">
        <f aca="false">ABS(BP110-BP83)</f>
        <v>2.13731254916638E-011</v>
      </c>
      <c r="BQ111" s="47" t="n">
        <f aca="false">ABS(BQ110-BQ83)</f>
        <v>2.67164068645798E-011</v>
      </c>
      <c r="BR111" s="47" t="n">
        <f aca="false">ABS(BR110-BR83)</f>
        <v>3.16759951601853E-011</v>
      </c>
      <c r="BS111" s="47" t="n">
        <f aca="false">ABS(BS110-BS83)</f>
        <v>3.64082097803475E-011</v>
      </c>
      <c r="BT111" s="47" t="n">
        <f aca="false">ABS(BT110-BT83)</f>
        <v>4.0870418160921E-011</v>
      </c>
      <c r="BU111" s="47" t="n">
        <f aca="false">ABS(BU110-BU83)</f>
        <v>4.49205117547535E-011</v>
      </c>
      <c r="BV111" s="47" t="n">
        <f aca="false">ABS(BV110-BV83)</f>
        <v>4.84590145788388E-011</v>
      </c>
      <c r="BW111" s="47" t="n">
        <f aca="false">ABS(BW110-BW83)</f>
        <v>5.16564568897593E-011</v>
      </c>
      <c r="BX111" s="47" t="n">
        <f aca="false">ABS(BX110-BX83)</f>
        <v>5.44559952686541E-011</v>
      </c>
      <c r="BY111" s="47" t="n">
        <f aca="false">ABS(BY110-BY83)</f>
        <v>5.67155211683712E-011</v>
      </c>
      <c r="BZ111" s="47" t="n">
        <f aca="false">ABS(BZ110-BZ83)</f>
        <v>5.84492454436258E-011</v>
      </c>
      <c r="CA111" s="47" t="n">
        <f aca="false">ABS(CA110-CA83)</f>
        <v>5.97140115132788E-011</v>
      </c>
      <c r="CB111" s="47" t="n">
        <f aca="false">ABS(CB110-CB83)</f>
        <v>6.05098193773301E-011</v>
      </c>
      <c r="CC111" s="47" t="n">
        <f aca="false">ABS(CC110-CC83)</f>
        <v>6.07656147622038E-011</v>
      </c>
      <c r="CD111" s="47" t="n">
        <f aca="false">ABS(CD110-CD83)</f>
        <v>6.04529759584693E-011</v>
      </c>
      <c r="CE111" s="47" t="n">
        <f aca="false">ABS(CE110-CE83)</f>
        <v>5.96855898038484E-011</v>
      </c>
      <c r="CF111" s="47" t="n">
        <f aca="false">ABS(CF110-CF83)</f>
        <v>5.8463456298341E-011</v>
      </c>
      <c r="CG111" s="47" t="n">
        <f aca="false">ABS(CG110-CG83)</f>
        <v>5.67297320230864E-011</v>
      </c>
      <c r="CH111" s="47" t="n">
        <f aca="false">ABS(CH110-CH83)</f>
        <v>5.44275735592237E-011</v>
      </c>
      <c r="CI111" s="47" t="n">
        <f aca="false">ABS(CI110-CI83)</f>
        <v>5.16990894539049E-011</v>
      </c>
      <c r="CJ111" s="47" t="n">
        <f aca="false">ABS(CJ110-CJ83)</f>
        <v>4.86011231259909E-011</v>
      </c>
      <c r="CK111" s="47" t="n">
        <f aca="false">ABS(CK110-CK83)</f>
        <v>4.50484094471904E-011</v>
      </c>
      <c r="CL111" s="47" t="n">
        <f aca="false">ABS(CL110-CL83)</f>
        <v>4.10409484175034E-011</v>
      </c>
      <c r="CM111" s="47" t="n">
        <f aca="false">ABS(CM110-CM83)</f>
        <v>3.66924268746516E-011</v>
      </c>
      <c r="CN111" s="47" t="n">
        <f aca="false">ABS(CN110-CN83)</f>
        <v>3.21165316563565E-011</v>
      </c>
      <c r="CO111" s="47" t="n">
        <f aca="false">ABS(CO110-CO83)</f>
        <v>2.72564193437574E-011</v>
      </c>
      <c r="CP111" s="47" t="n">
        <f aca="false">ABS(CP110-CP83)</f>
        <v>2.20268248085631E-011</v>
      </c>
      <c r="CQ111" s="47" t="n">
        <f aca="false">ABS(CQ110-CQ83)</f>
        <v>1.67119651450776E-011</v>
      </c>
      <c r="CR111" s="47" t="n">
        <f aca="false">ABS(CR110-CR83)</f>
        <v>1.11981535155792E-011</v>
      </c>
      <c r="CS111" s="47" t="n">
        <f aca="false">ABS(CS110-CS83)</f>
        <v>5.59907675778959E-012</v>
      </c>
      <c r="CT111" s="47" t="n">
        <f aca="false">ABS(CT110-CT83)</f>
        <v>0</v>
      </c>
      <c r="CU111" s="47" t="n">
        <f aca="false">ABS(CU110-CU83)</f>
        <v>0</v>
      </c>
      <c r="CV111" s="47" t="n">
        <f aca="false">ABS(CV110-CV83)</f>
        <v>0</v>
      </c>
      <c r="CW111" s="47" t="n">
        <f aca="false">ABS(CW110-CW83)</f>
        <v>0</v>
      </c>
      <c r="CX111" s="47" t="n">
        <f aca="false">ABS(CX110-CX83)</f>
        <v>0</v>
      </c>
      <c r="CY111" s="47" t="n">
        <f aca="false">ABS(CY110-CY83)</f>
        <v>0</v>
      </c>
      <c r="CZ111" s="47" t="n">
        <f aca="false">ABS(CZ110-CZ83)</f>
        <v>0</v>
      </c>
      <c r="DA111" s="47" t="n">
        <f aca="false">ABS(DA110-DA83)</f>
        <v>0</v>
      </c>
      <c r="DB111" s="47" t="n">
        <f aca="false">ABS(DB110-DB83)</f>
        <v>0</v>
      </c>
      <c r="DC111" s="47" t="n">
        <f aca="false">ABS(DC110-DC83)</f>
        <v>0</v>
      </c>
      <c r="DD111" s="47" t="n">
        <f aca="false">ABS(DD110-DD83)</f>
        <v>0</v>
      </c>
      <c r="DE111" s="47" t="n">
        <f aca="false">ABS(DE110-DE83)</f>
        <v>0</v>
      </c>
      <c r="DF111" s="47" t="n">
        <f aca="false">ABS(DF110-DF83)</f>
        <v>0</v>
      </c>
      <c r="DG111" s="47" t="n">
        <f aca="false">ABS(DG110-DG83)</f>
        <v>0</v>
      </c>
      <c r="DH111" s="47" t="n">
        <f aca="false">ABS(DH110-DH83)</f>
        <v>0</v>
      </c>
      <c r="DI111" s="47" t="n">
        <f aca="false">ABS(DI110-DI83)</f>
        <v>0</v>
      </c>
      <c r="DJ111" s="47" t="n">
        <f aca="false">ABS(DJ110-DJ83)</f>
        <v>0</v>
      </c>
      <c r="DK111" s="47" t="n">
        <f aca="false">ABS(DK110-DK83)</f>
        <v>0</v>
      </c>
      <c r="DL111" s="47" t="n">
        <f aca="false">ABS(DL110-DL83)</f>
        <v>0</v>
      </c>
      <c r="DM111" s="47" t="n">
        <f aca="false">ABS(DM110-DM83)</f>
        <v>0</v>
      </c>
      <c r="DN111" s="47" t="n">
        <f aca="false">ABS(DN110-DN83)</f>
        <v>0</v>
      </c>
      <c r="DO111" s="47" t="n">
        <f aca="false">ABS(DO110-DO83)</f>
        <v>0</v>
      </c>
      <c r="DP111" s="47" t="n">
        <f aca="false">ABS(DP110-DP83)</f>
        <v>0</v>
      </c>
      <c r="DQ111" s="47" t="n">
        <f aca="false">ABS(DQ110-DQ83)</f>
        <v>0</v>
      </c>
      <c r="DR111" s="47" t="n">
        <f aca="false">ABS(DR110-DR83)</f>
        <v>0</v>
      </c>
      <c r="DS111" s="47" t="n">
        <f aca="false">ABS(DS110-DS83)</f>
        <v>0</v>
      </c>
      <c r="DT111" s="47" t="n">
        <f aca="false">ABS(DT110-DT83)</f>
        <v>0</v>
      </c>
      <c r="DU111" s="47" t="n">
        <f aca="false">ABS(DU110-DU83)</f>
        <v>0</v>
      </c>
      <c r="DV111" s="47" t="n">
        <f aca="false">ABS(DV110-DV83)</f>
        <v>0</v>
      </c>
      <c r="DW111" s="47" t="n">
        <f aca="false">ABS(DW110-DW83)</f>
        <v>0</v>
      </c>
      <c r="DX111" s="47" t="n">
        <f aca="false">ABS(DX110-DX83)</f>
        <v>0</v>
      </c>
      <c r="DY111" s="47" t="n">
        <f aca="false">ABS(DY110-DY83)</f>
        <v>0</v>
      </c>
      <c r="DZ111" s="47" t="n">
        <f aca="false">ABS(DZ110-DZ83)</f>
        <v>0</v>
      </c>
      <c r="EA111" s="47" t="n">
        <f aca="false">ABS(EA110-EA83)</f>
        <v>0</v>
      </c>
      <c r="EB111" s="47" t="n">
        <f aca="false">ABS(EB110-EB83)</f>
        <v>0</v>
      </c>
      <c r="EC111" s="47" t="n">
        <f aca="false">ABS(EC110-EC83)</f>
        <v>0</v>
      </c>
      <c r="ED111" s="47" t="n">
        <f aca="false">ABS(ED110-ED83)</f>
        <v>0</v>
      </c>
      <c r="EE111" s="47" t="n">
        <f aca="false">ABS(EE110-EE83)</f>
        <v>0</v>
      </c>
      <c r="EF111" s="47" t="n">
        <f aca="false">ABS(EF110-EF83)</f>
        <v>0</v>
      </c>
      <c r="EG111" s="47" t="n">
        <f aca="false">ABS(EG110-EG83)</f>
        <v>0</v>
      </c>
      <c r="EH111" s="47" t="n">
        <f aca="false">ABS(EH110-EH83)</f>
        <v>0</v>
      </c>
      <c r="EI111" s="47" t="n">
        <f aca="false">ABS(EI110-EI83)</f>
        <v>0</v>
      </c>
      <c r="EJ111" s="47" t="n">
        <f aca="false">ABS(EJ110-EJ83)</f>
        <v>0</v>
      </c>
      <c r="EK111" s="47" t="n">
        <f aca="false">ABS(EK110-EK83)</f>
        <v>0</v>
      </c>
      <c r="EL111" s="47" t="n">
        <f aca="false">ABS(EL110-EL83)</f>
        <v>0</v>
      </c>
      <c r="EM111" s="47" t="n">
        <f aca="false">ABS(EM110-EM83)</f>
        <v>0</v>
      </c>
      <c r="EN111" s="47" t="n">
        <f aca="false">ABS(EN110-EN83)</f>
        <v>0</v>
      </c>
      <c r="EO111" s="47" t="n">
        <f aca="false">ABS(EO110-EO83)</f>
        <v>0</v>
      </c>
    </row>
    <row r="113" customFormat="false" ht="15" hidden="false" customHeight="false" outlineLevel="0" collapsed="false">
      <c r="A113" s="9" t="s">
        <v>13</v>
      </c>
      <c r="B113" s="9"/>
      <c r="C113" s="9" t="s">
        <v>474</v>
      </c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 s="9"/>
      <c r="ED113" s="9"/>
      <c r="EE113" s="9"/>
      <c r="EF113" s="9"/>
      <c r="EG113" s="9"/>
      <c r="EH113" s="9"/>
      <c r="EI113" s="9"/>
      <c r="EJ113" s="9"/>
      <c r="EK113" s="9"/>
      <c r="EL113" s="9"/>
      <c r="EM113" s="9"/>
      <c r="EN113" s="9"/>
      <c r="EO113" s="9"/>
    </row>
    <row r="114" customFormat="false" ht="15" hidden="false" customHeight="false" outlineLevel="0" collapsed="false">
      <c r="C114" s="0" t="s">
        <v>93</v>
      </c>
      <c r="D114" s="11" t="s">
        <v>33</v>
      </c>
      <c r="E114" s="47" t="n">
        <f aca="false">-($I45+$I46+$I47)</f>
        <v>5150</v>
      </c>
    </row>
    <row r="115" customFormat="false" ht="15" hidden="false" customHeight="false" outlineLevel="0" collapsed="false">
      <c r="C115" s="0" t="s">
        <v>94</v>
      </c>
      <c r="D115" s="11" t="s">
        <v>33</v>
      </c>
      <c r="E115" s="47" t="n">
        <f aca="false">-($I49+$I52+$E56)</f>
        <v>1114.92155376243</v>
      </c>
    </row>
    <row r="116" customFormat="false" ht="15" hidden="false" customHeight="false" outlineLevel="0" collapsed="false">
      <c r="C116" s="0" t="s">
        <v>95</v>
      </c>
      <c r="D116" s="11" t="s">
        <v>33</v>
      </c>
      <c r="E116" s="47" t="n">
        <f aca="false">-$I65</f>
        <v>90363.75</v>
      </c>
    </row>
    <row r="117" customFormat="false" ht="15" hidden="false" customHeight="false" outlineLevel="0" collapsed="false">
      <c r="C117" s="0" t="s">
        <v>96</v>
      </c>
      <c r="D117" s="11" t="s">
        <v>33</v>
      </c>
      <c r="E117" s="47" t="n">
        <f aca="false">-$I55</f>
        <v>8154.82315068493</v>
      </c>
    </row>
    <row r="118" customFormat="false" ht="15" hidden="false" customHeight="false" outlineLevel="0" collapsed="false">
      <c r="C118" s="0" t="s">
        <v>97</v>
      </c>
      <c r="D118" s="11" t="s">
        <v>33</v>
      </c>
      <c r="E118" s="47" t="n">
        <f aca="false">-$I66</f>
        <v>2500</v>
      </c>
    </row>
    <row r="119" customFormat="false" ht="15" hidden="false" customHeight="false" outlineLevel="0" collapsed="false">
      <c r="C119" s="0" t="s">
        <v>98</v>
      </c>
      <c r="D119" s="11" t="s">
        <v>33</v>
      </c>
      <c r="E119" s="47" t="n">
        <f aca="false">$I94-$I97-$I98</f>
        <v>4141.29604359987</v>
      </c>
    </row>
    <row r="120" customFormat="false" ht="15" hidden="false" customHeight="false" outlineLevel="0" collapsed="false">
      <c r="C120" s="0" t="s">
        <v>99</v>
      </c>
      <c r="D120" s="11" t="s">
        <v>33</v>
      </c>
      <c r="E120" s="47" t="n">
        <f aca="false">-SUMIF($J$4:$EO$4,"&lt;="&amp;In_COD,$J80:$EO80)</f>
        <v>340.170197534084</v>
      </c>
    </row>
    <row r="121" customFormat="false" ht="15" hidden="false" customHeight="false" outlineLevel="0" collapsed="false">
      <c r="C121" s="25" t="s">
        <v>100</v>
      </c>
      <c r="D121" s="11" t="s">
        <v>33</v>
      </c>
      <c r="E121" s="56" t="n">
        <f aca="false">SUM($E114:$E120)</f>
        <v>111764.960945581</v>
      </c>
    </row>
    <row r="122" customFormat="false" ht="15" hidden="false" customHeight="false" outlineLevel="0" collapsed="false">
      <c r="C122" s="0" t="s">
        <v>475</v>
      </c>
      <c r="D122" s="11" t="s">
        <v>33</v>
      </c>
      <c r="E122" s="47" t="n">
        <f aca="false">$E121-$E96</f>
        <v>53628.9259222578</v>
      </c>
      <c r="F122" s="47" t="n">
        <f aca="false">$E122+$E99</f>
        <v>54856.1728716611</v>
      </c>
    </row>
    <row r="123" customFormat="false" ht="15" hidden="false" customHeight="false" outlineLevel="0" collapsed="false">
      <c r="C123" s="0" t="s">
        <v>104</v>
      </c>
      <c r="D123" s="11" t="s">
        <v>27</v>
      </c>
      <c r="E123" s="48" t="n">
        <f aca="false">$E96/$E121</f>
        <v>0.520163336804906</v>
      </c>
    </row>
    <row r="124" customFormat="false" ht="15" hidden="false" customHeight="false" outlineLevel="0" collapsed="false">
      <c r="C124" s="0" t="s">
        <v>476</v>
      </c>
      <c r="D124" s="11" t="s">
        <v>33</v>
      </c>
      <c r="E124" s="47" t="n">
        <f aca="false">$E85*In_DSCR/In_DSCR_Max_Low</f>
        <v>100857.276484492</v>
      </c>
      <c r="F124" s="47" t="n">
        <f aca="false">$E85*In_DSCR/In_DSCR_Max_High</f>
        <v>92452.503444118</v>
      </c>
    </row>
    <row r="125" customFormat="false" ht="15" hidden="false" customHeight="false" outlineLevel="0" collapsed="false">
      <c r="C125" s="0" t="s">
        <v>477</v>
      </c>
      <c r="D125" s="11" t="s">
        <v>27</v>
      </c>
      <c r="E125" s="48" t="n">
        <f aca="false">$E124/$E121</f>
        <v>0.902405151231611</v>
      </c>
      <c r="F125" s="48" t="n">
        <f aca="false">$F124/$E121</f>
        <v>0.82720472196231</v>
      </c>
    </row>
    <row r="127" customFormat="false" ht="15" hidden="false" customHeight="false" outlineLevel="0" collapsed="false">
      <c r="A127" s="9" t="s">
        <v>13</v>
      </c>
      <c r="B127" s="9"/>
      <c r="C127" s="9" t="s">
        <v>120</v>
      </c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</row>
    <row r="128" customFormat="false" ht="15" hidden="false" customHeight="false" outlineLevel="0" collapsed="false">
      <c r="C128" s="0" t="s">
        <v>478</v>
      </c>
      <c r="D128" s="11" t="s">
        <v>33</v>
      </c>
      <c r="I128" s="47" t="n">
        <f aca="false">SUM(J128:EO128)</f>
        <v>-53628.9259222578</v>
      </c>
      <c r="J128" s="47" t="n">
        <f aca="false">(J60+J67+J93+J97+J98+J80)*(J$4&lt;=In_COD)</f>
        <v>-4662.80993807469</v>
      </c>
      <c r="K128" s="47" t="n">
        <f aca="false">(K60+K67+K93+K97+K98+K80)*(K$4&lt;=In_COD)</f>
        <v>-706.535577057768</v>
      </c>
      <c r="L128" s="47" t="n">
        <f aca="false">(L60+L67+L93+L97+L98+L80)*(L$4&lt;=In_COD)</f>
        <v>-104.360496659404</v>
      </c>
      <c r="M128" s="47" t="n">
        <f aca="false">(M60+M67+M93+M97+M98+M80)*(M$4&lt;=In_COD)</f>
        <v>-105.507315304013</v>
      </c>
      <c r="N128" s="47" t="n">
        <f aca="false">(N60+N67+N93+N97+N98+N80)*(N$4&lt;=In_COD)</f>
        <v>-105.507315304013</v>
      </c>
      <c r="O128" s="47" t="n">
        <f aca="false">(O60+O67+O93+O97+O98+O80)*(O$4&lt;=In_COD)</f>
        <v>-104.360496659404</v>
      </c>
      <c r="P128" s="47" t="n">
        <f aca="false">(P60+P67+P93+P97+P98+P80)*(P$4&lt;=In_COD)</f>
        <v>-104.360496659404</v>
      </c>
      <c r="Q128" s="47" t="n">
        <f aca="false">(Q60+Q67+Q93+Q97+Q98+Q80)*(Q$4&lt;=In_COD)</f>
        <v>-105.507315304013</v>
      </c>
      <c r="R128" s="47" t="n">
        <f aca="false">(R60+R67+R93+R97+R98+R80)*(R$4&lt;=In_COD)</f>
        <v>-6343.24141455136</v>
      </c>
      <c r="S128" s="47" t="n">
        <f aca="false">(S60+S67+S93+S97+S98+S80)*(S$4&lt;=In_COD)</f>
        <v>-8866.86817882802</v>
      </c>
      <c r="T128" s="47" t="n">
        <f aca="false">(T60+T67+T93+T97+T98+T80)*(T$4&lt;=In_COD)</f>
        <v>-5231.13156786321</v>
      </c>
      <c r="U128" s="47" t="n">
        <f aca="false">(U60+U67+U93+U97+U98+U80)*(U$4&lt;=In_COD)</f>
        <v>-5274.56210977118</v>
      </c>
      <c r="V128" s="47" t="n">
        <f aca="false">(V60+V67+V93+V97+V98+V80)*(V$4&lt;=In_COD)</f>
        <v>-5260.35324521498</v>
      </c>
      <c r="W128" s="47" t="n">
        <f aca="false">(W60+W67+W93+W97+W98+W80)*(W$4&lt;=In_COD)</f>
        <v>-5133.13969486067</v>
      </c>
      <c r="X128" s="47" t="n">
        <f aca="false">(X60+X67+X93+X97+X98+X80)*(X$4&lt;=In_COD)</f>
        <v>-5176.42569086062</v>
      </c>
      <c r="Y128" s="47" t="n">
        <f aca="false">(Y60+Y67+Y93+Y97+Y98+Y80)*(Y$4&lt;=In_COD)</f>
        <v>-6344.25506928505</v>
      </c>
      <c r="Z128" s="47" t="n">
        <f aca="false">(Z60+Z67+Z93+Z97+Z98+Z80)*(Z$4&lt;=In_COD)</f>
        <v>0</v>
      </c>
      <c r="AA128" s="47" t="n">
        <f aca="false">(AA60+AA67+AA93+AA97+AA98+AA80)*(AA$4&lt;=In_COD)</f>
        <v>0</v>
      </c>
      <c r="AB128" s="47" t="n">
        <f aca="false">(AB60+AB67+AB93+AB97+AB98+AB80)*(AB$4&lt;=In_COD)</f>
        <v>0</v>
      </c>
      <c r="AC128" s="47" t="n">
        <f aca="false">(AC60+AC67+AC93+AC97+AC98+AC80)*(AC$4&lt;=In_COD)</f>
        <v>0</v>
      </c>
      <c r="AD128" s="47" t="n">
        <f aca="false">(AD60+AD67+AD93+AD97+AD98+AD80)*(AD$4&lt;=In_COD)</f>
        <v>0</v>
      </c>
      <c r="AE128" s="47" t="n">
        <f aca="false">(AE60+AE67+AE93+AE97+AE98+AE80)*(AE$4&lt;=In_COD)</f>
        <v>0</v>
      </c>
      <c r="AF128" s="47" t="n">
        <f aca="false">(AF60+AF67+AF93+AF97+AF98+AF80)*(AF$4&lt;=In_COD)</f>
        <v>0</v>
      </c>
      <c r="AG128" s="47" t="n">
        <f aca="false">(AG60+AG67+AG93+AG97+AG98+AG80)*(AG$4&lt;=In_COD)</f>
        <v>0</v>
      </c>
      <c r="AH128" s="47" t="n">
        <f aca="false">(AH60+AH67+AH93+AH97+AH98+AH80)*(AH$4&lt;=In_COD)</f>
        <v>0</v>
      </c>
      <c r="AI128" s="47" t="n">
        <f aca="false">(AI60+AI67+AI93+AI97+AI98+AI80)*(AI$4&lt;=In_COD)</f>
        <v>0</v>
      </c>
      <c r="AJ128" s="47" t="n">
        <f aca="false">(AJ60+AJ67+AJ93+AJ97+AJ98+AJ80)*(AJ$4&lt;=In_COD)</f>
        <v>0</v>
      </c>
      <c r="AK128" s="47" t="n">
        <f aca="false">(AK60+AK67+AK93+AK97+AK98+AK80)*(AK$4&lt;=In_COD)</f>
        <v>0</v>
      </c>
      <c r="AL128" s="47" t="n">
        <f aca="false">(AL60+AL67+AL93+AL97+AL98+AL80)*(AL$4&lt;=In_COD)</f>
        <v>0</v>
      </c>
      <c r="AM128" s="47" t="n">
        <f aca="false">(AM60+AM67+AM93+AM97+AM98+AM80)*(AM$4&lt;=In_COD)</f>
        <v>0</v>
      </c>
      <c r="AN128" s="47" t="n">
        <f aca="false">(AN60+AN67+AN93+AN97+AN98+AN80)*(AN$4&lt;=In_COD)</f>
        <v>0</v>
      </c>
      <c r="AO128" s="47" t="n">
        <f aca="false">(AO60+AO67+AO93+AO97+AO98+AO80)*(AO$4&lt;=In_COD)</f>
        <v>0</v>
      </c>
      <c r="AP128" s="47" t="n">
        <f aca="false">(AP60+AP67+AP93+AP97+AP98+AP80)*(AP$4&lt;=In_COD)</f>
        <v>0</v>
      </c>
      <c r="AQ128" s="47" t="n">
        <f aca="false">(AQ60+AQ67+AQ93+AQ97+AQ98+AQ80)*(AQ$4&lt;=In_COD)</f>
        <v>0</v>
      </c>
      <c r="AR128" s="47" t="n">
        <f aca="false">(AR60+AR67+AR93+AR97+AR98+AR80)*(AR$4&lt;=In_COD)</f>
        <v>0</v>
      </c>
      <c r="AS128" s="47" t="n">
        <f aca="false">(AS60+AS67+AS93+AS97+AS98+AS80)*(AS$4&lt;=In_COD)</f>
        <v>0</v>
      </c>
      <c r="AT128" s="47" t="n">
        <f aca="false">(AT60+AT67+AT93+AT97+AT98+AT80)*(AT$4&lt;=In_COD)</f>
        <v>0</v>
      </c>
      <c r="AU128" s="47" t="n">
        <f aca="false">(AU60+AU67+AU93+AU97+AU98+AU80)*(AU$4&lt;=In_COD)</f>
        <v>0</v>
      </c>
      <c r="AV128" s="47" t="n">
        <f aca="false">(AV60+AV67+AV93+AV97+AV98+AV80)*(AV$4&lt;=In_COD)</f>
        <v>0</v>
      </c>
      <c r="AW128" s="47" t="n">
        <f aca="false">(AW60+AW67+AW93+AW97+AW98+AW80)*(AW$4&lt;=In_COD)</f>
        <v>0</v>
      </c>
      <c r="AX128" s="47" t="n">
        <f aca="false">(AX60+AX67+AX93+AX97+AX98+AX80)*(AX$4&lt;=In_COD)</f>
        <v>0</v>
      </c>
      <c r="AY128" s="47" t="n">
        <f aca="false">(AY60+AY67+AY93+AY97+AY98+AY80)*(AY$4&lt;=In_COD)</f>
        <v>0</v>
      </c>
      <c r="AZ128" s="47" t="n">
        <f aca="false">(AZ60+AZ67+AZ93+AZ97+AZ98+AZ80)*(AZ$4&lt;=In_COD)</f>
        <v>0</v>
      </c>
      <c r="BA128" s="47" t="n">
        <f aca="false">(BA60+BA67+BA93+BA97+BA98+BA80)*(BA$4&lt;=In_COD)</f>
        <v>0</v>
      </c>
      <c r="BB128" s="47" t="n">
        <f aca="false">(BB60+BB67+BB93+BB97+BB98+BB80)*(BB$4&lt;=In_COD)</f>
        <v>0</v>
      </c>
      <c r="BC128" s="47" t="n">
        <f aca="false">(BC60+BC67+BC93+BC97+BC98+BC80)*(BC$4&lt;=In_COD)</f>
        <v>0</v>
      </c>
      <c r="BD128" s="47" t="n">
        <f aca="false">(BD60+BD67+BD93+BD97+BD98+BD80)*(BD$4&lt;=In_COD)</f>
        <v>0</v>
      </c>
      <c r="BE128" s="47" t="n">
        <f aca="false">(BE60+BE67+BE93+BE97+BE98+BE80)*(BE$4&lt;=In_COD)</f>
        <v>0</v>
      </c>
      <c r="BF128" s="47" t="n">
        <f aca="false">(BF60+BF67+BF93+BF97+BF98+BF80)*(BF$4&lt;=In_COD)</f>
        <v>0</v>
      </c>
      <c r="BG128" s="47" t="n">
        <f aca="false">(BG60+BG67+BG93+BG97+BG98+BG80)*(BG$4&lt;=In_COD)</f>
        <v>0</v>
      </c>
      <c r="BH128" s="47" t="n">
        <f aca="false">(BH60+BH67+BH93+BH97+BH98+BH80)*(BH$4&lt;=In_COD)</f>
        <v>0</v>
      </c>
      <c r="BI128" s="47" t="n">
        <f aca="false">(BI60+BI67+BI93+BI97+BI98+BI80)*(BI$4&lt;=In_COD)</f>
        <v>0</v>
      </c>
      <c r="BJ128" s="47" t="n">
        <f aca="false">(BJ60+BJ67+BJ93+BJ97+BJ98+BJ80)*(BJ$4&lt;=In_COD)</f>
        <v>0</v>
      </c>
      <c r="BK128" s="47" t="n">
        <f aca="false">(BK60+BK67+BK93+BK97+BK98+BK80)*(BK$4&lt;=In_COD)</f>
        <v>0</v>
      </c>
      <c r="BL128" s="47" t="n">
        <f aca="false">(BL60+BL67+BL93+BL97+BL98+BL80)*(BL$4&lt;=In_COD)</f>
        <v>0</v>
      </c>
      <c r="BM128" s="47" t="n">
        <f aca="false">(BM60+BM67+BM93+BM97+BM98+BM80)*(BM$4&lt;=In_COD)</f>
        <v>0</v>
      </c>
      <c r="BN128" s="47" t="n">
        <f aca="false">(BN60+BN67+BN93+BN97+BN98+BN80)*(BN$4&lt;=In_COD)</f>
        <v>0</v>
      </c>
      <c r="BO128" s="47" t="n">
        <f aca="false">(BO60+BO67+BO93+BO97+BO98+BO80)*(BO$4&lt;=In_COD)</f>
        <v>0</v>
      </c>
      <c r="BP128" s="47" t="n">
        <f aca="false">(BP60+BP67+BP93+BP97+BP98+BP80)*(BP$4&lt;=In_COD)</f>
        <v>0</v>
      </c>
      <c r="BQ128" s="47" t="n">
        <f aca="false">(BQ60+BQ67+BQ93+BQ97+BQ98+BQ80)*(BQ$4&lt;=In_COD)</f>
        <v>0</v>
      </c>
      <c r="BR128" s="47" t="n">
        <f aca="false">(BR60+BR67+BR93+BR97+BR98+BR80)*(BR$4&lt;=In_COD)</f>
        <v>0</v>
      </c>
      <c r="BS128" s="47" t="n">
        <f aca="false">(BS60+BS67+BS93+BS97+BS98+BS80)*(BS$4&lt;=In_COD)</f>
        <v>0</v>
      </c>
      <c r="BT128" s="47" t="n">
        <f aca="false">(BT60+BT67+BT93+BT97+BT98+BT80)*(BT$4&lt;=In_COD)</f>
        <v>0</v>
      </c>
      <c r="BU128" s="47" t="n">
        <f aca="false">(BU60+BU67+BU93+BU97+BU98+BU80)*(BU$4&lt;=In_COD)</f>
        <v>0</v>
      </c>
      <c r="BV128" s="47" t="n">
        <f aca="false">(BV60+BV67+BV93+BV97+BV98+BV80)*(BV$4&lt;=In_COD)</f>
        <v>0</v>
      </c>
      <c r="BW128" s="47" t="n">
        <f aca="false">(BW60+BW67+BW93+BW97+BW98+BW80)*(BW$4&lt;=In_COD)</f>
        <v>0</v>
      </c>
      <c r="BX128" s="47" t="n">
        <f aca="false">(BX60+BX67+BX93+BX97+BX98+BX80)*(BX$4&lt;=In_COD)</f>
        <v>0</v>
      </c>
      <c r="BY128" s="47" t="n">
        <f aca="false">(BY60+BY67+BY93+BY97+BY98+BY80)*(BY$4&lt;=In_COD)</f>
        <v>0</v>
      </c>
      <c r="BZ128" s="47" t="n">
        <f aca="false">(BZ60+BZ67+BZ93+BZ97+BZ98+BZ80)*(BZ$4&lt;=In_COD)</f>
        <v>0</v>
      </c>
      <c r="CA128" s="47" t="n">
        <f aca="false">(CA60+CA67+CA93+CA97+CA98+CA80)*(CA$4&lt;=In_COD)</f>
        <v>0</v>
      </c>
      <c r="CB128" s="47" t="n">
        <f aca="false">(CB60+CB67+CB93+CB97+CB98+CB80)*(CB$4&lt;=In_COD)</f>
        <v>0</v>
      </c>
      <c r="CC128" s="47" t="n">
        <f aca="false">(CC60+CC67+CC93+CC97+CC98+CC80)*(CC$4&lt;=In_COD)</f>
        <v>0</v>
      </c>
      <c r="CD128" s="47" t="n">
        <f aca="false">(CD60+CD67+CD93+CD97+CD98+CD80)*(CD$4&lt;=In_COD)</f>
        <v>0</v>
      </c>
      <c r="CE128" s="47" t="n">
        <f aca="false">(CE60+CE67+CE93+CE97+CE98+CE80)*(CE$4&lt;=In_COD)</f>
        <v>0</v>
      </c>
      <c r="CF128" s="47" t="n">
        <f aca="false">(CF60+CF67+CF93+CF97+CF98+CF80)*(CF$4&lt;=In_COD)</f>
        <v>0</v>
      </c>
      <c r="CG128" s="47" t="n">
        <f aca="false">(CG60+CG67+CG93+CG97+CG98+CG80)*(CG$4&lt;=In_COD)</f>
        <v>0</v>
      </c>
      <c r="CH128" s="47" t="n">
        <f aca="false">(CH60+CH67+CH93+CH97+CH98+CH80)*(CH$4&lt;=In_COD)</f>
        <v>0</v>
      </c>
      <c r="CI128" s="47" t="n">
        <f aca="false">(CI60+CI67+CI93+CI97+CI98+CI80)*(CI$4&lt;=In_COD)</f>
        <v>0</v>
      </c>
      <c r="CJ128" s="47" t="n">
        <f aca="false">(CJ60+CJ67+CJ93+CJ97+CJ98+CJ80)*(CJ$4&lt;=In_COD)</f>
        <v>0</v>
      </c>
      <c r="CK128" s="47" t="n">
        <f aca="false">(CK60+CK67+CK93+CK97+CK98+CK80)*(CK$4&lt;=In_COD)</f>
        <v>0</v>
      </c>
      <c r="CL128" s="47" t="n">
        <f aca="false">(CL60+CL67+CL93+CL97+CL98+CL80)*(CL$4&lt;=In_COD)</f>
        <v>0</v>
      </c>
      <c r="CM128" s="47" t="n">
        <f aca="false">(CM60+CM67+CM93+CM97+CM98+CM80)*(CM$4&lt;=In_COD)</f>
        <v>0</v>
      </c>
      <c r="CN128" s="47" t="n">
        <f aca="false">(CN60+CN67+CN93+CN97+CN98+CN80)*(CN$4&lt;=In_COD)</f>
        <v>0</v>
      </c>
      <c r="CO128" s="47" t="n">
        <f aca="false">(CO60+CO67+CO93+CO97+CO98+CO80)*(CO$4&lt;=In_COD)</f>
        <v>0</v>
      </c>
      <c r="CP128" s="47" t="n">
        <f aca="false">(CP60+CP67+CP93+CP97+CP98+CP80)*(CP$4&lt;=In_COD)</f>
        <v>0</v>
      </c>
      <c r="CQ128" s="47" t="n">
        <f aca="false">(CQ60+CQ67+CQ93+CQ97+CQ98+CQ80)*(CQ$4&lt;=In_COD)</f>
        <v>0</v>
      </c>
      <c r="CR128" s="47" t="n">
        <f aca="false">(CR60+CR67+CR93+CR97+CR98+CR80)*(CR$4&lt;=In_COD)</f>
        <v>0</v>
      </c>
      <c r="CS128" s="47" t="n">
        <f aca="false">(CS60+CS67+CS93+CS97+CS98+CS80)*(CS$4&lt;=In_COD)</f>
        <v>0</v>
      </c>
      <c r="CT128" s="47" t="n">
        <f aca="false">(CT60+CT67+CT93+CT97+CT98+CT80)*(CT$4&lt;=In_COD)</f>
        <v>0</v>
      </c>
      <c r="CU128" s="47" t="n">
        <f aca="false">(CU60+CU67+CU93+CU97+CU98+CU80)*(CU$4&lt;=In_COD)</f>
        <v>0</v>
      </c>
      <c r="CV128" s="47" t="n">
        <f aca="false">(CV60+CV67+CV93+CV97+CV98+CV80)*(CV$4&lt;=In_COD)</f>
        <v>0</v>
      </c>
      <c r="CW128" s="47" t="n">
        <f aca="false">(CW60+CW67+CW93+CW97+CW98+CW80)*(CW$4&lt;=In_COD)</f>
        <v>0</v>
      </c>
      <c r="CX128" s="47" t="n">
        <f aca="false">(CX60+CX67+CX93+CX97+CX98+CX80)*(CX$4&lt;=In_COD)</f>
        <v>0</v>
      </c>
      <c r="CY128" s="47" t="n">
        <f aca="false">(CY60+CY67+CY93+CY97+CY98+CY80)*(CY$4&lt;=In_COD)</f>
        <v>0</v>
      </c>
      <c r="CZ128" s="47" t="n">
        <f aca="false">(CZ60+CZ67+CZ93+CZ97+CZ98+CZ80)*(CZ$4&lt;=In_COD)</f>
        <v>0</v>
      </c>
      <c r="DA128" s="47" t="n">
        <f aca="false">(DA60+DA67+DA93+DA97+DA98+DA80)*(DA$4&lt;=In_COD)</f>
        <v>0</v>
      </c>
      <c r="DB128" s="47" t="n">
        <f aca="false">(DB60+DB67+DB93+DB97+DB98+DB80)*(DB$4&lt;=In_COD)</f>
        <v>0</v>
      </c>
      <c r="DC128" s="47" t="n">
        <f aca="false">(DC60+DC67+DC93+DC97+DC98+DC80)*(DC$4&lt;=In_COD)</f>
        <v>0</v>
      </c>
      <c r="DD128" s="47" t="n">
        <f aca="false">(DD60+DD67+DD93+DD97+DD98+DD80)*(DD$4&lt;=In_COD)</f>
        <v>0</v>
      </c>
      <c r="DE128" s="47" t="n">
        <f aca="false">(DE60+DE67+DE93+DE97+DE98+DE80)*(DE$4&lt;=In_COD)</f>
        <v>0</v>
      </c>
      <c r="DF128" s="47" t="n">
        <f aca="false">(DF60+DF67+DF93+DF97+DF98+DF80)*(DF$4&lt;=In_COD)</f>
        <v>0</v>
      </c>
      <c r="DG128" s="47" t="n">
        <f aca="false">(DG60+DG67+DG93+DG97+DG98+DG80)*(DG$4&lt;=In_COD)</f>
        <v>0</v>
      </c>
      <c r="DH128" s="47" t="n">
        <f aca="false">(DH60+DH67+DH93+DH97+DH98+DH80)*(DH$4&lt;=In_COD)</f>
        <v>0</v>
      </c>
      <c r="DI128" s="47" t="n">
        <f aca="false">(DI60+DI67+DI93+DI97+DI98+DI80)*(DI$4&lt;=In_COD)</f>
        <v>0</v>
      </c>
      <c r="DJ128" s="47" t="n">
        <f aca="false">(DJ60+DJ67+DJ93+DJ97+DJ98+DJ80)*(DJ$4&lt;=In_COD)</f>
        <v>0</v>
      </c>
      <c r="DK128" s="47" t="n">
        <f aca="false">(DK60+DK67+DK93+DK97+DK98+DK80)*(DK$4&lt;=In_COD)</f>
        <v>0</v>
      </c>
      <c r="DL128" s="47" t="n">
        <f aca="false">(DL60+DL67+DL93+DL97+DL98+DL80)*(DL$4&lt;=In_COD)</f>
        <v>0</v>
      </c>
      <c r="DM128" s="47" t="n">
        <f aca="false">(DM60+DM67+DM93+DM97+DM98+DM80)*(DM$4&lt;=In_COD)</f>
        <v>0</v>
      </c>
      <c r="DN128" s="47" t="n">
        <f aca="false">(DN60+DN67+DN93+DN97+DN98+DN80)*(DN$4&lt;=In_COD)</f>
        <v>0</v>
      </c>
      <c r="DO128" s="47" t="n">
        <f aca="false">(DO60+DO67+DO93+DO97+DO98+DO80)*(DO$4&lt;=In_COD)</f>
        <v>0</v>
      </c>
      <c r="DP128" s="47" t="n">
        <f aca="false">(DP60+DP67+DP93+DP97+DP98+DP80)*(DP$4&lt;=In_COD)</f>
        <v>0</v>
      </c>
      <c r="DQ128" s="47" t="n">
        <f aca="false">(DQ60+DQ67+DQ93+DQ97+DQ98+DQ80)*(DQ$4&lt;=In_COD)</f>
        <v>0</v>
      </c>
      <c r="DR128" s="47" t="n">
        <f aca="false">(DR60+DR67+DR93+DR97+DR98+DR80)*(DR$4&lt;=In_COD)</f>
        <v>0</v>
      </c>
      <c r="DS128" s="47" t="n">
        <f aca="false">(DS60+DS67+DS93+DS97+DS98+DS80)*(DS$4&lt;=In_COD)</f>
        <v>0</v>
      </c>
      <c r="DT128" s="47" t="n">
        <f aca="false">(DT60+DT67+DT93+DT97+DT98+DT80)*(DT$4&lt;=In_COD)</f>
        <v>0</v>
      </c>
      <c r="DU128" s="47" t="n">
        <f aca="false">(DU60+DU67+DU93+DU97+DU98+DU80)*(DU$4&lt;=In_COD)</f>
        <v>0</v>
      </c>
      <c r="DV128" s="47" t="n">
        <f aca="false">(DV60+DV67+DV93+DV97+DV98+DV80)*(DV$4&lt;=In_COD)</f>
        <v>0</v>
      </c>
      <c r="DW128" s="47" t="n">
        <f aca="false">(DW60+DW67+DW93+DW97+DW98+DW80)*(DW$4&lt;=In_COD)</f>
        <v>0</v>
      </c>
      <c r="DX128" s="47" t="n">
        <f aca="false">(DX60+DX67+DX93+DX97+DX98+DX80)*(DX$4&lt;=In_COD)</f>
        <v>0</v>
      </c>
      <c r="DY128" s="47" t="n">
        <f aca="false">(DY60+DY67+DY93+DY97+DY98+DY80)*(DY$4&lt;=In_COD)</f>
        <v>0</v>
      </c>
      <c r="DZ128" s="47" t="n">
        <f aca="false">(DZ60+DZ67+DZ93+DZ97+DZ98+DZ80)*(DZ$4&lt;=In_COD)</f>
        <v>0</v>
      </c>
      <c r="EA128" s="47" t="n">
        <f aca="false">(EA60+EA67+EA93+EA97+EA98+EA80)*(EA$4&lt;=In_COD)</f>
        <v>0</v>
      </c>
      <c r="EB128" s="47" t="n">
        <f aca="false">(EB60+EB67+EB93+EB97+EB98+EB80)*(EB$4&lt;=In_COD)</f>
        <v>0</v>
      </c>
      <c r="EC128" s="47" t="n">
        <f aca="false">(EC60+EC67+EC93+EC97+EC98+EC80)*(EC$4&lt;=In_COD)</f>
        <v>0</v>
      </c>
      <c r="ED128" s="47" t="n">
        <f aca="false">(ED60+ED67+ED93+ED97+ED98+ED80)*(ED$4&lt;=In_COD)</f>
        <v>0</v>
      </c>
      <c r="EE128" s="47" t="n">
        <f aca="false">(EE60+EE67+EE93+EE97+EE98+EE80)*(EE$4&lt;=In_COD)</f>
        <v>0</v>
      </c>
      <c r="EF128" s="47" t="n">
        <f aca="false">(EF60+EF67+EF93+EF97+EF98+EF80)*(EF$4&lt;=In_COD)</f>
        <v>0</v>
      </c>
      <c r="EG128" s="47" t="n">
        <f aca="false">(EG60+EG67+EG93+EG97+EG98+EG80)*(EG$4&lt;=In_COD)</f>
        <v>0</v>
      </c>
      <c r="EH128" s="47" t="n">
        <f aca="false">(EH60+EH67+EH93+EH97+EH98+EH80)*(EH$4&lt;=In_COD)</f>
        <v>0</v>
      </c>
      <c r="EI128" s="47" t="n">
        <f aca="false">(EI60+EI67+EI93+EI97+EI98+EI80)*(EI$4&lt;=In_COD)</f>
        <v>0</v>
      </c>
      <c r="EJ128" s="47" t="n">
        <f aca="false">(EJ60+EJ67+EJ93+EJ97+EJ98+EJ80)*(EJ$4&lt;=In_COD)</f>
        <v>0</v>
      </c>
      <c r="EK128" s="47" t="n">
        <f aca="false">(EK60+EK67+EK93+EK97+EK98+EK80)*(EK$4&lt;=In_COD)</f>
        <v>0</v>
      </c>
      <c r="EL128" s="47" t="n">
        <f aca="false">(EL60+EL67+EL93+EL97+EL98+EL80)*(EL$4&lt;=In_COD)</f>
        <v>0</v>
      </c>
      <c r="EM128" s="47" t="n">
        <f aca="false">(EM60+EM67+EM93+EM97+EM98+EM80)*(EM$4&lt;=In_COD)</f>
        <v>0</v>
      </c>
      <c r="EN128" s="47" t="n">
        <f aca="false">(EN60+EN67+EN93+EN97+EN98+EN80)*(EN$4&lt;=In_COD)</f>
        <v>0</v>
      </c>
      <c r="EO128" s="47" t="n">
        <f aca="false">(EO60+EO67+EO93+EO97+EO98+EO80)*(EO$4&lt;=In_COD)</f>
        <v>0</v>
      </c>
    </row>
    <row r="129" customFormat="false" ht="15" hidden="false" customHeight="false" outlineLevel="0" collapsed="false">
      <c r="C129" s="0" t="s">
        <v>479</v>
      </c>
      <c r="D129" s="11" t="s">
        <v>33</v>
      </c>
      <c r="E129" s="47" t="n">
        <f aca="false">IF($E39=1,In_COD_Price,In_COD_Price_CN)*$F25*(1-$E28)</f>
        <v>134137.5</v>
      </c>
    </row>
    <row r="130" customFormat="false" ht="15" hidden="false" customHeight="false" outlineLevel="0" collapsed="false">
      <c r="C130" s="0" t="s">
        <v>480</v>
      </c>
      <c r="D130" s="11" t="s">
        <v>33</v>
      </c>
      <c r="E130" s="47" t="n">
        <f aca="false">$E129+$I59-$E96-In_Sale_Costs</f>
        <v>75501.4649766765</v>
      </c>
    </row>
    <row r="131" customFormat="false" ht="15" hidden="false" customHeight="false" outlineLevel="0" collapsed="false">
      <c r="C131" s="0" t="s">
        <v>123</v>
      </c>
      <c r="D131" s="11" t="s">
        <v>33</v>
      </c>
      <c r="E131" s="47" t="n">
        <f aca="false">-In_CIT*In_Sale_Gain_Taxed*MAX(0,$E130+$I128)</f>
        <v>-0</v>
      </c>
    </row>
    <row r="132" customFormat="false" ht="15" hidden="false" customHeight="false" outlineLevel="0" collapsed="false">
      <c r="C132" s="25" t="s">
        <v>481</v>
      </c>
      <c r="D132" s="11" t="s">
        <v>33</v>
      </c>
      <c r="I132" s="56" t="n">
        <f aca="false">SUM(J132:EO132)</f>
        <v>21872.5390544187</v>
      </c>
      <c r="J132" s="56" t="n">
        <f aca="false">J128+($E130+$E131)*J14</f>
        <v>-4662.80993807469</v>
      </c>
      <c r="K132" s="56" t="n">
        <f aca="false">K128+($E130+$E131)*K14</f>
        <v>-706.535577057768</v>
      </c>
      <c r="L132" s="56" t="n">
        <f aca="false">L128+($E130+$E131)*L14</f>
        <v>-104.360496659404</v>
      </c>
      <c r="M132" s="56" t="n">
        <f aca="false">M128+($E130+$E131)*M14</f>
        <v>-105.507315304013</v>
      </c>
      <c r="N132" s="56" t="n">
        <f aca="false">N128+($E130+$E131)*N14</f>
        <v>-105.507315304013</v>
      </c>
      <c r="O132" s="56" t="n">
        <f aca="false">O128+($E130+$E131)*O14</f>
        <v>-104.360496659404</v>
      </c>
      <c r="P132" s="56" t="n">
        <f aca="false">P128+($E130+$E131)*P14</f>
        <v>-104.360496659404</v>
      </c>
      <c r="Q132" s="56" t="n">
        <f aca="false">Q128+($E130+$E131)*Q14</f>
        <v>-105.507315304013</v>
      </c>
      <c r="R132" s="56" t="n">
        <f aca="false">R128+($E130+$E131)*R14</f>
        <v>-6343.24141455136</v>
      </c>
      <c r="S132" s="56" t="n">
        <f aca="false">S128+($E130+$E131)*S14</f>
        <v>-8866.86817882802</v>
      </c>
      <c r="T132" s="56" t="n">
        <f aca="false">T128+($E130+$E131)*T14</f>
        <v>-5231.13156786321</v>
      </c>
      <c r="U132" s="56" t="n">
        <f aca="false">U128+($E130+$E131)*U14</f>
        <v>-5274.56210977118</v>
      </c>
      <c r="V132" s="56" t="n">
        <f aca="false">V128+($E130+$E131)*V14</f>
        <v>-5260.35324521498</v>
      </c>
      <c r="W132" s="56" t="n">
        <f aca="false">W128+($E130+$E131)*W14</f>
        <v>-5133.13969486067</v>
      </c>
      <c r="X132" s="56" t="n">
        <f aca="false">X128+($E130+$E131)*X14</f>
        <v>-5176.42569086062</v>
      </c>
      <c r="Y132" s="56" t="n">
        <f aca="false">Y128+($E130+$E131)*Y14</f>
        <v>69157.2099073914</v>
      </c>
      <c r="Z132" s="56" t="n">
        <f aca="false">Z128+($E130+$E131)*Z14</f>
        <v>0</v>
      </c>
      <c r="AA132" s="56" t="n">
        <f aca="false">AA128+($E130+$E131)*AA14</f>
        <v>0</v>
      </c>
      <c r="AB132" s="56" t="n">
        <f aca="false">AB128+($E130+$E131)*AB14</f>
        <v>0</v>
      </c>
      <c r="AC132" s="56" t="n">
        <f aca="false">AC128+($E130+$E131)*AC14</f>
        <v>0</v>
      </c>
      <c r="AD132" s="56" t="n">
        <f aca="false">AD128+($E130+$E131)*AD14</f>
        <v>0</v>
      </c>
      <c r="AE132" s="56" t="n">
        <f aca="false">AE128+($E130+$E131)*AE14</f>
        <v>0</v>
      </c>
      <c r="AF132" s="56" t="n">
        <f aca="false">AF128+($E130+$E131)*AF14</f>
        <v>0</v>
      </c>
      <c r="AG132" s="56" t="n">
        <f aca="false">AG128+($E130+$E131)*AG14</f>
        <v>0</v>
      </c>
      <c r="AH132" s="56" t="n">
        <f aca="false">AH128+($E130+$E131)*AH14</f>
        <v>0</v>
      </c>
      <c r="AI132" s="56" t="n">
        <f aca="false">AI128+($E130+$E131)*AI14</f>
        <v>0</v>
      </c>
      <c r="AJ132" s="56" t="n">
        <f aca="false">AJ128+($E130+$E131)*AJ14</f>
        <v>0</v>
      </c>
      <c r="AK132" s="56" t="n">
        <f aca="false">AK128+($E130+$E131)*AK14</f>
        <v>0</v>
      </c>
      <c r="AL132" s="56" t="n">
        <f aca="false">AL128+($E130+$E131)*AL14</f>
        <v>0</v>
      </c>
      <c r="AM132" s="56" t="n">
        <f aca="false">AM128+($E130+$E131)*AM14</f>
        <v>0</v>
      </c>
      <c r="AN132" s="56" t="n">
        <f aca="false">AN128+($E130+$E131)*AN14</f>
        <v>0</v>
      </c>
      <c r="AO132" s="56" t="n">
        <f aca="false">AO128+($E130+$E131)*AO14</f>
        <v>0</v>
      </c>
      <c r="AP132" s="56" t="n">
        <f aca="false">AP128+($E130+$E131)*AP14</f>
        <v>0</v>
      </c>
      <c r="AQ132" s="56" t="n">
        <f aca="false">AQ128+($E130+$E131)*AQ14</f>
        <v>0</v>
      </c>
      <c r="AR132" s="56" t="n">
        <f aca="false">AR128+($E130+$E131)*AR14</f>
        <v>0</v>
      </c>
      <c r="AS132" s="56" t="n">
        <f aca="false">AS128+($E130+$E131)*AS14</f>
        <v>0</v>
      </c>
      <c r="AT132" s="56" t="n">
        <f aca="false">AT128+($E130+$E131)*AT14</f>
        <v>0</v>
      </c>
      <c r="AU132" s="56" t="n">
        <f aca="false">AU128+($E130+$E131)*AU14</f>
        <v>0</v>
      </c>
      <c r="AV132" s="56" t="n">
        <f aca="false">AV128+($E130+$E131)*AV14</f>
        <v>0</v>
      </c>
      <c r="AW132" s="56" t="n">
        <f aca="false">AW128+($E130+$E131)*AW14</f>
        <v>0</v>
      </c>
      <c r="AX132" s="56" t="n">
        <f aca="false">AX128+($E130+$E131)*AX14</f>
        <v>0</v>
      </c>
      <c r="AY132" s="56" t="n">
        <f aca="false">AY128+($E130+$E131)*AY14</f>
        <v>0</v>
      </c>
      <c r="AZ132" s="56" t="n">
        <f aca="false">AZ128+($E130+$E131)*AZ14</f>
        <v>0</v>
      </c>
      <c r="BA132" s="56" t="n">
        <f aca="false">BA128+($E130+$E131)*BA14</f>
        <v>0</v>
      </c>
      <c r="BB132" s="56" t="n">
        <f aca="false">BB128+($E130+$E131)*BB14</f>
        <v>0</v>
      </c>
      <c r="BC132" s="56" t="n">
        <f aca="false">BC128+($E130+$E131)*BC14</f>
        <v>0</v>
      </c>
      <c r="BD132" s="56" t="n">
        <f aca="false">BD128+($E130+$E131)*BD14</f>
        <v>0</v>
      </c>
      <c r="BE132" s="56" t="n">
        <f aca="false">BE128+($E130+$E131)*BE14</f>
        <v>0</v>
      </c>
      <c r="BF132" s="56" t="n">
        <f aca="false">BF128+($E130+$E131)*BF14</f>
        <v>0</v>
      </c>
      <c r="BG132" s="56" t="n">
        <f aca="false">BG128+($E130+$E131)*BG14</f>
        <v>0</v>
      </c>
      <c r="BH132" s="56" t="n">
        <f aca="false">BH128+($E130+$E131)*BH14</f>
        <v>0</v>
      </c>
      <c r="BI132" s="56" t="n">
        <f aca="false">BI128+($E130+$E131)*BI14</f>
        <v>0</v>
      </c>
      <c r="BJ132" s="56" t="n">
        <f aca="false">BJ128+($E130+$E131)*BJ14</f>
        <v>0</v>
      </c>
      <c r="BK132" s="56" t="n">
        <f aca="false">BK128+($E130+$E131)*BK14</f>
        <v>0</v>
      </c>
      <c r="BL132" s="56" t="n">
        <f aca="false">BL128+($E130+$E131)*BL14</f>
        <v>0</v>
      </c>
      <c r="BM132" s="56" t="n">
        <f aca="false">BM128+($E130+$E131)*BM14</f>
        <v>0</v>
      </c>
      <c r="BN132" s="56" t="n">
        <f aca="false">BN128+($E130+$E131)*BN14</f>
        <v>0</v>
      </c>
      <c r="BO132" s="56" t="n">
        <f aca="false">BO128+($E130+$E131)*BO14</f>
        <v>0</v>
      </c>
      <c r="BP132" s="56" t="n">
        <f aca="false">BP128+($E130+$E131)*BP14</f>
        <v>0</v>
      </c>
      <c r="BQ132" s="56" t="n">
        <f aca="false">BQ128+($E130+$E131)*BQ14</f>
        <v>0</v>
      </c>
      <c r="BR132" s="56" t="n">
        <f aca="false">BR128+($E130+$E131)*BR14</f>
        <v>0</v>
      </c>
      <c r="BS132" s="56" t="n">
        <f aca="false">BS128+($E130+$E131)*BS14</f>
        <v>0</v>
      </c>
      <c r="BT132" s="56" t="n">
        <f aca="false">BT128+($E130+$E131)*BT14</f>
        <v>0</v>
      </c>
      <c r="BU132" s="56" t="n">
        <f aca="false">BU128+($E130+$E131)*BU14</f>
        <v>0</v>
      </c>
      <c r="BV132" s="56" t="n">
        <f aca="false">BV128+($E130+$E131)*BV14</f>
        <v>0</v>
      </c>
      <c r="BW132" s="56" t="n">
        <f aca="false">BW128+($E130+$E131)*BW14</f>
        <v>0</v>
      </c>
      <c r="BX132" s="56" t="n">
        <f aca="false">BX128+($E130+$E131)*BX14</f>
        <v>0</v>
      </c>
      <c r="BY132" s="56" t="n">
        <f aca="false">BY128+($E130+$E131)*BY14</f>
        <v>0</v>
      </c>
      <c r="BZ132" s="56" t="n">
        <f aca="false">BZ128+($E130+$E131)*BZ14</f>
        <v>0</v>
      </c>
      <c r="CA132" s="56" t="n">
        <f aca="false">CA128+($E130+$E131)*CA14</f>
        <v>0</v>
      </c>
      <c r="CB132" s="56" t="n">
        <f aca="false">CB128+($E130+$E131)*CB14</f>
        <v>0</v>
      </c>
      <c r="CC132" s="56" t="n">
        <f aca="false">CC128+($E130+$E131)*CC14</f>
        <v>0</v>
      </c>
      <c r="CD132" s="56" t="n">
        <f aca="false">CD128+($E130+$E131)*CD14</f>
        <v>0</v>
      </c>
      <c r="CE132" s="56" t="n">
        <f aca="false">CE128+($E130+$E131)*CE14</f>
        <v>0</v>
      </c>
      <c r="CF132" s="56" t="n">
        <f aca="false">CF128+($E130+$E131)*CF14</f>
        <v>0</v>
      </c>
      <c r="CG132" s="56" t="n">
        <f aca="false">CG128+($E130+$E131)*CG14</f>
        <v>0</v>
      </c>
      <c r="CH132" s="56" t="n">
        <f aca="false">CH128+($E130+$E131)*CH14</f>
        <v>0</v>
      </c>
      <c r="CI132" s="56" t="n">
        <f aca="false">CI128+($E130+$E131)*CI14</f>
        <v>0</v>
      </c>
      <c r="CJ132" s="56" t="n">
        <f aca="false">CJ128+($E130+$E131)*CJ14</f>
        <v>0</v>
      </c>
      <c r="CK132" s="56" t="n">
        <f aca="false">CK128+($E130+$E131)*CK14</f>
        <v>0</v>
      </c>
      <c r="CL132" s="56" t="n">
        <f aca="false">CL128+($E130+$E131)*CL14</f>
        <v>0</v>
      </c>
      <c r="CM132" s="56" t="n">
        <f aca="false">CM128+($E130+$E131)*CM14</f>
        <v>0</v>
      </c>
      <c r="CN132" s="56" t="n">
        <f aca="false">CN128+($E130+$E131)*CN14</f>
        <v>0</v>
      </c>
      <c r="CO132" s="56" t="n">
        <f aca="false">CO128+($E130+$E131)*CO14</f>
        <v>0</v>
      </c>
      <c r="CP132" s="56" t="n">
        <f aca="false">CP128+($E130+$E131)*CP14</f>
        <v>0</v>
      </c>
      <c r="CQ132" s="56" t="n">
        <f aca="false">CQ128+($E130+$E131)*CQ14</f>
        <v>0</v>
      </c>
      <c r="CR132" s="56" t="n">
        <f aca="false">CR128+($E130+$E131)*CR14</f>
        <v>0</v>
      </c>
      <c r="CS132" s="56" t="n">
        <f aca="false">CS128+($E130+$E131)*CS14</f>
        <v>0</v>
      </c>
      <c r="CT132" s="56" t="n">
        <f aca="false">CT128+($E130+$E131)*CT14</f>
        <v>0</v>
      </c>
      <c r="CU132" s="56" t="n">
        <f aca="false">CU128+($E130+$E131)*CU14</f>
        <v>0</v>
      </c>
      <c r="CV132" s="56" t="n">
        <f aca="false">CV128+($E130+$E131)*CV14</f>
        <v>0</v>
      </c>
      <c r="CW132" s="56" t="n">
        <f aca="false">CW128+($E130+$E131)*CW14</f>
        <v>0</v>
      </c>
      <c r="CX132" s="56" t="n">
        <f aca="false">CX128+($E130+$E131)*CX14</f>
        <v>0</v>
      </c>
      <c r="CY132" s="56" t="n">
        <f aca="false">CY128+($E130+$E131)*CY14</f>
        <v>0</v>
      </c>
      <c r="CZ132" s="56" t="n">
        <f aca="false">CZ128+($E130+$E131)*CZ14</f>
        <v>0</v>
      </c>
      <c r="DA132" s="56" t="n">
        <f aca="false">DA128+($E130+$E131)*DA14</f>
        <v>0</v>
      </c>
      <c r="DB132" s="56" t="n">
        <f aca="false">DB128+($E130+$E131)*DB14</f>
        <v>0</v>
      </c>
      <c r="DC132" s="56" t="n">
        <f aca="false">DC128+($E130+$E131)*DC14</f>
        <v>0</v>
      </c>
      <c r="DD132" s="56" t="n">
        <f aca="false">DD128+($E130+$E131)*DD14</f>
        <v>0</v>
      </c>
      <c r="DE132" s="56" t="n">
        <f aca="false">DE128+($E130+$E131)*DE14</f>
        <v>0</v>
      </c>
      <c r="DF132" s="56" t="n">
        <f aca="false">DF128+($E130+$E131)*DF14</f>
        <v>0</v>
      </c>
      <c r="DG132" s="56" t="n">
        <f aca="false">DG128+($E130+$E131)*DG14</f>
        <v>0</v>
      </c>
      <c r="DH132" s="56" t="n">
        <f aca="false">DH128+($E130+$E131)*DH14</f>
        <v>0</v>
      </c>
      <c r="DI132" s="56" t="n">
        <f aca="false">DI128+($E130+$E131)*DI14</f>
        <v>0</v>
      </c>
      <c r="DJ132" s="56" t="n">
        <f aca="false">DJ128+($E130+$E131)*DJ14</f>
        <v>0</v>
      </c>
      <c r="DK132" s="56" t="n">
        <f aca="false">DK128+($E130+$E131)*DK14</f>
        <v>0</v>
      </c>
      <c r="DL132" s="56" t="n">
        <f aca="false">DL128+($E130+$E131)*DL14</f>
        <v>0</v>
      </c>
      <c r="DM132" s="56" t="n">
        <f aca="false">DM128+($E130+$E131)*DM14</f>
        <v>0</v>
      </c>
      <c r="DN132" s="56" t="n">
        <f aca="false">DN128+($E130+$E131)*DN14</f>
        <v>0</v>
      </c>
      <c r="DO132" s="56" t="n">
        <f aca="false">DO128+($E130+$E131)*DO14</f>
        <v>0</v>
      </c>
      <c r="DP132" s="56" t="n">
        <f aca="false">DP128+($E130+$E131)*DP14</f>
        <v>0</v>
      </c>
      <c r="DQ132" s="56" t="n">
        <f aca="false">DQ128+($E130+$E131)*DQ14</f>
        <v>0</v>
      </c>
      <c r="DR132" s="56" t="n">
        <f aca="false">DR128+($E130+$E131)*DR14</f>
        <v>0</v>
      </c>
      <c r="DS132" s="56" t="n">
        <f aca="false">DS128+($E130+$E131)*DS14</f>
        <v>0</v>
      </c>
      <c r="DT132" s="56" t="n">
        <f aca="false">DT128+($E130+$E131)*DT14</f>
        <v>0</v>
      </c>
      <c r="DU132" s="56" t="n">
        <f aca="false">DU128+($E130+$E131)*DU14</f>
        <v>0</v>
      </c>
      <c r="DV132" s="56" t="n">
        <f aca="false">DV128+($E130+$E131)*DV14</f>
        <v>0</v>
      </c>
      <c r="DW132" s="56" t="n">
        <f aca="false">DW128+($E130+$E131)*DW14</f>
        <v>0</v>
      </c>
      <c r="DX132" s="56" t="n">
        <f aca="false">DX128+($E130+$E131)*DX14</f>
        <v>0</v>
      </c>
      <c r="DY132" s="56" t="n">
        <f aca="false">DY128+($E130+$E131)*DY14</f>
        <v>0</v>
      </c>
      <c r="DZ132" s="56" t="n">
        <f aca="false">DZ128+($E130+$E131)*DZ14</f>
        <v>0</v>
      </c>
      <c r="EA132" s="56" t="n">
        <f aca="false">EA128+($E130+$E131)*EA14</f>
        <v>0</v>
      </c>
      <c r="EB132" s="56" t="n">
        <f aca="false">EB128+($E130+$E131)*EB14</f>
        <v>0</v>
      </c>
      <c r="EC132" s="56" t="n">
        <f aca="false">EC128+($E130+$E131)*EC14</f>
        <v>0</v>
      </c>
      <c r="ED132" s="56" t="n">
        <f aca="false">ED128+($E130+$E131)*ED14</f>
        <v>0</v>
      </c>
      <c r="EE132" s="56" t="n">
        <f aca="false">EE128+($E130+$E131)*EE14</f>
        <v>0</v>
      </c>
      <c r="EF132" s="56" t="n">
        <f aca="false">EF128+($E130+$E131)*EF14</f>
        <v>0</v>
      </c>
      <c r="EG132" s="56" t="n">
        <f aca="false">EG128+($E130+$E131)*EG14</f>
        <v>0</v>
      </c>
      <c r="EH132" s="56" t="n">
        <f aca="false">EH128+($E130+$E131)*EH14</f>
        <v>0</v>
      </c>
      <c r="EI132" s="56" t="n">
        <f aca="false">EI128+($E130+$E131)*EI14</f>
        <v>0</v>
      </c>
      <c r="EJ132" s="56" t="n">
        <f aca="false">EJ128+($E130+$E131)*EJ14</f>
        <v>0</v>
      </c>
      <c r="EK132" s="56" t="n">
        <f aca="false">EK128+($E130+$E131)*EK14</f>
        <v>0</v>
      </c>
      <c r="EL132" s="56" t="n">
        <f aca="false">EL128+($E130+$E131)*EL14</f>
        <v>0</v>
      </c>
      <c r="EM132" s="56" t="n">
        <f aca="false">EM128+($E130+$E131)*EM14</f>
        <v>0</v>
      </c>
      <c r="EN132" s="56" t="n">
        <f aca="false">EN128+($E130+$E131)*EN14</f>
        <v>0</v>
      </c>
      <c r="EO132" s="56" t="n">
        <f aca="false">EO128+($E130+$E131)*EO14</f>
        <v>0</v>
      </c>
    </row>
    <row r="133" customFormat="false" ht="15" hidden="false" customHeight="false" outlineLevel="0" collapsed="false">
      <c r="C133" s="25" t="s">
        <v>84</v>
      </c>
      <c r="D133" s="11" t="s">
        <v>27</v>
      </c>
      <c r="E133" s="33" t="n">
        <f aca="false">XIRR($J132:$EO132,$J$4:$EO$4)</f>
        <v>0.284084033636541</v>
      </c>
    </row>
    <row r="134" customFormat="false" ht="15" hidden="false" customHeight="false" outlineLevel="0" collapsed="false">
      <c r="C134" s="25" t="s">
        <v>85</v>
      </c>
      <c r="D134" s="11" t="s">
        <v>13</v>
      </c>
      <c r="E134" s="59" t="n">
        <f aca="false">($E130+$E131)/-$I128</f>
        <v>1.40784965721905</v>
      </c>
    </row>
    <row r="135" customFormat="false" ht="15" hidden="false" customHeight="false" outlineLevel="0" collapsed="false">
      <c r="C135" s="25" t="s">
        <v>86</v>
      </c>
      <c r="D135" s="11" t="s">
        <v>33</v>
      </c>
      <c r="E135" s="56" t="n">
        <f aca="false">XNPV(In_Discount_Rate,$J132:$EO132,$J$4:$EO$4)</f>
        <v>12277.8594824033</v>
      </c>
    </row>
    <row r="136" customFormat="false" ht="15" hidden="false" customHeight="false" outlineLevel="0" collapsed="false">
      <c r="A136" s="60"/>
      <c r="B136" s="60"/>
      <c r="C136" s="60" t="s">
        <v>482</v>
      </c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  <c r="AK136" s="60"/>
      <c r="AL136" s="60"/>
      <c r="AM136" s="60"/>
      <c r="AN136" s="60"/>
      <c r="AO136" s="60"/>
      <c r="AP136" s="60"/>
      <c r="AQ136" s="60"/>
      <c r="AR136" s="60"/>
      <c r="AS136" s="60"/>
      <c r="AT136" s="60"/>
      <c r="AU136" s="60"/>
      <c r="AV136" s="60"/>
      <c r="AW136" s="60"/>
      <c r="AX136" s="60"/>
      <c r="AY136" s="60"/>
      <c r="AZ136" s="60"/>
      <c r="BA136" s="60"/>
      <c r="BB136" s="60"/>
      <c r="BC136" s="60"/>
      <c r="BD136" s="60"/>
      <c r="BE136" s="60"/>
      <c r="BF136" s="60"/>
      <c r="BG136" s="60"/>
      <c r="BH136" s="60"/>
      <c r="BI136" s="60"/>
      <c r="BJ136" s="60"/>
      <c r="BK136" s="60"/>
      <c r="BL136" s="60"/>
      <c r="BM136" s="60"/>
      <c r="BN136" s="60"/>
      <c r="BO136" s="60"/>
      <c r="BP136" s="60"/>
      <c r="BQ136" s="60"/>
      <c r="BR136" s="60"/>
      <c r="BS136" s="60"/>
      <c r="BT136" s="60"/>
      <c r="BU136" s="60"/>
      <c r="BV136" s="60"/>
      <c r="BW136" s="60"/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60"/>
      <c r="CU136" s="60"/>
      <c r="CV136" s="60"/>
      <c r="CW136" s="60"/>
      <c r="CX136" s="60"/>
      <c r="CY136" s="60"/>
      <c r="CZ136" s="60"/>
      <c r="DA136" s="60"/>
      <c r="DB136" s="60"/>
      <c r="DC136" s="60"/>
      <c r="DD136" s="60"/>
      <c r="DE136" s="60"/>
      <c r="DF136" s="60"/>
      <c r="DG136" s="60"/>
      <c r="DH136" s="60"/>
      <c r="DI136" s="60"/>
      <c r="DJ136" s="60"/>
      <c r="DK136" s="60"/>
      <c r="DL136" s="60"/>
      <c r="DM136" s="60"/>
      <c r="DN136" s="60"/>
      <c r="DO136" s="60"/>
      <c r="DP136" s="60"/>
      <c r="DQ136" s="60"/>
      <c r="DR136" s="60"/>
      <c r="DS136" s="60"/>
      <c r="DT136" s="60"/>
      <c r="DU136" s="60"/>
      <c r="DV136" s="60"/>
      <c r="DW136" s="60"/>
      <c r="DX136" s="60"/>
      <c r="DY136" s="60"/>
      <c r="DZ136" s="60"/>
      <c r="EA136" s="60"/>
      <c r="EB136" s="60"/>
      <c r="EC136" s="60"/>
      <c r="ED136" s="60"/>
      <c r="EE136" s="60"/>
      <c r="EF136" s="60"/>
      <c r="EG136" s="60"/>
      <c r="EH136" s="60"/>
      <c r="EI136" s="60"/>
      <c r="EJ136" s="60"/>
      <c r="EK136" s="60"/>
      <c r="EL136" s="60"/>
      <c r="EM136" s="60"/>
      <c r="EN136" s="60"/>
      <c r="EO136" s="60"/>
    </row>
    <row r="137" customFormat="false" ht="15" hidden="false" customHeight="false" outlineLevel="0" collapsed="false">
      <c r="C137" s="0" t="s">
        <v>483</v>
      </c>
      <c r="D137" s="11" t="s">
        <v>33</v>
      </c>
      <c r="I137" s="47" t="n">
        <f aca="false">SUM(J137:EO137)</f>
        <v>138169.96702939</v>
      </c>
      <c r="J137" s="47" t="n">
        <f aca="false">(J80+J56+J59+J110)*(J$4&gt;In_COD)-($E129+$I59)*J14</f>
        <v>-0</v>
      </c>
      <c r="K137" s="47" t="n">
        <f aca="false">(K80+K56+K59+K110)*(K$4&gt;In_COD)-($E129+$I59)*K14</f>
        <v>-0</v>
      </c>
      <c r="L137" s="47" t="n">
        <f aca="false">(L80+L56+L59+L110)*(L$4&gt;In_COD)-($E129+$I59)*L14</f>
        <v>-0</v>
      </c>
      <c r="M137" s="47" t="n">
        <f aca="false">(M80+M56+M59+M110)*(M$4&gt;In_COD)-($E129+$I59)*M14</f>
        <v>-0</v>
      </c>
      <c r="N137" s="47" t="n">
        <f aca="false">(N80+N56+N59+N110)*(N$4&gt;In_COD)-($E129+$I59)*N14</f>
        <v>-0</v>
      </c>
      <c r="O137" s="47" t="n">
        <f aca="false">(O80+O56+O59+O110)*(O$4&gt;In_COD)-($E129+$I59)*O14</f>
        <v>-0</v>
      </c>
      <c r="P137" s="47" t="n">
        <f aca="false">(P80+P56+P59+P110)*(P$4&gt;In_COD)-($E129+$I59)*P14</f>
        <v>-0</v>
      </c>
      <c r="Q137" s="47" t="n">
        <f aca="false">(Q80+Q56+Q59+Q110)*(Q$4&gt;In_COD)-($E129+$I59)*Q14</f>
        <v>-0</v>
      </c>
      <c r="R137" s="47" t="n">
        <f aca="false">(R80+R56+R59+R110)*(R$4&gt;In_COD)-($E129+$I59)*R14</f>
        <v>-0</v>
      </c>
      <c r="S137" s="47" t="n">
        <f aca="false">(S80+S56+S59+S110)*(S$4&gt;In_COD)-($E129+$I59)*S14</f>
        <v>-0</v>
      </c>
      <c r="T137" s="47" t="n">
        <f aca="false">(T80+T56+T59+T110)*(T$4&gt;In_COD)-($E129+$I59)*T14</f>
        <v>-0</v>
      </c>
      <c r="U137" s="47" t="n">
        <f aca="false">(U80+U56+U59+U110)*(U$4&gt;In_COD)-($E129+$I59)*U14</f>
        <v>-0</v>
      </c>
      <c r="V137" s="47" t="n">
        <f aca="false">(V80+V56+V59+V110)*(V$4&gt;In_COD)-($E129+$I59)*V14</f>
        <v>-0</v>
      </c>
      <c r="W137" s="47" t="n">
        <f aca="false">(W80+W56+W59+W110)*(W$4&gt;In_COD)-($E129+$I59)*W14</f>
        <v>-0</v>
      </c>
      <c r="X137" s="47" t="n">
        <f aca="false">(X80+X56+X59+X110)*(X$4&gt;In_COD)-($E129+$I59)*X14</f>
        <v>-0</v>
      </c>
      <c r="Y137" s="47" t="n">
        <f aca="false">(Y80+Y56+Y59+Y110)*(Y$4&gt;In_COD)-($E129+$I59)*Y14</f>
        <v>-134137.5</v>
      </c>
      <c r="Z137" s="47" t="n">
        <f aca="false">(Z80+Z56+Z59+Z110)*(Z$4&gt;In_COD)-($E129+$I59)*Z14</f>
        <v>2341.99775277371</v>
      </c>
      <c r="AA137" s="47" t="n">
        <f aca="false">(AA80+AA56+AA59+AA110)*(AA$4&gt;In_COD)-($E129+$I59)*AA14</f>
        <v>2306.44141717989</v>
      </c>
      <c r="AB137" s="47" t="n">
        <f aca="false">(AB80+AB56+AB59+AB110)*(AB$4&gt;In_COD)-($E129+$I59)*AB14</f>
        <v>2331.01051385238</v>
      </c>
      <c r="AC137" s="47" t="n">
        <f aca="false">(AC80+AC56+AC59+AC110)*(AC$4&gt;In_COD)-($E129+$I59)*AC14</f>
        <v>2355.56181980506</v>
      </c>
      <c r="AD137" s="47" t="n">
        <f aca="false">(AD80+AD56+AD59+AD110)*(AD$4&gt;In_COD)-($E129+$I59)*AD14</f>
        <v>2347.22985725596</v>
      </c>
      <c r="AE137" s="47" t="n">
        <f aca="false">(AE80+AE56+AE59+AE110)*(AE$4&gt;In_COD)-($E129+$I59)*AE14</f>
        <v>2336.47011679567</v>
      </c>
      <c r="AF137" s="47" t="n">
        <f aca="false">(AF80+AF56+AF59+AF110)*(AF$4&gt;In_COD)-($E129+$I59)*AF14</f>
        <v>2335.97367797751</v>
      </c>
      <c r="AG137" s="47" t="n">
        <f aca="false">(AG80+AG56+AG59+AG110)*(AG$4&gt;In_COD)-($E129+$I59)*AG14</f>
        <v>2360.57412309877</v>
      </c>
      <c r="AH137" s="47" t="n">
        <f aca="false">(AH80+AH56+AH59+AH110)*(AH$4&gt;In_COD)-($E129+$I59)*AH14</f>
        <v>2352.16515003277</v>
      </c>
      <c r="AI137" s="47" t="n">
        <f aca="false">(AI80+AI56+AI59+AI110)*(AI$4&gt;In_COD)-($E129+$I59)*AI14</f>
        <v>2315.99247065637</v>
      </c>
      <c r="AJ137" s="47" t="n">
        <f aca="false">(AJ80+AJ56+AJ59+AJ110)*(AJ$4&gt;In_COD)-($E129+$I59)*AJ14</f>
        <v>2371.32631847658</v>
      </c>
      <c r="AK137" s="47" t="n">
        <f aca="false">(AK80+AK56+AK59+AK110)*(AK$4&gt;In_COD)-($E129+$I59)*AK14</f>
        <v>2396.29477664682</v>
      </c>
      <c r="AL137" s="47" t="n">
        <f aca="false">(AL80+AL56+AL59+AL110)*(AL$4&gt;In_COD)-($E129+$I59)*AL14</f>
        <v>2358.23507375985</v>
      </c>
      <c r="AM137" s="47" t="n">
        <f aca="false">(AM80+AM56+AM59+AM110)*(AM$4&gt;In_COD)-($E129+$I59)*AM14</f>
        <v>2321.06119368005</v>
      </c>
      <c r="AN137" s="47" t="n">
        <f aca="false">(AN80+AN56+AN59+AN110)*(AN$4&gt;In_COD)-($E129+$I59)*AN14</f>
        <v>2344.70328279152</v>
      </c>
      <c r="AO137" s="47" t="n">
        <f aca="false">(AO80+AO56+AO59+AO110)*(AO$4&gt;In_COD)-($E129+$I59)*AO14</f>
        <v>2368.30860304268</v>
      </c>
      <c r="AP137" s="47" t="n">
        <f aca="false">(AP80+AP56+AP59+AP110)*(AP$4&gt;In_COD)-($E129+$I59)*AP14</f>
        <v>2359.81104411142</v>
      </c>
      <c r="AQ137" s="47" t="n">
        <f aca="false">(AQ80+AQ56+AQ59+AQ110)*(AQ$4&gt;In_COD)-($E129+$I59)*AQ14</f>
        <v>2322.31553314366</v>
      </c>
      <c r="AR137" s="47" t="n">
        <f aca="false">(AR80+AR56+AR59+AR110)*(AR$4&gt;In_COD)-($E129+$I59)*AR14</f>
        <v>2345.96404425667</v>
      </c>
      <c r="AS137" s="47" t="n">
        <f aca="false">(AS80+AS56+AS59+AS110)*(AS$4&gt;In_COD)-($E129+$I59)*AS14</f>
        <v>2369.57505799328</v>
      </c>
      <c r="AT137" s="47" t="n">
        <f aca="false">(AT80+AT56+AT59+AT110)*(AT$4&gt;In_COD)-($E129+$I59)*AT14</f>
        <v>2360.97213760378</v>
      </c>
      <c r="AU137" s="47" t="n">
        <f aca="false">(AU80+AU56+AU59+AU110)*(AU$4&gt;In_COD)-($E129+$I59)*AU14</f>
        <v>2348.00172382716</v>
      </c>
      <c r="AV137" s="47" t="n">
        <f aca="false">(AV80+AV56+AV59+AV110)*(AV$4&gt;In_COD)-($E129+$I59)*AV14</f>
        <v>2346.77604335599</v>
      </c>
      <c r="AW137" s="47" t="n">
        <f aca="false">(AW80+AW56+AW59+AW110)*(AW$4&gt;In_COD)-($E129+$I59)*AW14</f>
        <v>2370.38786363899</v>
      </c>
      <c r="AX137" s="47" t="n">
        <f aca="false">(AX80+AX56+AX59+AX110)*(AX$4&gt;In_COD)-($E129+$I59)*AX14</f>
        <v>2361.67656802483</v>
      </c>
      <c r="AY137" s="47" t="n">
        <f aca="false">(AY80+AY56+AY59+AY110)*(AY$4&gt;In_COD)-($E129+$I59)*AY14</f>
        <v>2323.5226972343</v>
      </c>
      <c r="AZ137" s="47" t="n">
        <f aca="false">(AZ80+AZ56+AZ59+AZ110)*(AZ$4&gt;In_COD)-($E129+$I59)*AZ14</f>
        <v>2347.16983962634</v>
      </c>
      <c r="BA137" s="47" t="n">
        <f aca="false">(BA80+BA56+BA59+BA110)*(BA$4&gt;In_COD)-($E129+$I59)*BA14</f>
        <v>2370.77794165831</v>
      </c>
      <c r="BB137" s="47" t="n">
        <f aca="false">(BB80+BB56+BB59+BB110)*(BB$4&gt;In_COD)-($E129+$I59)*BB14</f>
        <v>2361.95570094707</v>
      </c>
      <c r="BC137" s="47" t="n">
        <f aca="false">(BC80+BC56+BC59+BC110)*(BC$4&gt;In_COD)-($E129+$I59)*BC14</f>
        <v>2323.46508575033</v>
      </c>
      <c r="BD137" s="47" t="n">
        <f aca="false">(BD80+BD56+BD59+BD110)*(BD$4&gt;In_COD)-($E129+$I59)*BD14</f>
        <v>2347.10433596514</v>
      </c>
      <c r="BE137" s="47" t="n">
        <f aca="false">(BE80+BE56+BE59+BE110)*(BE$4&gt;In_COD)-($E129+$I59)*BE14</f>
        <v>2370.7037320581</v>
      </c>
      <c r="BF137" s="47" t="n">
        <f aca="false">(BF80+BF56+BF59+BF110)*(BF$4&gt;In_COD)-($E129+$I59)*BF14</f>
        <v>2361.76758783096</v>
      </c>
      <c r="BG137" s="47" t="n">
        <f aca="false">(BG80+BG56+BG59+BG110)*(BG$4&gt;In_COD)-($E129+$I59)*BG14</f>
        <v>2322.93489497536</v>
      </c>
      <c r="BH137" s="47" t="n">
        <f aca="false">(BH80+BH56+BH59+BH110)*(BH$4&gt;In_COD)-($E129+$I59)*BH14</f>
        <v>2346.56109464687</v>
      </c>
      <c r="BI137" s="47" t="n">
        <f aca="false">(BI80+BI56+BI59+BI110)*(BI$4&gt;In_COD)-($E129+$I59)*BI14</f>
        <v>2370.14659547852</v>
      </c>
      <c r="BJ137" s="47" t="n">
        <f aca="false">(BJ80+BJ56+BJ59+BJ110)*(BJ$4&gt;In_COD)-($E129+$I59)*BJ14</f>
        <v>2361.09346718173</v>
      </c>
      <c r="BK137" s="47" t="n">
        <f aca="false">(BK80+BK56+BK59+BK110)*(BK$4&gt;In_COD)-($E129+$I59)*BK14</f>
        <v>2346.9914269225</v>
      </c>
      <c r="BL137" s="47" t="n">
        <f aca="false">(BL80+BL56+BL59+BL110)*(BL$4&gt;In_COD)-($E129+$I59)*BL14</f>
        <v>2345.4963465067</v>
      </c>
      <c r="BM137" s="47" t="n">
        <f aca="false">(BM80+BM56+BM59+BM110)*(BM$4&gt;In_COD)-($E129+$I59)*BM14</f>
        <v>2369.06226965084</v>
      </c>
      <c r="BN137" s="47" t="n">
        <f aca="false">(BN80+BN56+BN59+BN110)*(BN$4&gt;In_COD)-($E129+$I59)*BN14</f>
        <v>2359.88866196911</v>
      </c>
      <c r="BO137" s="47" t="n">
        <f aca="false">(BO80+BO56+BO59+BO110)*(BO$4&gt;In_COD)-($E129+$I59)*BO14</f>
        <v>2320.35487895218</v>
      </c>
      <c r="BP137" s="47" t="n">
        <f aca="false">(BP80+BP56+BP59+BP110)*(BP$4&gt;In_COD)-($E129+$I59)*BP14</f>
        <v>2343.93836913523</v>
      </c>
      <c r="BQ137" s="47" t="n">
        <f aca="false">(BQ80+BQ56+BQ59+BQ110)*(BQ$4&gt;In_COD)-($E129+$I59)*BQ14</f>
        <v>2367.47936914957</v>
      </c>
      <c r="BR137" s="47" t="n">
        <f aca="false">(BR80+BR56+BR59+BR110)*(BR$4&gt;In_COD)-($E129+$I59)*BR14</f>
        <v>2358.18221390903</v>
      </c>
      <c r="BS137" s="47" t="n">
        <f aca="false">(BS80+BS56+BS59+BS110)*(BS$4&gt;In_COD)-($E129+$I59)*BS14</f>
        <v>2318.28935664024</v>
      </c>
      <c r="BT137" s="47" t="n">
        <f aca="false">(BT80+BT56+BT59+BT110)*(BT$4&gt;In_COD)-($E129+$I59)*BT14</f>
        <v>2341.84302790063</v>
      </c>
      <c r="BU137" s="47" t="n">
        <f aca="false">(BU80+BU56+BU59+BU110)*(BU$4&gt;In_COD)-($E129+$I59)*BU14</f>
        <v>2365.35326262025</v>
      </c>
      <c r="BV137" s="47" t="n">
        <f aca="false">(BV80+BV56+BV59+BV110)*(BV$4&gt;In_COD)-($E129+$I59)*BV14</f>
        <v>2355.92907779053</v>
      </c>
      <c r="BW137" s="47" t="n">
        <f aca="false">(BW80+BW56+BW59+BW110)*(BW$4&gt;In_COD)-($E129+$I59)*BW14</f>
        <v>2315.67113479869</v>
      </c>
      <c r="BX137" s="47" t="n">
        <f aca="false">(BX80+BX56+BX59+BX110)*(BX$4&gt;In_COD)-($E129+$I59)*BX14</f>
        <v>2339.1889476273</v>
      </c>
      <c r="BY137" s="47" t="n">
        <f aca="false">(BY80+BY56+BY59+BY110)*(BY$4&gt;In_COD)-($E129+$I59)*BY14</f>
        <v>2362.66234060223</v>
      </c>
      <c r="BZ137" s="47" t="n">
        <f aca="false">(BZ80+BZ56+BZ59+BZ110)*(BZ$4&gt;In_COD)-($E129+$I59)*BZ14</f>
        <v>2353.10749812521</v>
      </c>
      <c r="CA137" s="47" t="n">
        <f aca="false">(CA80+CA56+CA59+CA110)*(CA$4&gt;In_COD)-($E129+$I59)*CA14</f>
        <v>2337.74403859899</v>
      </c>
      <c r="CB137" s="47" t="n">
        <f aca="false">(CB80+CB56+CB59+CB110)*(CB$4&gt;In_COD)-($E129+$I59)*CB14</f>
        <v>2335.92912005562</v>
      </c>
      <c r="CC137" s="47" t="n">
        <f aca="false">(CC80+CC56+CC59+CC110)*(CC$4&gt;In_COD)-($E129+$I59)*CC14</f>
        <v>2359.35906563661</v>
      </c>
      <c r="CD137" s="47" t="n">
        <f aca="false">(CD80+CD56+CD59+CD110)*(CD$4&gt;In_COD)-($E129+$I59)*CD14</f>
        <v>2349.66949554285</v>
      </c>
      <c r="CE137" s="47" t="n">
        <f aca="false">(CE80+CE56+CE59+CE110)*(CE$4&gt;In_COD)-($E129+$I59)*CE14</f>
        <v>2308.66229969313</v>
      </c>
      <c r="CF137" s="47" t="n">
        <f aca="false">(CF80+CF56+CF59+CF110)*(CF$4&gt;In_COD)-($E129+$I59)*CF14</f>
        <v>2332.0890054842</v>
      </c>
      <c r="CG137" s="47" t="n">
        <f aca="false">(CG80+CG56+CG59+CG110)*(CG$4&gt;In_COD)-($E129+$I59)*CG14</f>
        <v>2355.46920379876</v>
      </c>
      <c r="CH137" s="47" t="n">
        <f aca="false">(CH80+CH56+CH59+CH110)*(CH$4&gt;In_COD)-($E129+$I59)*CH14</f>
        <v>2345.64124128824</v>
      </c>
      <c r="CI137" s="47" t="n">
        <f aca="false">(CI80+CI56+CI59+CI110)*(CI$4&gt;In_COD)-($E129+$I59)*CI14</f>
        <v>2304.24976072476</v>
      </c>
      <c r="CJ137" s="47" t="n">
        <f aca="false">(CJ80+CJ56+CJ59+CJ110)*(CJ$4&gt;In_COD)-($E129+$I59)*CJ14</f>
        <v>2327.62098847871</v>
      </c>
      <c r="CK137" s="47" t="n">
        <f aca="false">(CK80+CK56+CK59+CK110)*(CK$4&gt;In_COD)-($E129+$I59)*CK14</f>
        <v>2350.94460411352</v>
      </c>
      <c r="CL137" s="47" t="n">
        <f aca="false">(CL80+CL56+CL59+CL110)*(CL$4&gt;In_COD)-($E129+$I59)*CL14</f>
        <v>2340.97414109789</v>
      </c>
      <c r="CM137" s="47" t="n">
        <f aca="false">(CM80+CM56+CM59+CM110)*(CM$4&gt;In_COD)-($E129+$I59)*CM14</f>
        <v>2299.19157021716</v>
      </c>
      <c r="CN137" s="47" t="n">
        <f aca="false">(CN80+CN56+CN59+CN110)*(CN$4&gt;In_COD)-($E129+$I59)*CN14</f>
        <v>2322.50025606238</v>
      </c>
      <c r="CO137" s="47" t="n">
        <f aca="false">(CO80+CO56+CO59+CO110)*(CO$4&gt;In_COD)-($E129+$I59)*CO14</f>
        <v>2345.76018102782</v>
      </c>
      <c r="CP137" s="47" t="n">
        <f aca="false">(CP80+CP56+CP59+CP110)*(CP$4&gt;In_COD)-($E129+$I59)*CP14</f>
        <v>2335.64293473682</v>
      </c>
      <c r="CQ137" s="47" t="n">
        <f aca="false">(CQ80+CQ56+CQ59+CQ110)*(CQ$4&gt;In_COD)-($E129+$I59)*CQ14</f>
        <v>2318.87087972521</v>
      </c>
      <c r="CR137" s="47" t="n">
        <f aca="false">(CR80+CR56+CR59+CR110)*(CR$4&gt;In_COD)-($E129+$I59)*CR14</f>
        <v>2316.67608310698</v>
      </c>
      <c r="CS137" s="47" t="n">
        <f aca="false">(CS80+CS56+CS59+CS110)*(CS$4&gt;In_COD)-($E129+$I59)*CS14</f>
        <v>2339.86463874121</v>
      </c>
      <c r="CT137" s="47" t="n">
        <f aca="false">(CT80+CT56+CT59+CT110)*(CT$4&gt;In_COD)-($E129+$I59)*CT14</f>
        <v>2329.59585287149</v>
      </c>
      <c r="CU137" s="47" t="n">
        <f aca="false">(CU80+CU56+CU59+CU110)*(CU$4&gt;In_COD)-($E129+$I59)*CU14</f>
        <v>2289.29840831076</v>
      </c>
      <c r="CV137" s="47" t="n">
        <f aca="false">(CV80+CV56+CV59+CV110)*(CV$4&gt;In_COD)-($E129+$I59)*CV14</f>
        <v>2314.73505729199</v>
      </c>
      <c r="CW137" s="47" t="n">
        <f aca="false">(CW80+CW56+CW59+CW110)*(CW$4&gt;In_COD)-($E129+$I59)*CW14</f>
        <v>2340.17170627322</v>
      </c>
      <c r="CX137" s="47" t="n">
        <f aca="false">(CX80+CX56+CX59+CX110)*(CX$4&gt;In_COD)-($E129+$I59)*CX14</f>
        <v>2332.12566741845</v>
      </c>
      <c r="CY137" s="47" t="n">
        <f aca="false">(CY80+CY56+CY59+CY110)*(CY$4&gt;In_COD)-($E129+$I59)*CY14</f>
        <v>2291.52460580205</v>
      </c>
      <c r="CZ137" s="47" t="n">
        <f aca="false">(CZ80+CZ56+CZ59+CZ110)*(CZ$4&gt;In_COD)-($E129+$I59)*CZ14</f>
        <v>2316.98599031096</v>
      </c>
      <c r="DA137" s="47" t="n">
        <f aca="false">(DA80+DA56+DA59+DA110)*(DA$4&gt;In_COD)-($E129+$I59)*DA14</f>
        <v>2342.44737481988</v>
      </c>
      <c r="DB137" s="47" t="n">
        <f aca="false">(DB80+DB56+DB59+DB110)*(DB$4&gt;In_COD)-($E129+$I59)*DB14</f>
        <v>2127.75796595667</v>
      </c>
      <c r="DC137" s="47" t="n">
        <f aca="false">(DC80+DC56+DC59+DC110)*(DC$4&gt;In_COD)-($E129+$I59)*DC14</f>
        <v>2091.34156892558</v>
      </c>
      <c r="DD137" s="47" t="n">
        <f aca="false">(DD80+DD56+DD59+DD110)*(DD$4&gt;In_COD)-($E129+$I59)*DD14</f>
        <v>2114.5786974692</v>
      </c>
      <c r="DE137" s="47" t="n">
        <f aca="false">(DE80+DE56+DE59+DE110)*(DE$4&gt;In_COD)-($E129+$I59)*DE14</f>
        <v>2137.81582601281</v>
      </c>
      <c r="DF137" s="47" t="n">
        <f aca="false">(DF80+DF56+DF59+DF110)*(DF$4&gt;In_COD)-($E129+$I59)*DF14</f>
        <v>2129.67377475099</v>
      </c>
      <c r="DG137" s="47" t="n">
        <f aca="false">(DG80+DG56+DG59+DG110)*(DG$4&gt;In_COD)-($E129+$I59)*DG14</f>
        <v>2116.20284972323</v>
      </c>
      <c r="DH137" s="47" t="n">
        <f aca="false">(DH80+DH56+DH59+DH110)*(DH$4&gt;In_COD)-($E129+$I59)*DH14</f>
        <v>2116.20284972323</v>
      </c>
      <c r="DI137" s="47" t="n">
        <f aca="false">(DI80+DI56+DI59+DI110)*(DI$4&gt;In_COD)-($E129+$I59)*DI14</f>
        <v>2139.45782609381</v>
      </c>
      <c r="DJ137" s="47" t="n">
        <f aca="false">(DJ80+DJ56+DJ59+DJ110)*(DJ$4&gt;In_COD)-($E129+$I59)*DJ14</f>
        <v>2131.26763373715</v>
      </c>
      <c r="DK137" s="47" t="n">
        <f aca="false">(DK80+DK56+DK59+DK110)*(DK$4&gt;In_COD)-($E129+$I59)*DK14</f>
        <v>2094.22922134031</v>
      </c>
      <c r="DL137" s="47" t="n">
        <f aca="false">(DL80+DL56+DL59+DL110)*(DL$4&gt;In_COD)-($E129+$I59)*DL14</f>
        <v>2117.49843491076</v>
      </c>
      <c r="DM137" s="47" t="n">
        <f aca="false">(DM80+DM56+DM59+DM110)*(DM$4&gt;In_COD)-($E129+$I59)*DM14</f>
        <v>2140.76764848121</v>
      </c>
      <c r="DN137" s="47" t="n">
        <f aca="false">(DN80+DN56+DN59+DN110)*(DN$4&gt;In_COD)-($E129+$I59)*DN14</f>
        <v>2132.52923118543</v>
      </c>
      <c r="DO137" s="47" t="n">
        <f aca="false">(DO80+DO56+DO59+DO110)*(DO$4&gt;In_COD)-($E129+$I59)*DO14</f>
        <v>2095.17525809415</v>
      </c>
      <c r="DP137" s="47" t="n">
        <f aca="false">(DP80+DP56+DP59+DP110)*(DP$4&gt;In_COD)-($E129+$I59)*DP14</f>
        <v>2118.45498318409</v>
      </c>
      <c r="DQ137" s="47" t="n">
        <f aca="false">(DQ80+DQ56+DQ59+DQ110)*(DQ$4&gt;In_COD)-($E129+$I59)*DQ14</f>
        <v>2141.73470827402</v>
      </c>
      <c r="DR137" s="47" t="n">
        <f aca="false">(DR80+DR56+DR59+DR110)*(DR$4&gt;In_COD)-($E129+$I59)*DR14</f>
        <v>2133.4479869401</v>
      </c>
      <c r="DS137" s="47" t="n">
        <f aca="false">(DS80+DS56+DS59+DS110)*(DS$4&gt;In_COD)-($E129+$I59)*DS14</f>
        <v>2095.77535956</v>
      </c>
      <c r="DT137" s="47" t="n">
        <f aca="false">(DT80+DT56+DT59+DT110)*(DT$4&gt;In_COD)-($E129+$I59)*DT14</f>
        <v>2119.061752444</v>
      </c>
      <c r="DU137" s="47" t="n">
        <f aca="false">(DU80+DU56+DU59+DU110)*(DU$4&gt;In_COD)-($E129+$I59)*DU14</f>
        <v>2142.348145328</v>
      </c>
      <c r="DV137" s="47" t="n">
        <f aca="false">(DV80+DV56+DV59+DV110)*(DV$4&gt;In_COD)-($E129+$I59)*DV14</f>
        <v>2134.01304575269</v>
      </c>
      <c r="DW137" s="47" t="n">
        <f aca="false">(DW80+DW56+DW59+DW110)*(DW$4&gt;In_COD)-($E129+$I59)*DW14</f>
        <v>2119.30772157993</v>
      </c>
      <c r="DX137" s="47" t="n">
        <f aca="false">(DX80+DX56+DX59+DX110)*(DX$4&gt;In_COD)-($E129+$I59)*DX14</f>
        <v>2119.30772157993</v>
      </c>
      <c r="DY137" s="47" t="n">
        <f aca="false">(DY80+DY56+DY59+DY110)*(DY$4&gt;In_COD)-($E129+$I59)*DY14</f>
        <v>2142.59681742147</v>
      </c>
      <c r="DZ137" s="47" t="n">
        <f aca="false">(DZ80+DZ56+DZ59+DZ110)*(DZ$4&gt;In_COD)-($E129+$I59)*DZ14</f>
        <v>2134.2132704514</v>
      </c>
      <c r="EA137" s="47" t="n">
        <f aca="false">(EA80+EA56+EA59+EA110)*(EA$4&gt;In_COD)-($E129+$I59)*EA14</f>
        <v>2095.89387383467</v>
      </c>
      <c r="EB137" s="47" t="n">
        <f aca="false">(EB80+EB56+EB59+EB110)*(EB$4&gt;In_COD)-($E129+$I59)*EB14</f>
        <v>2119.18158354395</v>
      </c>
      <c r="EC137" s="47" t="n">
        <f aca="false">(EC80+EC56+EC59+EC110)*(EC$4&gt;In_COD)-($E129+$I59)*EC14</f>
        <v>2142.46929325322</v>
      </c>
      <c r="ED137" s="47" t="n">
        <f aca="false">(ED80+ED56+ED59+ED110)*(ED$4&gt;In_COD)-($E129+$I59)*ED14</f>
        <v>2134.03723494271</v>
      </c>
      <c r="EE137" s="47" t="n">
        <f aca="false">(EE80+EE56+EE59+EE110)*(EE$4&gt;In_COD)-($E129+$I59)*EE14</f>
        <v>2095.38963124086</v>
      </c>
      <c r="EF137" s="47" t="n">
        <f aca="false">(EF80+EF56+EF59+EF110)*(EF$4&gt;In_COD)-($E129+$I59)*EF14</f>
        <v>2118.67173825464</v>
      </c>
      <c r="EG137" s="47" t="n">
        <f aca="false">(EG80+EG56+EG59+EG110)*(EG$4&gt;In_COD)-($E129+$I59)*EG14</f>
        <v>2141.95384526843</v>
      </c>
      <c r="EH137" s="47" t="n">
        <f aca="false">(EH80+EH56+EH59+EH110)*(EH$4&gt;In_COD)-($E129+$I59)*EH14</f>
        <v>2133.47321704111</v>
      </c>
      <c r="EI137" s="47" t="n">
        <f aca="false">(EI80+EI56+EI59+EI110)*(EI$4&gt;In_COD)-($E129+$I59)*EI14</f>
        <v>2094.49412834513</v>
      </c>
      <c r="EJ137" s="47" t="n">
        <f aca="false">(EJ80+EJ56+EJ59+EJ110)*(EJ$4&gt;In_COD)-($E129+$I59)*EJ14</f>
        <v>2117.76628532674</v>
      </c>
      <c r="EK137" s="47" t="n">
        <f aca="false">(EK80+EK56+EK59+EK110)*(EK$4&gt;In_COD)-($E129+$I59)*EK14</f>
        <v>2141.03844230835</v>
      </c>
      <c r="EL137" s="47" t="n">
        <f aca="false">(EL80+EL56+EL59+EL110)*(EL$4&gt;In_COD)-($E129+$I59)*EL14</f>
        <v>2132.50919112262</v>
      </c>
      <c r="EM137" s="47" t="n">
        <f aca="false">(EM80+EM56+EM59+EM110)*(EM$4&gt;In_COD)-($E129+$I59)*EM14</f>
        <v>2116.45301662203</v>
      </c>
      <c r="EN137" s="47" t="n">
        <f aca="false">(EN80+EN56+EN59+EN110)*(EN$4&gt;In_COD)-($E129+$I59)*EN14</f>
        <v>2116.45301662203</v>
      </c>
      <c r="EO137" s="47" t="n">
        <f aca="false">(EO80+EO56+EO59+EO110)*(EO$4&gt;In_COD)-($E129+$I59)*EO14</f>
        <v>2139.71074207942</v>
      </c>
    </row>
    <row r="138" customFormat="false" ht="15" hidden="false" customHeight="false" outlineLevel="0" collapsed="false">
      <c r="C138" s="25" t="s">
        <v>124</v>
      </c>
      <c r="D138" s="11" t="s">
        <v>27</v>
      </c>
      <c r="E138" s="33" t="n">
        <f aca="false">XIRR(INDEX($J137:$EO137,$E15):$EO137,INDEX($J$4:$EO$4,$E15):$EO$4)</f>
        <v>0.0568046288872868</v>
      </c>
    </row>
    <row r="139" customFormat="false" ht="15" hidden="false" customHeight="false" outlineLevel="0" collapsed="false">
      <c r="C139" s="0" t="s">
        <v>484</v>
      </c>
      <c r="D139" s="11" t="s">
        <v>33</v>
      </c>
      <c r="I139" s="47" t="n">
        <f aca="false">SUM(J139:EO139)</f>
        <v>107838.114185307</v>
      </c>
      <c r="J139" s="47" t="n">
        <f aca="false">J137+J91+J99+$E96*J14</f>
        <v>0</v>
      </c>
      <c r="K139" s="47" t="n">
        <f aca="false">K137+K91+K99+$E96*K14</f>
        <v>0</v>
      </c>
      <c r="L139" s="47" t="n">
        <f aca="false">L137+L91+L99+$E96*L14</f>
        <v>0</v>
      </c>
      <c r="M139" s="47" t="n">
        <f aca="false">M137+M91+M99+$E96*M14</f>
        <v>0</v>
      </c>
      <c r="N139" s="47" t="n">
        <f aca="false">N137+N91+N99+$E96*N14</f>
        <v>0</v>
      </c>
      <c r="O139" s="47" t="n">
        <f aca="false">O137+O91+O99+$E96*O14</f>
        <v>0</v>
      </c>
      <c r="P139" s="47" t="n">
        <f aca="false">P137+P91+P99+$E96*P14</f>
        <v>0</v>
      </c>
      <c r="Q139" s="47" t="n">
        <f aca="false">Q137+Q91+Q99+$E96*Q14</f>
        <v>0</v>
      </c>
      <c r="R139" s="47" t="n">
        <f aca="false">R137+R91+R99+$E96*R14</f>
        <v>0</v>
      </c>
      <c r="S139" s="47" t="n">
        <f aca="false">S137+S91+S99+$E96*S14</f>
        <v>0</v>
      </c>
      <c r="T139" s="47" t="n">
        <f aca="false">T137+T91+T99+$E96*T14</f>
        <v>0</v>
      </c>
      <c r="U139" s="47" t="n">
        <f aca="false">U137+U91+U99+$E96*U14</f>
        <v>0</v>
      </c>
      <c r="V139" s="47" t="n">
        <f aca="false">V137+V91+V99+$E96*V14</f>
        <v>0</v>
      </c>
      <c r="W139" s="47" t="n">
        <f aca="false">W137+W91+W99+$E96*W14</f>
        <v>0</v>
      </c>
      <c r="X139" s="47" t="n">
        <f aca="false">X137+X91+X99+$E96*X14</f>
        <v>0</v>
      </c>
      <c r="Y139" s="47" t="n">
        <f aca="false">Y137+Y91+Y99+$E96*Y14</f>
        <v>-77228.7119260799</v>
      </c>
      <c r="Z139" s="47" t="n">
        <f aca="false">Z137+Z91+Z99+$E96*Z14</f>
        <v>1114.75080337035</v>
      </c>
      <c r="AA139" s="47" t="n">
        <f aca="false">AA137+AA91+AA99+$E96*AA14</f>
        <v>1097.8265968372</v>
      </c>
      <c r="AB139" s="47" t="n">
        <f aca="false">AB137+AB91+AB99+$E96*AB14</f>
        <v>1109.52106589521</v>
      </c>
      <c r="AC139" s="47" t="n">
        <f aca="false">AC137+AC91+AC99+$E96*AC14</f>
        <v>1121.20706687541</v>
      </c>
      <c r="AD139" s="47" t="n">
        <f aca="false">AD137+AD91+AD99+$E96*AD14</f>
        <v>1117.2411954589</v>
      </c>
      <c r="AE139" s="47" t="n">
        <f aca="false">AE137+AE91+AE99+$E96*AE14</f>
        <v>1112.11974335334</v>
      </c>
      <c r="AF139" s="47" t="n">
        <f aca="false">AF137+AF91+AF99+$E96*AF14</f>
        <v>1111.8834469817</v>
      </c>
      <c r="AG139" s="47" t="n">
        <f aca="false">AG137+AG91+AG99+$E96*AG14</f>
        <v>1123.59283736422</v>
      </c>
      <c r="AH139" s="47" t="n">
        <f aca="false">AH137+AH91+AH99+$E96*AH14</f>
        <v>1119.59031026113</v>
      </c>
      <c r="AI139" s="47" t="n">
        <f aca="false">AI137+AI91+AI99+$E96*AI14</f>
        <v>1102.37273464769</v>
      </c>
      <c r="AJ139" s="47" t="n">
        <f aca="false">AJ137+AJ91+AJ99+$E96*AJ14</f>
        <v>1128.7106981398</v>
      </c>
      <c r="AK139" s="47" t="n">
        <f aca="false">AK137+AK91+AK99+$E96*AK14</f>
        <v>1140.59525642822</v>
      </c>
      <c r="AL139" s="47" t="n">
        <f aca="false">AL137+AL91+AL99+$E96*AL14</f>
        <v>1122.47948995535</v>
      </c>
      <c r="AM139" s="47" t="n">
        <f aca="false">AM137+AM91+AM99+$E96*AM14</f>
        <v>1104.7853599613</v>
      </c>
      <c r="AN139" s="47" t="n">
        <f aca="false">AN137+AN91+AN99+$E96*AN14</f>
        <v>1116.03858930328</v>
      </c>
      <c r="AO139" s="47" t="n">
        <f aca="false">AO137+AO91+AO99+$E96*AO14</f>
        <v>1127.27431729774</v>
      </c>
      <c r="AP139" s="47" t="n">
        <f aca="false">AP137+AP91+AP99+$E96*AP14</f>
        <v>1123.22962484059</v>
      </c>
      <c r="AQ139" s="47" t="n">
        <f aca="false">AQ137+AQ91+AQ99+$E96*AQ14</f>
        <v>1105.38240405458</v>
      </c>
      <c r="AR139" s="47" t="n">
        <f aca="false">AR137+AR91+AR99+$E96*AR14</f>
        <v>1116.63869015926</v>
      </c>
      <c r="AS139" s="47" t="n">
        <f aca="false">AS137+AS91+AS99+$E96*AS14</f>
        <v>1127.87712815524</v>
      </c>
      <c r="AT139" s="47" t="n">
        <f aca="false">AT137+AT91+AT99+$E96*AT14</f>
        <v>1123.7822854492</v>
      </c>
      <c r="AU139" s="47" t="n">
        <f aca="false">AU137+AU91+AU99+$E96*AU14</f>
        <v>1117.60859072194</v>
      </c>
      <c r="AV139" s="47" t="n">
        <f aca="false">AV137+AV91+AV99+$E96*AV14</f>
        <v>1117.02518781804</v>
      </c>
      <c r="AW139" s="47" t="n">
        <f aca="false">AW137+AW91+AW99+$E96*AW14</f>
        <v>1128.26400971628</v>
      </c>
      <c r="AX139" s="47" t="n">
        <f aca="false">AX137+AX91+AX99+$E96*AX14</f>
        <v>1124.11758226015</v>
      </c>
      <c r="AY139" s="47" t="n">
        <f aca="false">AY137+AY91+AY99+$E96*AY14</f>
        <v>1105.9569934786</v>
      </c>
      <c r="AZ139" s="47" t="n">
        <f aca="false">AZ137+AZ91+AZ99+$E96*AZ14</f>
        <v>1117.21262809555</v>
      </c>
      <c r="BA139" s="47" t="n">
        <f aca="false">BA137+BA91+BA99+$E96*BA14</f>
        <v>1128.44968017001</v>
      </c>
      <c r="BB139" s="47" t="n">
        <f aca="false">BB137+BB91+BB99+$E96*BB14</f>
        <v>1124.25044474857</v>
      </c>
      <c r="BC139" s="47" t="n">
        <f aca="false">BC137+BC91+BC99+$E96*BC14</f>
        <v>1105.92957139932</v>
      </c>
      <c r="BD139" s="47" t="n">
        <f aca="false">BD137+BD91+BD99+$E96*BD14</f>
        <v>1117.18144947512</v>
      </c>
      <c r="BE139" s="47" t="n">
        <f aca="false">BE137+BE91+BE99+$E96*BE14</f>
        <v>1128.41435767178</v>
      </c>
      <c r="BF139" s="47" t="n">
        <f aca="false">BF137+BF91+BF99+$E96*BF14</f>
        <v>1124.16090612835</v>
      </c>
      <c r="BG139" s="47" t="n">
        <f aca="false">BG137+BG91+BG99+$E96*BG14</f>
        <v>1105.67720967452</v>
      </c>
      <c r="BH139" s="47" t="n">
        <f aca="false">BH137+BH91+BH99+$E96*BH14</f>
        <v>1116.92287591532</v>
      </c>
      <c r="BI139" s="47" t="n">
        <f aca="false">BI137+BI91+BI99+$E96*BI14</f>
        <v>1128.14917020567</v>
      </c>
      <c r="BJ139" s="47" t="n">
        <f aca="false">BJ137+BJ91+BJ99+$E96*BJ14</f>
        <v>1123.84003624945</v>
      </c>
      <c r="BK139" s="47" t="n">
        <f aca="false">BK137+BK91+BK99+$E96*BK14</f>
        <v>1117.12770670535</v>
      </c>
      <c r="BL139" s="47" t="n">
        <f aca="false">BL137+BL91+BL99+$E96*BL14</f>
        <v>1116.4160740436</v>
      </c>
      <c r="BM139" s="47" t="n">
        <f aca="false">BM137+BM91+BM99+$E96*BM14</f>
        <v>1127.63304969013</v>
      </c>
      <c r="BN139" s="47" t="n">
        <f aca="false">BN137+BN91+BN99+$E96*BN14</f>
        <v>1123.26656961093</v>
      </c>
      <c r="BO139" s="47" t="n">
        <f aca="false">BO137+BO91+BO99+$E96*BO14</f>
        <v>1104.44916625253</v>
      </c>
      <c r="BP139" s="47" t="n">
        <f aca="false">BP137+BP91+BP99+$E96*BP14</f>
        <v>1115.67450350859</v>
      </c>
      <c r="BQ139" s="47" t="n">
        <f aca="false">BQ137+BQ91+BQ99+$E96*BQ14</f>
        <v>1126.87961617236</v>
      </c>
      <c r="BR139" s="47" t="n">
        <f aca="false">BR137+BR91+BR99+$E96*BR14</f>
        <v>1122.45432957198</v>
      </c>
      <c r="BS139" s="47" t="n">
        <f aca="false">BS137+BS91+BS99+$E96*BS14</f>
        <v>1103.46601302196</v>
      </c>
      <c r="BT139" s="47" t="n">
        <f aca="false">BT137+BT91+BT99+$E96*BT14</f>
        <v>1114.67715698174</v>
      </c>
      <c r="BU139" s="47" t="n">
        <f aca="false">BU137+BU91+BU99+$E96*BU14</f>
        <v>1125.86762589234</v>
      </c>
      <c r="BV139" s="47" t="n">
        <f aca="false">BV137+BV91+BV99+$E96*BV14</f>
        <v>1121.381875384</v>
      </c>
      <c r="BW139" s="47" t="n">
        <f aca="false">BW137+BW91+BW99+$E96*BW14</f>
        <v>1102.21978428504</v>
      </c>
      <c r="BX139" s="47" t="n">
        <f aca="false">BX137+BX91+BX99+$E96*BX14</f>
        <v>1113.41386024569</v>
      </c>
      <c r="BY139" s="47" t="n">
        <f aca="false">BY137+BY91+BY99+$E96*BY14</f>
        <v>1124.58679311705</v>
      </c>
      <c r="BZ139" s="47" t="n">
        <f aca="false">BZ137+BZ91+BZ99+$E96*BZ14</f>
        <v>1120.03885180724</v>
      </c>
      <c r="CA139" s="47" t="n">
        <f aca="false">CA137+CA91+CA99+$E96*CA14</f>
        <v>1112.72610830476</v>
      </c>
      <c r="CB139" s="47" t="n">
        <f aca="false">CB137+CB91+CB99+$E96*CB14</f>
        <v>1111.86223817428</v>
      </c>
      <c r="CC139" s="47" t="n">
        <f aca="false">CC137+CC91+CC99+$E96*CC14</f>
        <v>1123.01449083054</v>
      </c>
      <c r="CD139" s="47" t="n">
        <f aca="false">CD137+CD91+CD99+$E96*CD14</f>
        <v>1118.40242148354</v>
      </c>
      <c r="CE139" s="47" t="n">
        <f aca="false">CE137+CE91+CE99+$E96*CE14</f>
        <v>1098.88369886166</v>
      </c>
      <c r="CF139" s="47" t="n">
        <f aca="false">CF137+CF91+CF99+$E96*CF14</f>
        <v>1110.03440943343</v>
      </c>
      <c r="CG139" s="47" t="n">
        <f aca="false">CG137+CG91+CG99+$E96*CG14</f>
        <v>1121.16298324323</v>
      </c>
      <c r="CH139" s="47" t="n">
        <f aca="false">CH137+CH91+CH99+$E96*CH14</f>
        <v>1116.48504147701</v>
      </c>
      <c r="CI139" s="47" t="n">
        <f aca="false">CI137+CI91+CI99+$E96*CI14</f>
        <v>1096.78340591558</v>
      </c>
      <c r="CJ139" s="47" t="n">
        <f aca="false">CJ137+CJ91+CJ99+$E96*CJ14</f>
        <v>1107.90770989223</v>
      </c>
      <c r="CK139" s="47" t="n">
        <f aca="false">CK137+CK91+CK99+$E96*CK14</f>
        <v>1119.00935131593</v>
      </c>
      <c r="CL139" s="47" t="n">
        <f aca="false">CL137+CL91+CL99+$E96*CL14</f>
        <v>1114.26358175083</v>
      </c>
      <c r="CM139" s="47" t="n">
        <f aca="false">CM137+CM91+CM99+$E96*CM14</f>
        <v>1094.3757938992</v>
      </c>
      <c r="CN139" s="47" t="n">
        <f aca="false">CN137+CN91+CN99+$E96*CN14</f>
        <v>1105.47032899885</v>
      </c>
      <c r="CO139" s="47" t="n">
        <f aca="false">CO137+CO91+CO99+$E96*CO14</f>
        <v>1116.54165475519</v>
      </c>
      <c r="CP139" s="47" t="n">
        <f aca="false">CP137+CP91+CP99+$E96*CP14</f>
        <v>1111.72601886595</v>
      </c>
      <c r="CQ139" s="47" t="n">
        <f aca="false">CQ137+CQ91+CQ99+$E96*CQ14</f>
        <v>1103.7428080468</v>
      </c>
      <c r="CR139" s="47" t="n">
        <f aca="false">CR137+CR91+CR99+$E96*CR14</f>
        <v>1102.69812246139</v>
      </c>
      <c r="CS139" s="47" t="n">
        <f aca="false">CS137+CS91+CS99+$E96*CS14</f>
        <v>2340.98242704225</v>
      </c>
      <c r="CT139" s="47" t="n">
        <f aca="false">CT137+CT91+CT99+$E96*CT14</f>
        <v>2329.59585287149</v>
      </c>
      <c r="CU139" s="47" t="n">
        <f aca="false">CU137+CU91+CU99+$E96*CU14</f>
        <v>2289.29840831076</v>
      </c>
      <c r="CV139" s="47" t="n">
        <f aca="false">CV137+CV91+CV99+$E96*CV14</f>
        <v>2314.73505729199</v>
      </c>
      <c r="CW139" s="47" t="n">
        <f aca="false">CW137+CW91+CW99+$E96*CW14</f>
        <v>2340.17170627322</v>
      </c>
      <c r="CX139" s="47" t="n">
        <f aca="false">CX137+CX91+CX99+$E96*CX14</f>
        <v>2332.12566741845</v>
      </c>
      <c r="CY139" s="47" t="n">
        <f aca="false">CY137+CY91+CY99+$E96*CY14</f>
        <v>2291.52460580205</v>
      </c>
      <c r="CZ139" s="47" t="n">
        <f aca="false">CZ137+CZ91+CZ99+$E96*CZ14</f>
        <v>2316.98599031096</v>
      </c>
      <c r="DA139" s="47" t="n">
        <f aca="false">DA137+DA91+DA99+$E96*DA14</f>
        <v>2342.44737481988</v>
      </c>
      <c r="DB139" s="47" t="n">
        <f aca="false">DB137+DB91+DB99+$E96*DB14</f>
        <v>2127.75796595667</v>
      </c>
      <c r="DC139" s="47" t="n">
        <f aca="false">DC137+DC91+DC99+$E96*DC14</f>
        <v>2091.34156892558</v>
      </c>
      <c r="DD139" s="47" t="n">
        <f aca="false">DD137+DD91+DD99+$E96*DD14</f>
        <v>2114.5786974692</v>
      </c>
      <c r="DE139" s="47" t="n">
        <f aca="false">DE137+DE91+DE99+$E96*DE14</f>
        <v>2137.81582601281</v>
      </c>
      <c r="DF139" s="47" t="n">
        <f aca="false">DF137+DF91+DF99+$E96*DF14</f>
        <v>2129.67377475099</v>
      </c>
      <c r="DG139" s="47" t="n">
        <f aca="false">DG137+DG91+DG99+$E96*DG14</f>
        <v>2116.20284972323</v>
      </c>
      <c r="DH139" s="47" t="n">
        <f aca="false">DH137+DH91+DH99+$E96*DH14</f>
        <v>2116.20284972323</v>
      </c>
      <c r="DI139" s="47" t="n">
        <f aca="false">DI137+DI91+DI99+$E96*DI14</f>
        <v>2139.45782609381</v>
      </c>
      <c r="DJ139" s="47" t="n">
        <f aca="false">DJ137+DJ91+DJ99+$E96*DJ14</f>
        <v>2131.26763373715</v>
      </c>
      <c r="DK139" s="47" t="n">
        <f aca="false">DK137+DK91+DK99+$E96*DK14</f>
        <v>2094.22922134031</v>
      </c>
      <c r="DL139" s="47" t="n">
        <f aca="false">DL137+DL91+DL99+$E96*DL14</f>
        <v>2117.49843491076</v>
      </c>
      <c r="DM139" s="47" t="n">
        <f aca="false">DM137+DM91+DM99+$E96*DM14</f>
        <v>2140.76764848121</v>
      </c>
      <c r="DN139" s="47" t="n">
        <f aca="false">DN137+DN91+DN99+$E96*DN14</f>
        <v>2132.52923118543</v>
      </c>
      <c r="DO139" s="47" t="n">
        <f aca="false">DO137+DO91+DO99+$E96*DO14</f>
        <v>2095.17525809415</v>
      </c>
      <c r="DP139" s="47" t="n">
        <f aca="false">DP137+DP91+DP99+$E96*DP14</f>
        <v>2118.45498318409</v>
      </c>
      <c r="DQ139" s="47" t="n">
        <f aca="false">DQ137+DQ91+DQ99+$E96*DQ14</f>
        <v>2141.73470827402</v>
      </c>
      <c r="DR139" s="47" t="n">
        <f aca="false">DR137+DR91+DR99+$E96*DR14</f>
        <v>2133.4479869401</v>
      </c>
      <c r="DS139" s="47" t="n">
        <f aca="false">DS137+DS91+DS99+$E96*DS14</f>
        <v>2095.77535956</v>
      </c>
      <c r="DT139" s="47" t="n">
        <f aca="false">DT137+DT91+DT99+$E96*DT14</f>
        <v>2119.061752444</v>
      </c>
      <c r="DU139" s="47" t="n">
        <f aca="false">DU137+DU91+DU99+$E96*DU14</f>
        <v>2142.348145328</v>
      </c>
      <c r="DV139" s="47" t="n">
        <f aca="false">DV137+DV91+DV99+$E96*DV14</f>
        <v>2134.01304575269</v>
      </c>
      <c r="DW139" s="47" t="n">
        <f aca="false">DW137+DW91+DW99+$E96*DW14</f>
        <v>2119.30772157993</v>
      </c>
      <c r="DX139" s="47" t="n">
        <f aca="false">DX137+DX91+DX99+$E96*DX14</f>
        <v>2119.30772157993</v>
      </c>
      <c r="DY139" s="47" t="n">
        <f aca="false">DY137+DY91+DY99+$E96*DY14</f>
        <v>2142.59681742147</v>
      </c>
      <c r="DZ139" s="47" t="n">
        <f aca="false">DZ137+DZ91+DZ99+$E96*DZ14</f>
        <v>2134.2132704514</v>
      </c>
      <c r="EA139" s="47" t="n">
        <f aca="false">EA137+EA91+EA99+$E96*EA14</f>
        <v>2095.89387383467</v>
      </c>
      <c r="EB139" s="47" t="n">
        <f aca="false">EB137+EB91+EB99+$E96*EB14</f>
        <v>2119.18158354395</v>
      </c>
      <c r="EC139" s="47" t="n">
        <f aca="false">EC137+EC91+EC99+$E96*EC14</f>
        <v>2142.46929325322</v>
      </c>
      <c r="ED139" s="47" t="n">
        <f aca="false">ED137+ED91+ED99+$E96*ED14</f>
        <v>2134.03723494271</v>
      </c>
      <c r="EE139" s="47" t="n">
        <f aca="false">EE137+EE91+EE99+$E96*EE14</f>
        <v>2095.38963124086</v>
      </c>
      <c r="EF139" s="47" t="n">
        <f aca="false">EF137+EF91+EF99+$E96*EF14</f>
        <v>2118.67173825464</v>
      </c>
      <c r="EG139" s="47" t="n">
        <f aca="false">EG137+EG91+EG99+$E96*EG14</f>
        <v>2141.95384526843</v>
      </c>
      <c r="EH139" s="47" t="n">
        <f aca="false">EH137+EH91+EH99+$E96*EH14</f>
        <v>2133.47321704111</v>
      </c>
      <c r="EI139" s="47" t="n">
        <f aca="false">EI137+EI91+EI99+$E96*EI14</f>
        <v>2094.49412834513</v>
      </c>
      <c r="EJ139" s="47" t="n">
        <f aca="false">EJ137+EJ91+EJ99+$E96*EJ14</f>
        <v>2117.76628532674</v>
      </c>
      <c r="EK139" s="47" t="n">
        <f aca="false">EK137+EK91+EK99+$E96*EK14</f>
        <v>2141.03844230835</v>
      </c>
      <c r="EL139" s="47" t="n">
        <f aca="false">EL137+EL91+EL99+$E96*EL14</f>
        <v>2132.50919112262</v>
      </c>
      <c r="EM139" s="47" t="n">
        <f aca="false">EM137+EM91+EM99+$E96*EM14</f>
        <v>2116.45301662203</v>
      </c>
      <c r="EN139" s="47" t="n">
        <f aca="false">EN137+EN91+EN99+$E96*EN14</f>
        <v>2116.45301662203</v>
      </c>
      <c r="EO139" s="47" t="n">
        <f aca="false">EO137+EO91+EO99+$E96*EO14</f>
        <v>2139.71074207942</v>
      </c>
    </row>
    <row r="140" customFormat="false" ht="15" hidden="false" customHeight="false" outlineLevel="0" collapsed="false">
      <c r="C140" s="25" t="s">
        <v>485</v>
      </c>
      <c r="D140" s="11" t="s">
        <v>27</v>
      </c>
      <c r="E140" s="33" t="n">
        <f aca="false">XIRR(INDEX($J139:$EO139,$E15):$EO139,INDEX($J$4:$EO$4,$E15):$EO$4)</f>
        <v>0.0585329319728921</v>
      </c>
    </row>
    <row r="142" customFormat="false" ht="15" hidden="false" customHeight="false" outlineLevel="0" collapsed="false">
      <c r="A142" s="9" t="s">
        <v>13</v>
      </c>
      <c r="B142" s="9"/>
      <c r="C142" s="9" t="s">
        <v>486</v>
      </c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9"/>
      <c r="DP142" s="9"/>
      <c r="DQ142" s="9"/>
      <c r="DR142" s="9"/>
      <c r="DS142" s="9"/>
      <c r="DT142" s="9"/>
      <c r="DU142" s="9"/>
      <c r="DV142" s="9"/>
      <c r="DW142" s="9"/>
      <c r="DX142" s="9"/>
      <c r="DY142" s="9"/>
      <c r="DZ142" s="9"/>
      <c r="EA142" s="9"/>
      <c r="EB142" s="9"/>
      <c r="EC142" s="9"/>
      <c r="ED142" s="9"/>
      <c r="EE142" s="9"/>
      <c r="EF142" s="9"/>
      <c r="EG142" s="9"/>
      <c r="EH142" s="9"/>
      <c r="EI142" s="9"/>
      <c r="EJ142" s="9"/>
      <c r="EK142" s="9"/>
      <c r="EL142" s="9"/>
      <c r="EM142" s="9"/>
      <c r="EN142" s="9"/>
      <c r="EO142" s="9"/>
    </row>
    <row r="143" customFormat="false" ht="15" hidden="false" customHeight="false" outlineLevel="0" collapsed="false">
      <c r="C143" s="0" t="s">
        <v>487</v>
      </c>
      <c r="D143" s="11" t="s">
        <v>33</v>
      </c>
      <c r="I143" s="47" t="n">
        <f aca="false">SUM(J143:EO143)</f>
        <v>164683.802127409</v>
      </c>
      <c r="J143" s="47" t="n">
        <f aca="false">J60+J67+J80+J59+J110</f>
        <v>-4662.80993807469</v>
      </c>
      <c r="K143" s="47" t="n">
        <f aca="false">K60+K67+K80+K59+K110</f>
        <v>-706.535577057768</v>
      </c>
      <c r="L143" s="47" t="n">
        <f aca="false">L60+L67+L80+L59+L110</f>
        <v>-104.360496659404</v>
      </c>
      <c r="M143" s="47" t="n">
        <f aca="false">M60+M67+M80+M59+M110</f>
        <v>-105.507315304013</v>
      </c>
      <c r="N143" s="47" t="n">
        <f aca="false">N60+N67+N80+N59+N110</f>
        <v>-105.507315304013</v>
      </c>
      <c r="O143" s="47" t="n">
        <f aca="false">O60+O67+O80+O59+O110</f>
        <v>-104.360496659404</v>
      </c>
      <c r="P143" s="47" t="n">
        <f aca="false">P60+P67+P80+P59+P110</f>
        <v>-104.360496659404</v>
      </c>
      <c r="Q143" s="47" t="n">
        <f aca="false">Q60+Q67+Q80+Q59+Q110</f>
        <v>-105.507315304013</v>
      </c>
      <c r="R143" s="47" t="n">
        <f aca="false">R60+R67+R80+R59+R110</f>
        <v>-11463.3923544848</v>
      </c>
      <c r="S143" s="47" t="n">
        <f aca="false">S60+S67+S80+S59+S110</f>
        <v>-19370.0278417678</v>
      </c>
      <c r="T143" s="47" t="n">
        <f aca="false">T60+T67+T80+T59+T110</f>
        <v>-11339.8180765393</v>
      </c>
      <c r="U143" s="47" t="n">
        <f aca="false">U60+U67+U80+U59+U110</f>
        <v>-11464.4314619958</v>
      </c>
      <c r="V143" s="47" t="n">
        <f aca="false">V60+V67+V80+V59+V110</f>
        <v>-11464.4314619958</v>
      </c>
      <c r="W143" s="47" t="n">
        <f aca="false">W60+W67+W80+W59+W110</f>
        <v>-11216.2466222556</v>
      </c>
      <c r="X143" s="47" t="n">
        <f aca="false">X60+X67+X80+X59+X110</f>
        <v>-11340.8715847251</v>
      </c>
      <c r="Y143" s="47" t="n">
        <f aca="false">Y60+Y67+Y80+Y59+Y110</f>
        <v>-13965.4965471946</v>
      </c>
      <c r="Z143" s="47" t="n">
        <f aca="false">Z60+Z67+Z80+Z59+Z110</f>
        <v>2341.99775277371</v>
      </c>
      <c r="AA143" s="47" t="n">
        <f aca="false">AA60+AA67+AA80+AA59+AA110</f>
        <v>2306.44141717989</v>
      </c>
      <c r="AB143" s="47" t="n">
        <f aca="false">AB60+AB67+AB80+AB59+AB110</f>
        <v>2331.01051385238</v>
      </c>
      <c r="AC143" s="47" t="n">
        <f aca="false">AC60+AC67+AC80+AC59+AC110</f>
        <v>2355.56181980506</v>
      </c>
      <c r="AD143" s="47" t="n">
        <f aca="false">AD60+AD67+AD80+AD59+AD110</f>
        <v>2347.22985725596</v>
      </c>
      <c r="AE143" s="47" t="n">
        <f aca="false">AE60+AE67+AE80+AE59+AE110</f>
        <v>2336.47011679567</v>
      </c>
      <c r="AF143" s="47" t="n">
        <f aca="false">AF60+AF67+AF80+AF59+AF110</f>
        <v>2335.97367797751</v>
      </c>
      <c r="AG143" s="47" t="n">
        <f aca="false">AG60+AG67+AG80+AG59+AG110</f>
        <v>2360.57412309877</v>
      </c>
      <c r="AH143" s="47" t="n">
        <f aca="false">AH60+AH67+AH80+AH59+AH110</f>
        <v>2352.16515003277</v>
      </c>
      <c r="AI143" s="47" t="n">
        <f aca="false">AI60+AI67+AI80+AI59+AI110</f>
        <v>2315.99247065637</v>
      </c>
      <c r="AJ143" s="47" t="n">
        <f aca="false">AJ60+AJ67+AJ80+AJ59+AJ110</f>
        <v>2371.32631847658</v>
      </c>
      <c r="AK143" s="47" t="n">
        <f aca="false">AK60+AK67+AK80+AK59+AK110</f>
        <v>2396.29477664682</v>
      </c>
      <c r="AL143" s="47" t="n">
        <f aca="false">AL60+AL67+AL80+AL59+AL110</f>
        <v>2358.23507375985</v>
      </c>
      <c r="AM143" s="47" t="n">
        <f aca="false">AM60+AM67+AM80+AM59+AM110</f>
        <v>2321.06119368005</v>
      </c>
      <c r="AN143" s="47" t="n">
        <f aca="false">AN60+AN67+AN80+AN59+AN110</f>
        <v>2344.70328279152</v>
      </c>
      <c r="AO143" s="47" t="n">
        <f aca="false">AO60+AO67+AO80+AO59+AO110</f>
        <v>2368.30860304268</v>
      </c>
      <c r="AP143" s="47" t="n">
        <f aca="false">AP60+AP67+AP80+AP59+AP110</f>
        <v>2359.81104411142</v>
      </c>
      <c r="AQ143" s="47" t="n">
        <f aca="false">AQ60+AQ67+AQ80+AQ59+AQ110</f>
        <v>2322.31553314366</v>
      </c>
      <c r="AR143" s="47" t="n">
        <f aca="false">AR60+AR67+AR80+AR59+AR110</f>
        <v>2345.96404425667</v>
      </c>
      <c r="AS143" s="47" t="n">
        <f aca="false">AS60+AS67+AS80+AS59+AS110</f>
        <v>2369.57505799328</v>
      </c>
      <c r="AT143" s="47" t="n">
        <f aca="false">AT60+AT67+AT80+AT59+AT110</f>
        <v>2360.97213760378</v>
      </c>
      <c r="AU143" s="47" t="n">
        <f aca="false">AU60+AU67+AU80+AU59+AU110</f>
        <v>2348.00172382716</v>
      </c>
      <c r="AV143" s="47" t="n">
        <f aca="false">AV60+AV67+AV80+AV59+AV110</f>
        <v>2346.77604335599</v>
      </c>
      <c r="AW143" s="47" t="n">
        <f aca="false">AW60+AW67+AW80+AW59+AW110</f>
        <v>2370.38786363899</v>
      </c>
      <c r="AX143" s="47" t="n">
        <f aca="false">AX60+AX67+AX80+AX59+AX110</f>
        <v>2361.67656802483</v>
      </c>
      <c r="AY143" s="47" t="n">
        <f aca="false">AY60+AY67+AY80+AY59+AY110</f>
        <v>2323.5226972343</v>
      </c>
      <c r="AZ143" s="47" t="n">
        <f aca="false">AZ60+AZ67+AZ80+AZ59+AZ110</f>
        <v>2347.16983962634</v>
      </c>
      <c r="BA143" s="47" t="n">
        <f aca="false">BA60+BA67+BA80+BA59+BA110</f>
        <v>2370.77794165831</v>
      </c>
      <c r="BB143" s="47" t="n">
        <f aca="false">BB60+BB67+BB80+BB59+BB110</f>
        <v>2361.95570094707</v>
      </c>
      <c r="BC143" s="47" t="n">
        <f aca="false">BC60+BC67+BC80+BC59+BC110</f>
        <v>2323.46508575033</v>
      </c>
      <c r="BD143" s="47" t="n">
        <f aca="false">BD60+BD67+BD80+BD59+BD110</f>
        <v>2347.10433596514</v>
      </c>
      <c r="BE143" s="47" t="n">
        <f aca="false">BE60+BE67+BE80+BE59+BE110</f>
        <v>2370.7037320581</v>
      </c>
      <c r="BF143" s="47" t="n">
        <f aca="false">BF60+BF67+BF80+BF59+BF110</f>
        <v>2361.76758783096</v>
      </c>
      <c r="BG143" s="47" t="n">
        <f aca="false">BG60+BG67+BG80+BG59+BG110</f>
        <v>2322.93489497536</v>
      </c>
      <c r="BH143" s="47" t="n">
        <f aca="false">BH60+BH67+BH80+BH59+BH110</f>
        <v>2346.56109464687</v>
      </c>
      <c r="BI143" s="47" t="n">
        <f aca="false">BI60+BI67+BI80+BI59+BI110</f>
        <v>2370.14659547852</v>
      </c>
      <c r="BJ143" s="47" t="n">
        <f aca="false">BJ60+BJ67+BJ80+BJ59+BJ110</f>
        <v>2361.09346718173</v>
      </c>
      <c r="BK143" s="47" t="n">
        <f aca="false">BK60+BK67+BK80+BK59+BK110</f>
        <v>2346.9914269225</v>
      </c>
      <c r="BL143" s="47" t="n">
        <f aca="false">BL60+BL67+BL80+BL59+BL110</f>
        <v>2345.4963465067</v>
      </c>
      <c r="BM143" s="47" t="n">
        <f aca="false">BM60+BM67+BM80+BM59+BM110</f>
        <v>2369.06226965084</v>
      </c>
      <c r="BN143" s="47" t="n">
        <f aca="false">BN60+BN67+BN80+BN59+BN110</f>
        <v>2359.88866196911</v>
      </c>
      <c r="BO143" s="47" t="n">
        <f aca="false">BO60+BO67+BO80+BO59+BO110</f>
        <v>2320.35487895218</v>
      </c>
      <c r="BP143" s="47" t="n">
        <f aca="false">BP60+BP67+BP80+BP59+BP110</f>
        <v>2343.93836913523</v>
      </c>
      <c r="BQ143" s="47" t="n">
        <f aca="false">BQ60+BQ67+BQ80+BQ59+BQ110</f>
        <v>2367.47936914957</v>
      </c>
      <c r="BR143" s="47" t="n">
        <f aca="false">BR60+BR67+BR80+BR59+BR110</f>
        <v>2358.18221390903</v>
      </c>
      <c r="BS143" s="47" t="n">
        <f aca="false">BS60+BS67+BS80+BS59+BS110</f>
        <v>2318.28935664024</v>
      </c>
      <c r="BT143" s="47" t="n">
        <f aca="false">BT60+BT67+BT80+BT59+BT110</f>
        <v>2341.84302790063</v>
      </c>
      <c r="BU143" s="47" t="n">
        <f aca="false">BU60+BU67+BU80+BU59+BU110</f>
        <v>2365.35326262025</v>
      </c>
      <c r="BV143" s="47" t="n">
        <f aca="false">BV60+BV67+BV80+BV59+BV110</f>
        <v>2355.92907779053</v>
      </c>
      <c r="BW143" s="47" t="n">
        <f aca="false">BW60+BW67+BW80+BW59+BW110</f>
        <v>2315.67113479869</v>
      </c>
      <c r="BX143" s="47" t="n">
        <f aca="false">BX60+BX67+BX80+BX59+BX110</f>
        <v>2339.1889476273</v>
      </c>
      <c r="BY143" s="47" t="n">
        <f aca="false">BY60+BY67+BY80+BY59+BY110</f>
        <v>2362.66234060223</v>
      </c>
      <c r="BZ143" s="47" t="n">
        <f aca="false">BZ60+BZ67+BZ80+BZ59+BZ110</f>
        <v>2353.10749812521</v>
      </c>
      <c r="CA143" s="47" t="n">
        <f aca="false">CA60+CA67+CA80+CA59+CA110</f>
        <v>2337.74403859899</v>
      </c>
      <c r="CB143" s="47" t="n">
        <f aca="false">CB60+CB67+CB80+CB59+CB110</f>
        <v>2335.92912005562</v>
      </c>
      <c r="CC143" s="47" t="n">
        <f aca="false">CC60+CC67+CC80+CC59+CC110</f>
        <v>2359.35906563661</v>
      </c>
      <c r="CD143" s="47" t="n">
        <f aca="false">CD60+CD67+CD80+CD59+CD110</f>
        <v>2349.66949554285</v>
      </c>
      <c r="CE143" s="47" t="n">
        <f aca="false">CE60+CE67+CE80+CE59+CE110</f>
        <v>2308.66229969313</v>
      </c>
      <c r="CF143" s="47" t="n">
        <f aca="false">CF60+CF67+CF80+CF59+CF110</f>
        <v>2332.0890054842</v>
      </c>
      <c r="CG143" s="47" t="n">
        <f aca="false">CG60+CG67+CG80+CG59+CG110</f>
        <v>2355.46920379876</v>
      </c>
      <c r="CH143" s="47" t="n">
        <f aca="false">CH60+CH67+CH80+CH59+CH110</f>
        <v>2345.64124128824</v>
      </c>
      <c r="CI143" s="47" t="n">
        <f aca="false">CI60+CI67+CI80+CI59+CI110</f>
        <v>2304.24976072476</v>
      </c>
      <c r="CJ143" s="47" t="n">
        <f aca="false">CJ60+CJ67+CJ80+CJ59+CJ110</f>
        <v>2327.62098847871</v>
      </c>
      <c r="CK143" s="47" t="n">
        <f aca="false">CK60+CK67+CK80+CK59+CK110</f>
        <v>2350.94460411352</v>
      </c>
      <c r="CL143" s="47" t="n">
        <f aca="false">CL60+CL67+CL80+CL59+CL110</f>
        <v>2340.97414109789</v>
      </c>
      <c r="CM143" s="47" t="n">
        <f aca="false">CM60+CM67+CM80+CM59+CM110</f>
        <v>2299.19157021716</v>
      </c>
      <c r="CN143" s="47" t="n">
        <f aca="false">CN60+CN67+CN80+CN59+CN110</f>
        <v>2322.50025606238</v>
      </c>
      <c r="CO143" s="47" t="n">
        <f aca="false">CO60+CO67+CO80+CO59+CO110</f>
        <v>2345.76018102782</v>
      </c>
      <c r="CP143" s="47" t="n">
        <f aca="false">CP60+CP67+CP80+CP59+CP110</f>
        <v>2335.64293473682</v>
      </c>
      <c r="CQ143" s="47" t="n">
        <f aca="false">CQ60+CQ67+CQ80+CQ59+CQ110</f>
        <v>2318.87087972521</v>
      </c>
      <c r="CR143" s="47" t="n">
        <f aca="false">CR60+CR67+CR80+CR59+CR110</f>
        <v>2316.67608310698</v>
      </c>
      <c r="CS143" s="47" t="n">
        <f aca="false">CS60+CS67+CS80+CS59+CS110</f>
        <v>2339.86463874121</v>
      </c>
      <c r="CT143" s="47" t="n">
        <f aca="false">CT60+CT67+CT80+CT59+CT110</f>
        <v>2329.59585287149</v>
      </c>
      <c r="CU143" s="47" t="n">
        <f aca="false">CU60+CU67+CU80+CU59+CU110</f>
        <v>2289.29840831076</v>
      </c>
      <c r="CV143" s="47" t="n">
        <f aca="false">CV60+CV67+CV80+CV59+CV110</f>
        <v>2314.73505729199</v>
      </c>
      <c r="CW143" s="47" t="n">
        <f aca="false">CW60+CW67+CW80+CW59+CW110</f>
        <v>2340.17170627322</v>
      </c>
      <c r="CX143" s="47" t="n">
        <f aca="false">CX60+CX67+CX80+CX59+CX110</f>
        <v>2332.12566741845</v>
      </c>
      <c r="CY143" s="47" t="n">
        <f aca="false">CY60+CY67+CY80+CY59+CY110</f>
        <v>2291.52460580205</v>
      </c>
      <c r="CZ143" s="47" t="n">
        <f aca="false">CZ60+CZ67+CZ80+CZ59+CZ110</f>
        <v>2316.98599031096</v>
      </c>
      <c r="DA143" s="47" t="n">
        <f aca="false">DA60+DA67+DA80+DA59+DA110</f>
        <v>2342.44737481988</v>
      </c>
      <c r="DB143" s="47" t="n">
        <f aca="false">DB60+DB67+DB80+DB59+DB110</f>
        <v>2127.75796595667</v>
      </c>
      <c r="DC143" s="47" t="n">
        <f aca="false">DC60+DC67+DC80+DC59+DC110</f>
        <v>2091.34156892558</v>
      </c>
      <c r="DD143" s="47" t="n">
        <f aca="false">DD60+DD67+DD80+DD59+DD110</f>
        <v>2114.5786974692</v>
      </c>
      <c r="DE143" s="47" t="n">
        <f aca="false">DE60+DE67+DE80+DE59+DE110</f>
        <v>2137.81582601281</v>
      </c>
      <c r="DF143" s="47" t="n">
        <f aca="false">DF60+DF67+DF80+DF59+DF110</f>
        <v>2129.67377475099</v>
      </c>
      <c r="DG143" s="47" t="n">
        <f aca="false">DG60+DG67+DG80+DG59+DG110</f>
        <v>2116.20284972323</v>
      </c>
      <c r="DH143" s="47" t="n">
        <f aca="false">DH60+DH67+DH80+DH59+DH110</f>
        <v>2116.20284972323</v>
      </c>
      <c r="DI143" s="47" t="n">
        <f aca="false">DI60+DI67+DI80+DI59+DI110</f>
        <v>2139.45782609381</v>
      </c>
      <c r="DJ143" s="47" t="n">
        <f aca="false">DJ60+DJ67+DJ80+DJ59+DJ110</f>
        <v>2131.26763373715</v>
      </c>
      <c r="DK143" s="47" t="n">
        <f aca="false">DK60+DK67+DK80+DK59+DK110</f>
        <v>2094.22922134031</v>
      </c>
      <c r="DL143" s="47" t="n">
        <f aca="false">DL60+DL67+DL80+DL59+DL110</f>
        <v>2117.49843491076</v>
      </c>
      <c r="DM143" s="47" t="n">
        <f aca="false">DM60+DM67+DM80+DM59+DM110</f>
        <v>2140.76764848121</v>
      </c>
      <c r="DN143" s="47" t="n">
        <f aca="false">DN60+DN67+DN80+DN59+DN110</f>
        <v>2132.52923118543</v>
      </c>
      <c r="DO143" s="47" t="n">
        <f aca="false">DO60+DO67+DO80+DO59+DO110</f>
        <v>2095.17525809415</v>
      </c>
      <c r="DP143" s="47" t="n">
        <f aca="false">DP60+DP67+DP80+DP59+DP110</f>
        <v>2118.45498318409</v>
      </c>
      <c r="DQ143" s="47" t="n">
        <f aca="false">DQ60+DQ67+DQ80+DQ59+DQ110</f>
        <v>2141.73470827402</v>
      </c>
      <c r="DR143" s="47" t="n">
        <f aca="false">DR60+DR67+DR80+DR59+DR110</f>
        <v>2133.4479869401</v>
      </c>
      <c r="DS143" s="47" t="n">
        <f aca="false">DS60+DS67+DS80+DS59+DS110</f>
        <v>2095.77535956</v>
      </c>
      <c r="DT143" s="47" t="n">
        <f aca="false">DT60+DT67+DT80+DT59+DT110</f>
        <v>2119.061752444</v>
      </c>
      <c r="DU143" s="47" t="n">
        <f aca="false">DU60+DU67+DU80+DU59+DU110</f>
        <v>2142.348145328</v>
      </c>
      <c r="DV143" s="47" t="n">
        <f aca="false">DV60+DV67+DV80+DV59+DV110</f>
        <v>2134.01304575269</v>
      </c>
      <c r="DW143" s="47" t="n">
        <f aca="false">DW60+DW67+DW80+DW59+DW110</f>
        <v>2119.30772157993</v>
      </c>
      <c r="DX143" s="47" t="n">
        <f aca="false">DX60+DX67+DX80+DX59+DX110</f>
        <v>2119.30772157993</v>
      </c>
      <c r="DY143" s="47" t="n">
        <f aca="false">DY60+DY67+DY80+DY59+DY110</f>
        <v>2142.59681742147</v>
      </c>
      <c r="DZ143" s="47" t="n">
        <f aca="false">DZ60+DZ67+DZ80+DZ59+DZ110</f>
        <v>2134.2132704514</v>
      </c>
      <c r="EA143" s="47" t="n">
        <f aca="false">EA60+EA67+EA80+EA59+EA110</f>
        <v>2095.89387383467</v>
      </c>
      <c r="EB143" s="47" t="n">
        <f aca="false">EB60+EB67+EB80+EB59+EB110</f>
        <v>2119.18158354395</v>
      </c>
      <c r="EC143" s="47" t="n">
        <f aca="false">EC60+EC67+EC80+EC59+EC110</f>
        <v>2142.46929325322</v>
      </c>
      <c r="ED143" s="47" t="n">
        <f aca="false">ED60+ED67+ED80+ED59+ED110</f>
        <v>2134.03723494271</v>
      </c>
      <c r="EE143" s="47" t="n">
        <f aca="false">EE60+EE67+EE80+EE59+EE110</f>
        <v>2095.38963124086</v>
      </c>
      <c r="EF143" s="47" t="n">
        <f aca="false">EF60+EF67+EF80+EF59+EF110</f>
        <v>2118.67173825464</v>
      </c>
      <c r="EG143" s="47" t="n">
        <f aca="false">EG60+EG67+EG80+EG59+EG110</f>
        <v>2141.95384526843</v>
      </c>
      <c r="EH143" s="47" t="n">
        <f aca="false">EH60+EH67+EH80+EH59+EH110</f>
        <v>2133.47321704111</v>
      </c>
      <c r="EI143" s="47" t="n">
        <f aca="false">EI60+EI67+EI80+EI59+EI110</f>
        <v>2094.49412834513</v>
      </c>
      <c r="EJ143" s="47" t="n">
        <f aca="false">EJ60+EJ67+EJ80+EJ59+EJ110</f>
        <v>2117.76628532674</v>
      </c>
      <c r="EK143" s="47" t="n">
        <f aca="false">EK60+EK67+EK80+EK59+EK110</f>
        <v>2141.03844230835</v>
      </c>
      <c r="EL143" s="47" t="n">
        <f aca="false">EL60+EL67+EL80+EL59+EL110</f>
        <v>2132.50919112262</v>
      </c>
      <c r="EM143" s="47" t="n">
        <f aca="false">EM60+EM67+EM80+EM59+EM110</f>
        <v>2116.45301662203</v>
      </c>
      <c r="EN143" s="47" t="n">
        <f aca="false">EN60+EN67+EN80+EN59+EN110</f>
        <v>2116.45301662203</v>
      </c>
      <c r="EO143" s="47" t="n">
        <f aca="false">EO60+EO67+EO80+EO59+EO110</f>
        <v>2139.71074207942</v>
      </c>
    </row>
    <row r="144" customFormat="false" ht="15" hidden="false" customHeight="false" outlineLevel="0" collapsed="false">
      <c r="C144" s="25" t="s">
        <v>91</v>
      </c>
      <c r="D144" s="11" t="s">
        <v>27</v>
      </c>
      <c r="E144" s="33" t="n">
        <f aca="false">XIRR($J143:$EO143,$J$4:$EO$4)</f>
        <v>0.0715653537317432</v>
      </c>
    </row>
    <row r="145" customFormat="false" ht="15" hidden="false" customHeight="false" outlineLevel="0" collapsed="false">
      <c r="C145" s="25" t="s">
        <v>488</v>
      </c>
      <c r="D145" s="11" t="s">
        <v>33</v>
      </c>
      <c r="I145" s="56" t="n">
        <f aca="false">SUM(J145:EO145)</f>
        <v>130210.653239725</v>
      </c>
      <c r="J145" s="56" t="n">
        <f aca="false">J60+J67+J93+J97+J98+J80+J91+J99+J59+J110</f>
        <v>-4662.80993807469</v>
      </c>
      <c r="K145" s="56" t="n">
        <f aca="false">K60+K67+K93+K97+K98+K80+K91+K99+K59+K110</f>
        <v>-706.535577057768</v>
      </c>
      <c r="L145" s="56" t="n">
        <f aca="false">L60+L67+L93+L97+L98+L80+L91+L99+L59+L110</f>
        <v>-104.360496659404</v>
      </c>
      <c r="M145" s="56" t="n">
        <f aca="false">M60+M67+M93+M97+M98+M80+M91+M99+M59+M110</f>
        <v>-105.507315304013</v>
      </c>
      <c r="N145" s="56" t="n">
        <f aca="false">N60+N67+N93+N97+N98+N80+N91+N99+N59+N110</f>
        <v>-105.507315304013</v>
      </c>
      <c r="O145" s="56" t="n">
        <f aca="false">O60+O67+O93+O97+O98+O80+O91+O99+O59+O110</f>
        <v>-104.360496659404</v>
      </c>
      <c r="P145" s="56" t="n">
        <f aca="false">P60+P67+P93+P97+P98+P80+P91+P99+P59+P110</f>
        <v>-104.360496659404</v>
      </c>
      <c r="Q145" s="56" t="n">
        <f aca="false">Q60+Q67+Q93+Q97+Q98+Q80+Q91+Q99+Q59+Q110</f>
        <v>-105.507315304013</v>
      </c>
      <c r="R145" s="56" t="n">
        <f aca="false">R60+R67+R93+R97+R98+R80+R91+R99+R59+R110</f>
        <v>-6343.24141455136</v>
      </c>
      <c r="S145" s="56" t="n">
        <f aca="false">S60+S67+S93+S97+S98+S80+S91+S99+S59+S110</f>
        <v>-8866.86817882802</v>
      </c>
      <c r="T145" s="56" t="n">
        <f aca="false">T60+T67+T93+T97+T98+T80+T91+T99+T59+T110</f>
        <v>-5231.13156786321</v>
      </c>
      <c r="U145" s="56" t="n">
        <f aca="false">U60+U67+U93+U97+U98+U80+U91+U99+U59+U110</f>
        <v>-5274.56210977118</v>
      </c>
      <c r="V145" s="56" t="n">
        <f aca="false">V60+V67+V93+V97+V98+V80+V91+V99+V59+V110</f>
        <v>-5260.35324521498</v>
      </c>
      <c r="W145" s="56" t="n">
        <f aca="false">W60+W67+W93+W97+W98+W80+W91+W99+W59+W110</f>
        <v>-5133.13969486067</v>
      </c>
      <c r="X145" s="56" t="n">
        <f aca="false">X60+X67+X93+X97+X98+X80+X91+X99+X59+X110</f>
        <v>-5176.42569086062</v>
      </c>
      <c r="Y145" s="56" t="n">
        <f aca="false">Y60+Y67+Y93+Y97+Y98+Y80+Y91+Y99+Y59+Y110</f>
        <v>-7571.50201868841</v>
      </c>
      <c r="Z145" s="56" t="n">
        <f aca="false">Z60+Z67+Z93+Z97+Z98+Z80+Z91+Z99+Z59+Z110</f>
        <v>1114.75080337035</v>
      </c>
      <c r="AA145" s="56" t="n">
        <f aca="false">AA60+AA67+AA93+AA97+AA98+AA80+AA91+AA99+AA59+AA110</f>
        <v>1097.8265968372</v>
      </c>
      <c r="AB145" s="56" t="n">
        <f aca="false">AB60+AB67+AB93+AB97+AB98+AB80+AB91+AB99+AB59+AB110</f>
        <v>1109.52106589521</v>
      </c>
      <c r="AC145" s="56" t="n">
        <f aca="false">AC60+AC67+AC93+AC97+AC98+AC80+AC91+AC99+AC59+AC110</f>
        <v>1121.20706687541</v>
      </c>
      <c r="AD145" s="56" t="n">
        <f aca="false">AD60+AD67+AD93+AD97+AD98+AD80+AD91+AD99+AD59+AD110</f>
        <v>1117.2411954589</v>
      </c>
      <c r="AE145" s="56" t="n">
        <f aca="false">AE60+AE67+AE93+AE97+AE98+AE80+AE91+AE99+AE59+AE110</f>
        <v>1112.11974335334</v>
      </c>
      <c r="AF145" s="56" t="n">
        <f aca="false">AF60+AF67+AF93+AF97+AF98+AF80+AF91+AF99+AF59+AF110</f>
        <v>1111.8834469817</v>
      </c>
      <c r="AG145" s="56" t="n">
        <f aca="false">AG60+AG67+AG93+AG97+AG98+AG80+AG91+AG99+AG59+AG110</f>
        <v>1123.59283736422</v>
      </c>
      <c r="AH145" s="56" t="n">
        <f aca="false">AH60+AH67+AH93+AH97+AH98+AH80+AH91+AH99+AH59+AH110</f>
        <v>1119.59031026113</v>
      </c>
      <c r="AI145" s="56" t="n">
        <f aca="false">AI60+AI67+AI93+AI97+AI98+AI80+AI91+AI99+AI59+AI110</f>
        <v>1102.37273464769</v>
      </c>
      <c r="AJ145" s="56" t="n">
        <f aca="false">AJ60+AJ67+AJ93+AJ97+AJ98+AJ80+AJ91+AJ99+AJ59+AJ110</f>
        <v>1128.7106981398</v>
      </c>
      <c r="AK145" s="56" t="n">
        <f aca="false">AK60+AK67+AK93+AK97+AK98+AK80+AK91+AK99+AK59+AK110</f>
        <v>1140.59525642822</v>
      </c>
      <c r="AL145" s="56" t="n">
        <f aca="false">AL60+AL67+AL93+AL97+AL98+AL80+AL91+AL99+AL59+AL110</f>
        <v>1122.47948995535</v>
      </c>
      <c r="AM145" s="56" t="n">
        <f aca="false">AM60+AM67+AM93+AM97+AM98+AM80+AM91+AM99+AM59+AM110</f>
        <v>1104.7853599613</v>
      </c>
      <c r="AN145" s="56" t="n">
        <f aca="false">AN60+AN67+AN93+AN97+AN98+AN80+AN91+AN99+AN59+AN110</f>
        <v>1116.03858930328</v>
      </c>
      <c r="AO145" s="56" t="n">
        <f aca="false">AO60+AO67+AO93+AO97+AO98+AO80+AO91+AO99+AO59+AO110</f>
        <v>1127.27431729774</v>
      </c>
      <c r="AP145" s="56" t="n">
        <f aca="false">AP60+AP67+AP93+AP97+AP98+AP80+AP91+AP99+AP59+AP110</f>
        <v>1123.22962484059</v>
      </c>
      <c r="AQ145" s="56" t="n">
        <f aca="false">AQ60+AQ67+AQ93+AQ97+AQ98+AQ80+AQ91+AQ99+AQ59+AQ110</f>
        <v>1105.38240405458</v>
      </c>
      <c r="AR145" s="56" t="n">
        <f aca="false">AR60+AR67+AR93+AR97+AR98+AR80+AR91+AR99+AR59+AR110</f>
        <v>1116.63869015926</v>
      </c>
      <c r="AS145" s="56" t="n">
        <f aca="false">AS60+AS67+AS93+AS97+AS98+AS80+AS91+AS99+AS59+AS110</f>
        <v>1127.87712815524</v>
      </c>
      <c r="AT145" s="56" t="n">
        <f aca="false">AT60+AT67+AT93+AT97+AT98+AT80+AT91+AT99+AT59+AT110</f>
        <v>1123.7822854492</v>
      </c>
      <c r="AU145" s="56" t="n">
        <f aca="false">AU60+AU67+AU93+AU97+AU98+AU80+AU91+AU99+AU59+AU110</f>
        <v>1117.60859072194</v>
      </c>
      <c r="AV145" s="56" t="n">
        <f aca="false">AV60+AV67+AV93+AV97+AV98+AV80+AV91+AV99+AV59+AV110</f>
        <v>1117.02518781804</v>
      </c>
      <c r="AW145" s="56" t="n">
        <f aca="false">AW60+AW67+AW93+AW97+AW98+AW80+AW91+AW99+AW59+AW110</f>
        <v>1128.26400971628</v>
      </c>
      <c r="AX145" s="56" t="n">
        <f aca="false">AX60+AX67+AX93+AX97+AX98+AX80+AX91+AX99+AX59+AX110</f>
        <v>1124.11758226015</v>
      </c>
      <c r="AY145" s="56" t="n">
        <f aca="false">AY60+AY67+AY93+AY97+AY98+AY80+AY91+AY99+AY59+AY110</f>
        <v>1105.9569934786</v>
      </c>
      <c r="AZ145" s="56" t="n">
        <f aca="false">AZ60+AZ67+AZ93+AZ97+AZ98+AZ80+AZ91+AZ99+AZ59+AZ110</f>
        <v>1117.21262809555</v>
      </c>
      <c r="BA145" s="56" t="n">
        <f aca="false">BA60+BA67+BA93+BA97+BA98+BA80+BA91+BA99+BA59+BA110</f>
        <v>1128.44968017001</v>
      </c>
      <c r="BB145" s="56" t="n">
        <f aca="false">BB60+BB67+BB93+BB97+BB98+BB80+BB91+BB99+BB59+BB110</f>
        <v>1124.25044474857</v>
      </c>
      <c r="BC145" s="56" t="n">
        <f aca="false">BC60+BC67+BC93+BC97+BC98+BC80+BC91+BC99+BC59+BC110</f>
        <v>1105.92957139932</v>
      </c>
      <c r="BD145" s="56" t="n">
        <f aca="false">BD60+BD67+BD93+BD97+BD98+BD80+BD91+BD99+BD59+BD110</f>
        <v>1117.18144947512</v>
      </c>
      <c r="BE145" s="56" t="n">
        <f aca="false">BE60+BE67+BE93+BE97+BE98+BE80+BE91+BE99+BE59+BE110</f>
        <v>1128.41435767178</v>
      </c>
      <c r="BF145" s="56" t="n">
        <f aca="false">BF60+BF67+BF93+BF97+BF98+BF80+BF91+BF99+BF59+BF110</f>
        <v>1124.16090612835</v>
      </c>
      <c r="BG145" s="56" t="n">
        <f aca="false">BG60+BG67+BG93+BG97+BG98+BG80+BG91+BG99+BG59+BG110</f>
        <v>1105.67720967452</v>
      </c>
      <c r="BH145" s="56" t="n">
        <f aca="false">BH60+BH67+BH93+BH97+BH98+BH80+BH91+BH99+BH59+BH110</f>
        <v>1116.92287591532</v>
      </c>
      <c r="BI145" s="56" t="n">
        <f aca="false">BI60+BI67+BI93+BI97+BI98+BI80+BI91+BI99+BI59+BI110</f>
        <v>1128.14917020567</v>
      </c>
      <c r="BJ145" s="56" t="n">
        <f aca="false">BJ60+BJ67+BJ93+BJ97+BJ98+BJ80+BJ91+BJ99+BJ59+BJ110</f>
        <v>1123.84003624945</v>
      </c>
      <c r="BK145" s="56" t="n">
        <f aca="false">BK60+BK67+BK93+BK97+BK98+BK80+BK91+BK99+BK59+BK110</f>
        <v>1117.12770670535</v>
      </c>
      <c r="BL145" s="56" t="n">
        <f aca="false">BL60+BL67+BL93+BL97+BL98+BL80+BL91+BL99+BL59+BL110</f>
        <v>1116.4160740436</v>
      </c>
      <c r="BM145" s="56" t="n">
        <f aca="false">BM60+BM67+BM93+BM97+BM98+BM80+BM91+BM99+BM59+BM110</f>
        <v>1127.63304969013</v>
      </c>
      <c r="BN145" s="56" t="n">
        <f aca="false">BN60+BN67+BN93+BN97+BN98+BN80+BN91+BN99+BN59+BN110</f>
        <v>1123.26656961093</v>
      </c>
      <c r="BO145" s="56" t="n">
        <f aca="false">BO60+BO67+BO93+BO97+BO98+BO80+BO91+BO99+BO59+BO110</f>
        <v>1104.44916625253</v>
      </c>
      <c r="BP145" s="56" t="n">
        <f aca="false">BP60+BP67+BP93+BP97+BP98+BP80+BP91+BP99+BP59+BP110</f>
        <v>1115.67450350859</v>
      </c>
      <c r="BQ145" s="56" t="n">
        <f aca="false">BQ60+BQ67+BQ93+BQ97+BQ98+BQ80+BQ91+BQ99+BQ59+BQ110</f>
        <v>1126.87961617236</v>
      </c>
      <c r="BR145" s="56" t="n">
        <f aca="false">BR60+BR67+BR93+BR97+BR98+BR80+BR91+BR99+BR59+BR110</f>
        <v>1122.45432957198</v>
      </c>
      <c r="BS145" s="56" t="n">
        <f aca="false">BS60+BS67+BS93+BS97+BS98+BS80+BS91+BS99+BS59+BS110</f>
        <v>1103.46601302196</v>
      </c>
      <c r="BT145" s="56" t="n">
        <f aca="false">BT60+BT67+BT93+BT97+BT98+BT80+BT91+BT99+BT59+BT110</f>
        <v>1114.67715698174</v>
      </c>
      <c r="BU145" s="56" t="n">
        <f aca="false">BU60+BU67+BU93+BU97+BU98+BU80+BU91+BU99+BU59+BU110</f>
        <v>1125.86762589234</v>
      </c>
      <c r="BV145" s="56" t="n">
        <f aca="false">BV60+BV67+BV93+BV97+BV98+BV80+BV91+BV99+BV59+BV110</f>
        <v>1121.381875384</v>
      </c>
      <c r="BW145" s="56" t="n">
        <f aca="false">BW60+BW67+BW93+BW97+BW98+BW80+BW91+BW99+BW59+BW110</f>
        <v>1102.21978428504</v>
      </c>
      <c r="BX145" s="56" t="n">
        <f aca="false">BX60+BX67+BX93+BX97+BX98+BX80+BX91+BX99+BX59+BX110</f>
        <v>1113.41386024569</v>
      </c>
      <c r="BY145" s="56" t="n">
        <f aca="false">BY60+BY67+BY93+BY97+BY98+BY80+BY91+BY99+BY59+BY110</f>
        <v>1124.58679311705</v>
      </c>
      <c r="BZ145" s="56" t="n">
        <f aca="false">BZ60+BZ67+BZ93+BZ97+BZ98+BZ80+BZ91+BZ99+BZ59+BZ110</f>
        <v>1120.03885180724</v>
      </c>
      <c r="CA145" s="56" t="n">
        <f aca="false">CA60+CA67+CA93+CA97+CA98+CA80+CA91+CA99+CA59+CA110</f>
        <v>1112.72610830476</v>
      </c>
      <c r="CB145" s="56" t="n">
        <f aca="false">CB60+CB67+CB93+CB97+CB98+CB80+CB91+CB99+CB59+CB110</f>
        <v>1111.86223817428</v>
      </c>
      <c r="CC145" s="56" t="n">
        <f aca="false">CC60+CC67+CC93+CC97+CC98+CC80+CC91+CC99+CC59+CC110</f>
        <v>1123.01449083054</v>
      </c>
      <c r="CD145" s="56" t="n">
        <f aca="false">CD60+CD67+CD93+CD97+CD98+CD80+CD91+CD99+CD59+CD110</f>
        <v>1118.40242148354</v>
      </c>
      <c r="CE145" s="56" t="n">
        <f aca="false">CE60+CE67+CE93+CE97+CE98+CE80+CE91+CE99+CE59+CE110</f>
        <v>1098.88369886166</v>
      </c>
      <c r="CF145" s="56" t="n">
        <f aca="false">CF60+CF67+CF93+CF97+CF98+CF80+CF91+CF99+CF59+CF110</f>
        <v>1110.03440943343</v>
      </c>
      <c r="CG145" s="56" t="n">
        <f aca="false">CG60+CG67+CG93+CG97+CG98+CG80+CG91+CG99+CG59+CG110</f>
        <v>1121.16298324323</v>
      </c>
      <c r="CH145" s="56" t="n">
        <f aca="false">CH60+CH67+CH93+CH97+CH98+CH80+CH91+CH99+CH59+CH110</f>
        <v>1116.48504147701</v>
      </c>
      <c r="CI145" s="56" t="n">
        <f aca="false">CI60+CI67+CI93+CI97+CI98+CI80+CI91+CI99+CI59+CI110</f>
        <v>1096.78340591558</v>
      </c>
      <c r="CJ145" s="56" t="n">
        <f aca="false">CJ60+CJ67+CJ93+CJ97+CJ98+CJ80+CJ91+CJ99+CJ59+CJ110</f>
        <v>1107.90770989223</v>
      </c>
      <c r="CK145" s="56" t="n">
        <f aca="false">CK60+CK67+CK93+CK97+CK98+CK80+CK91+CK99+CK59+CK110</f>
        <v>1119.00935131593</v>
      </c>
      <c r="CL145" s="56" t="n">
        <f aca="false">CL60+CL67+CL93+CL97+CL98+CL80+CL91+CL99+CL59+CL110</f>
        <v>1114.26358175083</v>
      </c>
      <c r="CM145" s="56" t="n">
        <f aca="false">CM60+CM67+CM93+CM97+CM98+CM80+CM91+CM99+CM59+CM110</f>
        <v>1094.3757938992</v>
      </c>
      <c r="CN145" s="56" t="n">
        <f aca="false">CN60+CN67+CN93+CN97+CN98+CN80+CN91+CN99+CN59+CN110</f>
        <v>1105.47032899885</v>
      </c>
      <c r="CO145" s="56" t="n">
        <f aca="false">CO60+CO67+CO93+CO97+CO98+CO80+CO91+CO99+CO59+CO110</f>
        <v>1116.54165475519</v>
      </c>
      <c r="CP145" s="56" t="n">
        <f aca="false">CP60+CP67+CP93+CP97+CP98+CP80+CP91+CP99+CP59+CP110</f>
        <v>1111.72601886595</v>
      </c>
      <c r="CQ145" s="56" t="n">
        <f aca="false">CQ60+CQ67+CQ93+CQ97+CQ98+CQ80+CQ91+CQ99+CQ59+CQ110</f>
        <v>1103.7428080468</v>
      </c>
      <c r="CR145" s="56" t="n">
        <f aca="false">CR60+CR67+CR93+CR97+CR98+CR80+CR91+CR99+CR59+CR110</f>
        <v>1102.69812246139</v>
      </c>
      <c r="CS145" s="56" t="n">
        <f aca="false">CS60+CS67+CS93+CS97+CS98+CS80+CS91+CS99+CS59+CS110</f>
        <v>2340.98242704225</v>
      </c>
      <c r="CT145" s="56" t="n">
        <f aca="false">CT60+CT67+CT93+CT97+CT98+CT80+CT91+CT99+CT59+CT110</f>
        <v>2329.59585287149</v>
      </c>
      <c r="CU145" s="56" t="n">
        <f aca="false">CU60+CU67+CU93+CU97+CU98+CU80+CU91+CU99+CU59+CU110</f>
        <v>2289.29840831076</v>
      </c>
      <c r="CV145" s="56" t="n">
        <f aca="false">CV60+CV67+CV93+CV97+CV98+CV80+CV91+CV99+CV59+CV110</f>
        <v>2314.73505729199</v>
      </c>
      <c r="CW145" s="56" t="n">
        <f aca="false">CW60+CW67+CW93+CW97+CW98+CW80+CW91+CW99+CW59+CW110</f>
        <v>2340.17170627322</v>
      </c>
      <c r="CX145" s="56" t="n">
        <f aca="false">CX60+CX67+CX93+CX97+CX98+CX80+CX91+CX99+CX59+CX110</f>
        <v>2332.12566741845</v>
      </c>
      <c r="CY145" s="56" t="n">
        <f aca="false">CY60+CY67+CY93+CY97+CY98+CY80+CY91+CY99+CY59+CY110</f>
        <v>2291.52460580205</v>
      </c>
      <c r="CZ145" s="56" t="n">
        <f aca="false">CZ60+CZ67+CZ93+CZ97+CZ98+CZ80+CZ91+CZ99+CZ59+CZ110</f>
        <v>2316.98599031096</v>
      </c>
      <c r="DA145" s="56" t="n">
        <f aca="false">DA60+DA67+DA93+DA97+DA98+DA80+DA91+DA99+DA59+DA110</f>
        <v>2342.44737481988</v>
      </c>
      <c r="DB145" s="56" t="n">
        <f aca="false">DB60+DB67+DB93+DB97+DB98+DB80+DB91+DB99+DB59+DB110</f>
        <v>2127.75796595667</v>
      </c>
      <c r="DC145" s="56" t="n">
        <f aca="false">DC60+DC67+DC93+DC97+DC98+DC80+DC91+DC99+DC59+DC110</f>
        <v>2091.34156892558</v>
      </c>
      <c r="DD145" s="56" t="n">
        <f aca="false">DD60+DD67+DD93+DD97+DD98+DD80+DD91+DD99+DD59+DD110</f>
        <v>2114.5786974692</v>
      </c>
      <c r="DE145" s="56" t="n">
        <f aca="false">DE60+DE67+DE93+DE97+DE98+DE80+DE91+DE99+DE59+DE110</f>
        <v>2137.81582601281</v>
      </c>
      <c r="DF145" s="56" t="n">
        <f aca="false">DF60+DF67+DF93+DF97+DF98+DF80+DF91+DF99+DF59+DF110</f>
        <v>2129.67377475099</v>
      </c>
      <c r="DG145" s="56" t="n">
        <f aca="false">DG60+DG67+DG93+DG97+DG98+DG80+DG91+DG99+DG59+DG110</f>
        <v>2116.20284972323</v>
      </c>
      <c r="DH145" s="56" t="n">
        <f aca="false">DH60+DH67+DH93+DH97+DH98+DH80+DH91+DH99+DH59+DH110</f>
        <v>2116.20284972323</v>
      </c>
      <c r="DI145" s="56" t="n">
        <f aca="false">DI60+DI67+DI93+DI97+DI98+DI80+DI91+DI99+DI59+DI110</f>
        <v>2139.45782609381</v>
      </c>
      <c r="DJ145" s="56" t="n">
        <f aca="false">DJ60+DJ67+DJ93+DJ97+DJ98+DJ80+DJ91+DJ99+DJ59+DJ110</f>
        <v>2131.26763373715</v>
      </c>
      <c r="DK145" s="56" t="n">
        <f aca="false">DK60+DK67+DK93+DK97+DK98+DK80+DK91+DK99+DK59+DK110</f>
        <v>2094.22922134031</v>
      </c>
      <c r="DL145" s="56" t="n">
        <f aca="false">DL60+DL67+DL93+DL97+DL98+DL80+DL91+DL99+DL59+DL110</f>
        <v>2117.49843491076</v>
      </c>
      <c r="DM145" s="56" t="n">
        <f aca="false">DM60+DM67+DM93+DM97+DM98+DM80+DM91+DM99+DM59+DM110</f>
        <v>2140.76764848121</v>
      </c>
      <c r="DN145" s="56" t="n">
        <f aca="false">DN60+DN67+DN93+DN97+DN98+DN80+DN91+DN99+DN59+DN110</f>
        <v>2132.52923118543</v>
      </c>
      <c r="DO145" s="56" t="n">
        <f aca="false">DO60+DO67+DO93+DO97+DO98+DO80+DO91+DO99+DO59+DO110</f>
        <v>2095.17525809415</v>
      </c>
      <c r="DP145" s="56" t="n">
        <f aca="false">DP60+DP67+DP93+DP97+DP98+DP80+DP91+DP99+DP59+DP110</f>
        <v>2118.45498318409</v>
      </c>
      <c r="DQ145" s="56" t="n">
        <f aca="false">DQ60+DQ67+DQ93+DQ97+DQ98+DQ80+DQ91+DQ99+DQ59+DQ110</f>
        <v>2141.73470827402</v>
      </c>
      <c r="DR145" s="56" t="n">
        <f aca="false">DR60+DR67+DR93+DR97+DR98+DR80+DR91+DR99+DR59+DR110</f>
        <v>2133.4479869401</v>
      </c>
      <c r="DS145" s="56" t="n">
        <f aca="false">DS60+DS67+DS93+DS97+DS98+DS80+DS91+DS99+DS59+DS110</f>
        <v>2095.77535956</v>
      </c>
      <c r="DT145" s="56" t="n">
        <f aca="false">DT60+DT67+DT93+DT97+DT98+DT80+DT91+DT99+DT59+DT110</f>
        <v>2119.061752444</v>
      </c>
      <c r="DU145" s="56" t="n">
        <f aca="false">DU60+DU67+DU93+DU97+DU98+DU80+DU91+DU99+DU59+DU110</f>
        <v>2142.348145328</v>
      </c>
      <c r="DV145" s="56" t="n">
        <f aca="false">DV60+DV67+DV93+DV97+DV98+DV80+DV91+DV99+DV59+DV110</f>
        <v>2134.01304575269</v>
      </c>
      <c r="DW145" s="56" t="n">
        <f aca="false">DW60+DW67+DW93+DW97+DW98+DW80+DW91+DW99+DW59+DW110</f>
        <v>2119.30772157993</v>
      </c>
      <c r="DX145" s="56" t="n">
        <f aca="false">DX60+DX67+DX93+DX97+DX98+DX80+DX91+DX99+DX59+DX110</f>
        <v>2119.30772157993</v>
      </c>
      <c r="DY145" s="56" t="n">
        <f aca="false">DY60+DY67+DY93+DY97+DY98+DY80+DY91+DY99+DY59+DY110</f>
        <v>2142.59681742147</v>
      </c>
      <c r="DZ145" s="56" t="n">
        <f aca="false">DZ60+DZ67+DZ93+DZ97+DZ98+DZ80+DZ91+DZ99+DZ59+DZ110</f>
        <v>2134.2132704514</v>
      </c>
      <c r="EA145" s="56" t="n">
        <f aca="false">EA60+EA67+EA93+EA97+EA98+EA80+EA91+EA99+EA59+EA110</f>
        <v>2095.89387383467</v>
      </c>
      <c r="EB145" s="56" t="n">
        <f aca="false">EB60+EB67+EB93+EB97+EB98+EB80+EB91+EB99+EB59+EB110</f>
        <v>2119.18158354395</v>
      </c>
      <c r="EC145" s="56" t="n">
        <f aca="false">EC60+EC67+EC93+EC97+EC98+EC80+EC91+EC99+EC59+EC110</f>
        <v>2142.46929325322</v>
      </c>
      <c r="ED145" s="56" t="n">
        <f aca="false">ED60+ED67+ED93+ED97+ED98+ED80+ED91+ED99+ED59+ED110</f>
        <v>2134.03723494271</v>
      </c>
      <c r="EE145" s="56" t="n">
        <f aca="false">EE60+EE67+EE93+EE97+EE98+EE80+EE91+EE99+EE59+EE110</f>
        <v>2095.38963124086</v>
      </c>
      <c r="EF145" s="56" t="n">
        <f aca="false">EF60+EF67+EF93+EF97+EF98+EF80+EF91+EF99+EF59+EF110</f>
        <v>2118.67173825464</v>
      </c>
      <c r="EG145" s="56" t="n">
        <f aca="false">EG60+EG67+EG93+EG97+EG98+EG80+EG91+EG99+EG59+EG110</f>
        <v>2141.95384526843</v>
      </c>
      <c r="EH145" s="56" t="n">
        <f aca="false">EH60+EH67+EH93+EH97+EH98+EH80+EH91+EH99+EH59+EH110</f>
        <v>2133.47321704111</v>
      </c>
      <c r="EI145" s="56" t="n">
        <f aca="false">EI60+EI67+EI93+EI97+EI98+EI80+EI91+EI99+EI59+EI110</f>
        <v>2094.49412834513</v>
      </c>
      <c r="EJ145" s="56" t="n">
        <f aca="false">EJ60+EJ67+EJ93+EJ97+EJ98+EJ80+EJ91+EJ99+EJ59+EJ110</f>
        <v>2117.76628532674</v>
      </c>
      <c r="EK145" s="56" t="n">
        <f aca="false">EK60+EK67+EK93+EK97+EK98+EK80+EK91+EK99+EK59+EK110</f>
        <v>2141.03844230835</v>
      </c>
      <c r="EL145" s="56" t="n">
        <f aca="false">EL60+EL67+EL93+EL97+EL98+EL80+EL91+EL99+EL59+EL110</f>
        <v>2132.50919112262</v>
      </c>
      <c r="EM145" s="56" t="n">
        <f aca="false">EM60+EM67+EM93+EM97+EM98+EM80+EM91+EM99+EM59+EM110</f>
        <v>2116.45301662203</v>
      </c>
      <c r="EN145" s="56" t="n">
        <f aca="false">EN60+EN67+EN93+EN97+EN98+EN80+EN91+EN99+EN59+EN110</f>
        <v>2116.45301662203</v>
      </c>
      <c r="EO145" s="56" t="n">
        <f aca="false">EO60+EO67+EO93+EO97+EO98+EO80+EO91+EO99+EO59+EO110</f>
        <v>2139.71074207942</v>
      </c>
    </row>
    <row r="146" customFormat="false" ht="15" hidden="false" customHeight="false" outlineLevel="0" collapsed="false">
      <c r="C146" s="25" t="s">
        <v>88</v>
      </c>
      <c r="D146" s="11" t="s">
        <v>27</v>
      </c>
      <c r="E146" s="33" t="n">
        <f aca="false">XIRR($J145:$EO145,$J$4:$EO$4)</f>
        <v>0.0798286717747287</v>
      </c>
    </row>
    <row r="147" customFormat="false" ht="15" hidden="false" customHeight="false" outlineLevel="0" collapsed="false">
      <c r="C147" s="25" t="s">
        <v>89</v>
      </c>
      <c r="D147" s="11" t="s">
        <v>13</v>
      </c>
      <c r="E147" s="59" t="n">
        <f aca="false">SUMIF($J145:$EO145,"&gt;0")/-SUMIF($J145:$EO145,"&lt;0")</f>
        <v>3.37367367104446</v>
      </c>
    </row>
    <row r="148" customFormat="false" ht="15" hidden="false" customHeight="false" outlineLevel="0" collapsed="false">
      <c r="C148" s="25" t="s">
        <v>90</v>
      </c>
      <c r="D148" s="11" t="s">
        <v>33</v>
      </c>
      <c r="E148" s="56" t="n">
        <f aca="false">XNPV(In_Discount_Rate,$J145:$EO145,$J$4:$EO$4)</f>
        <v>-92.6704545023632</v>
      </c>
    </row>
    <row r="150" customFormat="false" ht="15" hidden="false" customHeight="false" outlineLevel="0" collapsed="false">
      <c r="C150" s="41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6" t="n">
        <v>2</v>
      </c>
      <c r="C1" s="13" t="s">
        <v>381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382</v>
      </c>
      <c r="D3" s="11" t="s">
        <v>38</v>
      </c>
      <c r="J3" s="45" t="n">
        <f aca="false">I$4+1</f>
        <v>46296</v>
      </c>
      <c r="K3" s="45" t="n">
        <f aca="false">J$4+1</f>
        <v>46388</v>
      </c>
      <c r="L3" s="45" t="n">
        <f aca="false">K$4+1</f>
        <v>46478</v>
      </c>
      <c r="M3" s="45" t="n">
        <f aca="false">L$4+1</f>
        <v>46569</v>
      </c>
      <c r="N3" s="45" t="n">
        <f aca="false">M$4+1</f>
        <v>46661</v>
      </c>
      <c r="O3" s="45" t="n">
        <f aca="false">N$4+1</f>
        <v>46753</v>
      </c>
      <c r="P3" s="45" t="n">
        <f aca="false">O$4+1</f>
        <v>46844</v>
      </c>
      <c r="Q3" s="45" t="n">
        <f aca="false">P$4+1</f>
        <v>46935</v>
      </c>
      <c r="R3" s="45" t="n">
        <f aca="false">Q$4+1</f>
        <v>47027</v>
      </c>
      <c r="S3" s="45" t="n">
        <f aca="false">R$4+1</f>
        <v>47119</v>
      </c>
      <c r="T3" s="45" t="n">
        <f aca="false">S$4+1</f>
        <v>47209</v>
      </c>
      <c r="U3" s="45" t="n">
        <f aca="false">T$4+1</f>
        <v>47300</v>
      </c>
      <c r="V3" s="45" t="n">
        <f aca="false">U$4+1</f>
        <v>47392</v>
      </c>
      <c r="W3" s="45" t="n">
        <f aca="false">V$4+1</f>
        <v>47484</v>
      </c>
      <c r="X3" s="45" t="n">
        <f aca="false">W$4+1</f>
        <v>47574</v>
      </c>
      <c r="Y3" s="45" t="n">
        <f aca="false">X$4+1</f>
        <v>47665</v>
      </c>
      <c r="Z3" s="45" t="n">
        <f aca="false">Y$4+1</f>
        <v>47757</v>
      </c>
      <c r="AA3" s="45" t="n">
        <f aca="false">Z$4+1</f>
        <v>47849</v>
      </c>
      <c r="AB3" s="45" t="n">
        <f aca="false">AA$4+1</f>
        <v>47939</v>
      </c>
      <c r="AC3" s="45" t="n">
        <f aca="false">AB$4+1</f>
        <v>48030</v>
      </c>
      <c r="AD3" s="45" t="n">
        <f aca="false">AC$4+1</f>
        <v>48122</v>
      </c>
      <c r="AE3" s="45" t="n">
        <f aca="false">AD$4+1</f>
        <v>48214</v>
      </c>
      <c r="AF3" s="45" t="n">
        <f aca="false">AE$4+1</f>
        <v>48305</v>
      </c>
      <c r="AG3" s="45" t="n">
        <f aca="false">AF$4+1</f>
        <v>48396</v>
      </c>
      <c r="AH3" s="45" t="n">
        <f aca="false">AG$4+1</f>
        <v>48488</v>
      </c>
      <c r="AI3" s="45" t="n">
        <f aca="false">AH$4+1</f>
        <v>48580</v>
      </c>
      <c r="AJ3" s="45" t="n">
        <f aca="false">AI$4+1</f>
        <v>48670</v>
      </c>
      <c r="AK3" s="45" t="n">
        <f aca="false">AJ$4+1</f>
        <v>48761</v>
      </c>
      <c r="AL3" s="45" t="n">
        <f aca="false">AK$4+1</f>
        <v>48853</v>
      </c>
      <c r="AM3" s="45" t="n">
        <f aca="false">AL$4+1</f>
        <v>48945</v>
      </c>
      <c r="AN3" s="45" t="n">
        <f aca="false">AM$4+1</f>
        <v>49035</v>
      </c>
      <c r="AO3" s="45" t="n">
        <f aca="false">AN$4+1</f>
        <v>49126</v>
      </c>
      <c r="AP3" s="45" t="n">
        <f aca="false">AO$4+1</f>
        <v>49218</v>
      </c>
      <c r="AQ3" s="45" t="n">
        <f aca="false">AP$4+1</f>
        <v>49310</v>
      </c>
      <c r="AR3" s="45" t="n">
        <f aca="false">AQ$4+1</f>
        <v>49400</v>
      </c>
      <c r="AS3" s="45" t="n">
        <f aca="false">AR$4+1</f>
        <v>49491</v>
      </c>
      <c r="AT3" s="45" t="n">
        <f aca="false">AS$4+1</f>
        <v>49583</v>
      </c>
      <c r="AU3" s="45" t="n">
        <f aca="false">AT$4+1</f>
        <v>49675</v>
      </c>
      <c r="AV3" s="45" t="n">
        <f aca="false">AU$4+1</f>
        <v>49766</v>
      </c>
      <c r="AW3" s="45" t="n">
        <f aca="false">AV$4+1</f>
        <v>49857</v>
      </c>
      <c r="AX3" s="45" t="n">
        <f aca="false">AW$4+1</f>
        <v>49949</v>
      </c>
      <c r="AY3" s="45" t="n">
        <f aca="false">AX$4+1</f>
        <v>50041</v>
      </c>
      <c r="AZ3" s="45" t="n">
        <f aca="false">AY$4+1</f>
        <v>50131</v>
      </c>
      <c r="BA3" s="45" t="n">
        <f aca="false">AZ$4+1</f>
        <v>50222</v>
      </c>
      <c r="BB3" s="45" t="n">
        <f aca="false">BA$4+1</f>
        <v>50314</v>
      </c>
      <c r="BC3" s="45" t="n">
        <f aca="false">BB$4+1</f>
        <v>50406</v>
      </c>
      <c r="BD3" s="45" t="n">
        <f aca="false">BC$4+1</f>
        <v>50496</v>
      </c>
      <c r="BE3" s="45" t="n">
        <f aca="false">BD$4+1</f>
        <v>50587</v>
      </c>
      <c r="BF3" s="45" t="n">
        <f aca="false">BE$4+1</f>
        <v>50679</v>
      </c>
      <c r="BG3" s="45" t="n">
        <f aca="false">BF$4+1</f>
        <v>50771</v>
      </c>
      <c r="BH3" s="45" t="n">
        <f aca="false">BG$4+1</f>
        <v>50861</v>
      </c>
      <c r="BI3" s="45" t="n">
        <f aca="false">BH$4+1</f>
        <v>50952</v>
      </c>
      <c r="BJ3" s="45" t="n">
        <f aca="false">BI$4+1</f>
        <v>51044</v>
      </c>
      <c r="BK3" s="45" t="n">
        <f aca="false">BJ$4+1</f>
        <v>51136</v>
      </c>
      <c r="BL3" s="45" t="n">
        <f aca="false">BK$4+1</f>
        <v>51227</v>
      </c>
      <c r="BM3" s="45" t="n">
        <f aca="false">BL$4+1</f>
        <v>51318</v>
      </c>
      <c r="BN3" s="45" t="n">
        <f aca="false">BM$4+1</f>
        <v>51410</v>
      </c>
      <c r="BO3" s="45" t="n">
        <f aca="false">BN$4+1</f>
        <v>51502</v>
      </c>
      <c r="BP3" s="45" t="n">
        <f aca="false">BO$4+1</f>
        <v>51592</v>
      </c>
      <c r="BQ3" s="45" t="n">
        <f aca="false">BP$4+1</f>
        <v>51683</v>
      </c>
      <c r="BR3" s="45" t="n">
        <f aca="false">BQ$4+1</f>
        <v>51775</v>
      </c>
      <c r="BS3" s="45" t="n">
        <f aca="false">BR$4+1</f>
        <v>51867</v>
      </c>
      <c r="BT3" s="45" t="n">
        <f aca="false">BS$4+1</f>
        <v>51957</v>
      </c>
      <c r="BU3" s="45" t="n">
        <f aca="false">BT$4+1</f>
        <v>52048</v>
      </c>
      <c r="BV3" s="45" t="n">
        <f aca="false">BU$4+1</f>
        <v>52140</v>
      </c>
      <c r="BW3" s="45" t="n">
        <f aca="false">BV$4+1</f>
        <v>52232</v>
      </c>
      <c r="BX3" s="45" t="n">
        <f aca="false">BW$4+1</f>
        <v>52322</v>
      </c>
      <c r="BY3" s="45" t="n">
        <f aca="false">BX$4+1</f>
        <v>52413</v>
      </c>
      <c r="BZ3" s="45" t="n">
        <f aca="false">BY$4+1</f>
        <v>52505</v>
      </c>
      <c r="CA3" s="45" t="n">
        <f aca="false">BZ$4+1</f>
        <v>52597</v>
      </c>
      <c r="CB3" s="45" t="n">
        <f aca="false">CA$4+1</f>
        <v>52688</v>
      </c>
      <c r="CC3" s="45" t="n">
        <f aca="false">CB$4+1</f>
        <v>52779</v>
      </c>
      <c r="CD3" s="45" t="n">
        <f aca="false">CC$4+1</f>
        <v>52871</v>
      </c>
      <c r="CE3" s="45" t="n">
        <f aca="false">CD$4+1</f>
        <v>52963</v>
      </c>
      <c r="CF3" s="45" t="n">
        <f aca="false">CE$4+1</f>
        <v>53053</v>
      </c>
      <c r="CG3" s="45" t="n">
        <f aca="false">CF$4+1</f>
        <v>53144</v>
      </c>
      <c r="CH3" s="45" t="n">
        <f aca="false">CG$4+1</f>
        <v>53236</v>
      </c>
      <c r="CI3" s="45" t="n">
        <f aca="false">CH$4+1</f>
        <v>53328</v>
      </c>
      <c r="CJ3" s="45" t="n">
        <f aca="false">CI$4+1</f>
        <v>53418</v>
      </c>
      <c r="CK3" s="45" t="n">
        <f aca="false">CJ$4+1</f>
        <v>53509</v>
      </c>
      <c r="CL3" s="45" t="n">
        <f aca="false">CK$4+1</f>
        <v>53601</v>
      </c>
      <c r="CM3" s="45" t="n">
        <f aca="false">CL$4+1</f>
        <v>53693</v>
      </c>
      <c r="CN3" s="45" t="n">
        <f aca="false">CM$4+1</f>
        <v>53783</v>
      </c>
      <c r="CO3" s="45" t="n">
        <f aca="false">CN$4+1</f>
        <v>53874</v>
      </c>
      <c r="CP3" s="45" t="n">
        <f aca="false">CO$4+1</f>
        <v>53966</v>
      </c>
      <c r="CQ3" s="45" t="n">
        <f aca="false">CP$4+1</f>
        <v>54058</v>
      </c>
      <c r="CR3" s="45" t="n">
        <f aca="false">CQ$4+1</f>
        <v>54149</v>
      </c>
      <c r="CS3" s="45" t="n">
        <f aca="false">CR$4+1</f>
        <v>54240</v>
      </c>
      <c r="CT3" s="45" t="n">
        <f aca="false">CS$4+1</f>
        <v>54332</v>
      </c>
      <c r="CU3" s="45" t="n">
        <f aca="false">CT$4+1</f>
        <v>54424</v>
      </c>
      <c r="CV3" s="45" t="n">
        <f aca="false">CU$4+1</f>
        <v>54514</v>
      </c>
      <c r="CW3" s="45" t="n">
        <f aca="false">CV$4+1</f>
        <v>54605</v>
      </c>
      <c r="CX3" s="45" t="n">
        <f aca="false">CW$4+1</f>
        <v>54697</v>
      </c>
      <c r="CY3" s="45" t="n">
        <f aca="false">CX$4+1</f>
        <v>54789</v>
      </c>
      <c r="CZ3" s="45" t="n">
        <f aca="false">CY$4+1</f>
        <v>54879</v>
      </c>
      <c r="DA3" s="45" t="n">
        <f aca="false">CZ$4+1</f>
        <v>54970</v>
      </c>
      <c r="DB3" s="45" t="n">
        <f aca="false">DA$4+1</f>
        <v>55062</v>
      </c>
      <c r="DC3" s="45" t="n">
        <f aca="false">DB$4+1</f>
        <v>55154</v>
      </c>
      <c r="DD3" s="45" t="n">
        <f aca="false">DC$4+1</f>
        <v>55244</v>
      </c>
      <c r="DE3" s="45" t="n">
        <f aca="false">DD$4+1</f>
        <v>55335</v>
      </c>
      <c r="DF3" s="45" t="n">
        <f aca="false">DE$4+1</f>
        <v>55427</v>
      </c>
      <c r="DG3" s="45" t="n">
        <f aca="false">DF$4+1</f>
        <v>55519</v>
      </c>
      <c r="DH3" s="45" t="n">
        <f aca="false">DG$4+1</f>
        <v>55610</v>
      </c>
      <c r="DI3" s="45" t="n">
        <f aca="false">DH$4+1</f>
        <v>55701</v>
      </c>
      <c r="DJ3" s="45" t="n">
        <f aca="false">DI$4+1</f>
        <v>55793</v>
      </c>
      <c r="DK3" s="45" t="n">
        <f aca="false">DJ$4+1</f>
        <v>55885</v>
      </c>
      <c r="DL3" s="45" t="n">
        <f aca="false">DK$4+1</f>
        <v>55975</v>
      </c>
      <c r="DM3" s="45" t="n">
        <f aca="false">DL$4+1</f>
        <v>56066</v>
      </c>
      <c r="DN3" s="45" t="n">
        <f aca="false">DM$4+1</f>
        <v>56158</v>
      </c>
      <c r="DO3" s="45" t="n">
        <f aca="false">DN$4+1</f>
        <v>56250</v>
      </c>
      <c r="DP3" s="45" t="n">
        <f aca="false">DO$4+1</f>
        <v>56340</v>
      </c>
      <c r="DQ3" s="45" t="n">
        <f aca="false">DP$4+1</f>
        <v>56431</v>
      </c>
      <c r="DR3" s="45" t="n">
        <f aca="false">DQ$4+1</f>
        <v>56523</v>
      </c>
      <c r="DS3" s="45" t="n">
        <f aca="false">DR$4+1</f>
        <v>56615</v>
      </c>
      <c r="DT3" s="45" t="n">
        <f aca="false">DS$4+1</f>
        <v>56705</v>
      </c>
      <c r="DU3" s="45" t="n">
        <f aca="false">DT$4+1</f>
        <v>56796</v>
      </c>
      <c r="DV3" s="45" t="n">
        <f aca="false">DU$4+1</f>
        <v>56888</v>
      </c>
      <c r="DW3" s="45" t="n">
        <f aca="false">DV$4+1</f>
        <v>56980</v>
      </c>
      <c r="DX3" s="45" t="n">
        <f aca="false">DW$4+1</f>
        <v>57071</v>
      </c>
      <c r="DY3" s="45" t="n">
        <f aca="false">DX$4+1</f>
        <v>57162</v>
      </c>
      <c r="DZ3" s="45" t="n">
        <f aca="false">DY$4+1</f>
        <v>57254</v>
      </c>
      <c r="EA3" s="45" t="n">
        <f aca="false">DZ$4+1</f>
        <v>57346</v>
      </c>
      <c r="EB3" s="45" t="n">
        <f aca="false">EA$4+1</f>
        <v>57436</v>
      </c>
      <c r="EC3" s="45" t="n">
        <f aca="false">EB$4+1</f>
        <v>57527</v>
      </c>
      <c r="ED3" s="45" t="n">
        <f aca="false">EC$4+1</f>
        <v>57619</v>
      </c>
      <c r="EE3" s="45" t="n">
        <f aca="false">ED$4+1</f>
        <v>57711</v>
      </c>
      <c r="EF3" s="45" t="n">
        <f aca="false">EE$4+1</f>
        <v>57801</v>
      </c>
      <c r="EG3" s="45" t="n">
        <f aca="false">EF$4+1</f>
        <v>57892</v>
      </c>
      <c r="EH3" s="45" t="n">
        <f aca="false">EG$4+1</f>
        <v>57984</v>
      </c>
      <c r="EI3" s="45" t="n">
        <f aca="false">EH$4+1</f>
        <v>58076</v>
      </c>
      <c r="EJ3" s="45" t="n">
        <f aca="false">EI$4+1</f>
        <v>58166</v>
      </c>
      <c r="EK3" s="45" t="n">
        <f aca="false">EJ$4+1</f>
        <v>58257</v>
      </c>
      <c r="EL3" s="45" t="n">
        <f aca="false">EK$4+1</f>
        <v>58349</v>
      </c>
      <c r="EM3" s="45" t="n">
        <f aca="false">EL$4+1</f>
        <v>58441</v>
      </c>
      <c r="EN3" s="45" t="n">
        <f aca="false">EM$4+1</f>
        <v>58532</v>
      </c>
      <c r="EO3" s="45" t="n">
        <f aca="false">EN$4+1</f>
        <v>58623</v>
      </c>
    </row>
    <row r="4" customFormat="false" ht="15" hidden="false" customHeight="false" outlineLevel="0" collapsed="false">
      <c r="C4" s="0" t="s">
        <v>383</v>
      </c>
      <c r="D4" s="11" t="s">
        <v>38</v>
      </c>
      <c r="I4" s="45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384</v>
      </c>
      <c r="D5" s="11" t="s">
        <v>191</v>
      </c>
      <c r="J5" s="43" t="n">
        <f aca="false">J$4-J$3+1</f>
        <v>92</v>
      </c>
      <c r="K5" s="43" t="n">
        <f aca="false">K$4-K$3+1</f>
        <v>90</v>
      </c>
      <c r="L5" s="43" t="n">
        <f aca="false">L$4-L$3+1</f>
        <v>91</v>
      </c>
      <c r="M5" s="43" t="n">
        <f aca="false">M$4-M$3+1</f>
        <v>92</v>
      </c>
      <c r="N5" s="43" t="n">
        <f aca="false">N$4-N$3+1</f>
        <v>92</v>
      </c>
      <c r="O5" s="43" t="n">
        <f aca="false">O$4-O$3+1</f>
        <v>91</v>
      </c>
      <c r="P5" s="43" t="n">
        <f aca="false">P$4-P$3+1</f>
        <v>91</v>
      </c>
      <c r="Q5" s="43" t="n">
        <f aca="false">Q$4-Q$3+1</f>
        <v>92</v>
      </c>
      <c r="R5" s="43" t="n">
        <f aca="false">R$4-R$3+1</f>
        <v>92</v>
      </c>
      <c r="S5" s="43" t="n">
        <f aca="false">S$4-S$3+1</f>
        <v>90</v>
      </c>
      <c r="T5" s="43" t="n">
        <f aca="false">T$4-T$3+1</f>
        <v>91</v>
      </c>
      <c r="U5" s="43" t="n">
        <f aca="false">U$4-U$3+1</f>
        <v>92</v>
      </c>
      <c r="V5" s="43" t="n">
        <f aca="false">V$4-V$3+1</f>
        <v>92</v>
      </c>
      <c r="W5" s="43" t="n">
        <f aca="false">W$4-W$3+1</f>
        <v>90</v>
      </c>
      <c r="X5" s="43" t="n">
        <f aca="false">X$4-X$3+1</f>
        <v>91</v>
      </c>
      <c r="Y5" s="43" t="n">
        <f aca="false">Y$4-Y$3+1</f>
        <v>92</v>
      </c>
      <c r="Z5" s="43" t="n">
        <f aca="false">Z$4-Z$3+1</f>
        <v>92</v>
      </c>
      <c r="AA5" s="43" t="n">
        <f aca="false">AA$4-AA$3+1</f>
        <v>90</v>
      </c>
      <c r="AB5" s="43" t="n">
        <f aca="false">AB$4-AB$3+1</f>
        <v>91</v>
      </c>
      <c r="AC5" s="43" t="n">
        <f aca="false">AC$4-AC$3+1</f>
        <v>92</v>
      </c>
      <c r="AD5" s="43" t="n">
        <f aca="false">AD$4-AD$3+1</f>
        <v>92</v>
      </c>
      <c r="AE5" s="43" t="n">
        <f aca="false">AE$4-AE$3+1</f>
        <v>91</v>
      </c>
      <c r="AF5" s="43" t="n">
        <f aca="false">AF$4-AF$3+1</f>
        <v>91</v>
      </c>
      <c r="AG5" s="43" t="n">
        <f aca="false">AG$4-AG$3+1</f>
        <v>92</v>
      </c>
      <c r="AH5" s="43" t="n">
        <f aca="false">AH$4-AH$3+1</f>
        <v>92</v>
      </c>
      <c r="AI5" s="43" t="n">
        <f aca="false">AI$4-AI$3+1</f>
        <v>90</v>
      </c>
      <c r="AJ5" s="43" t="n">
        <f aca="false">AJ$4-AJ$3+1</f>
        <v>91</v>
      </c>
      <c r="AK5" s="43" t="n">
        <f aca="false">AK$4-AK$3+1</f>
        <v>92</v>
      </c>
      <c r="AL5" s="43" t="n">
        <f aca="false">AL$4-AL$3+1</f>
        <v>92</v>
      </c>
      <c r="AM5" s="43" t="n">
        <f aca="false">AM$4-AM$3+1</f>
        <v>90</v>
      </c>
      <c r="AN5" s="43" t="n">
        <f aca="false">AN$4-AN$3+1</f>
        <v>91</v>
      </c>
      <c r="AO5" s="43" t="n">
        <f aca="false">AO$4-AO$3+1</f>
        <v>92</v>
      </c>
      <c r="AP5" s="43" t="n">
        <f aca="false">AP$4-AP$3+1</f>
        <v>92</v>
      </c>
      <c r="AQ5" s="43" t="n">
        <f aca="false">AQ$4-AQ$3+1</f>
        <v>90</v>
      </c>
      <c r="AR5" s="43" t="n">
        <f aca="false">AR$4-AR$3+1</f>
        <v>91</v>
      </c>
      <c r="AS5" s="43" t="n">
        <f aca="false">AS$4-AS$3+1</f>
        <v>92</v>
      </c>
      <c r="AT5" s="43" t="n">
        <f aca="false">AT$4-AT$3+1</f>
        <v>92</v>
      </c>
      <c r="AU5" s="43" t="n">
        <f aca="false">AU$4-AU$3+1</f>
        <v>91</v>
      </c>
      <c r="AV5" s="43" t="n">
        <f aca="false">AV$4-AV$3+1</f>
        <v>91</v>
      </c>
      <c r="AW5" s="43" t="n">
        <f aca="false">AW$4-AW$3+1</f>
        <v>92</v>
      </c>
      <c r="AX5" s="43" t="n">
        <f aca="false">AX$4-AX$3+1</f>
        <v>92</v>
      </c>
      <c r="AY5" s="43" t="n">
        <f aca="false">AY$4-AY$3+1</f>
        <v>90</v>
      </c>
      <c r="AZ5" s="43" t="n">
        <f aca="false">AZ$4-AZ$3+1</f>
        <v>91</v>
      </c>
      <c r="BA5" s="43" t="n">
        <f aca="false">BA$4-BA$3+1</f>
        <v>92</v>
      </c>
      <c r="BB5" s="43" t="n">
        <f aca="false">BB$4-BB$3+1</f>
        <v>92</v>
      </c>
      <c r="BC5" s="43" t="n">
        <f aca="false">BC$4-BC$3+1</f>
        <v>90</v>
      </c>
      <c r="BD5" s="43" t="n">
        <f aca="false">BD$4-BD$3+1</f>
        <v>91</v>
      </c>
      <c r="BE5" s="43" t="n">
        <f aca="false">BE$4-BE$3+1</f>
        <v>92</v>
      </c>
      <c r="BF5" s="43" t="n">
        <f aca="false">BF$4-BF$3+1</f>
        <v>92</v>
      </c>
      <c r="BG5" s="43" t="n">
        <f aca="false">BG$4-BG$3+1</f>
        <v>90</v>
      </c>
      <c r="BH5" s="43" t="n">
        <f aca="false">BH$4-BH$3+1</f>
        <v>91</v>
      </c>
      <c r="BI5" s="43" t="n">
        <f aca="false">BI$4-BI$3+1</f>
        <v>92</v>
      </c>
      <c r="BJ5" s="43" t="n">
        <f aca="false">BJ$4-BJ$3+1</f>
        <v>92</v>
      </c>
      <c r="BK5" s="43" t="n">
        <f aca="false">BK$4-BK$3+1</f>
        <v>91</v>
      </c>
      <c r="BL5" s="43" t="n">
        <f aca="false">BL$4-BL$3+1</f>
        <v>91</v>
      </c>
      <c r="BM5" s="43" t="n">
        <f aca="false">BM$4-BM$3+1</f>
        <v>92</v>
      </c>
      <c r="BN5" s="43" t="n">
        <f aca="false">BN$4-BN$3+1</f>
        <v>92</v>
      </c>
      <c r="BO5" s="43" t="n">
        <f aca="false">BO$4-BO$3+1</f>
        <v>90</v>
      </c>
      <c r="BP5" s="43" t="n">
        <f aca="false">BP$4-BP$3+1</f>
        <v>91</v>
      </c>
      <c r="BQ5" s="43" t="n">
        <f aca="false">BQ$4-BQ$3+1</f>
        <v>92</v>
      </c>
      <c r="BR5" s="43" t="n">
        <f aca="false">BR$4-BR$3+1</f>
        <v>92</v>
      </c>
      <c r="BS5" s="43" t="n">
        <f aca="false">BS$4-BS$3+1</f>
        <v>90</v>
      </c>
      <c r="BT5" s="43" t="n">
        <f aca="false">BT$4-BT$3+1</f>
        <v>91</v>
      </c>
      <c r="BU5" s="43" t="n">
        <f aca="false">BU$4-BU$3+1</f>
        <v>92</v>
      </c>
      <c r="BV5" s="43" t="n">
        <f aca="false">BV$4-BV$3+1</f>
        <v>92</v>
      </c>
      <c r="BW5" s="43" t="n">
        <f aca="false">BW$4-BW$3+1</f>
        <v>90</v>
      </c>
      <c r="BX5" s="43" t="n">
        <f aca="false">BX$4-BX$3+1</f>
        <v>91</v>
      </c>
      <c r="BY5" s="43" t="n">
        <f aca="false">BY$4-BY$3+1</f>
        <v>92</v>
      </c>
      <c r="BZ5" s="43" t="n">
        <f aca="false">BZ$4-BZ$3+1</f>
        <v>92</v>
      </c>
      <c r="CA5" s="43" t="n">
        <f aca="false">CA$4-CA$3+1</f>
        <v>91</v>
      </c>
      <c r="CB5" s="43" t="n">
        <f aca="false">CB$4-CB$3+1</f>
        <v>91</v>
      </c>
      <c r="CC5" s="43" t="n">
        <f aca="false">CC$4-CC$3+1</f>
        <v>92</v>
      </c>
      <c r="CD5" s="43" t="n">
        <f aca="false">CD$4-CD$3+1</f>
        <v>92</v>
      </c>
      <c r="CE5" s="43" t="n">
        <f aca="false">CE$4-CE$3+1</f>
        <v>90</v>
      </c>
      <c r="CF5" s="43" t="n">
        <f aca="false">CF$4-CF$3+1</f>
        <v>91</v>
      </c>
      <c r="CG5" s="43" t="n">
        <f aca="false">CG$4-CG$3+1</f>
        <v>92</v>
      </c>
      <c r="CH5" s="43" t="n">
        <f aca="false">CH$4-CH$3+1</f>
        <v>92</v>
      </c>
      <c r="CI5" s="43" t="n">
        <f aca="false">CI$4-CI$3+1</f>
        <v>90</v>
      </c>
      <c r="CJ5" s="43" t="n">
        <f aca="false">CJ$4-CJ$3+1</f>
        <v>91</v>
      </c>
      <c r="CK5" s="43" t="n">
        <f aca="false">CK$4-CK$3+1</f>
        <v>92</v>
      </c>
      <c r="CL5" s="43" t="n">
        <f aca="false">CL$4-CL$3+1</f>
        <v>92</v>
      </c>
      <c r="CM5" s="43" t="n">
        <f aca="false">CM$4-CM$3+1</f>
        <v>90</v>
      </c>
      <c r="CN5" s="43" t="n">
        <f aca="false">CN$4-CN$3+1</f>
        <v>91</v>
      </c>
      <c r="CO5" s="43" t="n">
        <f aca="false">CO$4-CO$3+1</f>
        <v>92</v>
      </c>
      <c r="CP5" s="43" t="n">
        <f aca="false">CP$4-CP$3+1</f>
        <v>92</v>
      </c>
      <c r="CQ5" s="43" t="n">
        <f aca="false">CQ$4-CQ$3+1</f>
        <v>91</v>
      </c>
      <c r="CR5" s="43" t="n">
        <f aca="false">CR$4-CR$3+1</f>
        <v>91</v>
      </c>
      <c r="CS5" s="43" t="n">
        <f aca="false">CS$4-CS$3+1</f>
        <v>92</v>
      </c>
      <c r="CT5" s="43" t="n">
        <f aca="false">CT$4-CT$3+1</f>
        <v>92</v>
      </c>
      <c r="CU5" s="43" t="n">
        <f aca="false">CU$4-CU$3+1</f>
        <v>90</v>
      </c>
      <c r="CV5" s="43" t="n">
        <f aca="false">CV$4-CV$3+1</f>
        <v>91</v>
      </c>
      <c r="CW5" s="43" t="n">
        <f aca="false">CW$4-CW$3+1</f>
        <v>92</v>
      </c>
      <c r="CX5" s="43" t="n">
        <f aca="false">CX$4-CX$3+1</f>
        <v>92</v>
      </c>
      <c r="CY5" s="43" t="n">
        <f aca="false">CY$4-CY$3+1</f>
        <v>90</v>
      </c>
      <c r="CZ5" s="43" t="n">
        <f aca="false">CZ$4-CZ$3+1</f>
        <v>91</v>
      </c>
      <c r="DA5" s="43" t="n">
        <f aca="false">DA$4-DA$3+1</f>
        <v>92</v>
      </c>
      <c r="DB5" s="43" t="n">
        <f aca="false">DB$4-DB$3+1</f>
        <v>92</v>
      </c>
      <c r="DC5" s="43" t="n">
        <f aca="false">DC$4-DC$3+1</f>
        <v>90</v>
      </c>
      <c r="DD5" s="43" t="n">
        <f aca="false">DD$4-DD$3+1</f>
        <v>91</v>
      </c>
      <c r="DE5" s="43" t="n">
        <f aca="false">DE$4-DE$3+1</f>
        <v>92</v>
      </c>
      <c r="DF5" s="43" t="n">
        <f aca="false">DF$4-DF$3+1</f>
        <v>92</v>
      </c>
      <c r="DG5" s="43" t="n">
        <f aca="false">DG$4-DG$3+1</f>
        <v>91</v>
      </c>
      <c r="DH5" s="43" t="n">
        <f aca="false">DH$4-DH$3+1</f>
        <v>91</v>
      </c>
      <c r="DI5" s="43" t="n">
        <f aca="false">DI$4-DI$3+1</f>
        <v>92</v>
      </c>
      <c r="DJ5" s="43" t="n">
        <f aca="false">DJ$4-DJ$3+1</f>
        <v>92</v>
      </c>
      <c r="DK5" s="43" t="n">
        <f aca="false">DK$4-DK$3+1</f>
        <v>90</v>
      </c>
      <c r="DL5" s="43" t="n">
        <f aca="false">DL$4-DL$3+1</f>
        <v>91</v>
      </c>
      <c r="DM5" s="43" t="n">
        <f aca="false">DM$4-DM$3+1</f>
        <v>92</v>
      </c>
      <c r="DN5" s="43" t="n">
        <f aca="false">DN$4-DN$3+1</f>
        <v>92</v>
      </c>
      <c r="DO5" s="43" t="n">
        <f aca="false">DO$4-DO$3+1</f>
        <v>90</v>
      </c>
      <c r="DP5" s="43" t="n">
        <f aca="false">DP$4-DP$3+1</f>
        <v>91</v>
      </c>
      <c r="DQ5" s="43" t="n">
        <f aca="false">DQ$4-DQ$3+1</f>
        <v>92</v>
      </c>
      <c r="DR5" s="43" t="n">
        <f aca="false">DR$4-DR$3+1</f>
        <v>92</v>
      </c>
      <c r="DS5" s="43" t="n">
        <f aca="false">DS$4-DS$3+1</f>
        <v>90</v>
      </c>
      <c r="DT5" s="43" t="n">
        <f aca="false">DT$4-DT$3+1</f>
        <v>91</v>
      </c>
      <c r="DU5" s="43" t="n">
        <f aca="false">DU$4-DU$3+1</f>
        <v>92</v>
      </c>
      <c r="DV5" s="43" t="n">
        <f aca="false">DV$4-DV$3+1</f>
        <v>92</v>
      </c>
      <c r="DW5" s="43" t="n">
        <f aca="false">DW$4-DW$3+1</f>
        <v>91</v>
      </c>
      <c r="DX5" s="43" t="n">
        <f aca="false">DX$4-DX$3+1</f>
        <v>91</v>
      </c>
      <c r="DY5" s="43" t="n">
        <f aca="false">DY$4-DY$3+1</f>
        <v>92</v>
      </c>
      <c r="DZ5" s="43" t="n">
        <f aca="false">DZ$4-DZ$3+1</f>
        <v>92</v>
      </c>
      <c r="EA5" s="43" t="n">
        <f aca="false">EA$4-EA$3+1</f>
        <v>90</v>
      </c>
      <c r="EB5" s="43" t="n">
        <f aca="false">EB$4-EB$3+1</f>
        <v>91</v>
      </c>
      <c r="EC5" s="43" t="n">
        <f aca="false">EC$4-EC$3+1</f>
        <v>92</v>
      </c>
      <c r="ED5" s="43" t="n">
        <f aca="false">ED$4-ED$3+1</f>
        <v>92</v>
      </c>
      <c r="EE5" s="43" t="n">
        <f aca="false">EE$4-EE$3+1</f>
        <v>90</v>
      </c>
      <c r="EF5" s="43" t="n">
        <f aca="false">EF$4-EF$3+1</f>
        <v>91</v>
      </c>
      <c r="EG5" s="43" t="n">
        <f aca="false">EG$4-EG$3+1</f>
        <v>92</v>
      </c>
      <c r="EH5" s="43" t="n">
        <f aca="false">EH$4-EH$3+1</f>
        <v>92</v>
      </c>
      <c r="EI5" s="43" t="n">
        <f aca="false">EI$4-EI$3+1</f>
        <v>90</v>
      </c>
      <c r="EJ5" s="43" t="n">
        <f aca="false">EJ$4-EJ$3+1</f>
        <v>91</v>
      </c>
      <c r="EK5" s="43" t="n">
        <f aca="false">EK$4-EK$3+1</f>
        <v>92</v>
      </c>
      <c r="EL5" s="43" t="n">
        <f aca="false">EL$4-EL$3+1</f>
        <v>92</v>
      </c>
      <c r="EM5" s="43" t="n">
        <f aca="false">EM$4-EM$3+1</f>
        <v>91</v>
      </c>
      <c r="EN5" s="43" t="n">
        <f aca="false">EN$4-EN$3+1</f>
        <v>91</v>
      </c>
      <c r="EO5" s="43" t="n">
        <f aca="false">EO$4-EO$3+1</f>
        <v>92</v>
      </c>
    </row>
    <row r="6" customFormat="false" ht="15" hidden="false" customHeight="false" outlineLevel="0" collapsed="false">
      <c r="C6" s="0" t="s">
        <v>385</v>
      </c>
      <c r="D6" s="11" t="s">
        <v>386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387</v>
      </c>
      <c r="D7" s="11" t="s">
        <v>388</v>
      </c>
      <c r="J7" s="43" t="n">
        <f aca="false">YEAR(J$4)</f>
        <v>2026</v>
      </c>
      <c r="K7" s="43" t="n">
        <f aca="false">YEAR(K$4)</f>
        <v>2027</v>
      </c>
      <c r="L7" s="43" t="n">
        <f aca="false">YEAR(L$4)</f>
        <v>2027</v>
      </c>
      <c r="M7" s="43" t="n">
        <f aca="false">YEAR(M$4)</f>
        <v>2027</v>
      </c>
      <c r="N7" s="43" t="n">
        <f aca="false">YEAR(N$4)</f>
        <v>2027</v>
      </c>
      <c r="O7" s="43" t="n">
        <f aca="false">YEAR(O$4)</f>
        <v>2028</v>
      </c>
      <c r="P7" s="43" t="n">
        <f aca="false">YEAR(P$4)</f>
        <v>2028</v>
      </c>
      <c r="Q7" s="43" t="n">
        <f aca="false">YEAR(Q$4)</f>
        <v>2028</v>
      </c>
      <c r="R7" s="43" t="n">
        <f aca="false">YEAR(R$4)</f>
        <v>2028</v>
      </c>
      <c r="S7" s="43" t="n">
        <f aca="false">YEAR(S$4)</f>
        <v>2029</v>
      </c>
      <c r="T7" s="43" t="n">
        <f aca="false">YEAR(T$4)</f>
        <v>2029</v>
      </c>
      <c r="U7" s="43" t="n">
        <f aca="false">YEAR(U$4)</f>
        <v>2029</v>
      </c>
      <c r="V7" s="43" t="n">
        <f aca="false">YEAR(V$4)</f>
        <v>2029</v>
      </c>
      <c r="W7" s="43" t="n">
        <f aca="false">YEAR(W$4)</f>
        <v>2030</v>
      </c>
      <c r="X7" s="43" t="n">
        <f aca="false">YEAR(X$4)</f>
        <v>2030</v>
      </c>
      <c r="Y7" s="43" t="n">
        <f aca="false">YEAR(Y$4)</f>
        <v>2030</v>
      </c>
      <c r="Z7" s="43" t="n">
        <f aca="false">YEAR(Z$4)</f>
        <v>2030</v>
      </c>
      <c r="AA7" s="43" t="n">
        <f aca="false">YEAR(AA$4)</f>
        <v>2031</v>
      </c>
      <c r="AB7" s="43" t="n">
        <f aca="false">YEAR(AB$4)</f>
        <v>2031</v>
      </c>
      <c r="AC7" s="43" t="n">
        <f aca="false">YEAR(AC$4)</f>
        <v>2031</v>
      </c>
      <c r="AD7" s="43" t="n">
        <f aca="false">YEAR(AD$4)</f>
        <v>2031</v>
      </c>
      <c r="AE7" s="43" t="n">
        <f aca="false">YEAR(AE$4)</f>
        <v>2032</v>
      </c>
      <c r="AF7" s="43" t="n">
        <f aca="false">YEAR(AF$4)</f>
        <v>2032</v>
      </c>
      <c r="AG7" s="43" t="n">
        <f aca="false">YEAR(AG$4)</f>
        <v>2032</v>
      </c>
      <c r="AH7" s="43" t="n">
        <f aca="false">YEAR(AH$4)</f>
        <v>2032</v>
      </c>
      <c r="AI7" s="43" t="n">
        <f aca="false">YEAR(AI$4)</f>
        <v>2033</v>
      </c>
      <c r="AJ7" s="43" t="n">
        <f aca="false">YEAR(AJ$4)</f>
        <v>2033</v>
      </c>
      <c r="AK7" s="43" t="n">
        <f aca="false">YEAR(AK$4)</f>
        <v>2033</v>
      </c>
      <c r="AL7" s="43" t="n">
        <f aca="false">YEAR(AL$4)</f>
        <v>2033</v>
      </c>
      <c r="AM7" s="43" t="n">
        <f aca="false">YEAR(AM$4)</f>
        <v>2034</v>
      </c>
      <c r="AN7" s="43" t="n">
        <f aca="false">YEAR(AN$4)</f>
        <v>2034</v>
      </c>
      <c r="AO7" s="43" t="n">
        <f aca="false">YEAR(AO$4)</f>
        <v>2034</v>
      </c>
      <c r="AP7" s="43" t="n">
        <f aca="false">YEAR(AP$4)</f>
        <v>2034</v>
      </c>
      <c r="AQ7" s="43" t="n">
        <f aca="false">YEAR(AQ$4)</f>
        <v>2035</v>
      </c>
      <c r="AR7" s="43" t="n">
        <f aca="false">YEAR(AR$4)</f>
        <v>2035</v>
      </c>
      <c r="AS7" s="43" t="n">
        <f aca="false">YEAR(AS$4)</f>
        <v>2035</v>
      </c>
      <c r="AT7" s="43" t="n">
        <f aca="false">YEAR(AT$4)</f>
        <v>2035</v>
      </c>
      <c r="AU7" s="43" t="n">
        <f aca="false">YEAR(AU$4)</f>
        <v>2036</v>
      </c>
      <c r="AV7" s="43" t="n">
        <f aca="false">YEAR(AV$4)</f>
        <v>2036</v>
      </c>
      <c r="AW7" s="43" t="n">
        <f aca="false">YEAR(AW$4)</f>
        <v>2036</v>
      </c>
      <c r="AX7" s="43" t="n">
        <f aca="false">YEAR(AX$4)</f>
        <v>2036</v>
      </c>
      <c r="AY7" s="43" t="n">
        <f aca="false">YEAR(AY$4)</f>
        <v>2037</v>
      </c>
      <c r="AZ7" s="43" t="n">
        <f aca="false">YEAR(AZ$4)</f>
        <v>2037</v>
      </c>
      <c r="BA7" s="43" t="n">
        <f aca="false">YEAR(BA$4)</f>
        <v>2037</v>
      </c>
      <c r="BB7" s="43" t="n">
        <f aca="false">YEAR(BB$4)</f>
        <v>2037</v>
      </c>
      <c r="BC7" s="43" t="n">
        <f aca="false">YEAR(BC$4)</f>
        <v>2038</v>
      </c>
      <c r="BD7" s="43" t="n">
        <f aca="false">YEAR(BD$4)</f>
        <v>2038</v>
      </c>
      <c r="BE7" s="43" t="n">
        <f aca="false">YEAR(BE$4)</f>
        <v>2038</v>
      </c>
      <c r="BF7" s="43" t="n">
        <f aca="false">YEAR(BF$4)</f>
        <v>2038</v>
      </c>
      <c r="BG7" s="43" t="n">
        <f aca="false">YEAR(BG$4)</f>
        <v>2039</v>
      </c>
      <c r="BH7" s="43" t="n">
        <f aca="false">YEAR(BH$4)</f>
        <v>2039</v>
      </c>
      <c r="BI7" s="43" t="n">
        <f aca="false">YEAR(BI$4)</f>
        <v>2039</v>
      </c>
      <c r="BJ7" s="43" t="n">
        <f aca="false">YEAR(BJ$4)</f>
        <v>2039</v>
      </c>
      <c r="BK7" s="43" t="n">
        <f aca="false">YEAR(BK$4)</f>
        <v>2040</v>
      </c>
      <c r="BL7" s="43" t="n">
        <f aca="false">YEAR(BL$4)</f>
        <v>2040</v>
      </c>
      <c r="BM7" s="43" t="n">
        <f aca="false">YEAR(BM$4)</f>
        <v>2040</v>
      </c>
      <c r="BN7" s="43" t="n">
        <f aca="false">YEAR(BN$4)</f>
        <v>2040</v>
      </c>
      <c r="BO7" s="43" t="n">
        <f aca="false">YEAR(BO$4)</f>
        <v>2041</v>
      </c>
      <c r="BP7" s="43" t="n">
        <f aca="false">YEAR(BP$4)</f>
        <v>2041</v>
      </c>
      <c r="BQ7" s="43" t="n">
        <f aca="false">YEAR(BQ$4)</f>
        <v>2041</v>
      </c>
      <c r="BR7" s="43" t="n">
        <f aca="false">YEAR(BR$4)</f>
        <v>2041</v>
      </c>
      <c r="BS7" s="43" t="n">
        <f aca="false">YEAR(BS$4)</f>
        <v>2042</v>
      </c>
      <c r="BT7" s="43" t="n">
        <f aca="false">YEAR(BT$4)</f>
        <v>2042</v>
      </c>
      <c r="BU7" s="43" t="n">
        <f aca="false">YEAR(BU$4)</f>
        <v>2042</v>
      </c>
      <c r="BV7" s="43" t="n">
        <f aca="false">YEAR(BV$4)</f>
        <v>2042</v>
      </c>
      <c r="BW7" s="43" t="n">
        <f aca="false">YEAR(BW$4)</f>
        <v>2043</v>
      </c>
      <c r="BX7" s="43" t="n">
        <f aca="false">YEAR(BX$4)</f>
        <v>2043</v>
      </c>
      <c r="BY7" s="43" t="n">
        <f aca="false">YEAR(BY$4)</f>
        <v>2043</v>
      </c>
      <c r="BZ7" s="43" t="n">
        <f aca="false">YEAR(BZ$4)</f>
        <v>2043</v>
      </c>
      <c r="CA7" s="43" t="n">
        <f aca="false">YEAR(CA$4)</f>
        <v>2044</v>
      </c>
      <c r="CB7" s="43" t="n">
        <f aca="false">YEAR(CB$4)</f>
        <v>2044</v>
      </c>
      <c r="CC7" s="43" t="n">
        <f aca="false">YEAR(CC$4)</f>
        <v>2044</v>
      </c>
      <c r="CD7" s="43" t="n">
        <f aca="false">YEAR(CD$4)</f>
        <v>2044</v>
      </c>
      <c r="CE7" s="43" t="n">
        <f aca="false">YEAR(CE$4)</f>
        <v>2045</v>
      </c>
      <c r="CF7" s="43" t="n">
        <f aca="false">YEAR(CF$4)</f>
        <v>2045</v>
      </c>
      <c r="CG7" s="43" t="n">
        <f aca="false">YEAR(CG$4)</f>
        <v>2045</v>
      </c>
      <c r="CH7" s="43" t="n">
        <f aca="false">YEAR(CH$4)</f>
        <v>2045</v>
      </c>
      <c r="CI7" s="43" t="n">
        <f aca="false">YEAR(CI$4)</f>
        <v>2046</v>
      </c>
      <c r="CJ7" s="43" t="n">
        <f aca="false">YEAR(CJ$4)</f>
        <v>2046</v>
      </c>
      <c r="CK7" s="43" t="n">
        <f aca="false">YEAR(CK$4)</f>
        <v>2046</v>
      </c>
      <c r="CL7" s="43" t="n">
        <f aca="false">YEAR(CL$4)</f>
        <v>2046</v>
      </c>
      <c r="CM7" s="43" t="n">
        <f aca="false">YEAR(CM$4)</f>
        <v>2047</v>
      </c>
      <c r="CN7" s="43" t="n">
        <f aca="false">YEAR(CN$4)</f>
        <v>2047</v>
      </c>
      <c r="CO7" s="43" t="n">
        <f aca="false">YEAR(CO$4)</f>
        <v>2047</v>
      </c>
      <c r="CP7" s="43" t="n">
        <f aca="false">YEAR(CP$4)</f>
        <v>2047</v>
      </c>
      <c r="CQ7" s="43" t="n">
        <f aca="false">YEAR(CQ$4)</f>
        <v>2048</v>
      </c>
      <c r="CR7" s="43" t="n">
        <f aca="false">YEAR(CR$4)</f>
        <v>2048</v>
      </c>
      <c r="CS7" s="43" t="n">
        <f aca="false">YEAR(CS$4)</f>
        <v>2048</v>
      </c>
      <c r="CT7" s="43" t="n">
        <f aca="false">YEAR(CT$4)</f>
        <v>2048</v>
      </c>
      <c r="CU7" s="43" t="n">
        <f aca="false">YEAR(CU$4)</f>
        <v>2049</v>
      </c>
      <c r="CV7" s="43" t="n">
        <f aca="false">YEAR(CV$4)</f>
        <v>2049</v>
      </c>
      <c r="CW7" s="43" t="n">
        <f aca="false">YEAR(CW$4)</f>
        <v>2049</v>
      </c>
      <c r="CX7" s="43" t="n">
        <f aca="false">YEAR(CX$4)</f>
        <v>2049</v>
      </c>
      <c r="CY7" s="43" t="n">
        <f aca="false">YEAR(CY$4)</f>
        <v>2050</v>
      </c>
      <c r="CZ7" s="43" t="n">
        <f aca="false">YEAR(CZ$4)</f>
        <v>2050</v>
      </c>
      <c r="DA7" s="43" t="n">
        <f aca="false">YEAR(DA$4)</f>
        <v>2050</v>
      </c>
      <c r="DB7" s="43" t="n">
        <f aca="false">YEAR(DB$4)</f>
        <v>2050</v>
      </c>
      <c r="DC7" s="43" t="n">
        <f aca="false">YEAR(DC$4)</f>
        <v>2051</v>
      </c>
      <c r="DD7" s="43" t="n">
        <f aca="false">YEAR(DD$4)</f>
        <v>2051</v>
      </c>
      <c r="DE7" s="43" t="n">
        <f aca="false">YEAR(DE$4)</f>
        <v>2051</v>
      </c>
      <c r="DF7" s="43" t="n">
        <f aca="false">YEAR(DF$4)</f>
        <v>2051</v>
      </c>
      <c r="DG7" s="43" t="n">
        <f aca="false">YEAR(DG$4)</f>
        <v>2052</v>
      </c>
      <c r="DH7" s="43" t="n">
        <f aca="false">YEAR(DH$4)</f>
        <v>2052</v>
      </c>
      <c r="DI7" s="43" t="n">
        <f aca="false">YEAR(DI$4)</f>
        <v>2052</v>
      </c>
      <c r="DJ7" s="43" t="n">
        <f aca="false">YEAR(DJ$4)</f>
        <v>2052</v>
      </c>
      <c r="DK7" s="43" t="n">
        <f aca="false">YEAR(DK$4)</f>
        <v>2053</v>
      </c>
      <c r="DL7" s="43" t="n">
        <f aca="false">YEAR(DL$4)</f>
        <v>2053</v>
      </c>
      <c r="DM7" s="43" t="n">
        <f aca="false">YEAR(DM$4)</f>
        <v>2053</v>
      </c>
      <c r="DN7" s="43" t="n">
        <f aca="false">YEAR(DN$4)</f>
        <v>2053</v>
      </c>
      <c r="DO7" s="43" t="n">
        <f aca="false">YEAR(DO$4)</f>
        <v>2054</v>
      </c>
      <c r="DP7" s="43" t="n">
        <f aca="false">YEAR(DP$4)</f>
        <v>2054</v>
      </c>
      <c r="DQ7" s="43" t="n">
        <f aca="false">YEAR(DQ$4)</f>
        <v>2054</v>
      </c>
      <c r="DR7" s="43" t="n">
        <f aca="false">YEAR(DR$4)</f>
        <v>2054</v>
      </c>
      <c r="DS7" s="43" t="n">
        <f aca="false">YEAR(DS$4)</f>
        <v>2055</v>
      </c>
      <c r="DT7" s="43" t="n">
        <f aca="false">YEAR(DT$4)</f>
        <v>2055</v>
      </c>
      <c r="DU7" s="43" t="n">
        <f aca="false">YEAR(DU$4)</f>
        <v>2055</v>
      </c>
      <c r="DV7" s="43" t="n">
        <f aca="false">YEAR(DV$4)</f>
        <v>2055</v>
      </c>
      <c r="DW7" s="43" t="n">
        <f aca="false">YEAR(DW$4)</f>
        <v>2056</v>
      </c>
      <c r="DX7" s="43" t="n">
        <f aca="false">YEAR(DX$4)</f>
        <v>2056</v>
      </c>
      <c r="DY7" s="43" t="n">
        <f aca="false">YEAR(DY$4)</f>
        <v>2056</v>
      </c>
      <c r="DZ7" s="43" t="n">
        <f aca="false">YEAR(DZ$4)</f>
        <v>2056</v>
      </c>
      <c r="EA7" s="43" t="n">
        <f aca="false">YEAR(EA$4)</f>
        <v>2057</v>
      </c>
      <c r="EB7" s="43" t="n">
        <f aca="false">YEAR(EB$4)</f>
        <v>2057</v>
      </c>
      <c r="EC7" s="43" t="n">
        <f aca="false">YEAR(EC$4)</f>
        <v>2057</v>
      </c>
      <c r="ED7" s="43" t="n">
        <f aca="false">YEAR(ED$4)</f>
        <v>2057</v>
      </c>
      <c r="EE7" s="43" t="n">
        <f aca="false">YEAR(EE$4)</f>
        <v>2058</v>
      </c>
      <c r="EF7" s="43" t="n">
        <f aca="false">YEAR(EF$4)</f>
        <v>2058</v>
      </c>
      <c r="EG7" s="43" t="n">
        <f aca="false">YEAR(EG$4)</f>
        <v>2058</v>
      </c>
      <c r="EH7" s="43" t="n">
        <f aca="false">YEAR(EH$4)</f>
        <v>2058</v>
      </c>
      <c r="EI7" s="43" t="n">
        <f aca="false">YEAR(EI$4)</f>
        <v>2059</v>
      </c>
      <c r="EJ7" s="43" t="n">
        <f aca="false">YEAR(EJ$4)</f>
        <v>2059</v>
      </c>
      <c r="EK7" s="43" t="n">
        <f aca="false">YEAR(EK$4)</f>
        <v>2059</v>
      </c>
      <c r="EL7" s="43" t="n">
        <f aca="false">YEAR(EL$4)</f>
        <v>2059</v>
      </c>
      <c r="EM7" s="43" t="n">
        <f aca="false">YEAR(EM$4)</f>
        <v>2060</v>
      </c>
      <c r="EN7" s="43" t="n">
        <f aca="false">YEAR(EN$4)</f>
        <v>2060</v>
      </c>
      <c r="EO7" s="43" t="n">
        <f aca="false">YEAR(EO$4)</f>
        <v>2060</v>
      </c>
    </row>
    <row r="8" customFormat="false" ht="15" hidden="false" customHeight="false" outlineLevel="0" collapsed="false">
      <c r="C8" s="0" t="s">
        <v>389</v>
      </c>
      <c r="D8" s="11" t="s">
        <v>147</v>
      </c>
      <c r="J8" s="43" t="n">
        <f aca="false">I$8+1</f>
        <v>1</v>
      </c>
      <c r="K8" s="43" t="n">
        <f aca="false">J$8+1</f>
        <v>2</v>
      </c>
      <c r="L8" s="43" t="n">
        <f aca="false">K$8+1</f>
        <v>3</v>
      </c>
      <c r="M8" s="43" t="n">
        <f aca="false">L$8+1</f>
        <v>4</v>
      </c>
      <c r="N8" s="43" t="n">
        <f aca="false">M$8+1</f>
        <v>5</v>
      </c>
      <c r="O8" s="43" t="n">
        <f aca="false">N$8+1</f>
        <v>6</v>
      </c>
      <c r="P8" s="43" t="n">
        <f aca="false">O$8+1</f>
        <v>7</v>
      </c>
      <c r="Q8" s="43" t="n">
        <f aca="false">P$8+1</f>
        <v>8</v>
      </c>
      <c r="R8" s="43" t="n">
        <f aca="false">Q$8+1</f>
        <v>9</v>
      </c>
      <c r="S8" s="43" t="n">
        <f aca="false">R$8+1</f>
        <v>10</v>
      </c>
      <c r="T8" s="43" t="n">
        <f aca="false">S$8+1</f>
        <v>11</v>
      </c>
      <c r="U8" s="43" t="n">
        <f aca="false">T$8+1</f>
        <v>12</v>
      </c>
      <c r="V8" s="43" t="n">
        <f aca="false">U$8+1</f>
        <v>13</v>
      </c>
      <c r="W8" s="43" t="n">
        <f aca="false">V$8+1</f>
        <v>14</v>
      </c>
      <c r="X8" s="43" t="n">
        <f aca="false">W$8+1</f>
        <v>15</v>
      </c>
      <c r="Y8" s="43" t="n">
        <f aca="false">X$8+1</f>
        <v>16</v>
      </c>
      <c r="Z8" s="43" t="n">
        <f aca="false">Y$8+1</f>
        <v>17</v>
      </c>
      <c r="AA8" s="43" t="n">
        <f aca="false">Z$8+1</f>
        <v>18</v>
      </c>
      <c r="AB8" s="43" t="n">
        <f aca="false">AA$8+1</f>
        <v>19</v>
      </c>
      <c r="AC8" s="43" t="n">
        <f aca="false">AB$8+1</f>
        <v>20</v>
      </c>
      <c r="AD8" s="43" t="n">
        <f aca="false">AC$8+1</f>
        <v>21</v>
      </c>
      <c r="AE8" s="43" t="n">
        <f aca="false">AD$8+1</f>
        <v>22</v>
      </c>
      <c r="AF8" s="43" t="n">
        <f aca="false">AE$8+1</f>
        <v>23</v>
      </c>
      <c r="AG8" s="43" t="n">
        <f aca="false">AF$8+1</f>
        <v>24</v>
      </c>
      <c r="AH8" s="43" t="n">
        <f aca="false">AG$8+1</f>
        <v>25</v>
      </c>
      <c r="AI8" s="43" t="n">
        <f aca="false">AH$8+1</f>
        <v>26</v>
      </c>
      <c r="AJ8" s="43" t="n">
        <f aca="false">AI$8+1</f>
        <v>27</v>
      </c>
      <c r="AK8" s="43" t="n">
        <f aca="false">AJ$8+1</f>
        <v>28</v>
      </c>
      <c r="AL8" s="43" t="n">
        <f aca="false">AK$8+1</f>
        <v>29</v>
      </c>
      <c r="AM8" s="43" t="n">
        <f aca="false">AL$8+1</f>
        <v>30</v>
      </c>
      <c r="AN8" s="43" t="n">
        <f aca="false">AM$8+1</f>
        <v>31</v>
      </c>
      <c r="AO8" s="43" t="n">
        <f aca="false">AN$8+1</f>
        <v>32</v>
      </c>
      <c r="AP8" s="43" t="n">
        <f aca="false">AO$8+1</f>
        <v>33</v>
      </c>
      <c r="AQ8" s="43" t="n">
        <f aca="false">AP$8+1</f>
        <v>34</v>
      </c>
      <c r="AR8" s="43" t="n">
        <f aca="false">AQ$8+1</f>
        <v>35</v>
      </c>
      <c r="AS8" s="43" t="n">
        <f aca="false">AR$8+1</f>
        <v>36</v>
      </c>
      <c r="AT8" s="43" t="n">
        <f aca="false">AS$8+1</f>
        <v>37</v>
      </c>
      <c r="AU8" s="43" t="n">
        <f aca="false">AT$8+1</f>
        <v>38</v>
      </c>
      <c r="AV8" s="43" t="n">
        <f aca="false">AU$8+1</f>
        <v>39</v>
      </c>
      <c r="AW8" s="43" t="n">
        <f aca="false">AV$8+1</f>
        <v>40</v>
      </c>
      <c r="AX8" s="43" t="n">
        <f aca="false">AW$8+1</f>
        <v>41</v>
      </c>
      <c r="AY8" s="43" t="n">
        <f aca="false">AX$8+1</f>
        <v>42</v>
      </c>
      <c r="AZ8" s="43" t="n">
        <f aca="false">AY$8+1</f>
        <v>43</v>
      </c>
      <c r="BA8" s="43" t="n">
        <f aca="false">AZ$8+1</f>
        <v>44</v>
      </c>
      <c r="BB8" s="43" t="n">
        <f aca="false">BA$8+1</f>
        <v>45</v>
      </c>
      <c r="BC8" s="43" t="n">
        <f aca="false">BB$8+1</f>
        <v>46</v>
      </c>
      <c r="BD8" s="43" t="n">
        <f aca="false">BC$8+1</f>
        <v>47</v>
      </c>
      <c r="BE8" s="43" t="n">
        <f aca="false">BD$8+1</f>
        <v>48</v>
      </c>
      <c r="BF8" s="43" t="n">
        <f aca="false">BE$8+1</f>
        <v>49</v>
      </c>
      <c r="BG8" s="43" t="n">
        <f aca="false">BF$8+1</f>
        <v>50</v>
      </c>
      <c r="BH8" s="43" t="n">
        <f aca="false">BG$8+1</f>
        <v>51</v>
      </c>
      <c r="BI8" s="43" t="n">
        <f aca="false">BH$8+1</f>
        <v>52</v>
      </c>
      <c r="BJ8" s="43" t="n">
        <f aca="false">BI$8+1</f>
        <v>53</v>
      </c>
      <c r="BK8" s="43" t="n">
        <f aca="false">BJ$8+1</f>
        <v>54</v>
      </c>
      <c r="BL8" s="43" t="n">
        <f aca="false">BK$8+1</f>
        <v>55</v>
      </c>
      <c r="BM8" s="43" t="n">
        <f aca="false">BL$8+1</f>
        <v>56</v>
      </c>
      <c r="BN8" s="43" t="n">
        <f aca="false">BM$8+1</f>
        <v>57</v>
      </c>
      <c r="BO8" s="43" t="n">
        <f aca="false">BN$8+1</f>
        <v>58</v>
      </c>
      <c r="BP8" s="43" t="n">
        <f aca="false">BO$8+1</f>
        <v>59</v>
      </c>
      <c r="BQ8" s="43" t="n">
        <f aca="false">BP$8+1</f>
        <v>60</v>
      </c>
      <c r="BR8" s="43" t="n">
        <f aca="false">BQ$8+1</f>
        <v>61</v>
      </c>
      <c r="BS8" s="43" t="n">
        <f aca="false">BR$8+1</f>
        <v>62</v>
      </c>
      <c r="BT8" s="43" t="n">
        <f aca="false">BS$8+1</f>
        <v>63</v>
      </c>
      <c r="BU8" s="43" t="n">
        <f aca="false">BT$8+1</f>
        <v>64</v>
      </c>
      <c r="BV8" s="43" t="n">
        <f aca="false">BU$8+1</f>
        <v>65</v>
      </c>
      <c r="BW8" s="43" t="n">
        <f aca="false">BV$8+1</f>
        <v>66</v>
      </c>
      <c r="BX8" s="43" t="n">
        <f aca="false">BW$8+1</f>
        <v>67</v>
      </c>
      <c r="BY8" s="43" t="n">
        <f aca="false">BX$8+1</f>
        <v>68</v>
      </c>
      <c r="BZ8" s="43" t="n">
        <f aca="false">BY$8+1</f>
        <v>69</v>
      </c>
      <c r="CA8" s="43" t="n">
        <f aca="false">BZ$8+1</f>
        <v>70</v>
      </c>
      <c r="CB8" s="43" t="n">
        <f aca="false">CA$8+1</f>
        <v>71</v>
      </c>
      <c r="CC8" s="43" t="n">
        <f aca="false">CB$8+1</f>
        <v>72</v>
      </c>
      <c r="CD8" s="43" t="n">
        <f aca="false">CC$8+1</f>
        <v>73</v>
      </c>
      <c r="CE8" s="43" t="n">
        <f aca="false">CD$8+1</f>
        <v>74</v>
      </c>
      <c r="CF8" s="43" t="n">
        <f aca="false">CE$8+1</f>
        <v>75</v>
      </c>
      <c r="CG8" s="43" t="n">
        <f aca="false">CF$8+1</f>
        <v>76</v>
      </c>
      <c r="CH8" s="43" t="n">
        <f aca="false">CG$8+1</f>
        <v>77</v>
      </c>
      <c r="CI8" s="43" t="n">
        <f aca="false">CH$8+1</f>
        <v>78</v>
      </c>
      <c r="CJ8" s="43" t="n">
        <f aca="false">CI$8+1</f>
        <v>79</v>
      </c>
      <c r="CK8" s="43" t="n">
        <f aca="false">CJ$8+1</f>
        <v>80</v>
      </c>
      <c r="CL8" s="43" t="n">
        <f aca="false">CK$8+1</f>
        <v>81</v>
      </c>
      <c r="CM8" s="43" t="n">
        <f aca="false">CL$8+1</f>
        <v>82</v>
      </c>
      <c r="CN8" s="43" t="n">
        <f aca="false">CM$8+1</f>
        <v>83</v>
      </c>
      <c r="CO8" s="43" t="n">
        <f aca="false">CN$8+1</f>
        <v>84</v>
      </c>
      <c r="CP8" s="43" t="n">
        <f aca="false">CO$8+1</f>
        <v>85</v>
      </c>
      <c r="CQ8" s="43" t="n">
        <f aca="false">CP$8+1</f>
        <v>86</v>
      </c>
      <c r="CR8" s="43" t="n">
        <f aca="false">CQ$8+1</f>
        <v>87</v>
      </c>
      <c r="CS8" s="43" t="n">
        <f aca="false">CR$8+1</f>
        <v>88</v>
      </c>
      <c r="CT8" s="43" t="n">
        <f aca="false">CS$8+1</f>
        <v>89</v>
      </c>
      <c r="CU8" s="43" t="n">
        <f aca="false">CT$8+1</f>
        <v>90</v>
      </c>
      <c r="CV8" s="43" t="n">
        <f aca="false">CU$8+1</f>
        <v>91</v>
      </c>
      <c r="CW8" s="43" t="n">
        <f aca="false">CV$8+1</f>
        <v>92</v>
      </c>
      <c r="CX8" s="43" t="n">
        <f aca="false">CW$8+1</f>
        <v>93</v>
      </c>
      <c r="CY8" s="43" t="n">
        <f aca="false">CX$8+1</f>
        <v>94</v>
      </c>
      <c r="CZ8" s="43" t="n">
        <f aca="false">CY$8+1</f>
        <v>95</v>
      </c>
      <c r="DA8" s="43" t="n">
        <f aca="false">CZ$8+1</f>
        <v>96</v>
      </c>
      <c r="DB8" s="43" t="n">
        <f aca="false">DA$8+1</f>
        <v>97</v>
      </c>
      <c r="DC8" s="43" t="n">
        <f aca="false">DB$8+1</f>
        <v>98</v>
      </c>
      <c r="DD8" s="43" t="n">
        <f aca="false">DC$8+1</f>
        <v>99</v>
      </c>
      <c r="DE8" s="43" t="n">
        <f aca="false">DD$8+1</f>
        <v>100</v>
      </c>
      <c r="DF8" s="43" t="n">
        <f aca="false">DE$8+1</f>
        <v>101</v>
      </c>
      <c r="DG8" s="43" t="n">
        <f aca="false">DF$8+1</f>
        <v>102</v>
      </c>
      <c r="DH8" s="43" t="n">
        <f aca="false">DG$8+1</f>
        <v>103</v>
      </c>
      <c r="DI8" s="43" t="n">
        <f aca="false">DH$8+1</f>
        <v>104</v>
      </c>
      <c r="DJ8" s="43" t="n">
        <f aca="false">DI$8+1</f>
        <v>105</v>
      </c>
      <c r="DK8" s="43" t="n">
        <f aca="false">DJ$8+1</f>
        <v>106</v>
      </c>
      <c r="DL8" s="43" t="n">
        <f aca="false">DK$8+1</f>
        <v>107</v>
      </c>
      <c r="DM8" s="43" t="n">
        <f aca="false">DL$8+1</f>
        <v>108</v>
      </c>
      <c r="DN8" s="43" t="n">
        <f aca="false">DM$8+1</f>
        <v>109</v>
      </c>
      <c r="DO8" s="43" t="n">
        <f aca="false">DN$8+1</f>
        <v>110</v>
      </c>
      <c r="DP8" s="43" t="n">
        <f aca="false">DO$8+1</f>
        <v>111</v>
      </c>
      <c r="DQ8" s="43" t="n">
        <f aca="false">DP$8+1</f>
        <v>112</v>
      </c>
      <c r="DR8" s="43" t="n">
        <f aca="false">DQ$8+1</f>
        <v>113</v>
      </c>
      <c r="DS8" s="43" t="n">
        <f aca="false">DR$8+1</f>
        <v>114</v>
      </c>
      <c r="DT8" s="43" t="n">
        <f aca="false">DS$8+1</f>
        <v>115</v>
      </c>
      <c r="DU8" s="43" t="n">
        <f aca="false">DT$8+1</f>
        <v>116</v>
      </c>
      <c r="DV8" s="43" t="n">
        <f aca="false">DU$8+1</f>
        <v>117</v>
      </c>
      <c r="DW8" s="43" t="n">
        <f aca="false">DV$8+1</f>
        <v>118</v>
      </c>
      <c r="DX8" s="43" t="n">
        <f aca="false">DW$8+1</f>
        <v>119</v>
      </c>
      <c r="DY8" s="43" t="n">
        <f aca="false">DX$8+1</f>
        <v>120</v>
      </c>
      <c r="DZ8" s="43" t="n">
        <f aca="false">DY$8+1</f>
        <v>121</v>
      </c>
      <c r="EA8" s="43" t="n">
        <f aca="false">DZ$8+1</f>
        <v>122</v>
      </c>
      <c r="EB8" s="43" t="n">
        <f aca="false">EA$8+1</f>
        <v>123</v>
      </c>
      <c r="EC8" s="43" t="n">
        <f aca="false">EB$8+1</f>
        <v>124</v>
      </c>
      <c r="ED8" s="43" t="n">
        <f aca="false">EC$8+1</f>
        <v>125</v>
      </c>
      <c r="EE8" s="43" t="n">
        <f aca="false">ED$8+1</f>
        <v>126</v>
      </c>
      <c r="EF8" s="43" t="n">
        <f aca="false">EE$8+1</f>
        <v>127</v>
      </c>
      <c r="EG8" s="43" t="n">
        <f aca="false">EF$8+1</f>
        <v>128</v>
      </c>
      <c r="EH8" s="43" t="n">
        <f aca="false">EG$8+1</f>
        <v>129</v>
      </c>
      <c r="EI8" s="43" t="n">
        <f aca="false">EH$8+1</f>
        <v>130</v>
      </c>
      <c r="EJ8" s="43" t="n">
        <f aca="false">EI$8+1</f>
        <v>131</v>
      </c>
      <c r="EK8" s="43" t="n">
        <f aca="false">EJ$8+1</f>
        <v>132</v>
      </c>
      <c r="EL8" s="43" t="n">
        <f aca="false">EK$8+1</f>
        <v>133</v>
      </c>
      <c r="EM8" s="43" t="n">
        <f aca="false">EL$8+1</f>
        <v>134</v>
      </c>
      <c r="EN8" s="43" t="n">
        <f aca="false">EM$8+1</f>
        <v>135</v>
      </c>
      <c r="EO8" s="43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390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391</v>
      </c>
      <c r="D12" s="11" t="s">
        <v>386</v>
      </c>
      <c r="E12" s="45" t="n">
        <f aca="false">In_NTP+1</f>
        <v>47027</v>
      </c>
      <c r="F12" s="20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392</v>
      </c>
      <c r="D13" s="11" t="s">
        <v>386</v>
      </c>
      <c r="E13" s="45" t="n">
        <f aca="false">In_Closing+1</f>
        <v>46388</v>
      </c>
      <c r="F13" s="20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49" t="n">
        <f aca="false">SUM(J14:EO14)</f>
        <v>1</v>
      </c>
      <c r="J14" s="49" t="n">
        <f aca="false">N(AND(J$3&lt;=$E14,J$4&gt;=$E14))</f>
        <v>0</v>
      </c>
      <c r="K14" s="49" t="n">
        <f aca="false">N(AND(K$3&lt;=$E14,K$4&gt;=$E14))</f>
        <v>0</v>
      </c>
      <c r="L14" s="49" t="n">
        <f aca="false">N(AND(L$3&lt;=$E14,L$4&gt;=$E14))</f>
        <v>0</v>
      </c>
      <c r="M14" s="49" t="n">
        <f aca="false">N(AND(M$3&lt;=$E14,M$4&gt;=$E14))</f>
        <v>0</v>
      </c>
      <c r="N14" s="49" t="n">
        <f aca="false">N(AND(N$3&lt;=$E14,N$4&gt;=$E14))</f>
        <v>0</v>
      </c>
      <c r="O14" s="49" t="n">
        <f aca="false">N(AND(O$3&lt;=$E14,O$4&gt;=$E14))</f>
        <v>0</v>
      </c>
      <c r="P14" s="49" t="n">
        <f aca="false">N(AND(P$3&lt;=$E14,P$4&gt;=$E14))</f>
        <v>0</v>
      </c>
      <c r="Q14" s="49" t="n">
        <f aca="false">N(AND(Q$3&lt;=$E14,Q$4&gt;=$E14))</f>
        <v>0</v>
      </c>
      <c r="R14" s="49" t="n">
        <f aca="false">N(AND(R$3&lt;=$E14,R$4&gt;=$E14))</f>
        <v>0</v>
      </c>
      <c r="S14" s="49" t="n">
        <f aca="false">N(AND(S$3&lt;=$E14,S$4&gt;=$E14))</f>
        <v>0</v>
      </c>
      <c r="T14" s="49" t="n">
        <f aca="false">N(AND(T$3&lt;=$E14,T$4&gt;=$E14))</f>
        <v>0</v>
      </c>
      <c r="U14" s="49" t="n">
        <f aca="false">N(AND(U$3&lt;=$E14,U$4&gt;=$E14))</f>
        <v>0</v>
      </c>
      <c r="V14" s="49" t="n">
        <f aca="false">N(AND(V$3&lt;=$E14,V$4&gt;=$E14))</f>
        <v>0</v>
      </c>
      <c r="W14" s="49" t="n">
        <f aca="false">N(AND(W$3&lt;=$E14,W$4&gt;=$E14))</f>
        <v>0</v>
      </c>
      <c r="X14" s="49" t="n">
        <f aca="false">N(AND(X$3&lt;=$E14,X$4&gt;=$E14))</f>
        <v>0</v>
      </c>
      <c r="Y14" s="49" t="n">
        <f aca="false">N(AND(Y$3&lt;=$E14,Y$4&gt;=$E14))</f>
        <v>1</v>
      </c>
      <c r="Z14" s="49" t="n">
        <f aca="false">N(AND(Z$3&lt;=$E14,Z$4&gt;=$E14))</f>
        <v>0</v>
      </c>
      <c r="AA14" s="49" t="n">
        <f aca="false">N(AND(AA$3&lt;=$E14,AA$4&gt;=$E14))</f>
        <v>0</v>
      </c>
      <c r="AB14" s="49" t="n">
        <f aca="false">N(AND(AB$3&lt;=$E14,AB$4&gt;=$E14))</f>
        <v>0</v>
      </c>
      <c r="AC14" s="49" t="n">
        <f aca="false">N(AND(AC$3&lt;=$E14,AC$4&gt;=$E14))</f>
        <v>0</v>
      </c>
      <c r="AD14" s="49" t="n">
        <f aca="false">N(AND(AD$3&lt;=$E14,AD$4&gt;=$E14))</f>
        <v>0</v>
      </c>
      <c r="AE14" s="49" t="n">
        <f aca="false">N(AND(AE$3&lt;=$E14,AE$4&gt;=$E14))</f>
        <v>0</v>
      </c>
      <c r="AF14" s="49" t="n">
        <f aca="false">N(AND(AF$3&lt;=$E14,AF$4&gt;=$E14))</f>
        <v>0</v>
      </c>
      <c r="AG14" s="49" t="n">
        <f aca="false">N(AND(AG$3&lt;=$E14,AG$4&gt;=$E14))</f>
        <v>0</v>
      </c>
      <c r="AH14" s="49" t="n">
        <f aca="false">N(AND(AH$3&lt;=$E14,AH$4&gt;=$E14))</f>
        <v>0</v>
      </c>
      <c r="AI14" s="49" t="n">
        <f aca="false">N(AND(AI$3&lt;=$E14,AI$4&gt;=$E14))</f>
        <v>0</v>
      </c>
      <c r="AJ14" s="49" t="n">
        <f aca="false">N(AND(AJ$3&lt;=$E14,AJ$4&gt;=$E14))</f>
        <v>0</v>
      </c>
      <c r="AK14" s="49" t="n">
        <f aca="false">N(AND(AK$3&lt;=$E14,AK$4&gt;=$E14))</f>
        <v>0</v>
      </c>
      <c r="AL14" s="49" t="n">
        <f aca="false">N(AND(AL$3&lt;=$E14,AL$4&gt;=$E14))</f>
        <v>0</v>
      </c>
      <c r="AM14" s="49" t="n">
        <f aca="false">N(AND(AM$3&lt;=$E14,AM$4&gt;=$E14))</f>
        <v>0</v>
      </c>
      <c r="AN14" s="49" t="n">
        <f aca="false">N(AND(AN$3&lt;=$E14,AN$4&gt;=$E14))</f>
        <v>0</v>
      </c>
      <c r="AO14" s="49" t="n">
        <f aca="false">N(AND(AO$3&lt;=$E14,AO$4&gt;=$E14))</f>
        <v>0</v>
      </c>
      <c r="AP14" s="49" t="n">
        <f aca="false">N(AND(AP$3&lt;=$E14,AP$4&gt;=$E14))</f>
        <v>0</v>
      </c>
      <c r="AQ14" s="49" t="n">
        <f aca="false">N(AND(AQ$3&lt;=$E14,AQ$4&gt;=$E14))</f>
        <v>0</v>
      </c>
      <c r="AR14" s="49" t="n">
        <f aca="false">N(AND(AR$3&lt;=$E14,AR$4&gt;=$E14))</f>
        <v>0</v>
      </c>
      <c r="AS14" s="49" t="n">
        <f aca="false">N(AND(AS$3&lt;=$E14,AS$4&gt;=$E14))</f>
        <v>0</v>
      </c>
      <c r="AT14" s="49" t="n">
        <f aca="false">N(AND(AT$3&lt;=$E14,AT$4&gt;=$E14))</f>
        <v>0</v>
      </c>
      <c r="AU14" s="49" t="n">
        <f aca="false">N(AND(AU$3&lt;=$E14,AU$4&gt;=$E14))</f>
        <v>0</v>
      </c>
      <c r="AV14" s="49" t="n">
        <f aca="false">N(AND(AV$3&lt;=$E14,AV$4&gt;=$E14))</f>
        <v>0</v>
      </c>
      <c r="AW14" s="49" t="n">
        <f aca="false">N(AND(AW$3&lt;=$E14,AW$4&gt;=$E14))</f>
        <v>0</v>
      </c>
      <c r="AX14" s="49" t="n">
        <f aca="false">N(AND(AX$3&lt;=$E14,AX$4&gt;=$E14))</f>
        <v>0</v>
      </c>
      <c r="AY14" s="49" t="n">
        <f aca="false">N(AND(AY$3&lt;=$E14,AY$4&gt;=$E14))</f>
        <v>0</v>
      </c>
      <c r="AZ14" s="49" t="n">
        <f aca="false">N(AND(AZ$3&lt;=$E14,AZ$4&gt;=$E14))</f>
        <v>0</v>
      </c>
      <c r="BA14" s="49" t="n">
        <f aca="false">N(AND(BA$3&lt;=$E14,BA$4&gt;=$E14))</f>
        <v>0</v>
      </c>
      <c r="BB14" s="49" t="n">
        <f aca="false">N(AND(BB$3&lt;=$E14,BB$4&gt;=$E14))</f>
        <v>0</v>
      </c>
      <c r="BC14" s="49" t="n">
        <f aca="false">N(AND(BC$3&lt;=$E14,BC$4&gt;=$E14))</f>
        <v>0</v>
      </c>
      <c r="BD14" s="49" t="n">
        <f aca="false">N(AND(BD$3&lt;=$E14,BD$4&gt;=$E14))</f>
        <v>0</v>
      </c>
      <c r="BE14" s="49" t="n">
        <f aca="false">N(AND(BE$3&lt;=$E14,BE$4&gt;=$E14))</f>
        <v>0</v>
      </c>
      <c r="BF14" s="49" t="n">
        <f aca="false">N(AND(BF$3&lt;=$E14,BF$4&gt;=$E14))</f>
        <v>0</v>
      </c>
      <c r="BG14" s="49" t="n">
        <f aca="false">N(AND(BG$3&lt;=$E14,BG$4&gt;=$E14))</f>
        <v>0</v>
      </c>
      <c r="BH14" s="49" t="n">
        <f aca="false">N(AND(BH$3&lt;=$E14,BH$4&gt;=$E14))</f>
        <v>0</v>
      </c>
      <c r="BI14" s="49" t="n">
        <f aca="false">N(AND(BI$3&lt;=$E14,BI$4&gt;=$E14))</f>
        <v>0</v>
      </c>
      <c r="BJ14" s="49" t="n">
        <f aca="false">N(AND(BJ$3&lt;=$E14,BJ$4&gt;=$E14))</f>
        <v>0</v>
      </c>
      <c r="BK14" s="49" t="n">
        <f aca="false">N(AND(BK$3&lt;=$E14,BK$4&gt;=$E14))</f>
        <v>0</v>
      </c>
      <c r="BL14" s="49" t="n">
        <f aca="false">N(AND(BL$3&lt;=$E14,BL$4&gt;=$E14))</f>
        <v>0</v>
      </c>
      <c r="BM14" s="49" t="n">
        <f aca="false">N(AND(BM$3&lt;=$E14,BM$4&gt;=$E14))</f>
        <v>0</v>
      </c>
      <c r="BN14" s="49" t="n">
        <f aca="false">N(AND(BN$3&lt;=$E14,BN$4&gt;=$E14))</f>
        <v>0</v>
      </c>
      <c r="BO14" s="49" t="n">
        <f aca="false">N(AND(BO$3&lt;=$E14,BO$4&gt;=$E14))</f>
        <v>0</v>
      </c>
      <c r="BP14" s="49" t="n">
        <f aca="false">N(AND(BP$3&lt;=$E14,BP$4&gt;=$E14))</f>
        <v>0</v>
      </c>
      <c r="BQ14" s="49" t="n">
        <f aca="false">N(AND(BQ$3&lt;=$E14,BQ$4&gt;=$E14))</f>
        <v>0</v>
      </c>
      <c r="BR14" s="49" t="n">
        <f aca="false">N(AND(BR$3&lt;=$E14,BR$4&gt;=$E14))</f>
        <v>0</v>
      </c>
      <c r="BS14" s="49" t="n">
        <f aca="false">N(AND(BS$3&lt;=$E14,BS$4&gt;=$E14))</f>
        <v>0</v>
      </c>
      <c r="BT14" s="49" t="n">
        <f aca="false">N(AND(BT$3&lt;=$E14,BT$4&gt;=$E14))</f>
        <v>0</v>
      </c>
      <c r="BU14" s="49" t="n">
        <f aca="false">N(AND(BU$3&lt;=$E14,BU$4&gt;=$E14))</f>
        <v>0</v>
      </c>
      <c r="BV14" s="49" t="n">
        <f aca="false">N(AND(BV$3&lt;=$E14,BV$4&gt;=$E14))</f>
        <v>0</v>
      </c>
      <c r="BW14" s="49" t="n">
        <f aca="false">N(AND(BW$3&lt;=$E14,BW$4&gt;=$E14))</f>
        <v>0</v>
      </c>
      <c r="BX14" s="49" t="n">
        <f aca="false">N(AND(BX$3&lt;=$E14,BX$4&gt;=$E14))</f>
        <v>0</v>
      </c>
      <c r="BY14" s="49" t="n">
        <f aca="false">N(AND(BY$3&lt;=$E14,BY$4&gt;=$E14))</f>
        <v>0</v>
      </c>
      <c r="BZ14" s="49" t="n">
        <f aca="false">N(AND(BZ$3&lt;=$E14,BZ$4&gt;=$E14))</f>
        <v>0</v>
      </c>
      <c r="CA14" s="49" t="n">
        <f aca="false">N(AND(CA$3&lt;=$E14,CA$4&gt;=$E14))</f>
        <v>0</v>
      </c>
      <c r="CB14" s="49" t="n">
        <f aca="false">N(AND(CB$3&lt;=$E14,CB$4&gt;=$E14))</f>
        <v>0</v>
      </c>
      <c r="CC14" s="49" t="n">
        <f aca="false">N(AND(CC$3&lt;=$E14,CC$4&gt;=$E14))</f>
        <v>0</v>
      </c>
      <c r="CD14" s="49" t="n">
        <f aca="false">N(AND(CD$3&lt;=$E14,CD$4&gt;=$E14))</f>
        <v>0</v>
      </c>
      <c r="CE14" s="49" t="n">
        <f aca="false">N(AND(CE$3&lt;=$E14,CE$4&gt;=$E14))</f>
        <v>0</v>
      </c>
      <c r="CF14" s="49" t="n">
        <f aca="false">N(AND(CF$3&lt;=$E14,CF$4&gt;=$E14))</f>
        <v>0</v>
      </c>
      <c r="CG14" s="49" t="n">
        <f aca="false">N(AND(CG$3&lt;=$E14,CG$4&gt;=$E14))</f>
        <v>0</v>
      </c>
      <c r="CH14" s="49" t="n">
        <f aca="false">N(AND(CH$3&lt;=$E14,CH$4&gt;=$E14))</f>
        <v>0</v>
      </c>
      <c r="CI14" s="49" t="n">
        <f aca="false">N(AND(CI$3&lt;=$E14,CI$4&gt;=$E14))</f>
        <v>0</v>
      </c>
      <c r="CJ14" s="49" t="n">
        <f aca="false">N(AND(CJ$3&lt;=$E14,CJ$4&gt;=$E14))</f>
        <v>0</v>
      </c>
      <c r="CK14" s="49" t="n">
        <f aca="false">N(AND(CK$3&lt;=$E14,CK$4&gt;=$E14))</f>
        <v>0</v>
      </c>
      <c r="CL14" s="49" t="n">
        <f aca="false">N(AND(CL$3&lt;=$E14,CL$4&gt;=$E14))</f>
        <v>0</v>
      </c>
      <c r="CM14" s="49" t="n">
        <f aca="false">N(AND(CM$3&lt;=$E14,CM$4&gt;=$E14))</f>
        <v>0</v>
      </c>
      <c r="CN14" s="49" t="n">
        <f aca="false">N(AND(CN$3&lt;=$E14,CN$4&gt;=$E14))</f>
        <v>0</v>
      </c>
      <c r="CO14" s="49" t="n">
        <f aca="false">N(AND(CO$3&lt;=$E14,CO$4&gt;=$E14))</f>
        <v>0</v>
      </c>
      <c r="CP14" s="49" t="n">
        <f aca="false">N(AND(CP$3&lt;=$E14,CP$4&gt;=$E14))</f>
        <v>0</v>
      </c>
      <c r="CQ14" s="49" t="n">
        <f aca="false">N(AND(CQ$3&lt;=$E14,CQ$4&gt;=$E14))</f>
        <v>0</v>
      </c>
      <c r="CR14" s="49" t="n">
        <f aca="false">N(AND(CR$3&lt;=$E14,CR$4&gt;=$E14))</f>
        <v>0</v>
      </c>
      <c r="CS14" s="49" t="n">
        <f aca="false">N(AND(CS$3&lt;=$E14,CS$4&gt;=$E14))</f>
        <v>0</v>
      </c>
      <c r="CT14" s="49" t="n">
        <f aca="false">N(AND(CT$3&lt;=$E14,CT$4&gt;=$E14))</f>
        <v>0</v>
      </c>
      <c r="CU14" s="49" t="n">
        <f aca="false">N(AND(CU$3&lt;=$E14,CU$4&gt;=$E14))</f>
        <v>0</v>
      </c>
      <c r="CV14" s="49" t="n">
        <f aca="false">N(AND(CV$3&lt;=$E14,CV$4&gt;=$E14))</f>
        <v>0</v>
      </c>
      <c r="CW14" s="49" t="n">
        <f aca="false">N(AND(CW$3&lt;=$E14,CW$4&gt;=$E14))</f>
        <v>0</v>
      </c>
      <c r="CX14" s="49" t="n">
        <f aca="false">N(AND(CX$3&lt;=$E14,CX$4&gt;=$E14))</f>
        <v>0</v>
      </c>
      <c r="CY14" s="49" t="n">
        <f aca="false">N(AND(CY$3&lt;=$E14,CY$4&gt;=$E14))</f>
        <v>0</v>
      </c>
      <c r="CZ14" s="49" t="n">
        <f aca="false">N(AND(CZ$3&lt;=$E14,CZ$4&gt;=$E14))</f>
        <v>0</v>
      </c>
      <c r="DA14" s="49" t="n">
        <f aca="false">N(AND(DA$3&lt;=$E14,DA$4&gt;=$E14))</f>
        <v>0</v>
      </c>
      <c r="DB14" s="49" t="n">
        <f aca="false">N(AND(DB$3&lt;=$E14,DB$4&gt;=$E14))</f>
        <v>0</v>
      </c>
      <c r="DC14" s="49" t="n">
        <f aca="false">N(AND(DC$3&lt;=$E14,DC$4&gt;=$E14))</f>
        <v>0</v>
      </c>
      <c r="DD14" s="49" t="n">
        <f aca="false">N(AND(DD$3&lt;=$E14,DD$4&gt;=$E14))</f>
        <v>0</v>
      </c>
      <c r="DE14" s="49" t="n">
        <f aca="false">N(AND(DE$3&lt;=$E14,DE$4&gt;=$E14))</f>
        <v>0</v>
      </c>
      <c r="DF14" s="49" t="n">
        <f aca="false">N(AND(DF$3&lt;=$E14,DF$4&gt;=$E14))</f>
        <v>0</v>
      </c>
      <c r="DG14" s="49" t="n">
        <f aca="false">N(AND(DG$3&lt;=$E14,DG$4&gt;=$E14))</f>
        <v>0</v>
      </c>
      <c r="DH14" s="49" t="n">
        <f aca="false">N(AND(DH$3&lt;=$E14,DH$4&gt;=$E14))</f>
        <v>0</v>
      </c>
      <c r="DI14" s="49" t="n">
        <f aca="false">N(AND(DI$3&lt;=$E14,DI$4&gt;=$E14))</f>
        <v>0</v>
      </c>
      <c r="DJ14" s="49" t="n">
        <f aca="false">N(AND(DJ$3&lt;=$E14,DJ$4&gt;=$E14))</f>
        <v>0</v>
      </c>
      <c r="DK14" s="49" t="n">
        <f aca="false">N(AND(DK$3&lt;=$E14,DK$4&gt;=$E14))</f>
        <v>0</v>
      </c>
      <c r="DL14" s="49" t="n">
        <f aca="false">N(AND(DL$3&lt;=$E14,DL$4&gt;=$E14))</f>
        <v>0</v>
      </c>
      <c r="DM14" s="49" t="n">
        <f aca="false">N(AND(DM$3&lt;=$E14,DM$4&gt;=$E14))</f>
        <v>0</v>
      </c>
      <c r="DN14" s="49" t="n">
        <f aca="false">N(AND(DN$3&lt;=$E14,DN$4&gt;=$E14))</f>
        <v>0</v>
      </c>
      <c r="DO14" s="49" t="n">
        <f aca="false">N(AND(DO$3&lt;=$E14,DO$4&gt;=$E14))</f>
        <v>0</v>
      </c>
      <c r="DP14" s="49" t="n">
        <f aca="false">N(AND(DP$3&lt;=$E14,DP$4&gt;=$E14))</f>
        <v>0</v>
      </c>
      <c r="DQ14" s="49" t="n">
        <f aca="false">N(AND(DQ$3&lt;=$E14,DQ$4&gt;=$E14))</f>
        <v>0</v>
      </c>
      <c r="DR14" s="49" t="n">
        <f aca="false">N(AND(DR$3&lt;=$E14,DR$4&gt;=$E14))</f>
        <v>0</v>
      </c>
      <c r="DS14" s="49" t="n">
        <f aca="false">N(AND(DS$3&lt;=$E14,DS$4&gt;=$E14))</f>
        <v>0</v>
      </c>
      <c r="DT14" s="49" t="n">
        <f aca="false">N(AND(DT$3&lt;=$E14,DT$4&gt;=$E14))</f>
        <v>0</v>
      </c>
      <c r="DU14" s="49" t="n">
        <f aca="false">N(AND(DU$3&lt;=$E14,DU$4&gt;=$E14))</f>
        <v>0</v>
      </c>
      <c r="DV14" s="49" t="n">
        <f aca="false">N(AND(DV$3&lt;=$E14,DV$4&gt;=$E14))</f>
        <v>0</v>
      </c>
      <c r="DW14" s="49" t="n">
        <f aca="false">N(AND(DW$3&lt;=$E14,DW$4&gt;=$E14))</f>
        <v>0</v>
      </c>
      <c r="DX14" s="49" t="n">
        <f aca="false">N(AND(DX$3&lt;=$E14,DX$4&gt;=$E14))</f>
        <v>0</v>
      </c>
      <c r="DY14" s="49" t="n">
        <f aca="false">N(AND(DY$3&lt;=$E14,DY$4&gt;=$E14))</f>
        <v>0</v>
      </c>
      <c r="DZ14" s="49" t="n">
        <f aca="false">N(AND(DZ$3&lt;=$E14,DZ$4&gt;=$E14))</f>
        <v>0</v>
      </c>
      <c r="EA14" s="49" t="n">
        <f aca="false">N(AND(EA$3&lt;=$E14,EA$4&gt;=$E14))</f>
        <v>0</v>
      </c>
      <c r="EB14" s="49" t="n">
        <f aca="false">N(AND(EB$3&lt;=$E14,EB$4&gt;=$E14))</f>
        <v>0</v>
      </c>
      <c r="EC14" s="49" t="n">
        <f aca="false">N(AND(EC$3&lt;=$E14,EC$4&gt;=$E14))</f>
        <v>0</v>
      </c>
      <c r="ED14" s="49" t="n">
        <f aca="false">N(AND(ED$3&lt;=$E14,ED$4&gt;=$E14))</f>
        <v>0</v>
      </c>
      <c r="EE14" s="49" t="n">
        <f aca="false">N(AND(EE$3&lt;=$E14,EE$4&gt;=$E14))</f>
        <v>0</v>
      </c>
      <c r="EF14" s="49" t="n">
        <f aca="false">N(AND(EF$3&lt;=$E14,EF$4&gt;=$E14))</f>
        <v>0</v>
      </c>
      <c r="EG14" s="49" t="n">
        <f aca="false">N(AND(EG$3&lt;=$E14,EG$4&gt;=$E14))</f>
        <v>0</v>
      </c>
      <c r="EH14" s="49" t="n">
        <f aca="false">N(AND(EH$3&lt;=$E14,EH$4&gt;=$E14))</f>
        <v>0</v>
      </c>
      <c r="EI14" s="49" t="n">
        <f aca="false">N(AND(EI$3&lt;=$E14,EI$4&gt;=$E14))</f>
        <v>0</v>
      </c>
      <c r="EJ14" s="49" t="n">
        <f aca="false">N(AND(EJ$3&lt;=$E14,EJ$4&gt;=$E14))</f>
        <v>0</v>
      </c>
      <c r="EK14" s="49" t="n">
        <f aca="false">N(AND(EK$3&lt;=$E14,EK$4&gt;=$E14))</f>
        <v>0</v>
      </c>
      <c r="EL14" s="49" t="n">
        <f aca="false">N(AND(EL$3&lt;=$E14,EL$4&gt;=$E14))</f>
        <v>0</v>
      </c>
      <c r="EM14" s="49" t="n">
        <f aca="false">N(AND(EM$3&lt;=$E14,EM$4&gt;=$E14))</f>
        <v>0</v>
      </c>
      <c r="EN14" s="49" t="n">
        <f aca="false">N(AND(EN$3&lt;=$E14,EN$4&gt;=$E14))</f>
        <v>0</v>
      </c>
      <c r="EO14" s="49" t="n">
        <f aca="false">N(AND(EO$3&lt;=$E14,EO$4&gt;=$E14))</f>
        <v>0</v>
      </c>
    </row>
    <row r="15" customFormat="false" ht="15" hidden="false" customHeight="false" outlineLevel="0" collapsed="false">
      <c r="C15" s="0" t="s">
        <v>393</v>
      </c>
      <c r="D15" s="11" t="s">
        <v>147</v>
      </c>
      <c r="E15" s="43" t="n">
        <f aca="false">MATCH(In_COD,$J$4:$EO$4,0)</f>
        <v>16</v>
      </c>
    </row>
    <row r="16" customFormat="false" ht="15" hidden="false" customHeight="false" outlineLevel="0" collapsed="false">
      <c r="C16" s="0" t="s">
        <v>310</v>
      </c>
      <c r="D16" s="11" t="s">
        <v>43</v>
      </c>
      <c r="E16" s="45" t="n">
        <f aca="false">In_COD+1</f>
        <v>47757</v>
      </c>
      <c r="F16" s="45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0</v>
      </c>
      <c r="S16" s="54" t="n">
        <f aca="false">MAX(0,(MIN($F16,S$4)-MAX($E16,S$3)+1)/S$5)</f>
        <v>0</v>
      </c>
      <c r="T16" s="54" t="n">
        <f aca="false">MAX(0,(MIN($F16,T$4)-MAX($E16,T$3)+1)/T$5)</f>
        <v>0</v>
      </c>
      <c r="U16" s="54" t="n">
        <f aca="false">MAX(0,(MIN($F16,U$4)-MAX($E16,U$3)+1)/U$5)</f>
        <v>0</v>
      </c>
      <c r="V16" s="54" t="n">
        <f aca="false">MAX(0,(MIN($F16,V$4)-MAX($E16,V$3)+1)/V$5)</f>
        <v>0</v>
      </c>
      <c r="W16" s="54" t="n">
        <f aca="false">MAX(0,(MIN($F16,W$4)-MAX($E16,W$3)+1)/W$5)</f>
        <v>0</v>
      </c>
      <c r="X16" s="54" t="n">
        <f aca="false">MAX(0,(MIN($F16,X$4)-MAX($E16,X$3)+1)/X$5)</f>
        <v>0</v>
      </c>
      <c r="Y16" s="54" t="n">
        <f aca="false">MAX(0,(MIN($F16,Y$4)-MAX($E16,Y$3)+1)/Y$5)</f>
        <v>0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394</v>
      </c>
      <c r="D17" s="11" t="s">
        <v>43</v>
      </c>
      <c r="E17" s="45" t="n">
        <f aca="false">In_NTP+1</f>
        <v>47027</v>
      </c>
      <c r="F17" s="45" t="n">
        <f aca="false">EDATE(In_COD,In_Life*Months_In_Year)</f>
        <v>58714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1</v>
      </c>
      <c r="S17" s="54" t="n">
        <f aca="false">MAX(0,(MIN($F17,S$4)-MAX($E17,S$3)+1)/S$5)</f>
        <v>1</v>
      </c>
      <c r="T17" s="54" t="n">
        <f aca="false">MAX(0,(MIN($F17,T$4)-MAX($E17,T$3)+1)/T$5)</f>
        <v>1</v>
      </c>
      <c r="U17" s="54" t="n">
        <f aca="false">MAX(0,(MIN($F17,U$4)-MAX($E17,U$3)+1)/U$5)</f>
        <v>1</v>
      </c>
      <c r="V17" s="54" t="n">
        <f aca="false">MAX(0,(MIN($F17,V$4)-MAX($E17,V$3)+1)/V$5)</f>
        <v>1</v>
      </c>
      <c r="W17" s="54" t="n">
        <f aca="false">MAX(0,(MIN($F17,W$4)-MAX($E17,W$3)+1)/W$5)</f>
        <v>1</v>
      </c>
      <c r="X17" s="54" t="n">
        <f aca="false">MAX(0,(MIN($F17,X$4)-MAX($E17,X$3)+1)/X$5)</f>
        <v>1</v>
      </c>
      <c r="Y17" s="54" t="n">
        <f aca="false">MAX(0,(MIN($F17,Y$4)-MAX($E17,Y$3)+1)/Y$5)</f>
        <v>1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1</v>
      </c>
      <c r="CU17" s="54" t="n">
        <f aca="false">MAX(0,(MIN($F17,CU$4)-MAX($E17,CU$3)+1)/CU$5)</f>
        <v>1</v>
      </c>
      <c r="CV17" s="54" t="n">
        <f aca="false">MAX(0,(MIN($F17,CV$4)-MAX($E17,CV$3)+1)/CV$5)</f>
        <v>1</v>
      </c>
      <c r="CW17" s="54" t="n">
        <f aca="false">MAX(0,(MIN($F17,CW$4)-MAX($E17,CW$3)+1)/CW$5)</f>
        <v>1</v>
      </c>
      <c r="CX17" s="54" t="n">
        <f aca="false">MAX(0,(MIN($F17,CX$4)-MAX($E17,CX$3)+1)/CX$5)</f>
        <v>1</v>
      </c>
      <c r="CY17" s="54" t="n">
        <f aca="false">MAX(0,(MIN($F17,CY$4)-MAX($E17,CY$3)+1)/CY$5)</f>
        <v>1</v>
      </c>
      <c r="CZ17" s="54" t="n">
        <f aca="false">MAX(0,(MIN($F17,CZ$4)-MAX($E17,CZ$3)+1)/CZ$5)</f>
        <v>1</v>
      </c>
      <c r="DA17" s="54" t="n">
        <f aca="false">MAX(0,(MIN($F17,DA$4)-MAX($E17,DA$3)+1)/DA$5)</f>
        <v>1</v>
      </c>
      <c r="DB17" s="54" t="n">
        <f aca="false">MAX(0,(MIN($F17,DB$4)-MAX($E17,DB$3)+1)/DB$5)</f>
        <v>1</v>
      </c>
      <c r="DC17" s="54" t="n">
        <f aca="false">MAX(0,(MIN($F17,DC$4)-MAX($E17,DC$3)+1)/DC$5)</f>
        <v>1</v>
      </c>
      <c r="DD17" s="54" t="n">
        <f aca="false">MAX(0,(MIN($F17,DD$4)-MAX($E17,DD$3)+1)/DD$5)</f>
        <v>1</v>
      </c>
      <c r="DE17" s="54" t="n">
        <f aca="false">MAX(0,(MIN($F17,DE$4)-MAX($E17,DE$3)+1)/DE$5)</f>
        <v>1</v>
      </c>
      <c r="DF17" s="54" t="n">
        <f aca="false">MAX(0,(MIN($F17,DF$4)-MAX($E17,DF$3)+1)/DF$5)</f>
        <v>1</v>
      </c>
      <c r="DG17" s="54" t="n">
        <f aca="false">MAX(0,(MIN($F17,DG$4)-MAX($E17,DG$3)+1)/DG$5)</f>
        <v>1</v>
      </c>
      <c r="DH17" s="54" t="n">
        <f aca="false">MAX(0,(MIN($F17,DH$4)-MAX($E17,DH$3)+1)/DH$5)</f>
        <v>1</v>
      </c>
      <c r="DI17" s="54" t="n">
        <f aca="false">MAX(0,(MIN($F17,DI$4)-MAX($E17,DI$3)+1)/DI$5)</f>
        <v>1</v>
      </c>
      <c r="DJ17" s="54" t="n">
        <f aca="false">MAX(0,(MIN($F17,DJ$4)-MAX($E17,DJ$3)+1)/DJ$5)</f>
        <v>1</v>
      </c>
      <c r="DK17" s="54" t="n">
        <f aca="false">MAX(0,(MIN($F17,DK$4)-MAX($E17,DK$3)+1)/DK$5)</f>
        <v>1</v>
      </c>
      <c r="DL17" s="54" t="n">
        <f aca="false">MAX(0,(MIN($F17,DL$4)-MAX($E17,DL$3)+1)/DL$5)</f>
        <v>1</v>
      </c>
      <c r="DM17" s="54" t="n">
        <f aca="false">MAX(0,(MIN($F17,DM$4)-MAX($E17,DM$3)+1)/DM$5)</f>
        <v>1</v>
      </c>
      <c r="DN17" s="54" t="n">
        <f aca="false">MAX(0,(MIN($F17,DN$4)-MAX($E17,DN$3)+1)/DN$5)</f>
        <v>1</v>
      </c>
      <c r="DO17" s="54" t="n">
        <f aca="false">MAX(0,(MIN($F17,DO$4)-MAX($E17,DO$3)+1)/DO$5)</f>
        <v>1</v>
      </c>
      <c r="DP17" s="54" t="n">
        <f aca="false">MAX(0,(MIN($F17,DP$4)-MAX($E17,DP$3)+1)/DP$5)</f>
        <v>1</v>
      </c>
      <c r="DQ17" s="54" t="n">
        <f aca="false">MAX(0,(MIN($F17,DQ$4)-MAX($E17,DQ$3)+1)/DQ$5)</f>
        <v>1</v>
      </c>
      <c r="DR17" s="54" t="n">
        <f aca="false">MAX(0,(MIN($F17,DR$4)-MAX($E17,DR$3)+1)/DR$5)</f>
        <v>1</v>
      </c>
      <c r="DS17" s="54" t="n">
        <f aca="false">MAX(0,(MIN($F17,DS$4)-MAX($E17,DS$3)+1)/DS$5)</f>
        <v>1</v>
      </c>
      <c r="DT17" s="54" t="n">
        <f aca="false">MAX(0,(MIN($F17,DT$4)-MAX($E17,DT$3)+1)/DT$5)</f>
        <v>1</v>
      </c>
      <c r="DU17" s="54" t="n">
        <f aca="false">MAX(0,(MIN($F17,DU$4)-MAX($E17,DU$3)+1)/DU$5)</f>
        <v>1</v>
      </c>
      <c r="DV17" s="54" t="n">
        <f aca="false">MAX(0,(MIN($F17,DV$4)-MAX($E17,DV$3)+1)/DV$5)</f>
        <v>1</v>
      </c>
      <c r="DW17" s="54" t="n">
        <f aca="false">MAX(0,(MIN($F17,DW$4)-MAX($E17,DW$3)+1)/DW$5)</f>
        <v>1</v>
      </c>
      <c r="DX17" s="54" t="n">
        <f aca="false">MAX(0,(MIN($F17,DX$4)-MAX($E17,DX$3)+1)/DX$5)</f>
        <v>1</v>
      </c>
      <c r="DY17" s="54" t="n">
        <f aca="false">MAX(0,(MIN($F17,DY$4)-MAX($E17,DY$3)+1)/DY$5)</f>
        <v>1</v>
      </c>
      <c r="DZ17" s="54" t="n">
        <f aca="false">MAX(0,(MIN($F17,DZ$4)-MAX($E17,DZ$3)+1)/DZ$5)</f>
        <v>1</v>
      </c>
      <c r="EA17" s="54" t="n">
        <f aca="false">MAX(0,(MIN($F17,EA$4)-MAX($E17,EA$3)+1)/EA$5)</f>
        <v>1</v>
      </c>
      <c r="EB17" s="54" t="n">
        <f aca="false">MAX(0,(MIN($F17,EB$4)-MAX($E17,EB$3)+1)/EB$5)</f>
        <v>1</v>
      </c>
      <c r="EC17" s="54" t="n">
        <f aca="false">MAX(0,(MIN($F17,EC$4)-MAX($E17,EC$3)+1)/EC$5)</f>
        <v>1</v>
      </c>
      <c r="ED17" s="54" t="n">
        <f aca="false">MAX(0,(MIN($F17,ED$4)-MAX($E17,ED$3)+1)/ED$5)</f>
        <v>1</v>
      </c>
      <c r="EE17" s="54" t="n">
        <f aca="false">MAX(0,(MIN($F17,EE$4)-MAX($E17,EE$3)+1)/EE$5)</f>
        <v>1</v>
      </c>
      <c r="EF17" s="54" t="n">
        <f aca="false">MAX(0,(MIN($F17,EF$4)-MAX($E17,EF$3)+1)/EF$5)</f>
        <v>1</v>
      </c>
      <c r="EG17" s="54" t="n">
        <f aca="false">MAX(0,(MIN($F17,EG$4)-MAX($E17,EG$3)+1)/EG$5)</f>
        <v>1</v>
      </c>
      <c r="EH17" s="54" t="n">
        <f aca="false">MAX(0,(MIN($F17,EH$4)-MAX($E17,EH$3)+1)/EH$5)</f>
        <v>1</v>
      </c>
      <c r="EI17" s="54" t="n">
        <f aca="false">MAX(0,(MIN($F17,EI$4)-MAX($E17,EI$3)+1)/EI$5)</f>
        <v>1</v>
      </c>
      <c r="EJ17" s="54" t="n">
        <f aca="false">MAX(0,(MIN($F17,EJ$4)-MAX($E17,EJ$3)+1)/EJ$5)</f>
        <v>1</v>
      </c>
      <c r="EK17" s="54" t="n">
        <f aca="false">MAX(0,(MIN($F17,EK$4)-MAX($E17,EK$3)+1)/EK$5)</f>
        <v>1</v>
      </c>
      <c r="EL17" s="54" t="n">
        <f aca="false">MAX(0,(MIN($F17,EL$4)-MAX($E17,EL$3)+1)/EL$5)</f>
        <v>1</v>
      </c>
      <c r="EM17" s="54" t="n">
        <f aca="false">MAX(0,(MIN($F17,EM$4)-MAX($E17,EM$3)+1)/EM$5)</f>
        <v>1</v>
      </c>
      <c r="EN17" s="54" t="n">
        <f aca="false">MAX(0,(MIN($F17,EN$4)-MAX($E17,EN$3)+1)/EN$5)</f>
        <v>1</v>
      </c>
      <c r="EO17" s="54" t="n">
        <f aca="false">MAX(0,(MIN($F17,EO$4)-MAX($E17,EO$3)+1)/EO$5)</f>
        <v>1</v>
      </c>
    </row>
    <row r="18" customFormat="false" ht="15" hidden="false" customHeight="false" outlineLevel="0" collapsed="false">
      <c r="C18" s="0" t="s">
        <v>395</v>
      </c>
      <c r="D18" s="11" t="s">
        <v>43</v>
      </c>
      <c r="E18" s="45" t="n">
        <f aca="false">In_COD+1</f>
        <v>47757</v>
      </c>
      <c r="F18" s="45" t="n">
        <f aca="false">EDATE(In_COD,In_Debt_Tenor*Months_In_Year)</f>
        <v>54331</v>
      </c>
      <c r="J18" s="54" t="n">
        <f aca="false">MAX(0,(MIN($F18,J$4)-MAX($E18,J$3)+1)/J$5)</f>
        <v>0</v>
      </c>
      <c r="K18" s="54" t="n">
        <f aca="false">MAX(0,(MIN($F18,K$4)-MAX($E18,K$3)+1)/K$5)</f>
        <v>0</v>
      </c>
      <c r="L18" s="54" t="n">
        <f aca="false">MAX(0,(MIN($F18,L$4)-MAX($E18,L$3)+1)/L$5)</f>
        <v>0</v>
      </c>
      <c r="M18" s="54" t="n">
        <f aca="false">MAX(0,(MIN($F18,M$4)-MAX($E18,M$3)+1)/M$5)</f>
        <v>0</v>
      </c>
      <c r="N18" s="54" t="n">
        <f aca="false">MAX(0,(MIN($F18,N$4)-MAX($E18,N$3)+1)/N$5)</f>
        <v>0</v>
      </c>
      <c r="O18" s="54" t="n">
        <f aca="false">MAX(0,(MIN($F18,O$4)-MAX($E18,O$3)+1)/O$5)</f>
        <v>0</v>
      </c>
      <c r="P18" s="54" t="n">
        <f aca="false">MAX(0,(MIN($F18,P$4)-MAX($E18,P$3)+1)/P$5)</f>
        <v>0</v>
      </c>
      <c r="Q18" s="54" t="n">
        <f aca="false">MAX(0,(MIN($F18,Q$4)-MAX($E18,Q$3)+1)/Q$5)</f>
        <v>0</v>
      </c>
      <c r="R18" s="54" t="n">
        <f aca="false">MAX(0,(MIN($F18,R$4)-MAX($E18,R$3)+1)/R$5)</f>
        <v>0</v>
      </c>
      <c r="S18" s="54" t="n">
        <f aca="false">MAX(0,(MIN($F18,S$4)-MAX($E18,S$3)+1)/S$5)</f>
        <v>0</v>
      </c>
      <c r="T18" s="54" t="n">
        <f aca="false">MAX(0,(MIN($F18,T$4)-MAX($E18,T$3)+1)/T$5)</f>
        <v>0</v>
      </c>
      <c r="U18" s="54" t="n">
        <f aca="false">MAX(0,(MIN($F18,U$4)-MAX($E18,U$3)+1)/U$5)</f>
        <v>0</v>
      </c>
      <c r="V18" s="54" t="n">
        <f aca="false">MAX(0,(MIN($F18,V$4)-MAX($E18,V$3)+1)/V$5)</f>
        <v>0</v>
      </c>
      <c r="W18" s="54" t="n">
        <f aca="false">MAX(0,(MIN($F18,W$4)-MAX($E18,W$3)+1)/W$5)</f>
        <v>0</v>
      </c>
      <c r="X18" s="54" t="n">
        <f aca="false">MAX(0,(MIN($F18,X$4)-MAX($E18,X$3)+1)/X$5)</f>
        <v>0</v>
      </c>
      <c r="Y18" s="54" t="n">
        <f aca="false">MAX(0,(MIN($F18,Y$4)-MAX($E18,Y$3)+1)/Y$5)</f>
        <v>0</v>
      </c>
      <c r="Z18" s="54" t="n">
        <f aca="false">MAX(0,(MIN($F18,Z$4)-MAX($E18,Z$3)+1)/Z$5)</f>
        <v>1</v>
      </c>
      <c r="AA18" s="54" t="n">
        <f aca="false">MAX(0,(MIN($F18,AA$4)-MAX($E18,AA$3)+1)/AA$5)</f>
        <v>1</v>
      </c>
      <c r="AB18" s="54" t="n">
        <f aca="false">MAX(0,(MIN($F18,AB$4)-MAX($E18,AB$3)+1)/AB$5)</f>
        <v>1</v>
      </c>
      <c r="AC18" s="54" t="n">
        <f aca="false">MAX(0,(MIN($F18,AC$4)-MAX($E18,AC$3)+1)/AC$5)</f>
        <v>1</v>
      </c>
      <c r="AD18" s="54" t="n">
        <f aca="false">MAX(0,(MIN($F18,AD$4)-MAX($E18,AD$3)+1)/AD$5)</f>
        <v>1</v>
      </c>
      <c r="AE18" s="54" t="n">
        <f aca="false">MAX(0,(MIN($F18,AE$4)-MAX($E18,AE$3)+1)/AE$5)</f>
        <v>1</v>
      </c>
      <c r="AF18" s="54" t="n">
        <f aca="false">MAX(0,(MIN($F18,AF$4)-MAX($E18,AF$3)+1)/AF$5)</f>
        <v>1</v>
      </c>
      <c r="AG18" s="54" t="n">
        <f aca="false">MAX(0,(MIN($F18,AG$4)-MAX($E18,AG$3)+1)/AG$5)</f>
        <v>1</v>
      </c>
      <c r="AH18" s="54" t="n">
        <f aca="false">MAX(0,(MIN($F18,AH$4)-MAX($E18,AH$3)+1)/AH$5)</f>
        <v>1</v>
      </c>
      <c r="AI18" s="54" t="n">
        <f aca="false">MAX(0,(MIN($F18,AI$4)-MAX($E18,AI$3)+1)/AI$5)</f>
        <v>1</v>
      </c>
      <c r="AJ18" s="54" t="n">
        <f aca="false">MAX(0,(MIN($F18,AJ$4)-MAX($E18,AJ$3)+1)/AJ$5)</f>
        <v>1</v>
      </c>
      <c r="AK18" s="54" t="n">
        <f aca="false">MAX(0,(MIN($F18,AK$4)-MAX($E18,AK$3)+1)/AK$5)</f>
        <v>1</v>
      </c>
      <c r="AL18" s="54" t="n">
        <f aca="false">MAX(0,(MIN($F18,AL$4)-MAX($E18,AL$3)+1)/AL$5)</f>
        <v>1</v>
      </c>
      <c r="AM18" s="54" t="n">
        <f aca="false">MAX(0,(MIN($F18,AM$4)-MAX($E18,AM$3)+1)/AM$5)</f>
        <v>1</v>
      </c>
      <c r="AN18" s="54" t="n">
        <f aca="false">MAX(0,(MIN($F18,AN$4)-MAX($E18,AN$3)+1)/AN$5)</f>
        <v>1</v>
      </c>
      <c r="AO18" s="54" t="n">
        <f aca="false">MAX(0,(MIN($F18,AO$4)-MAX($E18,AO$3)+1)/AO$5)</f>
        <v>1</v>
      </c>
      <c r="AP18" s="54" t="n">
        <f aca="false">MAX(0,(MIN($F18,AP$4)-MAX($E18,AP$3)+1)/AP$5)</f>
        <v>1</v>
      </c>
      <c r="AQ18" s="54" t="n">
        <f aca="false">MAX(0,(MIN($F18,AQ$4)-MAX($E18,AQ$3)+1)/AQ$5)</f>
        <v>1</v>
      </c>
      <c r="AR18" s="54" t="n">
        <f aca="false">MAX(0,(MIN($F18,AR$4)-MAX($E18,AR$3)+1)/AR$5)</f>
        <v>1</v>
      </c>
      <c r="AS18" s="54" t="n">
        <f aca="false">MAX(0,(MIN($F18,AS$4)-MAX($E18,AS$3)+1)/AS$5)</f>
        <v>1</v>
      </c>
      <c r="AT18" s="54" t="n">
        <f aca="false">MAX(0,(MIN($F18,AT$4)-MAX($E18,AT$3)+1)/AT$5)</f>
        <v>1</v>
      </c>
      <c r="AU18" s="54" t="n">
        <f aca="false">MAX(0,(MIN($F18,AU$4)-MAX($E18,AU$3)+1)/AU$5)</f>
        <v>1</v>
      </c>
      <c r="AV18" s="54" t="n">
        <f aca="false">MAX(0,(MIN($F18,AV$4)-MAX($E18,AV$3)+1)/AV$5)</f>
        <v>1</v>
      </c>
      <c r="AW18" s="54" t="n">
        <f aca="false">MAX(0,(MIN($F18,AW$4)-MAX($E18,AW$3)+1)/AW$5)</f>
        <v>1</v>
      </c>
      <c r="AX18" s="54" t="n">
        <f aca="false">MAX(0,(MIN($F18,AX$4)-MAX($E18,AX$3)+1)/AX$5)</f>
        <v>1</v>
      </c>
      <c r="AY18" s="54" t="n">
        <f aca="false">MAX(0,(MIN($F18,AY$4)-MAX($E18,AY$3)+1)/AY$5)</f>
        <v>1</v>
      </c>
      <c r="AZ18" s="54" t="n">
        <f aca="false">MAX(0,(MIN($F18,AZ$4)-MAX($E18,AZ$3)+1)/AZ$5)</f>
        <v>1</v>
      </c>
      <c r="BA18" s="54" t="n">
        <f aca="false">MAX(0,(MIN($F18,BA$4)-MAX($E18,BA$3)+1)/BA$5)</f>
        <v>1</v>
      </c>
      <c r="BB18" s="54" t="n">
        <f aca="false">MAX(0,(MIN($F18,BB$4)-MAX($E18,BB$3)+1)/BB$5)</f>
        <v>1</v>
      </c>
      <c r="BC18" s="54" t="n">
        <f aca="false">MAX(0,(MIN($F18,BC$4)-MAX($E18,BC$3)+1)/BC$5)</f>
        <v>1</v>
      </c>
      <c r="BD18" s="54" t="n">
        <f aca="false">MAX(0,(MIN($F18,BD$4)-MAX($E18,BD$3)+1)/BD$5)</f>
        <v>1</v>
      </c>
      <c r="BE18" s="54" t="n">
        <f aca="false">MAX(0,(MIN($F18,BE$4)-MAX($E18,BE$3)+1)/BE$5)</f>
        <v>1</v>
      </c>
      <c r="BF18" s="54" t="n">
        <f aca="false">MAX(0,(MIN($F18,BF$4)-MAX($E18,BF$3)+1)/BF$5)</f>
        <v>1</v>
      </c>
      <c r="BG18" s="54" t="n">
        <f aca="false">MAX(0,(MIN($F18,BG$4)-MAX($E18,BG$3)+1)/BG$5)</f>
        <v>1</v>
      </c>
      <c r="BH18" s="54" t="n">
        <f aca="false">MAX(0,(MIN($F18,BH$4)-MAX($E18,BH$3)+1)/BH$5)</f>
        <v>1</v>
      </c>
      <c r="BI18" s="54" t="n">
        <f aca="false">MAX(0,(MIN($F18,BI$4)-MAX($E18,BI$3)+1)/BI$5)</f>
        <v>1</v>
      </c>
      <c r="BJ18" s="54" t="n">
        <f aca="false">MAX(0,(MIN($F18,BJ$4)-MAX($E18,BJ$3)+1)/BJ$5)</f>
        <v>1</v>
      </c>
      <c r="BK18" s="54" t="n">
        <f aca="false">MAX(0,(MIN($F18,BK$4)-MAX($E18,BK$3)+1)/BK$5)</f>
        <v>1</v>
      </c>
      <c r="BL18" s="54" t="n">
        <f aca="false">MAX(0,(MIN($F18,BL$4)-MAX($E18,BL$3)+1)/BL$5)</f>
        <v>1</v>
      </c>
      <c r="BM18" s="54" t="n">
        <f aca="false">MAX(0,(MIN($F18,BM$4)-MAX($E18,BM$3)+1)/BM$5)</f>
        <v>1</v>
      </c>
      <c r="BN18" s="54" t="n">
        <f aca="false">MAX(0,(MIN($F18,BN$4)-MAX($E18,BN$3)+1)/BN$5)</f>
        <v>1</v>
      </c>
      <c r="BO18" s="54" t="n">
        <f aca="false">MAX(0,(MIN($F18,BO$4)-MAX($E18,BO$3)+1)/BO$5)</f>
        <v>1</v>
      </c>
      <c r="BP18" s="54" t="n">
        <f aca="false">MAX(0,(MIN($F18,BP$4)-MAX($E18,BP$3)+1)/BP$5)</f>
        <v>1</v>
      </c>
      <c r="BQ18" s="54" t="n">
        <f aca="false">MAX(0,(MIN($F18,BQ$4)-MAX($E18,BQ$3)+1)/BQ$5)</f>
        <v>1</v>
      </c>
      <c r="BR18" s="54" t="n">
        <f aca="false">MAX(0,(MIN($F18,BR$4)-MAX($E18,BR$3)+1)/BR$5)</f>
        <v>1</v>
      </c>
      <c r="BS18" s="54" t="n">
        <f aca="false">MAX(0,(MIN($F18,BS$4)-MAX($E18,BS$3)+1)/BS$5)</f>
        <v>1</v>
      </c>
      <c r="BT18" s="54" t="n">
        <f aca="false">MAX(0,(MIN($F18,BT$4)-MAX($E18,BT$3)+1)/BT$5)</f>
        <v>1</v>
      </c>
      <c r="BU18" s="54" t="n">
        <f aca="false">MAX(0,(MIN($F18,BU$4)-MAX($E18,BU$3)+1)/BU$5)</f>
        <v>1</v>
      </c>
      <c r="BV18" s="54" t="n">
        <f aca="false">MAX(0,(MIN($F18,BV$4)-MAX($E18,BV$3)+1)/BV$5)</f>
        <v>1</v>
      </c>
      <c r="BW18" s="54" t="n">
        <f aca="false">MAX(0,(MIN($F18,BW$4)-MAX($E18,BW$3)+1)/BW$5)</f>
        <v>1</v>
      </c>
      <c r="BX18" s="54" t="n">
        <f aca="false">MAX(0,(MIN($F18,BX$4)-MAX($E18,BX$3)+1)/BX$5)</f>
        <v>1</v>
      </c>
      <c r="BY18" s="54" t="n">
        <f aca="false">MAX(0,(MIN($F18,BY$4)-MAX($E18,BY$3)+1)/BY$5)</f>
        <v>1</v>
      </c>
      <c r="BZ18" s="54" t="n">
        <f aca="false">MAX(0,(MIN($F18,BZ$4)-MAX($E18,BZ$3)+1)/BZ$5)</f>
        <v>1</v>
      </c>
      <c r="CA18" s="54" t="n">
        <f aca="false">MAX(0,(MIN($F18,CA$4)-MAX($E18,CA$3)+1)/CA$5)</f>
        <v>1</v>
      </c>
      <c r="CB18" s="54" t="n">
        <f aca="false">MAX(0,(MIN($F18,CB$4)-MAX($E18,CB$3)+1)/CB$5)</f>
        <v>1</v>
      </c>
      <c r="CC18" s="54" t="n">
        <f aca="false">MAX(0,(MIN($F18,CC$4)-MAX($E18,CC$3)+1)/CC$5)</f>
        <v>1</v>
      </c>
      <c r="CD18" s="54" t="n">
        <f aca="false">MAX(0,(MIN($F18,CD$4)-MAX($E18,CD$3)+1)/CD$5)</f>
        <v>1</v>
      </c>
      <c r="CE18" s="54" t="n">
        <f aca="false">MAX(0,(MIN($F18,CE$4)-MAX($E18,CE$3)+1)/CE$5)</f>
        <v>1</v>
      </c>
      <c r="CF18" s="54" t="n">
        <f aca="false">MAX(0,(MIN($F18,CF$4)-MAX($E18,CF$3)+1)/CF$5)</f>
        <v>1</v>
      </c>
      <c r="CG18" s="54" t="n">
        <f aca="false">MAX(0,(MIN($F18,CG$4)-MAX($E18,CG$3)+1)/CG$5)</f>
        <v>1</v>
      </c>
      <c r="CH18" s="54" t="n">
        <f aca="false">MAX(0,(MIN($F18,CH$4)-MAX($E18,CH$3)+1)/CH$5)</f>
        <v>1</v>
      </c>
      <c r="CI18" s="54" t="n">
        <f aca="false">MAX(0,(MIN($F18,CI$4)-MAX($E18,CI$3)+1)/CI$5)</f>
        <v>1</v>
      </c>
      <c r="CJ18" s="54" t="n">
        <f aca="false">MAX(0,(MIN($F18,CJ$4)-MAX($E18,CJ$3)+1)/CJ$5)</f>
        <v>1</v>
      </c>
      <c r="CK18" s="54" t="n">
        <f aca="false">MAX(0,(MIN($F18,CK$4)-MAX($E18,CK$3)+1)/CK$5)</f>
        <v>1</v>
      </c>
      <c r="CL18" s="54" t="n">
        <f aca="false">MAX(0,(MIN($F18,CL$4)-MAX($E18,CL$3)+1)/CL$5)</f>
        <v>1</v>
      </c>
      <c r="CM18" s="54" t="n">
        <f aca="false">MAX(0,(MIN($F18,CM$4)-MAX($E18,CM$3)+1)/CM$5)</f>
        <v>1</v>
      </c>
      <c r="CN18" s="54" t="n">
        <f aca="false">MAX(0,(MIN($F18,CN$4)-MAX($E18,CN$3)+1)/CN$5)</f>
        <v>1</v>
      </c>
      <c r="CO18" s="54" t="n">
        <f aca="false">MAX(0,(MIN($F18,CO$4)-MAX($E18,CO$3)+1)/CO$5)</f>
        <v>1</v>
      </c>
      <c r="CP18" s="54" t="n">
        <f aca="false">MAX(0,(MIN($F18,CP$4)-MAX($E18,CP$3)+1)/CP$5)</f>
        <v>1</v>
      </c>
      <c r="CQ18" s="54" t="n">
        <f aca="false">MAX(0,(MIN($F18,CQ$4)-MAX($E18,CQ$3)+1)/CQ$5)</f>
        <v>1</v>
      </c>
      <c r="CR18" s="54" t="n">
        <f aca="false">MAX(0,(MIN($F18,CR$4)-MAX($E18,CR$3)+1)/CR$5)</f>
        <v>1</v>
      </c>
      <c r="CS18" s="54" t="n">
        <f aca="false">MAX(0,(MIN($F18,CS$4)-MAX($E18,CS$3)+1)/CS$5)</f>
        <v>1</v>
      </c>
      <c r="CT18" s="54" t="n">
        <f aca="false">MAX(0,(MIN($F18,CT$4)-MAX($E18,CT$3)+1)/CT$5)</f>
        <v>0</v>
      </c>
      <c r="CU18" s="54" t="n">
        <f aca="false">MAX(0,(MIN($F18,CU$4)-MAX($E18,CU$3)+1)/CU$5)</f>
        <v>0</v>
      </c>
      <c r="CV18" s="54" t="n">
        <f aca="false">MAX(0,(MIN($F18,CV$4)-MAX($E18,CV$3)+1)/CV$5)</f>
        <v>0</v>
      </c>
      <c r="CW18" s="54" t="n">
        <f aca="false">MAX(0,(MIN($F18,CW$4)-MAX($E18,CW$3)+1)/CW$5)</f>
        <v>0</v>
      </c>
      <c r="CX18" s="54" t="n">
        <f aca="false">MAX(0,(MIN($F18,CX$4)-MAX($E18,CX$3)+1)/CX$5)</f>
        <v>0</v>
      </c>
      <c r="CY18" s="54" t="n">
        <f aca="false">MAX(0,(MIN($F18,CY$4)-MAX($E18,CY$3)+1)/CY$5)</f>
        <v>0</v>
      </c>
      <c r="CZ18" s="54" t="n">
        <f aca="false">MAX(0,(MIN($F18,CZ$4)-MAX($E18,CZ$3)+1)/CZ$5)</f>
        <v>0</v>
      </c>
      <c r="DA18" s="54" t="n">
        <f aca="false">MAX(0,(MIN($F18,DA$4)-MAX($E18,DA$3)+1)/DA$5)</f>
        <v>0</v>
      </c>
      <c r="DB18" s="54" t="n">
        <f aca="false">MAX(0,(MIN($F18,DB$4)-MAX($E18,DB$3)+1)/DB$5)</f>
        <v>0</v>
      </c>
      <c r="DC18" s="54" t="n">
        <f aca="false">MAX(0,(MIN($F18,DC$4)-MAX($E18,DC$3)+1)/DC$5)</f>
        <v>0</v>
      </c>
      <c r="DD18" s="54" t="n">
        <f aca="false">MAX(0,(MIN($F18,DD$4)-MAX($E18,DD$3)+1)/DD$5)</f>
        <v>0</v>
      </c>
      <c r="DE18" s="54" t="n">
        <f aca="false">MAX(0,(MIN($F18,DE$4)-MAX($E18,DE$3)+1)/DE$5)</f>
        <v>0</v>
      </c>
      <c r="DF18" s="54" t="n">
        <f aca="false">MAX(0,(MIN($F18,DF$4)-MAX($E18,DF$3)+1)/DF$5)</f>
        <v>0</v>
      </c>
      <c r="DG18" s="54" t="n">
        <f aca="false">MAX(0,(MIN($F18,DG$4)-MAX($E18,DG$3)+1)/DG$5)</f>
        <v>0</v>
      </c>
      <c r="DH18" s="54" t="n">
        <f aca="false">MAX(0,(MIN($F18,DH$4)-MAX($E18,DH$3)+1)/DH$5)</f>
        <v>0</v>
      </c>
      <c r="DI18" s="54" t="n">
        <f aca="false">MAX(0,(MIN($F18,DI$4)-MAX($E18,DI$3)+1)/DI$5)</f>
        <v>0</v>
      </c>
      <c r="DJ18" s="54" t="n">
        <f aca="false">MAX(0,(MIN($F18,DJ$4)-MAX($E18,DJ$3)+1)/DJ$5)</f>
        <v>0</v>
      </c>
      <c r="DK18" s="54" t="n">
        <f aca="false">MAX(0,(MIN($F18,DK$4)-MAX($E18,DK$3)+1)/DK$5)</f>
        <v>0</v>
      </c>
      <c r="DL18" s="54" t="n">
        <f aca="false">MAX(0,(MIN($F18,DL$4)-MAX($E18,DL$3)+1)/DL$5)</f>
        <v>0</v>
      </c>
      <c r="DM18" s="54" t="n">
        <f aca="false">MAX(0,(MIN($F18,DM$4)-MAX($E18,DM$3)+1)/DM$5)</f>
        <v>0</v>
      </c>
      <c r="DN18" s="54" t="n">
        <f aca="false">MAX(0,(MIN($F18,DN$4)-MAX($E18,DN$3)+1)/DN$5)</f>
        <v>0</v>
      </c>
      <c r="DO18" s="54" t="n">
        <f aca="false">MAX(0,(MIN($F18,DO$4)-MAX($E18,DO$3)+1)/DO$5)</f>
        <v>0</v>
      </c>
      <c r="DP18" s="54" t="n">
        <f aca="false">MAX(0,(MIN($F18,DP$4)-MAX($E18,DP$3)+1)/DP$5)</f>
        <v>0</v>
      </c>
      <c r="DQ18" s="54" t="n">
        <f aca="false">MAX(0,(MIN($F18,DQ$4)-MAX($E18,DQ$3)+1)/DQ$5)</f>
        <v>0</v>
      </c>
      <c r="DR18" s="54" t="n">
        <f aca="false">MAX(0,(MIN($F18,DR$4)-MAX($E18,DR$3)+1)/DR$5)</f>
        <v>0</v>
      </c>
      <c r="DS18" s="54" t="n">
        <f aca="false">MAX(0,(MIN($F18,DS$4)-MAX($E18,DS$3)+1)/DS$5)</f>
        <v>0</v>
      </c>
      <c r="DT18" s="54" t="n">
        <f aca="false">MAX(0,(MIN($F18,DT$4)-MAX($E18,DT$3)+1)/DT$5)</f>
        <v>0</v>
      </c>
      <c r="DU18" s="54" t="n">
        <f aca="false">MAX(0,(MIN($F18,DU$4)-MAX($E18,DU$3)+1)/DU$5)</f>
        <v>0</v>
      </c>
      <c r="DV18" s="54" t="n">
        <f aca="false">MAX(0,(MIN($F18,DV$4)-MAX($E18,DV$3)+1)/DV$5)</f>
        <v>0</v>
      </c>
      <c r="DW18" s="54" t="n">
        <f aca="false">MAX(0,(MIN($F18,DW$4)-MAX($E18,DW$3)+1)/DW$5)</f>
        <v>0</v>
      </c>
      <c r="DX18" s="54" t="n">
        <f aca="false">MAX(0,(MIN($F18,DX$4)-MAX($E18,DX$3)+1)/DX$5)</f>
        <v>0</v>
      </c>
      <c r="DY18" s="54" t="n">
        <f aca="false">MAX(0,(MIN($F18,DY$4)-MAX($E18,DY$3)+1)/DY$5)</f>
        <v>0</v>
      </c>
      <c r="DZ18" s="54" t="n">
        <f aca="false">MAX(0,(MIN($F18,DZ$4)-MAX($E18,DZ$3)+1)/DZ$5)</f>
        <v>0</v>
      </c>
      <c r="EA18" s="54" t="n">
        <f aca="false">MAX(0,(MIN($F18,EA$4)-MAX($E18,EA$3)+1)/EA$5)</f>
        <v>0</v>
      </c>
      <c r="EB18" s="54" t="n">
        <f aca="false">MAX(0,(MIN($F18,EB$4)-MAX($E18,EB$3)+1)/EB$5)</f>
        <v>0</v>
      </c>
      <c r="EC18" s="54" t="n">
        <f aca="false">MAX(0,(MIN($F18,EC$4)-MAX($E18,EC$3)+1)/EC$5)</f>
        <v>0</v>
      </c>
      <c r="ED18" s="54" t="n">
        <f aca="false">MAX(0,(MIN($F18,ED$4)-MAX($E18,ED$3)+1)/ED$5)</f>
        <v>0</v>
      </c>
      <c r="EE18" s="54" t="n">
        <f aca="false">MAX(0,(MIN($F18,EE$4)-MAX($E18,EE$3)+1)/EE$5)</f>
        <v>0</v>
      </c>
      <c r="EF18" s="54" t="n">
        <f aca="false">MAX(0,(MIN($F18,EF$4)-MAX($E18,EF$3)+1)/EF$5)</f>
        <v>0</v>
      </c>
      <c r="EG18" s="54" t="n">
        <f aca="false">MAX(0,(MIN($F18,EG$4)-MAX($E18,EG$3)+1)/EG$5)</f>
        <v>0</v>
      </c>
      <c r="EH18" s="54" t="n">
        <f aca="false">MAX(0,(MIN($F18,EH$4)-MAX($E18,EH$3)+1)/EH$5)</f>
        <v>0</v>
      </c>
      <c r="EI18" s="54" t="n">
        <f aca="false">MAX(0,(MIN($F18,EI$4)-MAX($E18,EI$3)+1)/EI$5)</f>
        <v>0</v>
      </c>
      <c r="EJ18" s="54" t="n">
        <f aca="false">MAX(0,(MIN($F18,EJ$4)-MAX($E18,EJ$3)+1)/EJ$5)</f>
        <v>0</v>
      </c>
      <c r="EK18" s="54" t="n">
        <f aca="false">MAX(0,(MIN($F18,EK$4)-MAX($E18,EK$3)+1)/EK$5)</f>
        <v>0</v>
      </c>
      <c r="EL18" s="54" t="n">
        <f aca="false">MAX(0,(MIN($F18,EL$4)-MAX($E18,EL$3)+1)/EL$5)</f>
        <v>0</v>
      </c>
      <c r="EM18" s="54" t="n">
        <f aca="false">MAX(0,(MIN($F18,EM$4)-MAX($E18,EM$3)+1)/EM$5)</f>
        <v>0</v>
      </c>
      <c r="EN18" s="54" t="n">
        <f aca="false">MAX(0,(MIN($F18,EN$4)-MAX($E18,EN$3)+1)/EN$5)</f>
        <v>0</v>
      </c>
      <c r="EO18" s="54" t="n">
        <f aca="false">MAX(0,(MIN($F18,EO$4)-MAX($E18,EO$3)+1)/EO$5)</f>
        <v>0</v>
      </c>
    </row>
    <row r="19" customFormat="false" ht="15" hidden="false" customHeight="false" outlineLevel="0" collapsed="false">
      <c r="C19" s="0" t="s">
        <v>396</v>
      </c>
      <c r="D19" s="11" t="s">
        <v>43</v>
      </c>
      <c r="E19" s="45" t="n">
        <f aca="false">EDATE(In_COD,In_Debt_Tenor*Months_In_Year)</f>
        <v>54331</v>
      </c>
      <c r="I19" s="49" t="n">
        <f aca="false">SUM(J19:EO19)</f>
        <v>1</v>
      </c>
      <c r="J19" s="49" t="n">
        <f aca="false">N(AND(J$3&lt;=$E19,J$4&gt;=$E19))</f>
        <v>0</v>
      </c>
      <c r="K19" s="49" t="n">
        <f aca="false">N(AND(K$3&lt;=$E19,K$4&gt;=$E19))</f>
        <v>0</v>
      </c>
      <c r="L19" s="49" t="n">
        <f aca="false">N(AND(L$3&lt;=$E19,L$4&gt;=$E19))</f>
        <v>0</v>
      </c>
      <c r="M19" s="49" t="n">
        <f aca="false">N(AND(M$3&lt;=$E19,M$4&gt;=$E19))</f>
        <v>0</v>
      </c>
      <c r="N19" s="49" t="n">
        <f aca="false">N(AND(N$3&lt;=$E19,N$4&gt;=$E19))</f>
        <v>0</v>
      </c>
      <c r="O19" s="49" t="n">
        <f aca="false">N(AND(O$3&lt;=$E19,O$4&gt;=$E19))</f>
        <v>0</v>
      </c>
      <c r="P19" s="49" t="n">
        <f aca="false">N(AND(P$3&lt;=$E19,P$4&gt;=$E19))</f>
        <v>0</v>
      </c>
      <c r="Q19" s="49" t="n">
        <f aca="false">N(AND(Q$3&lt;=$E19,Q$4&gt;=$E19))</f>
        <v>0</v>
      </c>
      <c r="R19" s="49" t="n">
        <f aca="false">N(AND(R$3&lt;=$E19,R$4&gt;=$E19))</f>
        <v>0</v>
      </c>
      <c r="S19" s="49" t="n">
        <f aca="false">N(AND(S$3&lt;=$E19,S$4&gt;=$E19))</f>
        <v>0</v>
      </c>
      <c r="T19" s="49" t="n">
        <f aca="false">N(AND(T$3&lt;=$E19,T$4&gt;=$E19))</f>
        <v>0</v>
      </c>
      <c r="U19" s="49" t="n">
        <f aca="false">N(AND(U$3&lt;=$E19,U$4&gt;=$E19))</f>
        <v>0</v>
      </c>
      <c r="V19" s="49" t="n">
        <f aca="false">N(AND(V$3&lt;=$E19,V$4&gt;=$E19))</f>
        <v>0</v>
      </c>
      <c r="W19" s="49" t="n">
        <f aca="false">N(AND(W$3&lt;=$E19,W$4&gt;=$E19))</f>
        <v>0</v>
      </c>
      <c r="X19" s="49" t="n">
        <f aca="false">N(AND(X$3&lt;=$E19,X$4&gt;=$E19))</f>
        <v>0</v>
      </c>
      <c r="Y19" s="49" t="n">
        <f aca="false">N(AND(Y$3&lt;=$E19,Y$4&gt;=$E19))</f>
        <v>0</v>
      </c>
      <c r="Z19" s="49" t="n">
        <f aca="false">N(AND(Z$3&lt;=$E19,Z$4&gt;=$E19))</f>
        <v>0</v>
      </c>
      <c r="AA19" s="49" t="n">
        <f aca="false">N(AND(AA$3&lt;=$E19,AA$4&gt;=$E19))</f>
        <v>0</v>
      </c>
      <c r="AB19" s="49" t="n">
        <f aca="false">N(AND(AB$3&lt;=$E19,AB$4&gt;=$E19))</f>
        <v>0</v>
      </c>
      <c r="AC19" s="49" t="n">
        <f aca="false">N(AND(AC$3&lt;=$E19,AC$4&gt;=$E19))</f>
        <v>0</v>
      </c>
      <c r="AD19" s="49" t="n">
        <f aca="false">N(AND(AD$3&lt;=$E19,AD$4&gt;=$E19))</f>
        <v>0</v>
      </c>
      <c r="AE19" s="49" t="n">
        <f aca="false">N(AND(AE$3&lt;=$E19,AE$4&gt;=$E19))</f>
        <v>0</v>
      </c>
      <c r="AF19" s="49" t="n">
        <f aca="false">N(AND(AF$3&lt;=$E19,AF$4&gt;=$E19))</f>
        <v>0</v>
      </c>
      <c r="AG19" s="49" t="n">
        <f aca="false">N(AND(AG$3&lt;=$E19,AG$4&gt;=$E19))</f>
        <v>0</v>
      </c>
      <c r="AH19" s="49" t="n">
        <f aca="false">N(AND(AH$3&lt;=$E19,AH$4&gt;=$E19))</f>
        <v>0</v>
      </c>
      <c r="AI19" s="49" t="n">
        <f aca="false">N(AND(AI$3&lt;=$E19,AI$4&gt;=$E19))</f>
        <v>0</v>
      </c>
      <c r="AJ19" s="49" t="n">
        <f aca="false">N(AND(AJ$3&lt;=$E19,AJ$4&gt;=$E19))</f>
        <v>0</v>
      </c>
      <c r="AK19" s="49" t="n">
        <f aca="false">N(AND(AK$3&lt;=$E19,AK$4&gt;=$E19))</f>
        <v>0</v>
      </c>
      <c r="AL19" s="49" t="n">
        <f aca="false">N(AND(AL$3&lt;=$E19,AL$4&gt;=$E19))</f>
        <v>0</v>
      </c>
      <c r="AM19" s="49" t="n">
        <f aca="false">N(AND(AM$3&lt;=$E19,AM$4&gt;=$E19))</f>
        <v>0</v>
      </c>
      <c r="AN19" s="49" t="n">
        <f aca="false">N(AND(AN$3&lt;=$E19,AN$4&gt;=$E19))</f>
        <v>0</v>
      </c>
      <c r="AO19" s="49" t="n">
        <f aca="false">N(AND(AO$3&lt;=$E19,AO$4&gt;=$E19))</f>
        <v>0</v>
      </c>
      <c r="AP19" s="49" t="n">
        <f aca="false">N(AND(AP$3&lt;=$E19,AP$4&gt;=$E19))</f>
        <v>0</v>
      </c>
      <c r="AQ19" s="49" t="n">
        <f aca="false">N(AND(AQ$3&lt;=$E19,AQ$4&gt;=$E19))</f>
        <v>0</v>
      </c>
      <c r="AR19" s="49" t="n">
        <f aca="false">N(AND(AR$3&lt;=$E19,AR$4&gt;=$E19))</f>
        <v>0</v>
      </c>
      <c r="AS19" s="49" t="n">
        <f aca="false">N(AND(AS$3&lt;=$E19,AS$4&gt;=$E19))</f>
        <v>0</v>
      </c>
      <c r="AT19" s="49" t="n">
        <f aca="false">N(AND(AT$3&lt;=$E19,AT$4&gt;=$E19))</f>
        <v>0</v>
      </c>
      <c r="AU19" s="49" t="n">
        <f aca="false">N(AND(AU$3&lt;=$E19,AU$4&gt;=$E19))</f>
        <v>0</v>
      </c>
      <c r="AV19" s="49" t="n">
        <f aca="false">N(AND(AV$3&lt;=$E19,AV$4&gt;=$E19))</f>
        <v>0</v>
      </c>
      <c r="AW19" s="49" t="n">
        <f aca="false">N(AND(AW$3&lt;=$E19,AW$4&gt;=$E19))</f>
        <v>0</v>
      </c>
      <c r="AX19" s="49" t="n">
        <f aca="false">N(AND(AX$3&lt;=$E19,AX$4&gt;=$E19))</f>
        <v>0</v>
      </c>
      <c r="AY19" s="49" t="n">
        <f aca="false">N(AND(AY$3&lt;=$E19,AY$4&gt;=$E19))</f>
        <v>0</v>
      </c>
      <c r="AZ19" s="49" t="n">
        <f aca="false">N(AND(AZ$3&lt;=$E19,AZ$4&gt;=$E19))</f>
        <v>0</v>
      </c>
      <c r="BA19" s="49" t="n">
        <f aca="false">N(AND(BA$3&lt;=$E19,BA$4&gt;=$E19))</f>
        <v>0</v>
      </c>
      <c r="BB19" s="49" t="n">
        <f aca="false">N(AND(BB$3&lt;=$E19,BB$4&gt;=$E19))</f>
        <v>0</v>
      </c>
      <c r="BC19" s="49" t="n">
        <f aca="false">N(AND(BC$3&lt;=$E19,BC$4&gt;=$E19))</f>
        <v>0</v>
      </c>
      <c r="BD19" s="49" t="n">
        <f aca="false">N(AND(BD$3&lt;=$E19,BD$4&gt;=$E19))</f>
        <v>0</v>
      </c>
      <c r="BE19" s="49" t="n">
        <f aca="false">N(AND(BE$3&lt;=$E19,BE$4&gt;=$E19))</f>
        <v>0</v>
      </c>
      <c r="BF19" s="49" t="n">
        <f aca="false">N(AND(BF$3&lt;=$E19,BF$4&gt;=$E19))</f>
        <v>0</v>
      </c>
      <c r="BG19" s="49" t="n">
        <f aca="false">N(AND(BG$3&lt;=$E19,BG$4&gt;=$E19))</f>
        <v>0</v>
      </c>
      <c r="BH19" s="49" t="n">
        <f aca="false">N(AND(BH$3&lt;=$E19,BH$4&gt;=$E19))</f>
        <v>0</v>
      </c>
      <c r="BI19" s="49" t="n">
        <f aca="false">N(AND(BI$3&lt;=$E19,BI$4&gt;=$E19))</f>
        <v>0</v>
      </c>
      <c r="BJ19" s="49" t="n">
        <f aca="false">N(AND(BJ$3&lt;=$E19,BJ$4&gt;=$E19))</f>
        <v>0</v>
      </c>
      <c r="BK19" s="49" t="n">
        <f aca="false">N(AND(BK$3&lt;=$E19,BK$4&gt;=$E19))</f>
        <v>0</v>
      </c>
      <c r="BL19" s="49" t="n">
        <f aca="false">N(AND(BL$3&lt;=$E19,BL$4&gt;=$E19))</f>
        <v>0</v>
      </c>
      <c r="BM19" s="49" t="n">
        <f aca="false">N(AND(BM$3&lt;=$E19,BM$4&gt;=$E19))</f>
        <v>0</v>
      </c>
      <c r="BN19" s="49" t="n">
        <f aca="false">N(AND(BN$3&lt;=$E19,BN$4&gt;=$E19))</f>
        <v>0</v>
      </c>
      <c r="BO19" s="49" t="n">
        <f aca="false">N(AND(BO$3&lt;=$E19,BO$4&gt;=$E19))</f>
        <v>0</v>
      </c>
      <c r="BP19" s="49" t="n">
        <f aca="false">N(AND(BP$3&lt;=$E19,BP$4&gt;=$E19))</f>
        <v>0</v>
      </c>
      <c r="BQ19" s="49" t="n">
        <f aca="false">N(AND(BQ$3&lt;=$E19,BQ$4&gt;=$E19))</f>
        <v>0</v>
      </c>
      <c r="BR19" s="49" t="n">
        <f aca="false">N(AND(BR$3&lt;=$E19,BR$4&gt;=$E19))</f>
        <v>0</v>
      </c>
      <c r="BS19" s="49" t="n">
        <f aca="false">N(AND(BS$3&lt;=$E19,BS$4&gt;=$E19))</f>
        <v>0</v>
      </c>
      <c r="BT19" s="49" t="n">
        <f aca="false">N(AND(BT$3&lt;=$E19,BT$4&gt;=$E19))</f>
        <v>0</v>
      </c>
      <c r="BU19" s="49" t="n">
        <f aca="false">N(AND(BU$3&lt;=$E19,BU$4&gt;=$E19))</f>
        <v>0</v>
      </c>
      <c r="BV19" s="49" t="n">
        <f aca="false">N(AND(BV$3&lt;=$E19,BV$4&gt;=$E19))</f>
        <v>0</v>
      </c>
      <c r="BW19" s="49" t="n">
        <f aca="false">N(AND(BW$3&lt;=$E19,BW$4&gt;=$E19))</f>
        <v>0</v>
      </c>
      <c r="BX19" s="49" t="n">
        <f aca="false">N(AND(BX$3&lt;=$E19,BX$4&gt;=$E19))</f>
        <v>0</v>
      </c>
      <c r="BY19" s="49" t="n">
        <f aca="false">N(AND(BY$3&lt;=$E19,BY$4&gt;=$E19))</f>
        <v>0</v>
      </c>
      <c r="BZ19" s="49" t="n">
        <f aca="false">N(AND(BZ$3&lt;=$E19,BZ$4&gt;=$E19))</f>
        <v>0</v>
      </c>
      <c r="CA19" s="49" t="n">
        <f aca="false">N(AND(CA$3&lt;=$E19,CA$4&gt;=$E19))</f>
        <v>0</v>
      </c>
      <c r="CB19" s="49" t="n">
        <f aca="false">N(AND(CB$3&lt;=$E19,CB$4&gt;=$E19))</f>
        <v>0</v>
      </c>
      <c r="CC19" s="49" t="n">
        <f aca="false">N(AND(CC$3&lt;=$E19,CC$4&gt;=$E19))</f>
        <v>0</v>
      </c>
      <c r="CD19" s="49" t="n">
        <f aca="false">N(AND(CD$3&lt;=$E19,CD$4&gt;=$E19))</f>
        <v>0</v>
      </c>
      <c r="CE19" s="49" t="n">
        <f aca="false">N(AND(CE$3&lt;=$E19,CE$4&gt;=$E19))</f>
        <v>0</v>
      </c>
      <c r="CF19" s="49" t="n">
        <f aca="false">N(AND(CF$3&lt;=$E19,CF$4&gt;=$E19))</f>
        <v>0</v>
      </c>
      <c r="CG19" s="49" t="n">
        <f aca="false">N(AND(CG$3&lt;=$E19,CG$4&gt;=$E19))</f>
        <v>0</v>
      </c>
      <c r="CH19" s="49" t="n">
        <f aca="false">N(AND(CH$3&lt;=$E19,CH$4&gt;=$E19))</f>
        <v>0</v>
      </c>
      <c r="CI19" s="49" t="n">
        <f aca="false">N(AND(CI$3&lt;=$E19,CI$4&gt;=$E19))</f>
        <v>0</v>
      </c>
      <c r="CJ19" s="49" t="n">
        <f aca="false">N(AND(CJ$3&lt;=$E19,CJ$4&gt;=$E19))</f>
        <v>0</v>
      </c>
      <c r="CK19" s="49" t="n">
        <f aca="false">N(AND(CK$3&lt;=$E19,CK$4&gt;=$E19))</f>
        <v>0</v>
      </c>
      <c r="CL19" s="49" t="n">
        <f aca="false">N(AND(CL$3&lt;=$E19,CL$4&gt;=$E19))</f>
        <v>0</v>
      </c>
      <c r="CM19" s="49" t="n">
        <f aca="false">N(AND(CM$3&lt;=$E19,CM$4&gt;=$E19))</f>
        <v>0</v>
      </c>
      <c r="CN19" s="49" t="n">
        <f aca="false">N(AND(CN$3&lt;=$E19,CN$4&gt;=$E19))</f>
        <v>0</v>
      </c>
      <c r="CO19" s="49" t="n">
        <f aca="false">N(AND(CO$3&lt;=$E19,CO$4&gt;=$E19))</f>
        <v>0</v>
      </c>
      <c r="CP19" s="49" t="n">
        <f aca="false">N(AND(CP$3&lt;=$E19,CP$4&gt;=$E19))</f>
        <v>0</v>
      </c>
      <c r="CQ19" s="49" t="n">
        <f aca="false">N(AND(CQ$3&lt;=$E19,CQ$4&gt;=$E19))</f>
        <v>0</v>
      </c>
      <c r="CR19" s="49" t="n">
        <f aca="false">N(AND(CR$3&lt;=$E19,CR$4&gt;=$E19))</f>
        <v>0</v>
      </c>
      <c r="CS19" s="49" t="n">
        <f aca="false">N(AND(CS$3&lt;=$E19,CS$4&gt;=$E19))</f>
        <v>1</v>
      </c>
      <c r="CT19" s="49" t="n">
        <f aca="false">N(AND(CT$3&lt;=$E19,CT$4&gt;=$E19))</f>
        <v>0</v>
      </c>
      <c r="CU19" s="49" t="n">
        <f aca="false">N(AND(CU$3&lt;=$E19,CU$4&gt;=$E19))</f>
        <v>0</v>
      </c>
      <c r="CV19" s="49" t="n">
        <f aca="false">N(AND(CV$3&lt;=$E19,CV$4&gt;=$E19))</f>
        <v>0</v>
      </c>
      <c r="CW19" s="49" t="n">
        <f aca="false">N(AND(CW$3&lt;=$E19,CW$4&gt;=$E19))</f>
        <v>0</v>
      </c>
      <c r="CX19" s="49" t="n">
        <f aca="false">N(AND(CX$3&lt;=$E19,CX$4&gt;=$E19))</f>
        <v>0</v>
      </c>
      <c r="CY19" s="49" t="n">
        <f aca="false">N(AND(CY$3&lt;=$E19,CY$4&gt;=$E19))</f>
        <v>0</v>
      </c>
      <c r="CZ19" s="49" t="n">
        <f aca="false">N(AND(CZ$3&lt;=$E19,CZ$4&gt;=$E19))</f>
        <v>0</v>
      </c>
      <c r="DA19" s="49" t="n">
        <f aca="false">N(AND(DA$3&lt;=$E19,DA$4&gt;=$E19))</f>
        <v>0</v>
      </c>
      <c r="DB19" s="49" t="n">
        <f aca="false">N(AND(DB$3&lt;=$E19,DB$4&gt;=$E19))</f>
        <v>0</v>
      </c>
      <c r="DC19" s="49" t="n">
        <f aca="false">N(AND(DC$3&lt;=$E19,DC$4&gt;=$E19))</f>
        <v>0</v>
      </c>
      <c r="DD19" s="49" t="n">
        <f aca="false">N(AND(DD$3&lt;=$E19,DD$4&gt;=$E19))</f>
        <v>0</v>
      </c>
      <c r="DE19" s="49" t="n">
        <f aca="false">N(AND(DE$3&lt;=$E19,DE$4&gt;=$E19))</f>
        <v>0</v>
      </c>
      <c r="DF19" s="49" t="n">
        <f aca="false">N(AND(DF$3&lt;=$E19,DF$4&gt;=$E19))</f>
        <v>0</v>
      </c>
      <c r="DG19" s="49" t="n">
        <f aca="false">N(AND(DG$3&lt;=$E19,DG$4&gt;=$E19))</f>
        <v>0</v>
      </c>
      <c r="DH19" s="49" t="n">
        <f aca="false">N(AND(DH$3&lt;=$E19,DH$4&gt;=$E19))</f>
        <v>0</v>
      </c>
      <c r="DI19" s="49" t="n">
        <f aca="false">N(AND(DI$3&lt;=$E19,DI$4&gt;=$E19))</f>
        <v>0</v>
      </c>
      <c r="DJ19" s="49" t="n">
        <f aca="false">N(AND(DJ$3&lt;=$E19,DJ$4&gt;=$E19))</f>
        <v>0</v>
      </c>
      <c r="DK19" s="49" t="n">
        <f aca="false">N(AND(DK$3&lt;=$E19,DK$4&gt;=$E19))</f>
        <v>0</v>
      </c>
      <c r="DL19" s="49" t="n">
        <f aca="false">N(AND(DL$3&lt;=$E19,DL$4&gt;=$E19))</f>
        <v>0</v>
      </c>
      <c r="DM19" s="49" t="n">
        <f aca="false">N(AND(DM$3&lt;=$E19,DM$4&gt;=$E19))</f>
        <v>0</v>
      </c>
      <c r="DN19" s="49" t="n">
        <f aca="false">N(AND(DN$3&lt;=$E19,DN$4&gt;=$E19))</f>
        <v>0</v>
      </c>
      <c r="DO19" s="49" t="n">
        <f aca="false">N(AND(DO$3&lt;=$E19,DO$4&gt;=$E19))</f>
        <v>0</v>
      </c>
      <c r="DP19" s="49" t="n">
        <f aca="false">N(AND(DP$3&lt;=$E19,DP$4&gt;=$E19))</f>
        <v>0</v>
      </c>
      <c r="DQ19" s="49" t="n">
        <f aca="false">N(AND(DQ$3&lt;=$E19,DQ$4&gt;=$E19))</f>
        <v>0</v>
      </c>
      <c r="DR19" s="49" t="n">
        <f aca="false">N(AND(DR$3&lt;=$E19,DR$4&gt;=$E19))</f>
        <v>0</v>
      </c>
      <c r="DS19" s="49" t="n">
        <f aca="false">N(AND(DS$3&lt;=$E19,DS$4&gt;=$E19))</f>
        <v>0</v>
      </c>
      <c r="DT19" s="49" t="n">
        <f aca="false">N(AND(DT$3&lt;=$E19,DT$4&gt;=$E19))</f>
        <v>0</v>
      </c>
      <c r="DU19" s="49" t="n">
        <f aca="false">N(AND(DU$3&lt;=$E19,DU$4&gt;=$E19))</f>
        <v>0</v>
      </c>
      <c r="DV19" s="49" t="n">
        <f aca="false">N(AND(DV$3&lt;=$E19,DV$4&gt;=$E19))</f>
        <v>0</v>
      </c>
      <c r="DW19" s="49" t="n">
        <f aca="false">N(AND(DW$3&lt;=$E19,DW$4&gt;=$E19))</f>
        <v>0</v>
      </c>
      <c r="DX19" s="49" t="n">
        <f aca="false">N(AND(DX$3&lt;=$E19,DX$4&gt;=$E19))</f>
        <v>0</v>
      </c>
      <c r="DY19" s="49" t="n">
        <f aca="false">N(AND(DY$3&lt;=$E19,DY$4&gt;=$E19))</f>
        <v>0</v>
      </c>
      <c r="DZ19" s="49" t="n">
        <f aca="false">N(AND(DZ$3&lt;=$E19,DZ$4&gt;=$E19))</f>
        <v>0</v>
      </c>
      <c r="EA19" s="49" t="n">
        <f aca="false">N(AND(EA$3&lt;=$E19,EA$4&gt;=$E19))</f>
        <v>0</v>
      </c>
      <c r="EB19" s="49" t="n">
        <f aca="false">N(AND(EB$3&lt;=$E19,EB$4&gt;=$E19))</f>
        <v>0</v>
      </c>
      <c r="EC19" s="49" t="n">
        <f aca="false">N(AND(EC$3&lt;=$E19,EC$4&gt;=$E19))</f>
        <v>0</v>
      </c>
      <c r="ED19" s="49" t="n">
        <f aca="false">N(AND(ED$3&lt;=$E19,ED$4&gt;=$E19))</f>
        <v>0</v>
      </c>
      <c r="EE19" s="49" t="n">
        <f aca="false">N(AND(EE$3&lt;=$E19,EE$4&gt;=$E19))</f>
        <v>0</v>
      </c>
      <c r="EF19" s="49" t="n">
        <f aca="false">N(AND(EF$3&lt;=$E19,EF$4&gt;=$E19))</f>
        <v>0</v>
      </c>
      <c r="EG19" s="49" t="n">
        <f aca="false">N(AND(EG$3&lt;=$E19,EG$4&gt;=$E19))</f>
        <v>0</v>
      </c>
      <c r="EH19" s="49" t="n">
        <f aca="false">N(AND(EH$3&lt;=$E19,EH$4&gt;=$E19))</f>
        <v>0</v>
      </c>
      <c r="EI19" s="49" t="n">
        <f aca="false">N(AND(EI$3&lt;=$E19,EI$4&gt;=$E19))</f>
        <v>0</v>
      </c>
      <c r="EJ19" s="49" t="n">
        <f aca="false">N(AND(EJ$3&lt;=$E19,EJ$4&gt;=$E19))</f>
        <v>0</v>
      </c>
      <c r="EK19" s="49" t="n">
        <f aca="false">N(AND(EK$3&lt;=$E19,EK$4&gt;=$E19))</f>
        <v>0</v>
      </c>
      <c r="EL19" s="49" t="n">
        <f aca="false">N(AND(EL$3&lt;=$E19,EL$4&gt;=$E19))</f>
        <v>0</v>
      </c>
      <c r="EM19" s="49" t="n">
        <f aca="false">N(AND(EM$3&lt;=$E19,EM$4&gt;=$E19))</f>
        <v>0</v>
      </c>
      <c r="EN19" s="49" t="n">
        <f aca="false">N(AND(EN$3&lt;=$E19,EN$4&gt;=$E19))</f>
        <v>0</v>
      </c>
      <c r="EO19" s="49" t="n">
        <f aca="false">N(AND(EO$3&lt;=$E19,EO$4&gt;=$E19))</f>
        <v>0</v>
      </c>
    </row>
    <row r="20" customFormat="false" ht="15" hidden="false" customHeight="false" outlineLevel="0" collapsed="false">
      <c r="C20" s="0" t="s">
        <v>397</v>
      </c>
      <c r="D20" s="11" t="s">
        <v>386</v>
      </c>
      <c r="E20" s="45" t="n">
        <f aca="false">In_COD+1</f>
        <v>47757</v>
      </c>
      <c r="F20" s="45" t="n">
        <f aca="false">EDATE(In_COD,In_Dep_Years*Months_In_Year)</f>
        <v>55061</v>
      </c>
      <c r="I20" s="54" t="n">
        <f aca="false">SUM(J20:EO20)</f>
        <v>1</v>
      </c>
      <c r="J20" s="54" t="n">
        <f aca="false">MAX(0,MIN($F20,J$4)-MAX($E20,J$3)+1)/($F20-$E20+1)</f>
        <v>0</v>
      </c>
      <c r="K20" s="54" t="n">
        <f aca="false">MAX(0,MIN($F20,K$4)-MAX($E20,K$3)+1)/($F20-$E20+1)</f>
        <v>0</v>
      </c>
      <c r="L20" s="54" t="n">
        <f aca="false">MAX(0,MIN($F20,L$4)-MAX($E20,L$3)+1)/($F20-$E20+1)</f>
        <v>0</v>
      </c>
      <c r="M20" s="54" t="n">
        <f aca="false">MAX(0,MIN($F20,M$4)-MAX($E20,M$3)+1)/($F20-$E20+1)</f>
        <v>0</v>
      </c>
      <c r="N20" s="54" t="n">
        <f aca="false">MAX(0,MIN($F20,N$4)-MAX($E20,N$3)+1)/($F20-$E20+1)</f>
        <v>0</v>
      </c>
      <c r="O20" s="54" t="n">
        <f aca="false">MAX(0,MIN($F20,O$4)-MAX($E20,O$3)+1)/($F20-$E20+1)</f>
        <v>0</v>
      </c>
      <c r="P20" s="54" t="n">
        <f aca="false">MAX(0,MIN($F20,P$4)-MAX($E20,P$3)+1)/($F20-$E20+1)</f>
        <v>0</v>
      </c>
      <c r="Q20" s="54" t="n">
        <f aca="false">MAX(0,MIN($F20,Q$4)-MAX($E20,Q$3)+1)/($F20-$E20+1)</f>
        <v>0</v>
      </c>
      <c r="R20" s="54" t="n">
        <f aca="false">MAX(0,MIN($F20,R$4)-MAX($E20,R$3)+1)/($F20-$E20+1)</f>
        <v>0</v>
      </c>
      <c r="S20" s="54" t="n">
        <f aca="false">MAX(0,MIN($F20,S$4)-MAX($E20,S$3)+1)/($F20-$E20+1)</f>
        <v>0</v>
      </c>
      <c r="T20" s="54" t="n">
        <f aca="false">MAX(0,MIN($F20,T$4)-MAX($E20,T$3)+1)/($F20-$E20+1)</f>
        <v>0</v>
      </c>
      <c r="U20" s="54" t="n">
        <f aca="false">MAX(0,MIN($F20,U$4)-MAX($E20,U$3)+1)/($F20-$E20+1)</f>
        <v>0</v>
      </c>
      <c r="V20" s="54" t="n">
        <f aca="false">MAX(0,MIN($F20,V$4)-MAX($E20,V$3)+1)/($F20-$E20+1)</f>
        <v>0</v>
      </c>
      <c r="W20" s="54" t="n">
        <f aca="false">MAX(0,MIN($F20,W$4)-MAX($E20,W$3)+1)/($F20-$E20+1)</f>
        <v>0</v>
      </c>
      <c r="X20" s="54" t="n">
        <f aca="false">MAX(0,MIN($F20,X$4)-MAX($E20,X$3)+1)/($F20-$E20+1)</f>
        <v>0</v>
      </c>
      <c r="Y20" s="54" t="n">
        <f aca="false">MAX(0,MIN($F20,Y$4)-MAX($E20,Y$3)+1)/($F20-$E20+1)</f>
        <v>0</v>
      </c>
      <c r="Z20" s="54" t="n">
        <f aca="false">MAX(0,MIN($F20,Z$4)-MAX($E20,Z$3)+1)/($F20-$E20+1)</f>
        <v>0.0125941136208077</v>
      </c>
      <c r="AA20" s="54" t="n">
        <f aca="false">MAX(0,MIN($F20,AA$4)-MAX($E20,AA$3)+1)/($F20-$E20+1)</f>
        <v>0.0123203285420945</v>
      </c>
      <c r="AB20" s="54" t="n">
        <f aca="false">MAX(0,MIN($F20,AB$4)-MAX($E20,AB$3)+1)/($F20-$E20+1)</f>
        <v>0.0124572210814511</v>
      </c>
      <c r="AC20" s="54" t="n">
        <f aca="false">MAX(0,MIN($F20,AC$4)-MAX($E20,AC$3)+1)/($F20-$E20+1)</f>
        <v>0.0125941136208077</v>
      </c>
      <c r="AD20" s="54" t="n">
        <f aca="false">MAX(0,MIN($F20,AD$4)-MAX($E20,AD$3)+1)/($F20-$E20+1)</f>
        <v>0.0125941136208077</v>
      </c>
      <c r="AE20" s="54" t="n">
        <f aca="false">MAX(0,MIN($F20,AE$4)-MAX($E20,AE$3)+1)/($F20-$E20+1)</f>
        <v>0.0124572210814511</v>
      </c>
      <c r="AF20" s="54" t="n">
        <f aca="false">MAX(0,MIN($F20,AF$4)-MAX($E20,AF$3)+1)/($F20-$E20+1)</f>
        <v>0.0124572210814511</v>
      </c>
      <c r="AG20" s="54" t="n">
        <f aca="false">MAX(0,MIN($F20,AG$4)-MAX($E20,AG$3)+1)/($F20-$E20+1)</f>
        <v>0.0125941136208077</v>
      </c>
      <c r="AH20" s="54" t="n">
        <f aca="false">MAX(0,MIN($F20,AH$4)-MAX($E20,AH$3)+1)/($F20-$E20+1)</f>
        <v>0.0125941136208077</v>
      </c>
      <c r="AI20" s="54" t="n">
        <f aca="false">MAX(0,MIN($F20,AI$4)-MAX($E20,AI$3)+1)/($F20-$E20+1)</f>
        <v>0.0123203285420945</v>
      </c>
      <c r="AJ20" s="54" t="n">
        <f aca="false">MAX(0,MIN($F20,AJ$4)-MAX($E20,AJ$3)+1)/($F20-$E20+1)</f>
        <v>0.0124572210814511</v>
      </c>
      <c r="AK20" s="54" t="n">
        <f aca="false">MAX(0,MIN($F20,AK$4)-MAX($E20,AK$3)+1)/($F20-$E20+1)</f>
        <v>0.0125941136208077</v>
      </c>
      <c r="AL20" s="54" t="n">
        <f aca="false">MAX(0,MIN($F20,AL$4)-MAX($E20,AL$3)+1)/($F20-$E20+1)</f>
        <v>0.0125941136208077</v>
      </c>
      <c r="AM20" s="54" t="n">
        <f aca="false">MAX(0,MIN($F20,AM$4)-MAX($E20,AM$3)+1)/($F20-$E20+1)</f>
        <v>0.0123203285420945</v>
      </c>
      <c r="AN20" s="54" t="n">
        <f aca="false">MAX(0,MIN($F20,AN$4)-MAX($E20,AN$3)+1)/($F20-$E20+1)</f>
        <v>0.0124572210814511</v>
      </c>
      <c r="AO20" s="54" t="n">
        <f aca="false">MAX(0,MIN($F20,AO$4)-MAX($E20,AO$3)+1)/($F20-$E20+1)</f>
        <v>0.0125941136208077</v>
      </c>
      <c r="AP20" s="54" t="n">
        <f aca="false">MAX(0,MIN($F20,AP$4)-MAX($E20,AP$3)+1)/($F20-$E20+1)</f>
        <v>0.0125941136208077</v>
      </c>
      <c r="AQ20" s="54" t="n">
        <f aca="false">MAX(0,MIN($F20,AQ$4)-MAX($E20,AQ$3)+1)/($F20-$E20+1)</f>
        <v>0.0123203285420945</v>
      </c>
      <c r="AR20" s="54" t="n">
        <f aca="false">MAX(0,MIN($F20,AR$4)-MAX($E20,AR$3)+1)/($F20-$E20+1)</f>
        <v>0.0124572210814511</v>
      </c>
      <c r="AS20" s="54" t="n">
        <f aca="false">MAX(0,MIN($F20,AS$4)-MAX($E20,AS$3)+1)/($F20-$E20+1)</f>
        <v>0.0125941136208077</v>
      </c>
      <c r="AT20" s="54" t="n">
        <f aca="false">MAX(0,MIN($F20,AT$4)-MAX($E20,AT$3)+1)/($F20-$E20+1)</f>
        <v>0.0125941136208077</v>
      </c>
      <c r="AU20" s="54" t="n">
        <f aca="false">MAX(0,MIN($F20,AU$4)-MAX($E20,AU$3)+1)/($F20-$E20+1)</f>
        <v>0.0124572210814511</v>
      </c>
      <c r="AV20" s="54" t="n">
        <f aca="false">MAX(0,MIN($F20,AV$4)-MAX($E20,AV$3)+1)/($F20-$E20+1)</f>
        <v>0.0124572210814511</v>
      </c>
      <c r="AW20" s="54" t="n">
        <f aca="false">MAX(0,MIN($F20,AW$4)-MAX($E20,AW$3)+1)/($F20-$E20+1)</f>
        <v>0.0125941136208077</v>
      </c>
      <c r="AX20" s="54" t="n">
        <f aca="false">MAX(0,MIN($F20,AX$4)-MAX($E20,AX$3)+1)/($F20-$E20+1)</f>
        <v>0.0125941136208077</v>
      </c>
      <c r="AY20" s="54" t="n">
        <f aca="false">MAX(0,MIN($F20,AY$4)-MAX($E20,AY$3)+1)/($F20-$E20+1)</f>
        <v>0.0123203285420945</v>
      </c>
      <c r="AZ20" s="54" t="n">
        <f aca="false">MAX(0,MIN($F20,AZ$4)-MAX($E20,AZ$3)+1)/($F20-$E20+1)</f>
        <v>0.0124572210814511</v>
      </c>
      <c r="BA20" s="54" t="n">
        <f aca="false">MAX(0,MIN($F20,BA$4)-MAX($E20,BA$3)+1)/($F20-$E20+1)</f>
        <v>0.0125941136208077</v>
      </c>
      <c r="BB20" s="54" t="n">
        <f aca="false">MAX(0,MIN($F20,BB$4)-MAX($E20,BB$3)+1)/($F20-$E20+1)</f>
        <v>0.0125941136208077</v>
      </c>
      <c r="BC20" s="54" t="n">
        <f aca="false">MAX(0,MIN($F20,BC$4)-MAX($E20,BC$3)+1)/($F20-$E20+1)</f>
        <v>0.0123203285420945</v>
      </c>
      <c r="BD20" s="54" t="n">
        <f aca="false">MAX(0,MIN($F20,BD$4)-MAX($E20,BD$3)+1)/($F20-$E20+1)</f>
        <v>0.0124572210814511</v>
      </c>
      <c r="BE20" s="54" t="n">
        <f aca="false">MAX(0,MIN($F20,BE$4)-MAX($E20,BE$3)+1)/($F20-$E20+1)</f>
        <v>0.0125941136208077</v>
      </c>
      <c r="BF20" s="54" t="n">
        <f aca="false">MAX(0,MIN($F20,BF$4)-MAX($E20,BF$3)+1)/($F20-$E20+1)</f>
        <v>0.0125941136208077</v>
      </c>
      <c r="BG20" s="54" t="n">
        <f aca="false">MAX(0,MIN($F20,BG$4)-MAX($E20,BG$3)+1)/($F20-$E20+1)</f>
        <v>0.0123203285420945</v>
      </c>
      <c r="BH20" s="54" t="n">
        <f aca="false">MAX(0,MIN($F20,BH$4)-MAX($E20,BH$3)+1)/($F20-$E20+1)</f>
        <v>0.0124572210814511</v>
      </c>
      <c r="BI20" s="54" t="n">
        <f aca="false">MAX(0,MIN($F20,BI$4)-MAX($E20,BI$3)+1)/($F20-$E20+1)</f>
        <v>0.0125941136208077</v>
      </c>
      <c r="BJ20" s="54" t="n">
        <f aca="false">MAX(0,MIN($F20,BJ$4)-MAX($E20,BJ$3)+1)/($F20-$E20+1)</f>
        <v>0.0125941136208077</v>
      </c>
      <c r="BK20" s="54" t="n">
        <f aca="false">MAX(0,MIN($F20,BK$4)-MAX($E20,BK$3)+1)/($F20-$E20+1)</f>
        <v>0.0124572210814511</v>
      </c>
      <c r="BL20" s="54" t="n">
        <f aca="false">MAX(0,MIN($F20,BL$4)-MAX($E20,BL$3)+1)/($F20-$E20+1)</f>
        <v>0.0124572210814511</v>
      </c>
      <c r="BM20" s="54" t="n">
        <f aca="false">MAX(0,MIN($F20,BM$4)-MAX($E20,BM$3)+1)/($F20-$E20+1)</f>
        <v>0.0125941136208077</v>
      </c>
      <c r="BN20" s="54" t="n">
        <f aca="false">MAX(0,MIN($F20,BN$4)-MAX($E20,BN$3)+1)/($F20-$E20+1)</f>
        <v>0.0125941136208077</v>
      </c>
      <c r="BO20" s="54" t="n">
        <f aca="false">MAX(0,MIN($F20,BO$4)-MAX($E20,BO$3)+1)/($F20-$E20+1)</f>
        <v>0.0123203285420945</v>
      </c>
      <c r="BP20" s="54" t="n">
        <f aca="false">MAX(0,MIN($F20,BP$4)-MAX($E20,BP$3)+1)/($F20-$E20+1)</f>
        <v>0.0124572210814511</v>
      </c>
      <c r="BQ20" s="54" t="n">
        <f aca="false">MAX(0,MIN($F20,BQ$4)-MAX($E20,BQ$3)+1)/($F20-$E20+1)</f>
        <v>0.0125941136208077</v>
      </c>
      <c r="BR20" s="54" t="n">
        <f aca="false">MAX(0,MIN($F20,BR$4)-MAX($E20,BR$3)+1)/($F20-$E20+1)</f>
        <v>0.0125941136208077</v>
      </c>
      <c r="BS20" s="54" t="n">
        <f aca="false">MAX(0,MIN($F20,BS$4)-MAX($E20,BS$3)+1)/($F20-$E20+1)</f>
        <v>0.0123203285420945</v>
      </c>
      <c r="BT20" s="54" t="n">
        <f aca="false">MAX(0,MIN($F20,BT$4)-MAX($E20,BT$3)+1)/($F20-$E20+1)</f>
        <v>0.0124572210814511</v>
      </c>
      <c r="BU20" s="54" t="n">
        <f aca="false">MAX(0,MIN($F20,BU$4)-MAX($E20,BU$3)+1)/($F20-$E20+1)</f>
        <v>0.0125941136208077</v>
      </c>
      <c r="BV20" s="54" t="n">
        <f aca="false">MAX(0,MIN($F20,BV$4)-MAX($E20,BV$3)+1)/($F20-$E20+1)</f>
        <v>0.0125941136208077</v>
      </c>
      <c r="BW20" s="54" t="n">
        <f aca="false">MAX(0,MIN($F20,BW$4)-MAX($E20,BW$3)+1)/($F20-$E20+1)</f>
        <v>0.0123203285420945</v>
      </c>
      <c r="BX20" s="54" t="n">
        <f aca="false">MAX(0,MIN($F20,BX$4)-MAX($E20,BX$3)+1)/($F20-$E20+1)</f>
        <v>0.0124572210814511</v>
      </c>
      <c r="BY20" s="54" t="n">
        <f aca="false">MAX(0,MIN($F20,BY$4)-MAX($E20,BY$3)+1)/($F20-$E20+1)</f>
        <v>0.0125941136208077</v>
      </c>
      <c r="BZ20" s="54" t="n">
        <f aca="false">MAX(0,MIN($F20,BZ$4)-MAX($E20,BZ$3)+1)/($F20-$E20+1)</f>
        <v>0.0125941136208077</v>
      </c>
      <c r="CA20" s="54" t="n">
        <f aca="false">MAX(0,MIN($F20,CA$4)-MAX($E20,CA$3)+1)/($F20-$E20+1)</f>
        <v>0.0124572210814511</v>
      </c>
      <c r="CB20" s="54" t="n">
        <f aca="false">MAX(0,MIN($F20,CB$4)-MAX($E20,CB$3)+1)/($F20-$E20+1)</f>
        <v>0.0124572210814511</v>
      </c>
      <c r="CC20" s="54" t="n">
        <f aca="false">MAX(0,MIN($F20,CC$4)-MAX($E20,CC$3)+1)/($F20-$E20+1)</f>
        <v>0.0125941136208077</v>
      </c>
      <c r="CD20" s="54" t="n">
        <f aca="false">MAX(0,MIN($F20,CD$4)-MAX($E20,CD$3)+1)/($F20-$E20+1)</f>
        <v>0.0125941136208077</v>
      </c>
      <c r="CE20" s="54" t="n">
        <f aca="false">MAX(0,MIN($F20,CE$4)-MAX($E20,CE$3)+1)/($F20-$E20+1)</f>
        <v>0.0123203285420945</v>
      </c>
      <c r="CF20" s="54" t="n">
        <f aca="false">MAX(0,MIN($F20,CF$4)-MAX($E20,CF$3)+1)/($F20-$E20+1)</f>
        <v>0.0124572210814511</v>
      </c>
      <c r="CG20" s="54" t="n">
        <f aca="false">MAX(0,MIN($F20,CG$4)-MAX($E20,CG$3)+1)/($F20-$E20+1)</f>
        <v>0.0125941136208077</v>
      </c>
      <c r="CH20" s="54" t="n">
        <f aca="false">MAX(0,MIN($F20,CH$4)-MAX($E20,CH$3)+1)/($F20-$E20+1)</f>
        <v>0.0125941136208077</v>
      </c>
      <c r="CI20" s="54" t="n">
        <f aca="false">MAX(0,MIN($F20,CI$4)-MAX($E20,CI$3)+1)/($F20-$E20+1)</f>
        <v>0.0123203285420945</v>
      </c>
      <c r="CJ20" s="54" t="n">
        <f aca="false">MAX(0,MIN($F20,CJ$4)-MAX($E20,CJ$3)+1)/($F20-$E20+1)</f>
        <v>0.0124572210814511</v>
      </c>
      <c r="CK20" s="54" t="n">
        <f aca="false">MAX(0,MIN($F20,CK$4)-MAX($E20,CK$3)+1)/($F20-$E20+1)</f>
        <v>0.0125941136208077</v>
      </c>
      <c r="CL20" s="54" t="n">
        <f aca="false">MAX(0,MIN($F20,CL$4)-MAX($E20,CL$3)+1)/($F20-$E20+1)</f>
        <v>0.0125941136208077</v>
      </c>
      <c r="CM20" s="54" t="n">
        <f aca="false">MAX(0,MIN($F20,CM$4)-MAX($E20,CM$3)+1)/($F20-$E20+1)</f>
        <v>0.0123203285420945</v>
      </c>
      <c r="CN20" s="54" t="n">
        <f aca="false">MAX(0,MIN($F20,CN$4)-MAX($E20,CN$3)+1)/($F20-$E20+1)</f>
        <v>0.0124572210814511</v>
      </c>
      <c r="CO20" s="54" t="n">
        <f aca="false">MAX(0,MIN($F20,CO$4)-MAX($E20,CO$3)+1)/($F20-$E20+1)</f>
        <v>0.0125941136208077</v>
      </c>
      <c r="CP20" s="54" t="n">
        <f aca="false">MAX(0,MIN($F20,CP$4)-MAX($E20,CP$3)+1)/($F20-$E20+1)</f>
        <v>0.0125941136208077</v>
      </c>
      <c r="CQ20" s="54" t="n">
        <f aca="false">MAX(0,MIN($F20,CQ$4)-MAX($E20,CQ$3)+1)/($F20-$E20+1)</f>
        <v>0.0124572210814511</v>
      </c>
      <c r="CR20" s="54" t="n">
        <f aca="false">MAX(0,MIN($F20,CR$4)-MAX($E20,CR$3)+1)/($F20-$E20+1)</f>
        <v>0.0124572210814511</v>
      </c>
      <c r="CS20" s="54" t="n">
        <f aca="false">MAX(0,MIN($F20,CS$4)-MAX($E20,CS$3)+1)/($F20-$E20+1)</f>
        <v>0.0125941136208077</v>
      </c>
      <c r="CT20" s="54" t="n">
        <f aca="false">MAX(0,MIN($F20,CT$4)-MAX($E20,CT$3)+1)/($F20-$E20+1)</f>
        <v>0.0125941136208077</v>
      </c>
      <c r="CU20" s="54" t="n">
        <f aca="false">MAX(0,MIN($F20,CU$4)-MAX($E20,CU$3)+1)/($F20-$E20+1)</f>
        <v>0.0123203285420945</v>
      </c>
      <c r="CV20" s="54" t="n">
        <f aca="false">MAX(0,MIN($F20,CV$4)-MAX($E20,CV$3)+1)/($F20-$E20+1)</f>
        <v>0.0124572210814511</v>
      </c>
      <c r="CW20" s="54" t="n">
        <f aca="false">MAX(0,MIN($F20,CW$4)-MAX($E20,CW$3)+1)/($F20-$E20+1)</f>
        <v>0.0125941136208077</v>
      </c>
      <c r="CX20" s="54" t="n">
        <f aca="false">MAX(0,MIN($F20,CX$4)-MAX($E20,CX$3)+1)/($F20-$E20+1)</f>
        <v>0.0125941136208077</v>
      </c>
      <c r="CY20" s="54" t="n">
        <f aca="false">MAX(0,MIN($F20,CY$4)-MAX($E20,CY$3)+1)/($F20-$E20+1)</f>
        <v>0.0123203285420945</v>
      </c>
      <c r="CZ20" s="54" t="n">
        <f aca="false">MAX(0,MIN($F20,CZ$4)-MAX($E20,CZ$3)+1)/($F20-$E20+1)</f>
        <v>0.0124572210814511</v>
      </c>
      <c r="DA20" s="54" t="n">
        <f aca="false">MAX(0,MIN($F20,DA$4)-MAX($E20,DA$3)+1)/($F20-$E20+1)</f>
        <v>0.0125941136208077</v>
      </c>
      <c r="DB20" s="54" t="n">
        <f aca="false">MAX(0,MIN($F20,DB$4)-MAX($E20,DB$3)+1)/($F20-$E20+1)</f>
        <v>0</v>
      </c>
      <c r="DC20" s="54" t="n">
        <f aca="false">MAX(0,MIN($F20,DC$4)-MAX($E20,DC$3)+1)/($F20-$E20+1)</f>
        <v>0</v>
      </c>
      <c r="DD20" s="54" t="n">
        <f aca="false">MAX(0,MIN($F20,DD$4)-MAX($E20,DD$3)+1)/($F20-$E20+1)</f>
        <v>0</v>
      </c>
      <c r="DE20" s="54" t="n">
        <f aca="false">MAX(0,MIN($F20,DE$4)-MAX($E20,DE$3)+1)/($F20-$E20+1)</f>
        <v>0</v>
      </c>
      <c r="DF20" s="54" t="n">
        <f aca="false">MAX(0,MIN($F20,DF$4)-MAX($E20,DF$3)+1)/($F20-$E20+1)</f>
        <v>0</v>
      </c>
      <c r="DG20" s="54" t="n">
        <f aca="false">MAX(0,MIN($F20,DG$4)-MAX($E20,DG$3)+1)/($F20-$E20+1)</f>
        <v>0</v>
      </c>
      <c r="DH20" s="54" t="n">
        <f aca="false">MAX(0,MIN($F20,DH$4)-MAX($E20,DH$3)+1)/($F20-$E20+1)</f>
        <v>0</v>
      </c>
      <c r="DI20" s="54" t="n">
        <f aca="false">MAX(0,MIN($F20,DI$4)-MAX($E20,DI$3)+1)/($F20-$E20+1)</f>
        <v>0</v>
      </c>
      <c r="DJ20" s="54" t="n">
        <f aca="false">MAX(0,MIN($F20,DJ$4)-MAX($E20,DJ$3)+1)/($F20-$E20+1)</f>
        <v>0</v>
      </c>
      <c r="DK20" s="54" t="n">
        <f aca="false">MAX(0,MIN($F20,DK$4)-MAX($E20,DK$3)+1)/($F20-$E20+1)</f>
        <v>0</v>
      </c>
      <c r="DL20" s="54" t="n">
        <f aca="false">MAX(0,MIN($F20,DL$4)-MAX($E20,DL$3)+1)/($F20-$E20+1)</f>
        <v>0</v>
      </c>
      <c r="DM20" s="54" t="n">
        <f aca="false">MAX(0,MIN($F20,DM$4)-MAX($E20,DM$3)+1)/($F20-$E20+1)</f>
        <v>0</v>
      </c>
      <c r="DN20" s="54" t="n">
        <f aca="false">MAX(0,MIN($F20,DN$4)-MAX($E20,DN$3)+1)/($F20-$E20+1)</f>
        <v>0</v>
      </c>
      <c r="DO20" s="54" t="n">
        <f aca="false">MAX(0,MIN($F20,DO$4)-MAX($E20,DO$3)+1)/($F20-$E20+1)</f>
        <v>0</v>
      </c>
      <c r="DP20" s="54" t="n">
        <f aca="false">MAX(0,MIN($F20,DP$4)-MAX($E20,DP$3)+1)/($F20-$E20+1)</f>
        <v>0</v>
      </c>
      <c r="DQ20" s="54" t="n">
        <f aca="false">MAX(0,MIN($F20,DQ$4)-MAX($E20,DQ$3)+1)/($F20-$E20+1)</f>
        <v>0</v>
      </c>
      <c r="DR20" s="54" t="n">
        <f aca="false">MAX(0,MIN($F20,DR$4)-MAX($E20,DR$3)+1)/($F20-$E20+1)</f>
        <v>0</v>
      </c>
      <c r="DS20" s="54" t="n">
        <f aca="false">MAX(0,MIN($F20,DS$4)-MAX($E20,DS$3)+1)/($F20-$E20+1)</f>
        <v>0</v>
      </c>
      <c r="DT20" s="54" t="n">
        <f aca="false">MAX(0,MIN($F20,DT$4)-MAX($E20,DT$3)+1)/($F20-$E20+1)</f>
        <v>0</v>
      </c>
      <c r="DU20" s="54" t="n">
        <f aca="false">MAX(0,MIN($F20,DU$4)-MAX($E20,DU$3)+1)/($F20-$E20+1)</f>
        <v>0</v>
      </c>
      <c r="DV20" s="54" t="n">
        <f aca="false">MAX(0,MIN($F20,DV$4)-MAX($E20,DV$3)+1)/($F20-$E20+1)</f>
        <v>0</v>
      </c>
      <c r="DW20" s="54" t="n">
        <f aca="false">MAX(0,MIN($F20,DW$4)-MAX($E20,DW$3)+1)/($F20-$E20+1)</f>
        <v>0</v>
      </c>
      <c r="DX20" s="54" t="n">
        <f aca="false">MAX(0,MIN($F20,DX$4)-MAX($E20,DX$3)+1)/($F20-$E20+1)</f>
        <v>0</v>
      </c>
      <c r="DY20" s="54" t="n">
        <f aca="false">MAX(0,MIN($F20,DY$4)-MAX($E20,DY$3)+1)/($F20-$E20+1)</f>
        <v>0</v>
      </c>
      <c r="DZ20" s="54" t="n">
        <f aca="false">MAX(0,MIN($F20,DZ$4)-MAX($E20,DZ$3)+1)/($F20-$E20+1)</f>
        <v>0</v>
      </c>
      <c r="EA20" s="54" t="n">
        <f aca="false">MAX(0,MIN($F20,EA$4)-MAX($E20,EA$3)+1)/($F20-$E20+1)</f>
        <v>0</v>
      </c>
      <c r="EB20" s="54" t="n">
        <f aca="false">MAX(0,MIN($F20,EB$4)-MAX($E20,EB$3)+1)/($F20-$E20+1)</f>
        <v>0</v>
      </c>
      <c r="EC20" s="54" t="n">
        <f aca="false">MAX(0,MIN($F20,EC$4)-MAX($E20,EC$3)+1)/($F20-$E20+1)</f>
        <v>0</v>
      </c>
      <c r="ED20" s="54" t="n">
        <f aca="false">MAX(0,MIN($F20,ED$4)-MAX($E20,ED$3)+1)/($F20-$E20+1)</f>
        <v>0</v>
      </c>
      <c r="EE20" s="54" t="n">
        <f aca="false">MAX(0,MIN($F20,EE$4)-MAX($E20,EE$3)+1)/($F20-$E20+1)</f>
        <v>0</v>
      </c>
      <c r="EF20" s="54" t="n">
        <f aca="false">MAX(0,MIN($F20,EF$4)-MAX($E20,EF$3)+1)/($F20-$E20+1)</f>
        <v>0</v>
      </c>
      <c r="EG20" s="54" t="n">
        <f aca="false">MAX(0,MIN($F20,EG$4)-MAX($E20,EG$3)+1)/($F20-$E20+1)</f>
        <v>0</v>
      </c>
      <c r="EH20" s="54" t="n">
        <f aca="false">MAX(0,MIN($F20,EH$4)-MAX($E20,EH$3)+1)/($F20-$E20+1)</f>
        <v>0</v>
      </c>
      <c r="EI20" s="54" t="n">
        <f aca="false">MAX(0,MIN($F20,EI$4)-MAX($E20,EI$3)+1)/($F20-$E20+1)</f>
        <v>0</v>
      </c>
      <c r="EJ20" s="54" t="n">
        <f aca="false">MAX(0,MIN($F20,EJ$4)-MAX($E20,EJ$3)+1)/($F20-$E20+1)</f>
        <v>0</v>
      </c>
      <c r="EK20" s="54" t="n">
        <f aca="false">MAX(0,MIN($F20,EK$4)-MAX($E20,EK$3)+1)/($F20-$E20+1)</f>
        <v>0</v>
      </c>
      <c r="EL20" s="54" t="n">
        <f aca="false">MAX(0,MIN($F20,EL$4)-MAX($E20,EL$3)+1)/($F20-$E20+1)</f>
        <v>0</v>
      </c>
      <c r="EM20" s="54" t="n">
        <f aca="false">MAX(0,MIN($F20,EM$4)-MAX($E20,EM$3)+1)/($F20-$E20+1)</f>
        <v>0</v>
      </c>
      <c r="EN20" s="54" t="n">
        <f aca="false">MAX(0,MIN($F20,EN$4)-MAX($E20,EN$3)+1)/($F20-$E20+1)</f>
        <v>0</v>
      </c>
      <c r="EO20" s="54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398</v>
      </c>
      <c r="D21" s="11" t="s">
        <v>147</v>
      </c>
      <c r="J21" s="43" t="n">
        <f aca="false">ROUNDUP(YEARFRAC(In_COD,J$4),0)*(J$4&gt;In_COD)</f>
        <v>0</v>
      </c>
      <c r="K21" s="43" t="n">
        <f aca="false">ROUNDUP(YEARFRAC(In_COD,K$4),0)*(K$4&gt;In_COD)</f>
        <v>0</v>
      </c>
      <c r="L21" s="43" t="n">
        <f aca="false">ROUNDUP(YEARFRAC(In_COD,L$4),0)*(L$4&gt;In_COD)</f>
        <v>0</v>
      </c>
      <c r="M21" s="43" t="n">
        <f aca="false">ROUNDUP(YEARFRAC(In_COD,M$4),0)*(M$4&gt;In_COD)</f>
        <v>0</v>
      </c>
      <c r="N21" s="43" t="n">
        <f aca="false">ROUNDUP(YEARFRAC(In_COD,N$4),0)*(N$4&gt;In_COD)</f>
        <v>0</v>
      </c>
      <c r="O21" s="43" t="n">
        <f aca="false">ROUNDUP(YEARFRAC(In_COD,O$4),0)*(O$4&gt;In_COD)</f>
        <v>0</v>
      </c>
      <c r="P21" s="43" t="n">
        <f aca="false">ROUNDUP(YEARFRAC(In_COD,P$4),0)*(P$4&gt;In_COD)</f>
        <v>0</v>
      </c>
      <c r="Q21" s="43" t="n">
        <f aca="false">ROUNDUP(YEARFRAC(In_COD,Q$4),0)*(Q$4&gt;In_COD)</f>
        <v>0</v>
      </c>
      <c r="R21" s="43" t="n">
        <f aca="false">ROUNDUP(YEARFRAC(In_COD,R$4),0)*(R$4&gt;In_COD)</f>
        <v>0</v>
      </c>
      <c r="S21" s="43" t="n">
        <f aca="false">ROUNDUP(YEARFRAC(In_COD,S$4),0)*(S$4&gt;In_COD)</f>
        <v>0</v>
      </c>
      <c r="T21" s="43" t="n">
        <f aca="false">ROUNDUP(YEARFRAC(In_COD,T$4),0)*(T$4&gt;In_COD)</f>
        <v>0</v>
      </c>
      <c r="U21" s="43" t="n">
        <f aca="false">ROUNDUP(YEARFRAC(In_COD,U$4),0)*(U$4&gt;In_COD)</f>
        <v>0</v>
      </c>
      <c r="V21" s="43" t="n">
        <f aca="false">ROUNDUP(YEARFRAC(In_COD,V$4),0)*(V$4&gt;In_COD)</f>
        <v>0</v>
      </c>
      <c r="W21" s="43" t="n">
        <f aca="false">ROUNDUP(YEARFRAC(In_COD,W$4),0)*(W$4&gt;In_COD)</f>
        <v>0</v>
      </c>
      <c r="X21" s="43" t="n">
        <f aca="false">ROUNDUP(YEARFRAC(In_COD,X$4),0)*(X$4&gt;In_COD)</f>
        <v>0</v>
      </c>
      <c r="Y21" s="43" t="n">
        <f aca="false">ROUNDUP(YEARFRAC(In_COD,Y$4),0)*(Y$4&gt;In_COD)</f>
        <v>0</v>
      </c>
      <c r="Z21" s="43" t="n">
        <f aca="false">ROUNDUP(YEARFRAC(In_COD,Z$4),0)*(Z$4&gt;In_COD)</f>
        <v>1</v>
      </c>
      <c r="AA21" s="43" t="n">
        <f aca="false">ROUNDUP(YEARFRAC(In_COD,AA$4),0)*(AA$4&gt;In_COD)</f>
        <v>1</v>
      </c>
      <c r="AB21" s="43" t="n">
        <f aca="false">ROUNDUP(YEARFRAC(In_COD,AB$4),0)*(AB$4&gt;In_COD)</f>
        <v>1</v>
      </c>
      <c r="AC21" s="43" t="n">
        <f aca="false">ROUNDUP(YEARFRAC(In_COD,AC$4),0)*(AC$4&gt;In_COD)</f>
        <v>1</v>
      </c>
      <c r="AD21" s="43" t="n">
        <f aca="false">ROUNDUP(YEARFRAC(In_COD,AD$4),0)*(AD$4&gt;In_COD)</f>
        <v>2</v>
      </c>
      <c r="AE21" s="43" t="n">
        <f aca="false">ROUNDUP(YEARFRAC(In_COD,AE$4),0)*(AE$4&gt;In_COD)</f>
        <v>2</v>
      </c>
      <c r="AF21" s="43" t="n">
        <f aca="false">ROUNDUP(YEARFRAC(In_COD,AF$4),0)*(AF$4&gt;In_COD)</f>
        <v>2</v>
      </c>
      <c r="AG21" s="43" t="n">
        <f aca="false">ROUNDUP(YEARFRAC(In_COD,AG$4),0)*(AG$4&gt;In_COD)</f>
        <v>2</v>
      </c>
      <c r="AH21" s="43" t="n">
        <f aca="false">ROUNDUP(YEARFRAC(In_COD,AH$4),0)*(AH$4&gt;In_COD)</f>
        <v>3</v>
      </c>
      <c r="AI21" s="43" t="n">
        <f aca="false">ROUNDUP(YEARFRAC(In_COD,AI$4),0)*(AI$4&gt;In_COD)</f>
        <v>3</v>
      </c>
      <c r="AJ21" s="43" t="n">
        <f aca="false">ROUNDUP(YEARFRAC(In_COD,AJ$4),0)*(AJ$4&gt;In_COD)</f>
        <v>3</v>
      </c>
      <c r="AK21" s="43" t="n">
        <f aca="false">ROUNDUP(YEARFRAC(In_COD,AK$4),0)*(AK$4&gt;In_COD)</f>
        <v>3</v>
      </c>
      <c r="AL21" s="43" t="n">
        <f aca="false">ROUNDUP(YEARFRAC(In_COD,AL$4),0)*(AL$4&gt;In_COD)</f>
        <v>4</v>
      </c>
      <c r="AM21" s="43" t="n">
        <f aca="false">ROUNDUP(YEARFRAC(In_COD,AM$4),0)*(AM$4&gt;In_COD)</f>
        <v>4</v>
      </c>
      <c r="AN21" s="43" t="n">
        <f aca="false">ROUNDUP(YEARFRAC(In_COD,AN$4),0)*(AN$4&gt;In_COD)</f>
        <v>4</v>
      </c>
      <c r="AO21" s="43" t="n">
        <f aca="false">ROUNDUP(YEARFRAC(In_COD,AO$4),0)*(AO$4&gt;In_COD)</f>
        <v>4</v>
      </c>
      <c r="AP21" s="43" t="n">
        <f aca="false">ROUNDUP(YEARFRAC(In_COD,AP$4),0)*(AP$4&gt;In_COD)</f>
        <v>5</v>
      </c>
      <c r="AQ21" s="43" t="n">
        <f aca="false">ROUNDUP(YEARFRAC(In_COD,AQ$4),0)*(AQ$4&gt;In_COD)</f>
        <v>5</v>
      </c>
      <c r="AR21" s="43" t="n">
        <f aca="false">ROUNDUP(YEARFRAC(In_COD,AR$4),0)*(AR$4&gt;In_COD)</f>
        <v>5</v>
      </c>
      <c r="AS21" s="43" t="n">
        <f aca="false">ROUNDUP(YEARFRAC(In_COD,AS$4),0)*(AS$4&gt;In_COD)</f>
        <v>5</v>
      </c>
      <c r="AT21" s="43" t="n">
        <f aca="false">ROUNDUP(YEARFRAC(In_COD,AT$4),0)*(AT$4&gt;In_COD)</f>
        <v>6</v>
      </c>
      <c r="AU21" s="43" t="n">
        <f aca="false">ROUNDUP(YEARFRAC(In_COD,AU$4),0)*(AU$4&gt;In_COD)</f>
        <v>6</v>
      </c>
      <c r="AV21" s="43" t="n">
        <f aca="false">ROUNDUP(YEARFRAC(In_COD,AV$4),0)*(AV$4&gt;In_COD)</f>
        <v>6</v>
      </c>
      <c r="AW21" s="43" t="n">
        <f aca="false">ROUNDUP(YEARFRAC(In_COD,AW$4),0)*(AW$4&gt;In_COD)</f>
        <v>6</v>
      </c>
      <c r="AX21" s="43" t="n">
        <f aca="false">ROUNDUP(YEARFRAC(In_COD,AX$4),0)*(AX$4&gt;In_COD)</f>
        <v>7</v>
      </c>
      <c r="AY21" s="43" t="n">
        <f aca="false">ROUNDUP(YEARFRAC(In_COD,AY$4),0)*(AY$4&gt;In_COD)</f>
        <v>7</v>
      </c>
      <c r="AZ21" s="43" t="n">
        <f aca="false">ROUNDUP(YEARFRAC(In_COD,AZ$4),0)*(AZ$4&gt;In_COD)</f>
        <v>7</v>
      </c>
      <c r="BA21" s="43" t="n">
        <f aca="false">ROUNDUP(YEARFRAC(In_COD,BA$4),0)*(BA$4&gt;In_COD)</f>
        <v>7</v>
      </c>
      <c r="BB21" s="43" t="n">
        <f aca="false">ROUNDUP(YEARFRAC(In_COD,BB$4),0)*(BB$4&gt;In_COD)</f>
        <v>8</v>
      </c>
      <c r="BC21" s="43" t="n">
        <f aca="false">ROUNDUP(YEARFRAC(In_COD,BC$4),0)*(BC$4&gt;In_COD)</f>
        <v>8</v>
      </c>
      <c r="BD21" s="43" t="n">
        <f aca="false">ROUNDUP(YEARFRAC(In_COD,BD$4),0)*(BD$4&gt;In_COD)</f>
        <v>8</v>
      </c>
      <c r="BE21" s="43" t="n">
        <f aca="false">ROUNDUP(YEARFRAC(In_COD,BE$4),0)*(BE$4&gt;In_COD)</f>
        <v>8</v>
      </c>
      <c r="BF21" s="43" t="n">
        <f aca="false">ROUNDUP(YEARFRAC(In_COD,BF$4),0)*(BF$4&gt;In_COD)</f>
        <v>9</v>
      </c>
      <c r="BG21" s="43" t="n">
        <f aca="false">ROUNDUP(YEARFRAC(In_COD,BG$4),0)*(BG$4&gt;In_COD)</f>
        <v>9</v>
      </c>
      <c r="BH21" s="43" t="n">
        <f aca="false">ROUNDUP(YEARFRAC(In_COD,BH$4),0)*(BH$4&gt;In_COD)</f>
        <v>9</v>
      </c>
      <c r="BI21" s="43" t="n">
        <f aca="false">ROUNDUP(YEARFRAC(In_COD,BI$4),0)*(BI$4&gt;In_COD)</f>
        <v>9</v>
      </c>
      <c r="BJ21" s="43" t="n">
        <f aca="false">ROUNDUP(YEARFRAC(In_COD,BJ$4),0)*(BJ$4&gt;In_COD)</f>
        <v>10</v>
      </c>
      <c r="BK21" s="43" t="n">
        <f aca="false">ROUNDUP(YEARFRAC(In_COD,BK$4),0)*(BK$4&gt;In_COD)</f>
        <v>10</v>
      </c>
      <c r="BL21" s="43" t="n">
        <f aca="false">ROUNDUP(YEARFRAC(In_COD,BL$4),0)*(BL$4&gt;In_COD)</f>
        <v>10</v>
      </c>
      <c r="BM21" s="43" t="n">
        <f aca="false">ROUNDUP(YEARFRAC(In_COD,BM$4),0)*(BM$4&gt;In_COD)</f>
        <v>10</v>
      </c>
      <c r="BN21" s="43" t="n">
        <f aca="false">ROUNDUP(YEARFRAC(In_COD,BN$4),0)*(BN$4&gt;In_COD)</f>
        <v>11</v>
      </c>
      <c r="BO21" s="43" t="n">
        <f aca="false">ROUNDUP(YEARFRAC(In_COD,BO$4),0)*(BO$4&gt;In_COD)</f>
        <v>11</v>
      </c>
      <c r="BP21" s="43" t="n">
        <f aca="false">ROUNDUP(YEARFRAC(In_COD,BP$4),0)*(BP$4&gt;In_COD)</f>
        <v>11</v>
      </c>
      <c r="BQ21" s="43" t="n">
        <f aca="false">ROUNDUP(YEARFRAC(In_COD,BQ$4),0)*(BQ$4&gt;In_COD)</f>
        <v>11</v>
      </c>
      <c r="BR21" s="43" t="n">
        <f aca="false">ROUNDUP(YEARFRAC(In_COD,BR$4),0)*(BR$4&gt;In_COD)</f>
        <v>12</v>
      </c>
      <c r="BS21" s="43" t="n">
        <f aca="false">ROUNDUP(YEARFRAC(In_COD,BS$4),0)*(BS$4&gt;In_COD)</f>
        <v>12</v>
      </c>
      <c r="BT21" s="43" t="n">
        <f aca="false">ROUNDUP(YEARFRAC(In_COD,BT$4),0)*(BT$4&gt;In_COD)</f>
        <v>12</v>
      </c>
      <c r="BU21" s="43" t="n">
        <f aca="false">ROUNDUP(YEARFRAC(In_COD,BU$4),0)*(BU$4&gt;In_COD)</f>
        <v>12</v>
      </c>
      <c r="BV21" s="43" t="n">
        <f aca="false">ROUNDUP(YEARFRAC(In_COD,BV$4),0)*(BV$4&gt;In_COD)</f>
        <v>13</v>
      </c>
      <c r="BW21" s="43" t="n">
        <f aca="false">ROUNDUP(YEARFRAC(In_COD,BW$4),0)*(BW$4&gt;In_COD)</f>
        <v>13</v>
      </c>
      <c r="BX21" s="43" t="n">
        <f aca="false">ROUNDUP(YEARFRAC(In_COD,BX$4),0)*(BX$4&gt;In_COD)</f>
        <v>13</v>
      </c>
      <c r="BY21" s="43" t="n">
        <f aca="false">ROUNDUP(YEARFRAC(In_COD,BY$4),0)*(BY$4&gt;In_COD)</f>
        <v>13</v>
      </c>
      <c r="BZ21" s="43" t="n">
        <f aca="false">ROUNDUP(YEARFRAC(In_COD,BZ$4),0)*(BZ$4&gt;In_COD)</f>
        <v>14</v>
      </c>
      <c r="CA21" s="43" t="n">
        <f aca="false">ROUNDUP(YEARFRAC(In_COD,CA$4),0)*(CA$4&gt;In_COD)</f>
        <v>14</v>
      </c>
      <c r="CB21" s="43" t="n">
        <f aca="false">ROUNDUP(YEARFRAC(In_COD,CB$4),0)*(CB$4&gt;In_COD)</f>
        <v>14</v>
      </c>
      <c r="CC21" s="43" t="n">
        <f aca="false">ROUNDUP(YEARFRAC(In_COD,CC$4),0)*(CC$4&gt;In_COD)</f>
        <v>14</v>
      </c>
      <c r="CD21" s="43" t="n">
        <f aca="false">ROUNDUP(YEARFRAC(In_COD,CD$4),0)*(CD$4&gt;In_COD)</f>
        <v>15</v>
      </c>
      <c r="CE21" s="43" t="n">
        <f aca="false">ROUNDUP(YEARFRAC(In_COD,CE$4),0)*(CE$4&gt;In_COD)</f>
        <v>15</v>
      </c>
      <c r="CF21" s="43" t="n">
        <f aca="false">ROUNDUP(YEARFRAC(In_COD,CF$4),0)*(CF$4&gt;In_COD)</f>
        <v>15</v>
      </c>
      <c r="CG21" s="43" t="n">
        <f aca="false">ROUNDUP(YEARFRAC(In_COD,CG$4),0)*(CG$4&gt;In_COD)</f>
        <v>15</v>
      </c>
      <c r="CH21" s="43" t="n">
        <f aca="false">ROUNDUP(YEARFRAC(In_COD,CH$4),0)*(CH$4&gt;In_COD)</f>
        <v>16</v>
      </c>
      <c r="CI21" s="43" t="n">
        <f aca="false">ROUNDUP(YEARFRAC(In_COD,CI$4),0)*(CI$4&gt;In_COD)</f>
        <v>16</v>
      </c>
      <c r="CJ21" s="43" t="n">
        <f aca="false">ROUNDUP(YEARFRAC(In_COD,CJ$4),0)*(CJ$4&gt;In_COD)</f>
        <v>16</v>
      </c>
      <c r="CK21" s="43" t="n">
        <f aca="false">ROUNDUP(YEARFRAC(In_COD,CK$4),0)*(CK$4&gt;In_COD)</f>
        <v>16</v>
      </c>
      <c r="CL21" s="43" t="n">
        <f aca="false">ROUNDUP(YEARFRAC(In_COD,CL$4),0)*(CL$4&gt;In_COD)</f>
        <v>17</v>
      </c>
      <c r="CM21" s="43" t="n">
        <f aca="false">ROUNDUP(YEARFRAC(In_COD,CM$4),0)*(CM$4&gt;In_COD)</f>
        <v>17</v>
      </c>
      <c r="CN21" s="43" t="n">
        <f aca="false">ROUNDUP(YEARFRAC(In_COD,CN$4),0)*(CN$4&gt;In_COD)</f>
        <v>17</v>
      </c>
      <c r="CO21" s="43" t="n">
        <f aca="false">ROUNDUP(YEARFRAC(In_COD,CO$4),0)*(CO$4&gt;In_COD)</f>
        <v>17</v>
      </c>
      <c r="CP21" s="43" t="n">
        <f aca="false">ROUNDUP(YEARFRAC(In_COD,CP$4),0)*(CP$4&gt;In_COD)</f>
        <v>18</v>
      </c>
      <c r="CQ21" s="43" t="n">
        <f aca="false">ROUNDUP(YEARFRAC(In_COD,CQ$4),0)*(CQ$4&gt;In_COD)</f>
        <v>18</v>
      </c>
      <c r="CR21" s="43" t="n">
        <f aca="false">ROUNDUP(YEARFRAC(In_COD,CR$4),0)*(CR$4&gt;In_COD)</f>
        <v>18</v>
      </c>
      <c r="CS21" s="43" t="n">
        <f aca="false">ROUNDUP(YEARFRAC(In_COD,CS$4),0)*(CS$4&gt;In_COD)</f>
        <v>18</v>
      </c>
      <c r="CT21" s="43" t="n">
        <f aca="false">ROUNDUP(YEARFRAC(In_COD,CT$4),0)*(CT$4&gt;In_COD)</f>
        <v>19</v>
      </c>
      <c r="CU21" s="43" t="n">
        <f aca="false">ROUNDUP(YEARFRAC(In_COD,CU$4),0)*(CU$4&gt;In_COD)</f>
        <v>19</v>
      </c>
      <c r="CV21" s="43" t="n">
        <f aca="false">ROUNDUP(YEARFRAC(In_COD,CV$4),0)*(CV$4&gt;In_COD)</f>
        <v>19</v>
      </c>
      <c r="CW21" s="43" t="n">
        <f aca="false">ROUNDUP(YEARFRAC(In_COD,CW$4),0)*(CW$4&gt;In_COD)</f>
        <v>19</v>
      </c>
      <c r="CX21" s="43" t="n">
        <f aca="false">ROUNDUP(YEARFRAC(In_COD,CX$4),0)*(CX$4&gt;In_COD)</f>
        <v>20</v>
      </c>
      <c r="CY21" s="43" t="n">
        <f aca="false">ROUNDUP(YEARFRAC(In_COD,CY$4),0)*(CY$4&gt;In_COD)</f>
        <v>20</v>
      </c>
      <c r="CZ21" s="43" t="n">
        <f aca="false">ROUNDUP(YEARFRAC(In_COD,CZ$4),0)*(CZ$4&gt;In_COD)</f>
        <v>20</v>
      </c>
      <c r="DA21" s="43" t="n">
        <f aca="false">ROUNDUP(YEARFRAC(In_COD,DA$4),0)*(DA$4&gt;In_COD)</f>
        <v>20</v>
      </c>
      <c r="DB21" s="43" t="n">
        <f aca="false">ROUNDUP(YEARFRAC(In_COD,DB$4),0)*(DB$4&gt;In_COD)</f>
        <v>21</v>
      </c>
      <c r="DC21" s="43" t="n">
        <f aca="false">ROUNDUP(YEARFRAC(In_COD,DC$4),0)*(DC$4&gt;In_COD)</f>
        <v>21</v>
      </c>
      <c r="DD21" s="43" t="n">
        <f aca="false">ROUNDUP(YEARFRAC(In_COD,DD$4),0)*(DD$4&gt;In_COD)</f>
        <v>21</v>
      </c>
      <c r="DE21" s="43" t="n">
        <f aca="false">ROUNDUP(YEARFRAC(In_COD,DE$4),0)*(DE$4&gt;In_COD)</f>
        <v>21</v>
      </c>
      <c r="DF21" s="43" t="n">
        <f aca="false">ROUNDUP(YEARFRAC(In_COD,DF$4),0)*(DF$4&gt;In_COD)</f>
        <v>22</v>
      </c>
      <c r="DG21" s="43" t="n">
        <f aca="false">ROUNDUP(YEARFRAC(In_COD,DG$4),0)*(DG$4&gt;In_COD)</f>
        <v>22</v>
      </c>
      <c r="DH21" s="43" t="n">
        <f aca="false">ROUNDUP(YEARFRAC(In_COD,DH$4),0)*(DH$4&gt;In_COD)</f>
        <v>22</v>
      </c>
      <c r="DI21" s="43" t="n">
        <f aca="false">ROUNDUP(YEARFRAC(In_COD,DI$4),0)*(DI$4&gt;In_COD)</f>
        <v>22</v>
      </c>
      <c r="DJ21" s="43" t="n">
        <f aca="false">ROUNDUP(YEARFRAC(In_COD,DJ$4),0)*(DJ$4&gt;In_COD)</f>
        <v>23</v>
      </c>
      <c r="DK21" s="43" t="n">
        <f aca="false">ROUNDUP(YEARFRAC(In_COD,DK$4),0)*(DK$4&gt;In_COD)</f>
        <v>23</v>
      </c>
      <c r="DL21" s="43" t="n">
        <f aca="false">ROUNDUP(YEARFRAC(In_COD,DL$4),0)*(DL$4&gt;In_COD)</f>
        <v>23</v>
      </c>
      <c r="DM21" s="43" t="n">
        <f aca="false">ROUNDUP(YEARFRAC(In_COD,DM$4),0)*(DM$4&gt;In_COD)</f>
        <v>23</v>
      </c>
      <c r="DN21" s="43" t="n">
        <f aca="false">ROUNDUP(YEARFRAC(In_COD,DN$4),0)*(DN$4&gt;In_COD)</f>
        <v>24</v>
      </c>
      <c r="DO21" s="43" t="n">
        <f aca="false">ROUNDUP(YEARFRAC(In_COD,DO$4),0)*(DO$4&gt;In_COD)</f>
        <v>24</v>
      </c>
      <c r="DP21" s="43" t="n">
        <f aca="false">ROUNDUP(YEARFRAC(In_COD,DP$4),0)*(DP$4&gt;In_COD)</f>
        <v>24</v>
      </c>
      <c r="DQ21" s="43" t="n">
        <f aca="false">ROUNDUP(YEARFRAC(In_COD,DQ$4),0)*(DQ$4&gt;In_COD)</f>
        <v>24</v>
      </c>
      <c r="DR21" s="43" t="n">
        <f aca="false">ROUNDUP(YEARFRAC(In_COD,DR$4),0)*(DR$4&gt;In_COD)</f>
        <v>25</v>
      </c>
      <c r="DS21" s="43" t="n">
        <f aca="false">ROUNDUP(YEARFRAC(In_COD,DS$4),0)*(DS$4&gt;In_COD)</f>
        <v>25</v>
      </c>
      <c r="DT21" s="43" t="n">
        <f aca="false">ROUNDUP(YEARFRAC(In_COD,DT$4),0)*(DT$4&gt;In_COD)</f>
        <v>25</v>
      </c>
      <c r="DU21" s="43" t="n">
        <f aca="false">ROUNDUP(YEARFRAC(In_COD,DU$4),0)*(DU$4&gt;In_COD)</f>
        <v>25</v>
      </c>
      <c r="DV21" s="43" t="n">
        <f aca="false">ROUNDUP(YEARFRAC(In_COD,DV$4),0)*(DV$4&gt;In_COD)</f>
        <v>26</v>
      </c>
      <c r="DW21" s="43" t="n">
        <f aca="false">ROUNDUP(YEARFRAC(In_COD,DW$4),0)*(DW$4&gt;In_COD)</f>
        <v>26</v>
      </c>
      <c r="DX21" s="43" t="n">
        <f aca="false">ROUNDUP(YEARFRAC(In_COD,DX$4),0)*(DX$4&gt;In_COD)</f>
        <v>26</v>
      </c>
      <c r="DY21" s="43" t="n">
        <f aca="false">ROUNDUP(YEARFRAC(In_COD,DY$4),0)*(DY$4&gt;In_COD)</f>
        <v>26</v>
      </c>
      <c r="DZ21" s="43" t="n">
        <f aca="false">ROUNDUP(YEARFRAC(In_COD,DZ$4),0)*(DZ$4&gt;In_COD)</f>
        <v>27</v>
      </c>
      <c r="EA21" s="43" t="n">
        <f aca="false">ROUNDUP(YEARFRAC(In_COD,EA$4),0)*(EA$4&gt;In_COD)</f>
        <v>27</v>
      </c>
      <c r="EB21" s="43" t="n">
        <f aca="false">ROUNDUP(YEARFRAC(In_COD,EB$4),0)*(EB$4&gt;In_COD)</f>
        <v>27</v>
      </c>
      <c r="EC21" s="43" t="n">
        <f aca="false">ROUNDUP(YEARFRAC(In_COD,EC$4),0)*(EC$4&gt;In_COD)</f>
        <v>27</v>
      </c>
      <c r="ED21" s="43" t="n">
        <f aca="false">ROUNDUP(YEARFRAC(In_COD,ED$4),0)*(ED$4&gt;In_COD)</f>
        <v>28</v>
      </c>
      <c r="EE21" s="43" t="n">
        <f aca="false">ROUNDUP(YEARFRAC(In_COD,EE$4),0)*(EE$4&gt;In_COD)</f>
        <v>28</v>
      </c>
      <c r="EF21" s="43" t="n">
        <f aca="false">ROUNDUP(YEARFRAC(In_COD,EF$4),0)*(EF$4&gt;In_COD)</f>
        <v>28</v>
      </c>
      <c r="EG21" s="43" t="n">
        <f aca="false">ROUNDUP(YEARFRAC(In_COD,EG$4),0)*(EG$4&gt;In_COD)</f>
        <v>28</v>
      </c>
      <c r="EH21" s="43" t="n">
        <f aca="false">ROUNDUP(YEARFRAC(In_COD,EH$4),0)*(EH$4&gt;In_COD)</f>
        <v>29</v>
      </c>
      <c r="EI21" s="43" t="n">
        <f aca="false">ROUNDUP(YEARFRAC(In_COD,EI$4),0)*(EI$4&gt;In_COD)</f>
        <v>29</v>
      </c>
      <c r="EJ21" s="43" t="n">
        <f aca="false">ROUNDUP(YEARFRAC(In_COD,EJ$4),0)*(EJ$4&gt;In_COD)</f>
        <v>29</v>
      </c>
      <c r="EK21" s="43" t="n">
        <f aca="false">ROUNDUP(YEARFRAC(In_COD,EK$4),0)*(EK$4&gt;In_COD)</f>
        <v>29</v>
      </c>
      <c r="EL21" s="43" t="n">
        <f aca="false">ROUNDUP(YEARFRAC(In_COD,EL$4),0)*(EL$4&gt;In_COD)</f>
        <v>30</v>
      </c>
      <c r="EM21" s="43" t="n">
        <f aca="false">ROUNDUP(YEARFRAC(In_COD,EM$4),0)*(EM$4&gt;In_COD)</f>
        <v>30</v>
      </c>
      <c r="EN21" s="43" t="n">
        <f aca="false">ROUNDUP(YEARFRAC(In_COD,EN$4),0)*(EN$4&gt;In_COD)</f>
        <v>30</v>
      </c>
      <c r="EO21" s="43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399</v>
      </c>
      <c r="D22" s="11" t="s">
        <v>386</v>
      </c>
      <c r="E22" s="54" t="n">
        <f aca="false">SUMIF($J$4:$EO$4,In_COD,$J22:$EO22)</f>
        <v>1.21988954770292</v>
      </c>
      <c r="F22" s="55" t="n">
        <f aca="false">In_Debt_Rate*Months_Per_Period/Months_In_Year</f>
        <v>0.0125</v>
      </c>
      <c r="J22" s="54" t="n">
        <f aca="false">(1+$F22)^J$8</f>
        <v>1.0125</v>
      </c>
      <c r="K22" s="54" t="n">
        <f aca="false">(1+$F22)^K$8</f>
        <v>1.02515625</v>
      </c>
      <c r="L22" s="54" t="n">
        <f aca="false">(1+$F22)^L$8</f>
        <v>1.037970703125</v>
      </c>
      <c r="M22" s="54" t="n">
        <f aca="false">(1+$F22)^M$8</f>
        <v>1.05094533691406</v>
      </c>
      <c r="N22" s="54" t="n">
        <f aca="false">(1+$F22)^N$8</f>
        <v>1.06408215362549</v>
      </c>
      <c r="O22" s="54" t="n">
        <f aca="false">(1+$F22)^O$8</f>
        <v>1.07738318054581</v>
      </c>
      <c r="P22" s="54" t="n">
        <f aca="false">(1+$F22)^P$8</f>
        <v>1.09085047030263</v>
      </c>
      <c r="Q22" s="54" t="n">
        <f aca="false">(1+$F22)^Q$8</f>
        <v>1.10448610118141</v>
      </c>
      <c r="R22" s="54" t="n">
        <f aca="false">(1+$F22)^R$8</f>
        <v>1.11829217744618</v>
      </c>
      <c r="S22" s="54" t="n">
        <f aca="false">(1+$F22)^S$8</f>
        <v>1.13227082966426</v>
      </c>
      <c r="T22" s="54" t="n">
        <f aca="false">(1+$F22)^T$8</f>
        <v>1.14642421503506</v>
      </c>
      <c r="U22" s="54" t="n">
        <f aca="false">(1+$F22)^U$8</f>
        <v>1.160754517723</v>
      </c>
      <c r="V22" s="54" t="n">
        <f aca="false">(1+$F22)^V$8</f>
        <v>1.17526394919454</v>
      </c>
      <c r="W22" s="54" t="n">
        <f aca="false">(1+$F22)^W$8</f>
        <v>1.18995474855947</v>
      </c>
      <c r="X22" s="54" t="n">
        <f aca="false">(1+$F22)^X$8</f>
        <v>1.20482918291646</v>
      </c>
      <c r="Y22" s="54" t="n">
        <f aca="false">(1+$F22)^Y$8</f>
        <v>1.21988954770292</v>
      </c>
      <c r="Z22" s="54" t="n">
        <f aca="false">(1+$F22)^Z$8</f>
        <v>1.2351381670492</v>
      </c>
      <c r="AA22" s="54" t="n">
        <f aca="false">(1+$F22)^AA$8</f>
        <v>1.25057739413732</v>
      </c>
      <c r="AB22" s="54" t="n">
        <f aca="false">(1+$F22)^AB$8</f>
        <v>1.26620961156403</v>
      </c>
      <c r="AC22" s="54" t="n">
        <f aca="false">(1+$F22)^AC$8</f>
        <v>1.28203723170858</v>
      </c>
      <c r="AD22" s="54" t="n">
        <f aca="false">(1+$F22)^AD$8</f>
        <v>1.29806269710494</v>
      </c>
      <c r="AE22" s="54" t="n">
        <f aca="false">(1+$F22)^AE$8</f>
        <v>1.31428848081875</v>
      </c>
      <c r="AF22" s="54" t="n">
        <f aca="false">(1+$F22)^AF$8</f>
        <v>1.33071708682899</v>
      </c>
      <c r="AG22" s="54" t="n">
        <f aca="false">(1+$F22)^AG$8</f>
        <v>1.34735105041435</v>
      </c>
      <c r="AH22" s="54" t="n">
        <f aca="false">(1+$F22)^AH$8</f>
        <v>1.36419293854453</v>
      </c>
      <c r="AI22" s="54" t="n">
        <f aca="false">(1+$F22)^AI$8</f>
        <v>1.38124535027634</v>
      </c>
      <c r="AJ22" s="54" t="n">
        <f aca="false">(1+$F22)^AJ$8</f>
        <v>1.39851091715479</v>
      </c>
      <c r="AK22" s="54" t="n">
        <f aca="false">(1+$F22)^AK$8</f>
        <v>1.41599230361922</v>
      </c>
      <c r="AL22" s="54" t="n">
        <f aca="false">(1+$F22)^AL$8</f>
        <v>1.43369220741447</v>
      </c>
      <c r="AM22" s="54" t="n">
        <f aca="false">(1+$F22)^AM$8</f>
        <v>1.45161336000715</v>
      </c>
      <c r="AN22" s="54" t="n">
        <f aca="false">(1+$F22)^AN$8</f>
        <v>1.46975852700724</v>
      </c>
      <c r="AO22" s="54" t="n">
        <f aca="false">(1+$F22)^AO$8</f>
        <v>1.48813050859483</v>
      </c>
      <c r="AP22" s="54" t="n">
        <f aca="false">(1+$F22)^AP$8</f>
        <v>1.50673213995226</v>
      </c>
      <c r="AQ22" s="54" t="n">
        <f aca="false">(1+$F22)^AQ$8</f>
        <v>1.52556629170166</v>
      </c>
      <c r="AR22" s="54" t="n">
        <f aca="false">(1+$F22)^AR$8</f>
        <v>1.54463587034793</v>
      </c>
      <c r="AS22" s="54" t="n">
        <f aca="false">(1+$F22)^AS$8</f>
        <v>1.56394381872728</v>
      </c>
      <c r="AT22" s="54" t="n">
        <f aca="false">(1+$F22)^AT$8</f>
        <v>1.58349311646137</v>
      </c>
      <c r="AU22" s="54" t="n">
        <f aca="false">(1+$F22)^AU$8</f>
        <v>1.60328678041714</v>
      </c>
      <c r="AV22" s="54" t="n">
        <f aca="false">(1+$F22)^AV$8</f>
        <v>1.62332786517236</v>
      </c>
      <c r="AW22" s="54" t="n">
        <f aca="false">(1+$F22)^AW$8</f>
        <v>1.64361946348701</v>
      </c>
      <c r="AX22" s="54" t="n">
        <f aca="false">(1+$F22)^AX$8</f>
        <v>1.6641647067806</v>
      </c>
      <c r="AY22" s="54" t="n">
        <f aca="false">(1+$F22)^AY$8</f>
        <v>1.68496676561536</v>
      </c>
      <c r="AZ22" s="54" t="n">
        <f aca="false">(1+$F22)^AZ$8</f>
        <v>1.70602885018555</v>
      </c>
      <c r="BA22" s="54" t="n">
        <f aca="false">(1+$F22)^BA$8</f>
        <v>1.72735421081287</v>
      </c>
      <c r="BB22" s="54" t="n">
        <f aca="false">(1+$F22)^BB$8</f>
        <v>1.74894613844803</v>
      </c>
      <c r="BC22" s="54" t="n">
        <f aca="false">(1+$F22)^BC$8</f>
        <v>1.77080796517863</v>
      </c>
      <c r="BD22" s="54" t="n">
        <f aca="false">(1+$F22)^BD$8</f>
        <v>1.79294306474336</v>
      </c>
      <c r="BE22" s="54" t="n">
        <f aca="false">(1+$F22)^BE$8</f>
        <v>1.81535485305265</v>
      </c>
      <c r="BF22" s="54" t="n">
        <f aca="false">(1+$F22)^BF$8</f>
        <v>1.83804678871581</v>
      </c>
      <c r="BG22" s="54" t="n">
        <f aca="false">(1+$F22)^BG$8</f>
        <v>1.86102237357476</v>
      </c>
      <c r="BH22" s="54" t="n">
        <f aca="false">(1+$F22)^BH$8</f>
        <v>1.88428515324444</v>
      </c>
      <c r="BI22" s="54" t="n">
        <f aca="false">(1+$F22)^BI$8</f>
        <v>1.90783871766</v>
      </c>
      <c r="BJ22" s="54" t="n">
        <f aca="false">(1+$F22)^BJ$8</f>
        <v>1.93168670163075</v>
      </c>
      <c r="BK22" s="54" t="n">
        <f aca="false">(1+$F22)^BK$8</f>
        <v>1.95583278540113</v>
      </c>
      <c r="BL22" s="54" t="n">
        <f aca="false">(1+$F22)^BL$8</f>
        <v>1.98028069521865</v>
      </c>
      <c r="BM22" s="54" t="n">
        <f aca="false">(1+$F22)^BM$8</f>
        <v>2.00503420390888</v>
      </c>
      <c r="BN22" s="54" t="n">
        <f aca="false">(1+$F22)^BN$8</f>
        <v>2.03009713145774</v>
      </c>
      <c r="BO22" s="54" t="n">
        <f aca="false">(1+$F22)^BO$8</f>
        <v>2.05547334560096</v>
      </c>
      <c r="BP22" s="54" t="n">
        <f aca="false">(1+$F22)^BP$8</f>
        <v>2.08116676242097</v>
      </c>
      <c r="BQ22" s="54" t="n">
        <f aca="false">(1+$F22)^BQ$8</f>
        <v>2.10718134695124</v>
      </c>
      <c r="BR22" s="54" t="n">
        <f aca="false">(1+$F22)^BR$8</f>
        <v>2.13352111378813</v>
      </c>
      <c r="BS22" s="54" t="n">
        <f aca="false">(1+$F22)^BS$8</f>
        <v>2.16019012771048</v>
      </c>
      <c r="BT22" s="54" t="n">
        <f aca="false">(1+$F22)^BT$8</f>
        <v>2.18719250430686</v>
      </c>
      <c r="BU22" s="54" t="n">
        <f aca="false">(1+$F22)^BU$8</f>
        <v>2.21453241061069</v>
      </c>
      <c r="BV22" s="54" t="n">
        <f aca="false">(1+$F22)^BV$8</f>
        <v>2.24221406574333</v>
      </c>
      <c r="BW22" s="54" t="n">
        <f aca="false">(1+$F22)^BW$8</f>
        <v>2.27024174156512</v>
      </c>
      <c r="BX22" s="54" t="n">
        <f aca="false">(1+$F22)^BX$8</f>
        <v>2.29861976333468</v>
      </c>
      <c r="BY22" s="54" t="n">
        <f aca="false">(1+$F22)^BY$8</f>
        <v>2.32735251037637</v>
      </c>
      <c r="BZ22" s="54" t="n">
        <f aca="false">(1+$F22)^BZ$8</f>
        <v>2.35644441675607</v>
      </c>
      <c r="CA22" s="54" t="n">
        <f aca="false">(1+$F22)^CA$8</f>
        <v>2.38589997196552</v>
      </c>
      <c r="CB22" s="54" t="n">
        <f aca="false">(1+$F22)^CB$8</f>
        <v>2.41572372161509</v>
      </c>
      <c r="CC22" s="54" t="n">
        <f aca="false">(1+$F22)^CC$8</f>
        <v>2.44592026813528</v>
      </c>
      <c r="CD22" s="54" t="n">
        <f aca="false">(1+$F22)^CD$8</f>
        <v>2.47649427148697</v>
      </c>
      <c r="CE22" s="54" t="n">
        <f aca="false">(1+$F22)^CE$8</f>
        <v>2.50745044988056</v>
      </c>
      <c r="CF22" s="54" t="n">
        <f aca="false">(1+$F22)^CF$8</f>
        <v>2.53879358050406</v>
      </c>
      <c r="CG22" s="54" t="n">
        <f aca="false">(1+$F22)^CG$8</f>
        <v>2.57052850026036</v>
      </c>
      <c r="CH22" s="54" t="n">
        <f aca="false">(1+$F22)^CH$8</f>
        <v>2.60266010651362</v>
      </c>
      <c r="CI22" s="54" t="n">
        <f aca="false">(1+$F22)^CI$8</f>
        <v>2.63519335784504</v>
      </c>
      <c r="CJ22" s="54" t="n">
        <f aca="false">(1+$F22)^CJ$8</f>
        <v>2.6681332748181</v>
      </c>
      <c r="CK22" s="54" t="n">
        <f aca="false">(1+$F22)^CK$8</f>
        <v>2.70148494075333</v>
      </c>
      <c r="CL22" s="54" t="n">
        <f aca="false">(1+$F22)^CL$8</f>
        <v>2.73525350251274</v>
      </c>
      <c r="CM22" s="54" t="n">
        <f aca="false">(1+$F22)^CM$8</f>
        <v>2.76944417129415</v>
      </c>
      <c r="CN22" s="54" t="n">
        <f aca="false">(1+$F22)^CN$8</f>
        <v>2.80406222343533</v>
      </c>
      <c r="CO22" s="54" t="n">
        <f aca="false">(1+$F22)^CO$8</f>
        <v>2.83911300122827</v>
      </c>
      <c r="CP22" s="54" t="n">
        <f aca="false">(1+$F22)^CP$8</f>
        <v>2.87460191374363</v>
      </c>
      <c r="CQ22" s="54" t="n">
        <f aca="false">(1+$F22)^CQ$8</f>
        <v>2.91053443766542</v>
      </c>
      <c r="CR22" s="54" t="n">
        <f aca="false">(1+$F22)^CR$8</f>
        <v>2.94691611813624</v>
      </c>
      <c r="CS22" s="54" t="n">
        <f aca="false">(1+$F22)^CS$8</f>
        <v>2.98375256961294</v>
      </c>
      <c r="CT22" s="54" t="n">
        <f aca="false">(1+$F22)^CT$8</f>
        <v>3.0210494767331</v>
      </c>
      <c r="CU22" s="54" t="n">
        <f aca="false">(1+$F22)^CU$8</f>
        <v>3.05881259519227</v>
      </c>
      <c r="CV22" s="54" t="n">
        <f aca="false">(1+$F22)^CV$8</f>
        <v>3.09704775263217</v>
      </c>
      <c r="CW22" s="54" t="n">
        <f aca="false">(1+$F22)^CW$8</f>
        <v>3.13576084954007</v>
      </c>
      <c r="CX22" s="54" t="n">
        <f aca="false">(1+$F22)^CX$8</f>
        <v>3.17495786015932</v>
      </c>
      <c r="CY22" s="54" t="n">
        <f aca="false">(1+$F22)^CY$8</f>
        <v>3.21464483341131</v>
      </c>
      <c r="CZ22" s="54" t="n">
        <f aca="false">(1+$F22)^CZ$8</f>
        <v>3.25482789382895</v>
      </c>
      <c r="DA22" s="54" t="n">
        <f aca="false">(1+$F22)^DA$8</f>
        <v>3.29551324250182</v>
      </c>
      <c r="DB22" s="54" t="n">
        <f aca="false">(1+$F22)^DB$8</f>
        <v>3.33670715803309</v>
      </c>
      <c r="DC22" s="54" t="n">
        <f aca="false">(1+$F22)^DC$8</f>
        <v>3.3784159975085</v>
      </c>
      <c r="DD22" s="54" t="n">
        <f aca="false">(1+$F22)^DD$8</f>
        <v>3.42064619747736</v>
      </c>
      <c r="DE22" s="54" t="n">
        <f aca="false">(1+$F22)^DE$8</f>
        <v>3.46340427494583</v>
      </c>
      <c r="DF22" s="54" t="n">
        <f aca="false">(1+$F22)^DF$8</f>
        <v>3.50669682838265</v>
      </c>
      <c r="DG22" s="54" t="n">
        <f aca="false">(1+$F22)^DG$8</f>
        <v>3.55053053873743</v>
      </c>
      <c r="DH22" s="54" t="n">
        <f aca="false">(1+$F22)^DH$8</f>
        <v>3.59491217047165</v>
      </c>
      <c r="DI22" s="54" t="n">
        <f aca="false">(1+$F22)^DI$8</f>
        <v>3.63984857260254</v>
      </c>
      <c r="DJ22" s="54" t="n">
        <f aca="false">(1+$F22)^DJ$8</f>
        <v>3.68534667976008</v>
      </c>
      <c r="DK22" s="54" t="n">
        <f aca="false">(1+$F22)^DK$8</f>
        <v>3.73141351325708</v>
      </c>
      <c r="DL22" s="54" t="n">
        <f aca="false">(1+$F22)^DL$8</f>
        <v>3.77805618217279</v>
      </c>
      <c r="DM22" s="54" t="n">
        <f aca="false">(1+$F22)^DM$8</f>
        <v>3.82528188444995</v>
      </c>
      <c r="DN22" s="54" t="n">
        <f aca="false">(1+$F22)^DN$8</f>
        <v>3.87309790800557</v>
      </c>
      <c r="DO22" s="54" t="n">
        <f aca="false">(1+$F22)^DO$8</f>
        <v>3.92151163185564</v>
      </c>
      <c r="DP22" s="54" t="n">
        <f aca="false">(1+$F22)^DP$8</f>
        <v>3.97053052725384</v>
      </c>
      <c r="DQ22" s="54" t="n">
        <f aca="false">(1+$F22)^DQ$8</f>
        <v>4.02016215884451</v>
      </c>
      <c r="DR22" s="54" t="n">
        <f aca="false">(1+$F22)^DR$8</f>
        <v>4.07041418583007</v>
      </c>
      <c r="DS22" s="54" t="n">
        <f aca="false">(1+$F22)^DS$8</f>
        <v>4.12129436315294</v>
      </c>
      <c r="DT22" s="54" t="n">
        <f aca="false">(1+$F22)^DT$8</f>
        <v>4.17281054269235</v>
      </c>
      <c r="DU22" s="54" t="n">
        <f aca="false">(1+$F22)^DU$8</f>
        <v>4.22497067447601</v>
      </c>
      <c r="DV22" s="54" t="n">
        <f aca="false">(1+$F22)^DV$8</f>
        <v>4.27778280790696</v>
      </c>
      <c r="DW22" s="54" t="n">
        <f aca="false">(1+$F22)^DW$8</f>
        <v>4.3312550930058</v>
      </c>
      <c r="DX22" s="54" t="n">
        <f aca="false">(1+$F22)^DX$8</f>
        <v>4.38539578166837</v>
      </c>
      <c r="DY22" s="54" t="n">
        <f aca="false">(1+$F22)^DY$8</f>
        <v>4.44021322893922</v>
      </c>
      <c r="DZ22" s="54" t="n">
        <f aca="false">(1+$F22)^DZ$8</f>
        <v>4.49571589430096</v>
      </c>
      <c r="EA22" s="54" t="n">
        <f aca="false">(1+$F22)^EA$8</f>
        <v>4.55191234297972</v>
      </c>
      <c r="EB22" s="54" t="n">
        <f aca="false">(1+$F22)^EB$8</f>
        <v>4.60881124726697</v>
      </c>
      <c r="EC22" s="54" t="n">
        <f aca="false">(1+$F22)^EC$8</f>
        <v>4.66642138785781</v>
      </c>
      <c r="ED22" s="54" t="n">
        <f aca="false">(1+$F22)^ED$8</f>
        <v>4.72475165520603</v>
      </c>
      <c r="EE22" s="54" t="n">
        <f aca="false">(1+$F22)^EE$8</f>
        <v>4.78381105089611</v>
      </c>
      <c r="EF22" s="54" t="n">
        <f aca="false">(1+$F22)^EF$8</f>
        <v>4.84360868903231</v>
      </c>
      <c r="EG22" s="54" t="n">
        <f aca="false">(1+$F22)^EG$8</f>
        <v>4.90415379764521</v>
      </c>
      <c r="EH22" s="54" t="n">
        <f aca="false">(1+$F22)^EH$8</f>
        <v>4.96545572011577</v>
      </c>
      <c r="EI22" s="54" t="n">
        <f aca="false">(1+$F22)^EI$8</f>
        <v>5.02752391661722</v>
      </c>
      <c r="EJ22" s="54" t="n">
        <f aca="false">(1+$F22)^EJ$8</f>
        <v>5.09036796557494</v>
      </c>
      <c r="EK22" s="54" t="n">
        <f aca="false">(1+$F22)^EK$8</f>
        <v>5.15399756514462</v>
      </c>
      <c r="EL22" s="54" t="n">
        <f aca="false">(1+$F22)^EL$8</f>
        <v>5.21842253470893</v>
      </c>
      <c r="EM22" s="54" t="n">
        <f aca="false">(1+$F22)^EM$8</f>
        <v>5.28365281639279</v>
      </c>
      <c r="EN22" s="54" t="n">
        <f aca="false">(1+$F22)^EN$8</f>
        <v>5.3496984765977</v>
      </c>
      <c r="EO22" s="54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400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401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402</v>
      </c>
      <c r="D26" s="11" t="s">
        <v>62</v>
      </c>
      <c r="E26" s="36" t="n">
        <f aca="false">INDEX(Dash_BESS,1,$A$1)*In_MVA</f>
        <v>10</v>
      </c>
      <c r="F26" s="36" t="n">
        <f aca="false">$E26*In_BESS_Built</f>
        <v>10</v>
      </c>
    </row>
    <row r="27" customFormat="false" ht="15" hidden="false" customHeight="false" outlineLevel="0" collapsed="false">
      <c r="C27" s="0" t="s">
        <v>403</v>
      </c>
      <c r="D27" s="11" t="s">
        <v>70</v>
      </c>
      <c r="E27" s="36" t="n">
        <f aca="false">$E26*INDEX(Dash_BESS_Hours,1,$A$1)</f>
        <v>40</v>
      </c>
    </row>
    <row r="28" customFormat="false" ht="15" hidden="false" customHeight="false" outlineLevel="0" collapsed="false">
      <c r="C28" s="0" t="s">
        <v>404</v>
      </c>
      <c r="D28" s="11" t="s">
        <v>27</v>
      </c>
      <c r="E28" s="55" t="n">
        <f aca="false">($F25-In_MVA)/$F25*In_Bottleneck_Loss</f>
        <v>0.00454545454545455</v>
      </c>
    </row>
    <row r="29" customFormat="false" ht="15" hidden="false" customHeight="false" outlineLevel="0" collapsed="false">
      <c r="C29" s="0" t="s">
        <v>405</v>
      </c>
      <c r="D29" s="11" t="s">
        <v>27</v>
      </c>
      <c r="E29" s="48" t="n">
        <f aca="false">MAX(0,1-$F25/$E25)</f>
        <v>0.0833333333333333</v>
      </c>
      <c r="F29" s="48" t="n">
        <f aca="false">(1-In_BESS_Built)*($E26&gt;0)</f>
        <v>0</v>
      </c>
    </row>
    <row r="31" customFormat="false" ht="15" hidden="false" customHeight="false" outlineLevel="0" collapsed="false">
      <c r="A31" s="9" t="s">
        <v>13</v>
      </c>
      <c r="B31" s="9"/>
      <c r="C31" s="9" t="s">
        <v>406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</row>
    <row r="32" customFormat="false" ht="15" hidden="false" customHeight="false" outlineLevel="0" collapsed="false">
      <c r="C32" s="0" t="s">
        <v>407</v>
      </c>
      <c r="D32" s="11" t="s">
        <v>19</v>
      </c>
      <c r="E32" s="32" t="n">
        <f aca="false">INDEX(Dash_Municipal,1,$A$1)</f>
        <v>50</v>
      </c>
      <c r="F32" s="32" t="n">
        <f aca="false">INDEX(Osz1_Pts,1+SUMPRODUCT((Osz1_LB&lt;$E32)+(Osz1_LB=$E32)*Osz1_Incl))*Osz1_W</f>
        <v>20</v>
      </c>
    </row>
    <row r="33" customFormat="false" ht="15" hidden="false" customHeight="false" outlineLevel="0" collapsed="false">
      <c r="C33" s="0" t="s">
        <v>408</v>
      </c>
      <c r="D33" s="11" t="s">
        <v>24</v>
      </c>
      <c r="E33" s="32" t="n">
        <f aca="false">INDEX(Dash_Community,1,$A$1)</f>
        <v>3</v>
      </c>
      <c r="F33" s="32" t="n">
        <f aca="false">INDEX(Osz2_Pts,1+SUMPRODUCT((Osz2_LB&lt;$E33)+(Osz2_LB=$E33)*Osz2_Incl))*Osz2_W</f>
        <v>15</v>
      </c>
    </row>
    <row r="34" customFormat="false" ht="15" hidden="false" customHeight="false" outlineLevel="0" collapsed="false">
      <c r="C34" s="0" t="s">
        <v>409</v>
      </c>
      <c r="D34" s="11" t="s">
        <v>27</v>
      </c>
      <c r="E34" s="48" t="n">
        <f aca="false">INDEX(Dash_Overbuild,1,$A$1)</f>
        <v>0.2</v>
      </c>
      <c r="F34" s="32" t="n">
        <f aca="false">INDEX(Osz3_Pts,1+SUMPRODUCT((Osz3_LB&lt;$E34)+(Osz3_LB=$E34)*Osz3_Incl))*Osz3_W</f>
        <v>5</v>
      </c>
    </row>
    <row r="35" customFormat="false" ht="15" hidden="false" customHeight="false" outlineLevel="0" collapsed="false">
      <c r="C35" s="0" t="s">
        <v>410</v>
      </c>
      <c r="D35" s="11" t="s">
        <v>27</v>
      </c>
      <c r="E35" s="48" t="n">
        <f aca="false">INDEX(Dash_BESS,1,$A$1)</f>
        <v>0.2</v>
      </c>
      <c r="F35" s="32" t="n">
        <f aca="false">INDEX(Osz4_Pts,1+SUMPRODUCT((Osz4_LB&lt;$E35)+(Osz4_LB=$E35)*Osz4_Incl))*Osz4_W*($E35&gt;=Osz4_Min)</f>
        <v>7.5</v>
      </c>
    </row>
    <row r="36" customFormat="false" ht="15" hidden="false" customHeight="false" outlineLevel="0" collapsed="false">
      <c r="C36" s="0" t="s">
        <v>411</v>
      </c>
      <c r="D36" s="11" t="s">
        <v>43</v>
      </c>
      <c r="E36" s="49" t="n">
        <f aca="false">INDEX(Dash_Partial,1,$A$1)</f>
        <v>0</v>
      </c>
      <c r="F36" s="32" t="n">
        <f aca="false">$E36*Osz5_Pts*Osz5_W</f>
        <v>0</v>
      </c>
    </row>
    <row r="37" customFormat="false" ht="15" hidden="false" customHeight="false" outlineLevel="0" collapsed="false">
      <c r="C37" s="0" t="s">
        <v>412</v>
      </c>
      <c r="D37" s="11" t="s">
        <v>13</v>
      </c>
      <c r="E37" s="52" t="n">
        <f aca="false">INDEX(Dash_PB_Mult,1,$A$1)</f>
        <v>1</v>
      </c>
      <c r="F37" s="32" t="n">
        <f aca="false">INDEX(Osz6_Pts,1+SUMPRODUCT((Osz6_LB&lt;$E37)+(Osz6_LB=$E37)*Osz6_Incl))*Osz6_W</f>
        <v>0</v>
      </c>
    </row>
    <row r="38" customFormat="false" ht="15" hidden="false" customHeight="false" outlineLevel="0" collapsed="false">
      <c r="C38" s="0" t="s">
        <v>413</v>
      </c>
      <c r="D38" s="11" t="s">
        <v>43</v>
      </c>
      <c r="E38" s="49" t="n">
        <f aca="false">INDEX(Dash_Shared,1,$A$1)</f>
        <v>0</v>
      </c>
      <c r="F38" s="32" t="n">
        <f aca="false">$E38*Osz8_Pts*Osz8_W</f>
        <v>0</v>
      </c>
    </row>
    <row r="39" customFormat="false" ht="15" hidden="false" customHeight="false" outlineLevel="0" collapsed="false">
      <c r="C39" s="0" t="s">
        <v>414</v>
      </c>
      <c r="D39" s="11" t="s">
        <v>43</v>
      </c>
      <c r="E39" s="49" t="n">
        <f aca="false">INDEX(Dash_EU_Turbine,1,$A$1)</f>
        <v>0</v>
      </c>
      <c r="F39" s="32" t="n">
        <f aca="false">$E39*Osz9a_Pts*Osz9_W</f>
        <v>0</v>
      </c>
    </row>
    <row r="40" customFormat="false" ht="15" hidden="false" customHeight="false" outlineLevel="0" collapsed="false">
      <c r="C40" s="0" t="s">
        <v>415</v>
      </c>
      <c r="D40" s="11" t="s">
        <v>43</v>
      </c>
      <c r="E40" s="49" t="n">
        <f aca="false">INDEX(Dash_EU_Transformer,1,$A$1)</f>
        <v>0</v>
      </c>
      <c r="F40" s="32" t="n">
        <f aca="false">$E40*Osz9b_Pts*Osz9_W</f>
        <v>0</v>
      </c>
    </row>
    <row r="41" customFormat="false" ht="15" hidden="false" customHeight="false" outlineLevel="0" collapsed="false">
      <c r="C41" s="25" t="s">
        <v>52</v>
      </c>
      <c r="D41" s="11" t="s">
        <v>53</v>
      </c>
      <c r="E41" s="26" t="n">
        <f aca="false">ROUND(SUM($F32:$F40),Points_Decimals)</f>
        <v>47.5</v>
      </c>
    </row>
    <row r="42" customFormat="false" ht="15" hidden="false" customHeight="false" outlineLevel="0" collapsed="false">
      <c r="C42" s="0" t="s">
        <v>416</v>
      </c>
      <c r="D42" s="11" t="s">
        <v>147</v>
      </c>
      <c r="E42" s="43" t="n">
        <f aca="false">($E32&lt;&gt;0)*($E32&lt;Osz1_Min)+($E32&gt;Osz1_Max)+($E33&lt;&gt;0)*($E33&lt;Osz2_Min)+($E33&gt;Osz2_Max)</f>
        <v>0</v>
      </c>
      <c r="F42" s="43" t="n">
        <f aca="false">N($E37&lt;1)+N($E26&gt;$E25)+N($E27&lt;$E26*In_Min_Hours)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417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</row>
    <row r="45" customFormat="false" ht="15" hidden="false" customHeight="false" outlineLevel="0" collapsed="false">
      <c r="C45" s="0" t="s">
        <v>32</v>
      </c>
      <c r="D45" s="11" t="s">
        <v>33</v>
      </c>
      <c r="E45" s="18" t="n">
        <f aca="false">In_Purchase_Price</f>
        <v>4500</v>
      </c>
      <c r="F45" s="20" t="n">
        <f aca="false">In_Closing</f>
        <v>46387</v>
      </c>
      <c r="I45" s="47" t="n">
        <f aca="false">SUM(J45:EO45)</f>
        <v>-4500</v>
      </c>
      <c r="J45" s="47" t="n">
        <f aca="false">-$E45*N(AND(J$3&lt;=$F45,J$4&gt;=$F45))</f>
        <v>-4500</v>
      </c>
      <c r="K45" s="47" t="n">
        <f aca="false">-$E45*N(AND(K$3&lt;=$F45,K$4&gt;=$F45))</f>
        <v>-0</v>
      </c>
      <c r="L45" s="47" t="n">
        <f aca="false">-$E45*N(AND(L$3&lt;=$F45,L$4&gt;=$F45))</f>
        <v>-0</v>
      </c>
      <c r="M45" s="47" t="n">
        <f aca="false">-$E45*N(AND(M$3&lt;=$F45,M$4&gt;=$F45))</f>
        <v>-0</v>
      </c>
      <c r="N45" s="47" t="n">
        <f aca="false">-$E45*N(AND(N$3&lt;=$F45,N$4&gt;=$F45))</f>
        <v>-0</v>
      </c>
      <c r="O45" s="47" t="n">
        <f aca="false">-$E45*N(AND(O$3&lt;=$F45,O$4&gt;=$F45))</f>
        <v>-0</v>
      </c>
      <c r="P45" s="47" t="n">
        <f aca="false">-$E45*N(AND(P$3&lt;=$F45,P$4&gt;=$F45))</f>
        <v>-0</v>
      </c>
      <c r="Q45" s="47" t="n">
        <f aca="false">-$E45*N(AND(Q$3&lt;=$F45,Q$4&gt;=$F45))</f>
        <v>-0</v>
      </c>
      <c r="R45" s="47" t="n">
        <f aca="false">-$E45*N(AND(R$3&lt;=$F45,R$4&gt;=$F45))</f>
        <v>-0</v>
      </c>
      <c r="S45" s="47" t="n">
        <f aca="false">-$E45*N(AND(S$3&lt;=$F45,S$4&gt;=$F45))</f>
        <v>-0</v>
      </c>
      <c r="T45" s="47" t="n">
        <f aca="false">-$E45*N(AND(T$3&lt;=$F45,T$4&gt;=$F45))</f>
        <v>-0</v>
      </c>
      <c r="U45" s="47" t="n">
        <f aca="false">-$E45*N(AND(U$3&lt;=$F45,U$4&gt;=$F45))</f>
        <v>-0</v>
      </c>
      <c r="V45" s="47" t="n">
        <f aca="false">-$E45*N(AND(V$3&lt;=$F45,V$4&gt;=$F45))</f>
        <v>-0</v>
      </c>
      <c r="W45" s="47" t="n">
        <f aca="false">-$E45*N(AND(W$3&lt;=$F45,W$4&gt;=$F45))</f>
        <v>-0</v>
      </c>
      <c r="X45" s="47" t="n">
        <f aca="false">-$E45*N(AND(X$3&lt;=$F45,X$4&gt;=$F45))</f>
        <v>-0</v>
      </c>
      <c r="Y45" s="47" t="n">
        <f aca="false">-$E45*N(AND(Y$3&lt;=$F45,Y$4&gt;=$F45))</f>
        <v>-0</v>
      </c>
      <c r="Z45" s="47" t="n">
        <f aca="false">-$E45*N(AND(Z$3&lt;=$F45,Z$4&gt;=$F45))</f>
        <v>-0</v>
      </c>
      <c r="AA45" s="47" t="n">
        <f aca="false">-$E45*N(AND(AA$3&lt;=$F45,AA$4&gt;=$F45))</f>
        <v>-0</v>
      </c>
      <c r="AB45" s="47" t="n">
        <f aca="false">-$E45*N(AND(AB$3&lt;=$F45,AB$4&gt;=$F45))</f>
        <v>-0</v>
      </c>
      <c r="AC45" s="47" t="n">
        <f aca="false">-$E45*N(AND(AC$3&lt;=$F45,AC$4&gt;=$F45))</f>
        <v>-0</v>
      </c>
      <c r="AD45" s="47" t="n">
        <f aca="false">-$E45*N(AND(AD$3&lt;=$F45,AD$4&gt;=$F45))</f>
        <v>-0</v>
      </c>
      <c r="AE45" s="47" t="n">
        <f aca="false">-$E45*N(AND(AE$3&lt;=$F45,AE$4&gt;=$F45))</f>
        <v>-0</v>
      </c>
      <c r="AF45" s="47" t="n">
        <f aca="false">-$E45*N(AND(AF$3&lt;=$F45,AF$4&gt;=$F45))</f>
        <v>-0</v>
      </c>
      <c r="AG45" s="47" t="n">
        <f aca="false">-$E45*N(AND(AG$3&lt;=$F45,AG$4&gt;=$F45))</f>
        <v>-0</v>
      </c>
      <c r="AH45" s="47" t="n">
        <f aca="false">-$E45*N(AND(AH$3&lt;=$F45,AH$4&gt;=$F45))</f>
        <v>-0</v>
      </c>
      <c r="AI45" s="47" t="n">
        <f aca="false">-$E45*N(AND(AI$3&lt;=$F45,AI$4&gt;=$F45))</f>
        <v>-0</v>
      </c>
      <c r="AJ45" s="47" t="n">
        <f aca="false">-$E45*N(AND(AJ$3&lt;=$F45,AJ$4&gt;=$F45))</f>
        <v>-0</v>
      </c>
      <c r="AK45" s="47" t="n">
        <f aca="false">-$E45*N(AND(AK$3&lt;=$F45,AK$4&gt;=$F45))</f>
        <v>-0</v>
      </c>
      <c r="AL45" s="47" t="n">
        <f aca="false">-$E45*N(AND(AL$3&lt;=$F45,AL$4&gt;=$F45))</f>
        <v>-0</v>
      </c>
      <c r="AM45" s="47" t="n">
        <f aca="false">-$E45*N(AND(AM$3&lt;=$F45,AM$4&gt;=$F45))</f>
        <v>-0</v>
      </c>
      <c r="AN45" s="47" t="n">
        <f aca="false">-$E45*N(AND(AN$3&lt;=$F45,AN$4&gt;=$F45))</f>
        <v>-0</v>
      </c>
      <c r="AO45" s="47" t="n">
        <f aca="false">-$E45*N(AND(AO$3&lt;=$F45,AO$4&gt;=$F45))</f>
        <v>-0</v>
      </c>
      <c r="AP45" s="47" t="n">
        <f aca="false">-$E45*N(AND(AP$3&lt;=$F45,AP$4&gt;=$F45))</f>
        <v>-0</v>
      </c>
      <c r="AQ45" s="47" t="n">
        <f aca="false">-$E45*N(AND(AQ$3&lt;=$F45,AQ$4&gt;=$F45))</f>
        <v>-0</v>
      </c>
      <c r="AR45" s="47" t="n">
        <f aca="false">-$E45*N(AND(AR$3&lt;=$F45,AR$4&gt;=$F45))</f>
        <v>-0</v>
      </c>
      <c r="AS45" s="47" t="n">
        <f aca="false">-$E45*N(AND(AS$3&lt;=$F45,AS$4&gt;=$F45))</f>
        <v>-0</v>
      </c>
      <c r="AT45" s="47" t="n">
        <f aca="false">-$E45*N(AND(AT$3&lt;=$F45,AT$4&gt;=$F45))</f>
        <v>-0</v>
      </c>
      <c r="AU45" s="47" t="n">
        <f aca="false">-$E45*N(AND(AU$3&lt;=$F45,AU$4&gt;=$F45))</f>
        <v>-0</v>
      </c>
      <c r="AV45" s="47" t="n">
        <f aca="false">-$E45*N(AND(AV$3&lt;=$F45,AV$4&gt;=$F45))</f>
        <v>-0</v>
      </c>
      <c r="AW45" s="47" t="n">
        <f aca="false">-$E45*N(AND(AW$3&lt;=$F45,AW$4&gt;=$F45))</f>
        <v>-0</v>
      </c>
      <c r="AX45" s="47" t="n">
        <f aca="false">-$E45*N(AND(AX$3&lt;=$F45,AX$4&gt;=$F45))</f>
        <v>-0</v>
      </c>
      <c r="AY45" s="47" t="n">
        <f aca="false">-$E45*N(AND(AY$3&lt;=$F45,AY$4&gt;=$F45))</f>
        <v>-0</v>
      </c>
      <c r="AZ45" s="47" t="n">
        <f aca="false">-$E45*N(AND(AZ$3&lt;=$F45,AZ$4&gt;=$F45))</f>
        <v>-0</v>
      </c>
      <c r="BA45" s="47" t="n">
        <f aca="false">-$E45*N(AND(BA$3&lt;=$F45,BA$4&gt;=$F45))</f>
        <v>-0</v>
      </c>
      <c r="BB45" s="47" t="n">
        <f aca="false">-$E45*N(AND(BB$3&lt;=$F45,BB$4&gt;=$F45))</f>
        <v>-0</v>
      </c>
      <c r="BC45" s="47" t="n">
        <f aca="false">-$E45*N(AND(BC$3&lt;=$F45,BC$4&gt;=$F45))</f>
        <v>-0</v>
      </c>
      <c r="BD45" s="47" t="n">
        <f aca="false">-$E45*N(AND(BD$3&lt;=$F45,BD$4&gt;=$F45))</f>
        <v>-0</v>
      </c>
      <c r="BE45" s="47" t="n">
        <f aca="false">-$E45*N(AND(BE$3&lt;=$F45,BE$4&gt;=$F45))</f>
        <v>-0</v>
      </c>
      <c r="BF45" s="47" t="n">
        <f aca="false">-$E45*N(AND(BF$3&lt;=$F45,BF$4&gt;=$F45))</f>
        <v>-0</v>
      </c>
      <c r="BG45" s="47" t="n">
        <f aca="false">-$E45*N(AND(BG$3&lt;=$F45,BG$4&gt;=$F45))</f>
        <v>-0</v>
      </c>
      <c r="BH45" s="47" t="n">
        <f aca="false">-$E45*N(AND(BH$3&lt;=$F45,BH$4&gt;=$F45))</f>
        <v>-0</v>
      </c>
      <c r="BI45" s="47" t="n">
        <f aca="false">-$E45*N(AND(BI$3&lt;=$F45,BI$4&gt;=$F45))</f>
        <v>-0</v>
      </c>
      <c r="BJ45" s="47" t="n">
        <f aca="false">-$E45*N(AND(BJ$3&lt;=$F45,BJ$4&gt;=$F45))</f>
        <v>-0</v>
      </c>
      <c r="BK45" s="47" t="n">
        <f aca="false">-$E45*N(AND(BK$3&lt;=$F45,BK$4&gt;=$F45))</f>
        <v>-0</v>
      </c>
      <c r="BL45" s="47" t="n">
        <f aca="false">-$E45*N(AND(BL$3&lt;=$F45,BL$4&gt;=$F45))</f>
        <v>-0</v>
      </c>
      <c r="BM45" s="47" t="n">
        <f aca="false">-$E45*N(AND(BM$3&lt;=$F45,BM$4&gt;=$F45))</f>
        <v>-0</v>
      </c>
      <c r="BN45" s="47" t="n">
        <f aca="false">-$E45*N(AND(BN$3&lt;=$F45,BN$4&gt;=$F45))</f>
        <v>-0</v>
      </c>
      <c r="BO45" s="47" t="n">
        <f aca="false">-$E45*N(AND(BO$3&lt;=$F45,BO$4&gt;=$F45))</f>
        <v>-0</v>
      </c>
      <c r="BP45" s="47" t="n">
        <f aca="false">-$E45*N(AND(BP$3&lt;=$F45,BP$4&gt;=$F45))</f>
        <v>-0</v>
      </c>
      <c r="BQ45" s="47" t="n">
        <f aca="false">-$E45*N(AND(BQ$3&lt;=$F45,BQ$4&gt;=$F45))</f>
        <v>-0</v>
      </c>
      <c r="BR45" s="47" t="n">
        <f aca="false">-$E45*N(AND(BR$3&lt;=$F45,BR$4&gt;=$F45))</f>
        <v>-0</v>
      </c>
      <c r="BS45" s="47" t="n">
        <f aca="false">-$E45*N(AND(BS$3&lt;=$F45,BS$4&gt;=$F45))</f>
        <v>-0</v>
      </c>
      <c r="BT45" s="47" t="n">
        <f aca="false">-$E45*N(AND(BT$3&lt;=$F45,BT$4&gt;=$F45))</f>
        <v>-0</v>
      </c>
      <c r="BU45" s="47" t="n">
        <f aca="false">-$E45*N(AND(BU$3&lt;=$F45,BU$4&gt;=$F45))</f>
        <v>-0</v>
      </c>
      <c r="BV45" s="47" t="n">
        <f aca="false">-$E45*N(AND(BV$3&lt;=$F45,BV$4&gt;=$F45))</f>
        <v>-0</v>
      </c>
      <c r="BW45" s="47" t="n">
        <f aca="false">-$E45*N(AND(BW$3&lt;=$F45,BW$4&gt;=$F45))</f>
        <v>-0</v>
      </c>
      <c r="BX45" s="47" t="n">
        <f aca="false">-$E45*N(AND(BX$3&lt;=$F45,BX$4&gt;=$F45))</f>
        <v>-0</v>
      </c>
      <c r="BY45" s="47" t="n">
        <f aca="false">-$E45*N(AND(BY$3&lt;=$F45,BY$4&gt;=$F45))</f>
        <v>-0</v>
      </c>
      <c r="BZ45" s="47" t="n">
        <f aca="false">-$E45*N(AND(BZ$3&lt;=$F45,BZ$4&gt;=$F45))</f>
        <v>-0</v>
      </c>
      <c r="CA45" s="47" t="n">
        <f aca="false">-$E45*N(AND(CA$3&lt;=$F45,CA$4&gt;=$F45))</f>
        <v>-0</v>
      </c>
      <c r="CB45" s="47" t="n">
        <f aca="false">-$E45*N(AND(CB$3&lt;=$F45,CB$4&gt;=$F45))</f>
        <v>-0</v>
      </c>
      <c r="CC45" s="47" t="n">
        <f aca="false">-$E45*N(AND(CC$3&lt;=$F45,CC$4&gt;=$F45))</f>
        <v>-0</v>
      </c>
      <c r="CD45" s="47" t="n">
        <f aca="false">-$E45*N(AND(CD$3&lt;=$F45,CD$4&gt;=$F45))</f>
        <v>-0</v>
      </c>
      <c r="CE45" s="47" t="n">
        <f aca="false">-$E45*N(AND(CE$3&lt;=$F45,CE$4&gt;=$F45))</f>
        <v>-0</v>
      </c>
      <c r="CF45" s="47" t="n">
        <f aca="false">-$E45*N(AND(CF$3&lt;=$F45,CF$4&gt;=$F45))</f>
        <v>-0</v>
      </c>
      <c r="CG45" s="47" t="n">
        <f aca="false">-$E45*N(AND(CG$3&lt;=$F45,CG$4&gt;=$F45))</f>
        <v>-0</v>
      </c>
      <c r="CH45" s="47" t="n">
        <f aca="false">-$E45*N(AND(CH$3&lt;=$F45,CH$4&gt;=$F45))</f>
        <v>-0</v>
      </c>
      <c r="CI45" s="47" t="n">
        <f aca="false">-$E45*N(AND(CI$3&lt;=$F45,CI$4&gt;=$F45))</f>
        <v>-0</v>
      </c>
      <c r="CJ45" s="47" t="n">
        <f aca="false">-$E45*N(AND(CJ$3&lt;=$F45,CJ$4&gt;=$F45))</f>
        <v>-0</v>
      </c>
      <c r="CK45" s="47" t="n">
        <f aca="false">-$E45*N(AND(CK$3&lt;=$F45,CK$4&gt;=$F45))</f>
        <v>-0</v>
      </c>
      <c r="CL45" s="47" t="n">
        <f aca="false">-$E45*N(AND(CL$3&lt;=$F45,CL$4&gt;=$F45))</f>
        <v>-0</v>
      </c>
      <c r="CM45" s="47" t="n">
        <f aca="false">-$E45*N(AND(CM$3&lt;=$F45,CM$4&gt;=$F45))</f>
        <v>-0</v>
      </c>
      <c r="CN45" s="47" t="n">
        <f aca="false">-$E45*N(AND(CN$3&lt;=$F45,CN$4&gt;=$F45))</f>
        <v>-0</v>
      </c>
      <c r="CO45" s="47" t="n">
        <f aca="false">-$E45*N(AND(CO$3&lt;=$F45,CO$4&gt;=$F45))</f>
        <v>-0</v>
      </c>
      <c r="CP45" s="47" t="n">
        <f aca="false">-$E45*N(AND(CP$3&lt;=$F45,CP$4&gt;=$F45))</f>
        <v>-0</v>
      </c>
      <c r="CQ45" s="47" t="n">
        <f aca="false">-$E45*N(AND(CQ$3&lt;=$F45,CQ$4&gt;=$F45))</f>
        <v>-0</v>
      </c>
      <c r="CR45" s="47" t="n">
        <f aca="false">-$E45*N(AND(CR$3&lt;=$F45,CR$4&gt;=$F45))</f>
        <v>-0</v>
      </c>
      <c r="CS45" s="47" t="n">
        <f aca="false">-$E45*N(AND(CS$3&lt;=$F45,CS$4&gt;=$F45))</f>
        <v>-0</v>
      </c>
      <c r="CT45" s="47" t="n">
        <f aca="false">-$E45*N(AND(CT$3&lt;=$F45,CT$4&gt;=$F45))</f>
        <v>-0</v>
      </c>
      <c r="CU45" s="47" t="n">
        <f aca="false">-$E45*N(AND(CU$3&lt;=$F45,CU$4&gt;=$F45))</f>
        <v>-0</v>
      </c>
      <c r="CV45" s="47" t="n">
        <f aca="false">-$E45*N(AND(CV$3&lt;=$F45,CV$4&gt;=$F45))</f>
        <v>-0</v>
      </c>
      <c r="CW45" s="47" t="n">
        <f aca="false">-$E45*N(AND(CW$3&lt;=$F45,CW$4&gt;=$F45))</f>
        <v>-0</v>
      </c>
      <c r="CX45" s="47" t="n">
        <f aca="false">-$E45*N(AND(CX$3&lt;=$F45,CX$4&gt;=$F45))</f>
        <v>-0</v>
      </c>
      <c r="CY45" s="47" t="n">
        <f aca="false">-$E45*N(AND(CY$3&lt;=$F45,CY$4&gt;=$F45))</f>
        <v>-0</v>
      </c>
      <c r="CZ45" s="47" t="n">
        <f aca="false">-$E45*N(AND(CZ$3&lt;=$F45,CZ$4&gt;=$F45))</f>
        <v>-0</v>
      </c>
      <c r="DA45" s="47" t="n">
        <f aca="false">-$E45*N(AND(DA$3&lt;=$F45,DA$4&gt;=$F45))</f>
        <v>-0</v>
      </c>
      <c r="DB45" s="47" t="n">
        <f aca="false">-$E45*N(AND(DB$3&lt;=$F45,DB$4&gt;=$F45))</f>
        <v>-0</v>
      </c>
      <c r="DC45" s="47" t="n">
        <f aca="false">-$E45*N(AND(DC$3&lt;=$F45,DC$4&gt;=$F45))</f>
        <v>-0</v>
      </c>
      <c r="DD45" s="47" t="n">
        <f aca="false">-$E45*N(AND(DD$3&lt;=$F45,DD$4&gt;=$F45))</f>
        <v>-0</v>
      </c>
      <c r="DE45" s="47" t="n">
        <f aca="false">-$E45*N(AND(DE$3&lt;=$F45,DE$4&gt;=$F45))</f>
        <v>-0</v>
      </c>
      <c r="DF45" s="47" t="n">
        <f aca="false">-$E45*N(AND(DF$3&lt;=$F45,DF$4&gt;=$F45))</f>
        <v>-0</v>
      </c>
      <c r="DG45" s="47" t="n">
        <f aca="false">-$E45*N(AND(DG$3&lt;=$F45,DG$4&gt;=$F45))</f>
        <v>-0</v>
      </c>
      <c r="DH45" s="47" t="n">
        <f aca="false">-$E45*N(AND(DH$3&lt;=$F45,DH$4&gt;=$F45))</f>
        <v>-0</v>
      </c>
      <c r="DI45" s="47" t="n">
        <f aca="false">-$E45*N(AND(DI$3&lt;=$F45,DI$4&gt;=$F45))</f>
        <v>-0</v>
      </c>
      <c r="DJ45" s="47" t="n">
        <f aca="false">-$E45*N(AND(DJ$3&lt;=$F45,DJ$4&gt;=$F45))</f>
        <v>-0</v>
      </c>
      <c r="DK45" s="47" t="n">
        <f aca="false">-$E45*N(AND(DK$3&lt;=$F45,DK$4&gt;=$F45))</f>
        <v>-0</v>
      </c>
      <c r="DL45" s="47" t="n">
        <f aca="false">-$E45*N(AND(DL$3&lt;=$F45,DL$4&gt;=$F45))</f>
        <v>-0</v>
      </c>
      <c r="DM45" s="47" t="n">
        <f aca="false">-$E45*N(AND(DM$3&lt;=$F45,DM$4&gt;=$F45))</f>
        <v>-0</v>
      </c>
      <c r="DN45" s="47" t="n">
        <f aca="false">-$E45*N(AND(DN$3&lt;=$F45,DN$4&gt;=$F45))</f>
        <v>-0</v>
      </c>
      <c r="DO45" s="47" t="n">
        <f aca="false">-$E45*N(AND(DO$3&lt;=$F45,DO$4&gt;=$F45))</f>
        <v>-0</v>
      </c>
      <c r="DP45" s="47" t="n">
        <f aca="false">-$E45*N(AND(DP$3&lt;=$F45,DP$4&gt;=$F45))</f>
        <v>-0</v>
      </c>
      <c r="DQ45" s="47" t="n">
        <f aca="false">-$E45*N(AND(DQ$3&lt;=$F45,DQ$4&gt;=$F45))</f>
        <v>-0</v>
      </c>
      <c r="DR45" s="47" t="n">
        <f aca="false">-$E45*N(AND(DR$3&lt;=$F45,DR$4&gt;=$F45))</f>
        <v>-0</v>
      </c>
      <c r="DS45" s="47" t="n">
        <f aca="false">-$E45*N(AND(DS$3&lt;=$F45,DS$4&gt;=$F45))</f>
        <v>-0</v>
      </c>
      <c r="DT45" s="47" t="n">
        <f aca="false">-$E45*N(AND(DT$3&lt;=$F45,DT$4&gt;=$F45))</f>
        <v>-0</v>
      </c>
      <c r="DU45" s="47" t="n">
        <f aca="false">-$E45*N(AND(DU$3&lt;=$F45,DU$4&gt;=$F45))</f>
        <v>-0</v>
      </c>
      <c r="DV45" s="47" t="n">
        <f aca="false">-$E45*N(AND(DV$3&lt;=$F45,DV$4&gt;=$F45))</f>
        <v>-0</v>
      </c>
      <c r="DW45" s="47" t="n">
        <f aca="false">-$E45*N(AND(DW$3&lt;=$F45,DW$4&gt;=$F45))</f>
        <v>-0</v>
      </c>
      <c r="DX45" s="47" t="n">
        <f aca="false">-$E45*N(AND(DX$3&lt;=$F45,DX$4&gt;=$F45))</f>
        <v>-0</v>
      </c>
      <c r="DY45" s="47" t="n">
        <f aca="false">-$E45*N(AND(DY$3&lt;=$F45,DY$4&gt;=$F45))</f>
        <v>-0</v>
      </c>
      <c r="DZ45" s="47" t="n">
        <f aca="false">-$E45*N(AND(DZ$3&lt;=$F45,DZ$4&gt;=$F45))</f>
        <v>-0</v>
      </c>
      <c r="EA45" s="47" t="n">
        <f aca="false">-$E45*N(AND(EA$3&lt;=$F45,EA$4&gt;=$F45))</f>
        <v>-0</v>
      </c>
      <c r="EB45" s="47" t="n">
        <f aca="false">-$E45*N(AND(EB$3&lt;=$F45,EB$4&gt;=$F45))</f>
        <v>-0</v>
      </c>
      <c r="EC45" s="47" t="n">
        <f aca="false">-$E45*N(AND(EC$3&lt;=$F45,EC$4&gt;=$F45))</f>
        <v>-0</v>
      </c>
      <c r="ED45" s="47" t="n">
        <f aca="false">-$E45*N(AND(ED$3&lt;=$F45,ED$4&gt;=$F45))</f>
        <v>-0</v>
      </c>
      <c r="EE45" s="47" t="n">
        <f aca="false">-$E45*N(AND(EE$3&lt;=$F45,EE$4&gt;=$F45))</f>
        <v>-0</v>
      </c>
      <c r="EF45" s="47" t="n">
        <f aca="false">-$E45*N(AND(EF$3&lt;=$F45,EF$4&gt;=$F45))</f>
        <v>-0</v>
      </c>
      <c r="EG45" s="47" t="n">
        <f aca="false">-$E45*N(AND(EG$3&lt;=$F45,EG$4&gt;=$F45))</f>
        <v>-0</v>
      </c>
      <c r="EH45" s="47" t="n">
        <f aca="false">-$E45*N(AND(EH$3&lt;=$F45,EH$4&gt;=$F45))</f>
        <v>-0</v>
      </c>
      <c r="EI45" s="47" t="n">
        <f aca="false">-$E45*N(AND(EI$3&lt;=$F45,EI$4&gt;=$F45))</f>
        <v>-0</v>
      </c>
      <c r="EJ45" s="47" t="n">
        <f aca="false">-$E45*N(AND(EJ$3&lt;=$F45,EJ$4&gt;=$F45))</f>
        <v>-0</v>
      </c>
      <c r="EK45" s="47" t="n">
        <f aca="false">-$E45*N(AND(EK$3&lt;=$F45,EK$4&gt;=$F45))</f>
        <v>-0</v>
      </c>
      <c r="EL45" s="47" t="n">
        <f aca="false">-$E45*N(AND(EL$3&lt;=$F45,EL$4&gt;=$F45))</f>
        <v>-0</v>
      </c>
      <c r="EM45" s="47" t="n">
        <f aca="false">-$E45*N(AND(EM$3&lt;=$F45,EM$4&gt;=$F45))</f>
        <v>-0</v>
      </c>
      <c r="EN45" s="47" t="n">
        <f aca="false">-$E45*N(AND(EN$3&lt;=$F45,EN$4&gt;=$F45))</f>
        <v>-0</v>
      </c>
      <c r="EO45" s="47" t="n">
        <f aca="false">-$E45*N(AND(EO$3&lt;=$F45,EO$4&gt;=$F45))</f>
        <v>-0</v>
      </c>
    </row>
    <row r="46" customFormat="false" ht="15" hidden="false" customHeight="false" outlineLevel="0" collapsed="false">
      <c r="C46" s="0" t="s">
        <v>229</v>
      </c>
      <c r="D46" s="11" t="s">
        <v>33</v>
      </c>
      <c r="E46" s="18" t="n">
        <f aca="false">In_DD</f>
        <v>150</v>
      </c>
      <c r="F46" s="20" t="n">
        <f aca="false">In_Bid_Date</f>
        <v>46325</v>
      </c>
      <c r="I46" s="47" t="n">
        <f aca="false">SUM(J46:EO46)</f>
        <v>-150</v>
      </c>
      <c r="J46" s="47" t="n">
        <f aca="false">-$E46*N(AND(J$3&lt;=$F46,J$4&gt;=$F46))</f>
        <v>-150</v>
      </c>
      <c r="K46" s="47" t="n">
        <f aca="false">-$E46*N(AND(K$3&lt;=$F46,K$4&gt;=$F46))</f>
        <v>-0</v>
      </c>
      <c r="L46" s="47" t="n">
        <f aca="false">-$E46*N(AND(L$3&lt;=$F46,L$4&gt;=$F46))</f>
        <v>-0</v>
      </c>
      <c r="M46" s="47" t="n">
        <f aca="false">-$E46*N(AND(M$3&lt;=$F46,M$4&gt;=$F46))</f>
        <v>-0</v>
      </c>
      <c r="N46" s="47" t="n">
        <f aca="false">-$E46*N(AND(N$3&lt;=$F46,N$4&gt;=$F46))</f>
        <v>-0</v>
      </c>
      <c r="O46" s="47" t="n">
        <f aca="false">-$E46*N(AND(O$3&lt;=$F46,O$4&gt;=$F46))</f>
        <v>-0</v>
      </c>
      <c r="P46" s="47" t="n">
        <f aca="false">-$E46*N(AND(P$3&lt;=$F46,P$4&gt;=$F46))</f>
        <v>-0</v>
      </c>
      <c r="Q46" s="47" t="n">
        <f aca="false">-$E46*N(AND(Q$3&lt;=$F46,Q$4&gt;=$F46))</f>
        <v>-0</v>
      </c>
      <c r="R46" s="47" t="n">
        <f aca="false">-$E46*N(AND(R$3&lt;=$F46,R$4&gt;=$F46))</f>
        <v>-0</v>
      </c>
      <c r="S46" s="47" t="n">
        <f aca="false">-$E46*N(AND(S$3&lt;=$F46,S$4&gt;=$F46))</f>
        <v>-0</v>
      </c>
      <c r="T46" s="47" t="n">
        <f aca="false">-$E46*N(AND(T$3&lt;=$F46,T$4&gt;=$F46))</f>
        <v>-0</v>
      </c>
      <c r="U46" s="47" t="n">
        <f aca="false">-$E46*N(AND(U$3&lt;=$F46,U$4&gt;=$F46))</f>
        <v>-0</v>
      </c>
      <c r="V46" s="47" t="n">
        <f aca="false">-$E46*N(AND(V$3&lt;=$F46,V$4&gt;=$F46))</f>
        <v>-0</v>
      </c>
      <c r="W46" s="47" t="n">
        <f aca="false">-$E46*N(AND(W$3&lt;=$F46,W$4&gt;=$F46))</f>
        <v>-0</v>
      </c>
      <c r="X46" s="47" t="n">
        <f aca="false">-$E46*N(AND(X$3&lt;=$F46,X$4&gt;=$F46))</f>
        <v>-0</v>
      </c>
      <c r="Y46" s="47" t="n">
        <f aca="false">-$E46*N(AND(Y$3&lt;=$F46,Y$4&gt;=$F46))</f>
        <v>-0</v>
      </c>
      <c r="Z46" s="47" t="n">
        <f aca="false">-$E46*N(AND(Z$3&lt;=$F46,Z$4&gt;=$F46))</f>
        <v>-0</v>
      </c>
      <c r="AA46" s="47" t="n">
        <f aca="false">-$E46*N(AND(AA$3&lt;=$F46,AA$4&gt;=$F46))</f>
        <v>-0</v>
      </c>
      <c r="AB46" s="47" t="n">
        <f aca="false">-$E46*N(AND(AB$3&lt;=$F46,AB$4&gt;=$F46))</f>
        <v>-0</v>
      </c>
      <c r="AC46" s="47" t="n">
        <f aca="false">-$E46*N(AND(AC$3&lt;=$F46,AC$4&gt;=$F46))</f>
        <v>-0</v>
      </c>
      <c r="AD46" s="47" t="n">
        <f aca="false">-$E46*N(AND(AD$3&lt;=$F46,AD$4&gt;=$F46))</f>
        <v>-0</v>
      </c>
      <c r="AE46" s="47" t="n">
        <f aca="false">-$E46*N(AND(AE$3&lt;=$F46,AE$4&gt;=$F46))</f>
        <v>-0</v>
      </c>
      <c r="AF46" s="47" t="n">
        <f aca="false">-$E46*N(AND(AF$3&lt;=$F46,AF$4&gt;=$F46))</f>
        <v>-0</v>
      </c>
      <c r="AG46" s="47" t="n">
        <f aca="false">-$E46*N(AND(AG$3&lt;=$F46,AG$4&gt;=$F46))</f>
        <v>-0</v>
      </c>
      <c r="AH46" s="47" t="n">
        <f aca="false">-$E46*N(AND(AH$3&lt;=$F46,AH$4&gt;=$F46))</f>
        <v>-0</v>
      </c>
      <c r="AI46" s="47" t="n">
        <f aca="false">-$E46*N(AND(AI$3&lt;=$F46,AI$4&gt;=$F46))</f>
        <v>-0</v>
      </c>
      <c r="AJ46" s="47" t="n">
        <f aca="false">-$E46*N(AND(AJ$3&lt;=$F46,AJ$4&gt;=$F46))</f>
        <v>-0</v>
      </c>
      <c r="AK46" s="47" t="n">
        <f aca="false">-$E46*N(AND(AK$3&lt;=$F46,AK$4&gt;=$F46))</f>
        <v>-0</v>
      </c>
      <c r="AL46" s="47" t="n">
        <f aca="false">-$E46*N(AND(AL$3&lt;=$F46,AL$4&gt;=$F46))</f>
        <v>-0</v>
      </c>
      <c r="AM46" s="47" t="n">
        <f aca="false">-$E46*N(AND(AM$3&lt;=$F46,AM$4&gt;=$F46))</f>
        <v>-0</v>
      </c>
      <c r="AN46" s="47" t="n">
        <f aca="false">-$E46*N(AND(AN$3&lt;=$F46,AN$4&gt;=$F46))</f>
        <v>-0</v>
      </c>
      <c r="AO46" s="47" t="n">
        <f aca="false">-$E46*N(AND(AO$3&lt;=$F46,AO$4&gt;=$F46))</f>
        <v>-0</v>
      </c>
      <c r="AP46" s="47" t="n">
        <f aca="false">-$E46*N(AND(AP$3&lt;=$F46,AP$4&gt;=$F46))</f>
        <v>-0</v>
      </c>
      <c r="AQ46" s="47" t="n">
        <f aca="false">-$E46*N(AND(AQ$3&lt;=$F46,AQ$4&gt;=$F46))</f>
        <v>-0</v>
      </c>
      <c r="AR46" s="47" t="n">
        <f aca="false">-$E46*N(AND(AR$3&lt;=$F46,AR$4&gt;=$F46))</f>
        <v>-0</v>
      </c>
      <c r="AS46" s="47" t="n">
        <f aca="false">-$E46*N(AND(AS$3&lt;=$F46,AS$4&gt;=$F46))</f>
        <v>-0</v>
      </c>
      <c r="AT46" s="47" t="n">
        <f aca="false">-$E46*N(AND(AT$3&lt;=$F46,AT$4&gt;=$F46))</f>
        <v>-0</v>
      </c>
      <c r="AU46" s="47" t="n">
        <f aca="false">-$E46*N(AND(AU$3&lt;=$F46,AU$4&gt;=$F46))</f>
        <v>-0</v>
      </c>
      <c r="AV46" s="47" t="n">
        <f aca="false">-$E46*N(AND(AV$3&lt;=$F46,AV$4&gt;=$F46))</f>
        <v>-0</v>
      </c>
      <c r="AW46" s="47" t="n">
        <f aca="false">-$E46*N(AND(AW$3&lt;=$F46,AW$4&gt;=$F46))</f>
        <v>-0</v>
      </c>
      <c r="AX46" s="47" t="n">
        <f aca="false">-$E46*N(AND(AX$3&lt;=$F46,AX$4&gt;=$F46))</f>
        <v>-0</v>
      </c>
      <c r="AY46" s="47" t="n">
        <f aca="false">-$E46*N(AND(AY$3&lt;=$F46,AY$4&gt;=$F46))</f>
        <v>-0</v>
      </c>
      <c r="AZ46" s="47" t="n">
        <f aca="false">-$E46*N(AND(AZ$3&lt;=$F46,AZ$4&gt;=$F46))</f>
        <v>-0</v>
      </c>
      <c r="BA46" s="47" t="n">
        <f aca="false">-$E46*N(AND(BA$3&lt;=$F46,BA$4&gt;=$F46))</f>
        <v>-0</v>
      </c>
      <c r="BB46" s="47" t="n">
        <f aca="false">-$E46*N(AND(BB$3&lt;=$F46,BB$4&gt;=$F46))</f>
        <v>-0</v>
      </c>
      <c r="BC46" s="47" t="n">
        <f aca="false">-$E46*N(AND(BC$3&lt;=$F46,BC$4&gt;=$F46))</f>
        <v>-0</v>
      </c>
      <c r="BD46" s="47" t="n">
        <f aca="false">-$E46*N(AND(BD$3&lt;=$F46,BD$4&gt;=$F46))</f>
        <v>-0</v>
      </c>
      <c r="BE46" s="47" t="n">
        <f aca="false">-$E46*N(AND(BE$3&lt;=$F46,BE$4&gt;=$F46))</f>
        <v>-0</v>
      </c>
      <c r="BF46" s="47" t="n">
        <f aca="false">-$E46*N(AND(BF$3&lt;=$F46,BF$4&gt;=$F46))</f>
        <v>-0</v>
      </c>
      <c r="BG46" s="47" t="n">
        <f aca="false">-$E46*N(AND(BG$3&lt;=$F46,BG$4&gt;=$F46))</f>
        <v>-0</v>
      </c>
      <c r="BH46" s="47" t="n">
        <f aca="false">-$E46*N(AND(BH$3&lt;=$F46,BH$4&gt;=$F46))</f>
        <v>-0</v>
      </c>
      <c r="BI46" s="47" t="n">
        <f aca="false">-$E46*N(AND(BI$3&lt;=$F46,BI$4&gt;=$F46))</f>
        <v>-0</v>
      </c>
      <c r="BJ46" s="47" t="n">
        <f aca="false">-$E46*N(AND(BJ$3&lt;=$F46,BJ$4&gt;=$F46))</f>
        <v>-0</v>
      </c>
      <c r="BK46" s="47" t="n">
        <f aca="false">-$E46*N(AND(BK$3&lt;=$F46,BK$4&gt;=$F46))</f>
        <v>-0</v>
      </c>
      <c r="BL46" s="47" t="n">
        <f aca="false">-$E46*N(AND(BL$3&lt;=$F46,BL$4&gt;=$F46))</f>
        <v>-0</v>
      </c>
      <c r="BM46" s="47" t="n">
        <f aca="false">-$E46*N(AND(BM$3&lt;=$F46,BM$4&gt;=$F46))</f>
        <v>-0</v>
      </c>
      <c r="BN46" s="47" t="n">
        <f aca="false">-$E46*N(AND(BN$3&lt;=$F46,BN$4&gt;=$F46))</f>
        <v>-0</v>
      </c>
      <c r="BO46" s="47" t="n">
        <f aca="false">-$E46*N(AND(BO$3&lt;=$F46,BO$4&gt;=$F46))</f>
        <v>-0</v>
      </c>
      <c r="BP46" s="47" t="n">
        <f aca="false">-$E46*N(AND(BP$3&lt;=$F46,BP$4&gt;=$F46))</f>
        <v>-0</v>
      </c>
      <c r="BQ46" s="47" t="n">
        <f aca="false">-$E46*N(AND(BQ$3&lt;=$F46,BQ$4&gt;=$F46))</f>
        <v>-0</v>
      </c>
      <c r="BR46" s="47" t="n">
        <f aca="false">-$E46*N(AND(BR$3&lt;=$F46,BR$4&gt;=$F46))</f>
        <v>-0</v>
      </c>
      <c r="BS46" s="47" t="n">
        <f aca="false">-$E46*N(AND(BS$3&lt;=$F46,BS$4&gt;=$F46))</f>
        <v>-0</v>
      </c>
      <c r="BT46" s="47" t="n">
        <f aca="false">-$E46*N(AND(BT$3&lt;=$F46,BT$4&gt;=$F46))</f>
        <v>-0</v>
      </c>
      <c r="BU46" s="47" t="n">
        <f aca="false">-$E46*N(AND(BU$3&lt;=$F46,BU$4&gt;=$F46))</f>
        <v>-0</v>
      </c>
      <c r="BV46" s="47" t="n">
        <f aca="false">-$E46*N(AND(BV$3&lt;=$F46,BV$4&gt;=$F46))</f>
        <v>-0</v>
      </c>
      <c r="BW46" s="47" t="n">
        <f aca="false">-$E46*N(AND(BW$3&lt;=$F46,BW$4&gt;=$F46))</f>
        <v>-0</v>
      </c>
      <c r="BX46" s="47" t="n">
        <f aca="false">-$E46*N(AND(BX$3&lt;=$F46,BX$4&gt;=$F46))</f>
        <v>-0</v>
      </c>
      <c r="BY46" s="47" t="n">
        <f aca="false">-$E46*N(AND(BY$3&lt;=$F46,BY$4&gt;=$F46))</f>
        <v>-0</v>
      </c>
      <c r="BZ46" s="47" t="n">
        <f aca="false">-$E46*N(AND(BZ$3&lt;=$F46,BZ$4&gt;=$F46))</f>
        <v>-0</v>
      </c>
      <c r="CA46" s="47" t="n">
        <f aca="false">-$E46*N(AND(CA$3&lt;=$F46,CA$4&gt;=$F46))</f>
        <v>-0</v>
      </c>
      <c r="CB46" s="47" t="n">
        <f aca="false">-$E46*N(AND(CB$3&lt;=$F46,CB$4&gt;=$F46))</f>
        <v>-0</v>
      </c>
      <c r="CC46" s="47" t="n">
        <f aca="false">-$E46*N(AND(CC$3&lt;=$F46,CC$4&gt;=$F46))</f>
        <v>-0</v>
      </c>
      <c r="CD46" s="47" t="n">
        <f aca="false">-$E46*N(AND(CD$3&lt;=$F46,CD$4&gt;=$F46))</f>
        <v>-0</v>
      </c>
      <c r="CE46" s="47" t="n">
        <f aca="false">-$E46*N(AND(CE$3&lt;=$F46,CE$4&gt;=$F46))</f>
        <v>-0</v>
      </c>
      <c r="CF46" s="47" t="n">
        <f aca="false">-$E46*N(AND(CF$3&lt;=$F46,CF$4&gt;=$F46))</f>
        <v>-0</v>
      </c>
      <c r="CG46" s="47" t="n">
        <f aca="false">-$E46*N(AND(CG$3&lt;=$F46,CG$4&gt;=$F46))</f>
        <v>-0</v>
      </c>
      <c r="CH46" s="47" t="n">
        <f aca="false">-$E46*N(AND(CH$3&lt;=$F46,CH$4&gt;=$F46))</f>
        <v>-0</v>
      </c>
      <c r="CI46" s="47" t="n">
        <f aca="false">-$E46*N(AND(CI$3&lt;=$F46,CI$4&gt;=$F46))</f>
        <v>-0</v>
      </c>
      <c r="CJ46" s="47" t="n">
        <f aca="false">-$E46*N(AND(CJ$3&lt;=$F46,CJ$4&gt;=$F46))</f>
        <v>-0</v>
      </c>
      <c r="CK46" s="47" t="n">
        <f aca="false">-$E46*N(AND(CK$3&lt;=$F46,CK$4&gt;=$F46))</f>
        <v>-0</v>
      </c>
      <c r="CL46" s="47" t="n">
        <f aca="false">-$E46*N(AND(CL$3&lt;=$F46,CL$4&gt;=$F46))</f>
        <v>-0</v>
      </c>
      <c r="CM46" s="47" t="n">
        <f aca="false">-$E46*N(AND(CM$3&lt;=$F46,CM$4&gt;=$F46))</f>
        <v>-0</v>
      </c>
      <c r="CN46" s="47" t="n">
        <f aca="false">-$E46*N(AND(CN$3&lt;=$F46,CN$4&gt;=$F46))</f>
        <v>-0</v>
      </c>
      <c r="CO46" s="47" t="n">
        <f aca="false">-$E46*N(AND(CO$3&lt;=$F46,CO$4&gt;=$F46))</f>
        <v>-0</v>
      </c>
      <c r="CP46" s="47" t="n">
        <f aca="false">-$E46*N(AND(CP$3&lt;=$F46,CP$4&gt;=$F46))</f>
        <v>-0</v>
      </c>
      <c r="CQ46" s="47" t="n">
        <f aca="false">-$E46*N(AND(CQ$3&lt;=$F46,CQ$4&gt;=$F46))</f>
        <v>-0</v>
      </c>
      <c r="CR46" s="47" t="n">
        <f aca="false">-$E46*N(AND(CR$3&lt;=$F46,CR$4&gt;=$F46))</f>
        <v>-0</v>
      </c>
      <c r="CS46" s="47" t="n">
        <f aca="false">-$E46*N(AND(CS$3&lt;=$F46,CS$4&gt;=$F46))</f>
        <v>-0</v>
      </c>
      <c r="CT46" s="47" t="n">
        <f aca="false">-$E46*N(AND(CT$3&lt;=$F46,CT$4&gt;=$F46))</f>
        <v>-0</v>
      </c>
      <c r="CU46" s="47" t="n">
        <f aca="false">-$E46*N(AND(CU$3&lt;=$F46,CU$4&gt;=$F46))</f>
        <v>-0</v>
      </c>
      <c r="CV46" s="47" t="n">
        <f aca="false">-$E46*N(AND(CV$3&lt;=$F46,CV$4&gt;=$F46))</f>
        <v>-0</v>
      </c>
      <c r="CW46" s="47" t="n">
        <f aca="false">-$E46*N(AND(CW$3&lt;=$F46,CW$4&gt;=$F46))</f>
        <v>-0</v>
      </c>
      <c r="CX46" s="47" t="n">
        <f aca="false">-$E46*N(AND(CX$3&lt;=$F46,CX$4&gt;=$F46))</f>
        <v>-0</v>
      </c>
      <c r="CY46" s="47" t="n">
        <f aca="false">-$E46*N(AND(CY$3&lt;=$F46,CY$4&gt;=$F46))</f>
        <v>-0</v>
      </c>
      <c r="CZ46" s="47" t="n">
        <f aca="false">-$E46*N(AND(CZ$3&lt;=$F46,CZ$4&gt;=$F46))</f>
        <v>-0</v>
      </c>
      <c r="DA46" s="47" t="n">
        <f aca="false">-$E46*N(AND(DA$3&lt;=$F46,DA$4&gt;=$F46))</f>
        <v>-0</v>
      </c>
      <c r="DB46" s="47" t="n">
        <f aca="false">-$E46*N(AND(DB$3&lt;=$F46,DB$4&gt;=$F46))</f>
        <v>-0</v>
      </c>
      <c r="DC46" s="47" t="n">
        <f aca="false">-$E46*N(AND(DC$3&lt;=$F46,DC$4&gt;=$F46))</f>
        <v>-0</v>
      </c>
      <c r="DD46" s="47" t="n">
        <f aca="false">-$E46*N(AND(DD$3&lt;=$F46,DD$4&gt;=$F46))</f>
        <v>-0</v>
      </c>
      <c r="DE46" s="47" t="n">
        <f aca="false">-$E46*N(AND(DE$3&lt;=$F46,DE$4&gt;=$F46))</f>
        <v>-0</v>
      </c>
      <c r="DF46" s="47" t="n">
        <f aca="false">-$E46*N(AND(DF$3&lt;=$F46,DF$4&gt;=$F46))</f>
        <v>-0</v>
      </c>
      <c r="DG46" s="47" t="n">
        <f aca="false">-$E46*N(AND(DG$3&lt;=$F46,DG$4&gt;=$F46))</f>
        <v>-0</v>
      </c>
      <c r="DH46" s="47" t="n">
        <f aca="false">-$E46*N(AND(DH$3&lt;=$F46,DH$4&gt;=$F46))</f>
        <v>-0</v>
      </c>
      <c r="DI46" s="47" t="n">
        <f aca="false">-$E46*N(AND(DI$3&lt;=$F46,DI$4&gt;=$F46))</f>
        <v>-0</v>
      </c>
      <c r="DJ46" s="47" t="n">
        <f aca="false">-$E46*N(AND(DJ$3&lt;=$F46,DJ$4&gt;=$F46))</f>
        <v>-0</v>
      </c>
      <c r="DK46" s="47" t="n">
        <f aca="false">-$E46*N(AND(DK$3&lt;=$F46,DK$4&gt;=$F46))</f>
        <v>-0</v>
      </c>
      <c r="DL46" s="47" t="n">
        <f aca="false">-$E46*N(AND(DL$3&lt;=$F46,DL$4&gt;=$F46))</f>
        <v>-0</v>
      </c>
      <c r="DM46" s="47" t="n">
        <f aca="false">-$E46*N(AND(DM$3&lt;=$F46,DM$4&gt;=$F46))</f>
        <v>-0</v>
      </c>
      <c r="DN46" s="47" t="n">
        <f aca="false">-$E46*N(AND(DN$3&lt;=$F46,DN$4&gt;=$F46))</f>
        <v>-0</v>
      </c>
      <c r="DO46" s="47" t="n">
        <f aca="false">-$E46*N(AND(DO$3&lt;=$F46,DO$4&gt;=$F46))</f>
        <v>-0</v>
      </c>
      <c r="DP46" s="47" t="n">
        <f aca="false">-$E46*N(AND(DP$3&lt;=$F46,DP$4&gt;=$F46))</f>
        <v>-0</v>
      </c>
      <c r="DQ46" s="47" t="n">
        <f aca="false">-$E46*N(AND(DQ$3&lt;=$F46,DQ$4&gt;=$F46))</f>
        <v>-0</v>
      </c>
      <c r="DR46" s="47" t="n">
        <f aca="false">-$E46*N(AND(DR$3&lt;=$F46,DR$4&gt;=$F46))</f>
        <v>-0</v>
      </c>
      <c r="DS46" s="47" t="n">
        <f aca="false">-$E46*N(AND(DS$3&lt;=$F46,DS$4&gt;=$F46))</f>
        <v>-0</v>
      </c>
      <c r="DT46" s="47" t="n">
        <f aca="false">-$E46*N(AND(DT$3&lt;=$F46,DT$4&gt;=$F46))</f>
        <v>-0</v>
      </c>
      <c r="DU46" s="47" t="n">
        <f aca="false">-$E46*N(AND(DU$3&lt;=$F46,DU$4&gt;=$F46))</f>
        <v>-0</v>
      </c>
      <c r="DV46" s="47" t="n">
        <f aca="false">-$E46*N(AND(DV$3&lt;=$F46,DV$4&gt;=$F46))</f>
        <v>-0</v>
      </c>
      <c r="DW46" s="47" t="n">
        <f aca="false">-$E46*N(AND(DW$3&lt;=$F46,DW$4&gt;=$F46))</f>
        <v>-0</v>
      </c>
      <c r="DX46" s="47" t="n">
        <f aca="false">-$E46*N(AND(DX$3&lt;=$F46,DX$4&gt;=$F46))</f>
        <v>-0</v>
      </c>
      <c r="DY46" s="47" t="n">
        <f aca="false">-$E46*N(AND(DY$3&lt;=$F46,DY$4&gt;=$F46))</f>
        <v>-0</v>
      </c>
      <c r="DZ46" s="47" t="n">
        <f aca="false">-$E46*N(AND(DZ$3&lt;=$F46,DZ$4&gt;=$F46))</f>
        <v>-0</v>
      </c>
      <c r="EA46" s="47" t="n">
        <f aca="false">-$E46*N(AND(EA$3&lt;=$F46,EA$4&gt;=$F46))</f>
        <v>-0</v>
      </c>
      <c r="EB46" s="47" t="n">
        <f aca="false">-$E46*N(AND(EB$3&lt;=$F46,EB$4&gt;=$F46))</f>
        <v>-0</v>
      </c>
      <c r="EC46" s="47" t="n">
        <f aca="false">-$E46*N(AND(EC$3&lt;=$F46,EC$4&gt;=$F46))</f>
        <v>-0</v>
      </c>
      <c r="ED46" s="47" t="n">
        <f aca="false">-$E46*N(AND(ED$3&lt;=$F46,ED$4&gt;=$F46))</f>
        <v>-0</v>
      </c>
      <c r="EE46" s="47" t="n">
        <f aca="false">-$E46*N(AND(EE$3&lt;=$F46,EE$4&gt;=$F46))</f>
        <v>-0</v>
      </c>
      <c r="EF46" s="47" t="n">
        <f aca="false">-$E46*N(AND(EF$3&lt;=$F46,EF$4&gt;=$F46))</f>
        <v>-0</v>
      </c>
      <c r="EG46" s="47" t="n">
        <f aca="false">-$E46*N(AND(EG$3&lt;=$F46,EG$4&gt;=$F46))</f>
        <v>-0</v>
      </c>
      <c r="EH46" s="47" t="n">
        <f aca="false">-$E46*N(AND(EH$3&lt;=$F46,EH$4&gt;=$F46))</f>
        <v>-0</v>
      </c>
      <c r="EI46" s="47" t="n">
        <f aca="false">-$E46*N(AND(EI$3&lt;=$F46,EI$4&gt;=$F46))</f>
        <v>-0</v>
      </c>
      <c r="EJ46" s="47" t="n">
        <f aca="false">-$E46*N(AND(EJ$3&lt;=$F46,EJ$4&gt;=$F46))</f>
        <v>-0</v>
      </c>
      <c r="EK46" s="47" t="n">
        <f aca="false">-$E46*N(AND(EK$3&lt;=$F46,EK$4&gt;=$F46))</f>
        <v>-0</v>
      </c>
      <c r="EL46" s="47" t="n">
        <f aca="false">-$E46*N(AND(EL$3&lt;=$F46,EL$4&gt;=$F46))</f>
        <v>-0</v>
      </c>
      <c r="EM46" s="47" t="n">
        <f aca="false">-$E46*N(AND(EM$3&lt;=$F46,EM$4&gt;=$F46))</f>
        <v>-0</v>
      </c>
      <c r="EN46" s="47" t="n">
        <f aca="false">-$E46*N(AND(EN$3&lt;=$F46,EN$4&gt;=$F46))</f>
        <v>-0</v>
      </c>
      <c r="EO46" s="47" t="n">
        <f aca="false">-$E46*N(AND(EO$3&lt;=$F46,EO$4&gt;=$F46))</f>
        <v>-0</v>
      </c>
    </row>
    <row r="47" customFormat="false" ht="15" hidden="false" customHeight="false" outlineLevel="0" collapsed="false">
      <c r="C47" s="0" t="s">
        <v>418</v>
      </c>
      <c r="D47" s="11" t="s">
        <v>33</v>
      </c>
      <c r="I47" s="47" t="n">
        <f aca="false">SUM(J47:EO47)</f>
        <v>-500</v>
      </c>
      <c r="J47" s="47" t="n">
        <f aca="false">-In_Devex*J13</f>
        <v>-0</v>
      </c>
      <c r="K47" s="47" t="n">
        <f aca="false">-In_Devex*K13</f>
        <v>-70.4225352112676</v>
      </c>
      <c r="L47" s="47" t="n">
        <f aca="false">-In_Devex*L13</f>
        <v>-71.2050078247261</v>
      </c>
      <c r="M47" s="47" t="n">
        <f aca="false">-In_Devex*M13</f>
        <v>-71.9874804381847</v>
      </c>
      <c r="N47" s="47" t="n">
        <f aca="false">-In_Devex*N13</f>
        <v>-71.9874804381847</v>
      </c>
      <c r="O47" s="47" t="n">
        <f aca="false">-In_Devex*O13</f>
        <v>-71.2050078247261</v>
      </c>
      <c r="P47" s="47" t="n">
        <f aca="false">-In_Devex*P13</f>
        <v>-71.2050078247261</v>
      </c>
      <c r="Q47" s="47" t="n">
        <f aca="false">-In_Devex*Q13</f>
        <v>-71.9874804381847</v>
      </c>
      <c r="R47" s="47" t="n">
        <f aca="false">-In_Devex*R13</f>
        <v>-0</v>
      </c>
      <c r="S47" s="47" t="n">
        <f aca="false">-In_Devex*S13</f>
        <v>-0</v>
      </c>
      <c r="T47" s="47" t="n">
        <f aca="false">-In_Devex*T13</f>
        <v>-0</v>
      </c>
      <c r="U47" s="47" t="n">
        <f aca="false">-In_Devex*U13</f>
        <v>-0</v>
      </c>
      <c r="V47" s="47" t="n">
        <f aca="false">-In_Devex*V13</f>
        <v>-0</v>
      </c>
      <c r="W47" s="47" t="n">
        <f aca="false">-In_Devex*W13</f>
        <v>-0</v>
      </c>
      <c r="X47" s="47" t="n">
        <f aca="false">-In_Devex*X13</f>
        <v>-0</v>
      </c>
      <c r="Y47" s="47" t="n">
        <f aca="false">-In_Devex*Y13</f>
        <v>-0</v>
      </c>
      <c r="Z47" s="47" t="n">
        <f aca="false">-In_Devex*Z13</f>
        <v>-0</v>
      </c>
      <c r="AA47" s="47" t="n">
        <f aca="false">-In_Devex*AA13</f>
        <v>-0</v>
      </c>
      <c r="AB47" s="47" t="n">
        <f aca="false">-In_Devex*AB13</f>
        <v>-0</v>
      </c>
      <c r="AC47" s="47" t="n">
        <f aca="false">-In_Devex*AC13</f>
        <v>-0</v>
      </c>
      <c r="AD47" s="47" t="n">
        <f aca="false">-In_Devex*AD13</f>
        <v>-0</v>
      </c>
      <c r="AE47" s="47" t="n">
        <f aca="false">-In_Devex*AE13</f>
        <v>-0</v>
      </c>
      <c r="AF47" s="47" t="n">
        <f aca="false">-In_Devex*AF13</f>
        <v>-0</v>
      </c>
      <c r="AG47" s="47" t="n">
        <f aca="false">-In_Devex*AG13</f>
        <v>-0</v>
      </c>
      <c r="AH47" s="47" t="n">
        <f aca="false">-In_Devex*AH13</f>
        <v>-0</v>
      </c>
      <c r="AI47" s="47" t="n">
        <f aca="false">-In_Devex*AI13</f>
        <v>-0</v>
      </c>
      <c r="AJ47" s="47" t="n">
        <f aca="false">-In_Devex*AJ13</f>
        <v>-0</v>
      </c>
      <c r="AK47" s="47" t="n">
        <f aca="false">-In_Devex*AK13</f>
        <v>-0</v>
      </c>
      <c r="AL47" s="47" t="n">
        <f aca="false">-In_Devex*AL13</f>
        <v>-0</v>
      </c>
      <c r="AM47" s="47" t="n">
        <f aca="false">-In_Devex*AM13</f>
        <v>-0</v>
      </c>
      <c r="AN47" s="47" t="n">
        <f aca="false">-In_Devex*AN13</f>
        <v>-0</v>
      </c>
      <c r="AO47" s="47" t="n">
        <f aca="false">-In_Devex*AO13</f>
        <v>-0</v>
      </c>
      <c r="AP47" s="47" t="n">
        <f aca="false">-In_Devex*AP13</f>
        <v>-0</v>
      </c>
      <c r="AQ47" s="47" t="n">
        <f aca="false">-In_Devex*AQ13</f>
        <v>-0</v>
      </c>
      <c r="AR47" s="47" t="n">
        <f aca="false">-In_Devex*AR13</f>
        <v>-0</v>
      </c>
      <c r="AS47" s="47" t="n">
        <f aca="false">-In_Devex*AS13</f>
        <v>-0</v>
      </c>
      <c r="AT47" s="47" t="n">
        <f aca="false">-In_Devex*AT13</f>
        <v>-0</v>
      </c>
      <c r="AU47" s="47" t="n">
        <f aca="false">-In_Devex*AU13</f>
        <v>-0</v>
      </c>
      <c r="AV47" s="47" t="n">
        <f aca="false">-In_Devex*AV13</f>
        <v>-0</v>
      </c>
      <c r="AW47" s="47" t="n">
        <f aca="false">-In_Devex*AW13</f>
        <v>-0</v>
      </c>
      <c r="AX47" s="47" t="n">
        <f aca="false">-In_Devex*AX13</f>
        <v>-0</v>
      </c>
      <c r="AY47" s="47" t="n">
        <f aca="false">-In_Devex*AY13</f>
        <v>-0</v>
      </c>
      <c r="AZ47" s="47" t="n">
        <f aca="false">-In_Devex*AZ13</f>
        <v>-0</v>
      </c>
      <c r="BA47" s="47" t="n">
        <f aca="false">-In_Devex*BA13</f>
        <v>-0</v>
      </c>
      <c r="BB47" s="47" t="n">
        <f aca="false">-In_Devex*BB13</f>
        <v>-0</v>
      </c>
      <c r="BC47" s="47" t="n">
        <f aca="false">-In_Devex*BC13</f>
        <v>-0</v>
      </c>
      <c r="BD47" s="47" t="n">
        <f aca="false">-In_Devex*BD13</f>
        <v>-0</v>
      </c>
      <c r="BE47" s="47" t="n">
        <f aca="false">-In_Devex*BE13</f>
        <v>-0</v>
      </c>
      <c r="BF47" s="47" t="n">
        <f aca="false">-In_Devex*BF13</f>
        <v>-0</v>
      </c>
      <c r="BG47" s="47" t="n">
        <f aca="false">-In_Devex*BG13</f>
        <v>-0</v>
      </c>
      <c r="BH47" s="47" t="n">
        <f aca="false">-In_Devex*BH13</f>
        <v>-0</v>
      </c>
      <c r="BI47" s="47" t="n">
        <f aca="false">-In_Devex*BI13</f>
        <v>-0</v>
      </c>
      <c r="BJ47" s="47" t="n">
        <f aca="false">-In_Devex*BJ13</f>
        <v>-0</v>
      </c>
      <c r="BK47" s="47" t="n">
        <f aca="false">-In_Devex*BK13</f>
        <v>-0</v>
      </c>
      <c r="BL47" s="47" t="n">
        <f aca="false">-In_Devex*BL13</f>
        <v>-0</v>
      </c>
      <c r="BM47" s="47" t="n">
        <f aca="false">-In_Devex*BM13</f>
        <v>-0</v>
      </c>
      <c r="BN47" s="47" t="n">
        <f aca="false">-In_Devex*BN13</f>
        <v>-0</v>
      </c>
      <c r="BO47" s="47" t="n">
        <f aca="false">-In_Devex*BO13</f>
        <v>-0</v>
      </c>
      <c r="BP47" s="47" t="n">
        <f aca="false">-In_Devex*BP13</f>
        <v>-0</v>
      </c>
      <c r="BQ47" s="47" t="n">
        <f aca="false">-In_Devex*BQ13</f>
        <v>-0</v>
      </c>
      <c r="BR47" s="47" t="n">
        <f aca="false">-In_Devex*BR13</f>
        <v>-0</v>
      </c>
      <c r="BS47" s="47" t="n">
        <f aca="false">-In_Devex*BS13</f>
        <v>-0</v>
      </c>
      <c r="BT47" s="47" t="n">
        <f aca="false">-In_Devex*BT13</f>
        <v>-0</v>
      </c>
      <c r="BU47" s="47" t="n">
        <f aca="false">-In_Devex*BU13</f>
        <v>-0</v>
      </c>
      <c r="BV47" s="47" t="n">
        <f aca="false">-In_Devex*BV13</f>
        <v>-0</v>
      </c>
      <c r="BW47" s="47" t="n">
        <f aca="false">-In_Devex*BW13</f>
        <v>-0</v>
      </c>
      <c r="BX47" s="47" t="n">
        <f aca="false">-In_Devex*BX13</f>
        <v>-0</v>
      </c>
      <c r="BY47" s="47" t="n">
        <f aca="false">-In_Devex*BY13</f>
        <v>-0</v>
      </c>
      <c r="BZ47" s="47" t="n">
        <f aca="false">-In_Devex*BZ13</f>
        <v>-0</v>
      </c>
      <c r="CA47" s="47" t="n">
        <f aca="false">-In_Devex*CA13</f>
        <v>-0</v>
      </c>
      <c r="CB47" s="47" t="n">
        <f aca="false">-In_Devex*CB13</f>
        <v>-0</v>
      </c>
      <c r="CC47" s="47" t="n">
        <f aca="false">-In_Devex*CC13</f>
        <v>-0</v>
      </c>
      <c r="CD47" s="47" t="n">
        <f aca="false">-In_Devex*CD13</f>
        <v>-0</v>
      </c>
      <c r="CE47" s="47" t="n">
        <f aca="false">-In_Devex*CE13</f>
        <v>-0</v>
      </c>
      <c r="CF47" s="47" t="n">
        <f aca="false">-In_Devex*CF13</f>
        <v>-0</v>
      </c>
      <c r="CG47" s="47" t="n">
        <f aca="false">-In_Devex*CG13</f>
        <v>-0</v>
      </c>
      <c r="CH47" s="47" t="n">
        <f aca="false">-In_Devex*CH13</f>
        <v>-0</v>
      </c>
      <c r="CI47" s="47" t="n">
        <f aca="false">-In_Devex*CI13</f>
        <v>-0</v>
      </c>
      <c r="CJ47" s="47" t="n">
        <f aca="false">-In_Devex*CJ13</f>
        <v>-0</v>
      </c>
      <c r="CK47" s="47" t="n">
        <f aca="false">-In_Devex*CK13</f>
        <v>-0</v>
      </c>
      <c r="CL47" s="47" t="n">
        <f aca="false">-In_Devex*CL13</f>
        <v>-0</v>
      </c>
      <c r="CM47" s="47" t="n">
        <f aca="false">-In_Devex*CM13</f>
        <v>-0</v>
      </c>
      <c r="CN47" s="47" t="n">
        <f aca="false">-In_Devex*CN13</f>
        <v>-0</v>
      </c>
      <c r="CO47" s="47" t="n">
        <f aca="false">-In_Devex*CO13</f>
        <v>-0</v>
      </c>
      <c r="CP47" s="47" t="n">
        <f aca="false">-In_Devex*CP13</f>
        <v>-0</v>
      </c>
      <c r="CQ47" s="47" t="n">
        <f aca="false">-In_Devex*CQ13</f>
        <v>-0</v>
      </c>
      <c r="CR47" s="47" t="n">
        <f aca="false">-In_Devex*CR13</f>
        <v>-0</v>
      </c>
      <c r="CS47" s="47" t="n">
        <f aca="false">-In_Devex*CS13</f>
        <v>-0</v>
      </c>
      <c r="CT47" s="47" t="n">
        <f aca="false">-In_Devex*CT13</f>
        <v>-0</v>
      </c>
      <c r="CU47" s="47" t="n">
        <f aca="false">-In_Devex*CU13</f>
        <v>-0</v>
      </c>
      <c r="CV47" s="47" t="n">
        <f aca="false">-In_Devex*CV13</f>
        <v>-0</v>
      </c>
      <c r="CW47" s="47" t="n">
        <f aca="false">-In_Devex*CW13</f>
        <v>-0</v>
      </c>
      <c r="CX47" s="47" t="n">
        <f aca="false">-In_Devex*CX13</f>
        <v>-0</v>
      </c>
      <c r="CY47" s="47" t="n">
        <f aca="false">-In_Devex*CY13</f>
        <v>-0</v>
      </c>
      <c r="CZ47" s="47" t="n">
        <f aca="false">-In_Devex*CZ13</f>
        <v>-0</v>
      </c>
      <c r="DA47" s="47" t="n">
        <f aca="false">-In_Devex*DA13</f>
        <v>-0</v>
      </c>
      <c r="DB47" s="47" t="n">
        <f aca="false">-In_Devex*DB13</f>
        <v>-0</v>
      </c>
      <c r="DC47" s="47" t="n">
        <f aca="false">-In_Devex*DC13</f>
        <v>-0</v>
      </c>
      <c r="DD47" s="47" t="n">
        <f aca="false">-In_Devex*DD13</f>
        <v>-0</v>
      </c>
      <c r="DE47" s="47" t="n">
        <f aca="false">-In_Devex*DE13</f>
        <v>-0</v>
      </c>
      <c r="DF47" s="47" t="n">
        <f aca="false">-In_Devex*DF13</f>
        <v>-0</v>
      </c>
      <c r="DG47" s="47" t="n">
        <f aca="false">-In_Devex*DG13</f>
        <v>-0</v>
      </c>
      <c r="DH47" s="47" t="n">
        <f aca="false">-In_Devex*DH13</f>
        <v>-0</v>
      </c>
      <c r="DI47" s="47" t="n">
        <f aca="false">-In_Devex*DI13</f>
        <v>-0</v>
      </c>
      <c r="DJ47" s="47" t="n">
        <f aca="false">-In_Devex*DJ13</f>
        <v>-0</v>
      </c>
      <c r="DK47" s="47" t="n">
        <f aca="false">-In_Devex*DK13</f>
        <v>-0</v>
      </c>
      <c r="DL47" s="47" t="n">
        <f aca="false">-In_Devex*DL13</f>
        <v>-0</v>
      </c>
      <c r="DM47" s="47" t="n">
        <f aca="false">-In_Devex*DM13</f>
        <v>-0</v>
      </c>
      <c r="DN47" s="47" t="n">
        <f aca="false">-In_Devex*DN13</f>
        <v>-0</v>
      </c>
      <c r="DO47" s="47" t="n">
        <f aca="false">-In_Devex*DO13</f>
        <v>-0</v>
      </c>
      <c r="DP47" s="47" t="n">
        <f aca="false">-In_Devex*DP13</f>
        <v>-0</v>
      </c>
      <c r="DQ47" s="47" t="n">
        <f aca="false">-In_Devex*DQ13</f>
        <v>-0</v>
      </c>
      <c r="DR47" s="47" t="n">
        <f aca="false">-In_Devex*DR13</f>
        <v>-0</v>
      </c>
      <c r="DS47" s="47" t="n">
        <f aca="false">-In_Devex*DS13</f>
        <v>-0</v>
      </c>
      <c r="DT47" s="47" t="n">
        <f aca="false">-In_Devex*DT13</f>
        <v>-0</v>
      </c>
      <c r="DU47" s="47" t="n">
        <f aca="false">-In_Devex*DU13</f>
        <v>-0</v>
      </c>
      <c r="DV47" s="47" t="n">
        <f aca="false">-In_Devex*DV13</f>
        <v>-0</v>
      </c>
      <c r="DW47" s="47" t="n">
        <f aca="false">-In_Devex*DW13</f>
        <v>-0</v>
      </c>
      <c r="DX47" s="47" t="n">
        <f aca="false">-In_Devex*DX13</f>
        <v>-0</v>
      </c>
      <c r="DY47" s="47" t="n">
        <f aca="false">-In_Devex*DY13</f>
        <v>-0</v>
      </c>
      <c r="DZ47" s="47" t="n">
        <f aca="false">-In_Devex*DZ13</f>
        <v>-0</v>
      </c>
      <c r="EA47" s="47" t="n">
        <f aca="false">-In_Devex*EA13</f>
        <v>-0</v>
      </c>
      <c r="EB47" s="47" t="n">
        <f aca="false">-In_Devex*EB13</f>
        <v>-0</v>
      </c>
      <c r="EC47" s="47" t="n">
        <f aca="false">-In_Devex*EC13</f>
        <v>-0</v>
      </c>
      <c r="ED47" s="47" t="n">
        <f aca="false">-In_Devex*ED13</f>
        <v>-0</v>
      </c>
      <c r="EE47" s="47" t="n">
        <f aca="false">-In_Devex*EE13</f>
        <v>-0</v>
      </c>
      <c r="EF47" s="47" t="n">
        <f aca="false">-In_Devex*EF13</f>
        <v>-0</v>
      </c>
      <c r="EG47" s="47" t="n">
        <f aca="false">-In_Devex*EG13</f>
        <v>-0</v>
      </c>
      <c r="EH47" s="47" t="n">
        <f aca="false">-In_Devex*EH13</f>
        <v>-0</v>
      </c>
      <c r="EI47" s="47" t="n">
        <f aca="false">-In_Devex*EI13</f>
        <v>-0</v>
      </c>
      <c r="EJ47" s="47" t="n">
        <f aca="false">-In_Devex*EJ13</f>
        <v>-0</v>
      </c>
      <c r="EK47" s="47" t="n">
        <f aca="false">-In_Devex*EK13</f>
        <v>-0</v>
      </c>
      <c r="EL47" s="47" t="n">
        <f aca="false">-In_Devex*EL13</f>
        <v>-0</v>
      </c>
      <c r="EM47" s="47" t="n">
        <f aca="false">-In_Devex*EM13</f>
        <v>-0</v>
      </c>
      <c r="EN47" s="47" t="n">
        <f aca="false">-In_Devex*EN13</f>
        <v>-0</v>
      </c>
      <c r="EO47" s="47" t="n">
        <f aca="false">-In_Devex*EO13</f>
        <v>-0</v>
      </c>
    </row>
    <row r="48" customFormat="false" ht="15" hidden="false" customHeight="false" outlineLevel="0" collapsed="false">
      <c r="C48" s="0" t="s">
        <v>419</v>
      </c>
      <c r="D48" s="11" t="s">
        <v>280</v>
      </c>
      <c r="E48" s="47" t="n">
        <f aca="false">$E25*In_Bench_Wind+$E27*In_Bench_BESS</f>
        <v>32360</v>
      </c>
    </row>
    <row r="49" customFormat="false" ht="15" hidden="false" customHeight="false" outlineLevel="0" collapsed="false">
      <c r="C49" s="0" t="s">
        <v>420</v>
      </c>
      <c r="D49" s="11" t="s">
        <v>33</v>
      </c>
      <c r="E49" s="47" t="n">
        <f aca="false">In_Part_Fee*Thousand/In_FX</f>
        <v>8.21917808219178</v>
      </c>
      <c r="F49" s="20" t="n">
        <f aca="false">In_Bid_Date</f>
        <v>46325</v>
      </c>
      <c r="I49" s="47" t="n">
        <f aca="false">SUM(J49:EO49)</f>
        <v>-8.21917808219178</v>
      </c>
      <c r="J49" s="47" t="n">
        <f aca="false">-$E49*N(AND(J$3&lt;=$F49,J$4&gt;=$F49))</f>
        <v>-8.21917808219178</v>
      </c>
      <c r="K49" s="47" t="n">
        <f aca="false">-$E49*N(AND(K$3&lt;=$F49,K$4&gt;=$F49))</f>
        <v>-0</v>
      </c>
      <c r="L49" s="47" t="n">
        <f aca="false">-$E49*N(AND(L$3&lt;=$F49,L$4&gt;=$F49))</f>
        <v>-0</v>
      </c>
      <c r="M49" s="47" t="n">
        <f aca="false">-$E49*N(AND(M$3&lt;=$F49,M$4&gt;=$F49))</f>
        <v>-0</v>
      </c>
      <c r="N49" s="47" t="n">
        <f aca="false">-$E49*N(AND(N$3&lt;=$F49,N$4&gt;=$F49))</f>
        <v>-0</v>
      </c>
      <c r="O49" s="47" t="n">
        <f aca="false">-$E49*N(AND(O$3&lt;=$F49,O$4&gt;=$F49))</f>
        <v>-0</v>
      </c>
      <c r="P49" s="47" t="n">
        <f aca="false">-$E49*N(AND(P$3&lt;=$F49,P$4&gt;=$F49))</f>
        <v>-0</v>
      </c>
      <c r="Q49" s="47" t="n">
        <f aca="false">-$E49*N(AND(Q$3&lt;=$F49,Q$4&gt;=$F49))</f>
        <v>-0</v>
      </c>
      <c r="R49" s="47" t="n">
        <f aca="false">-$E49*N(AND(R$3&lt;=$F49,R$4&gt;=$F49))</f>
        <v>-0</v>
      </c>
      <c r="S49" s="47" t="n">
        <f aca="false">-$E49*N(AND(S$3&lt;=$F49,S$4&gt;=$F49))</f>
        <v>-0</v>
      </c>
      <c r="T49" s="47" t="n">
        <f aca="false">-$E49*N(AND(T$3&lt;=$F49,T$4&gt;=$F49))</f>
        <v>-0</v>
      </c>
      <c r="U49" s="47" t="n">
        <f aca="false">-$E49*N(AND(U$3&lt;=$F49,U$4&gt;=$F49))</f>
        <v>-0</v>
      </c>
      <c r="V49" s="47" t="n">
        <f aca="false">-$E49*N(AND(V$3&lt;=$F49,V$4&gt;=$F49))</f>
        <v>-0</v>
      </c>
      <c r="W49" s="47" t="n">
        <f aca="false">-$E49*N(AND(W$3&lt;=$F49,W$4&gt;=$F49))</f>
        <v>-0</v>
      </c>
      <c r="X49" s="47" t="n">
        <f aca="false">-$E49*N(AND(X$3&lt;=$F49,X$4&gt;=$F49))</f>
        <v>-0</v>
      </c>
      <c r="Y49" s="47" t="n">
        <f aca="false">-$E49*N(AND(Y$3&lt;=$F49,Y$4&gt;=$F49))</f>
        <v>-0</v>
      </c>
      <c r="Z49" s="47" t="n">
        <f aca="false">-$E49*N(AND(Z$3&lt;=$F49,Z$4&gt;=$F49))</f>
        <v>-0</v>
      </c>
      <c r="AA49" s="47" t="n">
        <f aca="false">-$E49*N(AND(AA$3&lt;=$F49,AA$4&gt;=$F49))</f>
        <v>-0</v>
      </c>
      <c r="AB49" s="47" t="n">
        <f aca="false">-$E49*N(AND(AB$3&lt;=$F49,AB$4&gt;=$F49))</f>
        <v>-0</v>
      </c>
      <c r="AC49" s="47" t="n">
        <f aca="false">-$E49*N(AND(AC$3&lt;=$F49,AC$4&gt;=$F49))</f>
        <v>-0</v>
      </c>
      <c r="AD49" s="47" t="n">
        <f aca="false">-$E49*N(AND(AD$3&lt;=$F49,AD$4&gt;=$F49))</f>
        <v>-0</v>
      </c>
      <c r="AE49" s="47" t="n">
        <f aca="false">-$E49*N(AND(AE$3&lt;=$F49,AE$4&gt;=$F49))</f>
        <v>-0</v>
      </c>
      <c r="AF49" s="47" t="n">
        <f aca="false">-$E49*N(AND(AF$3&lt;=$F49,AF$4&gt;=$F49))</f>
        <v>-0</v>
      </c>
      <c r="AG49" s="47" t="n">
        <f aca="false">-$E49*N(AND(AG$3&lt;=$F49,AG$4&gt;=$F49))</f>
        <v>-0</v>
      </c>
      <c r="AH49" s="47" t="n">
        <f aca="false">-$E49*N(AND(AH$3&lt;=$F49,AH$4&gt;=$F49))</f>
        <v>-0</v>
      </c>
      <c r="AI49" s="47" t="n">
        <f aca="false">-$E49*N(AND(AI$3&lt;=$F49,AI$4&gt;=$F49))</f>
        <v>-0</v>
      </c>
      <c r="AJ49" s="47" t="n">
        <f aca="false">-$E49*N(AND(AJ$3&lt;=$F49,AJ$4&gt;=$F49))</f>
        <v>-0</v>
      </c>
      <c r="AK49" s="47" t="n">
        <f aca="false">-$E49*N(AND(AK$3&lt;=$F49,AK$4&gt;=$F49))</f>
        <v>-0</v>
      </c>
      <c r="AL49" s="47" t="n">
        <f aca="false">-$E49*N(AND(AL$3&lt;=$F49,AL$4&gt;=$F49))</f>
        <v>-0</v>
      </c>
      <c r="AM49" s="47" t="n">
        <f aca="false">-$E49*N(AND(AM$3&lt;=$F49,AM$4&gt;=$F49))</f>
        <v>-0</v>
      </c>
      <c r="AN49" s="47" t="n">
        <f aca="false">-$E49*N(AND(AN$3&lt;=$F49,AN$4&gt;=$F49))</f>
        <v>-0</v>
      </c>
      <c r="AO49" s="47" t="n">
        <f aca="false">-$E49*N(AND(AO$3&lt;=$F49,AO$4&gt;=$F49))</f>
        <v>-0</v>
      </c>
      <c r="AP49" s="47" t="n">
        <f aca="false">-$E49*N(AND(AP$3&lt;=$F49,AP$4&gt;=$F49))</f>
        <v>-0</v>
      </c>
      <c r="AQ49" s="47" t="n">
        <f aca="false">-$E49*N(AND(AQ$3&lt;=$F49,AQ$4&gt;=$F49))</f>
        <v>-0</v>
      </c>
      <c r="AR49" s="47" t="n">
        <f aca="false">-$E49*N(AND(AR$3&lt;=$F49,AR$4&gt;=$F49))</f>
        <v>-0</v>
      </c>
      <c r="AS49" s="47" t="n">
        <f aca="false">-$E49*N(AND(AS$3&lt;=$F49,AS$4&gt;=$F49))</f>
        <v>-0</v>
      </c>
      <c r="AT49" s="47" t="n">
        <f aca="false">-$E49*N(AND(AT$3&lt;=$F49,AT$4&gt;=$F49))</f>
        <v>-0</v>
      </c>
      <c r="AU49" s="47" t="n">
        <f aca="false">-$E49*N(AND(AU$3&lt;=$F49,AU$4&gt;=$F49))</f>
        <v>-0</v>
      </c>
      <c r="AV49" s="47" t="n">
        <f aca="false">-$E49*N(AND(AV$3&lt;=$F49,AV$4&gt;=$F49))</f>
        <v>-0</v>
      </c>
      <c r="AW49" s="47" t="n">
        <f aca="false">-$E49*N(AND(AW$3&lt;=$F49,AW$4&gt;=$F49))</f>
        <v>-0</v>
      </c>
      <c r="AX49" s="47" t="n">
        <f aca="false">-$E49*N(AND(AX$3&lt;=$F49,AX$4&gt;=$F49))</f>
        <v>-0</v>
      </c>
      <c r="AY49" s="47" t="n">
        <f aca="false">-$E49*N(AND(AY$3&lt;=$F49,AY$4&gt;=$F49))</f>
        <v>-0</v>
      </c>
      <c r="AZ49" s="47" t="n">
        <f aca="false">-$E49*N(AND(AZ$3&lt;=$F49,AZ$4&gt;=$F49))</f>
        <v>-0</v>
      </c>
      <c r="BA49" s="47" t="n">
        <f aca="false">-$E49*N(AND(BA$3&lt;=$F49,BA$4&gt;=$F49))</f>
        <v>-0</v>
      </c>
      <c r="BB49" s="47" t="n">
        <f aca="false">-$E49*N(AND(BB$3&lt;=$F49,BB$4&gt;=$F49))</f>
        <v>-0</v>
      </c>
      <c r="BC49" s="47" t="n">
        <f aca="false">-$E49*N(AND(BC$3&lt;=$F49,BC$4&gt;=$F49))</f>
        <v>-0</v>
      </c>
      <c r="BD49" s="47" t="n">
        <f aca="false">-$E49*N(AND(BD$3&lt;=$F49,BD$4&gt;=$F49))</f>
        <v>-0</v>
      </c>
      <c r="BE49" s="47" t="n">
        <f aca="false">-$E49*N(AND(BE$3&lt;=$F49,BE$4&gt;=$F49))</f>
        <v>-0</v>
      </c>
      <c r="BF49" s="47" t="n">
        <f aca="false">-$E49*N(AND(BF$3&lt;=$F49,BF$4&gt;=$F49))</f>
        <v>-0</v>
      </c>
      <c r="BG49" s="47" t="n">
        <f aca="false">-$E49*N(AND(BG$3&lt;=$F49,BG$4&gt;=$F49))</f>
        <v>-0</v>
      </c>
      <c r="BH49" s="47" t="n">
        <f aca="false">-$E49*N(AND(BH$3&lt;=$F49,BH$4&gt;=$F49))</f>
        <v>-0</v>
      </c>
      <c r="BI49" s="47" t="n">
        <f aca="false">-$E49*N(AND(BI$3&lt;=$F49,BI$4&gt;=$F49))</f>
        <v>-0</v>
      </c>
      <c r="BJ49" s="47" t="n">
        <f aca="false">-$E49*N(AND(BJ$3&lt;=$F49,BJ$4&gt;=$F49))</f>
        <v>-0</v>
      </c>
      <c r="BK49" s="47" t="n">
        <f aca="false">-$E49*N(AND(BK$3&lt;=$F49,BK$4&gt;=$F49))</f>
        <v>-0</v>
      </c>
      <c r="BL49" s="47" t="n">
        <f aca="false">-$E49*N(AND(BL$3&lt;=$F49,BL$4&gt;=$F49))</f>
        <v>-0</v>
      </c>
      <c r="BM49" s="47" t="n">
        <f aca="false">-$E49*N(AND(BM$3&lt;=$F49,BM$4&gt;=$F49))</f>
        <v>-0</v>
      </c>
      <c r="BN49" s="47" t="n">
        <f aca="false">-$E49*N(AND(BN$3&lt;=$F49,BN$4&gt;=$F49))</f>
        <v>-0</v>
      </c>
      <c r="BO49" s="47" t="n">
        <f aca="false">-$E49*N(AND(BO$3&lt;=$F49,BO$4&gt;=$F49))</f>
        <v>-0</v>
      </c>
      <c r="BP49" s="47" t="n">
        <f aca="false">-$E49*N(AND(BP$3&lt;=$F49,BP$4&gt;=$F49))</f>
        <v>-0</v>
      </c>
      <c r="BQ49" s="47" t="n">
        <f aca="false">-$E49*N(AND(BQ$3&lt;=$F49,BQ$4&gt;=$F49))</f>
        <v>-0</v>
      </c>
      <c r="BR49" s="47" t="n">
        <f aca="false">-$E49*N(AND(BR$3&lt;=$F49,BR$4&gt;=$F49))</f>
        <v>-0</v>
      </c>
      <c r="BS49" s="47" t="n">
        <f aca="false">-$E49*N(AND(BS$3&lt;=$F49,BS$4&gt;=$F49))</f>
        <v>-0</v>
      </c>
      <c r="BT49" s="47" t="n">
        <f aca="false">-$E49*N(AND(BT$3&lt;=$F49,BT$4&gt;=$F49))</f>
        <v>-0</v>
      </c>
      <c r="BU49" s="47" t="n">
        <f aca="false">-$E49*N(AND(BU$3&lt;=$F49,BU$4&gt;=$F49))</f>
        <v>-0</v>
      </c>
      <c r="BV49" s="47" t="n">
        <f aca="false">-$E49*N(AND(BV$3&lt;=$F49,BV$4&gt;=$F49))</f>
        <v>-0</v>
      </c>
      <c r="BW49" s="47" t="n">
        <f aca="false">-$E49*N(AND(BW$3&lt;=$F49,BW$4&gt;=$F49))</f>
        <v>-0</v>
      </c>
      <c r="BX49" s="47" t="n">
        <f aca="false">-$E49*N(AND(BX$3&lt;=$F49,BX$4&gt;=$F49))</f>
        <v>-0</v>
      </c>
      <c r="BY49" s="47" t="n">
        <f aca="false">-$E49*N(AND(BY$3&lt;=$F49,BY$4&gt;=$F49))</f>
        <v>-0</v>
      </c>
      <c r="BZ49" s="47" t="n">
        <f aca="false">-$E49*N(AND(BZ$3&lt;=$F49,BZ$4&gt;=$F49))</f>
        <v>-0</v>
      </c>
      <c r="CA49" s="47" t="n">
        <f aca="false">-$E49*N(AND(CA$3&lt;=$F49,CA$4&gt;=$F49))</f>
        <v>-0</v>
      </c>
      <c r="CB49" s="47" t="n">
        <f aca="false">-$E49*N(AND(CB$3&lt;=$F49,CB$4&gt;=$F49))</f>
        <v>-0</v>
      </c>
      <c r="CC49" s="47" t="n">
        <f aca="false">-$E49*N(AND(CC$3&lt;=$F49,CC$4&gt;=$F49))</f>
        <v>-0</v>
      </c>
      <c r="CD49" s="47" t="n">
        <f aca="false">-$E49*N(AND(CD$3&lt;=$F49,CD$4&gt;=$F49))</f>
        <v>-0</v>
      </c>
      <c r="CE49" s="47" t="n">
        <f aca="false">-$E49*N(AND(CE$3&lt;=$F49,CE$4&gt;=$F49))</f>
        <v>-0</v>
      </c>
      <c r="CF49" s="47" t="n">
        <f aca="false">-$E49*N(AND(CF$3&lt;=$F49,CF$4&gt;=$F49))</f>
        <v>-0</v>
      </c>
      <c r="CG49" s="47" t="n">
        <f aca="false">-$E49*N(AND(CG$3&lt;=$F49,CG$4&gt;=$F49))</f>
        <v>-0</v>
      </c>
      <c r="CH49" s="47" t="n">
        <f aca="false">-$E49*N(AND(CH$3&lt;=$F49,CH$4&gt;=$F49))</f>
        <v>-0</v>
      </c>
      <c r="CI49" s="47" t="n">
        <f aca="false">-$E49*N(AND(CI$3&lt;=$F49,CI$4&gt;=$F49))</f>
        <v>-0</v>
      </c>
      <c r="CJ49" s="47" t="n">
        <f aca="false">-$E49*N(AND(CJ$3&lt;=$F49,CJ$4&gt;=$F49))</f>
        <v>-0</v>
      </c>
      <c r="CK49" s="47" t="n">
        <f aca="false">-$E49*N(AND(CK$3&lt;=$F49,CK$4&gt;=$F49))</f>
        <v>-0</v>
      </c>
      <c r="CL49" s="47" t="n">
        <f aca="false">-$E49*N(AND(CL$3&lt;=$F49,CL$4&gt;=$F49))</f>
        <v>-0</v>
      </c>
      <c r="CM49" s="47" t="n">
        <f aca="false">-$E49*N(AND(CM$3&lt;=$F49,CM$4&gt;=$F49))</f>
        <v>-0</v>
      </c>
      <c r="CN49" s="47" t="n">
        <f aca="false">-$E49*N(AND(CN$3&lt;=$F49,CN$4&gt;=$F49))</f>
        <v>-0</v>
      </c>
      <c r="CO49" s="47" t="n">
        <f aca="false">-$E49*N(AND(CO$3&lt;=$F49,CO$4&gt;=$F49))</f>
        <v>-0</v>
      </c>
      <c r="CP49" s="47" t="n">
        <f aca="false">-$E49*N(AND(CP$3&lt;=$F49,CP$4&gt;=$F49))</f>
        <v>-0</v>
      </c>
      <c r="CQ49" s="47" t="n">
        <f aca="false">-$E49*N(AND(CQ$3&lt;=$F49,CQ$4&gt;=$F49))</f>
        <v>-0</v>
      </c>
      <c r="CR49" s="47" t="n">
        <f aca="false">-$E49*N(AND(CR$3&lt;=$F49,CR$4&gt;=$F49))</f>
        <v>-0</v>
      </c>
      <c r="CS49" s="47" t="n">
        <f aca="false">-$E49*N(AND(CS$3&lt;=$F49,CS$4&gt;=$F49))</f>
        <v>-0</v>
      </c>
      <c r="CT49" s="47" t="n">
        <f aca="false">-$E49*N(AND(CT$3&lt;=$F49,CT$4&gt;=$F49))</f>
        <v>-0</v>
      </c>
      <c r="CU49" s="47" t="n">
        <f aca="false">-$E49*N(AND(CU$3&lt;=$F49,CU$4&gt;=$F49))</f>
        <v>-0</v>
      </c>
      <c r="CV49" s="47" t="n">
        <f aca="false">-$E49*N(AND(CV$3&lt;=$F49,CV$4&gt;=$F49))</f>
        <v>-0</v>
      </c>
      <c r="CW49" s="47" t="n">
        <f aca="false">-$E49*N(AND(CW$3&lt;=$F49,CW$4&gt;=$F49))</f>
        <v>-0</v>
      </c>
      <c r="CX49" s="47" t="n">
        <f aca="false">-$E49*N(AND(CX$3&lt;=$F49,CX$4&gt;=$F49))</f>
        <v>-0</v>
      </c>
      <c r="CY49" s="47" t="n">
        <f aca="false">-$E49*N(AND(CY$3&lt;=$F49,CY$4&gt;=$F49))</f>
        <v>-0</v>
      </c>
      <c r="CZ49" s="47" t="n">
        <f aca="false">-$E49*N(AND(CZ$3&lt;=$F49,CZ$4&gt;=$F49))</f>
        <v>-0</v>
      </c>
      <c r="DA49" s="47" t="n">
        <f aca="false">-$E49*N(AND(DA$3&lt;=$F49,DA$4&gt;=$F49))</f>
        <v>-0</v>
      </c>
      <c r="DB49" s="47" t="n">
        <f aca="false">-$E49*N(AND(DB$3&lt;=$F49,DB$4&gt;=$F49))</f>
        <v>-0</v>
      </c>
      <c r="DC49" s="47" t="n">
        <f aca="false">-$E49*N(AND(DC$3&lt;=$F49,DC$4&gt;=$F49))</f>
        <v>-0</v>
      </c>
      <c r="DD49" s="47" t="n">
        <f aca="false">-$E49*N(AND(DD$3&lt;=$F49,DD$4&gt;=$F49))</f>
        <v>-0</v>
      </c>
      <c r="DE49" s="47" t="n">
        <f aca="false">-$E49*N(AND(DE$3&lt;=$F49,DE$4&gt;=$F49))</f>
        <v>-0</v>
      </c>
      <c r="DF49" s="47" t="n">
        <f aca="false">-$E49*N(AND(DF$3&lt;=$F49,DF$4&gt;=$F49))</f>
        <v>-0</v>
      </c>
      <c r="DG49" s="47" t="n">
        <f aca="false">-$E49*N(AND(DG$3&lt;=$F49,DG$4&gt;=$F49))</f>
        <v>-0</v>
      </c>
      <c r="DH49" s="47" t="n">
        <f aca="false">-$E49*N(AND(DH$3&lt;=$F49,DH$4&gt;=$F49))</f>
        <v>-0</v>
      </c>
      <c r="DI49" s="47" t="n">
        <f aca="false">-$E49*N(AND(DI$3&lt;=$F49,DI$4&gt;=$F49))</f>
        <v>-0</v>
      </c>
      <c r="DJ49" s="47" t="n">
        <f aca="false">-$E49*N(AND(DJ$3&lt;=$F49,DJ$4&gt;=$F49))</f>
        <v>-0</v>
      </c>
      <c r="DK49" s="47" t="n">
        <f aca="false">-$E49*N(AND(DK$3&lt;=$F49,DK$4&gt;=$F49))</f>
        <v>-0</v>
      </c>
      <c r="DL49" s="47" t="n">
        <f aca="false">-$E49*N(AND(DL$3&lt;=$F49,DL$4&gt;=$F49))</f>
        <v>-0</v>
      </c>
      <c r="DM49" s="47" t="n">
        <f aca="false">-$E49*N(AND(DM$3&lt;=$F49,DM$4&gt;=$F49))</f>
        <v>-0</v>
      </c>
      <c r="DN49" s="47" t="n">
        <f aca="false">-$E49*N(AND(DN$3&lt;=$F49,DN$4&gt;=$F49))</f>
        <v>-0</v>
      </c>
      <c r="DO49" s="47" t="n">
        <f aca="false">-$E49*N(AND(DO$3&lt;=$F49,DO$4&gt;=$F49))</f>
        <v>-0</v>
      </c>
      <c r="DP49" s="47" t="n">
        <f aca="false">-$E49*N(AND(DP$3&lt;=$F49,DP$4&gt;=$F49))</f>
        <v>-0</v>
      </c>
      <c r="DQ49" s="47" t="n">
        <f aca="false">-$E49*N(AND(DQ$3&lt;=$F49,DQ$4&gt;=$F49))</f>
        <v>-0</v>
      </c>
      <c r="DR49" s="47" t="n">
        <f aca="false">-$E49*N(AND(DR$3&lt;=$F49,DR$4&gt;=$F49))</f>
        <v>-0</v>
      </c>
      <c r="DS49" s="47" t="n">
        <f aca="false">-$E49*N(AND(DS$3&lt;=$F49,DS$4&gt;=$F49))</f>
        <v>-0</v>
      </c>
      <c r="DT49" s="47" t="n">
        <f aca="false">-$E49*N(AND(DT$3&lt;=$F49,DT$4&gt;=$F49))</f>
        <v>-0</v>
      </c>
      <c r="DU49" s="47" t="n">
        <f aca="false">-$E49*N(AND(DU$3&lt;=$F49,DU$4&gt;=$F49))</f>
        <v>-0</v>
      </c>
      <c r="DV49" s="47" t="n">
        <f aca="false">-$E49*N(AND(DV$3&lt;=$F49,DV$4&gt;=$F49))</f>
        <v>-0</v>
      </c>
      <c r="DW49" s="47" t="n">
        <f aca="false">-$E49*N(AND(DW$3&lt;=$F49,DW$4&gt;=$F49))</f>
        <v>-0</v>
      </c>
      <c r="DX49" s="47" t="n">
        <f aca="false">-$E49*N(AND(DX$3&lt;=$F49,DX$4&gt;=$F49))</f>
        <v>-0</v>
      </c>
      <c r="DY49" s="47" t="n">
        <f aca="false">-$E49*N(AND(DY$3&lt;=$F49,DY$4&gt;=$F49))</f>
        <v>-0</v>
      </c>
      <c r="DZ49" s="47" t="n">
        <f aca="false">-$E49*N(AND(DZ$3&lt;=$F49,DZ$4&gt;=$F49))</f>
        <v>-0</v>
      </c>
      <c r="EA49" s="47" t="n">
        <f aca="false">-$E49*N(AND(EA$3&lt;=$F49,EA$4&gt;=$F49))</f>
        <v>-0</v>
      </c>
      <c r="EB49" s="47" t="n">
        <f aca="false">-$E49*N(AND(EB$3&lt;=$F49,EB$4&gt;=$F49))</f>
        <v>-0</v>
      </c>
      <c r="EC49" s="47" t="n">
        <f aca="false">-$E49*N(AND(EC$3&lt;=$F49,EC$4&gt;=$F49))</f>
        <v>-0</v>
      </c>
      <c r="ED49" s="47" t="n">
        <f aca="false">-$E49*N(AND(ED$3&lt;=$F49,ED$4&gt;=$F49))</f>
        <v>-0</v>
      </c>
      <c r="EE49" s="47" t="n">
        <f aca="false">-$E49*N(AND(EE$3&lt;=$F49,EE$4&gt;=$F49))</f>
        <v>-0</v>
      </c>
      <c r="EF49" s="47" t="n">
        <f aca="false">-$E49*N(AND(EF$3&lt;=$F49,EF$4&gt;=$F49))</f>
        <v>-0</v>
      </c>
      <c r="EG49" s="47" t="n">
        <f aca="false">-$E49*N(AND(EG$3&lt;=$F49,EG$4&gt;=$F49))</f>
        <v>-0</v>
      </c>
      <c r="EH49" s="47" t="n">
        <f aca="false">-$E49*N(AND(EH$3&lt;=$F49,EH$4&gt;=$F49))</f>
        <v>-0</v>
      </c>
      <c r="EI49" s="47" t="n">
        <f aca="false">-$E49*N(AND(EI$3&lt;=$F49,EI$4&gt;=$F49))</f>
        <v>-0</v>
      </c>
      <c r="EJ49" s="47" t="n">
        <f aca="false">-$E49*N(AND(EJ$3&lt;=$F49,EJ$4&gt;=$F49))</f>
        <v>-0</v>
      </c>
      <c r="EK49" s="47" t="n">
        <f aca="false">-$E49*N(AND(EK$3&lt;=$F49,EK$4&gt;=$F49))</f>
        <v>-0</v>
      </c>
      <c r="EL49" s="47" t="n">
        <f aca="false">-$E49*N(AND(EL$3&lt;=$F49,EL$4&gt;=$F49))</f>
        <v>-0</v>
      </c>
      <c r="EM49" s="47" t="n">
        <f aca="false">-$E49*N(AND(EM$3&lt;=$F49,EM$4&gt;=$F49))</f>
        <v>-0</v>
      </c>
      <c r="EN49" s="47" t="n">
        <f aca="false">-$E49*N(AND(EN$3&lt;=$F49,EN$4&gt;=$F49))</f>
        <v>-0</v>
      </c>
      <c r="EO49" s="47" t="n">
        <f aca="false">-$E49*N(AND(EO$3&lt;=$F49,EO$4&gt;=$F49))</f>
        <v>-0</v>
      </c>
    </row>
    <row r="50" customFormat="false" ht="15" hidden="false" customHeight="false" outlineLevel="0" collapsed="false">
      <c r="C50" s="0" t="s">
        <v>421</v>
      </c>
      <c r="D50" s="11" t="s">
        <v>33</v>
      </c>
      <c r="E50" s="47" t="n">
        <f aca="false">In_Bid_Rate*$E48*Thousand/In_FX</f>
        <v>443.287671232877</v>
      </c>
      <c r="F50" s="20" t="n">
        <f aca="false">In_Bid_Date</f>
        <v>46325</v>
      </c>
      <c r="J50" s="47" t="n">
        <f aca="false">$E50*MAX(0,(MIN(In_Decision_Date+In_PB_Days-1,J$4)-MAX($F50,J$3)+1)/J$5)</f>
        <v>303.55568790947</v>
      </c>
      <c r="K50" s="47" t="n">
        <f aca="false">$E50*MAX(0,(MIN(In_Decision_Date+In_PB_Days-1,K$4)-MAX($F50,K$3)+1)/K$5)</f>
        <v>221.643835616438</v>
      </c>
      <c r="L50" s="47" t="n">
        <f aca="false">$E50*MAX(0,(MIN(In_Decision_Date+In_PB_Days-1,L$4)-MAX($F50,L$3)+1)/L$5)</f>
        <v>0</v>
      </c>
      <c r="M50" s="47" t="n">
        <f aca="false">$E50*MAX(0,(MIN(In_Decision_Date+In_PB_Days-1,M$4)-MAX($F50,M$3)+1)/M$5)</f>
        <v>0</v>
      </c>
      <c r="N50" s="47" t="n">
        <f aca="false">$E50*MAX(0,(MIN(In_Decision_Date+In_PB_Days-1,N$4)-MAX($F50,N$3)+1)/N$5)</f>
        <v>0</v>
      </c>
      <c r="O50" s="47" t="n">
        <f aca="false">$E50*MAX(0,(MIN(In_Decision_Date+In_PB_Days-1,O$4)-MAX($F50,O$3)+1)/O$5)</f>
        <v>0</v>
      </c>
      <c r="P50" s="47" t="n">
        <f aca="false">$E50*MAX(0,(MIN(In_Decision_Date+In_PB_Days-1,P$4)-MAX($F50,P$3)+1)/P$5)</f>
        <v>0</v>
      </c>
      <c r="Q50" s="47" t="n">
        <f aca="false">$E50*MAX(0,(MIN(In_Decision_Date+In_PB_Days-1,Q$4)-MAX($F50,Q$3)+1)/Q$5)</f>
        <v>0</v>
      </c>
      <c r="R50" s="47" t="n">
        <f aca="false">$E50*MAX(0,(MIN(In_Decision_Date+In_PB_Days-1,R$4)-MAX($F50,R$3)+1)/R$5)</f>
        <v>0</v>
      </c>
      <c r="S50" s="47" t="n">
        <f aca="false">$E50*MAX(0,(MIN(In_Decision_Date+In_PB_Days-1,S$4)-MAX($F50,S$3)+1)/S$5)</f>
        <v>0</v>
      </c>
      <c r="T50" s="47" t="n">
        <f aca="false">$E50*MAX(0,(MIN(In_Decision_Date+In_PB_Days-1,T$4)-MAX($F50,T$3)+1)/T$5)</f>
        <v>0</v>
      </c>
      <c r="U50" s="47" t="n">
        <f aca="false">$E50*MAX(0,(MIN(In_Decision_Date+In_PB_Days-1,U$4)-MAX($F50,U$3)+1)/U$5)</f>
        <v>0</v>
      </c>
      <c r="V50" s="47" t="n">
        <f aca="false">$E50*MAX(0,(MIN(In_Decision_Date+In_PB_Days-1,V$4)-MAX($F50,V$3)+1)/V$5)</f>
        <v>0</v>
      </c>
      <c r="W50" s="47" t="n">
        <f aca="false">$E50*MAX(0,(MIN(In_Decision_Date+In_PB_Days-1,W$4)-MAX($F50,W$3)+1)/W$5)</f>
        <v>0</v>
      </c>
      <c r="X50" s="47" t="n">
        <f aca="false">$E50*MAX(0,(MIN(In_Decision_Date+In_PB_Days-1,X$4)-MAX($F50,X$3)+1)/X$5)</f>
        <v>0</v>
      </c>
      <c r="Y50" s="47" t="n">
        <f aca="false">$E50*MAX(0,(MIN(In_Decision_Date+In_PB_Days-1,Y$4)-MAX($F50,Y$3)+1)/Y$5)</f>
        <v>0</v>
      </c>
      <c r="Z50" s="47" t="n">
        <f aca="false">$E50*MAX(0,(MIN(In_Decision_Date+In_PB_Days-1,Z$4)-MAX($F50,Z$3)+1)/Z$5)</f>
        <v>0</v>
      </c>
      <c r="AA50" s="47" t="n">
        <f aca="false">$E50*MAX(0,(MIN(In_Decision_Date+In_PB_Days-1,AA$4)-MAX($F50,AA$3)+1)/AA$5)</f>
        <v>0</v>
      </c>
      <c r="AB50" s="47" t="n">
        <f aca="false">$E50*MAX(0,(MIN(In_Decision_Date+In_PB_Days-1,AB$4)-MAX($F50,AB$3)+1)/AB$5)</f>
        <v>0</v>
      </c>
      <c r="AC50" s="47" t="n">
        <f aca="false">$E50*MAX(0,(MIN(In_Decision_Date+In_PB_Days-1,AC$4)-MAX($F50,AC$3)+1)/AC$5)</f>
        <v>0</v>
      </c>
      <c r="AD50" s="47" t="n">
        <f aca="false">$E50*MAX(0,(MIN(In_Decision_Date+In_PB_Days-1,AD$4)-MAX($F50,AD$3)+1)/AD$5)</f>
        <v>0</v>
      </c>
      <c r="AE50" s="47" t="n">
        <f aca="false">$E50*MAX(0,(MIN(In_Decision_Date+In_PB_Days-1,AE$4)-MAX($F50,AE$3)+1)/AE$5)</f>
        <v>0</v>
      </c>
      <c r="AF50" s="47" t="n">
        <f aca="false">$E50*MAX(0,(MIN(In_Decision_Date+In_PB_Days-1,AF$4)-MAX($F50,AF$3)+1)/AF$5)</f>
        <v>0</v>
      </c>
      <c r="AG50" s="47" t="n">
        <f aca="false">$E50*MAX(0,(MIN(In_Decision_Date+In_PB_Days-1,AG$4)-MAX($F50,AG$3)+1)/AG$5)</f>
        <v>0</v>
      </c>
      <c r="AH50" s="47" t="n">
        <f aca="false">$E50*MAX(0,(MIN(In_Decision_Date+In_PB_Days-1,AH$4)-MAX($F50,AH$3)+1)/AH$5)</f>
        <v>0</v>
      </c>
      <c r="AI50" s="47" t="n">
        <f aca="false">$E50*MAX(0,(MIN(In_Decision_Date+In_PB_Days-1,AI$4)-MAX($F50,AI$3)+1)/AI$5)</f>
        <v>0</v>
      </c>
      <c r="AJ50" s="47" t="n">
        <f aca="false">$E50*MAX(0,(MIN(In_Decision_Date+In_PB_Days-1,AJ$4)-MAX($F50,AJ$3)+1)/AJ$5)</f>
        <v>0</v>
      </c>
      <c r="AK50" s="47" t="n">
        <f aca="false">$E50*MAX(0,(MIN(In_Decision_Date+In_PB_Days-1,AK$4)-MAX($F50,AK$3)+1)/AK$5)</f>
        <v>0</v>
      </c>
      <c r="AL50" s="47" t="n">
        <f aca="false">$E50*MAX(0,(MIN(In_Decision_Date+In_PB_Days-1,AL$4)-MAX($F50,AL$3)+1)/AL$5)</f>
        <v>0</v>
      </c>
      <c r="AM50" s="47" t="n">
        <f aca="false">$E50*MAX(0,(MIN(In_Decision_Date+In_PB_Days-1,AM$4)-MAX($F50,AM$3)+1)/AM$5)</f>
        <v>0</v>
      </c>
      <c r="AN50" s="47" t="n">
        <f aca="false">$E50*MAX(0,(MIN(In_Decision_Date+In_PB_Days-1,AN$4)-MAX($F50,AN$3)+1)/AN$5)</f>
        <v>0</v>
      </c>
      <c r="AO50" s="47" t="n">
        <f aca="false">$E50*MAX(0,(MIN(In_Decision_Date+In_PB_Days-1,AO$4)-MAX($F50,AO$3)+1)/AO$5)</f>
        <v>0</v>
      </c>
      <c r="AP50" s="47" t="n">
        <f aca="false">$E50*MAX(0,(MIN(In_Decision_Date+In_PB_Days-1,AP$4)-MAX($F50,AP$3)+1)/AP$5)</f>
        <v>0</v>
      </c>
      <c r="AQ50" s="47" t="n">
        <f aca="false">$E50*MAX(0,(MIN(In_Decision_Date+In_PB_Days-1,AQ$4)-MAX($F50,AQ$3)+1)/AQ$5)</f>
        <v>0</v>
      </c>
      <c r="AR50" s="47" t="n">
        <f aca="false">$E50*MAX(0,(MIN(In_Decision_Date+In_PB_Days-1,AR$4)-MAX($F50,AR$3)+1)/AR$5)</f>
        <v>0</v>
      </c>
      <c r="AS50" s="47" t="n">
        <f aca="false">$E50*MAX(0,(MIN(In_Decision_Date+In_PB_Days-1,AS$4)-MAX($F50,AS$3)+1)/AS$5)</f>
        <v>0</v>
      </c>
      <c r="AT50" s="47" t="n">
        <f aca="false">$E50*MAX(0,(MIN(In_Decision_Date+In_PB_Days-1,AT$4)-MAX($F50,AT$3)+1)/AT$5)</f>
        <v>0</v>
      </c>
      <c r="AU50" s="47" t="n">
        <f aca="false">$E50*MAX(0,(MIN(In_Decision_Date+In_PB_Days-1,AU$4)-MAX($F50,AU$3)+1)/AU$5)</f>
        <v>0</v>
      </c>
      <c r="AV50" s="47" t="n">
        <f aca="false">$E50*MAX(0,(MIN(In_Decision_Date+In_PB_Days-1,AV$4)-MAX($F50,AV$3)+1)/AV$5)</f>
        <v>0</v>
      </c>
      <c r="AW50" s="47" t="n">
        <f aca="false">$E50*MAX(0,(MIN(In_Decision_Date+In_PB_Days-1,AW$4)-MAX($F50,AW$3)+1)/AW$5)</f>
        <v>0</v>
      </c>
      <c r="AX50" s="47" t="n">
        <f aca="false">$E50*MAX(0,(MIN(In_Decision_Date+In_PB_Days-1,AX$4)-MAX($F50,AX$3)+1)/AX$5)</f>
        <v>0</v>
      </c>
      <c r="AY50" s="47" t="n">
        <f aca="false">$E50*MAX(0,(MIN(In_Decision_Date+In_PB_Days-1,AY$4)-MAX($F50,AY$3)+1)/AY$5)</f>
        <v>0</v>
      </c>
      <c r="AZ50" s="47" t="n">
        <f aca="false">$E50*MAX(0,(MIN(In_Decision_Date+In_PB_Days-1,AZ$4)-MAX($F50,AZ$3)+1)/AZ$5)</f>
        <v>0</v>
      </c>
      <c r="BA50" s="47" t="n">
        <f aca="false">$E50*MAX(0,(MIN(In_Decision_Date+In_PB_Days-1,BA$4)-MAX($F50,BA$3)+1)/BA$5)</f>
        <v>0</v>
      </c>
      <c r="BB50" s="47" t="n">
        <f aca="false">$E50*MAX(0,(MIN(In_Decision_Date+In_PB_Days-1,BB$4)-MAX($F50,BB$3)+1)/BB$5)</f>
        <v>0</v>
      </c>
      <c r="BC50" s="47" t="n">
        <f aca="false">$E50*MAX(0,(MIN(In_Decision_Date+In_PB_Days-1,BC$4)-MAX($F50,BC$3)+1)/BC$5)</f>
        <v>0</v>
      </c>
      <c r="BD50" s="47" t="n">
        <f aca="false">$E50*MAX(0,(MIN(In_Decision_Date+In_PB_Days-1,BD$4)-MAX($F50,BD$3)+1)/BD$5)</f>
        <v>0</v>
      </c>
      <c r="BE50" s="47" t="n">
        <f aca="false">$E50*MAX(0,(MIN(In_Decision_Date+In_PB_Days-1,BE$4)-MAX($F50,BE$3)+1)/BE$5)</f>
        <v>0</v>
      </c>
      <c r="BF50" s="47" t="n">
        <f aca="false">$E50*MAX(0,(MIN(In_Decision_Date+In_PB_Days-1,BF$4)-MAX($F50,BF$3)+1)/BF$5)</f>
        <v>0</v>
      </c>
      <c r="BG50" s="47" t="n">
        <f aca="false">$E50*MAX(0,(MIN(In_Decision_Date+In_PB_Days-1,BG$4)-MAX($F50,BG$3)+1)/BG$5)</f>
        <v>0</v>
      </c>
      <c r="BH50" s="47" t="n">
        <f aca="false">$E50*MAX(0,(MIN(In_Decision_Date+In_PB_Days-1,BH$4)-MAX($F50,BH$3)+1)/BH$5)</f>
        <v>0</v>
      </c>
      <c r="BI50" s="47" t="n">
        <f aca="false">$E50*MAX(0,(MIN(In_Decision_Date+In_PB_Days-1,BI$4)-MAX($F50,BI$3)+1)/BI$5)</f>
        <v>0</v>
      </c>
      <c r="BJ50" s="47" t="n">
        <f aca="false">$E50*MAX(0,(MIN(In_Decision_Date+In_PB_Days-1,BJ$4)-MAX($F50,BJ$3)+1)/BJ$5)</f>
        <v>0</v>
      </c>
      <c r="BK50" s="47" t="n">
        <f aca="false">$E50*MAX(0,(MIN(In_Decision_Date+In_PB_Days-1,BK$4)-MAX($F50,BK$3)+1)/BK$5)</f>
        <v>0</v>
      </c>
      <c r="BL50" s="47" t="n">
        <f aca="false">$E50*MAX(0,(MIN(In_Decision_Date+In_PB_Days-1,BL$4)-MAX($F50,BL$3)+1)/BL$5)</f>
        <v>0</v>
      </c>
      <c r="BM50" s="47" t="n">
        <f aca="false">$E50*MAX(0,(MIN(In_Decision_Date+In_PB_Days-1,BM$4)-MAX($F50,BM$3)+1)/BM$5)</f>
        <v>0</v>
      </c>
      <c r="BN50" s="47" t="n">
        <f aca="false">$E50*MAX(0,(MIN(In_Decision_Date+In_PB_Days-1,BN$4)-MAX($F50,BN$3)+1)/BN$5)</f>
        <v>0</v>
      </c>
      <c r="BO50" s="47" t="n">
        <f aca="false">$E50*MAX(0,(MIN(In_Decision_Date+In_PB_Days-1,BO$4)-MAX($F50,BO$3)+1)/BO$5)</f>
        <v>0</v>
      </c>
      <c r="BP50" s="47" t="n">
        <f aca="false">$E50*MAX(0,(MIN(In_Decision_Date+In_PB_Days-1,BP$4)-MAX($F50,BP$3)+1)/BP$5)</f>
        <v>0</v>
      </c>
      <c r="BQ50" s="47" t="n">
        <f aca="false">$E50*MAX(0,(MIN(In_Decision_Date+In_PB_Days-1,BQ$4)-MAX($F50,BQ$3)+1)/BQ$5)</f>
        <v>0</v>
      </c>
      <c r="BR50" s="47" t="n">
        <f aca="false">$E50*MAX(0,(MIN(In_Decision_Date+In_PB_Days-1,BR$4)-MAX($F50,BR$3)+1)/BR$5)</f>
        <v>0</v>
      </c>
      <c r="BS50" s="47" t="n">
        <f aca="false">$E50*MAX(0,(MIN(In_Decision_Date+In_PB_Days-1,BS$4)-MAX($F50,BS$3)+1)/BS$5)</f>
        <v>0</v>
      </c>
      <c r="BT50" s="47" t="n">
        <f aca="false">$E50*MAX(0,(MIN(In_Decision_Date+In_PB_Days-1,BT$4)-MAX($F50,BT$3)+1)/BT$5)</f>
        <v>0</v>
      </c>
      <c r="BU50" s="47" t="n">
        <f aca="false">$E50*MAX(0,(MIN(In_Decision_Date+In_PB_Days-1,BU$4)-MAX($F50,BU$3)+1)/BU$5)</f>
        <v>0</v>
      </c>
      <c r="BV50" s="47" t="n">
        <f aca="false">$E50*MAX(0,(MIN(In_Decision_Date+In_PB_Days-1,BV$4)-MAX($F50,BV$3)+1)/BV$5)</f>
        <v>0</v>
      </c>
      <c r="BW50" s="47" t="n">
        <f aca="false">$E50*MAX(0,(MIN(In_Decision_Date+In_PB_Days-1,BW$4)-MAX($F50,BW$3)+1)/BW$5)</f>
        <v>0</v>
      </c>
      <c r="BX50" s="47" t="n">
        <f aca="false">$E50*MAX(0,(MIN(In_Decision_Date+In_PB_Days-1,BX$4)-MAX($F50,BX$3)+1)/BX$5)</f>
        <v>0</v>
      </c>
      <c r="BY50" s="47" t="n">
        <f aca="false">$E50*MAX(0,(MIN(In_Decision_Date+In_PB_Days-1,BY$4)-MAX($F50,BY$3)+1)/BY$5)</f>
        <v>0</v>
      </c>
      <c r="BZ50" s="47" t="n">
        <f aca="false">$E50*MAX(0,(MIN(In_Decision_Date+In_PB_Days-1,BZ$4)-MAX($F50,BZ$3)+1)/BZ$5)</f>
        <v>0</v>
      </c>
      <c r="CA50" s="47" t="n">
        <f aca="false">$E50*MAX(0,(MIN(In_Decision_Date+In_PB_Days-1,CA$4)-MAX($F50,CA$3)+1)/CA$5)</f>
        <v>0</v>
      </c>
      <c r="CB50" s="47" t="n">
        <f aca="false">$E50*MAX(0,(MIN(In_Decision_Date+In_PB_Days-1,CB$4)-MAX($F50,CB$3)+1)/CB$5)</f>
        <v>0</v>
      </c>
      <c r="CC50" s="47" t="n">
        <f aca="false">$E50*MAX(0,(MIN(In_Decision_Date+In_PB_Days-1,CC$4)-MAX($F50,CC$3)+1)/CC$5)</f>
        <v>0</v>
      </c>
      <c r="CD50" s="47" t="n">
        <f aca="false">$E50*MAX(0,(MIN(In_Decision_Date+In_PB_Days-1,CD$4)-MAX($F50,CD$3)+1)/CD$5)</f>
        <v>0</v>
      </c>
      <c r="CE50" s="47" t="n">
        <f aca="false">$E50*MAX(0,(MIN(In_Decision_Date+In_PB_Days-1,CE$4)-MAX($F50,CE$3)+1)/CE$5)</f>
        <v>0</v>
      </c>
      <c r="CF50" s="47" t="n">
        <f aca="false">$E50*MAX(0,(MIN(In_Decision_Date+In_PB_Days-1,CF$4)-MAX($F50,CF$3)+1)/CF$5)</f>
        <v>0</v>
      </c>
      <c r="CG50" s="47" t="n">
        <f aca="false">$E50*MAX(0,(MIN(In_Decision_Date+In_PB_Days-1,CG$4)-MAX($F50,CG$3)+1)/CG$5)</f>
        <v>0</v>
      </c>
      <c r="CH50" s="47" t="n">
        <f aca="false">$E50*MAX(0,(MIN(In_Decision_Date+In_PB_Days-1,CH$4)-MAX($F50,CH$3)+1)/CH$5)</f>
        <v>0</v>
      </c>
      <c r="CI50" s="47" t="n">
        <f aca="false">$E50*MAX(0,(MIN(In_Decision_Date+In_PB_Days-1,CI$4)-MAX($F50,CI$3)+1)/CI$5)</f>
        <v>0</v>
      </c>
      <c r="CJ50" s="47" t="n">
        <f aca="false">$E50*MAX(0,(MIN(In_Decision_Date+In_PB_Days-1,CJ$4)-MAX($F50,CJ$3)+1)/CJ$5)</f>
        <v>0</v>
      </c>
      <c r="CK50" s="47" t="n">
        <f aca="false">$E50*MAX(0,(MIN(In_Decision_Date+In_PB_Days-1,CK$4)-MAX($F50,CK$3)+1)/CK$5)</f>
        <v>0</v>
      </c>
      <c r="CL50" s="47" t="n">
        <f aca="false">$E50*MAX(0,(MIN(In_Decision_Date+In_PB_Days-1,CL$4)-MAX($F50,CL$3)+1)/CL$5)</f>
        <v>0</v>
      </c>
      <c r="CM50" s="47" t="n">
        <f aca="false">$E50*MAX(0,(MIN(In_Decision_Date+In_PB_Days-1,CM$4)-MAX($F50,CM$3)+1)/CM$5)</f>
        <v>0</v>
      </c>
      <c r="CN50" s="47" t="n">
        <f aca="false">$E50*MAX(0,(MIN(In_Decision_Date+In_PB_Days-1,CN$4)-MAX($F50,CN$3)+1)/CN$5)</f>
        <v>0</v>
      </c>
      <c r="CO50" s="47" t="n">
        <f aca="false">$E50*MAX(0,(MIN(In_Decision_Date+In_PB_Days-1,CO$4)-MAX($F50,CO$3)+1)/CO$5)</f>
        <v>0</v>
      </c>
      <c r="CP50" s="47" t="n">
        <f aca="false">$E50*MAX(0,(MIN(In_Decision_Date+In_PB_Days-1,CP$4)-MAX($F50,CP$3)+1)/CP$5)</f>
        <v>0</v>
      </c>
      <c r="CQ50" s="47" t="n">
        <f aca="false">$E50*MAX(0,(MIN(In_Decision_Date+In_PB_Days-1,CQ$4)-MAX($F50,CQ$3)+1)/CQ$5)</f>
        <v>0</v>
      </c>
      <c r="CR50" s="47" t="n">
        <f aca="false">$E50*MAX(0,(MIN(In_Decision_Date+In_PB_Days-1,CR$4)-MAX($F50,CR$3)+1)/CR$5)</f>
        <v>0</v>
      </c>
      <c r="CS50" s="47" t="n">
        <f aca="false">$E50*MAX(0,(MIN(In_Decision_Date+In_PB_Days-1,CS$4)-MAX($F50,CS$3)+1)/CS$5)</f>
        <v>0</v>
      </c>
      <c r="CT50" s="47" t="n">
        <f aca="false">$E50*MAX(0,(MIN(In_Decision_Date+In_PB_Days-1,CT$4)-MAX($F50,CT$3)+1)/CT$5)</f>
        <v>0</v>
      </c>
      <c r="CU50" s="47" t="n">
        <f aca="false">$E50*MAX(0,(MIN(In_Decision_Date+In_PB_Days-1,CU$4)-MAX($F50,CU$3)+1)/CU$5)</f>
        <v>0</v>
      </c>
      <c r="CV50" s="47" t="n">
        <f aca="false">$E50*MAX(0,(MIN(In_Decision_Date+In_PB_Days-1,CV$4)-MAX($F50,CV$3)+1)/CV$5)</f>
        <v>0</v>
      </c>
      <c r="CW50" s="47" t="n">
        <f aca="false">$E50*MAX(0,(MIN(In_Decision_Date+In_PB_Days-1,CW$4)-MAX($F50,CW$3)+1)/CW$5)</f>
        <v>0</v>
      </c>
      <c r="CX50" s="47" t="n">
        <f aca="false">$E50*MAX(0,(MIN(In_Decision_Date+In_PB_Days-1,CX$4)-MAX($F50,CX$3)+1)/CX$5)</f>
        <v>0</v>
      </c>
      <c r="CY50" s="47" t="n">
        <f aca="false">$E50*MAX(0,(MIN(In_Decision_Date+In_PB_Days-1,CY$4)-MAX($F50,CY$3)+1)/CY$5)</f>
        <v>0</v>
      </c>
      <c r="CZ50" s="47" t="n">
        <f aca="false">$E50*MAX(0,(MIN(In_Decision_Date+In_PB_Days-1,CZ$4)-MAX($F50,CZ$3)+1)/CZ$5)</f>
        <v>0</v>
      </c>
      <c r="DA50" s="47" t="n">
        <f aca="false">$E50*MAX(0,(MIN(In_Decision_Date+In_PB_Days-1,DA$4)-MAX($F50,DA$3)+1)/DA$5)</f>
        <v>0</v>
      </c>
      <c r="DB50" s="47" t="n">
        <f aca="false">$E50*MAX(0,(MIN(In_Decision_Date+In_PB_Days-1,DB$4)-MAX($F50,DB$3)+1)/DB$5)</f>
        <v>0</v>
      </c>
      <c r="DC50" s="47" t="n">
        <f aca="false">$E50*MAX(0,(MIN(In_Decision_Date+In_PB_Days-1,DC$4)-MAX($F50,DC$3)+1)/DC$5)</f>
        <v>0</v>
      </c>
      <c r="DD50" s="47" t="n">
        <f aca="false">$E50*MAX(0,(MIN(In_Decision_Date+In_PB_Days-1,DD$4)-MAX($F50,DD$3)+1)/DD$5)</f>
        <v>0</v>
      </c>
      <c r="DE50" s="47" t="n">
        <f aca="false">$E50*MAX(0,(MIN(In_Decision_Date+In_PB_Days-1,DE$4)-MAX($F50,DE$3)+1)/DE$5)</f>
        <v>0</v>
      </c>
      <c r="DF50" s="47" t="n">
        <f aca="false">$E50*MAX(0,(MIN(In_Decision_Date+In_PB_Days-1,DF$4)-MAX($F50,DF$3)+1)/DF$5)</f>
        <v>0</v>
      </c>
      <c r="DG50" s="47" t="n">
        <f aca="false">$E50*MAX(0,(MIN(In_Decision_Date+In_PB_Days-1,DG$4)-MAX($F50,DG$3)+1)/DG$5)</f>
        <v>0</v>
      </c>
      <c r="DH50" s="47" t="n">
        <f aca="false">$E50*MAX(0,(MIN(In_Decision_Date+In_PB_Days-1,DH$4)-MAX($F50,DH$3)+1)/DH$5)</f>
        <v>0</v>
      </c>
      <c r="DI50" s="47" t="n">
        <f aca="false">$E50*MAX(0,(MIN(In_Decision_Date+In_PB_Days-1,DI$4)-MAX($F50,DI$3)+1)/DI$5)</f>
        <v>0</v>
      </c>
      <c r="DJ50" s="47" t="n">
        <f aca="false">$E50*MAX(0,(MIN(In_Decision_Date+In_PB_Days-1,DJ$4)-MAX($F50,DJ$3)+1)/DJ$5)</f>
        <v>0</v>
      </c>
      <c r="DK50" s="47" t="n">
        <f aca="false">$E50*MAX(0,(MIN(In_Decision_Date+In_PB_Days-1,DK$4)-MAX($F50,DK$3)+1)/DK$5)</f>
        <v>0</v>
      </c>
      <c r="DL50" s="47" t="n">
        <f aca="false">$E50*MAX(0,(MIN(In_Decision_Date+In_PB_Days-1,DL$4)-MAX($F50,DL$3)+1)/DL$5)</f>
        <v>0</v>
      </c>
      <c r="DM50" s="47" t="n">
        <f aca="false">$E50*MAX(0,(MIN(In_Decision_Date+In_PB_Days-1,DM$4)-MAX($F50,DM$3)+1)/DM$5)</f>
        <v>0</v>
      </c>
      <c r="DN50" s="47" t="n">
        <f aca="false">$E50*MAX(0,(MIN(In_Decision_Date+In_PB_Days-1,DN$4)-MAX($F50,DN$3)+1)/DN$5)</f>
        <v>0</v>
      </c>
      <c r="DO50" s="47" t="n">
        <f aca="false">$E50*MAX(0,(MIN(In_Decision_Date+In_PB_Days-1,DO$4)-MAX($F50,DO$3)+1)/DO$5)</f>
        <v>0</v>
      </c>
      <c r="DP50" s="47" t="n">
        <f aca="false">$E50*MAX(0,(MIN(In_Decision_Date+In_PB_Days-1,DP$4)-MAX($F50,DP$3)+1)/DP$5)</f>
        <v>0</v>
      </c>
      <c r="DQ50" s="47" t="n">
        <f aca="false">$E50*MAX(0,(MIN(In_Decision_Date+In_PB_Days-1,DQ$4)-MAX($F50,DQ$3)+1)/DQ$5)</f>
        <v>0</v>
      </c>
      <c r="DR50" s="47" t="n">
        <f aca="false">$E50*MAX(0,(MIN(In_Decision_Date+In_PB_Days-1,DR$4)-MAX($F50,DR$3)+1)/DR$5)</f>
        <v>0</v>
      </c>
      <c r="DS50" s="47" t="n">
        <f aca="false">$E50*MAX(0,(MIN(In_Decision_Date+In_PB_Days-1,DS$4)-MAX($F50,DS$3)+1)/DS$5)</f>
        <v>0</v>
      </c>
      <c r="DT50" s="47" t="n">
        <f aca="false">$E50*MAX(0,(MIN(In_Decision_Date+In_PB_Days-1,DT$4)-MAX($F50,DT$3)+1)/DT$5)</f>
        <v>0</v>
      </c>
      <c r="DU50" s="47" t="n">
        <f aca="false">$E50*MAX(0,(MIN(In_Decision_Date+In_PB_Days-1,DU$4)-MAX($F50,DU$3)+1)/DU$5)</f>
        <v>0</v>
      </c>
      <c r="DV50" s="47" t="n">
        <f aca="false">$E50*MAX(0,(MIN(In_Decision_Date+In_PB_Days-1,DV$4)-MAX($F50,DV$3)+1)/DV$5)</f>
        <v>0</v>
      </c>
      <c r="DW50" s="47" t="n">
        <f aca="false">$E50*MAX(0,(MIN(In_Decision_Date+In_PB_Days-1,DW$4)-MAX($F50,DW$3)+1)/DW$5)</f>
        <v>0</v>
      </c>
      <c r="DX50" s="47" t="n">
        <f aca="false">$E50*MAX(0,(MIN(In_Decision_Date+In_PB_Days-1,DX$4)-MAX($F50,DX$3)+1)/DX$5)</f>
        <v>0</v>
      </c>
      <c r="DY50" s="47" t="n">
        <f aca="false">$E50*MAX(0,(MIN(In_Decision_Date+In_PB_Days-1,DY$4)-MAX($F50,DY$3)+1)/DY$5)</f>
        <v>0</v>
      </c>
      <c r="DZ50" s="47" t="n">
        <f aca="false">$E50*MAX(0,(MIN(In_Decision_Date+In_PB_Days-1,DZ$4)-MAX($F50,DZ$3)+1)/DZ$5)</f>
        <v>0</v>
      </c>
      <c r="EA50" s="47" t="n">
        <f aca="false">$E50*MAX(0,(MIN(In_Decision_Date+In_PB_Days-1,EA$4)-MAX($F50,EA$3)+1)/EA$5)</f>
        <v>0</v>
      </c>
      <c r="EB50" s="47" t="n">
        <f aca="false">$E50*MAX(0,(MIN(In_Decision_Date+In_PB_Days-1,EB$4)-MAX($F50,EB$3)+1)/EB$5)</f>
        <v>0</v>
      </c>
      <c r="EC50" s="47" t="n">
        <f aca="false">$E50*MAX(0,(MIN(In_Decision_Date+In_PB_Days-1,EC$4)-MAX($F50,EC$3)+1)/EC$5)</f>
        <v>0</v>
      </c>
      <c r="ED50" s="47" t="n">
        <f aca="false">$E50*MAX(0,(MIN(In_Decision_Date+In_PB_Days-1,ED$4)-MAX($F50,ED$3)+1)/ED$5)</f>
        <v>0</v>
      </c>
      <c r="EE50" s="47" t="n">
        <f aca="false">$E50*MAX(0,(MIN(In_Decision_Date+In_PB_Days-1,EE$4)-MAX($F50,EE$3)+1)/EE$5)</f>
        <v>0</v>
      </c>
      <c r="EF50" s="47" t="n">
        <f aca="false">$E50*MAX(0,(MIN(In_Decision_Date+In_PB_Days-1,EF$4)-MAX($F50,EF$3)+1)/EF$5)</f>
        <v>0</v>
      </c>
      <c r="EG50" s="47" t="n">
        <f aca="false">$E50*MAX(0,(MIN(In_Decision_Date+In_PB_Days-1,EG$4)-MAX($F50,EG$3)+1)/EG$5)</f>
        <v>0</v>
      </c>
      <c r="EH50" s="47" t="n">
        <f aca="false">$E50*MAX(0,(MIN(In_Decision_Date+In_PB_Days-1,EH$4)-MAX($F50,EH$3)+1)/EH$5)</f>
        <v>0</v>
      </c>
      <c r="EI50" s="47" t="n">
        <f aca="false">$E50*MAX(0,(MIN(In_Decision_Date+In_PB_Days-1,EI$4)-MAX($F50,EI$3)+1)/EI$5)</f>
        <v>0</v>
      </c>
      <c r="EJ50" s="47" t="n">
        <f aca="false">$E50*MAX(0,(MIN(In_Decision_Date+In_PB_Days-1,EJ$4)-MAX($F50,EJ$3)+1)/EJ$5)</f>
        <v>0</v>
      </c>
      <c r="EK50" s="47" t="n">
        <f aca="false">$E50*MAX(0,(MIN(In_Decision_Date+In_PB_Days-1,EK$4)-MAX($F50,EK$3)+1)/EK$5)</f>
        <v>0</v>
      </c>
      <c r="EL50" s="47" t="n">
        <f aca="false">$E50*MAX(0,(MIN(In_Decision_Date+In_PB_Days-1,EL$4)-MAX($F50,EL$3)+1)/EL$5)</f>
        <v>0</v>
      </c>
      <c r="EM50" s="47" t="n">
        <f aca="false">$E50*MAX(0,(MIN(In_Decision_Date+In_PB_Days-1,EM$4)-MAX($F50,EM$3)+1)/EM$5)</f>
        <v>0</v>
      </c>
      <c r="EN50" s="47" t="n">
        <f aca="false">$E50*MAX(0,(MIN(In_Decision_Date+In_PB_Days-1,EN$4)-MAX($F50,EN$3)+1)/EN$5)</f>
        <v>0</v>
      </c>
      <c r="EO50" s="47" t="n">
        <f aca="false">$E50*MAX(0,(MIN(In_Decision_Date+In_PB_Days-1,EO$4)-MAX($F50,EO$3)+1)/EO$5)</f>
        <v>0</v>
      </c>
    </row>
    <row r="51" customFormat="false" ht="15" hidden="false" customHeight="false" outlineLevel="0" collapsed="false">
      <c r="C51" s="0" t="s">
        <v>422</v>
      </c>
      <c r="D51" s="11" t="s">
        <v>33</v>
      </c>
      <c r="E51" s="47" t="n">
        <f aca="false">In_PB_Rate*$E37*$E48*Thousand/In_FX</f>
        <v>2216.43835616438</v>
      </c>
      <c r="F51" s="45" t="n">
        <f aca="false">In_Decision_Date+In_PB_Days</f>
        <v>46433</v>
      </c>
      <c r="J51" s="47" t="n">
        <f aca="false">$E51*MAX(0,(MIN(In_PB_Release,J$4)-MAX($F51,J$3)+1)/J$5)</f>
        <v>0</v>
      </c>
      <c r="K51" s="47" t="n">
        <f aca="false">$E51*MAX(0,(MIN(In_PB_Release,K$4)-MAX($F51,K$3)+1)/K$5)</f>
        <v>1108.21917808219</v>
      </c>
      <c r="L51" s="47" t="n">
        <f aca="false">$E51*MAX(0,(MIN(In_PB_Release,L$4)-MAX($F51,L$3)+1)/L$5)</f>
        <v>2216.43835616438</v>
      </c>
      <c r="M51" s="47" t="n">
        <f aca="false">$E51*MAX(0,(MIN(In_PB_Release,M$4)-MAX($F51,M$3)+1)/M$5)</f>
        <v>2216.43835616438</v>
      </c>
      <c r="N51" s="47" t="n">
        <f aca="false">$E51*MAX(0,(MIN(In_PB_Release,N$4)-MAX($F51,N$3)+1)/N$5)</f>
        <v>2216.43835616438</v>
      </c>
      <c r="O51" s="47" t="n">
        <f aca="false">$E51*MAX(0,(MIN(In_PB_Release,O$4)-MAX($F51,O$3)+1)/O$5)</f>
        <v>2216.43835616438</v>
      </c>
      <c r="P51" s="47" t="n">
        <f aca="false">$E51*MAX(0,(MIN(In_PB_Release,P$4)-MAX($F51,P$3)+1)/P$5)</f>
        <v>2216.43835616438</v>
      </c>
      <c r="Q51" s="47" t="n">
        <f aca="false">$E51*MAX(0,(MIN(In_PB_Release,Q$4)-MAX($F51,Q$3)+1)/Q$5)</f>
        <v>2216.43835616438</v>
      </c>
      <c r="R51" s="47" t="n">
        <f aca="false">$E51*MAX(0,(MIN(In_PB_Release,R$4)-MAX($F51,R$3)+1)/R$5)</f>
        <v>2216.43835616438</v>
      </c>
      <c r="S51" s="47" t="n">
        <f aca="false">$E51*MAX(0,(MIN(In_PB_Release,S$4)-MAX($F51,S$3)+1)/S$5)</f>
        <v>2216.43835616438</v>
      </c>
      <c r="T51" s="47" t="n">
        <f aca="false">$E51*MAX(0,(MIN(In_PB_Release,T$4)-MAX($F51,T$3)+1)/T$5)</f>
        <v>2216.43835616438</v>
      </c>
      <c r="U51" s="47" t="n">
        <f aca="false">$E51*MAX(0,(MIN(In_PB_Release,U$4)-MAX($F51,U$3)+1)/U$5)</f>
        <v>2216.43835616438</v>
      </c>
      <c r="V51" s="47" t="n">
        <f aca="false">$E51*MAX(0,(MIN(In_PB_Release,V$4)-MAX($F51,V$3)+1)/V$5)</f>
        <v>2216.43835616438</v>
      </c>
      <c r="W51" s="47" t="n">
        <f aca="false">$E51*MAX(0,(MIN(In_PB_Release,W$4)-MAX($F51,W$3)+1)/W$5)</f>
        <v>2216.43835616438</v>
      </c>
      <c r="X51" s="47" t="n">
        <f aca="false">$E51*MAX(0,(MIN(In_PB_Release,X$4)-MAX($F51,X$3)+1)/X$5)</f>
        <v>2216.43835616438</v>
      </c>
      <c r="Y51" s="47" t="n">
        <f aca="false">$E51*MAX(0,(MIN(In_PB_Release,Y$4)-MAX($F51,Y$3)+1)/Y$5)</f>
        <v>2216.43835616438</v>
      </c>
      <c r="Z51" s="47" t="n">
        <f aca="false">$E51*MAX(0,(MIN(In_PB_Release,Z$4)-MAX($F51,Z$3)+1)/Z$5)</f>
        <v>2216.43835616438</v>
      </c>
      <c r="AA51" s="47" t="n">
        <f aca="false">$E51*MAX(0,(MIN(In_PB_Release,AA$4)-MAX($F51,AA$3)+1)/AA$5)</f>
        <v>2216.43835616438</v>
      </c>
      <c r="AB51" s="47" t="n">
        <f aca="false">$E51*MAX(0,(MIN(In_PB_Release,AB$4)-MAX($F51,AB$3)+1)/AB$5)</f>
        <v>2216.43835616438</v>
      </c>
      <c r="AC51" s="47" t="n">
        <f aca="false">$E51*MAX(0,(MIN(In_PB_Release,AC$4)-MAX($F51,AC$3)+1)/AC$5)</f>
        <v>2216.43835616438</v>
      </c>
      <c r="AD51" s="47" t="n">
        <f aca="false">$E51*MAX(0,(MIN(In_PB_Release,AD$4)-MAX($F51,AD$3)+1)/AD$5)</f>
        <v>2216.43835616438</v>
      </c>
      <c r="AE51" s="47" t="n">
        <f aca="false">$E51*MAX(0,(MIN(In_PB_Release,AE$4)-MAX($F51,AE$3)+1)/AE$5)</f>
        <v>2216.43835616438</v>
      </c>
      <c r="AF51" s="47" t="n">
        <f aca="false">$E51*MAX(0,(MIN(In_PB_Release,AF$4)-MAX($F51,AF$3)+1)/AF$5)</f>
        <v>2216.43835616438</v>
      </c>
      <c r="AG51" s="47" t="n">
        <f aca="false">$E51*MAX(0,(MIN(In_PB_Release,AG$4)-MAX($F51,AG$3)+1)/AG$5)</f>
        <v>2216.43835616438</v>
      </c>
      <c r="AH51" s="47" t="n">
        <f aca="false">$E51*MAX(0,(MIN(In_PB_Release,AH$4)-MAX($F51,AH$3)+1)/AH$5)</f>
        <v>2216.43835616438</v>
      </c>
      <c r="AI51" s="47" t="n">
        <f aca="false">$E51*MAX(0,(MIN(In_PB_Release,AI$4)-MAX($F51,AI$3)+1)/AI$5)</f>
        <v>2216.43835616438</v>
      </c>
      <c r="AJ51" s="47" t="n">
        <f aca="false">$E51*MAX(0,(MIN(In_PB_Release,AJ$4)-MAX($F51,AJ$3)+1)/AJ$5)</f>
        <v>0</v>
      </c>
      <c r="AK51" s="47" t="n">
        <f aca="false">$E51*MAX(0,(MIN(In_PB_Release,AK$4)-MAX($F51,AK$3)+1)/AK$5)</f>
        <v>0</v>
      </c>
      <c r="AL51" s="47" t="n">
        <f aca="false">$E51*MAX(0,(MIN(In_PB_Release,AL$4)-MAX($F51,AL$3)+1)/AL$5)</f>
        <v>0</v>
      </c>
      <c r="AM51" s="47" t="n">
        <f aca="false">$E51*MAX(0,(MIN(In_PB_Release,AM$4)-MAX($F51,AM$3)+1)/AM$5)</f>
        <v>0</v>
      </c>
      <c r="AN51" s="47" t="n">
        <f aca="false">$E51*MAX(0,(MIN(In_PB_Release,AN$4)-MAX($F51,AN$3)+1)/AN$5)</f>
        <v>0</v>
      </c>
      <c r="AO51" s="47" t="n">
        <f aca="false">$E51*MAX(0,(MIN(In_PB_Release,AO$4)-MAX($F51,AO$3)+1)/AO$5)</f>
        <v>0</v>
      </c>
      <c r="AP51" s="47" t="n">
        <f aca="false">$E51*MAX(0,(MIN(In_PB_Release,AP$4)-MAX($F51,AP$3)+1)/AP$5)</f>
        <v>0</v>
      </c>
      <c r="AQ51" s="47" t="n">
        <f aca="false">$E51*MAX(0,(MIN(In_PB_Release,AQ$4)-MAX($F51,AQ$3)+1)/AQ$5)</f>
        <v>0</v>
      </c>
      <c r="AR51" s="47" t="n">
        <f aca="false">$E51*MAX(0,(MIN(In_PB_Release,AR$4)-MAX($F51,AR$3)+1)/AR$5)</f>
        <v>0</v>
      </c>
      <c r="AS51" s="47" t="n">
        <f aca="false">$E51*MAX(0,(MIN(In_PB_Release,AS$4)-MAX($F51,AS$3)+1)/AS$5)</f>
        <v>0</v>
      </c>
      <c r="AT51" s="47" t="n">
        <f aca="false">$E51*MAX(0,(MIN(In_PB_Release,AT$4)-MAX($F51,AT$3)+1)/AT$5)</f>
        <v>0</v>
      </c>
      <c r="AU51" s="47" t="n">
        <f aca="false">$E51*MAX(0,(MIN(In_PB_Release,AU$4)-MAX($F51,AU$3)+1)/AU$5)</f>
        <v>0</v>
      </c>
      <c r="AV51" s="47" t="n">
        <f aca="false">$E51*MAX(0,(MIN(In_PB_Release,AV$4)-MAX($F51,AV$3)+1)/AV$5)</f>
        <v>0</v>
      </c>
      <c r="AW51" s="47" t="n">
        <f aca="false">$E51*MAX(0,(MIN(In_PB_Release,AW$4)-MAX($F51,AW$3)+1)/AW$5)</f>
        <v>0</v>
      </c>
      <c r="AX51" s="47" t="n">
        <f aca="false">$E51*MAX(0,(MIN(In_PB_Release,AX$4)-MAX($F51,AX$3)+1)/AX$5)</f>
        <v>0</v>
      </c>
      <c r="AY51" s="47" t="n">
        <f aca="false">$E51*MAX(0,(MIN(In_PB_Release,AY$4)-MAX($F51,AY$3)+1)/AY$5)</f>
        <v>0</v>
      </c>
      <c r="AZ51" s="47" t="n">
        <f aca="false">$E51*MAX(0,(MIN(In_PB_Release,AZ$4)-MAX($F51,AZ$3)+1)/AZ$5)</f>
        <v>0</v>
      </c>
      <c r="BA51" s="47" t="n">
        <f aca="false">$E51*MAX(0,(MIN(In_PB_Release,BA$4)-MAX($F51,BA$3)+1)/BA$5)</f>
        <v>0</v>
      </c>
      <c r="BB51" s="47" t="n">
        <f aca="false">$E51*MAX(0,(MIN(In_PB_Release,BB$4)-MAX($F51,BB$3)+1)/BB$5)</f>
        <v>0</v>
      </c>
      <c r="BC51" s="47" t="n">
        <f aca="false">$E51*MAX(0,(MIN(In_PB_Release,BC$4)-MAX($F51,BC$3)+1)/BC$5)</f>
        <v>0</v>
      </c>
      <c r="BD51" s="47" t="n">
        <f aca="false">$E51*MAX(0,(MIN(In_PB_Release,BD$4)-MAX($F51,BD$3)+1)/BD$5)</f>
        <v>0</v>
      </c>
      <c r="BE51" s="47" t="n">
        <f aca="false">$E51*MAX(0,(MIN(In_PB_Release,BE$4)-MAX($F51,BE$3)+1)/BE$5)</f>
        <v>0</v>
      </c>
      <c r="BF51" s="47" t="n">
        <f aca="false">$E51*MAX(0,(MIN(In_PB_Release,BF$4)-MAX($F51,BF$3)+1)/BF$5)</f>
        <v>0</v>
      </c>
      <c r="BG51" s="47" t="n">
        <f aca="false">$E51*MAX(0,(MIN(In_PB_Release,BG$4)-MAX($F51,BG$3)+1)/BG$5)</f>
        <v>0</v>
      </c>
      <c r="BH51" s="47" t="n">
        <f aca="false">$E51*MAX(0,(MIN(In_PB_Release,BH$4)-MAX($F51,BH$3)+1)/BH$5)</f>
        <v>0</v>
      </c>
      <c r="BI51" s="47" t="n">
        <f aca="false">$E51*MAX(0,(MIN(In_PB_Release,BI$4)-MAX($F51,BI$3)+1)/BI$5)</f>
        <v>0</v>
      </c>
      <c r="BJ51" s="47" t="n">
        <f aca="false">$E51*MAX(0,(MIN(In_PB_Release,BJ$4)-MAX($F51,BJ$3)+1)/BJ$5)</f>
        <v>0</v>
      </c>
      <c r="BK51" s="47" t="n">
        <f aca="false">$E51*MAX(0,(MIN(In_PB_Release,BK$4)-MAX($F51,BK$3)+1)/BK$5)</f>
        <v>0</v>
      </c>
      <c r="BL51" s="47" t="n">
        <f aca="false">$E51*MAX(0,(MIN(In_PB_Release,BL$4)-MAX($F51,BL$3)+1)/BL$5)</f>
        <v>0</v>
      </c>
      <c r="BM51" s="47" t="n">
        <f aca="false">$E51*MAX(0,(MIN(In_PB_Release,BM$4)-MAX($F51,BM$3)+1)/BM$5)</f>
        <v>0</v>
      </c>
      <c r="BN51" s="47" t="n">
        <f aca="false">$E51*MAX(0,(MIN(In_PB_Release,BN$4)-MAX($F51,BN$3)+1)/BN$5)</f>
        <v>0</v>
      </c>
      <c r="BO51" s="47" t="n">
        <f aca="false">$E51*MAX(0,(MIN(In_PB_Release,BO$4)-MAX($F51,BO$3)+1)/BO$5)</f>
        <v>0</v>
      </c>
      <c r="BP51" s="47" t="n">
        <f aca="false">$E51*MAX(0,(MIN(In_PB_Release,BP$4)-MAX($F51,BP$3)+1)/BP$5)</f>
        <v>0</v>
      </c>
      <c r="BQ51" s="47" t="n">
        <f aca="false">$E51*MAX(0,(MIN(In_PB_Release,BQ$4)-MAX($F51,BQ$3)+1)/BQ$5)</f>
        <v>0</v>
      </c>
      <c r="BR51" s="47" t="n">
        <f aca="false">$E51*MAX(0,(MIN(In_PB_Release,BR$4)-MAX($F51,BR$3)+1)/BR$5)</f>
        <v>0</v>
      </c>
      <c r="BS51" s="47" t="n">
        <f aca="false">$E51*MAX(0,(MIN(In_PB_Release,BS$4)-MAX($F51,BS$3)+1)/BS$5)</f>
        <v>0</v>
      </c>
      <c r="BT51" s="47" t="n">
        <f aca="false">$E51*MAX(0,(MIN(In_PB_Release,BT$4)-MAX($F51,BT$3)+1)/BT$5)</f>
        <v>0</v>
      </c>
      <c r="BU51" s="47" t="n">
        <f aca="false">$E51*MAX(0,(MIN(In_PB_Release,BU$4)-MAX($F51,BU$3)+1)/BU$5)</f>
        <v>0</v>
      </c>
      <c r="BV51" s="47" t="n">
        <f aca="false">$E51*MAX(0,(MIN(In_PB_Release,BV$4)-MAX($F51,BV$3)+1)/BV$5)</f>
        <v>0</v>
      </c>
      <c r="BW51" s="47" t="n">
        <f aca="false">$E51*MAX(0,(MIN(In_PB_Release,BW$4)-MAX($F51,BW$3)+1)/BW$5)</f>
        <v>0</v>
      </c>
      <c r="BX51" s="47" t="n">
        <f aca="false">$E51*MAX(0,(MIN(In_PB_Release,BX$4)-MAX($F51,BX$3)+1)/BX$5)</f>
        <v>0</v>
      </c>
      <c r="BY51" s="47" t="n">
        <f aca="false">$E51*MAX(0,(MIN(In_PB_Release,BY$4)-MAX($F51,BY$3)+1)/BY$5)</f>
        <v>0</v>
      </c>
      <c r="BZ51" s="47" t="n">
        <f aca="false">$E51*MAX(0,(MIN(In_PB_Release,BZ$4)-MAX($F51,BZ$3)+1)/BZ$5)</f>
        <v>0</v>
      </c>
      <c r="CA51" s="47" t="n">
        <f aca="false">$E51*MAX(0,(MIN(In_PB_Release,CA$4)-MAX($F51,CA$3)+1)/CA$5)</f>
        <v>0</v>
      </c>
      <c r="CB51" s="47" t="n">
        <f aca="false">$E51*MAX(0,(MIN(In_PB_Release,CB$4)-MAX($F51,CB$3)+1)/CB$5)</f>
        <v>0</v>
      </c>
      <c r="CC51" s="47" t="n">
        <f aca="false">$E51*MAX(0,(MIN(In_PB_Release,CC$4)-MAX($F51,CC$3)+1)/CC$5)</f>
        <v>0</v>
      </c>
      <c r="CD51" s="47" t="n">
        <f aca="false">$E51*MAX(0,(MIN(In_PB_Release,CD$4)-MAX($F51,CD$3)+1)/CD$5)</f>
        <v>0</v>
      </c>
      <c r="CE51" s="47" t="n">
        <f aca="false">$E51*MAX(0,(MIN(In_PB_Release,CE$4)-MAX($F51,CE$3)+1)/CE$5)</f>
        <v>0</v>
      </c>
      <c r="CF51" s="47" t="n">
        <f aca="false">$E51*MAX(0,(MIN(In_PB_Release,CF$4)-MAX($F51,CF$3)+1)/CF$5)</f>
        <v>0</v>
      </c>
      <c r="CG51" s="47" t="n">
        <f aca="false">$E51*MAX(0,(MIN(In_PB_Release,CG$4)-MAX($F51,CG$3)+1)/CG$5)</f>
        <v>0</v>
      </c>
      <c r="CH51" s="47" t="n">
        <f aca="false">$E51*MAX(0,(MIN(In_PB_Release,CH$4)-MAX($F51,CH$3)+1)/CH$5)</f>
        <v>0</v>
      </c>
      <c r="CI51" s="47" t="n">
        <f aca="false">$E51*MAX(0,(MIN(In_PB_Release,CI$4)-MAX($F51,CI$3)+1)/CI$5)</f>
        <v>0</v>
      </c>
      <c r="CJ51" s="47" t="n">
        <f aca="false">$E51*MAX(0,(MIN(In_PB_Release,CJ$4)-MAX($F51,CJ$3)+1)/CJ$5)</f>
        <v>0</v>
      </c>
      <c r="CK51" s="47" t="n">
        <f aca="false">$E51*MAX(0,(MIN(In_PB_Release,CK$4)-MAX($F51,CK$3)+1)/CK$5)</f>
        <v>0</v>
      </c>
      <c r="CL51" s="47" t="n">
        <f aca="false">$E51*MAX(0,(MIN(In_PB_Release,CL$4)-MAX($F51,CL$3)+1)/CL$5)</f>
        <v>0</v>
      </c>
      <c r="CM51" s="47" t="n">
        <f aca="false">$E51*MAX(0,(MIN(In_PB_Release,CM$4)-MAX($F51,CM$3)+1)/CM$5)</f>
        <v>0</v>
      </c>
      <c r="CN51" s="47" t="n">
        <f aca="false">$E51*MAX(0,(MIN(In_PB_Release,CN$4)-MAX($F51,CN$3)+1)/CN$5)</f>
        <v>0</v>
      </c>
      <c r="CO51" s="47" t="n">
        <f aca="false">$E51*MAX(0,(MIN(In_PB_Release,CO$4)-MAX($F51,CO$3)+1)/CO$5)</f>
        <v>0</v>
      </c>
      <c r="CP51" s="47" t="n">
        <f aca="false">$E51*MAX(0,(MIN(In_PB_Release,CP$4)-MAX($F51,CP$3)+1)/CP$5)</f>
        <v>0</v>
      </c>
      <c r="CQ51" s="47" t="n">
        <f aca="false">$E51*MAX(0,(MIN(In_PB_Release,CQ$4)-MAX($F51,CQ$3)+1)/CQ$5)</f>
        <v>0</v>
      </c>
      <c r="CR51" s="47" t="n">
        <f aca="false">$E51*MAX(0,(MIN(In_PB_Release,CR$4)-MAX($F51,CR$3)+1)/CR$5)</f>
        <v>0</v>
      </c>
      <c r="CS51" s="47" t="n">
        <f aca="false">$E51*MAX(0,(MIN(In_PB_Release,CS$4)-MAX($F51,CS$3)+1)/CS$5)</f>
        <v>0</v>
      </c>
      <c r="CT51" s="47" t="n">
        <f aca="false">$E51*MAX(0,(MIN(In_PB_Release,CT$4)-MAX($F51,CT$3)+1)/CT$5)</f>
        <v>0</v>
      </c>
      <c r="CU51" s="47" t="n">
        <f aca="false">$E51*MAX(0,(MIN(In_PB_Release,CU$4)-MAX($F51,CU$3)+1)/CU$5)</f>
        <v>0</v>
      </c>
      <c r="CV51" s="47" t="n">
        <f aca="false">$E51*MAX(0,(MIN(In_PB_Release,CV$4)-MAX($F51,CV$3)+1)/CV$5)</f>
        <v>0</v>
      </c>
      <c r="CW51" s="47" t="n">
        <f aca="false">$E51*MAX(0,(MIN(In_PB_Release,CW$4)-MAX($F51,CW$3)+1)/CW$5)</f>
        <v>0</v>
      </c>
      <c r="CX51" s="47" t="n">
        <f aca="false">$E51*MAX(0,(MIN(In_PB_Release,CX$4)-MAX($F51,CX$3)+1)/CX$5)</f>
        <v>0</v>
      </c>
      <c r="CY51" s="47" t="n">
        <f aca="false">$E51*MAX(0,(MIN(In_PB_Release,CY$4)-MAX($F51,CY$3)+1)/CY$5)</f>
        <v>0</v>
      </c>
      <c r="CZ51" s="47" t="n">
        <f aca="false">$E51*MAX(0,(MIN(In_PB_Release,CZ$4)-MAX($F51,CZ$3)+1)/CZ$5)</f>
        <v>0</v>
      </c>
      <c r="DA51" s="47" t="n">
        <f aca="false">$E51*MAX(0,(MIN(In_PB_Release,DA$4)-MAX($F51,DA$3)+1)/DA$5)</f>
        <v>0</v>
      </c>
      <c r="DB51" s="47" t="n">
        <f aca="false">$E51*MAX(0,(MIN(In_PB_Release,DB$4)-MAX($F51,DB$3)+1)/DB$5)</f>
        <v>0</v>
      </c>
      <c r="DC51" s="47" t="n">
        <f aca="false">$E51*MAX(0,(MIN(In_PB_Release,DC$4)-MAX($F51,DC$3)+1)/DC$5)</f>
        <v>0</v>
      </c>
      <c r="DD51" s="47" t="n">
        <f aca="false">$E51*MAX(0,(MIN(In_PB_Release,DD$4)-MAX($F51,DD$3)+1)/DD$5)</f>
        <v>0</v>
      </c>
      <c r="DE51" s="47" t="n">
        <f aca="false">$E51*MAX(0,(MIN(In_PB_Release,DE$4)-MAX($F51,DE$3)+1)/DE$5)</f>
        <v>0</v>
      </c>
      <c r="DF51" s="47" t="n">
        <f aca="false">$E51*MAX(0,(MIN(In_PB_Release,DF$4)-MAX($F51,DF$3)+1)/DF$5)</f>
        <v>0</v>
      </c>
      <c r="DG51" s="47" t="n">
        <f aca="false">$E51*MAX(0,(MIN(In_PB_Release,DG$4)-MAX($F51,DG$3)+1)/DG$5)</f>
        <v>0</v>
      </c>
      <c r="DH51" s="47" t="n">
        <f aca="false">$E51*MAX(0,(MIN(In_PB_Release,DH$4)-MAX($F51,DH$3)+1)/DH$5)</f>
        <v>0</v>
      </c>
      <c r="DI51" s="47" t="n">
        <f aca="false">$E51*MAX(0,(MIN(In_PB_Release,DI$4)-MAX($F51,DI$3)+1)/DI$5)</f>
        <v>0</v>
      </c>
      <c r="DJ51" s="47" t="n">
        <f aca="false">$E51*MAX(0,(MIN(In_PB_Release,DJ$4)-MAX($F51,DJ$3)+1)/DJ$5)</f>
        <v>0</v>
      </c>
      <c r="DK51" s="47" t="n">
        <f aca="false">$E51*MAX(0,(MIN(In_PB_Release,DK$4)-MAX($F51,DK$3)+1)/DK$5)</f>
        <v>0</v>
      </c>
      <c r="DL51" s="47" t="n">
        <f aca="false">$E51*MAX(0,(MIN(In_PB_Release,DL$4)-MAX($F51,DL$3)+1)/DL$5)</f>
        <v>0</v>
      </c>
      <c r="DM51" s="47" t="n">
        <f aca="false">$E51*MAX(0,(MIN(In_PB_Release,DM$4)-MAX($F51,DM$3)+1)/DM$5)</f>
        <v>0</v>
      </c>
      <c r="DN51" s="47" t="n">
        <f aca="false">$E51*MAX(0,(MIN(In_PB_Release,DN$4)-MAX($F51,DN$3)+1)/DN$5)</f>
        <v>0</v>
      </c>
      <c r="DO51" s="47" t="n">
        <f aca="false">$E51*MAX(0,(MIN(In_PB_Release,DO$4)-MAX($F51,DO$3)+1)/DO$5)</f>
        <v>0</v>
      </c>
      <c r="DP51" s="47" t="n">
        <f aca="false">$E51*MAX(0,(MIN(In_PB_Release,DP$4)-MAX($F51,DP$3)+1)/DP$5)</f>
        <v>0</v>
      </c>
      <c r="DQ51" s="47" t="n">
        <f aca="false">$E51*MAX(0,(MIN(In_PB_Release,DQ$4)-MAX($F51,DQ$3)+1)/DQ$5)</f>
        <v>0</v>
      </c>
      <c r="DR51" s="47" t="n">
        <f aca="false">$E51*MAX(0,(MIN(In_PB_Release,DR$4)-MAX($F51,DR$3)+1)/DR$5)</f>
        <v>0</v>
      </c>
      <c r="DS51" s="47" t="n">
        <f aca="false">$E51*MAX(0,(MIN(In_PB_Release,DS$4)-MAX($F51,DS$3)+1)/DS$5)</f>
        <v>0</v>
      </c>
      <c r="DT51" s="47" t="n">
        <f aca="false">$E51*MAX(0,(MIN(In_PB_Release,DT$4)-MAX($F51,DT$3)+1)/DT$5)</f>
        <v>0</v>
      </c>
      <c r="DU51" s="47" t="n">
        <f aca="false">$E51*MAX(0,(MIN(In_PB_Release,DU$4)-MAX($F51,DU$3)+1)/DU$5)</f>
        <v>0</v>
      </c>
      <c r="DV51" s="47" t="n">
        <f aca="false">$E51*MAX(0,(MIN(In_PB_Release,DV$4)-MAX($F51,DV$3)+1)/DV$5)</f>
        <v>0</v>
      </c>
      <c r="DW51" s="47" t="n">
        <f aca="false">$E51*MAX(0,(MIN(In_PB_Release,DW$4)-MAX($F51,DW$3)+1)/DW$5)</f>
        <v>0</v>
      </c>
      <c r="DX51" s="47" t="n">
        <f aca="false">$E51*MAX(0,(MIN(In_PB_Release,DX$4)-MAX($F51,DX$3)+1)/DX$5)</f>
        <v>0</v>
      </c>
      <c r="DY51" s="47" t="n">
        <f aca="false">$E51*MAX(0,(MIN(In_PB_Release,DY$4)-MAX($F51,DY$3)+1)/DY$5)</f>
        <v>0</v>
      </c>
      <c r="DZ51" s="47" t="n">
        <f aca="false">$E51*MAX(0,(MIN(In_PB_Release,DZ$4)-MAX($F51,DZ$3)+1)/DZ$5)</f>
        <v>0</v>
      </c>
      <c r="EA51" s="47" t="n">
        <f aca="false">$E51*MAX(0,(MIN(In_PB_Release,EA$4)-MAX($F51,EA$3)+1)/EA$5)</f>
        <v>0</v>
      </c>
      <c r="EB51" s="47" t="n">
        <f aca="false">$E51*MAX(0,(MIN(In_PB_Release,EB$4)-MAX($F51,EB$3)+1)/EB$5)</f>
        <v>0</v>
      </c>
      <c r="EC51" s="47" t="n">
        <f aca="false">$E51*MAX(0,(MIN(In_PB_Release,EC$4)-MAX($F51,EC$3)+1)/EC$5)</f>
        <v>0</v>
      </c>
      <c r="ED51" s="47" t="n">
        <f aca="false">$E51*MAX(0,(MIN(In_PB_Release,ED$4)-MAX($F51,ED$3)+1)/ED$5)</f>
        <v>0</v>
      </c>
      <c r="EE51" s="47" t="n">
        <f aca="false">$E51*MAX(0,(MIN(In_PB_Release,EE$4)-MAX($F51,EE$3)+1)/EE$5)</f>
        <v>0</v>
      </c>
      <c r="EF51" s="47" t="n">
        <f aca="false">$E51*MAX(0,(MIN(In_PB_Release,EF$4)-MAX($F51,EF$3)+1)/EF$5)</f>
        <v>0</v>
      </c>
      <c r="EG51" s="47" t="n">
        <f aca="false">$E51*MAX(0,(MIN(In_PB_Release,EG$4)-MAX($F51,EG$3)+1)/EG$5)</f>
        <v>0</v>
      </c>
      <c r="EH51" s="47" t="n">
        <f aca="false">$E51*MAX(0,(MIN(In_PB_Release,EH$4)-MAX($F51,EH$3)+1)/EH$5)</f>
        <v>0</v>
      </c>
      <c r="EI51" s="47" t="n">
        <f aca="false">$E51*MAX(0,(MIN(In_PB_Release,EI$4)-MAX($F51,EI$3)+1)/EI$5)</f>
        <v>0</v>
      </c>
      <c r="EJ51" s="47" t="n">
        <f aca="false">$E51*MAX(0,(MIN(In_PB_Release,EJ$4)-MAX($F51,EJ$3)+1)/EJ$5)</f>
        <v>0</v>
      </c>
      <c r="EK51" s="47" t="n">
        <f aca="false">$E51*MAX(0,(MIN(In_PB_Release,EK$4)-MAX($F51,EK$3)+1)/EK$5)</f>
        <v>0</v>
      </c>
      <c r="EL51" s="47" t="n">
        <f aca="false">$E51*MAX(0,(MIN(In_PB_Release,EL$4)-MAX($F51,EL$3)+1)/EL$5)</f>
        <v>0</v>
      </c>
      <c r="EM51" s="47" t="n">
        <f aca="false">$E51*MAX(0,(MIN(In_PB_Release,EM$4)-MAX($F51,EM$3)+1)/EM$5)</f>
        <v>0</v>
      </c>
      <c r="EN51" s="47" t="n">
        <f aca="false">$E51*MAX(0,(MIN(In_PB_Release,EN$4)-MAX($F51,EN$3)+1)/EN$5)</f>
        <v>0</v>
      </c>
      <c r="EO51" s="47" t="n">
        <f aca="false">$E51*MAX(0,(MIN(In_PB_Release,EO$4)-MAX($F51,EO$3)+1)/EO$5)</f>
        <v>0</v>
      </c>
    </row>
    <row r="52" customFormat="false" ht="15" hidden="false" customHeight="false" outlineLevel="0" collapsed="false">
      <c r="C52" s="0" t="s">
        <v>423</v>
      </c>
      <c r="D52" s="11" t="s">
        <v>33</v>
      </c>
      <c r="E52" s="47" t="n">
        <f aca="false">In_TSO_Security*In_MVA*Thousand/In_FX</f>
        <v>616.438356164384</v>
      </c>
      <c r="F52" s="45" t="n">
        <f aca="false">In_Decision_Date+In_PB_Days</f>
        <v>46433</v>
      </c>
      <c r="I52" s="47" t="n">
        <f aca="false">SUM(J52:EO52)</f>
        <v>-616.438356164384</v>
      </c>
      <c r="J52" s="47" t="n">
        <f aca="false">-$E52*N(AND(J$3&lt;=$F52,J$4&gt;=$F52))</f>
        <v>-0</v>
      </c>
      <c r="K52" s="47" t="n">
        <f aca="false">-$E52*N(AND(K$3&lt;=$F52,K$4&gt;=$F52))</f>
        <v>-616.438356164384</v>
      </c>
      <c r="L52" s="47" t="n">
        <f aca="false">-$E52*N(AND(L$3&lt;=$F52,L$4&gt;=$F52))</f>
        <v>-0</v>
      </c>
      <c r="M52" s="47" t="n">
        <f aca="false">-$E52*N(AND(M$3&lt;=$F52,M$4&gt;=$F52))</f>
        <v>-0</v>
      </c>
      <c r="N52" s="47" t="n">
        <f aca="false">-$E52*N(AND(N$3&lt;=$F52,N$4&gt;=$F52))</f>
        <v>-0</v>
      </c>
      <c r="O52" s="47" t="n">
        <f aca="false">-$E52*N(AND(O$3&lt;=$F52,O$4&gt;=$F52))</f>
        <v>-0</v>
      </c>
      <c r="P52" s="47" t="n">
        <f aca="false">-$E52*N(AND(P$3&lt;=$F52,P$4&gt;=$F52))</f>
        <v>-0</v>
      </c>
      <c r="Q52" s="47" t="n">
        <f aca="false">-$E52*N(AND(Q$3&lt;=$F52,Q$4&gt;=$F52))</f>
        <v>-0</v>
      </c>
      <c r="R52" s="47" t="n">
        <f aca="false">-$E52*N(AND(R$3&lt;=$F52,R$4&gt;=$F52))</f>
        <v>-0</v>
      </c>
      <c r="S52" s="47" t="n">
        <f aca="false">-$E52*N(AND(S$3&lt;=$F52,S$4&gt;=$F52))</f>
        <v>-0</v>
      </c>
      <c r="T52" s="47" t="n">
        <f aca="false">-$E52*N(AND(T$3&lt;=$F52,T$4&gt;=$F52))</f>
        <v>-0</v>
      </c>
      <c r="U52" s="47" t="n">
        <f aca="false">-$E52*N(AND(U$3&lt;=$F52,U$4&gt;=$F52))</f>
        <v>-0</v>
      </c>
      <c r="V52" s="47" t="n">
        <f aca="false">-$E52*N(AND(V$3&lt;=$F52,V$4&gt;=$F52))</f>
        <v>-0</v>
      </c>
      <c r="W52" s="47" t="n">
        <f aca="false">-$E52*N(AND(W$3&lt;=$F52,W$4&gt;=$F52))</f>
        <v>-0</v>
      </c>
      <c r="X52" s="47" t="n">
        <f aca="false">-$E52*N(AND(X$3&lt;=$F52,X$4&gt;=$F52))</f>
        <v>-0</v>
      </c>
      <c r="Y52" s="47" t="n">
        <f aca="false">-$E52*N(AND(Y$3&lt;=$F52,Y$4&gt;=$F52))</f>
        <v>-0</v>
      </c>
      <c r="Z52" s="47" t="n">
        <f aca="false">-$E52*N(AND(Z$3&lt;=$F52,Z$4&gt;=$F52))</f>
        <v>-0</v>
      </c>
      <c r="AA52" s="47" t="n">
        <f aca="false">-$E52*N(AND(AA$3&lt;=$F52,AA$4&gt;=$F52))</f>
        <v>-0</v>
      </c>
      <c r="AB52" s="47" t="n">
        <f aca="false">-$E52*N(AND(AB$3&lt;=$F52,AB$4&gt;=$F52))</f>
        <v>-0</v>
      </c>
      <c r="AC52" s="47" t="n">
        <f aca="false">-$E52*N(AND(AC$3&lt;=$F52,AC$4&gt;=$F52))</f>
        <v>-0</v>
      </c>
      <c r="AD52" s="47" t="n">
        <f aca="false">-$E52*N(AND(AD$3&lt;=$F52,AD$4&gt;=$F52))</f>
        <v>-0</v>
      </c>
      <c r="AE52" s="47" t="n">
        <f aca="false">-$E52*N(AND(AE$3&lt;=$F52,AE$4&gt;=$F52))</f>
        <v>-0</v>
      </c>
      <c r="AF52" s="47" t="n">
        <f aca="false">-$E52*N(AND(AF$3&lt;=$F52,AF$4&gt;=$F52))</f>
        <v>-0</v>
      </c>
      <c r="AG52" s="47" t="n">
        <f aca="false">-$E52*N(AND(AG$3&lt;=$F52,AG$4&gt;=$F52))</f>
        <v>-0</v>
      </c>
      <c r="AH52" s="47" t="n">
        <f aca="false">-$E52*N(AND(AH$3&lt;=$F52,AH$4&gt;=$F52))</f>
        <v>-0</v>
      </c>
      <c r="AI52" s="47" t="n">
        <f aca="false">-$E52*N(AND(AI$3&lt;=$F52,AI$4&gt;=$F52))</f>
        <v>-0</v>
      </c>
      <c r="AJ52" s="47" t="n">
        <f aca="false">-$E52*N(AND(AJ$3&lt;=$F52,AJ$4&gt;=$F52))</f>
        <v>-0</v>
      </c>
      <c r="AK52" s="47" t="n">
        <f aca="false">-$E52*N(AND(AK$3&lt;=$F52,AK$4&gt;=$F52))</f>
        <v>-0</v>
      </c>
      <c r="AL52" s="47" t="n">
        <f aca="false">-$E52*N(AND(AL$3&lt;=$F52,AL$4&gt;=$F52))</f>
        <v>-0</v>
      </c>
      <c r="AM52" s="47" t="n">
        <f aca="false">-$E52*N(AND(AM$3&lt;=$F52,AM$4&gt;=$F52))</f>
        <v>-0</v>
      </c>
      <c r="AN52" s="47" t="n">
        <f aca="false">-$E52*N(AND(AN$3&lt;=$F52,AN$4&gt;=$F52))</f>
        <v>-0</v>
      </c>
      <c r="AO52" s="47" t="n">
        <f aca="false">-$E52*N(AND(AO$3&lt;=$F52,AO$4&gt;=$F52))</f>
        <v>-0</v>
      </c>
      <c r="AP52" s="47" t="n">
        <f aca="false">-$E52*N(AND(AP$3&lt;=$F52,AP$4&gt;=$F52))</f>
        <v>-0</v>
      </c>
      <c r="AQ52" s="47" t="n">
        <f aca="false">-$E52*N(AND(AQ$3&lt;=$F52,AQ$4&gt;=$F52))</f>
        <v>-0</v>
      </c>
      <c r="AR52" s="47" t="n">
        <f aca="false">-$E52*N(AND(AR$3&lt;=$F52,AR$4&gt;=$F52))</f>
        <v>-0</v>
      </c>
      <c r="AS52" s="47" t="n">
        <f aca="false">-$E52*N(AND(AS$3&lt;=$F52,AS$4&gt;=$F52))</f>
        <v>-0</v>
      </c>
      <c r="AT52" s="47" t="n">
        <f aca="false">-$E52*N(AND(AT$3&lt;=$F52,AT$4&gt;=$F52))</f>
        <v>-0</v>
      </c>
      <c r="AU52" s="47" t="n">
        <f aca="false">-$E52*N(AND(AU$3&lt;=$F52,AU$4&gt;=$F52))</f>
        <v>-0</v>
      </c>
      <c r="AV52" s="47" t="n">
        <f aca="false">-$E52*N(AND(AV$3&lt;=$F52,AV$4&gt;=$F52))</f>
        <v>-0</v>
      </c>
      <c r="AW52" s="47" t="n">
        <f aca="false">-$E52*N(AND(AW$3&lt;=$F52,AW$4&gt;=$F52))</f>
        <v>-0</v>
      </c>
      <c r="AX52" s="47" t="n">
        <f aca="false">-$E52*N(AND(AX$3&lt;=$F52,AX$4&gt;=$F52))</f>
        <v>-0</v>
      </c>
      <c r="AY52" s="47" t="n">
        <f aca="false">-$E52*N(AND(AY$3&lt;=$F52,AY$4&gt;=$F52))</f>
        <v>-0</v>
      </c>
      <c r="AZ52" s="47" t="n">
        <f aca="false">-$E52*N(AND(AZ$3&lt;=$F52,AZ$4&gt;=$F52))</f>
        <v>-0</v>
      </c>
      <c r="BA52" s="47" t="n">
        <f aca="false">-$E52*N(AND(BA$3&lt;=$F52,BA$4&gt;=$F52))</f>
        <v>-0</v>
      </c>
      <c r="BB52" s="47" t="n">
        <f aca="false">-$E52*N(AND(BB$3&lt;=$F52,BB$4&gt;=$F52))</f>
        <v>-0</v>
      </c>
      <c r="BC52" s="47" t="n">
        <f aca="false">-$E52*N(AND(BC$3&lt;=$F52,BC$4&gt;=$F52))</f>
        <v>-0</v>
      </c>
      <c r="BD52" s="47" t="n">
        <f aca="false">-$E52*N(AND(BD$3&lt;=$F52,BD$4&gt;=$F52))</f>
        <v>-0</v>
      </c>
      <c r="BE52" s="47" t="n">
        <f aca="false">-$E52*N(AND(BE$3&lt;=$F52,BE$4&gt;=$F52))</f>
        <v>-0</v>
      </c>
      <c r="BF52" s="47" t="n">
        <f aca="false">-$E52*N(AND(BF$3&lt;=$F52,BF$4&gt;=$F52))</f>
        <v>-0</v>
      </c>
      <c r="BG52" s="47" t="n">
        <f aca="false">-$E52*N(AND(BG$3&lt;=$F52,BG$4&gt;=$F52))</f>
        <v>-0</v>
      </c>
      <c r="BH52" s="47" t="n">
        <f aca="false">-$E52*N(AND(BH$3&lt;=$F52,BH$4&gt;=$F52))</f>
        <v>-0</v>
      </c>
      <c r="BI52" s="47" t="n">
        <f aca="false">-$E52*N(AND(BI$3&lt;=$F52,BI$4&gt;=$F52))</f>
        <v>-0</v>
      </c>
      <c r="BJ52" s="47" t="n">
        <f aca="false">-$E52*N(AND(BJ$3&lt;=$F52,BJ$4&gt;=$F52))</f>
        <v>-0</v>
      </c>
      <c r="BK52" s="47" t="n">
        <f aca="false">-$E52*N(AND(BK$3&lt;=$F52,BK$4&gt;=$F52))</f>
        <v>-0</v>
      </c>
      <c r="BL52" s="47" t="n">
        <f aca="false">-$E52*N(AND(BL$3&lt;=$F52,BL$4&gt;=$F52))</f>
        <v>-0</v>
      </c>
      <c r="BM52" s="47" t="n">
        <f aca="false">-$E52*N(AND(BM$3&lt;=$F52,BM$4&gt;=$F52))</f>
        <v>-0</v>
      </c>
      <c r="BN52" s="47" t="n">
        <f aca="false">-$E52*N(AND(BN$3&lt;=$F52,BN$4&gt;=$F52))</f>
        <v>-0</v>
      </c>
      <c r="BO52" s="47" t="n">
        <f aca="false">-$E52*N(AND(BO$3&lt;=$F52,BO$4&gt;=$F52))</f>
        <v>-0</v>
      </c>
      <c r="BP52" s="47" t="n">
        <f aca="false">-$E52*N(AND(BP$3&lt;=$F52,BP$4&gt;=$F52))</f>
        <v>-0</v>
      </c>
      <c r="BQ52" s="47" t="n">
        <f aca="false">-$E52*N(AND(BQ$3&lt;=$F52,BQ$4&gt;=$F52))</f>
        <v>-0</v>
      </c>
      <c r="BR52" s="47" t="n">
        <f aca="false">-$E52*N(AND(BR$3&lt;=$F52,BR$4&gt;=$F52))</f>
        <v>-0</v>
      </c>
      <c r="BS52" s="47" t="n">
        <f aca="false">-$E52*N(AND(BS$3&lt;=$F52,BS$4&gt;=$F52))</f>
        <v>-0</v>
      </c>
      <c r="BT52" s="47" t="n">
        <f aca="false">-$E52*N(AND(BT$3&lt;=$F52,BT$4&gt;=$F52))</f>
        <v>-0</v>
      </c>
      <c r="BU52" s="47" t="n">
        <f aca="false">-$E52*N(AND(BU$3&lt;=$F52,BU$4&gt;=$F52))</f>
        <v>-0</v>
      </c>
      <c r="BV52" s="47" t="n">
        <f aca="false">-$E52*N(AND(BV$3&lt;=$F52,BV$4&gt;=$F52))</f>
        <v>-0</v>
      </c>
      <c r="BW52" s="47" t="n">
        <f aca="false">-$E52*N(AND(BW$3&lt;=$F52,BW$4&gt;=$F52))</f>
        <v>-0</v>
      </c>
      <c r="BX52" s="47" t="n">
        <f aca="false">-$E52*N(AND(BX$3&lt;=$F52,BX$4&gt;=$F52))</f>
        <v>-0</v>
      </c>
      <c r="BY52" s="47" t="n">
        <f aca="false">-$E52*N(AND(BY$3&lt;=$F52,BY$4&gt;=$F52))</f>
        <v>-0</v>
      </c>
      <c r="BZ52" s="47" t="n">
        <f aca="false">-$E52*N(AND(BZ$3&lt;=$F52,BZ$4&gt;=$F52))</f>
        <v>-0</v>
      </c>
      <c r="CA52" s="47" t="n">
        <f aca="false">-$E52*N(AND(CA$3&lt;=$F52,CA$4&gt;=$F52))</f>
        <v>-0</v>
      </c>
      <c r="CB52" s="47" t="n">
        <f aca="false">-$E52*N(AND(CB$3&lt;=$F52,CB$4&gt;=$F52))</f>
        <v>-0</v>
      </c>
      <c r="CC52" s="47" t="n">
        <f aca="false">-$E52*N(AND(CC$3&lt;=$F52,CC$4&gt;=$F52))</f>
        <v>-0</v>
      </c>
      <c r="CD52" s="47" t="n">
        <f aca="false">-$E52*N(AND(CD$3&lt;=$F52,CD$4&gt;=$F52))</f>
        <v>-0</v>
      </c>
      <c r="CE52" s="47" t="n">
        <f aca="false">-$E52*N(AND(CE$3&lt;=$F52,CE$4&gt;=$F52))</f>
        <v>-0</v>
      </c>
      <c r="CF52" s="47" t="n">
        <f aca="false">-$E52*N(AND(CF$3&lt;=$F52,CF$4&gt;=$F52))</f>
        <v>-0</v>
      </c>
      <c r="CG52" s="47" t="n">
        <f aca="false">-$E52*N(AND(CG$3&lt;=$F52,CG$4&gt;=$F52))</f>
        <v>-0</v>
      </c>
      <c r="CH52" s="47" t="n">
        <f aca="false">-$E52*N(AND(CH$3&lt;=$F52,CH$4&gt;=$F52))</f>
        <v>-0</v>
      </c>
      <c r="CI52" s="47" t="n">
        <f aca="false">-$E52*N(AND(CI$3&lt;=$F52,CI$4&gt;=$F52))</f>
        <v>-0</v>
      </c>
      <c r="CJ52" s="47" t="n">
        <f aca="false">-$E52*N(AND(CJ$3&lt;=$F52,CJ$4&gt;=$F52))</f>
        <v>-0</v>
      </c>
      <c r="CK52" s="47" t="n">
        <f aca="false">-$E52*N(AND(CK$3&lt;=$F52,CK$4&gt;=$F52))</f>
        <v>-0</v>
      </c>
      <c r="CL52" s="47" t="n">
        <f aca="false">-$E52*N(AND(CL$3&lt;=$F52,CL$4&gt;=$F52))</f>
        <v>-0</v>
      </c>
      <c r="CM52" s="47" t="n">
        <f aca="false">-$E52*N(AND(CM$3&lt;=$F52,CM$4&gt;=$F52))</f>
        <v>-0</v>
      </c>
      <c r="CN52" s="47" t="n">
        <f aca="false">-$E52*N(AND(CN$3&lt;=$F52,CN$4&gt;=$F52))</f>
        <v>-0</v>
      </c>
      <c r="CO52" s="47" t="n">
        <f aca="false">-$E52*N(AND(CO$3&lt;=$F52,CO$4&gt;=$F52))</f>
        <v>-0</v>
      </c>
      <c r="CP52" s="47" t="n">
        <f aca="false">-$E52*N(AND(CP$3&lt;=$F52,CP$4&gt;=$F52))</f>
        <v>-0</v>
      </c>
      <c r="CQ52" s="47" t="n">
        <f aca="false">-$E52*N(AND(CQ$3&lt;=$F52,CQ$4&gt;=$F52))</f>
        <v>-0</v>
      </c>
      <c r="CR52" s="47" t="n">
        <f aca="false">-$E52*N(AND(CR$3&lt;=$F52,CR$4&gt;=$F52))</f>
        <v>-0</v>
      </c>
      <c r="CS52" s="47" t="n">
        <f aca="false">-$E52*N(AND(CS$3&lt;=$F52,CS$4&gt;=$F52))</f>
        <v>-0</v>
      </c>
      <c r="CT52" s="47" t="n">
        <f aca="false">-$E52*N(AND(CT$3&lt;=$F52,CT$4&gt;=$F52))</f>
        <v>-0</v>
      </c>
      <c r="CU52" s="47" t="n">
        <f aca="false">-$E52*N(AND(CU$3&lt;=$F52,CU$4&gt;=$F52))</f>
        <v>-0</v>
      </c>
      <c r="CV52" s="47" t="n">
        <f aca="false">-$E52*N(AND(CV$3&lt;=$F52,CV$4&gt;=$F52))</f>
        <v>-0</v>
      </c>
      <c r="CW52" s="47" t="n">
        <f aca="false">-$E52*N(AND(CW$3&lt;=$F52,CW$4&gt;=$F52))</f>
        <v>-0</v>
      </c>
      <c r="CX52" s="47" t="n">
        <f aca="false">-$E52*N(AND(CX$3&lt;=$F52,CX$4&gt;=$F52))</f>
        <v>-0</v>
      </c>
      <c r="CY52" s="47" t="n">
        <f aca="false">-$E52*N(AND(CY$3&lt;=$F52,CY$4&gt;=$F52))</f>
        <v>-0</v>
      </c>
      <c r="CZ52" s="47" t="n">
        <f aca="false">-$E52*N(AND(CZ$3&lt;=$F52,CZ$4&gt;=$F52))</f>
        <v>-0</v>
      </c>
      <c r="DA52" s="47" t="n">
        <f aca="false">-$E52*N(AND(DA$3&lt;=$F52,DA$4&gt;=$F52))</f>
        <v>-0</v>
      </c>
      <c r="DB52" s="47" t="n">
        <f aca="false">-$E52*N(AND(DB$3&lt;=$F52,DB$4&gt;=$F52))</f>
        <v>-0</v>
      </c>
      <c r="DC52" s="47" t="n">
        <f aca="false">-$E52*N(AND(DC$3&lt;=$F52,DC$4&gt;=$F52))</f>
        <v>-0</v>
      </c>
      <c r="DD52" s="47" t="n">
        <f aca="false">-$E52*N(AND(DD$3&lt;=$F52,DD$4&gt;=$F52))</f>
        <v>-0</v>
      </c>
      <c r="DE52" s="47" t="n">
        <f aca="false">-$E52*N(AND(DE$3&lt;=$F52,DE$4&gt;=$F52))</f>
        <v>-0</v>
      </c>
      <c r="DF52" s="47" t="n">
        <f aca="false">-$E52*N(AND(DF$3&lt;=$F52,DF$4&gt;=$F52))</f>
        <v>-0</v>
      </c>
      <c r="DG52" s="47" t="n">
        <f aca="false">-$E52*N(AND(DG$3&lt;=$F52,DG$4&gt;=$F52))</f>
        <v>-0</v>
      </c>
      <c r="DH52" s="47" t="n">
        <f aca="false">-$E52*N(AND(DH$3&lt;=$F52,DH$4&gt;=$F52))</f>
        <v>-0</v>
      </c>
      <c r="DI52" s="47" t="n">
        <f aca="false">-$E52*N(AND(DI$3&lt;=$F52,DI$4&gt;=$F52))</f>
        <v>-0</v>
      </c>
      <c r="DJ52" s="47" t="n">
        <f aca="false">-$E52*N(AND(DJ$3&lt;=$F52,DJ$4&gt;=$F52))</f>
        <v>-0</v>
      </c>
      <c r="DK52" s="47" t="n">
        <f aca="false">-$E52*N(AND(DK$3&lt;=$F52,DK$4&gt;=$F52))</f>
        <v>-0</v>
      </c>
      <c r="DL52" s="47" t="n">
        <f aca="false">-$E52*N(AND(DL$3&lt;=$F52,DL$4&gt;=$F52))</f>
        <v>-0</v>
      </c>
      <c r="DM52" s="47" t="n">
        <f aca="false">-$E52*N(AND(DM$3&lt;=$F52,DM$4&gt;=$F52))</f>
        <v>-0</v>
      </c>
      <c r="DN52" s="47" t="n">
        <f aca="false">-$E52*N(AND(DN$3&lt;=$F52,DN$4&gt;=$F52))</f>
        <v>-0</v>
      </c>
      <c r="DO52" s="47" t="n">
        <f aca="false">-$E52*N(AND(DO$3&lt;=$F52,DO$4&gt;=$F52))</f>
        <v>-0</v>
      </c>
      <c r="DP52" s="47" t="n">
        <f aca="false">-$E52*N(AND(DP$3&lt;=$F52,DP$4&gt;=$F52))</f>
        <v>-0</v>
      </c>
      <c r="DQ52" s="47" t="n">
        <f aca="false">-$E52*N(AND(DQ$3&lt;=$F52,DQ$4&gt;=$F52))</f>
        <v>-0</v>
      </c>
      <c r="DR52" s="47" t="n">
        <f aca="false">-$E52*N(AND(DR$3&lt;=$F52,DR$4&gt;=$F52))</f>
        <v>-0</v>
      </c>
      <c r="DS52" s="47" t="n">
        <f aca="false">-$E52*N(AND(DS$3&lt;=$F52,DS$4&gt;=$F52))</f>
        <v>-0</v>
      </c>
      <c r="DT52" s="47" t="n">
        <f aca="false">-$E52*N(AND(DT$3&lt;=$F52,DT$4&gt;=$F52))</f>
        <v>-0</v>
      </c>
      <c r="DU52" s="47" t="n">
        <f aca="false">-$E52*N(AND(DU$3&lt;=$F52,DU$4&gt;=$F52))</f>
        <v>-0</v>
      </c>
      <c r="DV52" s="47" t="n">
        <f aca="false">-$E52*N(AND(DV$3&lt;=$F52,DV$4&gt;=$F52))</f>
        <v>-0</v>
      </c>
      <c r="DW52" s="47" t="n">
        <f aca="false">-$E52*N(AND(DW$3&lt;=$F52,DW$4&gt;=$F52))</f>
        <v>-0</v>
      </c>
      <c r="DX52" s="47" t="n">
        <f aca="false">-$E52*N(AND(DX$3&lt;=$F52,DX$4&gt;=$F52))</f>
        <v>-0</v>
      </c>
      <c r="DY52" s="47" t="n">
        <f aca="false">-$E52*N(AND(DY$3&lt;=$F52,DY$4&gt;=$F52))</f>
        <v>-0</v>
      </c>
      <c r="DZ52" s="47" t="n">
        <f aca="false">-$E52*N(AND(DZ$3&lt;=$F52,DZ$4&gt;=$F52))</f>
        <v>-0</v>
      </c>
      <c r="EA52" s="47" t="n">
        <f aca="false">-$E52*N(AND(EA$3&lt;=$F52,EA$4&gt;=$F52))</f>
        <v>-0</v>
      </c>
      <c r="EB52" s="47" t="n">
        <f aca="false">-$E52*N(AND(EB$3&lt;=$F52,EB$4&gt;=$F52))</f>
        <v>-0</v>
      </c>
      <c r="EC52" s="47" t="n">
        <f aca="false">-$E52*N(AND(EC$3&lt;=$F52,EC$4&gt;=$F52))</f>
        <v>-0</v>
      </c>
      <c r="ED52" s="47" t="n">
        <f aca="false">-$E52*N(AND(ED$3&lt;=$F52,ED$4&gt;=$F52))</f>
        <v>-0</v>
      </c>
      <c r="EE52" s="47" t="n">
        <f aca="false">-$E52*N(AND(EE$3&lt;=$F52,EE$4&gt;=$F52))</f>
        <v>-0</v>
      </c>
      <c r="EF52" s="47" t="n">
        <f aca="false">-$E52*N(AND(EF$3&lt;=$F52,EF$4&gt;=$F52))</f>
        <v>-0</v>
      </c>
      <c r="EG52" s="47" t="n">
        <f aca="false">-$E52*N(AND(EG$3&lt;=$F52,EG$4&gt;=$F52))</f>
        <v>-0</v>
      </c>
      <c r="EH52" s="47" t="n">
        <f aca="false">-$E52*N(AND(EH$3&lt;=$F52,EH$4&gt;=$F52))</f>
        <v>-0</v>
      </c>
      <c r="EI52" s="47" t="n">
        <f aca="false">-$E52*N(AND(EI$3&lt;=$F52,EI$4&gt;=$F52))</f>
        <v>-0</v>
      </c>
      <c r="EJ52" s="47" t="n">
        <f aca="false">-$E52*N(AND(EJ$3&lt;=$F52,EJ$4&gt;=$F52))</f>
        <v>-0</v>
      </c>
      <c r="EK52" s="47" t="n">
        <f aca="false">-$E52*N(AND(EK$3&lt;=$F52,EK$4&gt;=$F52))</f>
        <v>-0</v>
      </c>
      <c r="EL52" s="47" t="n">
        <f aca="false">-$E52*N(AND(EL$3&lt;=$F52,EL$4&gt;=$F52))</f>
        <v>-0</v>
      </c>
      <c r="EM52" s="47" t="n">
        <f aca="false">-$E52*N(AND(EM$3&lt;=$F52,EM$4&gt;=$F52))</f>
        <v>-0</v>
      </c>
      <c r="EN52" s="47" t="n">
        <f aca="false">-$E52*N(AND(EN$3&lt;=$F52,EN$4&gt;=$F52))</f>
        <v>-0</v>
      </c>
      <c r="EO52" s="47" t="n">
        <f aca="false">-$E52*N(AND(EO$3&lt;=$F52,EO$4&gt;=$F52))</f>
        <v>-0</v>
      </c>
    </row>
    <row r="53" customFormat="false" ht="15" hidden="false" customHeight="false" outlineLevel="0" collapsed="false">
      <c r="C53" s="0" t="s">
        <v>424</v>
      </c>
      <c r="D53" s="11" t="s">
        <v>33</v>
      </c>
      <c r="E53" s="47" t="n">
        <f aca="false">In_Direct_Fee*Thousand/In_FX</f>
        <v>1260.27397260274</v>
      </c>
      <c r="F53" s="20" t="n">
        <f aca="false">In_HCSSZ_Date</f>
        <v>47126</v>
      </c>
      <c r="I53" s="47" t="n">
        <f aca="false">SUM(J53:EO53)</f>
        <v>-1260.27397260274</v>
      </c>
      <c r="J53" s="47" t="n">
        <f aca="false">-$E53*N(AND(J$3&lt;=$F53,J$4&gt;=$F53))</f>
        <v>-0</v>
      </c>
      <c r="K53" s="47" t="n">
        <f aca="false">-$E53*N(AND(K$3&lt;=$F53,K$4&gt;=$F53))</f>
        <v>-0</v>
      </c>
      <c r="L53" s="47" t="n">
        <f aca="false">-$E53*N(AND(L$3&lt;=$F53,L$4&gt;=$F53))</f>
        <v>-0</v>
      </c>
      <c r="M53" s="47" t="n">
        <f aca="false">-$E53*N(AND(M$3&lt;=$F53,M$4&gt;=$F53))</f>
        <v>-0</v>
      </c>
      <c r="N53" s="47" t="n">
        <f aca="false">-$E53*N(AND(N$3&lt;=$F53,N$4&gt;=$F53))</f>
        <v>-0</v>
      </c>
      <c r="O53" s="47" t="n">
        <f aca="false">-$E53*N(AND(O$3&lt;=$F53,O$4&gt;=$F53))</f>
        <v>-0</v>
      </c>
      <c r="P53" s="47" t="n">
        <f aca="false">-$E53*N(AND(P$3&lt;=$F53,P$4&gt;=$F53))</f>
        <v>-0</v>
      </c>
      <c r="Q53" s="47" t="n">
        <f aca="false">-$E53*N(AND(Q$3&lt;=$F53,Q$4&gt;=$F53))</f>
        <v>-0</v>
      </c>
      <c r="R53" s="47" t="n">
        <f aca="false">-$E53*N(AND(R$3&lt;=$F53,R$4&gt;=$F53))</f>
        <v>-0</v>
      </c>
      <c r="S53" s="47" t="n">
        <f aca="false">-$E53*N(AND(S$3&lt;=$F53,S$4&gt;=$F53))</f>
        <v>-1260.27397260274</v>
      </c>
      <c r="T53" s="47" t="n">
        <f aca="false">-$E53*N(AND(T$3&lt;=$F53,T$4&gt;=$F53))</f>
        <v>-0</v>
      </c>
      <c r="U53" s="47" t="n">
        <f aca="false">-$E53*N(AND(U$3&lt;=$F53,U$4&gt;=$F53))</f>
        <v>-0</v>
      </c>
      <c r="V53" s="47" t="n">
        <f aca="false">-$E53*N(AND(V$3&lt;=$F53,V$4&gt;=$F53))</f>
        <v>-0</v>
      </c>
      <c r="W53" s="47" t="n">
        <f aca="false">-$E53*N(AND(W$3&lt;=$F53,W$4&gt;=$F53))</f>
        <v>-0</v>
      </c>
      <c r="X53" s="47" t="n">
        <f aca="false">-$E53*N(AND(X$3&lt;=$F53,X$4&gt;=$F53))</f>
        <v>-0</v>
      </c>
      <c r="Y53" s="47" t="n">
        <f aca="false">-$E53*N(AND(Y$3&lt;=$F53,Y$4&gt;=$F53))</f>
        <v>-0</v>
      </c>
      <c r="Z53" s="47" t="n">
        <f aca="false">-$E53*N(AND(Z$3&lt;=$F53,Z$4&gt;=$F53))</f>
        <v>-0</v>
      </c>
      <c r="AA53" s="47" t="n">
        <f aca="false">-$E53*N(AND(AA$3&lt;=$F53,AA$4&gt;=$F53))</f>
        <v>-0</v>
      </c>
      <c r="AB53" s="47" t="n">
        <f aca="false">-$E53*N(AND(AB$3&lt;=$F53,AB$4&gt;=$F53))</f>
        <v>-0</v>
      </c>
      <c r="AC53" s="47" t="n">
        <f aca="false">-$E53*N(AND(AC$3&lt;=$F53,AC$4&gt;=$F53))</f>
        <v>-0</v>
      </c>
      <c r="AD53" s="47" t="n">
        <f aca="false">-$E53*N(AND(AD$3&lt;=$F53,AD$4&gt;=$F53))</f>
        <v>-0</v>
      </c>
      <c r="AE53" s="47" t="n">
        <f aca="false">-$E53*N(AND(AE$3&lt;=$F53,AE$4&gt;=$F53))</f>
        <v>-0</v>
      </c>
      <c r="AF53" s="47" t="n">
        <f aca="false">-$E53*N(AND(AF$3&lt;=$F53,AF$4&gt;=$F53))</f>
        <v>-0</v>
      </c>
      <c r="AG53" s="47" t="n">
        <f aca="false">-$E53*N(AND(AG$3&lt;=$F53,AG$4&gt;=$F53))</f>
        <v>-0</v>
      </c>
      <c r="AH53" s="47" t="n">
        <f aca="false">-$E53*N(AND(AH$3&lt;=$F53,AH$4&gt;=$F53))</f>
        <v>-0</v>
      </c>
      <c r="AI53" s="47" t="n">
        <f aca="false">-$E53*N(AND(AI$3&lt;=$F53,AI$4&gt;=$F53))</f>
        <v>-0</v>
      </c>
      <c r="AJ53" s="47" t="n">
        <f aca="false">-$E53*N(AND(AJ$3&lt;=$F53,AJ$4&gt;=$F53))</f>
        <v>-0</v>
      </c>
      <c r="AK53" s="47" t="n">
        <f aca="false">-$E53*N(AND(AK$3&lt;=$F53,AK$4&gt;=$F53))</f>
        <v>-0</v>
      </c>
      <c r="AL53" s="47" t="n">
        <f aca="false">-$E53*N(AND(AL$3&lt;=$F53,AL$4&gt;=$F53))</f>
        <v>-0</v>
      </c>
      <c r="AM53" s="47" t="n">
        <f aca="false">-$E53*N(AND(AM$3&lt;=$F53,AM$4&gt;=$F53))</f>
        <v>-0</v>
      </c>
      <c r="AN53" s="47" t="n">
        <f aca="false">-$E53*N(AND(AN$3&lt;=$F53,AN$4&gt;=$F53))</f>
        <v>-0</v>
      </c>
      <c r="AO53" s="47" t="n">
        <f aca="false">-$E53*N(AND(AO$3&lt;=$F53,AO$4&gt;=$F53))</f>
        <v>-0</v>
      </c>
      <c r="AP53" s="47" t="n">
        <f aca="false">-$E53*N(AND(AP$3&lt;=$F53,AP$4&gt;=$F53))</f>
        <v>-0</v>
      </c>
      <c r="AQ53" s="47" t="n">
        <f aca="false">-$E53*N(AND(AQ$3&lt;=$F53,AQ$4&gt;=$F53))</f>
        <v>-0</v>
      </c>
      <c r="AR53" s="47" t="n">
        <f aca="false">-$E53*N(AND(AR$3&lt;=$F53,AR$4&gt;=$F53))</f>
        <v>-0</v>
      </c>
      <c r="AS53" s="47" t="n">
        <f aca="false">-$E53*N(AND(AS$3&lt;=$F53,AS$4&gt;=$F53))</f>
        <v>-0</v>
      </c>
      <c r="AT53" s="47" t="n">
        <f aca="false">-$E53*N(AND(AT$3&lt;=$F53,AT$4&gt;=$F53))</f>
        <v>-0</v>
      </c>
      <c r="AU53" s="47" t="n">
        <f aca="false">-$E53*N(AND(AU$3&lt;=$F53,AU$4&gt;=$F53))</f>
        <v>-0</v>
      </c>
      <c r="AV53" s="47" t="n">
        <f aca="false">-$E53*N(AND(AV$3&lt;=$F53,AV$4&gt;=$F53))</f>
        <v>-0</v>
      </c>
      <c r="AW53" s="47" t="n">
        <f aca="false">-$E53*N(AND(AW$3&lt;=$F53,AW$4&gt;=$F53))</f>
        <v>-0</v>
      </c>
      <c r="AX53" s="47" t="n">
        <f aca="false">-$E53*N(AND(AX$3&lt;=$F53,AX$4&gt;=$F53))</f>
        <v>-0</v>
      </c>
      <c r="AY53" s="47" t="n">
        <f aca="false">-$E53*N(AND(AY$3&lt;=$F53,AY$4&gt;=$F53))</f>
        <v>-0</v>
      </c>
      <c r="AZ53" s="47" t="n">
        <f aca="false">-$E53*N(AND(AZ$3&lt;=$F53,AZ$4&gt;=$F53))</f>
        <v>-0</v>
      </c>
      <c r="BA53" s="47" t="n">
        <f aca="false">-$E53*N(AND(BA$3&lt;=$F53,BA$4&gt;=$F53))</f>
        <v>-0</v>
      </c>
      <c r="BB53" s="47" t="n">
        <f aca="false">-$E53*N(AND(BB$3&lt;=$F53,BB$4&gt;=$F53))</f>
        <v>-0</v>
      </c>
      <c r="BC53" s="47" t="n">
        <f aca="false">-$E53*N(AND(BC$3&lt;=$F53,BC$4&gt;=$F53))</f>
        <v>-0</v>
      </c>
      <c r="BD53" s="47" t="n">
        <f aca="false">-$E53*N(AND(BD$3&lt;=$F53,BD$4&gt;=$F53))</f>
        <v>-0</v>
      </c>
      <c r="BE53" s="47" t="n">
        <f aca="false">-$E53*N(AND(BE$3&lt;=$F53,BE$4&gt;=$F53))</f>
        <v>-0</v>
      </c>
      <c r="BF53" s="47" t="n">
        <f aca="false">-$E53*N(AND(BF$3&lt;=$F53,BF$4&gt;=$F53))</f>
        <v>-0</v>
      </c>
      <c r="BG53" s="47" t="n">
        <f aca="false">-$E53*N(AND(BG$3&lt;=$F53,BG$4&gt;=$F53))</f>
        <v>-0</v>
      </c>
      <c r="BH53" s="47" t="n">
        <f aca="false">-$E53*N(AND(BH$3&lt;=$F53,BH$4&gt;=$F53))</f>
        <v>-0</v>
      </c>
      <c r="BI53" s="47" t="n">
        <f aca="false">-$E53*N(AND(BI$3&lt;=$F53,BI$4&gt;=$F53))</f>
        <v>-0</v>
      </c>
      <c r="BJ53" s="47" t="n">
        <f aca="false">-$E53*N(AND(BJ$3&lt;=$F53,BJ$4&gt;=$F53))</f>
        <v>-0</v>
      </c>
      <c r="BK53" s="47" t="n">
        <f aca="false">-$E53*N(AND(BK$3&lt;=$F53,BK$4&gt;=$F53))</f>
        <v>-0</v>
      </c>
      <c r="BL53" s="47" t="n">
        <f aca="false">-$E53*N(AND(BL$3&lt;=$F53,BL$4&gt;=$F53))</f>
        <v>-0</v>
      </c>
      <c r="BM53" s="47" t="n">
        <f aca="false">-$E53*N(AND(BM$3&lt;=$F53,BM$4&gt;=$F53))</f>
        <v>-0</v>
      </c>
      <c r="BN53" s="47" t="n">
        <f aca="false">-$E53*N(AND(BN$3&lt;=$F53,BN$4&gt;=$F53))</f>
        <v>-0</v>
      </c>
      <c r="BO53" s="47" t="n">
        <f aca="false">-$E53*N(AND(BO$3&lt;=$F53,BO$4&gt;=$F53))</f>
        <v>-0</v>
      </c>
      <c r="BP53" s="47" t="n">
        <f aca="false">-$E53*N(AND(BP$3&lt;=$F53,BP$4&gt;=$F53))</f>
        <v>-0</v>
      </c>
      <c r="BQ53" s="47" t="n">
        <f aca="false">-$E53*N(AND(BQ$3&lt;=$F53,BQ$4&gt;=$F53))</f>
        <v>-0</v>
      </c>
      <c r="BR53" s="47" t="n">
        <f aca="false">-$E53*N(AND(BR$3&lt;=$F53,BR$4&gt;=$F53))</f>
        <v>-0</v>
      </c>
      <c r="BS53" s="47" t="n">
        <f aca="false">-$E53*N(AND(BS$3&lt;=$F53,BS$4&gt;=$F53))</f>
        <v>-0</v>
      </c>
      <c r="BT53" s="47" t="n">
        <f aca="false">-$E53*N(AND(BT$3&lt;=$F53,BT$4&gt;=$F53))</f>
        <v>-0</v>
      </c>
      <c r="BU53" s="47" t="n">
        <f aca="false">-$E53*N(AND(BU$3&lt;=$F53,BU$4&gt;=$F53))</f>
        <v>-0</v>
      </c>
      <c r="BV53" s="47" t="n">
        <f aca="false">-$E53*N(AND(BV$3&lt;=$F53,BV$4&gt;=$F53))</f>
        <v>-0</v>
      </c>
      <c r="BW53" s="47" t="n">
        <f aca="false">-$E53*N(AND(BW$3&lt;=$F53,BW$4&gt;=$F53))</f>
        <v>-0</v>
      </c>
      <c r="BX53" s="47" t="n">
        <f aca="false">-$E53*N(AND(BX$3&lt;=$F53,BX$4&gt;=$F53))</f>
        <v>-0</v>
      </c>
      <c r="BY53" s="47" t="n">
        <f aca="false">-$E53*N(AND(BY$3&lt;=$F53,BY$4&gt;=$F53))</f>
        <v>-0</v>
      </c>
      <c r="BZ53" s="47" t="n">
        <f aca="false">-$E53*N(AND(BZ$3&lt;=$F53,BZ$4&gt;=$F53))</f>
        <v>-0</v>
      </c>
      <c r="CA53" s="47" t="n">
        <f aca="false">-$E53*N(AND(CA$3&lt;=$F53,CA$4&gt;=$F53))</f>
        <v>-0</v>
      </c>
      <c r="CB53" s="47" t="n">
        <f aca="false">-$E53*N(AND(CB$3&lt;=$F53,CB$4&gt;=$F53))</f>
        <v>-0</v>
      </c>
      <c r="CC53" s="47" t="n">
        <f aca="false">-$E53*N(AND(CC$3&lt;=$F53,CC$4&gt;=$F53))</f>
        <v>-0</v>
      </c>
      <c r="CD53" s="47" t="n">
        <f aca="false">-$E53*N(AND(CD$3&lt;=$F53,CD$4&gt;=$F53))</f>
        <v>-0</v>
      </c>
      <c r="CE53" s="47" t="n">
        <f aca="false">-$E53*N(AND(CE$3&lt;=$F53,CE$4&gt;=$F53))</f>
        <v>-0</v>
      </c>
      <c r="CF53" s="47" t="n">
        <f aca="false">-$E53*N(AND(CF$3&lt;=$F53,CF$4&gt;=$F53))</f>
        <v>-0</v>
      </c>
      <c r="CG53" s="47" t="n">
        <f aca="false">-$E53*N(AND(CG$3&lt;=$F53,CG$4&gt;=$F53))</f>
        <v>-0</v>
      </c>
      <c r="CH53" s="47" t="n">
        <f aca="false">-$E53*N(AND(CH$3&lt;=$F53,CH$4&gt;=$F53))</f>
        <v>-0</v>
      </c>
      <c r="CI53" s="47" t="n">
        <f aca="false">-$E53*N(AND(CI$3&lt;=$F53,CI$4&gt;=$F53))</f>
        <v>-0</v>
      </c>
      <c r="CJ53" s="47" t="n">
        <f aca="false">-$E53*N(AND(CJ$3&lt;=$F53,CJ$4&gt;=$F53))</f>
        <v>-0</v>
      </c>
      <c r="CK53" s="47" t="n">
        <f aca="false">-$E53*N(AND(CK$3&lt;=$F53,CK$4&gt;=$F53))</f>
        <v>-0</v>
      </c>
      <c r="CL53" s="47" t="n">
        <f aca="false">-$E53*N(AND(CL$3&lt;=$F53,CL$4&gt;=$F53))</f>
        <v>-0</v>
      </c>
      <c r="CM53" s="47" t="n">
        <f aca="false">-$E53*N(AND(CM$3&lt;=$F53,CM$4&gt;=$F53))</f>
        <v>-0</v>
      </c>
      <c r="CN53" s="47" t="n">
        <f aca="false">-$E53*N(AND(CN$3&lt;=$F53,CN$4&gt;=$F53))</f>
        <v>-0</v>
      </c>
      <c r="CO53" s="47" t="n">
        <f aca="false">-$E53*N(AND(CO$3&lt;=$F53,CO$4&gt;=$F53))</f>
        <v>-0</v>
      </c>
      <c r="CP53" s="47" t="n">
        <f aca="false">-$E53*N(AND(CP$3&lt;=$F53,CP$4&gt;=$F53))</f>
        <v>-0</v>
      </c>
      <c r="CQ53" s="47" t="n">
        <f aca="false">-$E53*N(AND(CQ$3&lt;=$F53,CQ$4&gt;=$F53))</f>
        <v>-0</v>
      </c>
      <c r="CR53" s="47" t="n">
        <f aca="false">-$E53*N(AND(CR$3&lt;=$F53,CR$4&gt;=$F53))</f>
        <v>-0</v>
      </c>
      <c r="CS53" s="47" t="n">
        <f aca="false">-$E53*N(AND(CS$3&lt;=$F53,CS$4&gt;=$F53))</f>
        <v>-0</v>
      </c>
      <c r="CT53" s="47" t="n">
        <f aca="false">-$E53*N(AND(CT$3&lt;=$F53,CT$4&gt;=$F53))</f>
        <v>-0</v>
      </c>
      <c r="CU53" s="47" t="n">
        <f aca="false">-$E53*N(AND(CU$3&lt;=$F53,CU$4&gt;=$F53))</f>
        <v>-0</v>
      </c>
      <c r="CV53" s="47" t="n">
        <f aca="false">-$E53*N(AND(CV$3&lt;=$F53,CV$4&gt;=$F53))</f>
        <v>-0</v>
      </c>
      <c r="CW53" s="47" t="n">
        <f aca="false">-$E53*N(AND(CW$3&lt;=$F53,CW$4&gt;=$F53))</f>
        <v>-0</v>
      </c>
      <c r="CX53" s="47" t="n">
        <f aca="false">-$E53*N(AND(CX$3&lt;=$F53,CX$4&gt;=$F53))</f>
        <v>-0</v>
      </c>
      <c r="CY53" s="47" t="n">
        <f aca="false">-$E53*N(AND(CY$3&lt;=$F53,CY$4&gt;=$F53))</f>
        <v>-0</v>
      </c>
      <c r="CZ53" s="47" t="n">
        <f aca="false">-$E53*N(AND(CZ$3&lt;=$F53,CZ$4&gt;=$F53))</f>
        <v>-0</v>
      </c>
      <c r="DA53" s="47" t="n">
        <f aca="false">-$E53*N(AND(DA$3&lt;=$F53,DA$4&gt;=$F53))</f>
        <v>-0</v>
      </c>
      <c r="DB53" s="47" t="n">
        <f aca="false">-$E53*N(AND(DB$3&lt;=$F53,DB$4&gt;=$F53))</f>
        <v>-0</v>
      </c>
      <c r="DC53" s="47" t="n">
        <f aca="false">-$E53*N(AND(DC$3&lt;=$F53,DC$4&gt;=$F53))</f>
        <v>-0</v>
      </c>
      <c r="DD53" s="47" t="n">
        <f aca="false">-$E53*N(AND(DD$3&lt;=$F53,DD$4&gt;=$F53))</f>
        <v>-0</v>
      </c>
      <c r="DE53" s="47" t="n">
        <f aca="false">-$E53*N(AND(DE$3&lt;=$F53,DE$4&gt;=$F53))</f>
        <v>-0</v>
      </c>
      <c r="DF53" s="47" t="n">
        <f aca="false">-$E53*N(AND(DF$3&lt;=$F53,DF$4&gt;=$F53))</f>
        <v>-0</v>
      </c>
      <c r="DG53" s="47" t="n">
        <f aca="false">-$E53*N(AND(DG$3&lt;=$F53,DG$4&gt;=$F53))</f>
        <v>-0</v>
      </c>
      <c r="DH53" s="47" t="n">
        <f aca="false">-$E53*N(AND(DH$3&lt;=$F53,DH$4&gt;=$F53))</f>
        <v>-0</v>
      </c>
      <c r="DI53" s="47" t="n">
        <f aca="false">-$E53*N(AND(DI$3&lt;=$F53,DI$4&gt;=$F53))</f>
        <v>-0</v>
      </c>
      <c r="DJ53" s="47" t="n">
        <f aca="false">-$E53*N(AND(DJ$3&lt;=$F53,DJ$4&gt;=$F53))</f>
        <v>-0</v>
      </c>
      <c r="DK53" s="47" t="n">
        <f aca="false">-$E53*N(AND(DK$3&lt;=$F53,DK$4&gt;=$F53))</f>
        <v>-0</v>
      </c>
      <c r="DL53" s="47" t="n">
        <f aca="false">-$E53*N(AND(DL$3&lt;=$F53,DL$4&gt;=$F53))</f>
        <v>-0</v>
      </c>
      <c r="DM53" s="47" t="n">
        <f aca="false">-$E53*N(AND(DM$3&lt;=$F53,DM$4&gt;=$F53))</f>
        <v>-0</v>
      </c>
      <c r="DN53" s="47" t="n">
        <f aca="false">-$E53*N(AND(DN$3&lt;=$F53,DN$4&gt;=$F53))</f>
        <v>-0</v>
      </c>
      <c r="DO53" s="47" t="n">
        <f aca="false">-$E53*N(AND(DO$3&lt;=$F53,DO$4&gt;=$F53))</f>
        <v>-0</v>
      </c>
      <c r="DP53" s="47" t="n">
        <f aca="false">-$E53*N(AND(DP$3&lt;=$F53,DP$4&gt;=$F53))</f>
        <v>-0</v>
      </c>
      <c r="DQ53" s="47" t="n">
        <f aca="false">-$E53*N(AND(DQ$3&lt;=$F53,DQ$4&gt;=$F53))</f>
        <v>-0</v>
      </c>
      <c r="DR53" s="47" t="n">
        <f aca="false">-$E53*N(AND(DR$3&lt;=$F53,DR$4&gt;=$F53))</f>
        <v>-0</v>
      </c>
      <c r="DS53" s="47" t="n">
        <f aca="false">-$E53*N(AND(DS$3&lt;=$F53,DS$4&gt;=$F53))</f>
        <v>-0</v>
      </c>
      <c r="DT53" s="47" t="n">
        <f aca="false">-$E53*N(AND(DT$3&lt;=$F53,DT$4&gt;=$F53))</f>
        <v>-0</v>
      </c>
      <c r="DU53" s="47" t="n">
        <f aca="false">-$E53*N(AND(DU$3&lt;=$F53,DU$4&gt;=$F53))</f>
        <v>-0</v>
      </c>
      <c r="DV53" s="47" t="n">
        <f aca="false">-$E53*N(AND(DV$3&lt;=$F53,DV$4&gt;=$F53))</f>
        <v>-0</v>
      </c>
      <c r="DW53" s="47" t="n">
        <f aca="false">-$E53*N(AND(DW$3&lt;=$F53,DW$4&gt;=$F53))</f>
        <v>-0</v>
      </c>
      <c r="DX53" s="47" t="n">
        <f aca="false">-$E53*N(AND(DX$3&lt;=$F53,DX$4&gt;=$F53))</f>
        <v>-0</v>
      </c>
      <c r="DY53" s="47" t="n">
        <f aca="false">-$E53*N(AND(DY$3&lt;=$F53,DY$4&gt;=$F53))</f>
        <v>-0</v>
      </c>
      <c r="DZ53" s="47" t="n">
        <f aca="false">-$E53*N(AND(DZ$3&lt;=$F53,DZ$4&gt;=$F53))</f>
        <v>-0</v>
      </c>
      <c r="EA53" s="47" t="n">
        <f aca="false">-$E53*N(AND(EA$3&lt;=$F53,EA$4&gt;=$F53))</f>
        <v>-0</v>
      </c>
      <c r="EB53" s="47" t="n">
        <f aca="false">-$E53*N(AND(EB$3&lt;=$F53,EB$4&gt;=$F53))</f>
        <v>-0</v>
      </c>
      <c r="EC53" s="47" t="n">
        <f aca="false">-$E53*N(AND(EC$3&lt;=$F53,EC$4&gt;=$F53))</f>
        <v>-0</v>
      </c>
      <c r="ED53" s="47" t="n">
        <f aca="false">-$E53*N(AND(ED$3&lt;=$F53,ED$4&gt;=$F53))</f>
        <v>-0</v>
      </c>
      <c r="EE53" s="47" t="n">
        <f aca="false">-$E53*N(AND(EE$3&lt;=$F53,EE$4&gt;=$F53))</f>
        <v>-0</v>
      </c>
      <c r="EF53" s="47" t="n">
        <f aca="false">-$E53*N(AND(EF$3&lt;=$F53,EF$4&gt;=$F53))</f>
        <v>-0</v>
      </c>
      <c r="EG53" s="47" t="n">
        <f aca="false">-$E53*N(AND(EG$3&lt;=$F53,EG$4&gt;=$F53))</f>
        <v>-0</v>
      </c>
      <c r="EH53" s="47" t="n">
        <f aca="false">-$E53*N(AND(EH$3&lt;=$F53,EH$4&gt;=$F53))</f>
        <v>-0</v>
      </c>
      <c r="EI53" s="47" t="n">
        <f aca="false">-$E53*N(AND(EI$3&lt;=$F53,EI$4&gt;=$F53))</f>
        <v>-0</v>
      </c>
      <c r="EJ53" s="47" t="n">
        <f aca="false">-$E53*N(AND(EJ$3&lt;=$F53,EJ$4&gt;=$F53))</f>
        <v>-0</v>
      </c>
      <c r="EK53" s="47" t="n">
        <f aca="false">-$E53*N(AND(EK$3&lt;=$F53,EK$4&gt;=$F53))</f>
        <v>-0</v>
      </c>
      <c r="EL53" s="47" t="n">
        <f aca="false">-$E53*N(AND(EL$3&lt;=$F53,EL$4&gt;=$F53))</f>
        <v>-0</v>
      </c>
      <c r="EM53" s="47" t="n">
        <f aca="false">-$E53*N(AND(EM$3&lt;=$F53,EM$4&gt;=$F53))</f>
        <v>-0</v>
      </c>
      <c r="EN53" s="47" t="n">
        <f aca="false">-$E53*N(AND(EN$3&lt;=$F53,EN$4&gt;=$F53))</f>
        <v>-0</v>
      </c>
      <c r="EO53" s="47" t="n">
        <f aca="false">-$E53*N(AND(EO$3&lt;=$F53,EO$4&gt;=$F53))</f>
        <v>-0</v>
      </c>
    </row>
    <row r="54" customFormat="false" ht="15" hidden="false" customHeight="false" outlineLevel="0" collapsed="false">
      <c r="C54" s="0" t="s">
        <v>425</v>
      </c>
      <c r="D54" s="11" t="s">
        <v>33</v>
      </c>
      <c r="E54" s="47" t="n">
        <f aca="false">(In_Indirect_Fee-In_TSO_Security)*In_MVA*Thousand/In_FX</f>
        <v>6894.54917808219</v>
      </c>
      <c r="F54" s="20" t="n">
        <f aca="false">In_HCSSZ_Date</f>
        <v>47126</v>
      </c>
      <c r="I54" s="47" t="n">
        <f aca="false">SUM(J54:EO54)</f>
        <v>-6894.54917808219</v>
      </c>
      <c r="J54" s="47" t="n">
        <f aca="false">-$E54*N(AND(J$3&lt;=$F54,J$4&gt;=$F54))</f>
        <v>-0</v>
      </c>
      <c r="K54" s="47" t="n">
        <f aca="false">-$E54*N(AND(K$3&lt;=$F54,K$4&gt;=$F54))</f>
        <v>-0</v>
      </c>
      <c r="L54" s="47" t="n">
        <f aca="false">-$E54*N(AND(L$3&lt;=$F54,L$4&gt;=$F54))</f>
        <v>-0</v>
      </c>
      <c r="M54" s="47" t="n">
        <f aca="false">-$E54*N(AND(M$3&lt;=$F54,M$4&gt;=$F54))</f>
        <v>-0</v>
      </c>
      <c r="N54" s="47" t="n">
        <f aca="false">-$E54*N(AND(N$3&lt;=$F54,N$4&gt;=$F54))</f>
        <v>-0</v>
      </c>
      <c r="O54" s="47" t="n">
        <f aca="false">-$E54*N(AND(O$3&lt;=$F54,O$4&gt;=$F54))</f>
        <v>-0</v>
      </c>
      <c r="P54" s="47" t="n">
        <f aca="false">-$E54*N(AND(P$3&lt;=$F54,P$4&gt;=$F54))</f>
        <v>-0</v>
      </c>
      <c r="Q54" s="47" t="n">
        <f aca="false">-$E54*N(AND(Q$3&lt;=$F54,Q$4&gt;=$F54))</f>
        <v>-0</v>
      </c>
      <c r="R54" s="47" t="n">
        <f aca="false">-$E54*N(AND(R$3&lt;=$F54,R$4&gt;=$F54))</f>
        <v>-0</v>
      </c>
      <c r="S54" s="47" t="n">
        <f aca="false">-$E54*N(AND(S$3&lt;=$F54,S$4&gt;=$F54))</f>
        <v>-6894.54917808219</v>
      </c>
      <c r="T54" s="47" t="n">
        <f aca="false">-$E54*N(AND(T$3&lt;=$F54,T$4&gt;=$F54))</f>
        <v>-0</v>
      </c>
      <c r="U54" s="47" t="n">
        <f aca="false">-$E54*N(AND(U$3&lt;=$F54,U$4&gt;=$F54))</f>
        <v>-0</v>
      </c>
      <c r="V54" s="47" t="n">
        <f aca="false">-$E54*N(AND(V$3&lt;=$F54,V$4&gt;=$F54))</f>
        <v>-0</v>
      </c>
      <c r="W54" s="47" t="n">
        <f aca="false">-$E54*N(AND(W$3&lt;=$F54,W$4&gt;=$F54))</f>
        <v>-0</v>
      </c>
      <c r="X54" s="47" t="n">
        <f aca="false">-$E54*N(AND(X$3&lt;=$F54,X$4&gt;=$F54))</f>
        <v>-0</v>
      </c>
      <c r="Y54" s="47" t="n">
        <f aca="false">-$E54*N(AND(Y$3&lt;=$F54,Y$4&gt;=$F54))</f>
        <v>-0</v>
      </c>
      <c r="Z54" s="47" t="n">
        <f aca="false">-$E54*N(AND(Z$3&lt;=$F54,Z$4&gt;=$F54))</f>
        <v>-0</v>
      </c>
      <c r="AA54" s="47" t="n">
        <f aca="false">-$E54*N(AND(AA$3&lt;=$F54,AA$4&gt;=$F54))</f>
        <v>-0</v>
      </c>
      <c r="AB54" s="47" t="n">
        <f aca="false">-$E54*N(AND(AB$3&lt;=$F54,AB$4&gt;=$F54))</f>
        <v>-0</v>
      </c>
      <c r="AC54" s="47" t="n">
        <f aca="false">-$E54*N(AND(AC$3&lt;=$F54,AC$4&gt;=$F54))</f>
        <v>-0</v>
      </c>
      <c r="AD54" s="47" t="n">
        <f aca="false">-$E54*N(AND(AD$3&lt;=$F54,AD$4&gt;=$F54))</f>
        <v>-0</v>
      </c>
      <c r="AE54" s="47" t="n">
        <f aca="false">-$E54*N(AND(AE$3&lt;=$F54,AE$4&gt;=$F54))</f>
        <v>-0</v>
      </c>
      <c r="AF54" s="47" t="n">
        <f aca="false">-$E54*N(AND(AF$3&lt;=$F54,AF$4&gt;=$F54))</f>
        <v>-0</v>
      </c>
      <c r="AG54" s="47" t="n">
        <f aca="false">-$E54*N(AND(AG$3&lt;=$F54,AG$4&gt;=$F54))</f>
        <v>-0</v>
      </c>
      <c r="AH54" s="47" t="n">
        <f aca="false">-$E54*N(AND(AH$3&lt;=$F54,AH$4&gt;=$F54))</f>
        <v>-0</v>
      </c>
      <c r="AI54" s="47" t="n">
        <f aca="false">-$E54*N(AND(AI$3&lt;=$F54,AI$4&gt;=$F54))</f>
        <v>-0</v>
      </c>
      <c r="AJ54" s="47" t="n">
        <f aca="false">-$E54*N(AND(AJ$3&lt;=$F54,AJ$4&gt;=$F54))</f>
        <v>-0</v>
      </c>
      <c r="AK54" s="47" t="n">
        <f aca="false">-$E54*N(AND(AK$3&lt;=$F54,AK$4&gt;=$F54))</f>
        <v>-0</v>
      </c>
      <c r="AL54" s="47" t="n">
        <f aca="false">-$E54*N(AND(AL$3&lt;=$F54,AL$4&gt;=$F54))</f>
        <v>-0</v>
      </c>
      <c r="AM54" s="47" t="n">
        <f aca="false">-$E54*N(AND(AM$3&lt;=$F54,AM$4&gt;=$F54))</f>
        <v>-0</v>
      </c>
      <c r="AN54" s="47" t="n">
        <f aca="false">-$E54*N(AND(AN$3&lt;=$F54,AN$4&gt;=$F54))</f>
        <v>-0</v>
      </c>
      <c r="AO54" s="47" t="n">
        <f aca="false">-$E54*N(AND(AO$3&lt;=$F54,AO$4&gt;=$F54))</f>
        <v>-0</v>
      </c>
      <c r="AP54" s="47" t="n">
        <f aca="false">-$E54*N(AND(AP$3&lt;=$F54,AP$4&gt;=$F54))</f>
        <v>-0</v>
      </c>
      <c r="AQ54" s="47" t="n">
        <f aca="false">-$E54*N(AND(AQ$3&lt;=$F54,AQ$4&gt;=$F54))</f>
        <v>-0</v>
      </c>
      <c r="AR54" s="47" t="n">
        <f aca="false">-$E54*N(AND(AR$3&lt;=$F54,AR$4&gt;=$F54))</f>
        <v>-0</v>
      </c>
      <c r="AS54" s="47" t="n">
        <f aca="false">-$E54*N(AND(AS$3&lt;=$F54,AS$4&gt;=$F54))</f>
        <v>-0</v>
      </c>
      <c r="AT54" s="47" t="n">
        <f aca="false">-$E54*N(AND(AT$3&lt;=$F54,AT$4&gt;=$F54))</f>
        <v>-0</v>
      </c>
      <c r="AU54" s="47" t="n">
        <f aca="false">-$E54*N(AND(AU$3&lt;=$F54,AU$4&gt;=$F54))</f>
        <v>-0</v>
      </c>
      <c r="AV54" s="47" t="n">
        <f aca="false">-$E54*N(AND(AV$3&lt;=$F54,AV$4&gt;=$F54))</f>
        <v>-0</v>
      </c>
      <c r="AW54" s="47" t="n">
        <f aca="false">-$E54*N(AND(AW$3&lt;=$F54,AW$4&gt;=$F54))</f>
        <v>-0</v>
      </c>
      <c r="AX54" s="47" t="n">
        <f aca="false">-$E54*N(AND(AX$3&lt;=$F54,AX$4&gt;=$F54))</f>
        <v>-0</v>
      </c>
      <c r="AY54" s="47" t="n">
        <f aca="false">-$E54*N(AND(AY$3&lt;=$F54,AY$4&gt;=$F54))</f>
        <v>-0</v>
      </c>
      <c r="AZ54" s="47" t="n">
        <f aca="false">-$E54*N(AND(AZ$3&lt;=$F54,AZ$4&gt;=$F54))</f>
        <v>-0</v>
      </c>
      <c r="BA54" s="47" t="n">
        <f aca="false">-$E54*N(AND(BA$3&lt;=$F54,BA$4&gt;=$F54))</f>
        <v>-0</v>
      </c>
      <c r="BB54" s="47" t="n">
        <f aca="false">-$E54*N(AND(BB$3&lt;=$F54,BB$4&gt;=$F54))</f>
        <v>-0</v>
      </c>
      <c r="BC54" s="47" t="n">
        <f aca="false">-$E54*N(AND(BC$3&lt;=$F54,BC$4&gt;=$F54))</f>
        <v>-0</v>
      </c>
      <c r="BD54" s="47" t="n">
        <f aca="false">-$E54*N(AND(BD$3&lt;=$F54,BD$4&gt;=$F54))</f>
        <v>-0</v>
      </c>
      <c r="BE54" s="47" t="n">
        <f aca="false">-$E54*N(AND(BE$3&lt;=$F54,BE$4&gt;=$F54))</f>
        <v>-0</v>
      </c>
      <c r="BF54" s="47" t="n">
        <f aca="false">-$E54*N(AND(BF$3&lt;=$F54,BF$4&gt;=$F54))</f>
        <v>-0</v>
      </c>
      <c r="BG54" s="47" t="n">
        <f aca="false">-$E54*N(AND(BG$3&lt;=$F54,BG$4&gt;=$F54))</f>
        <v>-0</v>
      </c>
      <c r="BH54" s="47" t="n">
        <f aca="false">-$E54*N(AND(BH$3&lt;=$F54,BH$4&gt;=$F54))</f>
        <v>-0</v>
      </c>
      <c r="BI54" s="47" t="n">
        <f aca="false">-$E54*N(AND(BI$3&lt;=$F54,BI$4&gt;=$F54))</f>
        <v>-0</v>
      </c>
      <c r="BJ54" s="47" t="n">
        <f aca="false">-$E54*N(AND(BJ$3&lt;=$F54,BJ$4&gt;=$F54))</f>
        <v>-0</v>
      </c>
      <c r="BK54" s="47" t="n">
        <f aca="false">-$E54*N(AND(BK$3&lt;=$F54,BK$4&gt;=$F54))</f>
        <v>-0</v>
      </c>
      <c r="BL54" s="47" t="n">
        <f aca="false">-$E54*N(AND(BL$3&lt;=$F54,BL$4&gt;=$F54))</f>
        <v>-0</v>
      </c>
      <c r="BM54" s="47" t="n">
        <f aca="false">-$E54*N(AND(BM$3&lt;=$F54,BM$4&gt;=$F54))</f>
        <v>-0</v>
      </c>
      <c r="BN54" s="47" t="n">
        <f aca="false">-$E54*N(AND(BN$3&lt;=$F54,BN$4&gt;=$F54))</f>
        <v>-0</v>
      </c>
      <c r="BO54" s="47" t="n">
        <f aca="false">-$E54*N(AND(BO$3&lt;=$F54,BO$4&gt;=$F54))</f>
        <v>-0</v>
      </c>
      <c r="BP54" s="47" t="n">
        <f aca="false">-$E54*N(AND(BP$3&lt;=$F54,BP$4&gt;=$F54))</f>
        <v>-0</v>
      </c>
      <c r="BQ54" s="47" t="n">
        <f aca="false">-$E54*N(AND(BQ$3&lt;=$F54,BQ$4&gt;=$F54))</f>
        <v>-0</v>
      </c>
      <c r="BR54" s="47" t="n">
        <f aca="false">-$E54*N(AND(BR$3&lt;=$F54,BR$4&gt;=$F54))</f>
        <v>-0</v>
      </c>
      <c r="BS54" s="47" t="n">
        <f aca="false">-$E54*N(AND(BS$3&lt;=$F54,BS$4&gt;=$F54))</f>
        <v>-0</v>
      </c>
      <c r="BT54" s="47" t="n">
        <f aca="false">-$E54*N(AND(BT$3&lt;=$F54,BT$4&gt;=$F54))</f>
        <v>-0</v>
      </c>
      <c r="BU54" s="47" t="n">
        <f aca="false">-$E54*N(AND(BU$3&lt;=$F54,BU$4&gt;=$F54))</f>
        <v>-0</v>
      </c>
      <c r="BV54" s="47" t="n">
        <f aca="false">-$E54*N(AND(BV$3&lt;=$F54,BV$4&gt;=$F54))</f>
        <v>-0</v>
      </c>
      <c r="BW54" s="47" t="n">
        <f aca="false">-$E54*N(AND(BW$3&lt;=$F54,BW$4&gt;=$F54))</f>
        <v>-0</v>
      </c>
      <c r="BX54" s="47" t="n">
        <f aca="false">-$E54*N(AND(BX$3&lt;=$F54,BX$4&gt;=$F54))</f>
        <v>-0</v>
      </c>
      <c r="BY54" s="47" t="n">
        <f aca="false">-$E54*N(AND(BY$3&lt;=$F54,BY$4&gt;=$F54))</f>
        <v>-0</v>
      </c>
      <c r="BZ54" s="47" t="n">
        <f aca="false">-$E54*N(AND(BZ$3&lt;=$F54,BZ$4&gt;=$F54))</f>
        <v>-0</v>
      </c>
      <c r="CA54" s="47" t="n">
        <f aca="false">-$E54*N(AND(CA$3&lt;=$F54,CA$4&gt;=$F54))</f>
        <v>-0</v>
      </c>
      <c r="CB54" s="47" t="n">
        <f aca="false">-$E54*N(AND(CB$3&lt;=$F54,CB$4&gt;=$F54))</f>
        <v>-0</v>
      </c>
      <c r="CC54" s="47" t="n">
        <f aca="false">-$E54*N(AND(CC$3&lt;=$F54,CC$4&gt;=$F54))</f>
        <v>-0</v>
      </c>
      <c r="CD54" s="47" t="n">
        <f aca="false">-$E54*N(AND(CD$3&lt;=$F54,CD$4&gt;=$F54))</f>
        <v>-0</v>
      </c>
      <c r="CE54" s="47" t="n">
        <f aca="false">-$E54*N(AND(CE$3&lt;=$F54,CE$4&gt;=$F54))</f>
        <v>-0</v>
      </c>
      <c r="CF54" s="47" t="n">
        <f aca="false">-$E54*N(AND(CF$3&lt;=$F54,CF$4&gt;=$F54))</f>
        <v>-0</v>
      </c>
      <c r="CG54" s="47" t="n">
        <f aca="false">-$E54*N(AND(CG$3&lt;=$F54,CG$4&gt;=$F54))</f>
        <v>-0</v>
      </c>
      <c r="CH54" s="47" t="n">
        <f aca="false">-$E54*N(AND(CH$3&lt;=$F54,CH$4&gt;=$F54))</f>
        <v>-0</v>
      </c>
      <c r="CI54" s="47" t="n">
        <f aca="false">-$E54*N(AND(CI$3&lt;=$F54,CI$4&gt;=$F54))</f>
        <v>-0</v>
      </c>
      <c r="CJ54" s="47" t="n">
        <f aca="false">-$E54*N(AND(CJ$3&lt;=$F54,CJ$4&gt;=$F54))</f>
        <v>-0</v>
      </c>
      <c r="CK54" s="47" t="n">
        <f aca="false">-$E54*N(AND(CK$3&lt;=$F54,CK$4&gt;=$F54))</f>
        <v>-0</v>
      </c>
      <c r="CL54" s="47" t="n">
        <f aca="false">-$E54*N(AND(CL$3&lt;=$F54,CL$4&gt;=$F54))</f>
        <v>-0</v>
      </c>
      <c r="CM54" s="47" t="n">
        <f aca="false">-$E54*N(AND(CM$3&lt;=$F54,CM$4&gt;=$F54))</f>
        <v>-0</v>
      </c>
      <c r="CN54" s="47" t="n">
        <f aca="false">-$E54*N(AND(CN$3&lt;=$F54,CN$4&gt;=$F54))</f>
        <v>-0</v>
      </c>
      <c r="CO54" s="47" t="n">
        <f aca="false">-$E54*N(AND(CO$3&lt;=$F54,CO$4&gt;=$F54))</f>
        <v>-0</v>
      </c>
      <c r="CP54" s="47" t="n">
        <f aca="false">-$E54*N(AND(CP$3&lt;=$F54,CP$4&gt;=$F54))</f>
        <v>-0</v>
      </c>
      <c r="CQ54" s="47" t="n">
        <f aca="false">-$E54*N(AND(CQ$3&lt;=$F54,CQ$4&gt;=$F54))</f>
        <v>-0</v>
      </c>
      <c r="CR54" s="47" t="n">
        <f aca="false">-$E54*N(AND(CR$3&lt;=$F54,CR$4&gt;=$F54))</f>
        <v>-0</v>
      </c>
      <c r="CS54" s="47" t="n">
        <f aca="false">-$E54*N(AND(CS$3&lt;=$F54,CS$4&gt;=$F54))</f>
        <v>-0</v>
      </c>
      <c r="CT54" s="47" t="n">
        <f aca="false">-$E54*N(AND(CT$3&lt;=$F54,CT$4&gt;=$F54))</f>
        <v>-0</v>
      </c>
      <c r="CU54" s="47" t="n">
        <f aca="false">-$E54*N(AND(CU$3&lt;=$F54,CU$4&gt;=$F54))</f>
        <v>-0</v>
      </c>
      <c r="CV54" s="47" t="n">
        <f aca="false">-$E54*N(AND(CV$3&lt;=$F54,CV$4&gt;=$F54))</f>
        <v>-0</v>
      </c>
      <c r="CW54" s="47" t="n">
        <f aca="false">-$E54*N(AND(CW$3&lt;=$F54,CW$4&gt;=$F54))</f>
        <v>-0</v>
      </c>
      <c r="CX54" s="47" t="n">
        <f aca="false">-$E54*N(AND(CX$3&lt;=$F54,CX$4&gt;=$F54))</f>
        <v>-0</v>
      </c>
      <c r="CY54" s="47" t="n">
        <f aca="false">-$E54*N(AND(CY$3&lt;=$F54,CY$4&gt;=$F54))</f>
        <v>-0</v>
      </c>
      <c r="CZ54" s="47" t="n">
        <f aca="false">-$E54*N(AND(CZ$3&lt;=$F54,CZ$4&gt;=$F54))</f>
        <v>-0</v>
      </c>
      <c r="DA54" s="47" t="n">
        <f aca="false">-$E54*N(AND(DA$3&lt;=$F54,DA$4&gt;=$F54))</f>
        <v>-0</v>
      </c>
      <c r="DB54" s="47" t="n">
        <f aca="false">-$E54*N(AND(DB$3&lt;=$F54,DB$4&gt;=$F54))</f>
        <v>-0</v>
      </c>
      <c r="DC54" s="47" t="n">
        <f aca="false">-$E54*N(AND(DC$3&lt;=$F54,DC$4&gt;=$F54))</f>
        <v>-0</v>
      </c>
      <c r="DD54" s="47" t="n">
        <f aca="false">-$E54*N(AND(DD$3&lt;=$F54,DD$4&gt;=$F54))</f>
        <v>-0</v>
      </c>
      <c r="DE54" s="47" t="n">
        <f aca="false">-$E54*N(AND(DE$3&lt;=$F54,DE$4&gt;=$F54))</f>
        <v>-0</v>
      </c>
      <c r="DF54" s="47" t="n">
        <f aca="false">-$E54*N(AND(DF$3&lt;=$F54,DF$4&gt;=$F54))</f>
        <v>-0</v>
      </c>
      <c r="DG54" s="47" t="n">
        <f aca="false">-$E54*N(AND(DG$3&lt;=$F54,DG$4&gt;=$F54))</f>
        <v>-0</v>
      </c>
      <c r="DH54" s="47" t="n">
        <f aca="false">-$E54*N(AND(DH$3&lt;=$F54,DH$4&gt;=$F54))</f>
        <v>-0</v>
      </c>
      <c r="DI54" s="47" t="n">
        <f aca="false">-$E54*N(AND(DI$3&lt;=$F54,DI$4&gt;=$F54))</f>
        <v>-0</v>
      </c>
      <c r="DJ54" s="47" t="n">
        <f aca="false">-$E54*N(AND(DJ$3&lt;=$F54,DJ$4&gt;=$F54))</f>
        <v>-0</v>
      </c>
      <c r="DK54" s="47" t="n">
        <f aca="false">-$E54*N(AND(DK$3&lt;=$F54,DK$4&gt;=$F54))</f>
        <v>-0</v>
      </c>
      <c r="DL54" s="47" t="n">
        <f aca="false">-$E54*N(AND(DL$3&lt;=$F54,DL$4&gt;=$F54))</f>
        <v>-0</v>
      </c>
      <c r="DM54" s="47" t="n">
        <f aca="false">-$E54*N(AND(DM$3&lt;=$F54,DM$4&gt;=$F54))</f>
        <v>-0</v>
      </c>
      <c r="DN54" s="47" t="n">
        <f aca="false">-$E54*N(AND(DN$3&lt;=$F54,DN$4&gt;=$F54))</f>
        <v>-0</v>
      </c>
      <c r="DO54" s="47" t="n">
        <f aca="false">-$E54*N(AND(DO$3&lt;=$F54,DO$4&gt;=$F54))</f>
        <v>-0</v>
      </c>
      <c r="DP54" s="47" t="n">
        <f aca="false">-$E54*N(AND(DP$3&lt;=$F54,DP$4&gt;=$F54))</f>
        <v>-0</v>
      </c>
      <c r="DQ54" s="47" t="n">
        <f aca="false">-$E54*N(AND(DQ$3&lt;=$F54,DQ$4&gt;=$F54))</f>
        <v>-0</v>
      </c>
      <c r="DR54" s="47" t="n">
        <f aca="false">-$E54*N(AND(DR$3&lt;=$F54,DR$4&gt;=$F54))</f>
        <v>-0</v>
      </c>
      <c r="DS54" s="47" t="n">
        <f aca="false">-$E54*N(AND(DS$3&lt;=$F54,DS$4&gt;=$F54))</f>
        <v>-0</v>
      </c>
      <c r="DT54" s="47" t="n">
        <f aca="false">-$E54*N(AND(DT$3&lt;=$F54,DT$4&gt;=$F54))</f>
        <v>-0</v>
      </c>
      <c r="DU54" s="47" t="n">
        <f aca="false">-$E54*N(AND(DU$3&lt;=$F54,DU$4&gt;=$F54))</f>
        <v>-0</v>
      </c>
      <c r="DV54" s="47" t="n">
        <f aca="false">-$E54*N(AND(DV$3&lt;=$F54,DV$4&gt;=$F54))</f>
        <v>-0</v>
      </c>
      <c r="DW54" s="47" t="n">
        <f aca="false">-$E54*N(AND(DW$3&lt;=$F54,DW$4&gt;=$F54))</f>
        <v>-0</v>
      </c>
      <c r="DX54" s="47" t="n">
        <f aca="false">-$E54*N(AND(DX$3&lt;=$F54,DX$4&gt;=$F54))</f>
        <v>-0</v>
      </c>
      <c r="DY54" s="47" t="n">
        <f aca="false">-$E54*N(AND(DY$3&lt;=$F54,DY$4&gt;=$F54))</f>
        <v>-0</v>
      </c>
      <c r="DZ54" s="47" t="n">
        <f aca="false">-$E54*N(AND(DZ$3&lt;=$F54,DZ$4&gt;=$F54))</f>
        <v>-0</v>
      </c>
      <c r="EA54" s="47" t="n">
        <f aca="false">-$E54*N(AND(EA$3&lt;=$F54,EA$4&gt;=$F54))</f>
        <v>-0</v>
      </c>
      <c r="EB54" s="47" t="n">
        <f aca="false">-$E54*N(AND(EB$3&lt;=$F54,EB$4&gt;=$F54))</f>
        <v>-0</v>
      </c>
      <c r="EC54" s="47" t="n">
        <f aca="false">-$E54*N(AND(EC$3&lt;=$F54,EC$4&gt;=$F54))</f>
        <v>-0</v>
      </c>
      <c r="ED54" s="47" t="n">
        <f aca="false">-$E54*N(AND(ED$3&lt;=$F54,ED$4&gt;=$F54))</f>
        <v>-0</v>
      </c>
      <c r="EE54" s="47" t="n">
        <f aca="false">-$E54*N(AND(EE$3&lt;=$F54,EE$4&gt;=$F54))</f>
        <v>-0</v>
      </c>
      <c r="EF54" s="47" t="n">
        <f aca="false">-$E54*N(AND(EF$3&lt;=$F54,EF$4&gt;=$F54))</f>
        <v>-0</v>
      </c>
      <c r="EG54" s="47" t="n">
        <f aca="false">-$E54*N(AND(EG$3&lt;=$F54,EG$4&gt;=$F54))</f>
        <v>-0</v>
      </c>
      <c r="EH54" s="47" t="n">
        <f aca="false">-$E54*N(AND(EH$3&lt;=$F54,EH$4&gt;=$F54))</f>
        <v>-0</v>
      </c>
      <c r="EI54" s="47" t="n">
        <f aca="false">-$E54*N(AND(EI$3&lt;=$F54,EI$4&gt;=$F54))</f>
        <v>-0</v>
      </c>
      <c r="EJ54" s="47" t="n">
        <f aca="false">-$E54*N(AND(EJ$3&lt;=$F54,EJ$4&gt;=$F54))</f>
        <v>-0</v>
      </c>
      <c r="EK54" s="47" t="n">
        <f aca="false">-$E54*N(AND(EK$3&lt;=$F54,EK$4&gt;=$F54))</f>
        <v>-0</v>
      </c>
      <c r="EL54" s="47" t="n">
        <f aca="false">-$E54*N(AND(EL$3&lt;=$F54,EL$4&gt;=$F54))</f>
        <v>-0</v>
      </c>
      <c r="EM54" s="47" t="n">
        <f aca="false">-$E54*N(AND(EM$3&lt;=$F54,EM$4&gt;=$F54))</f>
        <v>-0</v>
      </c>
      <c r="EN54" s="47" t="n">
        <f aca="false">-$E54*N(AND(EN$3&lt;=$F54,EN$4&gt;=$F54))</f>
        <v>-0</v>
      </c>
      <c r="EO54" s="47" t="n">
        <f aca="false">-$E54*N(AND(EO$3&lt;=$F54,EO$4&gt;=$F54))</f>
        <v>-0</v>
      </c>
    </row>
    <row r="55" customFormat="false" ht="15" hidden="false" customHeight="false" outlineLevel="0" collapsed="false">
      <c r="C55" s="0" t="s">
        <v>426</v>
      </c>
      <c r="D55" s="11" t="s">
        <v>33</v>
      </c>
      <c r="I55" s="47" t="n">
        <f aca="false">SUM(J55:EO55)</f>
        <v>-8154.82315068493</v>
      </c>
      <c r="J55" s="47" t="n">
        <f aca="false">J53+J54</f>
        <v>-0</v>
      </c>
      <c r="K55" s="47" t="n">
        <f aca="false">K53+K54</f>
        <v>-0</v>
      </c>
      <c r="L55" s="47" t="n">
        <f aca="false">L53+L54</f>
        <v>-0</v>
      </c>
      <c r="M55" s="47" t="n">
        <f aca="false">M53+M54</f>
        <v>-0</v>
      </c>
      <c r="N55" s="47" t="n">
        <f aca="false">N53+N54</f>
        <v>-0</v>
      </c>
      <c r="O55" s="47" t="n">
        <f aca="false">O53+O54</f>
        <v>-0</v>
      </c>
      <c r="P55" s="47" t="n">
        <f aca="false">P53+P54</f>
        <v>-0</v>
      </c>
      <c r="Q55" s="47" t="n">
        <f aca="false">Q53+Q54</f>
        <v>-0</v>
      </c>
      <c r="R55" s="47" t="n">
        <f aca="false">R53+R54</f>
        <v>-0</v>
      </c>
      <c r="S55" s="47" t="n">
        <f aca="false">S53+S54</f>
        <v>-8154.82315068493</v>
      </c>
      <c r="T55" s="47" t="n">
        <f aca="false">T53+T54</f>
        <v>-0</v>
      </c>
      <c r="U55" s="47" t="n">
        <f aca="false">U53+U54</f>
        <v>-0</v>
      </c>
      <c r="V55" s="47" t="n">
        <f aca="false">V53+V54</f>
        <v>-0</v>
      </c>
      <c r="W55" s="47" t="n">
        <f aca="false">W53+W54</f>
        <v>-0</v>
      </c>
      <c r="X55" s="47" t="n">
        <f aca="false">X53+X54</f>
        <v>-0</v>
      </c>
      <c r="Y55" s="47" t="n">
        <f aca="false">Y53+Y54</f>
        <v>-0</v>
      </c>
      <c r="Z55" s="47" t="n">
        <f aca="false">Z53+Z54</f>
        <v>-0</v>
      </c>
      <c r="AA55" s="47" t="n">
        <f aca="false">AA53+AA54</f>
        <v>-0</v>
      </c>
      <c r="AB55" s="47" t="n">
        <f aca="false">AB53+AB54</f>
        <v>-0</v>
      </c>
      <c r="AC55" s="47" t="n">
        <f aca="false">AC53+AC54</f>
        <v>-0</v>
      </c>
      <c r="AD55" s="47" t="n">
        <f aca="false">AD53+AD54</f>
        <v>-0</v>
      </c>
      <c r="AE55" s="47" t="n">
        <f aca="false">AE53+AE54</f>
        <v>-0</v>
      </c>
      <c r="AF55" s="47" t="n">
        <f aca="false">AF53+AF54</f>
        <v>-0</v>
      </c>
      <c r="AG55" s="47" t="n">
        <f aca="false">AG53+AG54</f>
        <v>-0</v>
      </c>
      <c r="AH55" s="47" t="n">
        <f aca="false">AH53+AH54</f>
        <v>-0</v>
      </c>
      <c r="AI55" s="47" t="n">
        <f aca="false">AI53+AI54</f>
        <v>-0</v>
      </c>
      <c r="AJ55" s="47" t="n">
        <f aca="false">AJ53+AJ54</f>
        <v>-0</v>
      </c>
      <c r="AK55" s="47" t="n">
        <f aca="false">AK53+AK54</f>
        <v>-0</v>
      </c>
      <c r="AL55" s="47" t="n">
        <f aca="false">AL53+AL54</f>
        <v>-0</v>
      </c>
      <c r="AM55" s="47" t="n">
        <f aca="false">AM53+AM54</f>
        <v>-0</v>
      </c>
      <c r="AN55" s="47" t="n">
        <f aca="false">AN53+AN54</f>
        <v>-0</v>
      </c>
      <c r="AO55" s="47" t="n">
        <f aca="false">AO53+AO54</f>
        <v>-0</v>
      </c>
      <c r="AP55" s="47" t="n">
        <f aca="false">AP53+AP54</f>
        <v>-0</v>
      </c>
      <c r="AQ55" s="47" t="n">
        <f aca="false">AQ53+AQ54</f>
        <v>-0</v>
      </c>
      <c r="AR55" s="47" t="n">
        <f aca="false">AR53+AR54</f>
        <v>-0</v>
      </c>
      <c r="AS55" s="47" t="n">
        <f aca="false">AS53+AS54</f>
        <v>-0</v>
      </c>
      <c r="AT55" s="47" t="n">
        <f aca="false">AT53+AT54</f>
        <v>-0</v>
      </c>
      <c r="AU55" s="47" t="n">
        <f aca="false">AU53+AU54</f>
        <v>-0</v>
      </c>
      <c r="AV55" s="47" t="n">
        <f aca="false">AV53+AV54</f>
        <v>-0</v>
      </c>
      <c r="AW55" s="47" t="n">
        <f aca="false">AW53+AW54</f>
        <v>-0</v>
      </c>
      <c r="AX55" s="47" t="n">
        <f aca="false">AX53+AX54</f>
        <v>-0</v>
      </c>
      <c r="AY55" s="47" t="n">
        <f aca="false">AY53+AY54</f>
        <v>-0</v>
      </c>
      <c r="AZ55" s="47" t="n">
        <f aca="false">AZ53+AZ54</f>
        <v>-0</v>
      </c>
      <c r="BA55" s="47" t="n">
        <f aca="false">BA53+BA54</f>
        <v>-0</v>
      </c>
      <c r="BB55" s="47" t="n">
        <f aca="false">BB53+BB54</f>
        <v>-0</v>
      </c>
      <c r="BC55" s="47" t="n">
        <f aca="false">BC53+BC54</f>
        <v>-0</v>
      </c>
      <c r="BD55" s="47" t="n">
        <f aca="false">BD53+BD54</f>
        <v>-0</v>
      </c>
      <c r="BE55" s="47" t="n">
        <f aca="false">BE53+BE54</f>
        <v>-0</v>
      </c>
      <c r="BF55" s="47" t="n">
        <f aca="false">BF53+BF54</f>
        <v>-0</v>
      </c>
      <c r="BG55" s="47" t="n">
        <f aca="false">BG53+BG54</f>
        <v>-0</v>
      </c>
      <c r="BH55" s="47" t="n">
        <f aca="false">BH53+BH54</f>
        <v>-0</v>
      </c>
      <c r="BI55" s="47" t="n">
        <f aca="false">BI53+BI54</f>
        <v>-0</v>
      </c>
      <c r="BJ55" s="47" t="n">
        <f aca="false">BJ53+BJ54</f>
        <v>-0</v>
      </c>
      <c r="BK55" s="47" t="n">
        <f aca="false">BK53+BK54</f>
        <v>-0</v>
      </c>
      <c r="BL55" s="47" t="n">
        <f aca="false">BL53+BL54</f>
        <v>-0</v>
      </c>
      <c r="BM55" s="47" t="n">
        <f aca="false">BM53+BM54</f>
        <v>-0</v>
      </c>
      <c r="BN55" s="47" t="n">
        <f aca="false">BN53+BN54</f>
        <v>-0</v>
      </c>
      <c r="BO55" s="47" t="n">
        <f aca="false">BO53+BO54</f>
        <v>-0</v>
      </c>
      <c r="BP55" s="47" t="n">
        <f aca="false">BP53+BP54</f>
        <v>-0</v>
      </c>
      <c r="BQ55" s="47" t="n">
        <f aca="false">BQ53+BQ54</f>
        <v>-0</v>
      </c>
      <c r="BR55" s="47" t="n">
        <f aca="false">BR53+BR54</f>
        <v>-0</v>
      </c>
      <c r="BS55" s="47" t="n">
        <f aca="false">BS53+BS54</f>
        <v>-0</v>
      </c>
      <c r="BT55" s="47" t="n">
        <f aca="false">BT53+BT54</f>
        <v>-0</v>
      </c>
      <c r="BU55" s="47" t="n">
        <f aca="false">BU53+BU54</f>
        <v>-0</v>
      </c>
      <c r="BV55" s="47" t="n">
        <f aca="false">BV53+BV54</f>
        <v>-0</v>
      </c>
      <c r="BW55" s="47" t="n">
        <f aca="false">BW53+BW54</f>
        <v>-0</v>
      </c>
      <c r="BX55" s="47" t="n">
        <f aca="false">BX53+BX54</f>
        <v>-0</v>
      </c>
      <c r="BY55" s="47" t="n">
        <f aca="false">BY53+BY54</f>
        <v>-0</v>
      </c>
      <c r="BZ55" s="47" t="n">
        <f aca="false">BZ53+BZ54</f>
        <v>-0</v>
      </c>
      <c r="CA55" s="47" t="n">
        <f aca="false">CA53+CA54</f>
        <v>-0</v>
      </c>
      <c r="CB55" s="47" t="n">
        <f aca="false">CB53+CB54</f>
        <v>-0</v>
      </c>
      <c r="CC55" s="47" t="n">
        <f aca="false">CC53+CC54</f>
        <v>-0</v>
      </c>
      <c r="CD55" s="47" t="n">
        <f aca="false">CD53+CD54</f>
        <v>-0</v>
      </c>
      <c r="CE55" s="47" t="n">
        <f aca="false">CE53+CE54</f>
        <v>-0</v>
      </c>
      <c r="CF55" s="47" t="n">
        <f aca="false">CF53+CF54</f>
        <v>-0</v>
      </c>
      <c r="CG55" s="47" t="n">
        <f aca="false">CG53+CG54</f>
        <v>-0</v>
      </c>
      <c r="CH55" s="47" t="n">
        <f aca="false">CH53+CH54</f>
        <v>-0</v>
      </c>
      <c r="CI55" s="47" t="n">
        <f aca="false">CI53+CI54</f>
        <v>-0</v>
      </c>
      <c r="CJ55" s="47" t="n">
        <f aca="false">CJ53+CJ54</f>
        <v>-0</v>
      </c>
      <c r="CK55" s="47" t="n">
        <f aca="false">CK53+CK54</f>
        <v>-0</v>
      </c>
      <c r="CL55" s="47" t="n">
        <f aca="false">CL53+CL54</f>
        <v>-0</v>
      </c>
      <c r="CM55" s="47" t="n">
        <f aca="false">CM53+CM54</f>
        <v>-0</v>
      </c>
      <c r="CN55" s="47" t="n">
        <f aca="false">CN53+CN54</f>
        <v>-0</v>
      </c>
      <c r="CO55" s="47" t="n">
        <f aca="false">CO53+CO54</f>
        <v>-0</v>
      </c>
      <c r="CP55" s="47" t="n">
        <f aca="false">CP53+CP54</f>
        <v>-0</v>
      </c>
      <c r="CQ55" s="47" t="n">
        <f aca="false">CQ53+CQ54</f>
        <v>-0</v>
      </c>
      <c r="CR55" s="47" t="n">
        <f aca="false">CR53+CR54</f>
        <v>-0</v>
      </c>
      <c r="CS55" s="47" t="n">
        <f aca="false">CS53+CS54</f>
        <v>-0</v>
      </c>
      <c r="CT55" s="47" t="n">
        <f aca="false">CT53+CT54</f>
        <v>-0</v>
      </c>
      <c r="CU55" s="47" t="n">
        <f aca="false">CU53+CU54</f>
        <v>-0</v>
      </c>
      <c r="CV55" s="47" t="n">
        <f aca="false">CV53+CV54</f>
        <v>-0</v>
      </c>
      <c r="CW55" s="47" t="n">
        <f aca="false">CW53+CW54</f>
        <v>-0</v>
      </c>
      <c r="CX55" s="47" t="n">
        <f aca="false">CX53+CX54</f>
        <v>-0</v>
      </c>
      <c r="CY55" s="47" t="n">
        <f aca="false">CY53+CY54</f>
        <v>-0</v>
      </c>
      <c r="CZ55" s="47" t="n">
        <f aca="false">CZ53+CZ54</f>
        <v>-0</v>
      </c>
      <c r="DA55" s="47" t="n">
        <f aca="false">DA53+DA54</f>
        <v>-0</v>
      </c>
      <c r="DB55" s="47" t="n">
        <f aca="false">DB53+DB54</f>
        <v>-0</v>
      </c>
      <c r="DC55" s="47" t="n">
        <f aca="false">DC53+DC54</f>
        <v>-0</v>
      </c>
      <c r="DD55" s="47" t="n">
        <f aca="false">DD53+DD54</f>
        <v>-0</v>
      </c>
      <c r="DE55" s="47" t="n">
        <f aca="false">DE53+DE54</f>
        <v>-0</v>
      </c>
      <c r="DF55" s="47" t="n">
        <f aca="false">DF53+DF54</f>
        <v>-0</v>
      </c>
      <c r="DG55" s="47" t="n">
        <f aca="false">DG53+DG54</f>
        <v>-0</v>
      </c>
      <c r="DH55" s="47" t="n">
        <f aca="false">DH53+DH54</f>
        <v>-0</v>
      </c>
      <c r="DI55" s="47" t="n">
        <f aca="false">DI53+DI54</f>
        <v>-0</v>
      </c>
      <c r="DJ55" s="47" t="n">
        <f aca="false">DJ53+DJ54</f>
        <v>-0</v>
      </c>
      <c r="DK55" s="47" t="n">
        <f aca="false">DK53+DK54</f>
        <v>-0</v>
      </c>
      <c r="DL55" s="47" t="n">
        <f aca="false">DL53+DL54</f>
        <v>-0</v>
      </c>
      <c r="DM55" s="47" t="n">
        <f aca="false">DM53+DM54</f>
        <v>-0</v>
      </c>
      <c r="DN55" s="47" t="n">
        <f aca="false">DN53+DN54</f>
        <v>-0</v>
      </c>
      <c r="DO55" s="47" t="n">
        <f aca="false">DO53+DO54</f>
        <v>-0</v>
      </c>
      <c r="DP55" s="47" t="n">
        <f aca="false">DP53+DP54</f>
        <v>-0</v>
      </c>
      <c r="DQ55" s="47" t="n">
        <f aca="false">DQ53+DQ54</f>
        <v>-0</v>
      </c>
      <c r="DR55" s="47" t="n">
        <f aca="false">DR53+DR54</f>
        <v>-0</v>
      </c>
      <c r="DS55" s="47" t="n">
        <f aca="false">DS53+DS54</f>
        <v>-0</v>
      </c>
      <c r="DT55" s="47" t="n">
        <f aca="false">DT53+DT54</f>
        <v>-0</v>
      </c>
      <c r="DU55" s="47" t="n">
        <f aca="false">DU53+DU54</f>
        <v>-0</v>
      </c>
      <c r="DV55" s="47" t="n">
        <f aca="false">DV53+DV54</f>
        <v>-0</v>
      </c>
      <c r="DW55" s="47" t="n">
        <f aca="false">DW53+DW54</f>
        <v>-0</v>
      </c>
      <c r="DX55" s="47" t="n">
        <f aca="false">DX53+DX54</f>
        <v>-0</v>
      </c>
      <c r="DY55" s="47" t="n">
        <f aca="false">DY53+DY54</f>
        <v>-0</v>
      </c>
      <c r="DZ55" s="47" t="n">
        <f aca="false">DZ53+DZ54</f>
        <v>-0</v>
      </c>
      <c r="EA55" s="47" t="n">
        <f aca="false">EA53+EA54</f>
        <v>-0</v>
      </c>
      <c r="EB55" s="47" t="n">
        <f aca="false">EB53+EB54</f>
        <v>-0</v>
      </c>
      <c r="EC55" s="47" t="n">
        <f aca="false">EC53+EC54</f>
        <v>-0</v>
      </c>
      <c r="ED55" s="47" t="n">
        <f aca="false">ED53+ED54</f>
        <v>-0</v>
      </c>
      <c r="EE55" s="47" t="n">
        <f aca="false">EE53+EE54</f>
        <v>-0</v>
      </c>
      <c r="EF55" s="47" t="n">
        <f aca="false">EF53+EF54</f>
        <v>-0</v>
      </c>
      <c r="EG55" s="47" t="n">
        <f aca="false">EG53+EG54</f>
        <v>-0</v>
      </c>
      <c r="EH55" s="47" t="n">
        <f aca="false">EH53+EH54</f>
        <v>-0</v>
      </c>
      <c r="EI55" s="47" t="n">
        <f aca="false">EI53+EI54</f>
        <v>-0</v>
      </c>
      <c r="EJ55" s="47" t="n">
        <f aca="false">EJ53+EJ54</f>
        <v>-0</v>
      </c>
      <c r="EK55" s="47" t="n">
        <f aca="false">EK53+EK54</f>
        <v>-0</v>
      </c>
      <c r="EL55" s="47" t="n">
        <f aca="false">EL53+EL54</f>
        <v>-0</v>
      </c>
      <c r="EM55" s="47" t="n">
        <f aca="false">EM53+EM54</f>
        <v>-0</v>
      </c>
      <c r="EN55" s="47" t="n">
        <f aca="false">EN53+EN54</f>
        <v>-0</v>
      </c>
      <c r="EO55" s="47" t="n">
        <f aca="false">EO53+EO54</f>
        <v>-0</v>
      </c>
    </row>
    <row r="56" customFormat="false" ht="15" hidden="false" customHeight="false" outlineLevel="0" collapsed="false">
      <c r="C56" s="0" t="s">
        <v>427</v>
      </c>
      <c r="D56" s="11" t="s">
        <v>33</v>
      </c>
      <c r="E56" s="47" t="n">
        <f aca="false">SUMIF($J$4:$EO$4,"&lt;="&amp;In_COD,$J56:$EO56)</f>
        <v>-490.264019515857</v>
      </c>
      <c r="I56" s="47" t="n">
        <f aca="false">SUM(J56:EO56)</f>
        <v>-822.911945956089</v>
      </c>
      <c r="J56" s="47" t="n">
        <f aca="false">-(J50+J51)*In_Guarantee_Fee*J$5/Days_In_Year</f>
        <v>-4.5907599924939</v>
      </c>
      <c r="K56" s="47" t="n">
        <f aca="false">-(K50+K51)*In_Guarantee_Fee*K$5/Days_In_Year</f>
        <v>-19.6746856821167</v>
      </c>
      <c r="L56" s="47" t="n">
        <f aca="false">-(L50+L51)*In_Guarantee_Fee*L$5/Days_In_Year</f>
        <v>-33.1554888346782</v>
      </c>
      <c r="M56" s="47" t="n">
        <f aca="false">-(M50+M51)*In_Guarantee_Fee*M$5/Days_In_Year</f>
        <v>-33.5198348658285</v>
      </c>
      <c r="N56" s="47" t="n">
        <f aca="false">-(N50+N51)*In_Guarantee_Fee*N$5/Days_In_Year</f>
        <v>-33.5198348658285</v>
      </c>
      <c r="O56" s="47" t="n">
        <f aca="false">-(O50+O51)*In_Guarantee_Fee*O$5/Days_In_Year</f>
        <v>-33.1554888346782</v>
      </c>
      <c r="P56" s="47" t="n">
        <f aca="false">-(P50+P51)*In_Guarantee_Fee*P$5/Days_In_Year</f>
        <v>-33.1554888346782</v>
      </c>
      <c r="Q56" s="47" t="n">
        <f aca="false">-(Q50+Q51)*In_Guarantee_Fee*Q$5/Days_In_Year</f>
        <v>-33.5198348658285</v>
      </c>
      <c r="R56" s="47" t="n">
        <f aca="false">-(R50+R51)*In_Guarantee_Fee*R$5/Days_In_Year</f>
        <v>-33.5198348658285</v>
      </c>
      <c r="S56" s="47" t="n">
        <f aca="false">-(S50+S51)*In_Guarantee_Fee*S$5/Days_In_Year</f>
        <v>-32.7911428035279</v>
      </c>
      <c r="T56" s="47" t="n">
        <f aca="false">-(T50+T51)*In_Guarantee_Fee*T$5/Days_In_Year</f>
        <v>-33.1554888346782</v>
      </c>
      <c r="U56" s="47" t="n">
        <f aca="false">-(U50+U51)*In_Guarantee_Fee*U$5/Days_In_Year</f>
        <v>-33.5198348658285</v>
      </c>
      <c r="V56" s="47" t="n">
        <f aca="false">-(V50+V51)*In_Guarantee_Fee*V$5/Days_In_Year</f>
        <v>-33.5198348658285</v>
      </c>
      <c r="W56" s="47" t="n">
        <f aca="false">-(W50+W51)*In_Guarantee_Fee*W$5/Days_In_Year</f>
        <v>-32.7911428035279</v>
      </c>
      <c r="X56" s="47" t="n">
        <f aca="false">-(X50+X51)*In_Guarantee_Fee*X$5/Days_In_Year</f>
        <v>-33.1554888346782</v>
      </c>
      <c r="Y56" s="47" t="n">
        <f aca="false">-(Y50+Y51)*In_Guarantee_Fee*Y$5/Days_In_Year</f>
        <v>-33.5198348658285</v>
      </c>
      <c r="Z56" s="47" t="n">
        <f aca="false">-(Z50+Z51)*In_Guarantee_Fee*Z$5/Days_In_Year</f>
        <v>-33.5198348658285</v>
      </c>
      <c r="AA56" s="47" t="n">
        <f aca="false">-(AA50+AA51)*In_Guarantee_Fee*AA$5/Days_In_Year</f>
        <v>-32.7911428035279</v>
      </c>
      <c r="AB56" s="47" t="n">
        <f aca="false">-(AB50+AB51)*In_Guarantee_Fee*AB$5/Days_In_Year</f>
        <v>-33.1554888346782</v>
      </c>
      <c r="AC56" s="47" t="n">
        <f aca="false">-(AC50+AC51)*In_Guarantee_Fee*AC$5/Days_In_Year</f>
        <v>-33.5198348658285</v>
      </c>
      <c r="AD56" s="47" t="n">
        <f aca="false">-(AD50+AD51)*In_Guarantee_Fee*AD$5/Days_In_Year</f>
        <v>-33.5198348658285</v>
      </c>
      <c r="AE56" s="47" t="n">
        <f aca="false">-(AE50+AE51)*In_Guarantee_Fee*AE$5/Days_In_Year</f>
        <v>-33.1554888346782</v>
      </c>
      <c r="AF56" s="47" t="n">
        <f aca="false">-(AF50+AF51)*In_Guarantee_Fee*AF$5/Days_In_Year</f>
        <v>-33.1554888346782</v>
      </c>
      <c r="AG56" s="47" t="n">
        <f aca="false">-(AG50+AG51)*In_Guarantee_Fee*AG$5/Days_In_Year</f>
        <v>-33.5198348658285</v>
      </c>
      <c r="AH56" s="47" t="n">
        <f aca="false">-(AH50+AH51)*In_Guarantee_Fee*AH$5/Days_In_Year</f>
        <v>-33.5198348658285</v>
      </c>
      <c r="AI56" s="47" t="n">
        <f aca="false">-(AI50+AI51)*In_Guarantee_Fee*AI$5/Days_In_Year</f>
        <v>-32.7911428035279</v>
      </c>
      <c r="AJ56" s="47" t="n">
        <f aca="false">-(AJ50+AJ51)*In_Guarantee_Fee*AJ$5/Days_In_Year</f>
        <v>-0</v>
      </c>
      <c r="AK56" s="47" t="n">
        <f aca="false">-(AK50+AK51)*In_Guarantee_Fee*AK$5/Days_In_Year</f>
        <v>-0</v>
      </c>
      <c r="AL56" s="47" t="n">
        <f aca="false">-(AL50+AL51)*In_Guarantee_Fee*AL$5/Days_In_Year</f>
        <v>-0</v>
      </c>
      <c r="AM56" s="47" t="n">
        <f aca="false">-(AM50+AM51)*In_Guarantee_Fee*AM$5/Days_In_Year</f>
        <v>-0</v>
      </c>
      <c r="AN56" s="47" t="n">
        <f aca="false">-(AN50+AN51)*In_Guarantee_Fee*AN$5/Days_In_Year</f>
        <v>-0</v>
      </c>
      <c r="AO56" s="47" t="n">
        <f aca="false">-(AO50+AO51)*In_Guarantee_Fee*AO$5/Days_In_Year</f>
        <v>-0</v>
      </c>
      <c r="AP56" s="47" t="n">
        <f aca="false">-(AP50+AP51)*In_Guarantee_Fee*AP$5/Days_In_Year</f>
        <v>-0</v>
      </c>
      <c r="AQ56" s="47" t="n">
        <f aca="false">-(AQ50+AQ51)*In_Guarantee_Fee*AQ$5/Days_In_Year</f>
        <v>-0</v>
      </c>
      <c r="AR56" s="47" t="n">
        <f aca="false">-(AR50+AR51)*In_Guarantee_Fee*AR$5/Days_In_Year</f>
        <v>-0</v>
      </c>
      <c r="AS56" s="47" t="n">
        <f aca="false">-(AS50+AS51)*In_Guarantee_Fee*AS$5/Days_In_Year</f>
        <v>-0</v>
      </c>
      <c r="AT56" s="47" t="n">
        <f aca="false">-(AT50+AT51)*In_Guarantee_Fee*AT$5/Days_In_Year</f>
        <v>-0</v>
      </c>
      <c r="AU56" s="47" t="n">
        <f aca="false">-(AU50+AU51)*In_Guarantee_Fee*AU$5/Days_In_Year</f>
        <v>-0</v>
      </c>
      <c r="AV56" s="47" t="n">
        <f aca="false">-(AV50+AV51)*In_Guarantee_Fee*AV$5/Days_In_Year</f>
        <v>-0</v>
      </c>
      <c r="AW56" s="47" t="n">
        <f aca="false">-(AW50+AW51)*In_Guarantee_Fee*AW$5/Days_In_Year</f>
        <v>-0</v>
      </c>
      <c r="AX56" s="47" t="n">
        <f aca="false">-(AX50+AX51)*In_Guarantee_Fee*AX$5/Days_In_Year</f>
        <v>-0</v>
      </c>
      <c r="AY56" s="47" t="n">
        <f aca="false">-(AY50+AY51)*In_Guarantee_Fee*AY$5/Days_In_Year</f>
        <v>-0</v>
      </c>
      <c r="AZ56" s="47" t="n">
        <f aca="false">-(AZ50+AZ51)*In_Guarantee_Fee*AZ$5/Days_In_Year</f>
        <v>-0</v>
      </c>
      <c r="BA56" s="47" t="n">
        <f aca="false">-(BA50+BA51)*In_Guarantee_Fee*BA$5/Days_In_Year</f>
        <v>-0</v>
      </c>
      <c r="BB56" s="47" t="n">
        <f aca="false">-(BB50+BB51)*In_Guarantee_Fee*BB$5/Days_In_Year</f>
        <v>-0</v>
      </c>
      <c r="BC56" s="47" t="n">
        <f aca="false">-(BC50+BC51)*In_Guarantee_Fee*BC$5/Days_In_Year</f>
        <v>-0</v>
      </c>
      <c r="BD56" s="47" t="n">
        <f aca="false">-(BD50+BD51)*In_Guarantee_Fee*BD$5/Days_In_Year</f>
        <v>-0</v>
      </c>
      <c r="BE56" s="47" t="n">
        <f aca="false">-(BE50+BE51)*In_Guarantee_Fee*BE$5/Days_In_Year</f>
        <v>-0</v>
      </c>
      <c r="BF56" s="47" t="n">
        <f aca="false">-(BF50+BF51)*In_Guarantee_Fee*BF$5/Days_In_Year</f>
        <v>-0</v>
      </c>
      <c r="BG56" s="47" t="n">
        <f aca="false">-(BG50+BG51)*In_Guarantee_Fee*BG$5/Days_In_Year</f>
        <v>-0</v>
      </c>
      <c r="BH56" s="47" t="n">
        <f aca="false">-(BH50+BH51)*In_Guarantee_Fee*BH$5/Days_In_Year</f>
        <v>-0</v>
      </c>
      <c r="BI56" s="47" t="n">
        <f aca="false">-(BI50+BI51)*In_Guarantee_Fee*BI$5/Days_In_Year</f>
        <v>-0</v>
      </c>
      <c r="BJ56" s="47" t="n">
        <f aca="false">-(BJ50+BJ51)*In_Guarantee_Fee*BJ$5/Days_In_Year</f>
        <v>-0</v>
      </c>
      <c r="BK56" s="47" t="n">
        <f aca="false">-(BK50+BK51)*In_Guarantee_Fee*BK$5/Days_In_Year</f>
        <v>-0</v>
      </c>
      <c r="BL56" s="47" t="n">
        <f aca="false">-(BL50+BL51)*In_Guarantee_Fee*BL$5/Days_In_Year</f>
        <v>-0</v>
      </c>
      <c r="BM56" s="47" t="n">
        <f aca="false">-(BM50+BM51)*In_Guarantee_Fee*BM$5/Days_In_Year</f>
        <v>-0</v>
      </c>
      <c r="BN56" s="47" t="n">
        <f aca="false">-(BN50+BN51)*In_Guarantee_Fee*BN$5/Days_In_Year</f>
        <v>-0</v>
      </c>
      <c r="BO56" s="47" t="n">
        <f aca="false">-(BO50+BO51)*In_Guarantee_Fee*BO$5/Days_In_Year</f>
        <v>-0</v>
      </c>
      <c r="BP56" s="47" t="n">
        <f aca="false">-(BP50+BP51)*In_Guarantee_Fee*BP$5/Days_In_Year</f>
        <v>-0</v>
      </c>
      <c r="BQ56" s="47" t="n">
        <f aca="false">-(BQ50+BQ51)*In_Guarantee_Fee*BQ$5/Days_In_Year</f>
        <v>-0</v>
      </c>
      <c r="BR56" s="47" t="n">
        <f aca="false">-(BR50+BR51)*In_Guarantee_Fee*BR$5/Days_In_Year</f>
        <v>-0</v>
      </c>
      <c r="BS56" s="47" t="n">
        <f aca="false">-(BS50+BS51)*In_Guarantee_Fee*BS$5/Days_In_Year</f>
        <v>-0</v>
      </c>
      <c r="BT56" s="47" t="n">
        <f aca="false">-(BT50+BT51)*In_Guarantee_Fee*BT$5/Days_In_Year</f>
        <v>-0</v>
      </c>
      <c r="BU56" s="47" t="n">
        <f aca="false">-(BU50+BU51)*In_Guarantee_Fee*BU$5/Days_In_Year</f>
        <v>-0</v>
      </c>
      <c r="BV56" s="47" t="n">
        <f aca="false">-(BV50+BV51)*In_Guarantee_Fee*BV$5/Days_In_Year</f>
        <v>-0</v>
      </c>
      <c r="BW56" s="47" t="n">
        <f aca="false">-(BW50+BW51)*In_Guarantee_Fee*BW$5/Days_In_Year</f>
        <v>-0</v>
      </c>
      <c r="BX56" s="47" t="n">
        <f aca="false">-(BX50+BX51)*In_Guarantee_Fee*BX$5/Days_In_Year</f>
        <v>-0</v>
      </c>
      <c r="BY56" s="47" t="n">
        <f aca="false">-(BY50+BY51)*In_Guarantee_Fee*BY$5/Days_In_Year</f>
        <v>-0</v>
      </c>
      <c r="BZ56" s="47" t="n">
        <f aca="false">-(BZ50+BZ51)*In_Guarantee_Fee*BZ$5/Days_In_Year</f>
        <v>-0</v>
      </c>
      <c r="CA56" s="47" t="n">
        <f aca="false">-(CA50+CA51)*In_Guarantee_Fee*CA$5/Days_In_Year</f>
        <v>-0</v>
      </c>
      <c r="CB56" s="47" t="n">
        <f aca="false">-(CB50+CB51)*In_Guarantee_Fee*CB$5/Days_In_Year</f>
        <v>-0</v>
      </c>
      <c r="CC56" s="47" t="n">
        <f aca="false">-(CC50+CC51)*In_Guarantee_Fee*CC$5/Days_In_Year</f>
        <v>-0</v>
      </c>
      <c r="CD56" s="47" t="n">
        <f aca="false">-(CD50+CD51)*In_Guarantee_Fee*CD$5/Days_In_Year</f>
        <v>-0</v>
      </c>
      <c r="CE56" s="47" t="n">
        <f aca="false">-(CE50+CE51)*In_Guarantee_Fee*CE$5/Days_In_Year</f>
        <v>-0</v>
      </c>
      <c r="CF56" s="47" t="n">
        <f aca="false">-(CF50+CF51)*In_Guarantee_Fee*CF$5/Days_In_Year</f>
        <v>-0</v>
      </c>
      <c r="CG56" s="47" t="n">
        <f aca="false">-(CG50+CG51)*In_Guarantee_Fee*CG$5/Days_In_Year</f>
        <v>-0</v>
      </c>
      <c r="CH56" s="47" t="n">
        <f aca="false">-(CH50+CH51)*In_Guarantee_Fee*CH$5/Days_In_Year</f>
        <v>-0</v>
      </c>
      <c r="CI56" s="47" t="n">
        <f aca="false">-(CI50+CI51)*In_Guarantee_Fee*CI$5/Days_In_Year</f>
        <v>-0</v>
      </c>
      <c r="CJ56" s="47" t="n">
        <f aca="false">-(CJ50+CJ51)*In_Guarantee_Fee*CJ$5/Days_In_Year</f>
        <v>-0</v>
      </c>
      <c r="CK56" s="47" t="n">
        <f aca="false">-(CK50+CK51)*In_Guarantee_Fee*CK$5/Days_In_Year</f>
        <v>-0</v>
      </c>
      <c r="CL56" s="47" t="n">
        <f aca="false">-(CL50+CL51)*In_Guarantee_Fee*CL$5/Days_In_Year</f>
        <v>-0</v>
      </c>
      <c r="CM56" s="47" t="n">
        <f aca="false">-(CM50+CM51)*In_Guarantee_Fee*CM$5/Days_In_Year</f>
        <v>-0</v>
      </c>
      <c r="CN56" s="47" t="n">
        <f aca="false">-(CN50+CN51)*In_Guarantee_Fee*CN$5/Days_In_Year</f>
        <v>-0</v>
      </c>
      <c r="CO56" s="47" t="n">
        <f aca="false">-(CO50+CO51)*In_Guarantee_Fee*CO$5/Days_In_Year</f>
        <v>-0</v>
      </c>
      <c r="CP56" s="47" t="n">
        <f aca="false">-(CP50+CP51)*In_Guarantee_Fee*CP$5/Days_In_Year</f>
        <v>-0</v>
      </c>
      <c r="CQ56" s="47" t="n">
        <f aca="false">-(CQ50+CQ51)*In_Guarantee_Fee*CQ$5/Days_In_Year</f>
        <v>-0</v>
      </c>
      <c r="CR56" s="47" t="n">
        <f aca="false">-(CR50+CR51)*In_Guarantee_Fee*CR$5/Days_In_Year</f>
        <v>-0</v>
      </c>
      <c r="CS56" s="47" t="n">
        <f aca="false">-(CS50+CS51)*In_Guarantee_Fee*CS$5/Days_In_Year</f>
        <v>-0</v>
      </c>
      <c r="CT56" s="47" t="n">
        <f aca="false">-(CT50+CT51)*In_Guarantee_Fee*CT$5/Days_In_Year</f>
        <v>-0</v>
      </c>
      <c r="CU56" s="47" t="n">
        <f aca="false">-(CU50+CU51)*In_Guarantee_Fee*CU$5/Days_In_Year</f>
        <v>-0</v>
      </c>
      <c r="CV56" s="47" t="n">
        <f aca="false">-(CV50+CV51)*In_Guarantee_Fee*CV$5/Days_In_Year</f>
        <v>-0</v>
      </c>
      <c r="CW56" s="47" t="n">
        <f aca="false">-(CW50+CW51)*In_Guarantee_Fee*CW$5/Days_In_Year</f>
        <v>-0</v>
      </c>
      <c r="CX56" s="47" t="n">
        <f aca="false">-(CX50+CX51)*In_Guarantee_Fee*CX$5/Days_In_Year</f>
        <v>-0</v>
      </c>
      <c r="CY56" s="47" t="n">
        <f aca="false">-(CY50+CY51)*In_Guarantee_Fee*CY$5/Days_In_Year</f>
        <v>-0</v>
      </c>
      <c r="CZ56" s="47" t="n">
        <f aca="false">-(CZ50+CZ51)*In_Guarantee_Fee*CZ$5/Days_In_Year</f>
        <v>-0</v>
      </c>
      <c r="DA56" s="47" t="n">
        <f aca="false">-(DA50+DA51)*In_Guarantee_Fee*DA$5/Days_In_Year</f>
        <v>-0</v>
      </c>
      <c r="DB56" s="47" t="n">
        <f aca="false">-(DB50+DB51)*In_Guarantee_Fee*DB$5/Days_In_Year</f>
        <v>-0</v>
      </c>
      <c r="DC56" s="47" t="n">
        <f aca="false">-(DC50+DC51)*In_Guarantee_Fee*DC$5/Days_In_Year</f>
        <v>-0</v>
      </c>
      <c r="DD56" s="47" t="n">
        <f aca="false">-(DD50+DD51)*In_Guarantee_Fee*DD$5/Days_In_Year</f>
        <v>-0</v>
      </c>
      <c r="DE56" s="47" t="n">
        <f aca="false">-(DE50+DE51)*In_Guarantee_Fee*DE$5/Days_In_Year</f>
        <v>-0</v>
      </c>
      <c r="DF56" s="47" t="n">
        <f aca="false">-(DF50+DF51)*In_Guarantee_Fee*DF$5/Days_In_Year</f>
        <v>-0</v>
      </c>
      <c r="DG56" s="47" t="n">
        <f aca="false">-(DG50+DG51)*In_Guarantee_Fee*DG$5/Days_In_Year</f>
        <v>-0</v>
      </c>
      <c r="DH56" s="47" t="n">
        <f aca="false">-(DH50+DH51)*In_Guarantee_Fee*DH$5/Days_In_Year</f>
        <v>-0</v>
      </c>
      <c r="DI56" s="47" t="n">
        <f aca="false">-(DI50+DI51)*In_Guarantee_Fee*DI$5/Days_In_Year</f>
        <v>-0</v>
      </c>
      <c r="DJ56" s="47" t="n">
        <f aca="false">-(DJ50+DJ51)*In_Guarantee_Fee*DJ$5/Days_In_Year</f>
        <v>-0</v>
      </c>
      <c r="DK56" s="47" t="n">
        <f aca="false">-(DK50+DK51)*In_Guarantee_Fee*DK$5/Days_In_Year</f>
        <v>-0</v>
      </c>
      <c r="DL56" s="47" t="n">
        <f aca="false">-(DL50+DL51)*In_Guarantee_Fee*DL$5/Days_In_Year</f>
        <v>-0</v>
      </c>
      <c r="DM56" s="47" t="n">
        <f aca="false">-(DM50+DM51)*In_Guarantee_Fee*DM$5/Days_In_Year</f>
        <v>-0</v>
      </c>
      <c r="DN56" s="47" t="n">
        <f aca="false">-(DN50+DN51)*In_Guarantee_Fee*DN$5/Days_In_Year</f>
        <v>-0</v>
      </c>
      <c r="DO56" s="47" t="n">
        <f aca="false">-(DO50+DO51)*In_Guarantee_Fee*DO$5/Days_In_Year</f>
        <v>-0</v>
      </c>
      <c r="DP56" s="47" t="n">
        <f aca="false">-(DP50+DP51)*In_Guarantee_Fee*DP$5/Days_In_Year</f>
        <v>-0</v>
      </c>
      <c r="DQ56" s="47" t="n">
        <f aca="false">-(DQ50+DQ51)*In_Guarantee_Fee*DQ$5/Days_In_Year</f>
        <v>-0</v>
      </c>
      <c r="DR56" s="47" t="n">
        <f aca="false">-(DR50+DR51)*In_Guarantee_Fee*DR$5/Days_In_Year</f>
        <v>-0</v>
      </c>
      <c r="DS56" s="47" t="n">
        <f aca="false">-(DS50+DS51)*In_Guarantee_Fee*DS$5/Days_In_Year</f>
        <v>-0</v>
      </c>
      <c r="DT56" s="47" t="n">
        <f aca="false">-(DT50+DT51)*In_Guarantee_Fee*DT$5/Days_In_Year</f>
        <v>-0</v>
      </c>
      <c r="DU56" s="47" t="n">
        <f aca="false">-(DU50+DU51)*In_Guarantee_Fee*DU$5/Days_In_Year</f>
        <v>-0</v>
      </c>
      <c r="DV56" s="47" t="n">
        <f aca="false">-(DV50+DV51)*In_Guarantee_Fee*DV$5/Days_In_Year</f>
        <v>-0</v>
      </c>
      <c r="DW56" s="47" t="n">
        <f aca="false">-(DW50+DW51)*In_Guarantee_Fee*DW$5/Days_In_Year</f>
        <v>-0</v>
      </c>
      <c r="DX56" s="47" t="n">
        <f aca="false">-(DX50+DX51)*In_Guarantee_Fee*DX$5/Days_In_Year</f>
        <v>-0</v>
      </c>
      <c r="DY56" s="47" t="n">
        <f aca="false">-(DY50+DY51)*In_Guarantee_Fee*DY$5/Days_In_Year</f>
        <v>-0</v>
      </c>
      <c r="DZ56" s="47" t="n">
        <f aca="false">-(DZ50+DZ51)*In_Guarantee_Fee*DZ$5/Days_In_Year</f>
        <v>-0</v>
      </c>
      <c r="EA56" s="47" t="n">
        <f aca="false">-(EA50+EA51)*In_Guarantee_Fee*EA$5/Days_In_Year</f>
        <v>-0</v>
      </c>
      <c r="EB56" s="47" t="n">
        <f aca="false">-(EB50+EB51)*In_Guarantee_Fee*EB$5/Days_In_Year</f>
        <v>-0</v>
      </c>
      <c r="EC56" s="47" t="n">
        <f aca="false">-(EC50+EC51)*In_Guarantee_Fee*EC$5/Days_In_Year</f>
        <v>-0</v>
      </c>
      <c r="ED56" s="47" t="n">
        <f aca="false">-(ED50+ED51)*In_Guarantee_Fee*ED$5/Days_In_Year</f>
        <v>-0</v>
      </c>
      <c r="EE56" s="47" t="n">
        <f aca="false">-(EE50+EE51)*In_Guarantee_Fee*EE$5/Days_In_Year</f>
        <v>-0</v>
      </c>
      <c r="EF56" s="47" t="n">
        <f aca="false">-(EF50+EF51)*In_Guarantee_Fee*EF$5/Days_In_Year</f>
        <v>-0</v>
      </c>
      <c r="EG56" s="47" t="n">
        <f aca="false">-(EG50+EG51)*In_Guarantee_Fee*EG$5/Days_In_Year</f>
        <v>-0</v>
      </c>
      <c r="EH56" s="47" t="n">
        <f aca="false">-(EH50+EH51)*In_Guarantee_Fee*EH$5/Days_In_Year</f>
        <v>-0</v>
      </c>
      <c r="EI56" s="47" t="n">
        <f aca="false">-(EI50+EI51)*In_Guarantee_Fee*EI$5/Days_In_Year</f>
        <v>-0</v>
      </c>
      <c r="EJ56" s="47" t="n">
        <f aca="false">-(EJ50+EJ51)*In_Guarantee_Fee*EJ$5/Days_In_Year</f>
        <v>-0</v>
      </c>
      <c r="EK56" s="47" t="n">
        <f aca="false">-(EK50+EK51)*In_Guarantee_Fee*EK$5/Days_In_Year</f>
        <v>-0</v>
      </c>
      <c r="EL56" s="47" t="n">
        <f aca="false">-(EL50+EL51)*In_Guarantee_Fee*EL$5/Days_In_Year</f>
        <v>-0</v>
      </c>
      <c r="EM56" s="47" t="n">
        <f aca="false">-(EM50+EM51)*In_Guarantee_Fee*EM$5/Days_In_Year</f>
        <v>-0</v>
      </c>
      <c r="EN56" s="47" t="n">
        <f aca="false">-(EN50+EN51)*In_Guarantee_Fee*EN$5/Days_In_Year</f>
        <v>-0</v>
      </c>
      <c r="EO56" s="47" t="n">
        <f aca="false">-(EO50+EO51)*In_Guarantee_Fee*EO$5/Days_In_Year</f>
        <v>-0</v>
      </c>
    </row>
    <row r="57" customFormat="false" ht="15" hidden="false" customHeight="false" outlineLevel="0" collapsed="false">
      <c r="C57" s="0" t="s">
        <v>428</v>
      </c>
      <c r="D57" s="11" t="s">
        <v>33</v>
      </c>
      <c r="E57" s="47" t="n">
        <f aca="false">$E51*$E25*In_Bench_Wind/$E48</f>
        <v>1668.49315068493</v>
      </c>
      <c r="F57" s="47" t="n">
        <f aca="false">$E51-$E57</f>
        <v>547.945205479452</v>
      </c>
    </row>
    <row r="58" customFormat="false" ht="15" hidden="false" customHeight="false" outlineLevel="0" collapsed="false">
      <c r="C58" s="0" t="s">
        <v>429</v>
      </c>
      <c r="D58" s="11" t="s">
        <v>33</v>
      </c>
      <c r="E58" s="47" t="n">
        <f aca="false">($E29&gt;In_Tolerance_Cap)*$E29*$E57+($F29&gt;In_Tolerance_Cap)*$F29*$F57</f>
        <v>0</v>
      </c>
      <c r="F58" s="47" t="n">
        <f aca="false">($E29+$F29&gt;0)*$E51</f>
        <v>2216.43835616438</v>
      </c>
    </row>
    <row r="59" customFormat="false" ht="15" hidden="false" customHeight="false" outlineLevel="0" collapsed="false">
      <c r="C59" s="0" t="s">
        <v>430</v>
      </c>
      <c r="D59" s="11" t="s">
        <v>33</v>
      </c>
      <c r="E59" s="45" t="n">
        <f aca="false">EDATE(In_COD,In_Sanction_Lag)</f>
        <v>47937</v>
      </c>
      <c r="I59" s="47" t="n">
        <f aca="false">SUM(J59:EO59)</f>
        <v>0</v>
      </c>
      <c r="J59" s="47" t="n">
        <f aca="false">-CHOOSE(In_Sanction_Regime,$E58,$F58)*N(AND(J$3&lt;=$E59,J$4&gt;=$E59))</f>
        <v>-0</v>
      </c>
      <c r="K59" s="47" t="n">
        <f aca="false">-CHOOSE(In_Sanction_Regime,$E58,$F58)*N(AND(K$3&lt;=$E59,K$4&gt;=$E59))</f>
        <v>-0</v>
      </c>
      <c r="L59" s="47" t="n">
        <f aca="false">-CHOOSE(In_Sanction_Regime,$E58,$F58)*N(AND(L$3&lt;=$E59,L$4&gt;=$E59))</f>
        <v>-0</v>
      </c>
      <c r="M59" s="47" t="n">
        <f aca="false">-CHOOSE(In_Sanction_Regime,$E58,$F58)*N(AND(M$3&lt;=$E59,M$4&gt;=$E59))</f>
        <v>-0</v>
      </c>
      <c r="N59" s="47" t="n">
        <f aca="false">-CHOOSE(In_Sanction_Regime,$E58,$F58)*N(AND(N$3&lt;=$E59,N$4&gt;=$E59))</f>
        <v>-0</v>
      </c>
      <c r="O59" s="47" t="n">
        <f aca="false">-CHOOSE(In_Sanction_Regime,$E58,$F58)*N(AND(O$3&lt;=$E59,O$4&gt;=$E59))</f>
        <v>-0</v>
      </c>
      <c r="P59" s="47" t="n">
        <f aca="false">-CHOOSE(In_Sanction_Regime,$E58,$F58)*N(AND(P$3&lt;=$E59,P$4&gt;=$E59))</f>
        <v>-0</v>
      </c>
      <c r="Q59" s="47" t="n">
        <f aca="false">-CHOOSE(In_Sanction_Regime,$E58,$F58)*N(AND(Q$3&lt;=$E59,Q$4&gt;=$E59))</f>
        <v>-0</v>
      </c>
      <c r="R59" s="47" t="n">
        <f aca="false">-CHOOSE(In_Sanction_Regime,$E58,$F58)*N(AND(R$3&lt;=$E59,R$4&gt;=$E59))</f>
        <v>-0</v>
      </c>
      <c r="S59" s="47" t="n">
        <f aca="false">-CHOOSE(In_Sanction_Regime,$E58,$F58)*N(AND(S$3&lt;=$E59,S$4&gt;=$E59))</f>
        <v>-0</v>
      </c>
      <c r="T59" s="47" t="n">
        <f aca="false">-CHOOSE(In_Sanction_Regime,$E58,$F58)*N(AND(T$3&lt;=$E59,T$4&gt;=$E59))</f>
        <v>-0</v>
      </c>
      <c r="U59" s="47" t="n">
        <f aca="false">-CHOOSE(In_Sanction_Regime,$E58,$F58)*N(AND(U$3&lt;=$E59,U$4&gt;=$E59))</f>
        <v>-0</v>
      </c>
      <c r="V59" s="47" t="n">
        <f aca="false">-CHOOSE(In_Sanction_Regime,$E58,$F58)*N(AND(V$3&lt;=$E59,V$4&gt;=$E59))</f>
        <v>-0</v>
      </c>
      <c r="W59" s="47" t="n">
        <f aca="false">-CHOOSE(In_Sanction_Regime,$E58,$F58)*N(AND(W$3&lt;=$E59,W$4&gt;=$E59))</f>
        <v>-0</v>
      </c>
      <c r="X59" s="47" t="n">
        <f aca="false">-CHOOSE(In_Sanction_Regime,$E58,$F58)*N(AND(X$3&lt;=$E59,X$4&gt;=$E59))</f>
        <v>-0</v>
      </c>
      <c r="Y59" s="47" t="n">
        <f aca="false">-CHOOSE(In_Sanction_Regime,$E58,$F58)*N(AND(Y$3&lt;=$E59,Y$4&gt;=$E59))</f>
        <v>-0</v>
      </c>
      <c r="Z59" s="47" t="n">
        <f aca="false">-CHOOSE(In_Sanction_Regime,$E58,$F58)*N(AND(Z$3&lt;=$E59,Z$4&gt;=$E59))</f>
        <v>-0</v>
      </c>
      <c r="AA59" s="47" t="n">
        <f aca="false">-CHOOSE(In_Sanction_Regime,$E58,$F58)*N(AND(AA$3&lt;=$E59,AA$4&gt;=$E59))</f>
        <v>-0</v>
      </c>
      <c r="AB59" s="47" t="n">
        <f aca="false">-CHOOSE(In_Sanction_Regime,$E58,$F58)*N(AND(AB$3&lt;=$E59,AB$4&gt;=$E59))</f>
        <v>-0</v>
      </c>
      <c r="AC59" s="47" t="n">
        <f aca="false">-CHOOSE(In_Sanction_Regime,$E58,$F58)*N(AND(AC$3&lt;=$E59,AC$4&gt;=$E59))</f>
        <v>-0</v>
      </c>
      <c r="AD59" s="47" t="n">
        <f aca="false">-CHOOSE(In_Sanction_Regime,$E58,$F58)*N(AND(AD$3&lt;=$E59,AD$4&gt;=$E59))</f>
        <v>-0</v>
      </c>
      <c r="AE59" s="47" t="n">
        <f aca="false">-CHOOSE(In_Sanction_Regime,$E58,$F58)*N(AND(AE$3&lt;=$E59,AE$4&gt;=$E59))</f>
        <v>-0</v>
      </c>
      <c r="AF59" s="47" t="n">
        <f aca="false">-CHOOSE(In_Sanction_Regime,$E58,$F58)*N(AND(AF$3&lt;=$E59,AF$4&gt;=$E59))</f>
        <v>-0</v>
      </c>
      <c r="AG59" s="47" t="n">
        <f aca="false">-CHOOSE(In_Sanction_Regime,$E58,$F58)*N(AND(AG$3&lt;=$E59,AG$4&gt;=$E59))</f>
        <v>-0</v>
      </c>
      <c r="AH59" s="47" t="n">
        <f aca="false">-CHOOSE(In_Sanction_Regime,$E58,$F58)*N(AND(AH$3&lt;=$E59,AH$4&gt;=$E59))</f>
        <v>-0</v>
      </c>
      <c r="AI59" s="47" t="n">
        <f aca="false">-CHOOSE(In_Sanction_Regime,$E58,$F58)*N(AND(AI$3&lt;=$E59,AI$4&gt;=$E59))</f>
        <v>-0</v>
      </c>
      <c r="AJ59" s="47" t="n">
        <f aca="false">-CHOOSE(In_Sanction_Regime,$E58,$F58)*N(AND(AJ$3&lt;=$E59,AJ$4&gt;=$E59))</f>
        <v>-0</v>
      </c>
      <c r="AK59" s="47" t="n">
        <f aca="false">-CHOOSE(In_Sanction_Regime,$E58,$F58)*N(AND(AK$3&lt;=$E59,AK$4&gt;=$E59))</f>
        <v>-0</v>
      </c>
      <c r="AL59" s="47" t="n">
        <f aca="false">-CHOOSE(In_Sanction_Regime,$E58,$F58)*N(AND(AL$3&lt;=$E59,AL$4&gt;=$E59))</f>
        <v>-0</v>
      </c>
      <c r="AM59" s="47" t="n">
        <f aca="false">-CHOOSE(In_Sanction_Regime,$E58,$F58)*N(AND(AM$3&lt;=$E59,AM$4&gt;=$E59))</f>
        <v>-0</v>
      </c>
      <c r="AN59" s="47" t="n">
        <f aca="false">-CHOOSE(In_Sanction_Regime,$E58,$F58)*N(AND(AN$3&lt;=$E59,AN$4&gt;=$E59))</f>
        <v>-0</v>
      </c>
      <c r="AO59" s="47" t="n">
        <f aca="false">-CHOOSE(In_Sanction_Regime,$E58,$F58)*N(AND(AO$3&lt;=$E59,AO$4&gt;=$E59))</f>
        <v>-0</v>
      </c>
      <c r="AP59" s="47" t="n">
        <f aca="false">-CHOOSE(In_Sanction_Regime,$E58,$F58)*N(AND(AP$3&lt;=$E59,AP$4&gt;=$E59))</f>
        <v>-0</v>
      </c>
      <c r="AQ59" s="47" t="n">
        <f aca="false">-CHOOSE(In_Sanction_Regime,$E58,$F58)*N(AND(AQ$3&lt;=$E59,AQ$4&gt;=$E59))</f>
        <v>-0</v>
      </c>
      <c r="AR59" s="47" t="n">
        <f aca="false">-CHOOSE(In_Sanction_Regime,$E58,$F58)*N(AND(AR$3&lt;=$E59,AR$4&gt;=$E59))</f>
        <v>-0</v>
      </c>
      <c r="AS59" s="47" t="n">
        <f aca="false">-CHOOSE(In_Sanction_Regime,$E58,$F58)*N(AND(AS$3&lt;=$E59,AS$4&gt;=$E59))</f>
        <v>-0</v>
      </c>
      <c r="AT59" s="47" t="n">
        <f aca="false">-CHOOSE(In_Sanction_Regime,$E58,$F58)*N(AND(AT$3&lt;=$E59,AT$4&gt;=$E59))</f>
        <v>-0</v>
      </c>
      <c r="AU59" s="47" t="n">
        <f aca="false">-CHOOSE(In_Sanction_Regime,$E58,$F58)*N(AND(AU$3&lt;=$E59,AU$4&gt;=$E59))</f>
        <v>-0</v>
      </c>
      <c r="AV59" s="47" t="n">
        <f aca="false">-CHOOSE(In_Sanction_Regime,$E58,$F58)*N(AND(AV$3&lt;=$E59,AV$4&gt;=$E59))</f>
        <v>-0</v>
      </c>
      <c r="AW59" s="47" t="n">
        <f aca="false">-CHOOSE(In_Sanction_Regime,$E58,$F58)*N(AND(AW$3&lt;=$E59,AW$4&gt;=$E59))</f>
        <v>-0</v>
      </c>
      <c r="AX59" s="47" t="n">
        <f aca="false">-CHOOSE(In_Sanction_Regime,$E58,$F58)*N(AND(AX$3&lt;=$E59,AX$4&gt;=$E59))</f>
        <v>-0</v>
      </c>
      <c r="AY59" s="47" t="n">
        <f aca="false">-CHOOSE(In_Sanction_Regime,$E58,$F58)*N(AND(AY$3&lt;=$E59,AY$4&gt;=$E59))</f>
        <v>-0</v>
      </c>
      <c r="AZ59" s="47" t="n">
        <f aca="false">-CHOOSE(In_Sanction_Regime,$E58,$F58)*N(AND(AZ$3&lt;=$E59,AZ$4&gt;=$E59))</f>
        <v>-0</v>
      </c>
      <c r="BA59" s="47" t="n">
        <f aca="false">-CHOOSE(In_Sanction_Regime,$E58,$F58)*N(AND(BA$3&lt;=$E59,BA$4&gt;=$E59))</f>
        <v>-0</v>
      </c>
      <c r="BB59" s="47" t="n">
        <f aca="false">-CHOOSE(In_Sanction_Regime,$E58,$F58)*N(AND(BB$3&lt;=$E59,BB$4&gt;=$E59))</f>
        <v>-0</v>
      </c>
      <c r="BC59" s="47" t="n">
        <f aca="false">-CHOOSE(In_Sanction_Regime,$E58,$F58)*N(AND(BC$3&lt;=$E59,BC$4&gt;=$E59))</f>
        <v>-0</v>
      </c>
      <c r="BD59" s="47" t="n">
        <f aca="false">-CHOOSE(In_Sanction_Regime,$E58,$F58)*N(AND(BD$3&lt;=$E59,BD$4&gt;=$E59))</f>
        <v>-0</v>
      </c>
      <c r="BE59" s="47" t="n">
        <f aca="false">-CHOOSE(In_Sanction_Regime,$E58,$F58)*N(AND(BE$3&lt;=$E59,BE$4&gt;=$E59))</f>
        <v>-0</v>
      </c>
      <c r="BF59" s="47" t="n">
        <f aca="false">-CHOOSE(In_Sanction_Regime,$E58,$F58)*N(AND(BF$3&lt;=$E59,BF$4&gt;=$E59))</f>
        <v>-0</v>
      </c>
      <c r="BG59" s="47" t="n">
        <f aca="false">-CHOOSE(In_Sanction_Regime,$E58,$F58)*N(AND(BG$3&lt;=$E59,BG$4&gt;=$E59))</f>
        <v>-0</v>
      </c>
      <c r="BH59" s="47" t="n">
        <f aca="false">-CHOOSE(In_Sanction_Regime,$E58,$F58)*N(AND(BH$3&lt;=$E59,BH$4&gt;=$E59))</f>
        <v>-0</v>
      </c>
      <c r="BI59" s="47" t="n">
        <f aca="false">-CHOOSE(In_Sanction_Regime,$E58,$F58)*N(AND(BI$3&lt;=$E59,BI$4&gt;=$E59))</f>
        <v>-0</v>
      </c>
      <c r="BJ59" s="47" t="n">
        <f aca="false">-CHOOSE(In_Sanction_Regime,$E58,$F58)*N(AND(BJ$3&lt;=$E59,BJ$4&gt;=$E59))</f>
        <v>-0</v>
      </c>
      <c r="BK59" s="47" t="n">
        <f aca="false">-CHOOSE(In_Sanction_Regime,$E58,$F58)*N(AND(BK$3&lt;=$E59,BK$4&gt;=$E59))</f>
        <v>-0</v>
      </c>
      <c r="BL59" s="47" t="n">
        <f aca="false">-CHOOSE(In_Sanction_Regime,$E58,$F58)*N(AND(BL$3&lt;=$E59,BL$4&gt;=$E59))</f>
        <v>-0</v>
      </c>
      <c r="BM59" s="47" t="n">
        <f aca="false">-CHOOSE(In_Sanction_Regime,$E58,$F58)*N(AND(BM$3&lt;=$E59,BM$4&gt;=$E59))</f>
        <v>-0</v>
      </c>
      <c r="BN59" s="47" t="n">
        <f aca="false">-CHOOSE(In_Sanction_Regime,$E58,$F58)*N(AND(BN$3&lt;=$E59,BN$4&gt;=$E59))</f>
        <v>-0</v>
      </c>
      <c r="BO59" s="47" t="n">
        <f aca="false">-CHOOSE(In_Sanction_Regime,$E58,$F58)*N(AND(BO$3&lt;=$E59,BO$4&gt;=$E59))</f>
        <v>-0</v>
      </c>
      <c r="BP59" s="47" t="n">
        <f aca="false">-CHOOSE(In_Sanction_Regime,$E58,$F58)*N(AND(BP$3&lt;=$E59,BP$4&gt;=$E59))</f>
        <v>-0</v>
      </c>
      <c r="BQ59" s="47" t="n">
        <f aca="false">-CHOOSE(In_Sanction_Regime,$E58,$F58)*N(AND(BQ$3&lt;=$E59,BQ$4&gt;=$E59))</f>
        <v>-0</v>
      </c>
      <c r="BR59" s="47" t="n">
        <f aca="false">-CHOOSE(In_Sanction_Regime,$E58,$F58)*N(AND(BR$3&lt;=$E59,BR$4&gt;=$E59))</f>
        <v>-0</v>
      </c>
      <c r="BS59" s="47" t="n">
        <f aca="false">-CHOOSE(In_Sanction_Regime,$E58,$F58)*N(AND(BS$3&lt;=$E59,BS$4&gt;=$E59))</f>
        <v>-0</v>
      </c>
      <c r="BT59" s="47" t="n">
        <f aca="false">-CHOOSE(In_Sanction_Regime,$E58,$F58)*N(AND(BT$3&lt;=$E59,BT$4&gt;=$E59))</f>
        <v>-0</v>
      </c>
      <c r="BU59" s="47" t="n">
        <f aca="false">-CHOOSE(In_Sanction_Regime,$E58,$F58)*N(AND(BU$3&lt;=$E59,BU$4&gt;=$E59))</f>
        <v>-0</v>
      </c>
      <c r="BV59" s="47" t="n">
        <f aca="false">-CHOOSE(In_Sanction_Regime,$E58,$F58)*N(AND(BV$3&lt;=$E59,BV$4&gt;=$E59))</f>
        <v>-0</v>
      </c>
      <c r="BW59" s="47" t="n">
        <f aca="false">-CHOOSE(In_Sanction_Regime,$E58,$F58)*N(AND(BW$3&lt;=$E59,BW$4&gt;=$E59))</f>
        <v>-0</v>
      </c>
      <c r="BX59" s="47" t="n">
        <f aca="false">-CHOOSE(In_Sanction_Regime,$E58,$F58)*N(AND(BX$3&lt;=$E59,BX$4&gt;=$E59))</f>
        <v>-0</v>
      </c>
      <c r="BY59" s="47" t="n">
        <f aca="false">-CHOOSE(In_Sanction_Regime,$E58,$F58)*N(AND(BY$3&lt;=$E59,BY$4&gt;=$E59))</f>
        <v>-0</v>
      </c>
      <c r="BZ59" s="47" t="n">
        <f aca="false">-CHOOSE(In_Sanction_Regime,$E58,$F58)*N(AND(BZ$3&lt;=$E59,BZ$4&gt;=$E59))</f>
        <v>-0</v>
      </c>
      <c r="CA59" s="47" t="n">
        <f aca="false">-CHOOSE(In_Sanction_Regime,$E58,$F58)*N(AND(CA$3&lt;=$E59,CA$4&gt;=$E59))</f>
        <v>-0</v>
      </c>
      <c r="CB59" s="47" t="n">
        <f aca="false">-CHOOSE(In_Sanction_Regime,$E58,$F58)*N(AND(CB$3&lt;=$E59,CB$4&gt;=$E59))</f>
        <v>-0</v>
      </c>
      <c r="CC59" s="47" t="n">
        <f aca="false">-CHOOSE(In_Sanction_Regime,$E58,$F58)*N(AND(CC$3&lt;=$E59,CC$4&gt;=$E59))</f>
        <v>-0</v>
      </c>
      <c r="CD59" s="47" t="n">
        <f aca="false">-CHOOSE(In_Sanction_Regime,$E58,$F58)*N(AND(CD$3&lt;=$E59,CD$4&gt;=$E59))</f>
        <v>-0</v>
      </c>
      <c r="CE59" s="47" t="n">
        <f aca="false">-CHOOSE(In_Sanction_Regime,$E58,$F58)*N(AND(CE$3&lt;=$E59,CE$4&gt;=$E59))</f>
        <v>-0</v>
      </c>
      <c r="CF59" s="47" t="n">
        <f aca="false">-CHOOSE(In_Sanction_Regime,$E58,$F58)*N(AND(CF$3&lt;=$E59,CF$4&gt;=$E59))</f>
        <v>-0</v>
      </c>
      <c r="CG59" s="47" t="n">
        <f aca="false">-CHOOSE(In_Sanction_Regime,$E58,$F58)*N(AND(CG$3&lt;=$E59,CG$4&gt;=$E59))</f>
        <v>-0</v>
      </c>
      <c r="CH59" s="47" t="n">
        <f aca="false">-CHOOSE(In_Sanction_Regime,$E58,$F58)*N(AND(CH$3&lt;=$E59,CH$4&gt;=$E59))</f>
        <v>-0</v>
      </c>
      <c r="CI59" s="47" t="n">
        <f aca="false">-CHOOSE(In_Sanction_Regime,$E58,$F58)*N(AND(CI$3&lt;=$E59,CI$4&gt;=$E59))</f>
        <v>-0</v>
      </c>
      <c r="CJ59" s="47" t="n">
        <f aca="false">-CHOOSE(In_Sanction_Regime,$E58,$F58)*N(AND(CJ$3&lt;=$E59,CJ$4&gt;=$E59))</f>
        <v>-0</v>
      </c>
      <c r="CK59" s="47" t="n">
        <f aca="false">-CHOOSE(In_Sanction_Regime,$E58,$F58)*N(AND(CK$3&lt;=$E59,CK$4&gt;=$E59))</f>
        <v>-0</v>
      </c>
      <c r="CL59" s="47" t="n">
        <f aca="false">-CHOOSE(In_Sanction_Regime,$E58,$F58)*N(AND(CL$3&lt;=$E59,CL$4&gt;=$E59))</f>
        <v>-0</v>
      </c>
      <c r="CM59" s="47" t="n">
        <f aca="false">-CHOOSE(In_Sanction_Regime,$E58,$F58)*N(AND(CM$3&lt;=$E59,CM$4&gt;=$E59))</f>
        <v>-0</v>
      </c>
      <c r="CN59" s="47" t="n">
        <f aca="false">-CHOOSE(In_Sanction_Regime,$E58,$F58)*N(AND(CN$3&lt;=$E59,CN$4&gt;=$E59))</f>
        <v>-0</v>
      </c>
      <c r="CO59" s="47" t="n">
        <f aca="false">-CHOOSE(In_Sanction_Regime,$E58,$F58)*N(AND(CO$3&lt;=$E59,CO$4&gt;=$E59))</f>
        <v>-0</v>
      </c>
      <c r="CP59" s="47" t="n">
        <f aca="false">-CHOOSE(In_Sanction_Regime,$E58,$F58)*N(AND(CP$3&lt;=$E59,CP$4&gt;=$E59))</f>
        <v>-0</v>
      </c>
      <c r="CQ59" s="47" t="n">
        <f aca="false">-CHOOSE(In_Sanction_Regime,$E58,$F58)*N(AND(CQ$3&lt;=$E59,CQ$4&gt;=$E59))</f>
        <v>-0</v>
      </c>
      <c r="CR59" s="47" t="n">
        <f aca="false">-CHOOSE(In_Sanction_Regime,$E58,$F58)*N(AND(CR$3&lt;=$E59,CR$4&gt;=$E59))</f>
        <v>-0</v>
      </c>
      <c r="CS59" s="47" t="n">
        <f aca="false">-CHOOSE(In_Sanction_Regime,$E58,$F58)*N(AND(CS$3&lt;=$E59,CS$4&gt;=$E59))</f>
        <v>-0</v>
      </c>
      <c r="CT59" s="47" t="n">
        <f aca="false">-CHOOSE(In_Sanction_Regime,$E58,$F58)*N(AND(CT$3&lt;=$E59,CT$4&gt;=$E59))</f>
        <v>-0</v>
      </c>
      <c r="CU59" s="47" t="n">
        <f aca="false">-CHOOSE(In_Sanction_Regime,$E58,$F58)*N(AND(CU$3&lt;=$E59,CU$4&gt;=$E59))</f>
        <v>-0</v>
      </c>
      <c r="CV59" s="47" t="n">
        <f aca="false">-CHOOSE(In_Sanction_Regime,$E58,$F58)*N(AND(CV$3&lt;=$E59,CV$4&gt;=$E59))</f>
        <v>-0</v>
      </c>
      <c r="CW59" s="47" t="n">
        <f aca="false">-CHOOSE(In_Sanction_Regime,$E58,$F58)*N(AND(CW$3&lt;=$E59,CW$4&gt;=$E59))</f>
        <v>-0</v>
      </c>
      <c r="CX59" s="47" t="n">
        <f aca="false">-CHOOSE(In_Sanction_Regime,$E58,$F58)*N(AND(CX$3&lt;=$E59,CX$4&gt;=$E59))</f>
        <v>-0</v>
      </c>
      <c r="CY59" s="47" t="n">
        <f aca="false">-CHOOSE(In_Sanction_Regime,$E58,$F58)*N(AND(CY$3&lt;=$E59,CY$4&gt;=$E59))</f>
        <v>-0</v>
      </c>
      <c r="CZ59" s="47" t="n">
        <f aca="false">-CHOOSE(In_Sanction_Regime,$E58,$F58)*N(AND(CZ$3&lt;=$E59,CZ$4&gt;=$E59))</f>
        <v>-0</v>
      </c>
      <c r="DA59" s="47" t="n">
        <f aca="false">-CHOOSE(In_Sanction_Regime,$E58,$F58)*N(AND(DA$3&lt;=$E59,DA$4&gt;=$E59))</f>
        <v>-0</v>
      </c>
      <c r="DB59" s="47" t="n">
        <f aca="false">-CHOOSE(In_Sanction_Regime,$E58,$F58)*N(AND(DB$3&lt;=$E59,DB$4&gt;=$E59))</f>
        <v>-0</v>
      </c>
      <c r="DC59" s="47" t="n">
        <f aca="false">-CHOOSE(In_Sanction_Regime,$E58,$F58)*N(AND(DC$3&lt;=$E59,DC$4&gt;=$E59))</f>
        <v>-0</v>
      </c>
      <c r="DD59" s="47" t="n">
        <f aca="false">-CHOOSE(In_Sanction_Regime,$E58,$F58)*N(AND(DD$3&lt;=$E59,DD$4&gt;=$E59))</f>
        <v>-0</v>
      </c>
      <c r="DE59" s="47" t="n">
        <f aca="false">-CHOOSE(In_Sanction_Regime,$E58,$F58)*N(AND(DE$3&lt;=$E59,DE$4&gt;=$E59))</f>
        <v>-0</v>
      </c>
      <c r="DF59" s="47" t="n">
        <f aca="false">-CHOOSE(In_Sanction_Regime,$E58,$F58)*N(AND(DF$3&lt;=$E59,DF$4&gt;=$E59))</f>
        <v>-0</v>
      </c>
      <c r="DG59" s="47" t="n">
        <f aca="false">-CHOOSE(In_Sanction_Regime,$E58,$F58)*N(AND(DG$3&lt;=$E59,DG$4&gt;=$E59))</f>
        <v>-0</v>
      </c>
      <c r="DH59" s="47" t="n">
        <f aca="false">-CHOOSE(In_Sanction_Regime,$E58,$F58)*N(AND(DH$3&lt;=$E59,DH$4&gt;=$E59))</f>
        <v>-0</v>
      </c>
      <c r="DI59" s="47" t="n">
        <f aca="false">-CHOOSE(In_Sanction_Regime,$E58,$F58)*N(AND(DI$3&lt;=$E59,DI$4&gt;=$E59))</f>
        <v>-0</v>
      </c>
      <c r="DJ59" s="47" t="n">
        <f aca="false">-CHOOSE(In_Sanction_Regime,$E58,$F58)*N(AND(DJ$3&lt;=$E59,DJ$4&gt;=$E59))</f>
        <v>-0</v>
      </c>
      <c r="DK59" s="47" t="n">
        <f aca="false">-CHOOSE(In_Sanction_Regime,$E58,$F58)*N(AND(DK$3&lt;=$E59,DK$4&gt;=$E59))</f>
        <v>-0</v>
      </c>
      <c r="DL59" s="47" t="n">
        <f aca="false">-CHOOSE(In_Sanction_Regime,$E58,$F58)*N(AND(DL$3&lt;=$E59,DL$4&gt;=$E59))</f>
        <v>-0</v>
      </c>
      <c r="DM59" s="47" t="n">
        <f aca="false">-CHOOSE(In_Sanction_Regime,$E58,$F58)*N(AND(DM$3&lt;=$E59,DM$4&gt;=$E59))</f>
        <v>-0</v>
      </c>
      <c r="DN59" s="47" t="n">
        <f aca="false">-CHOOSE(In_Sanction_Regime,$E58,$F58)*N(AND(DN$3&lt;=$E59,DN$4&gt;=$E59))</f>
        <v>-0</v>
      </c>
      <c r="DO59" s="47" t="n">
        <f aca="false">-CHOOSE(In_Sanction_Regime,$E58,$F58)*N(AND(DO$3&lt;=$E59,DO$4&gt;=$E59))</f>
        <v>-0</v>
      </c>
      <c r="DP59" s="47" t="n">
        <f aca="false">-CHOOSE(In_Sanction_Regime,$E58,$F58)*N(AND(DP$3&lt;=$E59,DP$4&gt;=$E59))</f>
        <v>-0</v>
      </c>
      <c r="DQ59" s="47" t="n">
        <f aca="false">-CHOOSE(In_Sanction_Regime,$E58,$F58)*N(AND(DQ$3&lt;=$E59,DQ$4&gt;=$E59))</f>
        <v>-0</v>
      </c>
      <c r="DR59" s="47" t="n">
        <f aca="false">-CHOOSE(In_Sanction_Regime,$E58,$F58)*N(AND(DR$3&lt;=$E59,DR$4&gt;=$E59))</f>
        <v>-0</v>
      </c>
      <c r="DS59" s="47" t="n">
        <f aca="false">-CHOOSE(In_Sanction_Regime,$E58,$F58)*N(AND(DS$3&lt;=$E59,DS$4&gt;=$E59))</f>
        <v>-0</v>
      </c>
      <c r="DT59" s="47" t="n">
        <f aca="false">-CHOOSE(In_Sanction_Regime,$E58,$F58)*N(AND(DT$3&lt;=$E59,DT$4&gt;=$E59))</f>
        <v>-0</v>
      </c>
      <c r="DU59" s="47" t="n">
        <f aca="false">-CHOOSE(In_Sanction_Regime,$E58,$F58)*N(AND(DU$3&lt;=$E59,DU$4&gt;=$E59))</f>
        <v>-0</v>
      </c>
      <c r="DV59" s="47" t="n">
        <f aca="false">-CHOOSE(In_Sanction_Regime,$E58,$F58)*N(AND(DV$3&lt;=$E59,DV$4&gt;=$E59))</f>
        <v>-0</v>
      </c>
      <c r="DW59" s="47" t="n">
        <f aca="false">-CHOOSE(In_Sanction_Regime,$E58,$F58)*N(AND(DW$3&lt;=$E59,DW$4&gt;=$E59))</f>
        <v>-0</v>
      </c>
      <c r="DX59" s="47" t="n">
        <f aca="false">-CHOOSE(In_Sanction_Regime,$E58,$F58)*N(AND(DX$3&lt;=$E59,DX$4&gt;=$E59))</f>
        <v>-0</v>
      </c>
      <c r="DY59" s="47" t="n">
        <f aca="false">-CHOOSE(In_Sanction_Regime,$E58,$F58)*N(AND(DY$3&lt;=$E59,DY$4&gt;=$E59))</f>
        <v>-0</v>
      </c>
      <c r="DZ59" s="47" t="n">
        <f aca="false">-CHOOSE(In_Sanction_Regime,$E58,$F58)*N(AND(DZ$3&lt;=$E59,DZ$4&gt;=$E59))</f>
        <v>-0</v>
      </c>
      <c r="EA59" s="47" t="n">
        <f aca="false">-CHOOSE(In_Sanction_Regime,$E58,$F58)*N(AND(EA$3&lt;=$E59,EA$4&gt;=$E59))</f>
        <v>-0</v>
      </c>
      <c r="EB59" s="47" t="n">
        <f aca="false">-CHOOSE(In_Sanction_Regime,$E58,$F58)*N(AND(EB$3&lt;=$E59,EB$4&gt;=$E59))</f>
        <v>-0</v>
      </c>
      <c r="EC59" s="47" t="n">
        <f aca="false">-CHOOSE(In_Sanction_Regime,$E58,$F58)*N(AND(EC$3&lt;=$E59,EC$4&gt;=$E59))</f>
        <v>-0</v>
      </c>
      <c r="ED59" s="47" t="n">
        <f aca="false">-CHOOSE(In_Sanction_Regime,$E58,$F58)*N(AND(ED$3&lt;=$E59,ED$4&gt;=$E59))</f>
        <v>-0</v>
      </c>
      <c r="EE59" s="47" t="n">
        <f aca="false">-CHOOSE(In_Sanction_Regime,$E58,$F58)*N(AND(EE$3&lt;=$E59,EE$4&gt;=$E59))</f>
        <v>-0</v>
      </c>
      <c r="EF59" s="47" t="n">
        <f aca="false">-CHOOSE(In_Sanction_Regime,$E58,$F58)*N(AND(EF$3&lt;=$E59,EF$4&gt;=$E59))</f>
        <v>-0</v>
      </c>
      <c r="EG59" s="47" t="n">
        <f aca="false">-CHOOSE(In_Sanction_Regime,$E58,$F58)*N(AND(EG$3&lt;=$E59,EG$4&gt;=$E59))</f>
        <v>-0</v>
      </c>
      <c r="EH59" s="47" t="n">
        <f aca="false">-CHOOSE(In_Sanction_Regime,$E58,$F58)*N(AND(EH$3&lt;=$E59,EH$4&gt;=$E59))</f>
        <v>-0</v>
      </c>
      <c r="EI59" s="47" t="n">
        <f aca="false">-CHOOSE(In_Sanction_Regime,$E58,$F58)*N(AND(EI$3&lt;=$E59,EI$4&gt;=$E59))</f>
        <v>-0</v>
      </c>
      <c r="EJ59" s="47" t="n">
        <f aca="false">-CHOOSE(In_Sanction_Regime,$E58,$F58)*N(AND(EJ$3&lt;=$E59,EJ$4&gt;=$E59))</f>
        <v>-0</v>
      </c>
      <c r="EK59" s="47" t="n">
        <f aca="false">-CHOOSE(In_Sanction_Regime,$E58,$F58)*N(AND(EK$3&lt;=$E59,EK$4&gt;=$E59))</f>
        <v>-0</v>
      </c>
      <c r="EL59" s="47" t="n">
        <f aca="false">-CHOOSE(In_Sanction_Regime,$E58,$F58)*N(AND(EL$3&lt;=$E59,EL$4&gt;=$E59))</f>
        <v>-0</v>
      </c>
      <c r="EM59" s="47" t="n">
        <f aca="false">-CHOOSE(In_Sanction_Regime,$E58,$F58)*N(AND(EM$3&lt;=$E59,EM$4&gt;=$E59))</f>
        <v>-0</v>
      </c>
      <c r="EN59" s="47" t="n">
        <f aca="false">-CHOOSE(In_Sanction_Regime,$E58,$F58)*N(AND(EN$3&lt;=$E59,EN$4&gt;=$E59))</f>
        <v>-0</v>
      </c>
      <c r="EO59" s="47" t="n">
        <f aca="false">-CHOOSE(In_Sanction_Regime,$E58,$F58)*N(AND(EO$3&lt;=$E59,EO$4&gt;=$E59))</f>
        <v>-0</v>
      </c>
    </row>
    <row r="60" customFormat="false" ht="15" hidden="false" customHeight="false" outlineLevel="0" collapsed="false">
      <c r="C60" s="25" t="s">
        <v>431</v>
      </c>
      <c r="D60" s="11" t="s">
        <v>33</v>
      </c>
      <c r="I60" s="56" t="n">
        <f aca="false">SUM(J60:EO60)</f>
        <v>-6597.56948020267</v>
      </c>
      <c r="J60" s="56" t="n">
        <f aca="false">J45+J46+J47+J49+J52+J56</f>
        <v>-4662.80993807469</v>
      </c>
      <c r="K60" s="56" t="n">
        <f aca="false">K45+K46+K47+K49+K52+K56</f>
        <v>-706.535577057768</v>
      </c>
      <c r="L60" s="56" t="n">
        <f aca="false">L45+L46+L47+L49+L52+L56</f>
        <v>-104.360496659404</v>
      </c>
      <c r="M60" s="56" t="n">
        <f aca="false">M45+M46+M47+M49+M52+M56</f>
        <v>-105.507315304013</v>
      </c>
      <c r="N60" s="56" t="n">
        <f aca="false">N45+N46+N47+N49+N52+N56</f>
        <v>-105.507315304013</v>
      </c>
      <c r="O60" s="56" t="n">
        <f aca="false">O45+O46+O47+O49+O52+O56</f>
        <v>-104.360496659404</v>
      </c>
      <c r="P60" s="56" t="n">
        <f aca="false">P45+P46+P47+P49+P52+P56</f>
        <v>-104.360496659404</v>
      </c>
      <c r="Q60" s="56" t="n">
        <f aca="false">Q45+Q46+Q47+Q49+Q52+Q56</f>
        <v>-105.507315304013</v>
      </c>
      <c r="R60" s="56" t="n">
        <f aca="false">R45+R46+R47+R49+R52+R56</f>
        <v>-33.5198348658285</v>
      </c>
      <c r="S60" s="56" t="n">
        <f aca="false">S45+S46+S47+S49+S52+S56</f>
        <v>-32.7911428035279</v>
      </c>
      <c r="T60" s="56" t="n">
        <f aca="false">T45+T46+T47+T49+T52+T56</f>
        <v>-33.1554888346782</v>
      </c>
      <c r="U60" s="56" t="n">
        <f aca="false">U45+U46+U47+U49+U52+U56</f>
        <v>-33.5198348658285</v>
      </c>
      <c r="V60" s="56" t="n">
        <f aca="false">V45+V46+V47+V49+V52+V56</f>
        <v>-33.5198348658285</v>
      </c>
      <c r="W60" s="56" t="n">
        <f aca="false">W45+W46+W47+W49+W52+W56</f>
        <v>-32.7911428035279</v>
      </c>
      <c r="X60" s="56" t="n">
        <f aca="false">X45+X46+X47+X49+X52+X56</f>
        <v>-33.1554888346782</v>
      </c>
      <c r="Y60" s="56" t="n">
        <f aca="false">Y45+Y46+Y47+Y49+Y52+Y56</f>
        <v>-33.5198348658285</v>
      </c>
      <c r="Z60" s="56" t="n">
        <f aca="false">Z45+Z46+Z47+Z49+Z52+Z56</f>
        <v>-33.5198348658285</v>
      </c>
      <c r="AA60" s="56" t="n">
        <f aca="false">AA45+AA46+AA47+AA49+AA52+AA56</f>
        <v>-32.7911428035279</v>
      </c>
      <c r="AB60" s="56" t="n">
        <f aca="false">AB45+AB46+AB47+AB49+AB52+AB56</f>
        <v>-33.1554888346782</v>
      </c>
      <c r="AC60" s="56" t="n">
        <f aca="false">AC45+AC46+AC47+AC49+AC52+AC56</f>
        <v>-33.5198348658285</v>
      </c>
      <c r="AD60" s="56" t="n">
        <f aca="false">AD45+AD46+AD47+AD49+AD52+AD56</f>
        <v>-33.5198348658285</v>
      </c>
      <c r="AE60" s="56" t="n">
        <f aca="false">AE45+AE46+AE47+AE49+AE52+AE56</f>
        <v>-33.1554888346782</v>
      </c>
      <c r="AF60" s="56" t="n">
        <f aca="false">AF45+AF46+AF47+AF49+AF52+AF56</f>
        <v>-33.1554888346782</v>
      </c>
      <c r="AG60" s="56" t="n">
        <f aca="false">AG45+AG46+AG47+AG49+AG52+AG56</f>
        <v>-33.5198348658285</v>
      </c>
      <c r="AH60" s="56" t="n">
        <f aca="false">AH45+AH46+AH47+AH49+AH52+AH56</f>
        <v>-33.5198348658285</v>
      </c>
      <c r="AI60" s="56" t="n">
        <f aca="false">AI45+AI46+AI47+AI49+AI52+AI56</f>
        <v>-32.7911428035279</v>
      </c>
      <c r="AJ60" s="56" t="n">
        <f aca="false">AJ45+AJ46+AJ47+AJ49+AJ52+AJ56</f>
        <v>-0</v>
      </c>
      <c r="AK60" s="56" t="n">
        <f aca="false">AK45+AK46+AK47+AK49+AK52+AK56</f>
        <v>-0</v>
      </c>
      <c r="AL60" s="56" t="n">
        <f aca="false">AL45+AL46+AL47+AL49+AL52+AL56</f>
        <v>-0</v>
      </c>
      <c r="AM60" s="56" t="n">
        <f aca="false">AM45+AM46+AM47+AM49+AM52+AM56</f>
        <v>-0</v>
      </c>
      <c r="AN60" s="56" t="n">
        <f aca="false">AN45+AN46+AN47+AN49+AN52+AN56</f>
        <v>-0</v>
      </c>
      <c r="AO60" s="56" t="n">
        <f aca="false">AO45+AO46+AO47+AO49+AO52+AO56</f>
        <v>-0</v>
      </c>
      <c r="AP60" s="56" t="n">
        <f aca="false">AP45+AP46+AP47+AP49+AP52+AP56</f>
        <v>-0</v>
      </c>
      <c r="AQ60" s="56" t="n">
        <f aca="false">AQ45+AQ46+AQ47+AQ49+AQ52+AQ56</f>
        <v>-0</v>
      </c>
      <c r="AR60" s="56" t="n">
        <f aca="false">AR45+AR46+AR47+AR49+AR52+AR56</f>
        <v>-0</v>
      </c>
      <c r="AS60" s="56" t="n">
        <f aca="false">AS45+AS46+AS47+AS49+AS52+AS56</f>
        <v>-0</v>
      </c>
      <c r="AT60" s="56" t="n">
        <f aca="false">AT45+AT46+AT47+AT49+AT52+AT56</f>
        <v>-0</v>
      </c>
      <c r="AU60" s="56" t="n">
        <f aca="false">AU45+AU46+AU47+AU49+AU52+AU56</f>
        <v>-0</v>
      </c>
      <c r="AV60" s="56" t="n">
        <f aca="false">AV45+AV46+AV47+AV49+AV52+AV56</f>
        <v>-0</v>
      </c>
      <c r="AW60" s="56" t="n">
        <f aca="false">AW45+AW46+AW47+AW49+AW52+AW56</f>
        <v>-0</v>
      </c>
      <c r="AX60" s="56" t="n">
        <f aca="false">AX45+AX46+AX47+AX49+AX52+AX56</f>
        <v>-0</v>
      </c>
      <c r="AY60" s="56" t="n">
        <f aca="false">AY45+AY46+AY47+AY49+AY52+AY56</f>
        <v>-0</v>
      </c>
      <c r="AZ60" s="56" t="n">
        <f aca="false">AZ45+AZ46+AZ47+AZ49+AZ52+AZ56</f>
        <v>-0</v>
      </c>
      <c r="BA60" s="56" t="n">
        <f aca="false">BA45+BA46+BA47+BA49+BA52+BA56</f>
        <v>-0</v>
      </c>
      <c r="BB60" s="56" t="n">
        <f aca="false">BB45+BB46+BB47+BB49+BB52+BB56</f>
        <v>-0</v>
      </c>
      <c r="BC60" s="56" t="n">
        <f aca="false">BC45+BC46+BC47+BC49+BC52+BC56</f>
        <v>-0</v>
      </c>
      <c r="BD60" s="56" t="n">
        <f aca="false">BD45+BD46+BD47+BD49+BD52+BD56</f>
        <v>-0</v>
      </c>
      <c r="BE60" s="56" t="n">
        <f aca="false">BE45+BE46+BE47+BE49+BE52+BE56</f>
        <v>-0</v>
      </c>
      <c r="BF60" s="56" t="n">
        <f aca="false">BF45+BF46+BF47+BF49+BF52+BF56</f>
        <v>-0</v>
      </c>
      <c r="BG60" s="56" t="n">
        <f aca="false">BG45+BG46+BG47+BG49+BG52+BG56</f>
        <v>-0</v>
      </c>
      <c r="BH60" s="56" t="n">
        <f aca="false">BH45+BH46+BH47+BH49+BH52+BH56</f>
        <v>-0</v>
      </c>
      <c r="BI60" s="56" t="n">
        <f aca="false">BI45+BI46+BI47+BI49+BI52+BI56</f>
        <v>-0</v>
      </c>
      <c r="BJ60" s="56" t="n">
        <f aca="false">BJ45+BJ46+BJ47+BJ49+BJ52+BJ56</f>
        <v>-0</v>
      </c>
      <c r="BK60" s="56" t="n">
        <f aca="false">BK45+BK46+BK47+BK49+BK52+BK56</f>
        <v>-0</v>
      </c>
      <c r="BL60" s="56" t="n">
        <f aca="false">BL45+BL46+BL47+BL49+BL52+BL56</f>
        <v>-0</v>
      </c>
      <c r="BM60" s="56" t="n">
        <f aca="false">BM45+BM46+BM47+BM49+BM52+BM56</f>
        <v>-0</v>
      </c>
      <c r="BN60" s="56" t="n">
        <f aca="false">BN45+BN46+BN47+BN49+BN52+BN56</f>
        <v>-0</v>
      </c>
      <c r="BO60" s="56" t="n">
        <f aca="false">BO45+BO46+BO47+BO49+BO52+BO56</f>
        <v>-0</v>
      </c>
      <c r="BP60" s="56" t="n">
        <f aca="false">BP45+BP46+BP47+BP49+BP52+BP56</f>
        <v>-0</v>
      </c>
      <c r="BQ60" s="56" t="n">
        <f aca="false">BQ45+BQ46+BQ47+BQ49+BQ52+BQ56</f>
        <v>-0</v>
      </c>
      <c r="BR60" s="56" t="n">
        <f aca="false">BR45+BR46+BR47+BR49+BR52+BR56</f>
        <v>-0</v>
      </c>
      <c r="BS60" s="56" t="n">
        <f aca="false">BS45+BS46+BS47+BS49+BS52+BS56</f>
        <v>-0</v>
      </c>
      <c r="BT60" s="56" t="n">
        <f aca="false">BT45+BT46+BT47+BT49+BT52+BT56</f>
        <v>-0</v>
      </c>
      <c r="BU60" s="56" t="n">
        <f aca="false">BU45+BU46+BU47+BU49+BU52+BU56</f>
        <v>-0</v>
      </c>
      <c r="BV60" s="56" t="n">
        <f aca="false">BV45+BV46+BV47+BV49+BV52+BV56</f>
        <v>-0</v>
      </c>
      <c r="BW60" s="56" t="n">
        <f aca="false">BW45+BW46+BW47+BW49+BW52+BW56</f>
        <v>-0</v>
      </c>
      <c r="BX60" s="56" t="n">
        <f aca="false">BX45+BX46+BX47+BX49+BX52+BX56</f>
        <v>-0</v>
      </c>
      <c r="BY60" s="56" t="n">
        <f aca="false">BY45+BY46+BY47+BY49+BY52+BY56</f>
        <v>-0</v>
      </c>
      <c r="BZ60" s="56" t="n">
        <f aca="false">BZ45+BZ46+BZ47+BZ49+BZ52+BZ56</f>
        <v>-0</v>
      </c>
      <c r="CA60" s="56" t="n">
        <f aca="false">CA45+CA46+CA47+CA49+CA52+CA56</f>
        <v>-0</v>
      </c>
      <c r="CB60" s="56" t="n">
        <f aca="false">CB45+CB46+CB47+CB49+CB52+CB56</f>
        <v>-0</v>
      </c>
      <c r="CC60" s="56" t="n">
        <f aca="false">CC45+CC46+CC47+CC49+CC52+CC56</f>
        <v>-0</v>
      </c>
      <c r="CD60" s="56" t="n">
        <f aca="false">CD45+CD46+CD47+CD49+CD52+CD56</f>
        <v>-0</v>
      </c>
      <c r="CE60" s="56" t="n">
        <f aca="false">CE45+CE46+CE47+CE49+CE52+CE56</f>
        <v>-0</v>
      </c>
      <c r="CF60" s="56" t="n">
        <f aca="false">CF45+CF46+CF47+CF49+CF52+CF56</f>
        <v>-0</v>
      </c>
      <c r="CG60" s="56" t="n">
        <f aca="false">CG45+CG46+CG47+CG49+CG52+CG56</f>
        <v>-0</v>
      </c>
      <c r="CH60" s="56" t="n">
        <f aca="false">CH45+CH46+CH47+CH49+CH52+CH56</f>
        <v>-0</v>
      </c>
      <c r="CI60" s="56" t="n">
        <f aca="false">CI45+CI46+CI47+CI49+CI52+CI56</f>
        <v>-0</v>
      </c>
      <c r="CJ60" s="56" t="n">
        <f aca="false">CJ45+CJ46+CJ47+CJ49+CJ52+CJ56</f>
        <v>-0</v>
      </c>
      <c r="CK60" s="56" t="n">
        <f aca="false">CK45+CK46+CK47+CK49+CK52+CK56</f>
        <v>-0</v>
      </c>
      <c r="CL60" s="56" t="n">
        <f aca="false">CL45+CL46+CL47+CL49+CL52+CL56</f>
        <v>-0</v>
      </c>
      <c r="CM60" s="56" t="n">
        <f aca="false">CM45+CM46+CM47+CM49+CM52+CM56</f>
        <v>-0</v>
      </c>
      <c r="CN60" s="56" t="n">
        <f aca="false">CN45+CN46+CN47+CN49+CN52+CN56</f>
        <v>-0</v>
      </c>
      <c r="CO60" s="56" t="n">
        <f aca="false">CO45+CO46+CO47+CO49+CO52+CO56</f>
        <v>-0</v>
      </c>
      <c r="CP60" s="56" t="n">
        <f aca="false">CP45+CP46+CP47+CP49+CP52+CP56</f>
        <v>-0</v>
      </c>
      <c r="CQ60" s="56" t="n">
        <f aca="false">CQ45+CQ46+CQ47+CQ49+CQ52+CQ56</f>
        <v>-0</v>
      </c>
      <c r="CR60" s="56" t="n">
        <f aca="false">CR45+CR46+CR47+CR49+CR52+CR56</f>
        <v>-0</v>
      </c>
      <c r="CS60" s="56" t="n">
        <f aca="false">CS45+CS46+CS47+CS49+CS52+CS56</f>
        <v>-0</v>
      </c>
      <c r="CT60" s="56" t="n">
        <f aca="false">CT45+CT46+CT47+CT49+CT52+CT56</f>
        <v>-0</v>
      </c>
      <c r="CU60" s="56" t="n">
        <f aca="false">CU45+CU46+CU47+CU49+CU52+CU56</f>
        <v>-0</v>
      </c>
      <c r="CV60" s="56" t="n">
        <f aca="false">CV45+CV46+CV47+CV49+CV52+CV56</f>
        <v>-0</v>
      </c>
      <c r="CW60" s="56" t="n">
        <f aca="false">CW45+CW46+CW47+CW49+CW52+CW56</f>
        <v>-0</v>
      </c>
      <c r="CX60" s="56" t="n">
        <f aca="false">CX45+CX46+CX47+CX49+CX52+CX56</f>
        <v>-0</v>
      </c>
      <c r="CY60" s="56" t="n">
        <f aca="false">CY45+CY46+CY47+CY49+CY52+CY56</f>
        <v>-0</v>
      </c>
      <c r="CZ60" s="56" t="n">
        <f aca="false">CZ45+CZ46+CZ47+CZ49+CZ52+CZ56</f>
        <v>-0</v>
      </c>
      <c r="DA60" s="56" t="n">
        <f aca="false">DA45+DA46+DA47+DA49+DA52+DA56</f>
        <v>-0</v>
      </c>
      <c r="DB60" s="56" t="n">
        <f aca="false">DB45+DB46+DB47+DB49+DB52+DB56</f>
        <v>-0</v>
      </c>
      <c r="DC60" s="56" t="n">
        <f aca="false">DC45+DC46+DC47+DC49+DC52+DC56</f>
        <v>-0</v>
      </c>
      <c r="DD60" s="56" t="n">
        <f aca="false">DD45+DD46+DD47+DD49+DD52+DD56</f>
        <v>-0</v>
      </c>
      <c r="DE60" s="56" t="n">
        <f aca="false">DE45+DE46+DE47+DE49+DE52+DE56</f>
        <v>-0</v>
      </c>
      <c r="DF60" s="56" t="n">
        <f aca="false">DF45+DF46+DF47+DF49+DF52+DF56</f>
        <v>-0</v>
      </c>
      <c r="DG60" s="56" t="n">
        <f aca="false">DG45+DG46+DG47+DG49+DG52+DG56</f>
        <v>-0</v>
      </c>
      <c r="DH60" s="56" t="n">
        <f aca="false">DH45+DH46+DH47+DH49+DH52+DH56</f>
        <v>-0</v>
      </c>
      <c r="DI60" s="56" t="n">
        <f aca="false">DI45+DI46+DI47+DI49+DI52+DI56</f>
        <v>-0</v>
      </c>
      <c r="DJ60" s="56" t="n">
        <f aca="false">DJ45+DJ46+DJ47+DJ49+DJ52+DJ56</f>
        <v>-0</v>
      </c>
      <c r="DK60" s="56" t="n">
        <f aca="false">DK45+DK46+DK47+DK49+DK52+DK56</f>
        <v>-0</v>
      </c>
      <c r="DL60" s="56" t="n">
        <f aca="false">DL45+DL46+DL47+DL49+DL52+DL56</f>
        <v>-0</v>
      </c>
      <c r="DM60" s="56" t="n">
        <f aca="false">DM45+DM46+DM47+DM49+DM52+DM56</f>
        <v>-0</v>
      </c>
      <c r="DN60" s="56" t="n">
        <f aca="false">DN45+DN46+DN47+DN49+DN52+DN56</f>
        <v>-0</v>
      </c>
      <c r="DO60" s="56" t="n">
        <f aca="false">DO45+DO46+DO47+DO49+DO52+DO56</f>
        <v>-0</v>
      </c>
      <c r="DP60" s="56" t="n">
        <f aca="false">DP45+DP46+DP47+DP49+DP52+DP56</f>
        <v>-0</v>
      </c>
      <c r="DQ60" s="56" t="n">
        <f aca="false">DQ45+DQ46+DQ47+DQ49+DQ52+DQ56</f>
        <v>-0</v>
      </c>
      <c r="DR60" s="56" t="n">
        <f aca="false">DR45+DR46+DR47+DR49+DR52+DR56</f>
        <v>-0</v>
      </c>
      <c r="DS60" s="56" t="n">
        <f aca="false">DS45+DS46+DS47+DS49+DS52+DS56</f>
        <v>-0</v>
      </c>
      <c r="DT60" s="56" t="n">
        <f aca="false">DT45+DT46+DT47+DT49+DT52+DT56</f>
        <v>-0</v>
      </c>
      <c r="DU60" s="56" t="n">
        <f aca="false">DU45+DU46+DU47+DU49+DU52+DU56</f>
        <v>-0</v>
      </c>
      <c r="DV60" s="56" t="n">
        <f aca="false">DV45+DV46+DV47+DV49+DV52+DV56</f>
        <v>-0</v>
      </c>
      <c r="DW60" s="56" t="n">
        <f aca="false">DW45+DW46+DW47+DW49+DW52+DW56</f>
        <v>-0</v>
      </c>
      <c r="DX60" s="56" t="n">
        <f aca="false">DX45+DX46+DX47+DX49+DX52+DX56</f>
        <v>-0</v>
      </c>
      <c r="DY60" s="56" t="n">
        <f aca="false">DY45+DY46+DY47+DY49+DY52+DY56</f>
        <v>-0</v>
      </c>
      <c r="DZ60" s="56" t="n">
        <f aca="false">DZ45+DZ46+DZ47+DZ49+DZ52+DZ56</f>
        <v>-0</v>
      </c>
      <c r="EA60" s="56" t="n">
        <f aca="false">EA45+EA46+EA47+EA49+EA52+EA56</f>
        <v>-0</v>
      </c>
      <c r="EB60" s="56" t="n">
        <f aca="false">EB45+EB46+EB47+EB49+EB52+EB56</f>
        <v>-0</v>
      </c>
      <c r="EC60" s="56" t="n">
        <f aca="false">EC45+EC46+EC47+EC49+EC52+EC56</f>
        <v>-0</v>
      </c>
      <c r="ED60" s="56" t="n">
        <f aca="false">ED45+ED46+ED47+ED49+ED52+ED56</f>
        <v>-0</v>
      </c>
      <c r="EE60" s="56" t="n">
        <f aca="false">EE45+EE46+EE47+EE49+EE52+EE56</f>
        <v>-0</v>
      </c>
      <c r="EF60" s="56" t="n">
        <f aca="false">EF45+EF46+EF47+EF49+EF52+EF56</f>
        <v>-0</v>
      </c>
      <c r="EG60" s="56" t="n">
        <f aca="false">EG45+EG46+EG47+EG49+EG52+EG56</f>
        <v>-0</v>
      </c>
      <c r="EH60" s="56" t="n">
        <f aca="false">EH45+EH46+EH47+EH49+EH52+EH56</f>
        <v>-0</v>
      </c>
      <c r="EI60" s="56" t="n">
        <f aca="false">EI45+EI46+EI47+EI49+EI52+EI56</f>
        <v>-0</v>
      </c>
      <c r="EJ60" s="56" t="n">
        <f aca="false">EJ45+EJ46+EJ47+EJ49+EJ52+EJ56</f>
        <v>-0</v>
      </c>
      <c r="EK60" s="56" t="n">
        <f aca="false">EK45+EK46+EK47+EK49+EK52+EK56</f>
        <v>-0</v>
      </c>
      <c r="EL60" s="56" t="n">
        <f aca="false">EL45+EL46+EL47+EL49+EL52+EL56</f>
        <v>-0</v>
      </c>
      <c r="EM60" s="56" t="n">
        <f aca="false">EM45+EM46+EM47+EM49+EM52+EM56</f>
        <v>-0</v>
      </c>
      <c r="EN60" s="56" t="n">
        <f aca="false">EN45+EN46+EN47+EN49+EN52+EN56</f>
        <v>-0</v>
      </c>
      <c r="EO60" s="56" t="n">
        <f aca="false">EO45+EO46+EO47+EO49+EO52+EO56</f>
        <v>-0</v>
      </c>
    </row>
    <row r="62" customFormat="false" ht="15" hidden="false" customHeight="false" outlineLevel="0" collapsed="false">
      <c r="A62" s="9" t="s">
        <v>13</v>
      </c>
      <c r="B62" s="9"/>
      <c r="C62" s="9" t="s">
        <v>432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</row>
    <row r="63" customFormat="false" ht="15" hidden="false" customHeight="false" outlineLevel="0" collapsed="false">
      <c r="C63" s="0" t="s">
        <v>433</v>
      </c>
      <c r="D63" s="11" t="s">
        <v>19</v>
      </c>
      <c r="E63" s="47" t="n">
        <f aca="false">IF($E39=1,In_Turbine,In_Turbine_CN)</f>
        <v>500</v>
      </c>
    </row>
    <row r="64" customFormat="false" ht="15" hidden="false" customHeight="false" outlineLevel="0" collapsed="false">
      <c r="C64" s="0" t="s">
        <v>434</v>
      </c>
      <c r="D64" s="11" t="s">
        <v>33</v>
      </c>
      <c r="E64" s="47" t="n">
        <f aca="false">IF($E39=1,In_Substation,In_Substation_CN)</f>
        <v>10800</v>
      </c>
    </row>
    <row r="65" customFormat="false" ht="15" hidden="false" customHeight="false" outlineLevel="0" collapsed="false">
      <c r="C65" s="0" t="s">
        <v>435</v>
      </c>
      <c r="D65" s="11" t="s">
        <v>33</v>
      </c>
      <c r="E65" s="47" t="n">
        <f aca="false">(($E63+In_Other_Wind)*$F25+$E64)*(1+In_Capex_Contingency)+In_BESS_Capex*$F26</f>
        <v>63116.25</v>
      </c>
      <c r="I65" s="47" t="n">
        <f aca="false">SUM(J65:EO65)</f>
        <v>-63116.25</v>
      </c>
      <c r="J65" s="47" t="n">
        <f aca="false">-$E65*J12</f>
        <v>-0</v>
      </c>
      <c r="K65" s="47" t="n">
        <f aca="false">-$E65*K12</f>
        <v>-0</v>
      </c>
      <c r="L65" s="47" t="n">
        <f aca="false">-$E65*L12</f>
        <v>-0</v>
      </c>
      <c r="M65" s="47" t="n">
        <f aca="false">-$E65*M12</f>
        <v>-0</v>
      </c>
      <c r="N65" s="47" t="n">
        <f aca="false">-$E65*N12</f>
        <v>-0</v>
      </c>
      <c r="O65" s="47" t="n">
        <f aca="false">-$E65*O12</f>
        <v>-0</v>
      </c>
      <c r="P65" s="47" t="n">
        <f aca="false">-$E65*P12</f>
        <v>-0</v>
      </c>
      <c r="Q65" s="47" t="n">
        <f aca="false">-$E65*Q12</f>
        <v>-0</v>
      </c>
      <c r="R65" s="47" t="n">
        <f aca="false">-$E65*R12</f>
        <v>-7954.37671232877</v>
      </c>
      <c r="S65" s="47" t="n">
        <f aca="false">-$E65*S12</f>
        <v>-7781.45547945206</v>
      </c>
      <c r="T65" s="47" t="n">
        <f aca="false">-$E65*T12</f>
        <v>-7867.91609589041</v>
      </c>
      <c r="U65" s="47" t="n">
        <f aca="false">-$E65*U12</f>
        <v>-7954.37671232877</v>
      </c>
      <c r="V65" s="47" t="n">
        <f aca="false">-$E65*V12</f>
        <v>-7954.37671232877</v>
      </c>
      <c r="W65" s="47" t="n">
        <f aca="false">-$E65*W12</f>
        <v>-7781.45547945206</v>
      </c>
      <c r="X65" s="47" t="n">
        <f aca="false">-$E65*X12</f>
        <v>-7867.91609589041</v>
      </c>
      <c r="Y65" s="47" t="n">
        <f aca="false">-$E65*Y12</f>
        <v>-7954.37671232877</v>
      </c>
      <c r="Z65" s="47" t="n">
        <f aca="false">-$E65*Z12</f>
        <v>-0</v>
      </c>
      <c r="AA65" s="47" t="n">
        <f aca="false">-$E65*AA12</f>
        <v>-0</v>
      </c>
      <c r="AB65" s="47" t="n">
        <f aca="false">-$E65*AB12</f>
        <v>-0</v>
      </c>
      <c r="AC65" s="47" t="n">
        <f aca="false">-$E65*AC12</f>
        <v>-0</v>
      </c>
      <c r="AD65" s="47" t="n">
        <f aca="false">-$E65*AD12</f>
        <v>-0</v>
      </c>
      <c r="AE65" s="47" t="n">
        <f aca="false">-$E65*AE12</f>
        <v>-0</v>
      </c>
      <c r="AF65" s="47" t="n">
        <f aca="false">-$E65*AF12</f>
        <v>-0</v>
      </c>
      <c r="AG65" s="47" t="n">
        <f aca="false">-$E65*AG12</f>
        <v>-0</v>
      </c>
      <c r="AH65" s="47" t="n">
        <f aca="false">-$E65*AH12</f>
        <v>-0</v>
      </c>
      <c r="AI65" s="47" t="n">
        <f aca="false">-$E65*AI12</f>
        <v>-0</v>
      </c>
      <c r="AJ65" s="47" t="n">
        <f aca="false">-$E65*AJ12</f>
        <v>-0</v>
      </c>
      <c r="AK65" s="47" t="n">
        <f aca="false">-$E65*AK12</f>
        <v>-0</v>
      </c>
      <c r="AL65" s="47" t="n">
        <f aca="false">-$E65*AL12</f>
        <v>-0</v>
      </c>
      <c r="AM65" s="47" t="n">
        <f aca="false">-$E65*AM12</f>
        <v>-0</v>
      </c>
      <c r="AN65" s="47" t="n">
        <f aca="false">-$E65*AN12</f>
        <v>-0</v>
      </c>
      <c r="AO65" s="47" t="n">
        <f aca="false">-$E65*AO12</f>
        <v>-0</v>
      </c>
      <c r="AP65" s="47" t="n">
        <f aca="false">-$E65*AP12</f>
        <v>-0</v>
      </c>
      <c r="AQ65" s="47" t="n">
        <f aca="false">-$E65*AQ12</f>
        <v>-0</v>
      </c>
      <c r="AR65" s="47" t="n">
        <f aca="false">-$E65*AR12</f>
        <v>-0</v>
      </c>
      <c r="AS65" s="47" t="n">
        <f aca="false">-$E65*AS12</f>
        <v>-0</v>
      </c>
      <c r="AT65" s="47" t="n">
        <f aca="false">-$E65*AT12</f>
        <v>-0</v>
      </c>
      <c r="AU65" s="47" t="n">
        <f aca="false">-$E65*AU12</f>
        <v>-0</v>
      </c>
      <c r="AV65" s="47" t="n">
        <f aca="false">-$E65*AV12</f>
        <v>-0</v>
      </c>
      <c r="AW65" s="47" t="n">
        <f aca="false">-$E65*AW12</f>
        <v>-0</v>
      </c>
      <c r="AX65" s="47" t="n">
        <f aca="false">-$E65*AX12</f>
        <v>-0</v>
      </c>
      <c r="AY65" s="47" t="n">
        <f aca="false">-$E65*AY12</f>
        <v>-0</v>
      </c>
      <c r="AZ65" s="47" t="n">
        <f aca="false">-$E65*AZ12</f>
        <v>-0</v>
      </c>
      <c r="BA65" s="47" t="n">
        <f aca="false">-$E65*BA12</f>
        <v>-0</v>
      </c>
      <c r="BB65" s="47" t="n">
        <f aca="false">-$E65*BB12</f>
        <v>-0</v>
      </c>
      <c r="BC65" s="47" t="n">
        <f aca="false">-$E65*BC12</f>
        <v>-0</v>
      </c>
      <c r="BD65" s="47" t="n">
        <f aca="false">-$E65*BD12</f>
        <v>-0</v>
      </c>
      <c r="BE65" s="47" t="n">
        <f aca="false">-$E65*BE12</f>
        <v>-0</v>
      </c>
      <c r="BF65" s="47" t="n">
        <f aca="false">-$E65*BF12</f>
        <v>-0</v>
      </c>
      <c r="BG65" s="47" t="n">
        <f aca="false">-$E65*BG12</f>
        <v>-0</v>
      </c>
      <c r="BH65" s="47" t="n">
        <f aca="false">-$E65*BH12</f>
        <v>-0</v>
      </c>
      <c r="BI65" s="47" t="n">
        <f aca="false">-$E65*BI12</f>
        <v>-0</v>
      </c>
      <c r="BJ65" s="47" t="n">
        <f aca="false">-$E65*BJ12</f>
        <v>-0</v>
      </c>
      <c r="BK65" s="47" t="n">
        <f aca="false">-$E65*BK12</f>
        <v>-0</v>
      </c>
      <c r="BL65" s="47" t="n">
        <f aca="false">-$E65*BL12</f>
        <v>-0</v>
      </c>
      <c r="BM65" s="47" t="n">
        <f aca="false">-$E65*BM12</f>
        <v>-0</v>
      </c>
      <c r="BN65" s="47" t="n">
        <f aca="false">-$E65*BN12</f>
        <v>-0</v>
      </c>
      <c r="BO65" s="47" t="n">
        <f aca="false">-$E65*BO12</f>
        <v>-0</v>
      </c>
      <c r="BP65" s="47" t="n">
        <f aca="false">-$E65*BP12</f>
        <v>-0</v>
      </c>
      <c r="BQ65" s="47" t="n">
        <f aca="false">-$E65*BQ12</f>
        <v>-0</v>
      </c>
      <c r="BR65" s="47" t="n">
        <f aca="false">-$E65*BR12</f>
        <v>-0</v>
      </c>
      <c r="BS65" s="47" t="n">
        <f aca="false">-$E65*BS12</f>
        <v>-0</v>
      </c>
      <c r="BT65" s="47" t="n">
        <f aca="false">-$E65*BT12</f>
        <v>-0</v>
      </c>
      <c r="BU65" s="47" t="n">
        <f aca="false">-$E65*BU12</f>
        <v>-0</v>
      </c>
      <c r="BV65" s="47" t="n">
        <f aca="false">-$E65*BV12</f>
        <v>-0</v>
      </c>
      <c r="BW65" s="47" t="n">
        <f aca="false">-$E65*BW12</f>
        <v>-0</v>
      </c>
      <c r="BX65" s="47" t="n">
        <f aca="false">-$E65*BX12</f>
        <v>-0</v>
      </c>
      <c r="BY65" s="47" t="n">
        <f aca="false">-$E65*BY12</f>
        <v>-0</v>
      </c>
      <c r="BZ65" s="47" t="n">
        <f aca="false">-$E65*BZ12</f>
        <v>-0</v>
      </c>
      <c r="CA65" s="47" t="n">
        <f aca="false">-$E65*CA12</f>
        <v>-0</v>
      </c>
      <c r="CB65" s="47" t="n">
        <f aca="false">-$E65*CB12</f>
        <v>-0</v>
      </c>
      <c r="CC65" s="47" t="n">
        <f aca="false">-$E65*CC12</f>
        <v>-0</v>
      </c>
      <c r="CD65" s="47" t="n">
        <f aca="false">-$E65*CD12</f>
        <v>-0</v>
      </c>
      <c r="CE65" s="47" t="n">
        <f aca="false">-$E65*CE12</f>
        <v>-0</v>
      </c>
      <c r="CF65" s="47" t="n">
        <f aca="false">-$E65*CF12</f>
        <v>-0</v>
      </c>
      <c r="CG65" s="47" t="n">
        <f aca="false">-$E65*CG12</f>
        <v>-0</v>
      </c>
      <c r="CH65" s="47" t="n">
        <f aca="false">-$E65*CH12</f>
        <v>-0</v>
      </c>
      <c r="CI65" s="47" t="n">
        <f aca="false">-$E65*CI12</f>
        <v>-0</v>
      </c>
      <c r="CJ65" s="47" t="n">
        <f aca="false">-$E65*CJ12</f>
        <v>-0</v>
      </c>
      <c r="CK65" s="47" t="n">
        <f aca="false">-$E65*CK12</f>
        <v>-0</v>
      </c>
      <c r="CL65" s="47" t="n">
        <f aca="false">-$E65*CL12</f>
        <v>-0</v>
      </c>
      <c r="CM65" s="47" t="n">
        <f aca="false">-$E65*CM12</f>
        <v>-0</v>
      </c>
      <c r="CN65" s="47" t="n">
        <f aca="false">-$E65*CN12</f>
        <v>-0</v>
      </c>
      <c r="CO65" s="47" t="n">
        <f aca="false">-$E65*CO12</f>
        <v>-0</v>
      </c>
      <c r="CP65" s="47" t="n">
        <f aca="false">-$E65*CP12</f>
        <v>-0</v>
      </c>
      <c r="CQ65" s="47" t="n">
        <f aca="false">-$E65*CQ12</f>
        <v>-0</v>
      </c>
      <c r="CR65" s="47" t="n">
        <f aca="false">-$E65*CR12</f>
        <v>-0</v>
      </c>
      <c r="CS65" s="47" t="n">
        <f aca="false">-$E65*CS12</f>
        <v>-0</v>
      </c>
      <c r="CT65" s="47" t="n">
        <f aca="false">-$E65*CT12</f>
        <v>-0</v>
      </c>
      <c r="CU65" s="47" t="n">
        <f aca="false">-$E65*CU12</f>
        <v>-0</v>
      </c>
      <c r="CV65" s="47" t="n">
        <f aca="false">-$E65*CV12</f>
        <v>-0</v>
      </c>
      <c r="CW65" s="47" t="n">
        <f aca="false">-$E65*CW12</f>
        <v>-0</v>
      </c>
      <c r="CX65" s="47" t="n">
        <f aca="false">-$E65*CX12</f>
        <v>-0</v>
      </c>
      <c r="CY65" s="47" t="n">
        <f aca="false">-$E65*CY12</f>
        <v>-0</v>
      </c>
      <c r="CZ65" s="47" t="n">
        <f aca="false">-$E65*CZ12</f>
        <v>-0</v>
      </c>
      <c r="DA65" s="47" t="n">
        <f aca="false">-$E65*DA12</f>
        <v>-0</v>
      </c>
      <c r="DB65" s="47" t="n">
        <f aca="false">-$E65*DB12</f>
        <v>-0</v>
      </c>
      <c r="DC65" s="47" t="n">
        <f aca="false">-$E65*DC12</f>
        <v>-0</v>
      </c>
      <c r="DD65" s="47" t="n">
        <f aca="false">-$E65*DD12</f>
        <v>-0</v>
      </c>
      <c r="DE65" s="47" t="n">
        <f aca="false">-$E65*DE12</f>
        <v>-0</v>
      </c>
      <c r="DF65" s="47" t="n">
        <f aca="false">-$E65*DF12</f>
        <v>-0</v>
      </c>
      <c r="DG65" s="47" t="n">
        <f aca="false">-$E65*DG12</f>
        <v>-0</v>
      </c>
      <c r="DH65" s="47" t="n">
        <f aca="false">-$E65*DH12</f>
        <v>-0</v>
      </c>
      <c r="DI65" s="47" t="n">
        <f aca="false">-$E65*DI12</f>
        <v>-0</v>
      </c>
      <c r="DJ65" s="47" t="n">
        <f aca="false">-$E65*DJ12</f>
        <v>-0</v>
      </c>
      <c r="DK65" s="47" t="n">
        <f aca="false">-$E65*DK12</f>
        <v>-0</v>
      </c>
      <c r="DL65" s="47" t="n">
        <f aca="false">-$E65*DL12</f>
        <v>-0</v>
      </c>
      <c r="DM65" s="47" t="n">
        <f aca="false">-$E65*DM12</f>
        <v>-0</v>
      </c>
      <c r="DN65" s="47" t="n">
        <f aca="false">-$E65*DN12</f>
        <v>-0</v>
      </c>
      <c r="DO65" s="47" t="n">
        <f aca="false">-$E65*DO12</f>
        <v>-0</v>
      </c>
      <c r="DP65" s="47" t="n">
        <f aca="false">-$E65*DP12</f>
        <v>-0</v>
      </c>
      <c r="DQ65" s="47" t="n">
        <f aca="false">-$E65*DQ12</f>
        <v>-0</v>
      </c>
      <c r="DR65" s="47" t="n">
        <f aca="false">-$E65*DR12</f>
        <v>-0</v>
      </c>
      <c r="DS65" s="47" t="n">
        <f aca="false">-$E65*DS12</f>
        <v>-0</v>
      </c>
      <c r="DT65" s="47" t="n">
        <f aca="false">-$E65*DT12</f>
        <v>-0</v>
      </c>
      <c r="DU65" s="47" t="n">
        <f aca="false">-$E65*DU12</f>
        <v>-0</v>
      </c>
      <c r="DV65" s="47" t="n">
        <f aca="false">-$E65*DV12</f>
        <v>-0</v>
      </c>
      <c r="DW65" s="47" t="n">
        <f aca="false">-$E65*DW12</f>
        <v>-0</v>
      </c>
      <c r="DX65" s="47" t="n">
        <f aca="false">-$E65*DX12</f>
        <v>-0</v>
      </c>
      <c r="DY65" s="47" t="n">
        <f aca="false">-$E65*DY12</f>
        <v>-0</v>
      </c>
      <c r="DZ65" s="47" t="n">
        <f aca="false">-$E65*DZ12</f>
        <v>-0</v>
      </c>
      <c r="EA65" s="47" t="n">
        <f aca="false">-$E65*EA12</f>
        <v>-0</v>
      </c>
      <c r="EB65" s="47" t="n">
        <f aca="false">-$E65*EB12</f>
        <v>-0</v>
      </c>
      <c r="EC65" s="47" t="n">
        <f aca="false">-$E65*EC12</f>
        <v>-0</v>
      </c>
      <c r="ED65" s="47" t="n">
        <f aca="false">-$E65*ED12</f>
        <v>-0</v>
      </c>
      <c r="EE65" s="47" t="n">
        <f aca="false">-$E65*EE12</f>
        <v>-0</v>
      </c>
      <c r="EF65" s="47" t="n">
        <f aca="false">-$E65*EF12</f>
        <v>-0</v>
      </c>
      <c r="EG65" s="47" t="n">
        <f aca="false">-$E65*EG12</f>
        <v>-0</v>
      </c>
      <c r="EH65" s="47" t="n">
        <f aca="false">-$E65*EH12</f>
        <v>-0</v>
      </c>
      <c r="EI65" s="47" t="n">
        <f aca="false">-$E65*EI12</f>
        <v>-0</v>
      </c>
      <c r="EJ65" s="47" t="n">
        <f aca="false">-$E65*EJ12</f>
        <v>-0</v>
      </c>
      <c r="EK65" s="47" t="n">
        <f aca="false">-$E65*EK12</f>
        <v>-0</v>
      </c>
      <c r="EL65" s="47" t="n">
        <f aca="false">-$E65*EL12</f>
        <v>-0</v>
      </c>
      <c r="EM65" s="47" t="n">
        <f aca="false">-$E65*EM12</f>
        <v>-0</v>
      </c>
      <c r="EN65" s="47" t="n">
        <f aca="false">-$E65*EN12</f>
        <v>-0</v>
      </c>
      <c r="EO65" s="47" t="n">
        <f aca="false">-$E65*EO12</f>
        <v>-0</v>
      </c>
    </row>
    <row r="66" customFormat="false" ht="15" hidden="false" customHeight="false" outlineLevel="0" collapsed="false">
      <c r="C66" s="0" t="s">
        <v>436</v>
      </c>
      <c r="D66" s="11" t="s">
        <v>33</v>
      </c>
      <c r="E66" s="47" t="n">
        <f aca="false">$E32*In_MVA</f>
        <v>2500</v>
      </c>
      <c r="I66" s="47" t="n">
        <f aca="false">SUM(J66:EO66)</f>
        <v>-2500</v>
      </c>
      <c r="J66" s="47" t="n">
        <f aca="false">-$E66*J14</f>
        <v>-0</v>
      </c>
      <c r="K66" s="47" t="n">
        <f aca="false">-$E66*K14</f>
        <v>-0</v>
      </c>
      <c r="L66" s="47" t="n">
        <f aca="false">-$E66*L14</f>
        <v>-0</v>
      </c>
      <c r="M66" s="47" t="n">
        <f aca="false">-$E66*M14</f>
        <v>-0</v>
      </c>
      <c r="N66" s="47" t="n">
        <f aca="false">-$E66*N14</f>
        <v>-0</v>
      </c>
      <c r="O66" s="47" t="n">
        <f aca="false">-$E66*O14</f>
        <v>-0</v>
      </c>
      <c r="P66" s="47" t="n">
        <f aca="false">-$E66*P14</f>
        <v>-0</v>
      </c>
      <c r="Q66" s="47" t="n">
        <f aca="false">-$E66*Q14</f>
        <v>-0</v>
      </c>
      <c r="R66" s="47" t="n">
        <f aca="false">-$E66*R14</f>
        <v>-0</v>
      </c>
      <c r="S66" s="47" t="n">
        <f aca="false">-$E66*S14</f>
        <v>-0</v>
      </c>
      <c r="T66" s="47" t="n">
        <f aca="false">-$E66*T14</f>
        <v>-0</v>
      </c>
      <c r="U66" s="47" t="n">
        <f aca="false">-$E66*U14</f>
        <v>-0</v>
      </c>
      <c r="V66" s="47" t="n">
        <f aca="false">-$E66*V14</f>
        <v>-0</v>
      </c>
      <c r="W66" s="47" t="n">
        <f aca="false">-$E66*W14</f>
        <v>-0</v>
      </c>
      <c r="X66" s="47" t="n">
        <f aca="false">-$E66*X14</f>
        <v>-0</v>
      </c>
      <c r="Y66" s="47" t="n">
        <f aca="false">-$E66*Y14</f>
        <v>-2500</v>
      </c>
      <c r="Z66" s="47" t="n">
        <f aca="false">-$E66*Z14</f>
        <v>-0</v>
      </c>
      <c r="AA66" s="47" t="n">
        <f aca="false">-$E66*AA14</f>
        <v>-0</v>
      </c>
      <c r="AB66" s="47" t="n">
        <f aca="false">-$E66*AB14</f>
        <v>-0</v>
      </c>
      <c r="AC66" s="47" t="n">
        <f aca="false">-$E66*AC14</f>
        <v>-0</v>
      </c>
      <c r="AD66" s="47" t="n">
        <f aca="false">-$E66*AD14</f>
        <v>-0</v>
      </c>
      <c r="AE66" s="47" t="n">
        <f aca="false">-$E66*AE14</f>
        <v>-0</v>
      </c>
      <c r="AF66" s="47" t="n">
        <f aca="false">-$E66*AF14</f>
        <v>-0</v>
      </c>
      <c r="AG66" s="47" t="n">
        <f aca="false">-$E66*AG14</f>
        <v>-0</v>
      </c>
      <c r="AH66" s="47" t="n">
        <f aca="false">-$E66*AH14</f>
        <v>-0</v>
      </c>
      <c r="AI66" s="47" t="n">
        <f aca="false">-$E66*AI14</f>
        <v>-0</v>
      </c>
      <c r="AJ66" s="47" t="n">
        <f aca="false">-$E66*AJ14</f>
        <v>-0</v>
      </c>
      <c r="AK66" s="47" t="n">
        <f aca="false">-$E66*AK14</f>
        <v>-0</v>
      </c>
      <c r="AL66" s="47" t="n">
        <f aca="false">-$E66*AL14</f>
        <v>-0</v>
      </c>
      <c r="AM66" s="47" t="n">
        <f aca="false">-$E66*AM14</f>
        <v>-0</v>
      </c>
      <c r="AN66" s="47" t="n">
        <f aca="false">-$E66*AN14</f>
        <v>-0</v>
      </c>
      <c r="AO66" s="47" t="n">
        <f aca="false">-$E66*AO14</f>
        <v>-0</v>
      </c>
      <c r="AP66" s="47" t="n">
        <f aca="false">-$E66*AP14</f>
        <v>-0</v>
      </c>
      <c r="AQ66" s="47" t="n">
        <f aca="false">-$E66*AQ14</f>
        <v>-0</v>
      </c>
      <c r="AR66" s="47" t="n">
        <f aca="false">-$E66*AR14</f>
        <v>-0</v>
      </c>
      <c r="AS66" s="47" t="n">
        <f aca="false">-$E66*AS14</f>
        <v>-0</v>
      </c>
      <c r="AT66" s="47" t="n">
        <f aca="false">-$E66*AT14</f>
        <v>-0</v>
      </c>
      <c r="AU66" s="47" t="n">
        <f aca="false">-$E66*AU14</f>
        <v>-0</v>
      </c>
      <c r="AV66" s="47" t="n">
        <f aca="false">-$E66*AV14</f>
        <v>-0</v>
      </c>
      <c r="AW66" s="47" t="n">
        <f aca="false">-$E66*AW14</f>
        <v>-0</v>
      </c>
      <c r="AX66" s="47" t="n">
        <f aca="false">-$E66*AX14</f>
        <v>-0</v>
      </c>
      <c r="AY66" s="47" t="n">
        <f aca="false">-$E66*AY14</f>
        <v>-0</v>
      </c>
      <c r="AZ66" s="47" t="n">
        <f aca="false">-$E66*AZ14</f>
        <v>-0</v>
      </c>
      <c r="BA66" s="47" t="n">
        <f aca="false">-$E66*BA14</f>
        <v>-0</v>
      </c>
      <c r="BB66" s="47" t="n">
        <f aca="false">-$E66*BB14</f>
        <v>-0</v>
      </c>
      <c r="BC66" s="47" t="n">
        <f aca="false">-$E66*BC14</f>
        <v>-0</v>
      </c>
      <c r="BD66" s="47" t="n">
        <f aca="false">-$E66*BD14</f>
        <v>-0</v>
      </c>
      <c r="BE66" s="47" t="n">
        <f aca="false">-$E66*BE14</f>
        <v>-0</v>
      </c>
      <c r="BF66" s="47" t="n">
        <f aca="false">-$E66*BF14</f>
        <v>-0</v>
      </c>
      <c r="BG66" s="47" t="n">
        <f aca="false">-$E66*BG14</f>
        <v>-0</v>
      </c>
      <c r="BH66" s="47" t="n">
        <f aca="false">-$E66*BH14</f>
        <v>-0</v>
      </c>
      <c r="BI66" s="47" t="n">
        <f aca="false">-$E66*BI14</f>
        <v>-0</v>
      </c>
      <c r="BJ66" s="47" t="n">
        <f aca="false">-$E66*BJ14</f>
        <v>-0</v>
      </c>
      <c r="BK66" s="47" t="n">
        <f aca="false">-$E66*BK14</f>
        <v>-0</v>
      </c>
      <c r="BL66" s="47" t="n">
        <f aca="false">-$E66*BL14</f>
        <v>-0</v>
      </c>
      <c r="BM66" s="47" t="n">
        <f aca="false">-$E66*BM14</f>
        <v>-0</v>
      </c>
      <c r="BN66" s="47" t="n">
        <f aca="false">-$E66*BN14</f>
        <v>-0</v>
      </c>
      <c r="BO66" s="47" t="n">
        <f aca="false">-$E66*BO14</f>
        <v>-0</v>
      </c>
      <c r="BP66" s="47" t="n">
        <f aca="false">-$E66*BP14</f>
        <v>-0</v>
      </c>
      <c r="BQ66" s="47" t="n">
        <f aca="false">-$E66*BQ14</f>
        <v>-0</v>
      </c>
      <c r="BR66" s="47" t="n">
        <f aca="false">-$E66*BR14</f>
        <v>-0</v>
      </c>
      <c r="BS66" s="47" t="n">
        <f aca="false">-$E66*BS14</f>
        <v>-0</v>
      </c>
      <c r="BT66" s="47" t="n">
        <f aca="false">-$E66*BT14</f>
        <v>-0</v>
      </c>
      <c r="BU66" s="47" t="n">
        <f aca="false">-$E66*BU14</f>
        <v>-0</v>
      </c>
      <c r="BV66" s="47" t="n">
        <f aca="false">-$E66*BV14</f>
        <v>-0</v>
      </c>
      <c r="BW66" s="47" t="n">
        <f aca="false">-$E66*BW14</f>
        <v>-0</v>
      </c>
      <c r="BX66" s="47" t="n">
        <f aca="false">-$E66*BX14</f>
        <v>-0</v>
      </c>
      <c r="BY66" s="47" t="n">
        <f aca="false">-$E66*BY14</f>
        <v>-0</v>
      </c>
      <c r="BZ66" s="47" t="n">
        <f aca="false">-$E66*BZ14</f>
        <v>-0</v>
      </c>
      <c r="CA66" s="47" t="n">
        <f aca="false">-$E66*CA14</f>
        <v>-0</v>
      </c>
      <c r="CB66" s="47" t="n">
        <f aca="false">-$E66*CB14</f>
        <v>-0</v>
      </c>
      <c r="CC66" s="47" t="n">
        <f aca="false">-$E66*CC14</f>
        <v>-0</v>
      </c>
      <c r="CD66" s="47" t="n">
        <f aca="false">-$E66*CD14</f>
        <v>-0</v>
      </c>
      <c r="CE66" s="47" t="n">
        <f aca="false">-$E66*CE14</f>
        <v>-0</v>
      </c>
      <c r="CF66" s="47" t="n">
        <f aca="false">-$E66*CF14</f>
        <v>-0</v>
      </c>
      <c r="CG66" s="47" t="n">
        <f aca="false">-$E66*CG14</f>
        <v>-0</v>
      </c>
      <c r="CH66" s="47" t="n">
        <f aca="false">-$E66*CH14</f>
        <v>-0</v>
      </c>
      <c r="CI66" s="47" t="n">
        <f aca="false">-$E66*CI14</f>
        <v>-0</v>
      </c>
      <c r="CJ66" s="47" t="n">
        <f aca="false">-$E66*CJ14</f>
        <v>-0</v>
      </c>
      <c r="CK66" s="47" t="n">
        <f aca="false">-$E66*CK14</f>
        <v>-0</v>
      </c>
      <c r="CL66" s="47" t="n">
        <f aca="false">-$E66*CL14</f>
        <v>-0</v>
      </c>
      <c r="CM66" s="47" t="n">
        <f aca="false">-$E66*CM14</f>
        <v>-0</v>
      </c>
      <c r="CN66" s="47" t="n">
        <f aca="false">-$E66*CN14</f>
        <v>-0</v>
      </c>
      <c r="CO66" s="47" t="n">
        <f aca="false">-$E66*CO14</f>
        <v>-0</v>
      </c>
      <c r="CP66" s="47" t="n">
        <f aca="false">-$E66*CP14</f>
        <v>-0</v>
      </c>
      <c r="CQ66" s="47" t="n">
        <f aca="false">-$E66*CQ14</f>
        <v>-0</v>
      </c>
      <c r="CR66" s="47" t="n">
        <f aca="false">-$E66*CR14</f>
        <v>-0</v>
      </c>
      <c r="CS66" s="47" t="n">
        <f aca="false">-$E66*CS14</f>
        <v>-0</v>
      </c>
      <c r="CT66" s="47" t="n">
        <f aca="false">-$E66*CT14</f>
        <v>-0</v>
      </c>
      <c r="CU66" s="47" t="n">
        <f aca="false">-$E66*CU14</f>
        <v>-0</v>
      </c>
      <c r="CV66" s="47" t="n">
        <f aca="false">-$E66*CV14</f>
        <v>-0</v>
      </c>
      <c r="CW66" s="47" t="n">
        <f aca="false">-$E66*CW14</f>
        <v>-0</v>
      </c>
      <c r="CX66" s="47" t="n">
        <f aca="false">-$E66*CX14</f>
        <v>-0</v>
      </c>
      <c r="CY66" s="47" t="n">
        <f aca="false">-$E66*CY14</f>
        <v>-0</v>
      </c>
      <c r="CZ66" s="47" t="n">
        <f aca="false">-$E66*CZ14</f>
        <v>-0</v>
      </c>
      <c r="DA66" s="47" t="n">
        <f aca="false">-$E66*DA14</f>
        <v>-0</v>
      </c>
      <c r="DB66" s="47" t="n">
        <f aca="false">-$E66*DB14</f>
        <v>-0</v>
      </c>
      <c r="DC66" s="47" t="n">
        <f aca="false">-$E66*DC14</f>
        <v>-0</v>
      </c>
      <c r="DD66" s="47" t="n">
        <f aca="false">-$E66*DD14</f>
        <v>-0</v>
      </c>
      <c r="DE66" s="47" t="n">
        <f aca="false">-$E66*DE14</f>
        <v>-0</v>
      </c>
      <c r="DF66" s="47" t="n">
        <f aca="false">-$E66*DF14</f>
        <v>-0</v>
      </c>
      <c r="DG66" s="47" t="n">
        <f aca="false">-$E66*DG14</f>
        <v>-0</v>
      </c>
      <c r="DH66" s="47" t="n">
        <f aca="false">-$E66*DH14</f>
        <v>-0</v>
      </c>
      <c r="DI66" s="47" t="n">
        <f aca="false">-$E66*DI14</f>
        <v>-0</v>
      </c>
      <c r="DJ66" s="47" t="n">
        <f aca="false">-$E66*DJ14</f>
        <v>-0</v>
      </c>
      <c r="DK66" s="47" t="n">
        <f aca="false">-$E66*DK14</f>
        <v>-0</v>
      </c>
      <c r="DL66" s="47" t="n">
        <f aca="false">-$E66*DL14</f>
        <v>-0</v>
      </c>
      <c r="DM66" s="47" t="n">
        <f aca="false">-$E66*DM14</f>
        <v>-0</v>
      </c>
      <c r="DN66" s="47" t="n">
        <f aca="false">-$E66*DN14</f>
        <v>-0</v>
      </c>
      <c r="DO66" s="47" t="n">
        <f aca="false">-$E66*DO14</f>
        <v>-0</v>
      </c>
      <c r="DP66" s="47" t="n">
        <f aca="false">-$E66*DP14</f>
        <v>-0</v>
      </c>
      <c r="DQ66" s="47" t="n">
        <f aca="false">-$E66*DQ14</f>
        <v>-0</v>
      </c>
      <c r="DR66" s="47" t="n">
        <f aca="false">-$E66*DR14</f>
        <v>-0</v>
      </c>
      <c r="DS66" s="47" t="n">
        <f aca="false">-$E66*DS14</f>
        <v>-0</v>
      </c>
      <c r="DT66" s="47" t="n">
        <f aca="false">-$E66*DT14</f>
        <v>-0</v>
      </c>
      <c r="DU66" s="47" t="n">
        <f aca="false">-$E66*DU14</f>
        <v>-0</v>
      </c>
      <c r="DV66" s="47" t="n">
        <f aca="false">-$E66*DV14</f>
        <v>-0</v>
      </c>
      <c r="DW66" s="47" t="n">
        <f aca="false">-$E66*DW14</f>
        <v>-0</v>
      </c>
      <c r="DX66" s="47" t="n">
        <f aca="false">-$E66*DX14</f>
        <v>-0</v>
      </c>
      <c r="DY66" s="47" t="n">
        <f aca="false">-$E66*DY14</f>
        <v>-0</v>
      </c>
      <c r="DZ66" s="47" t="n">
        <f aca="false">-$E66*DZ14</f>
        <v>-0</v>
      </c>
      <c r="EA66" s="47" t="n">
        <f aca="false">-$E66*EA14</f>
        <v>-0</v>
      </c>
      <c r="EB66" s="47" t="n">
        <f aca="false">-$E66*EB14</f>
        <v>-0</v>
      </c>
      <c r="EC66" s="47" t="n">
        <f aca="false">-$E66*EC14</f>
        <v>-0</v>
      </c>
      <c r="ED66" s="47" t="n">
        <f aca="false">-$E66*ED14</f>
        <v>-0</v>
      </c>
      <c r="EE66" s="47" t="n">
        <f aca="false">-$E66*EE14</f>
        <v>-0</v>
      </c>
      <c r="EF66" s="47" t="n">
        <f aca="false">-$E66*EF14</f>
        <v>-0</v>
      </c>
      <c r="EG66" s="47" t="n">
        <f aca="false">-$E66*EG14</f>
        <v>-0</v>
      </c>
      <c r="EH66" s="47" t="n">
        <f aca="false">-$E66*EH14</f>
        <v>-0</v>
      </c>
      <c r="EI66" s="47" t="n">
        <f aca="false">-$E66*EI14</f>
        <v>-0</v>
      </c>
      <c r="EJ66" s="47" t="n">
        <f aca="false">-$E66*EJ14</f>
        <v>-0</v>
      </c>
      <c r="EK66" s="47" t="n">
        <f aca="false">-$E66*EK14</f>
        <v>-0</v>
      </c>
      <c r="EL66" s="47" t="n">
        <f aca="false">-$E66*EL14</f>
        <v>-0</v>
      </c>
      <c r="EM66" s="47" t="n">
        <f aca="false">-$E66*EM14</f>
        <v>-0</v>
      </c>
      <c r="EN66" s="47" t="n">
        <f aca="false">-$E66*EN14</f>
        <v>-0</v>
      </c>
      <c r="EO66" s="47" t="n">
        <f aca="false">-$E66*EO14</f>
        <v>-0</v>
      </c>
    </row>
    <row r="67" customFormat="false" ht="15" hidden="false" customHeight="false" outlineLevel="0" collapsed="false">
      <c r="C67" s="25" t="s">
        <v>437</v>
      </c>
      <c r="D67" s="11" t="s">
        <v>33</v>
      </c>
      <c r="E67" s="56" t="n">
        <f aca="false">SUMPRODUCT($J67:$EO67/$J22:$EO22)*$E22</f>
        <v>-77232.4978192406</v>
      </c>
      <c r="I67" s="56" t="n">
        <f aca="false">SUM(J67:EO67)</f>
        <v>-73771.0731506849</v>
      </c>
      <c r="J67" s="56" t="n">
        <f aca="false">J65+J55+J66</f>
        <v>-0</v>
      </c>
      <c r="K67" s="56" t="n">
        <f aca="false">K65+K55+K66</f>
        <v>-0</v>
      </c>
      <c r="L67" s="56" t="n">
        <f aca="false">L65+L55+L66</f>
        <v>-0</v>
      </c>
      <c r="M67" s="56" t="n">
        <f aca="false">M65+M55+M66</f>
        <v>-0</v>
      </c>
      <c r="N67" s="56" t="n">
        <f aca="false">N65+N55+N66</f>
        <v>-0</v>
      </c>
      <c r="O67" s="56" t="n">
        <f aca="false">O65+O55+O66</f>
        <v>-0</v>
      </c>
      <c r="P67" s="56" t="n">
        <f aca="false">P65+P55+P66</f>
        <v>-0</v>
      </c>
      <c r="Q67" s="56" t="n">
        <f aca="false">Q65+Q55+Q66</f>
        <v>-0</v>
      </c>
      <c r="R67" s="56" t="n">
        <f aca="false">R65+R55+R66</f>
        <v>-7954.37671232877</v>
      </c>
      <c r="S67" s="56" t="n">
        <f aca="false">S65+S55+S66</f>
        <v>-15936.278630137</v>
      </c>
      <c r="T67" s="56" t="n">
        <f aca="false">T65+T55+T66</f>
        <v>-7867.91609589041</v>
      </c>
      <c r="U67" s="56" t="n">
        <f aca="false">U65+U55+U66</f>
        <v>-7954.37671232877</v>
      </c>
      <c r="V67" s="56" t="n">
        <f aca="false">V65+V55+V66</f>
        <v>-7954.37671232877</v>
      </c>
      <c r="W67" s="56" t="n">
        <f aca="false">W65+W55+W66</f>
        <v>-7781.45547945206</v>
      </c>
      <c r="X67" s="56" t="n">
        <f aca="false">X65+X55+X66</f>
        <v>-7867.91609589041</v>
      </c>
      <c r="Y67" s="56" t="n">
        <f aca="false">Y65+Y55+Y66</f>
        <v>-10454.3767123288</v>
      </c>
      <c r="Z67" s="56" t="n">
        <f aca="false">Z65+Z55+Z66</f>
        <v>-0</v>
      </c>
      <c r="AA67" s="56" t="n">
        <f aca="false">AA65+AA55+AA66</f>
        <v>-0</v>
      </c>
      <c r="AB67" s="56" t="n">
        <f aca="false">AB65+AB55+AB66</f>
        <v>-0</v>
      </c>
      <c r="AC67" s="56" t="n">
        <f aca="false">AC65+AC55+AC66</f>
        <v>-0</v>
      </c>
      <c r="AD67" s="56" t="n">
        <f aca="false">AD65+AD55+AD66</f>
        <v>-0</v>
      </c>
      <c r="AE67" s="56" t="n">
        <f aca="false">AE65+AE55+AE66</f>
        <v>-0</v>
      </c>
      <c r="AF67" s="56" t="n">
        <f aca="false">AF65+AF55+AF66</f>
        <v>-0</v>
      </c>
      <c r="AG67" s="56" t="n">
        <f aca="false">AG65+AG55+AG66</f>
        <v>-0</v>
      </c>
      <c r="AH67" s="56" t="n">
        <f aca="false">AH65+AH55+AH66</f>
        <v>-0</v>
      </c>
      <c r="AI67" s="56" t="n">
        <f aca="false">AI65+AI55+AI66</f>
        <v>-0</v>
      </c>
      <c r="AJ67" s="56" t="n">
        <f aca="false">AJ65+AJ55+AJ66</f>
        <v>-0</v>
      </c>
      <c r="AK67" s="56" t="n">
        <f aca="false">AK65+AK55+AK66</f>
        <v>-0</v>
      </c>
      <c r="AL67" s="56" t="n">
        <f aca="false">AL65+AL55+AL66</f>
        <v>-0</v>
      </c>
      <c r="AM67" s="56" t="n">
        <f aca="false">AM65+AM55+AM66</f>
        <v>-0</v>
      </c>
      <c r="AN67" s="56" t="n">
        <f aca="false">AN65+AN55+AN66</f>
        <v>-0</v>
      </c>
      <c r="AO67" s="56" t="n">
        <f aca="false">AO65+AO55+AO66</f>
        <v>-0</v>
      </c>
      <c r="AP67" s="56" t="n">
        <f aca="false">AP65+AP55+AP66</f>
        <v>-0</v>
      </c>
      <c r="AQ67" s="56" t="n">
        <f aca="false">AQ65+AQ55+AQ66</f>
        <v>-0</v>
      </c>
      <c r="AR67" s="56" t="n">
        <f aca="false">AR65+AR55+AR66</f>
        <v>-0</v>
      </c>
      <c r="AS67" s="56" t="n">
        <f aca="false">AS65+AS55+AS66</f>
        <v>-0</v>
      </c>
      <c r="AT67" s="56" t="n">
        <f aca="false">AT65+AT55+AT66</f>
        <v>-0</v>
      </c>
      <c r="AU67" s="56" t="n">
        <f aca="false">AU65+AU55+AU66</f>
        <v>-0</v>
      </c>
      <c r="AV67" s="56" t="n">
        <f aca="false">AV65+AV55+AV66</f>
        <v>-0</v>
      </c>
      <c r="AW67" s="56" t="n">
        <f aca="false">AW65+AW55+AW66</f>
        <v>-0</v>
      </c>
      <c r="AX67" s="56" t="n">
        <f aca="false">AX65+AX55+AX66</f>
        <v>-0</v>
      </c>
      <c r="AY67" s="56" t="n">
        <f aca="false">AY65+AY55+AY66</f>
        <v>-0</v>
      </c>
      <c r="AZ67" s="56" t="n">
        <f aca="false">AZ65+AZ55+AZ66</f>
        <v>-0</v>
      </c>
      <c r="BA67" s="56" t="n">
        <f aca="false">BA65+BA55+BA66</f>
        <v>-0</v>
      </c>
      <c r="BB67" s="56" t="n">
        <f aca="false">BB65+BB55+BB66</f>
        <v>-0</v>
      </c>
      <c r="BC67" s="56" t="n">
        <f aca="false">BC65+BC55+BC66</f>
        <v>-0</v>
      </c>
      <c r="BD67" s="56" t="n">
        <f aca="false">BD65+BD55+BD66</f>
        <v>-0</v>
      </c>
      <c r="BE67" s="56" t="n">
        <f aca="false">BE65+BE55+BE66</f>
        <v>-0</v>
      </c>
      <c r="BF67" s="56" t="n">
        <f aca="false">BF65+BF55+BF66</f>
        <v>-0</v>
      </c>
      <c r="BG67" s="56" t="n">
        <f aca="false">BG65+BG55+BG66</f>
        <v>-0</v>
      </c>
      <c r="BH67" s="56" t="n">
        <f aca="false">BH65+BH55+BH66</f>
        <v>-0</v>
      </c>
      <c r="BI67" s="56" t="n">
        <f aca="false">BI65+BI55+BI66</f>
        <v>-0</v>
      </c>
      <c r="BJ67" s="56" t="n">
        <f aca="false">BJ65+BJ55+BJ66</f>
        <v>-0</v>
      </c>
      <c r="BK67" s="56" t="n">
        <f aca="false">BK65+BK55+BK66</f>
        <v>-0</v>
      </c>
      <c r="BL67" s="56" t="n">
        <f aca="false">BL65+BL55+BL66</f>
        <v>-0</v>
      </c>
      <c r="BM67" s="56" t="n">
        <f aca="false">BM65+BM55+BM66</f>
        <v>-0</v>
      </c>
      <c r="BN67" s="56" t="n">
        <f aca="false">BN65+BN55+BN66</f>
        <v>-0</v>
      </c>
      <c r="BO67" s="56" t="n">
        <f aca="false">BO65+BO55+BO66</f>
        <v>-0</v>
      </c>
      <c r="BP67" s="56" t="n">
        <f aca="false">BP65+BP55+BP66</f>
        <v>-0</v>
      </c>
      <c r="BQ67" s="56" t="n">
        <f aca="false">BQ65+BQ55+BQ66</f>
        <v>-0</v>
      </c>
      <c r="BR67" s="56" t="n">
        <f aca="false">BR65+BR55+BR66</f>
        <v>-0</v>
      </c>
      <c r="BS67" s="56" t="n">
        <f aca="false">BS65+BS55+BS66</f>
        <v>-0</v>
      </c>
      <c r="BT67" s="56" t="n">
        <f aca="false">BT65+BT55+BT66</f>
        <v>-0</v>
      </c>
      <c r="BU67" s="56" t="n">
        <f aca="false">BU65+BU55+BU66</f>
        <v>-0</v>
      </c>
      <c r="BV67" s="56" t="n">
        <f aca="false">BV65+BV55+BV66</f>
        <v>-0</v>
      </c>
      <c r="BW67" s="56" t="n">
        <f aca="false">BW65+BW55+BW66</f>
        <v>-0</v>
      </c>
      <c r="BX67" s="56" t="n">
        <f aca="false">BX65+BX55+BX66</f>
        <v>-0</v>
      </c>
      <c r="BY67" s="56" t="n">
        <f aca="false">BY65+BY55+BY66</f>
        <v>-0</v>
      </c>
      <c r="BZ67" s="56" t="n">
        <f aca="false">BZ65+BZ55+BZ66</f>
        <v>-0</v>
      </c>
      <c r="CA67" s="56" t="n">
        <f aca="false">CA65+CA55+CA66</f>
        <v>-0</v>
      </c>
      <c r="CB67" s="56" t="n">
        <f aca="false">CB65+CB55+CB66</f>
        <v>-0</v>
      </c>
      <c r="CC67" s="56" t="n">
        <f aca="false">CC65+CC55+CC66</f>
        <v>-0</v>
      </c>
      <c r="CD67" s="56" t="n">
        <f aca="false">CD65+CD55+CD66</f>
        <v>-0</v>
      </c>
      <c r="CE67" s="56" t="n">
        <f aca="false">CE65+CE55+CE66</f>
        <v>-0</v>
      </c>
      <c r="CF67" s="56" t="n">
        <f aca="false">CF65+CF55+CF66</f>
        <v>-0</v>
      </c>
      <c r="CG67" s="56" t="n">
        <f aca="false">CG65+CG55+CG66</f>
        <v>-0</v>
      </c>
      <c r="CH67" s="56" t="n">
        <f aca="false">CH65+CH55+CH66</f>
        <v>-0</v>
      </c>
      <c r="CI67" s="56" t="n">
        <f aca="false">CI65+CI55+CI66</f>
        <v>-0</v>
      </c>
      <c r="CJ67" s="56" t="n">
        <f aca="false">CJ65+CJ55+CJ66</f>
        <v>-0</v>
      </c>
      <c r="CK67" s="56" t="n">
        <f aca="false">CK65+CK55+CK66</f>
        <v>-0</v>
      </c>
      <c r="CL67" s="56" t="n">
        <f aca="false">CL65+CL55+CL66</f>
        <v>-0</v>
      </c>
      <c r="CM67" s="56" t="n">
        <f aca="false">CM65+CM55+CM66</f>
        <v>-0</v>
      </c>
      <c r="CN67" s="56" t="n">
        <f aca="false">CN65+CN55+CN66</f>
        <v>-0</v>
      </c>
      <c r="CO67" s="56" t="n">
        <f aca="false">CO65+CO55+CO66</f>
        <v>-0</v>
      </c>
      <c r="CP67" s="56" t="n">
        <f aca="false">CP65+CP55+CP66</f>
        <v>-0</v>
      </c>
      <c r="CQ67" s="56" t="n">
        <f aca="false">CQ65+CQ55+CQ66</f>
        <v>-0</v>
      </c>
      <c r="CR67" s="56" t="n">
        <f aca="false">CR65+CR55+CR66</f>
        <v>-0</v>
      </c>
      <c r="CS67" s="56" t="n">
        <f aca="false">CS65+CS55+CS66</f>
        <v>-0</v>
      </c>
      <c r="CT67" s="56" t="n">
        <f aca="false">CT65+CT55+CT66</f>
        <v>-0</v>
      </c>
      <c r="CU67" s="56" t="n">
        <f aca="false">CU65+CU55+CU66</f>
        <v>-0</v>
      </c>
      <c r="CV67" s="56" t="n">
        <f aca="false">CV65+CV55+CV66</f>
        <v>-0</v>
      </c>
      <c r="CW67" s="56" t="n">
        <f aca="false">CW65+CW55+CW66</f>
        <v>-0</v>
      </c>
      <c r="CX67" s="56" t="n">
        <f aca="false">CX65+CX55+CX66</f>
        <v>-0</v>
      </c>
      <c r="CY67" s="56" t="n">
        <f aca="false">CY65+CY55+CY66</f>
        <v>-0</v>
      </c>
      <c r="CZ67" s="56" t="n">
        <f aca="false">CZ65+CZ55+CZ66</f>
        <v>-0</v>
      </c>
      <c r="DA67" s="56" t="n">
        <f aca="false">DA65+DA55+DA66</f>
        <v>-0</v>
      </c>
      <c r="DB67" s="56" t="n">
        <f aca="false">DB65+DB55+DB66</f>
        <v>-0</v>
      </c>
      <c r="DC67" s="56" t="n">
        <f aca="false">DC65+DC55+DC66</f>
        <v>-0</v>
      </c>
      <c r="DD67" s="56" t="n">
        <f aca="false">DD65+DD55+DD66</f>
        <v>-0</v>
      </c>
      <c r="DE67" s="56" t="n">
        <f aca="false">DE65+DE55+DE66</f>
        <v>-0</v>
      </c>
      <c r="DF67" s="56" t="n">
        <f aca="false">DF65+DF55+DF66</f>
        <v>-0</v>
      </c>
      <c r="DG67" s="56" t="n">
        <f aca="false">DG65+DG55+DG66</f>
        <v>-0</v>
      </c>
      <c r="DH67" s="56" t="n">
        <f aca="false">DH65+DH55+DH66</f>
        <v>-0</v>
      </c>
      <c r="DI67" s="56" t="n">
        <f aca="false">DI65+DI55+DI66</f>
        <v>-0</v>
      </c>
      <c r="DJ67" s="56" t="n">
        <f aca="false">DJ65+DJ55+DJ66</f>
        <v>-0</v>
      </c>
      <c r="DK67" s="56" t="n">
        <f aca="false">DK65+DK55+DK66</f>
        <v>-0</v>
      </c>
      <c r="DL67" s="56" t="n">
        <f aca="false">DL65+DL55+DL66</f>
        <v>-0</v>
      </c>
      <c r="DM67" s="56" t="n">
        <f aca="false">DM65+DM55+DM66</f>
        <v>-0</v>
      </c>
      <c r="DN67" s="56" t="n">
        <f aca="false">DN65+DN55+DN66</f>
        <v>-0</v>
      </c>
      <c r="DO67" s="56" t="n">
        <f aca="false">DO65+DO55+DO66</f>
        <v>-0</v>
      </c>
      <c r="DP67" s="56" t="n">
        <f aca="false">DP65+DP55+DP66</f>
        <v>-0</v>
      </c>
      <c r="DQ67" s="56" t="n">
        <f aca="false">DQ65+DQ55+DQ66</f>
        <v>-0</v>
      </c>
      <c r="DR67" s="56" t="n">
        <f aca="false">DR65+DR55+DR66</f>
        <v>-0</v>
      </c>
      <c r="DS67" s="56" t="n">
        <f aca="false">DS65+DS55+DS66</f>
        <v>-0</v>
      </c>
      <c r="DT67" s="56" t="n">
        <f aca="false">DT65+DT55+DT66</f>
        <v>-0</v>
      </c>
      <c r="DU67" s="56" t="n">
        <f aca="false">DU65+DU55+DU66</f>
        <v>-0</v>
      </c>
      <c r="DV67" s="56" t="n">
        <f aca="false">DV65+DV55+DV66</f>
        <v>-0</v>
      </c>
      <c r="DW67" s="56" t="n">
        <f aca="false">DW65+DW55+DW66</f>
        <v>-0</v>
      </c>
      <c r="DX67" s="56" t="n">
        <f aca="false">DX65+DX55+DX66</f>
        <v>-0</v>
      </c>
      <c r="DY67" s="56" t="n">
        <f aca="false">DY65+DY55+DY66</f>
        <v>-0</v>
      </c>
      <c r="DZ67" s="56" t="n">
        <f aca="false">DZ65+DZ55+DZ66</f>
        <v>-0</v>
      </c>
      <c r="EA67" s="56" t="n">
        <f aca="false">EA65+EA55+EA66</f>
        <v>-0</v>
      </c>
      <c r="EB67" s="56" t="n">
        <f aca="false">EB65+EB55+EB66</f>
        <v>-0</v>
      </c>
      <c r="EC67" s="56" t="n">
        <f aca="false">EC65+EC55+EC66</f>
        <v>-0</v>
      </c>
      <c r="ED67" s="56" t="n">
        <f aca="false">ED65+ED55+ED66</f>
        <v>-0</v>
      </c>
      <c r="EE67" s="56" t="n">
        <f aca="false">EE65+EE55+EE66</f>
        <v>-0</v>
      </c>
      <c r="EF67" s="56" t="n">
        <f aca="false">EF65+EF55+EF66</f>
        <v>-0</v>
      </c>
      <c r="EG67" s="56" t="n">
        <f aca="false">EG65+EG55+EG66</f>
        <v>-0</v>
      </c>
      <c r="EH67" s="56" t="n">
        <f aca="false">EH65+EH55+EH66</f>
        <v>-0</v>
      </c>
      <c r="EI67" s="56" t="n">
        <f aca="false">EI65+EI55+EI66</f>
        <v>-0</v>
      </c>
      <c r="EJ67" s="56" t="n">
        <f aca="false">EJ65+EJ55+EJ66</f>
        <v>-0</v>
      </c>
      <c r="EK67" s="56" t="n">
        <f aca="false">EK65+EK55+EK66</f>
        <v>-0</v>
      </c>
      <c r="EL67" s="56" t="n">
        <f aca="false">EL65+EL55+EL66</f>
        <v>-0</v>
      </c>
      <c r="EM67" s="56" t="n">
        <f aca="false">EM65+EM55+EM66</f>
        <v>-0</v>
      </c>
      <c r="EN67" s="56" t="n">
        <f aca="false">EN65+EN55+EN66</f>
        <v>-0</v>
      </c>
      <c r="EO67" s="56" t="n">
        <f aca="false">EO65+EO55+EO66</f>
        <v>-0</v>
      </c>
    </row>
    <row r="69" customFormat="false" ht="15" hidden="false" customHeight="false" outlineLevel="0" collapsed="false">
      <c r="A69" s="9" t="s">
        <v>13</v>
      </c>
      <c r="B69" s="9"/>
      <c r="C69" s="9" t="s">
        <v>310</v>
      </c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</row>
    <row r="70" customFormat="false" ht="15" hidden="false" customHeight="false" outlineLevel="0" collapsed="false">
      <c r="C70" s="0" t="s">
        <v>438</v>
      </c>
      <c r="D70" s="11" t="s">
        <v>386</v>
      </c>
      <c r="J70" s="54" t="n">
        <f aca="false">(1+In_Opex_Esc)^(J$7-YEAR(In_COD))</f>
        <v>0.905950644799755</v>
      </c>
      <c r="K70" s="54" t="n">
        <f aca="false">(1+In_Opex_Esc)^(K$7-YEAR(In_COD))</f>
        <v>0.928599410919749</v>
      </c>
      <c r="L70" s="54" t="n">
        <f aca="false">(1+In_Opex_Esc)^(L$7-YEAR(In_COD))</f>
        <v>0.928599410919749</v>
      </c>
      <c r="M70" s="54" t="n">
        <f aca="false">(1+In_Opex_Esc)^(M$7-YEAR(In_COD))</f>
        <v>0.928599410919749</v>
      </c>
      <c r="N70" s="54" t="n">
        <f aca="false">(1+In_Opex_Esc)^(N$7-YEAR(In_COD))</f>
        <v>0.928599410919749</v>
      </c>
      <c r="O70" s="54" t="n">
        <f aca="false">(1+In_Opex_Esc)^(O$7-YEAR(In_COD))</f>
        <v>0.951814396192743</v>
      </c>
      <c r="P70" s="54" t="n">
        <f aca="false">(1+In_Opex_Esc)^(P$7-YEAR(In_COD))</f>
        <v>0.951814396192743</v>
      </c>
      <c r="Q70" s="54" t="n">
        <f aca="false">(1+In_Opex_Esc)^(Q$7-YEAR(In_COD))</f>
        <v>0.951814396192743</v>
      </c>
      <c r="R70" s="54" t="n">
        <f aca="false">(1+In_Opex_Esc)^(R$7-YEAR(In_COD))</f>
        <v>0.951814396192743</v>
      </c>
      <c r="S70" s="54" t="n">
        <f aca="false">(1+In_Opex_Esc)^(S$7-YEAR(In_COD))</f>
        <v>0.975609756097561</v>
      </c>
      <c r="T70" s="54" t="n">
        <f aca="false">(1+In_Opex_Esc)^(T$7-YEAR(In_COD))</f>
        <v>0.975609756097561</v>
      </c>
      <c r="U70" s="54" t="n">
        <f aca="false">(1+In_Opex_Esc)^(U$7-YEAR(In_COD))</f>
        <v>0.975609756097561</v>
      </c>
      <c r="V70" s="54" t="n">
        <f aca="false">(1+In_Opex_Esc)^(V$7-YEAR(In_COD))</f>
        <v>0.975609756097561</v>
      </c>
      <c r="W70" s="54" t="n">
        <f aca="false">(1+In_Opex_Esc)^(W$7-YEAR(In_COD))</f>
        <v>1</v>
      </c>
      <c r="X70" s="54" t="n">
        <f aca="false">(1+In_Opex_Esc)^(X$7-YEAR(In_COD))</f>
        <v>1</v>
      </c>
      <c r="Y70" s="54" t="n">
        <f aca="false">(1+In_Opex_Esc)^(Y$7-YEAR(In_COD))</f>
        <v>1</v>
      </c>
      <c r="Z70" s="54" t="n">
        <f aca="false">(1+In_Opex_Esc)^(Z$7-YEAR(In_COD))</f>
        <v>1</v>
      </c>
      <c r="AA70" s="54" t="n">
        <f aca="false">(1+In_Opex_Esc)^(AA$7-YEAR(In_COD))</f>
        <v>1.025</v>
      </c>
      <c r="AB70" s="54" t="n">
        <f aca="false">(1+In_Opex_Esc)^(AB$7-YEAR(In_COD))</f>
        <v>1.025</v>
      </c>
      <c r="AC70" s="54" t="n">
        <f aca="false">(1+In_Opex_Esc)^(AC$7-YEAR(In_COD))</f>
        <v>1.025</v>
      </c>
      <c r="AD70" s="54" t="n">
        <f aca="false">(1+In_Opex_Esc)^(AD$7-YEAR(In_COD))</f>
        <v>1.025</v>
      </c>
      <c r="AE70" s="54" t="n">
        <f aca="false">(1+In_Opex_Esc)^(AE$7-YEAR(In_COD))</f>
        <v>1.050625</v>
      </c>
      <c r="AF70" s="54" t="n">
        <f aca="false">(1+In_Opex_Esc)^(AF$7-YEAR(In_COD))</f>
        <v>1.050625</v>
      </c>
      <c r="AG70" s="54" t="n">
        <f aca="false">(1+In_Opex_Esc)^(AG$7-YEAR(In_COD))</f>
        <v>1.050625</v>
      </c>
      <c r="AH70" s="54" t="n">
        <f aca="false">(1+In_Opex_Esc)^(AH$7-YEAR(In_COD))</f>
        <v>1.050625</v>
      </c>
      <c r="AI70" s="54" t="n">
        <f aca="false">(1+In_Opex_Esc)^(AI$7-YEAR(In_COD))</f>
        <v>1.076890625</v>
      </c>
      <c r="AJ70" s="54" t="n">
        <f aca="false">(1+In_Opex_Esc)^(AJ$7-YEAR(In_COD))</f>
        <v>1.076890625</v>
      </c>
      <c r="AK70" s="54" t="n">
        <f aca="false">(1+In_Opex_Esc)^(AK$7-YEAR(In_COD))</f>
        <v>1.076890625</v>
      </c>
      <c r="AL70" s="54" t="n">
        <f aca="false">(1+In_Opex_Esc)^(AL$7-YEAR(In_COD))</f>
        <v>1.076890625</v>
      </c>
      <c r="AM70" s="54" t="n">
        <f aca="false">(1+In_Opex_Esc)^(AM$7-YEAR(In_COD))</f>
        <v>1.103812890625</v>
      </c>
      <c r="AN70" s="54" t="n">
        <f aca="false">(1+In_Opex_Esc)^(AN$7-YEAR(In_COD))</f>
        <v>1.103812890625</v>
      </c>
      <c r="AO70" s="54" t="n">
        <f aca="false">(1+In_Opex_Esc)^(AO$7-YEAR(In_COD))</f>
        <v>1.103812890625</v>
      </c>
      <c r="AP70" s="54" t="n">
        <f aca="false">(1+In_Opex_Esc)^(AP$7-YEAR(In_COD))</f>
        <v>1.103812890625</v>
      </c>
      <c r="AQ70" s="54" t="n">
        <f aca="false">(1+In_Opex_Esc)^(AQ$7-YEAR(In_COD))</f>
        <v>1.13140821289062</v>
      </c>
      <c r="AR70" s="54" t="n">
        <f aca="false">(1+In_Opex_Esc)^(AR$7-YEAR(In_COD))</f>
        <v>1.13140821289062</v>
      </c>
      <c r="AS70" s="54" t="n">
        <f aca="false">(1+In_Opex_Esc)^(AS$7-YEAR(In_COD))</f>
        <v>1.13140821289062</v>
      </c>
      <c r="AT70" s="54" t="n">
        <f aca="false">(1+In_Opex_Esc)^(AT$7-YEAR(In_COD))</f>
        <v>1.13140821289062</v>
      </c>
      <c r="AU70" s="54" t="n">
        <f aca="false">(1+In_Opex_Esc)^(AU$7-YEAR(In_COD))</f>
        <v>1.15969341821289</v>
      </c>
      <c r="AV70" s="54" t="n">
        <f aca="false">(1+In_Opex_Esc)^(AV$7-YEAR(In_COD))</f>
        <v>1.15969341821289</v>
      </c>
      <c r="AW70" s="54" t="n">
        <f aca="false">(1+In_Opex_Esc)^(AW$7-YEAR(In_COD))</f>
        <v>1.15969341821289</v>
      </c>
      <c r="AX70" s="54" t="n">
        <f aca="false">(1+In_Opex_Esc)^(AX$7-YEAR(In_COD))</f>
        <v>1.15969341821289</v>
      </c>
      <c r="AY70" s="54" t="n">
        <f aca="false">(1+In_Opex_Esc)^(AY$7-YEAR(In_COD))</f>
        <v>1.18868575366821</v>
      </c>
      <c r="AZ70" s="54" t="n">
        <f aca="false">(1+In_Opex_Esc)^(AZ$7-YEAR(In_COD))</f>
        <v>1.18868575366821</v>
      </c>
      <c r="BA70" s="54" t="n">
        <f aca="false">(1+In_Opex_Esc)^(BA$7-YEAR(In_COD))</f>
        <v>1.18868575366821</v>
      </c>
      <c r="BB70" s="54" t="n">
        <f aca="false">(1+In_Opex_Esc)^(BB$7-YEAR(In_COD))</f>
        <v>1.18868575366821</v>
      </c>
      <c r="BC70" s="54" t="n">
        <f aca="false">(1+In_Opex_Esc)^(BC$7-YEAR(In_COD))</f>
        <v>1.21840289750992</v>
      </c>
      <c r="BD70" s="54" t="n">
        <f aca="false">(1+In_Opex_Esc)^(BD$7-YEAR(In_COD))</f>
        <v>1.21840289750992</v>
      </c>
      <c r="BE70" s="54" t="n">
        <f aca="false">(1+In_Opex_Esc)^(BE$7-YEAR(In_COD))</f>
        <v>1.21840289750992</v>
      </c>
      <c r="BF70" s="54" t="n">
        <f aca="false">(1+In_Opex_Esc)^(BF$7-YEAR(In_COD))</f>
        <v>1.21840289750992</v>
      </c>
      <c r="BG70" s="54" t="n">
        <f aca="false">(1+In_Opex_Esc)^(BG$7-YEAR(In_COD))</f>
        <v>1.24886296994767</v>
      </c>
      <c r="BH70" s="54" t="n">
        <f aca="false">(1+In_Opex_Esc)^(BH$7-YEAR(In_COD))</f>
        <v>1.24886296994767</v>
      </c>
      <c r="BI70" s="54" t="n">
        <f aca="false">(1+In_Opex_Esc)^(BI$7-YEAR(In_COD))</f>
        <v>1.24886296994767</v>
      </c>
      <c r="BJ70" s="54" t="n">
        <f aca="false">(1+In_Opex_Esc)^(BJ$7-YEAR(In_COD))</f>
        <v>1.24886296994767</v>
      </c>
      <c r="BK70" s="54" t="n">
        <f aca="false">(1+In_Opex_Esc)^(BK$7-YEAR(In_COD))</f>
        <v>1.28008454419636</v>
      </c>
      <c r="BL70" s="54" t="n">
        <f aca="false">(1+In_Opex_Esc)^(BL$7-YEAR(In_COD))</f>
        <v>1.28008454419636</v>
      </c>
      <c r="BM70" s="54" t="n">
        <f aca="false">(1+In_Opex_Esc)^(BM$7-YEAR(In_COD))</f>
        <v>1.28008454419636</v>
      </c>
      <c r="BN70" s="54" t="n">
        <f aca="false">(1+In_Opex_Esc)^(BN$7-YEAR(In_COD))</f>
        <v>1.28008454419636</v>
      </c>
      <c r="BO70" s="54" t="n">
        <f aca="false">(1+In_Opex_Esc)^(BO$7-YEAR(In_COD))</f>
        <v>1.31208665780127</v>
      </c>
      <c r="BP70" s="54" t="n">
        <f aca="false">(1+In_Opex_Esc)^(BP$7-YEAR(In_COD))</f>
        <v>1.31208665780127</v>
      </c>
      <c r="BQ70" s="54" t="n">
        <f aca="false">(1+In_Opex_Esc)^(BQ$7-YEAR(In_COD))</f>
        <v>1.31208665780127</v>
      </c>
      <c r="BR70" s="54" t="n">
        <f aca="false">(1+In_Opex_Esc)^(BR$7-YEAR(In_COD))</f>
        <v>1.31208665780127</v>
      </c>
      <c r="BS70" s="54" t="n">
        <f aca="false">(1+In_Opex_Esc)^(BS$7-YEAR(In_COD))</f>
        <v>1.3448888242463</v>
      </c>
      <c r="BT70" s="54" t="n">
        <f aca="false">(1+In_Opex_Esc)^(BT$7-YEAR(In_COD))</f>
        <v>1.3448888242463</v>
      </c>
      <c r="BU70" s="54" t="n">
        <f aca="false">(1+In_Opex_Esc)^(BU$7-YEAR(In_COD))</f>
        <v>1.3448888242463</v>
      </c>
      <c r="BV70" s="54" t="n">
        <f aca="false">(1+In_Opex_Esc)^(BV$7-YEAR(In_COD))</f>
        <v>1.3448888242463</v>
      </c>
      <c r="BW70" s="54" t="n">
        <f aca="false">(1+In_Opex_Esc)^(BW$7-YEAR(In_COD))</f>
        <v>1.37851104485245</v>
      </c>
      <c r="BX70" s="54" t="n">
        <f aca="false">(1+In_Opex_Esc)^(BX$7-YEAR(In_COD))</f>
        <v>1.37851104485245</v>
      </c>
      <c r="BY70" s="54" t="n">
        <f aca="false">(1+In_Opex_Esc)^(BY$7-YEAR(In_COD))</f>
        <v>1.37851104485245</v>
      </c>
      <c r="BZ70" s="54" t="n">
        <f aca="false">(1+In_Opex_Esc)^(BZ$7-YEAR(In_COD))</f>
        <v>1.37851104485245</v>
      </c>
      <c r="CA70" s="54" t="n">
        <f aca="false">(1+In_Opex_Esc)^(CA$7-YEAR(In_COD))</f>
        <v>1.41297382097377</v>
      </c>
      <c r="CB70" s="54" t="n">
        <f aca="false">(1+In_Opex_Esc)^(CB$7-YEAR(In_COD))</f>
        <v>1.41297382097377</v>
      </c>
      <c r="CC70" s="54" t="n">
        <f aca="false">(1+In_Opex_Esc)^(CC$7-YEAR(In_COD))</f>
        <v>1.41297382097377</v>
      </c>
      <c r="CD70" s="54" t="n">
        <f aca="false">(1+In_Opex_Esc)^(CD$7-YEAR(In_COD))</f>
        <v>1.41297382097377</v>
      </c>
      <c r="CE70" s="54" t="n">
        <f aca="false">(1+In_Opex_Esc)^(CE$7-YEAR(In_COD))</f>
        <v>1.44829816649811</v>
      </c>
      <c r="CF70" s="54" t="n">
        <f aca="false">(1+In_Opex_Esc)^(CF$7-YEAR(In_COD))</f>
        <v>1.44829816649811</v>
      </c>
      <c r="CG70" s="54" t="n">
        <f aca="false">(1+In_Opex_Esc)^(CG$7-YEAR(In_COD))</f>
        <v>1.44829816649811</v>
      </c>
      <c r="CH70" s="54" t="n">
        <f aca="false">(1+In_Opex_Esc)^(CH$7-YEAR(In_COD))</f>
        <v>1.44829816649811</v>
      </c>
      <c r="CI70" s="54" t="n">
        <f aca="false">(1+In_Opex_Esc)^(CI$7-YEAR(In_COD))</f>
        <v>1.48450562066056</v>
      </c>
      <c r="CJ70" s="54" t="n">
        <f aca="false">(1+In_Opex_Esc)^(CJ$7-YEAR(In_COD))</f>
        <v>1.48450562066056</v>
      </c>
      <c r="CK70" s="54" t="n">
        <f aca="false">(1+In_Opex_Esc)^(CK$7-YEAR(In_COD))</f>
        <v>1.48450562066056</v>
      </c>
      <c r="CL70" s="54" t="n">
        <f aca="false">(1+In_Opex_Esc)^(CL$7-YEAR(In_COD))</f>
        <v>1.48450562066056</v>
      </c>
      <c r="CM70" s="54" t="n">
        <f aca="false">(1+In_Opex_Esc)^(CM$7-YEAR(In_COD))</f>
        <v>1.52161826117708</v>
      </c>
      <c r="CN70" s="54" t="n">
        <f aca="false">(1+In_Opex_Esc)^(CN$7-YEAR(In_COD))</f>
        <v>1.52161826117708</v>
      </c>
      <c r="CO70" s="54" t="n">
        <f aca="false">(1+In_Opex_Esc)^(CO$7-YEAR(In_COD))</f>
        <v>1.52161826117708</v>
      </c>
      <c r="CP70" s="54" t="n">
        <f aca="false">(1+In_Opex_Esc)^(CP$7-YEAR(In_COD))</f>
        <v>1.52161826117708</v>
      </c>
      <c r="CQ70" s="54" t="n">
        <f aca="false">(1+In_Opex_Esc)^(CQ$7-YEAR(In_COD))</f>
        <v>1.5596587177065</v>
      </c>
      <c r="CR70" s="54" t="n">
        <f aca="false">(1+In_Opex_Esc)^(CR$7-YEAR(In_COD))</f>
        <v>1.5596587177065</v>
      </c>
      <c r="CS70" s="54" t="n">
        <f aca="false">(1+In_Opex_Esc)^(CS$7-YEAR(In_COD))</f>
        <v>1.5596587177065</v>
      </c>
      <c r="CT70" s="54" t="n">
        <f aca="false">(1+In_Opex_Esc)^(CT$7-YEAR(In_COD))</f>
        <v>1.5596587177065</v>
      </c>
      <c r="CU70" s="54" t="n">
        <f aca="false">(1+In_Opex_Esc)^(CU$7-YEAR(In_COD))</f>
        <v>1.59865018564917</v>
      </c>
      <c r="CV70" s="54" t="n">
        <f aca="false">(1+In_Opex_Esc)^(CV$7-YEAR(In_COD))</f>
        <v>1.59865018564917</v>
      </c>
      <c r="CW70" s="54" t="n">
        <f aca="false">(1+In_Opex_Esc)^(CW$7-YEAR(In_COD))</f>
        <v>1.59865018564917</v>
      </c>
      <c r="CX70" s="54" t="n">
        <f aca="false">(1+In_Opex_Esc)^(CX$7-YEAR(In_COD))</f>
        <v>1.59865018564917</v>
      </c>
      <c r="CY70" s="54" t="n">
        <f aca="false">(1+In_Opex_Esc)^(CY$7-YEAR(In_COD))</f>
        <v>1.63861644029039</v>
      </c>
      <c r="CZ70" s="54" t="n">
        <f aca="false">(1+In_Opex_Esc)^(CZ$7-YEAR(In_COD))</f>
        <v>1.63861644029039</v>
      </c>
      <c r="DA70" s="54" t="n">
        <f aca="false">(1+In_Opex_Esc)^(DA$7-YEAR(In_COD))</f>
        <v>1.63861644029039</v>
      </c>
      <c r="DB70" s="54" t="n">
        <f aca="false">(1+In_Opex_Esc)^(DB$7-YEAR(In_COD))</f>
        <v>1.63861644029039</v>
      </c>
      <c r="DC70" s="54" t="n">
        <f aca="false">(1+In_Opex_Esc)^(DC$7-YEAR(In_COD))</f>
        <v>1.67958185129765</v>
      </c>
      <c r="DD70" s="54" t="n">
        <f aca="false">(1+In_Opex_Esc)^(DD$7-YEAR(In_COD))</f>
        <v>1.67958185129765</v>
      </c>
      <c r="DE70" s="54" t="n">
        <f aca="false">(1+In_Opex_Esc)^(DE$7-YEAR(In_COD))</f>
        <v>1.67958185129765</v>
      </c>
      <c r="DF70" s="54" t="n">
        <f aca="false">(1+In_Opex_Esc)^(DF$7-YEAR(In_COD))</f>
        <v>1.67958185129765</v>
      </c>
      <c r="DG70" s="54" t="n">
        <f aca="false">(1+In_Opex_Esc)^(DG$7-YEAR(In_COD))</f>
        <v>1.7215713975801</v>
      </c>
      <c r="DH70" s="54" t="n">
        <f aca="false">(1+In_Opex_Esc)^(DH$7-YEAR(In_COD))</f>
        <v>1.7215713975801</v>
      </c>
      <c r="DI70" s="54" t="n">
        <f aca="false">(1+In_Opex_Esc)^(DI$7-YEAR(In_COD))</f>
        <v>1.7215713975801</v>
      </c>
      <c r="DJ70" s="54" t="n">
        <f aca="false">(1+In_Opex_Esc)^(DJ$7-YEAR(In_COD))</f>
        <v>1.7215713975801</v>
      </c>
      <c r="DK70" s="54" t="n">
        <f aca="false">(1+In_Opex_Esc)^(DK$7-YEAR(In_COD))</f>
        <v>1.7646106825196</v>
      </c>
      <c r="DL70" s="54" t="n">
        <f aca="false">(1+In_Opex_Esc)^(DL$7-YEAR(In_COD))</f>
        <v>1.7646106825196</v>
      </c>
      <c r="DM70" s="54" t="n">
        <f aca="false">(1+In_Opex_Esc)^(DM$7-YEAR(In_COD))</f>
        <v>1.7646106825196</v>
      </c>
      <c r="DN70" s="54" t="n">
        <f aca="false">(1+In_Opex_Esc)^(DN$7-YEAR(In_COD))</f>
        <v>1.7646106825196</v>
      </c>
      <c r="DO70" s="54" t="n">
        <f aca="false">(1+In_Opex_Esc)^(DO$7-YEAR(In_COD))</f>
        <v>1.80872594958259</v>
      </c>
      <c r="DP70" s="54" t="n">
        <f aca="false">(1+In_Opex_Esc)^(DP$7-YEAR(In_COD))</f>
        <v>1.80872594958259</v>
      </c>
      <c r="DQ70" s="54" t="n">
        <f aca="false">(1+In_Opex_Esc)^(DQ$7-YEAR(In_COD))</f>
        <v>1.80872594958259</v>
      </c>
      <c r="DR70" s="54" t="n">
        <f aca="false">(1+In_Opex_Esc)^(DR$7-YEAR(In_COD))</f>
        <v>1.80872594958259</v>
      </c>
      <c r="DS70" s="54" t="n">
        <f aca="false">(1+In_Opex_Esc)^(DS$7-YEAR(In_COD))</f>
        <v>1.85394409832215</v>
      </c>
      <c r="DT70" s="54" t="n">
        <f aca="false">(1+In_Opex_Esc)^(DT$7-YEAR(In_COD))</f>
        <v>1.85394409832215</v>
      </c>
      <c r="DU70" s="54" t="n">
        <f aca="false">(1+In_Opex_Esc)^(DU$7-YEAR(In_COD))</f>
        <v>1.85394409832215</v>
      </c>
      <c r="DV70" s="54" t="n">
        <f aca="false">(1+In_Opex_Esc)^(DV$7-YEAR(In_COD))</f>
        <v>1.85394409832215</v>
      </c>
      <c r="DW70" s="54" t="n">
        <f aca="false">(1+In_Opex_Esc)^(DW$7-YEAR(In_COD))</f>
        <v>1.90029270078021</v>
      </c>
      <c r="DX70" s="54" t="n">
        <f aca="false">(1+In_Opex_Esc)^(DX$7-YEAR(In_COD))</f>
        <v>1.90029270078021</v>
      </c>
      <c r="DY70" s="54" t="n">
        <f aca="false">(1+In_Opex_Esc)^(DY$7-YEAR(In_COD))</f>
        <v>1.90029270078021</v>
      </c>
      <c r="DZ70" s="54" t="n">
        <f aca="false">(1+In_Opex_Esc)^(DZ$7-YEAR(In_COD))</f>
        <v>1.90029270078021</v>
      </c>
      <c r="EA70" s="54" t="n">
        <f aca="false">(1+In_Opex_Esc)^(EA$7-YEAR(In_COD))</f>
        <v>1.94780001829971</v>
      </c>
      <c r="EB70" s="54" t="n">
        <f aca="false">(1+In_Opex_Esc)^(EB$7-YEAR(In_COD))</f>
        <v>1.94780001829971</v>
      </c>
      <c r="EC70" s="54" t="n">
        <f aca="false">(1+In_Opex_Esc)^(EC$7-YEAR(In_COD))</f>
        <v>1.94780001829971</v>
      </c>
      <c r="ED70" s="54" t="n">
        <f aca="false">(1+In_Opex_Esc)^(ED$7-YEAR(In_COD))</f>
        <v>1.94780001829971</v>
      </c>
      <c r="EE70" s="54" t="n">
        <f aca="false">(1+In_Opex_Esc)^(EE$7-YEAR(In_COD))</f>
        <v>1.9964950187572</v>
      </c>
      <c r="EF70" s="54" t="n">
        <f aca="false">(1+In_Opex_Esc)^(EF$7-YEAR(In_COD))</f>
        <v>1.9964950187572</v>
      </c>
      <c r="EG70" s="54" t="n">
        <f aca="false">(1+In_Opex_Esc)^(EG$7-YEAR(In_COD))</f>
        <v>1.9964950187572</v>
      </c>
      <c r="EH70" s="54" t="n">
        <f aca="false">(1+In_Opex_Esc)^(EH$7-YEAR(In_COD))</f>
        <v>1.9964950187572</v>
      </c>
      <c r="EI70" s="54" t="n">
        <f aca="false">(1+In_Opex_Esc)^(EI$7-YEAR(In_COD))</f>
        <v>2.04640739422613</v>
      </c>
      <c r="EJ70" s="54" t="n">
        <f aca="false">(1+In_Opex_Esc)^(EJ$7-YEAR(In_COD))</f>
        <v>2.04640739422613</v>
      </c>
      <c r="EK70" s="54" t="n">
        <f aca="false">(1+In_Opex_Esc)^(EK$7-YEAR(In_COD))</f>
        <v>2.04640739422613</v>
      </c>
      <c r="EL70" s="54" t="n">
        <f aca="false">(1+In_Opex_Esc)^(EL$7-YEAR(In_COD))</f>
        <v>2.04640739422613</v>
      </c>
      <c r="EM70" s="54" t="n">
        <f aca="false">(1+In_Opex_Esc)^(EM$7-YEAR(In_COD))</f>
        <v>2.09756757908179</v>
      </c>
      <c r="EN70" s="54" t="n">
        <f aca="false">(1+In_Opex_Esc)^(EN$7-YEAR(In_COD))</f>
        <v>2.09756757908179</v>
      </c>
      <c r="EO70" s="54" t="n">
        <f aca="false">(1+In_Opex_Esc)^(EO$7-YEAR(In_COD))</f>
        <v>2.09756757908179</v>
      </c>
    </row>
    <row r="71" customFormat="false" ht="15" hidden="false" customHeight="false" outlineLevel="0" collapsed="false">
      <c r="C71" s="0" t="s">
        <v>439</v>
      </c>
      <c r="D71" s="11" t="s">
        <v>24</v>
      </c>
      <c r="J71" s="32" t="n">
        <f aca="false">In_PPA_Price*(1+In_PPA_Esc)^(J$7-YEAR(In_COD))</f>
        <v>86.4882310034535</v>
      </c>
      <c r="K71" s="32" t="n">
        <f aca="false">In_PPA_Price*(1+In_PPA_Esc)^(K$7-YEAR(In_COD))</f>
        <v>87.353113313488</v>
      </c>
      <c r="L71" s="32" t="n">
        <f aca="false">In_PPA_Price*(1+In_PPA_Esc)^(L$7-YEAR(In_COD))</f>
        <v>87.353113313488</v>
      </c>
      <c r="M71" s="32" t="n">
        <f aca="false">In_PPA_Price*(1+In_PPA_Esc)^(M$7-YEAR(In_COD))</f>
        <v>87.353113313488</v>
      </c>
      <c r="N71" s="32" t="n">
        <f aca="false">In_PPA_Price*(1+In_PPA_Esc)^(N$7-YEAR(In_COD))</f>
        <v>87.353113313488</v>
      </c>
      <c r="O71" s="32" t="n">
        <f aca="false">In_PPA_Price*(1+In_PPA_Esc)^(O$7-YEAR(In_COD))</f>
        <v>88.2266444466229</v>
      </c>
      <c r="P71" s="32" t="n">
        <f aca="false">In_PPA_Price*(1+In_PPA_Esc)^(P$7-YEAR(In_COD))</f>
        <v>88.2266444466229</v>
      </c>
      <c r="Q71" s="32" t="n">
        <f aca="false">In_PPA_Price*(1+In_PPA_Esc)^(Q$7-YEAR(In_COD))</f>
        <v>88.2266444466229</v>
      </c>
      <c r="R71" s="32" t="n">
        <f aca="false">In_PPA_Price*(1+In_PPA_Esc)^(R$7-YEAR(In_COD))</f>
        <v>88.2266444466229</v>
      </c>
      <c r="S71" s="32" t="n">
        <f aca="false">In_PPA_Price*(1+In_PPA_Esc)^(S$7-YEAR(In_COD))</f>
        <v>89.1089108910891</v>
      </c>
      <c r="T71" s="32" t="n">
        <f aca="false">In_PPA_Price*(1+In_PPA_Esc)^(T$7-YEAR(In_COD))</f>
        <v>89.1089108910891</v>
      </c>
      <c r="U71" s="32" t="n">
        <f aca="false">In_PPA_Price*(1+In_PPA_Esc)^(U$7-YEAR(In_COD))</f>
        <v>89.1089108910891</v>
      </c>
      <c r="V71" s="32" t="n">
        <f aca="false">In_PPA_Price*(1+In_PPA_Esc)^(V$7-YEAR(In_COD))</f>
        <v>89.1089108910891</v>
      </c>
      <c r="W71" s="32" t="n">
        <f aca="false">In_PPA_Price*(1+In_PPA_Esc)^(W$7-YEAR(In_COD))</f>
        <v>90</v>
      </c>
      <c r="X71" s="32" t="n">
        <f aca="false">In_PPA_Price*(1+In_PPA_Esc)^(X$7-YEAR(In_COD))</f>
        <v>90</v>
      </c>
      <c r="Y71" s="32" t="n">
        <f aca="false">In_PPA_Price*(1+In_PPA_Esc)^(Y$7-YEAR(In_COD))</f>
        <v>90</v>
      </c>
      <c r="Z71" s="32" t="n">
        <f aca="false">In_PPA_Price*(1+In_PPA_Esc)^(Z$7-YEAR(In_COD))</f>
        <v>90</v>
      </c>
      <c r="AA71" s="32" t="n">
        <f aca="false">In_PPA_Price*(1+In_PPA_Esc)^(AA$7-YEAR(In_COD))</f>
        <v>90.9</v>
      </c>
      <c r="AB71" s="32" t="n">
        <f aca="false">In_PPA_Price*(1+In_PPA_Esc)^(AB$7-YEAR(In_COD))</f>
        <v>90.9</v>
      </c>
      <c r="AC71" s="32" t="n">
        <f aca="false">In_PPA_Price*(1+In_PPA_Esc)^(AC$7-YEAR(In_COD))</f>
        <v>90.9</v>
      </c>
      <c r="AD71" s="32" t="n">
        <f aca="false">In_PPA_Price*(1+In_PPA_Esc)^(AD$7-YEAR(In_COD))</f>
        <v>90.9</v>
      </c>
      <c r="AE71" s="32" t="n">
        <f aca="false">In_PPA_Price*(1+In_PPA_Esc)^(AE$7-YEAR(In_COD))</f>
        <v>91.809</v>
      </c>
      <c r="AF71" s="32" t="n">
        <f aca="false">In_PPA_Price*(1+In_PPA_Esc)^(AF$7-YEAR(In_COD))</f>
        <v>91.809</v>
      </c>
      <c r="AG71" s="32" t="n">
        <f aca="false">In_PPA_Price*(1+In_PPA_Esc)^(AG$7-YEAR(In_COD))</f>
        <v>91.809</v>
      </c>
      <c r="AH71" s="32" t="n">
        <f aca="false">In_PPA_Price*(1+In_PPA_Esc)^(AH$7-YEAR(In_COD))</f>
        <v>91.809</v>
      </c>
      <c r="AI71" s="32" t="n">
        <f aca="false">In_PPA_Price*(1+In_PPA_Esc)^(AI$7-YEAR(In_COD))</f>
        <v>92.72709</v>
      </c>
      <c r="AJ71" s="32" t="n">
        <f aca="false">In_PPA_Price*(1+In_PPA_Esc)^(AJ$7-YEAR(In_COD))</f>
        <v>92.72709</v>
      </c>
      <c r="AK71" s="32" t="n">
        <f aca="false">In_PPA_Price*(1+In_PPA_Esc)^(AK$7-YEAR(In_COD))</f>
        <v>92.72709</v>
      </c>
      <c r="AL71" s="32" t="n">
        <f aca="false">In_PPA_Price*(1+In_PPA_Esc)^(AL$7-YEAR(In_COD))</f>
        <v>92.72709</v>
      </c>
      <c r="AM71" s="32" t="n">
        <f aca="false">In_PPA_Price*(1+In_PPA_Esc)^(AM$7-YEAR(In_COD))</f>
        <v>93.6543609</v>
      </c>
      <c r="AN71" s="32" t="n">
        <f aca="false">In_PPA_Price*(1+In_PPA_Esc)^(AN$7-YEAR(In_COD))</f>
        <v>93.6543609</v>
      </c>
      <c r="AO71" s="32" t="n">
        <f aca="false">In_PPA_Price*(1+In_PPA_Esc)^(AO$7-YEAR(In_COD))</f>
        <v>93.6543609</v>
      </c>
      <c r="AP71" s="32" t="n">
        <f aca="false">In_PPA_Price*(1+In_PPA_Esc)^(AP$7-YEAR(In_COD))</f>
        <v>93.6543609</v>
      </c>
      <c r="AQ71" s="32" t="n">
        <f aca="false">In_PPA_Price*(1+In_PPA_Esc)^(AQ$7-YEAR(In_COD))</f>
        <v>94.590904509</v>
      </c>
      <c r="AR71" s="32" t="n">
        <f aca="false">In_PPA_Price*(1+In_PPA_Esc)^(AR$7-YEAR(In_COD))</f>
        <v>94.590904509</v>
      </c>
      <c r="AS71" s="32" t="n">
        <f aca="false">In_PPA_Price*(1+In_PPA_Esc)^(AS$7-YEAR(In_COD))</f>
        <v>94.590904509</v>
      </c>
      <c r="AT71" s="32" t="n">
        <f aca="false">In_PPA_Price*(1+In_PPA_Esc)^(AT$7-YEAR(In_COD))</f>
        <v>94.590904509</v>
      </c>
      <c r="AU71" s="32" t="n">
        <f aca="false">In_PPA_Price*(1+In_PPA_Esc)^(AU$7-YEAR(In_COD))</f>
        <v>95.53681355409</v>
      </c>
      <c r="AV71" s="32" t="n">
        <f aca="false">In_PPA_Price*(1+In_PPA_Esc)^(AV$7-YEAR(In_COD))</f>
        <v>95.53681355409</v>
      </c>
      <c r="AW71" s="32" t="n">
        <f aca="false">In_PPA_Price*(1+In_PPA_Esc)^(AW$7-YEAR(In_COD))</f>
        <v>95.53681355409</v>
      </c>
      <c r="AX71" s="32" t="n">
        <f aca="false">In_PPA_Price*(1+In_PPA_Esc)^(AX$7-YEAR(In_COD))</f>
        <v>95.53681355409</v>
      </c>
      <c r="AY71" s="32" t="n">
        <f aca="false">In_PPA_Price*(1+In_PPA_Esc)^(AY$7-YEAR(In_COD))</f>
        <v>96.4921816896309</v>
      </c>
      <c r="AZ71" s="32" t="n">
        <f aca="false">In_PPA_Price*(1+In_PPA_Esc)^(AZ$7-YEAR(In_COD))</f>
        <v>96.4921816896309</v>
      </c>
      <c r="BA71" s="32" t="n">
        <f aca="false">In_PPA_Price*(1+In_PPA_Esc)^(BA$7-YEAR(In_COD))</f>
        <v>96.4921816896309</v>
      </c>
      <c r="BB71" s="32" t="n">
        <f aca="false">In_PPA_Price*(1+In_PPA_Esc)^(BB$7-YEAR(In_COD))</f>
        <v>96.4921816896309</v>
      </c>
      <c r="BC71" s="32" t="n">
        <f aca="false">In_PPA_Price*(1+In_PPA_Esc)^(BC$7-YEAR(In_COD))</f>
        <v>97.4571035065272</v>
      </c>
      <c r="BD71" s="32" t="n">
        <f aca="false">In_PPA_Price*(1+In_PPA_Esc)^(BD$7-YEAR(In_COD))</f>
        <v>97.4571035065272</v>
      </c>
      <c r="BE71" s="32" t="n">
        <f aca="false">In_PPA_Price*(1+In_PPA_Esc)^(BE$7-YEAR(In_COD))</f>
        <v>97.4571035065272</v>
      </c>
      <c r="BF71" s="32" t="n">
        <f aca="false">In_PPA_Price*(1+In_PPA_Esc)^(BF$7-YEAR(In_COD))</f>
        <v>97.4571035065272</v>
      </c>
      <c r="BG71" s="32" t="n">
        <f aca="false">In_PPA_Price*(1+In_PPA_Esc)^(BG$7-YEAR(In_COD))</f>
        <v>98.4316745415925</v>
      </c>
      <c r="BH71" s="32" t="n">
        <f aca="false">In_PPA_Price*(1+In_PPA_Esc)^(BH$7-YEAR(In_COD))</f>
        <v>98.4316745415925</v>
      </c>
      <c r="BI71" s="32" t="n">
        <f aca="false">In_PPA_Price*(1+In_PPA_Esc)^(BI$7-YEAR(In_COD))</f>
        <v>98.4316745415925</v>
      </c>
      <c r="BJ71" s="32" t="n">
        <f aca="false">In_PPA_Price*(1+In_PPA_Esc)^(BJ$7-YEAR(In_COD))</f>
        <v>98.4316745415925</v>
      </c>
      <c r="BK71" s="32" t="n">
        <f aca="false">In_PPA_Price*(1+In_PPA_Esc)^(BK$7-YEAR(In_COD))</f>
        <v>99.4159912870084</v>
      </c>
      <c r="BL71" s="32" t="n">
        <f aca="false">In_PPA_Price*(1+In_PPA_Esc)^(BL$7-YEAR(In_COD))</f>
        <v>99.4159912870084</v>
      </c>
      <c r="BM71" s="32" t="n">
        <f aca="false">In_PPA_Price*(1+In_PPA_Esc)^(BM$7-YEAR(In_COD))</f>
        <v>99.4159912870084</v>
      </c>
      <c r="BN71" s="32" t="n">
        <f aca="false">In_PPA_Price*(1+In_PPA_Esc)^(BN$7-YEAR(In_COD))</f>
        <v>99.4159912870084</v>
      </c>
      <c r="BO71" s="32" t="n">
        <f aca="false">In_PPA_Price*(1+In_PPA_Esc)^(BO$7-YEAR(In_COD))</f>
        <v>100.410151199878</v>
      </c>
      <c r="BP71" s="32" t="n">
        <f aca="false">In_PPA_Price*(1+In_PPA_Esc)^(BP$7-YEAR(In_COD))</f>
        <v>100.410151199878</v>
      </c>
      <c r="BQ71" s="32" t="n">
        <f aca="false">In_PPA_Price*(1+In_PPA_Esc)^(BQ$7-YEAR(In_COD))</f>
        <v>100.410151199878</v>
      </c>
      <c r="BR71" s="32" t="n">
        <f aca="false">In_PPA_Price*(1+In_PPA_Esc)^(BR$7-YEAR(In_COD))</f>
        <v>100.410151199878</v>
      </c>
      <c r="BS71" s="32" t="n">
        <f aca="false">In_PPA_Price*(1+In_PPA_Esc)^(BS$7-YEAR(In_COD))</f>
        <v>101.414252711877</v>
      </c>
      <c r="BT71" s="32" t="n">
        <f aca="false">In_PPA_Price*(1+In_PPA_Esc)^(BT$7-YEAR(In_COD))</f>
        <v>101.414252711877</v>
      </c>
      <c r="BU71" s="32" t="n">
        <f aca="false">In_PPA_Price*(1+In_PPA_Esc)^(BU$7-YEAR(In_COD))</f>
        <v>101.414252711877</v>
      </c>
      <c r="BV71" s="32" t="n">
        <f aca="false">In_PPA_Price*(1+In_PPA_Esc)^(BV$7-YEAR(In_COD))</f>
        <v>101.414252711877</v>
      </c>
      <c r="BW71" s="32" t="n">
        <f aca="false">In_PPA_Price*(1+In_PPA_Esc)^(BW$7-YEAR(In_COD))</f>
        <v>102.428395238996</v>
      </c>
      <c r="BX71" s="32" t="n">
        <f aca="false">In_PPA_Price*(1+In_PPA_Esc)^(BX$7-YEAR(In_COD))</f>
        <v>102.428395238996</v>
      </c>
      <c r="BY71" s="32" t="n">
        <f aca="false">In_PPA_Price*(1+In_PPA_Esc)^(BY$7-YEAR(In_COD))</f>
        <v>102.428395238996</v>
      </c>
      <c r="BZ71" s="32" t="n">
        <f aca="false">In_PPA_Price*(1+In_PPA_Esc)^(BZ$7-YEAR(In_COD))</f>
        <v>102.428395238996</v>
      </c>
      <c r="CA71" s="32" t="n">
        <f aca="false">In_PPA_Price*(1+In_PPA_Esc)^(CA$7-YEAR(In_COD))</f>
        <v>103.452679191386</v>
      </c>
      <c r="CB71" s="32" t="n">
        <f aca="false">In_PPA_Price*(1+In_PPA_Esc)^(CB$7-YEAR(In_COD))</f>
        <v>103.452679191386</v>
      </c>
      <c r="CC71" s="32" t="n">
        <f aca="false">In_PPA_Price*(1+In_PPA_Esc)^(CC$7-YEAR(In_COD))</f>
        <v>103.452679191386</v>
      </c>
      <c r="CD71" s="32" t="n">
        <f aca="false">In_PPA_Price*(1+In_PPA_Esc)^(CD$7-YEAR(In_COD))</f>
        <v>103.452679191386</v>
      </c>
      <c r="CE71" s="32" t="n">
        <f aca="false">In_PPA_Price*(1+In_PPA_Esc)^(CE$7-YEAR(In_COD))</f>
        <v>104.4872059833</v>
      </c>
      <c r="CF71" s="32" t="n">
        <f aca="false">In_PPA_Price*(1+In_PPA_Esc)^(CF$7-YEAR(In_COD))</f>
        <v>104.4872059833</v>
      </c>
      <c r="CG71" s="32" t="n">
        <f aca="false">In_PPA_Price*(1+In_PPA_Esc)^(CG$7-YEAR(In_COD))</f>
        <v>104.4872059833</v>
      </c>
      <c r="CH71" s="32" t="n">
        <f aca="false">In_PPA_Price*(1+In_PPA_Esc)^(CH$7-YEAR(In_COD))</f>
        <v>104.4872059833</v>
      </c>
      <c r="CI71" s="32" t="n">
        <f aca="false">In_PPA_Price*(1+In_PPA_Esc)^(CI$7-YEAR(In_COD))</f>
        <v>105.532078043133</v>
      </c>
      <c r="CJ71" s="32" t="n">
        <f aca="false">In_PPA_Price*(1+In_PPA_Esc)^(CJ$7-YEAR(In_COD))</f>
        <v>105.532078043133</v>
      </c>
      <c r="CK71" s="32" t="n">
        <f aca="false">In_PPA_Price*(1+In_PPA_Esc)^(CK$7-YEAR(In_COD))</f>
        <v>105.532078043133</v>
      </c>
      <c r="CL71" s="32" t="n">
        <f aca="false">In_PPA_Price*(1+In_PPA_Esc)^(CL$7-YEAR(In_COD))</f>
        <v>105.532078043133</v>
      </c>
      <c r="CM71" s="32" t="n">
        <f aca="false">In_PPA_Price*(1+In_PPA_Esc)^(CM$7-YEAR(In_COD))</f>
        <v>106.587398823564</v>
      </c>
      <c r="CN71" s="32" t="n">
        <f aca="false">In_PPA_Price*(1+In_PPA_Esc)^(CN$7-YEAR(In_COD))</f>
        <v>106.587398823564</v>
      </c>
      <c r="CO71" s="32" t="n">
        <f aca="false">In_PPA_Price*(1+In_PPA_Esc)^(CO$7-YEAR(In_COD))</f>
        <v>106.587398823564</v>
      </c>
      <c r="CP71" s="32" t="n">
        <f aca="false">In_PPA_Price*(1+In_PPA_Esc)^(CP$7-YEAR(In_COD))</f>
        <v>106.587398823564</v>
      </c>
      <c r="CQ71" s="32" t="n">
        <f aca="false">In_PPA_Price*(1+In_PPA_Esc)^(CQ$7-YEAR(In_COD))</f>
        <v>107.6532728118</v>
      </c>
      <c r="CR71" s="32" t="n">
        <f aca="false">In_PPA_Price*(1+In_PPA_Esc)^(CR$7-YEAR(In_COD))</f>
        <v>107.6532728118</v>
      </c>
      <c r="CS71" s="32" t="n">
        <f aca="false">In_PPA_Price*(1+In_PPA_Esc)^(CS$7-YEAR(In_COD))</f>
        <v>107.6532728118</v>
      </c>
      <c r="CT71" s="32" t="n">
        <f aca="false">In_PPA_Price*(1+In_PPA_Esc)^(CT$7-YEAR(In_COD))</f>
        <v>107.6532728118</v>
      </c>
      <c r="CU71" s="32" t="n">
        <f aca="false">In_PPA_Price*(1+In_PPA_Esc)^(CU$7-YEAR(In_COD))</f>
        <v>108.729805539918</v>
      </c>
      <c r="CV71" s="32" t="n">
        <f aca="false">In_PPA_Price*(1+In_PPA_Esc)^(CV$7-YEAR(In_COD))</f>
        <v>108.729805539918</v>
      </c>
      <c r="CW71" s="32" t="n">
        <f aca="false">In_PPA_Price*(1+In_PPA_Esc)^(CW$7-YEAR(In_COD))</f>
        <v>108.729805539918</v>
      </c>
      <c r="CX71" s="32" t="n">
        <f aca="false">In_PPA_Price*(1+In_PPA_Esc)^(CX$7-YEAR(In_COD))</f>
        <v>108.729805539918</v>
      </c>
      <c r="CY71" s="32" t="n">
        <f aca="false">In_PPA_Price*(1+In_PPA_Esc)^(CY$7-YEAR(In_COD))</f>
        <v>109.817103595317</v>
      </c>
      <c r="CZ71" s="32" t="n">
        <f aca="false">In_PPA_Price*(1+In_PPA_Esc)^(CZ$7-YEAR(In_COD))</f>
        <v>109.817103595317</v>
      </c>
      <c r="DA71" s="32" t="n">
        <f aca="false">In_PPA_Price*(1+In_PPA_Esc)^(DA$7-YEAR(In_COD))</f>
        <v>109.817103595317</v>
      </c>
      <c r="DB71" s="32" t="n">
        <f aca="false">In_PPA_Price*(1+In_PPA_Esc)^(DB$7-YEAR(In_COD))</f>
        <v>109.817103595317</v>
      </c>
      <c r="DC71" s="32" t="n">
        <f aca="false">In_PPA_Price*(1+In_PPA_Esc)^(DC$7-YEAR(In_COD))</f>
        <v>110.91527463127</v>
      </c>
      <c r="DD71" s="32" t="n">
        <f aca="false">In_PPA_Price*(1+In_PPA_Esc)^(DD$7-YEAR(In_COD))</f>
        <v>110.91527463127</v>
      </c>
      <c r="DE71" s="32" t="n">
        <f aca="false">In_PPA_Price*(1+In_PPA_Esc)^(DE$7-YEAR(In_COD))</f>
        <v>110.91527463127</v>
      </c>
      <c r="DF71" s="32" t="n">
        <f aca="false">In_PPA_Price*(1+In_PPA_Esc)^(DF$7-YEAR(In_COD))</f>
        <v>110.91527463127</v>
      </c>
      <c r="DG71" s="32" t="n">
        <f aca="false">In_PPA_Price*(1+In_PPA_Esc)^(DG$7-YEAR(In_COD))</f>
        <v>112.024427377583</v>
      </c>
      <c r="DH71" s="32" t="n">
        <f aca="false">In_PPA_Price*(1+In_PPA_Esc)^(DH$7-YEAR(In_COD))</f>
        <v>112.024427377583</v>
      </c>
      <c r="DI71" s="32" t="n">
        <f aca="false">In_PPA_Price*(1+In_PPA_Esc)^(DI$7-YEAR(In_COD))</f>
        <v>112.024427377583</v>
      </c>
      <c r="DJ71" s="32" t="n">
        <f aca="false">In_PPA_Price*(1+In_PPA_Esc)^(DJ$7-YEAR(In_COD))</f>
        <v>112.024427377583</v>
      </c>
      <c r="DK71" s="32" t="n">
        <f aca="false">In_PPA_Price*(1+In_PPA_Esc)^(DK$7-YEAR(In_COD))</f>
        <v>113.144671651359</v>
      </c>
      <c r="DL71" s="32" t="n">
        <f aca="false">In_PPA_Price*(1+In_PPA_Esc)^(DL$7-YEAR(In_COD))</f>
        <v>113.144671651359</v>
      </c>
      <c r="DM71" s="32" t="n">
        <f aca="false">In_PPA_Price*(1+In_PPA_Esc)^(DM$7-YEAR(In_COD))</f>
        <v>113.144671651359</v>
      </c>
      <c r="DN71" s="32" t="n">
        <f aca="false">In_PPA_Price*(1+In_PPA_Esc)^(DN$7-YEAR(In_COD))</f>
        <v>113.144671651359</v>
      </c>
      <c r="DO71" s="32" t="n">
        <f aca="false">In_PPA_Price*(1+In_PPA_Esc)^(DO$7-YEAR(In_COD))</f>
        <v>114.276118367872</v>
      </c>
      <c r="DP71" s="32" t="n">
        <f aca="false">In_PPA_Price*(1+In_PPA_Esc)^(DP$7-YEAR(In_COD))</f>
        <v>114.276118367872</v>
      </c>
      <c r="DQ71" s="32" t="n">
        <f aca="false">In_PPA_Price*(1+In_PPA_Esc)^(DQ$7-YEAR(In_COD))</f>
        <v>114.276118367872</v>
      </c>
      <c r="DR71" s="32" t="n">
        <f aca="false">In_PPA_Price*(1+In_PPA_Esc)^(DR$7-YEAR(In_COD))</f>
        <v>114.276118367872</v>
      </c>
      <c r="DS71" s="32" t="n">
        <f aca="false">In_PPA_Price*(1+In_PPA_Esc)^(DS$7-YEAR(In_COD))</f>
        <v>115.418879551551</v>
      </c>
      <c r="DT71" s="32" t="n">
        <f aca="false">In_PPA_Price*(1+In_PPA_Esc)^(DT$7-YEAR(In_COD))</f>
        <v>115.418879551551</v>
      </c>
      <c r="DU71" s="32" t="n">
        <f aca="false">In_PPA_Price*(1+In_PPA_Esc)^(DU$7-YEAR(In_COD))</f>
        <v>115.418879551551</v>
      </c>
      <c r="DV71" s="32" t="n">
        <f aca="false">In_PPA_Price*(1+In_PPA_Esc)^(DV$7-YEAR(In_COD))</f>
        <v>115.418879551551</v>
      </c>
      <c r="DW71" s="32" t="n">
        <f aca="false">In_PPA_Price*(1+In_PPA_Esc)^(DW$7-YEAR(In_COD))</f>
        <v>116.573068347067</v>
      </c>
      <c r="DX71" s="32" t="n">
        <f aca="false">In_PPA_Price*(1+In_PPA_Esc)^(DX$7-YEAR(In_COD))</f>
        <v>116.573068347067</v>
      </c>
      <c r="DY71" s="32" t="n">
        <f aca="false">In_PPA_Price*(1+In_PPA_Esc)^(DY$7-YEAR(In_COD))</f>
        <v>116.573068347067</v>
      </c>
      <c r="DZ71" s="32" t="n">
        <f aca="false">In_PPA_Price*(1+In_PPA_Esc)^(DZ$7-YEAR(In_COD))</f>
        <v>116.573068347067</v>
      </c>
      <c r="EA71" s="32" t="n">
        <f aca="false">In_PPA_Price*(1+In_PPA_Esc)^(EA$7-YEAR(In_COD))</f>
        <v>117.738799030537</v>
      </c>
      <c r="EB71" s="32" t="n">
        <f aca="false">In_PPA_Price*(1+In_PPA_Esc)^(EB$7-YEAR(In_COD))</f>
        <v>117.738799030537</v>
      </c>
      <c r="EC71" s="32" t="n">
        <f aca="false">In_PPA_Price*(1+In_PPA_Esc)^(EC$7-YEAR(In_COD))</f>
        <v>117.738799030537</v>
      </c>
      <c r="ED71" s="32" t="n">
        <f aca="false">In_PPA_Price*(1+In_PPA_Esc)^(ED$7-YEAR(In_COD))</f>
        <v>117.738799030537</v>
      </c>
      <c r="EE71" s="32" t="n">
        <f aca="false">In_PPA_Price*(1+In_PPA_Esc)^(EE$7-YEAR(In_COD))</f>
        <v>118.916187020843</v>
      </c>
      <c r="EF71" s="32" t="n">
        <f aca="false">In_PPA_Price*(1+In_PPA_Esc)^(EF$7-YEAR(In_COD))</f>
        <v>118.916187020843</v>
      </c>
      <c r="EG71" s="32" t="n">
        <f aca="false">In_PPA_Price*(1+In_PPA_Esc)^(EG$7-YEAR(In_COD))</f>
        <v>118.916187020843</v>
      </c>
      <c r="EH71" s="32" t="n">
        <f aca="false">In_PPA_Price*(1+In_PPA_Esc)^(EH$7-YEAR(In_COD))</f>
        <v>118.916187020843</v>
      </c>
      <c r="EI71" s="32" t="n">
        <f aca="false">In_PPA_Price*(1+In_PPA_Esc)^(EI$7-YEAR(In_COD))</f>
        <v>120.105348891051</v>
      </c>
      <c r="EJ71" s="32" t="n">
        <f aca="false">In_PPA_Price*(1+In_PPA_Esc)^(EJ$7-YEAR(In_COD))</f>
        <v>120.105348891051</v>
      </c>
      <c r="EK71" s="32" t="n">
        <f aca="false">In_PPA_Price*(1+In_PPA_Esc)^(EK$7-YEAR(In_COD))</f>
        <v>120.105348891051</v>
      </c>
      <c r="EL71" s="32" t="n">
        <f aca="false">In_PPA_Price*(1+In_PPA_Esc)^(EL$7-YEAR(In_COD))</f>
        <v>120.105348891051</v>
      </c>
      <c r="EM71" s="32" t="n">
        <f aca="false">In_PPA_Price*(1+In_PPA_Esc)^(EM$7-YEAR(In_COD))</f>
        <v>121.306402379962</v>
      </c>
      <c r="EN71" s="32" t="n">
        <f aca="false">In_PPA_Price*(1+In_PPA_Esc)^(EN$7-YEAR(In_COD))</f>
        <v>121.306402379962</v>
      </c>
      <c r="EO71" s="32" t="n">
        <f aca="false">In_PPA_Price*(1+In_PPA_Esc)^(EO$7-YEAR(In_COD))</f>
        <v>121.306402379962</v>
      </c>
    </row>
    <row r="72" customFormat="false" ht="15" hidden="false" customHeight="false" outlineLevel="0" collapsed="false">
      <c r="C72" s="0" t="s">
        <v>440</v>
      </c>
      <c r="D72" s="11" t="s">
        <v>70</v>
      </c>
      <c r="E72" s="47" t="n">
        <f aca="false">SUMIF($J$7:$EO$7,YEAR(In_COD)+1,$J72:$EO72)</f>
        <v>139397.5128</v>
      </c>
      <c r="I72" s="47" t="n">
        <f aca="false">SUM(J72:EO72)</f>
        <v>4010958.36031905</v>
      </c>
      <c r="J72" s="47" t="n">
        <f aca="false">$F25*In_P50_Hours*(1-In_Curtailment)*(1-$E28)*(1-In_Degradation)^(J21-1)*J16*J$6</f>
        <v>0</v>
      </c>
      <c r="K72" s="47" t="n">
        <f aca="false">$F25*In_P50_Hours*(1-In_Curtailment)*(1-$E28)*(1-In_Degradation)^(K21-1)*K16*K$6</f>
        <v>0</v>
      </c>
      <c r="L72" s="47" t="n">
        <f aca="false">$F25*In_P50_Hours*(1-In_Curtailment)*(1-$E28)*(1-In_Degradation)^(L21-1)*L16*L$6</f>
        <v>0</v>
      </c>
      <c r="M72" s="47" t="n">
        <f aca="false">$F25*In_P50_Hours*(1-In_Curtailment)*(1-$E28)*(1-In_Degradation)^(M21-1)*M16*M$6</f>
        <v>0</v>
      </c>
      <c r="N72" s="47" t="n">
        <f aca="false">$F25*In_P50_Hours*(1-In_Curtailment)*(1-$E28)*(1-In_Degradation)^(N21-1)*N16*N$6</f>
        <v>0</v>
      </c>
      <c r="O72" s="47" t="n">
        <f aca="false">$F25*In_P50_Hours*(1-In_Curtailment)*(1-$E28)*(1-In_Degradation)^(O21-1)*O16*O$6</f>
        <v>0</v>
      </c>
      <c r="P72" s="47" t="n">
        <f aca="false">$F25*In_P50_Hours*(1-In_Curtailment)*(1-$E28)*(1-In_Degradation)^(P21-1)*P16*P$6</f>
        <v>0</v>
      </c>
      <c r="Q72" s="47" t="n">
        <f aca="false">$F25*In_P50_Hours*(1-In_Curtailment)*(1-$E28)*(1-In_Degradation)^(Q21-1)*Q16*Q$6</f>
        <v>0</v>
      </c>
      <c r="R72" s="47" t="n">
        <f aca="false">$F25*In_P50_Hours*(1-In_Curtailment)*(1-$E28)*(1-In_Degradation)^(R21-1)*R16*R$6</f>
        <v>0</v>
      </c>
      <c r="S72" s="47" t="n">
        <f aca="false">$F25*In_P50_Hours*(1-In_Curtailment)*(1-$E28)*(1-In_Degradation)^(S21-1)*S16*S$6</f>
        <v>0</v>
      </c>
      <c r="T72" s="47" t="n">
        <f aca="false">$F25*In_P50_Hours*(1-In_Curtailment)*(1-$E28)*(1-In_Degradation)^(T21-1)*T16*T$6</f>
        <v>0</v>
      </c>
      <c r="U72" s="47" t="n">
        <f aca="false">$F25*In_P50_Hours*(1-In_Curtailment)*(1-$E28)*(1-In_Degradation)^(U21-1)*U16*U$6</f>
        <v>0</v>
      </c>
      <c r="V72" s="47" t="n">
        <f aca="false">$F25*In_P50_Hours*(1-In_Curtailment)*(1-$E28)*(1-In_Degradation)^(V21-1)*V16*V$6</f>
        <v>0</v>
      </c>
      <c r="W72" s="47" t="n">
        <f aca="false">$F25*In_P50_Hours*(1-In_Curtailment)*(1-$E28)*(1-In_Degradation)^(W21-1)*W16*W$6</f>
        <v>0</v>
      </c>
      <c r="X72" s="47" t="n">
        <f aca="false">$F25*In_P50_Hours*(1-In_Curtailment)*(1-$E28)*(1-In_Degradation)^(X21-1)*X16*X$6</f>
        <v>0</v>
      </c>
      <c r="Y72" s="47" t="n">
        <f aca="false">$F25*In_P50_Hours*(1-In_Curtailment)*(1-$E28)*(1-In_Degradation)^(Y21-1)*Y16*Y$6</f>
        <v>0</v>
      </c>
      <c r="Z72" s="47" t="n">
        <f aca="false">$F25*In_P50_Hours*(1-In_Curtailment)*(1-$E28)*(1-In_Degradation)^(Z21-1)*Z16*Z$6</f>
        <v>35162.4</v>
      </c>
      <c r="AA72" s="47" t="n">
        <f aca="false">$F25*In_P50_Hours*(1-In_Curtailment)*(1-$E28)*(1-In_Degradation)^(AA21-1)*AA16*AA$6</f>
        <v>34398</v>
      </c>
      <c r="AB72" s="47" t="n">
        <f aca="false">$F25*In_P50_Hours*(1-In_Curtailment)*(1-$E28)*(1-In_Degradation)^(AB21-1)*AB16*AB$6</f>
        <v>34780.2</v>
      </c>
      <c r="AC72" s="47" t="n">
        <f aca="false">$F25*In_P50_Hours*(1-In_Curtailment)*(1-$E28)*(1-In_Degradation)^(AC21-1)*AC16*AC$6</f>
        <v>35162.4</v>
      </c>
      <c r="AD72" s="47" t="n">
        <f aca="false">$F25*In_P50_Hours*(1-In_Curtailment)*(1-$E28)*(1-In_Degradation)^(AD21-1)*AD16*AD$6</f>
        <v>35056.9128</v>
      </c>
      <c r="AE72" s="47" t="n">
        <f aca="false">$F25*In_P50_Hours*(1-In_Curtailment)*(1-$E28)*(1-In_Degradation)^(AE21-1)*AE16*AE$6</f>
        <v>34675.8594</v>
      </c>
      <c r="AF72" s="47" t="n">
        <f aca="false">$F25*In_P50_Hours*(1-In_Curtailment)*(1-$E28)*(1-In_Degradation)^(AF21-1)*AF16*AF$6</f>
        <v>34675.8594</v>
      </c>
      <c r="AG72" s="47" t="n">
        <f aca="false">$F25*In_P50_Hours*(1-In_Curtailment)*(1-$E28)*(1-In_Degradation)^(AG21-1)*AG16*AG$6</f>
        <v>35056.9128</v>
      </c>
      <c r="AH72" s="47" t="n">
        <f aca="false">$F25*In_P50_Hours*(1-In_Curtailment)*(1-$E28)*(1-In_Degradation)^(AH21-1)*AH16*AH$6</f>
        <v>34951.7420616</v>
      </c>
      <c r="AI72" s="47" t="n">
        <f aca="false">$F25*In_P50_Hours*(1-In_Curtailment)*(1-$E28)*(1-In_Degradation)^(AI21-1)*AI16*AI$6</f>
        <v>34191.921582</v>
      </c>
      <c r="AJ72" s="47" t="n">
        <f aca="false">$F25*In_P50_Hours*(1-In_Curtailment)*(1-$E28)*(1-In_Degradation)^(AJ21-1)*AJ16*AJ$6</f>
        <v>34571.8318218</v>
      </c>
      <c r="AK72" s="47" t="n">
        <f aca="false">$F25*In_P50_Hours*(1-In_Curtailment)*(1-$E28)*(1-In_Degradation)^(AK21-1)*AK16*AK$6</f>
        <v>34951.7420616</v>
      </c>
      <c r="AL72" s="47" t="n">
        <f aca="false">$F25*In_P50_Hours*(1-In_Curtailment)*(1-$E28)*(1-In_Degradation)^(AL21-1)*AL16*AL$6</f>
        <v>34846.8868354152</v>
      </c>
      <c r="AM72" s="47" t="n">
        <f aca="false">$F25*In_P50_Hours*(1-In_Curtailment)*(1-$E28)*(1-In_Degradation)^(AM21-1)*AM16*AM$6</f>
        <v>34089.345817254</v>
      </c>
      <c r="AN72" s="47" t="n">
        <f aca="false">$F25*In_P50_Hours*(1-In_Curtailment)*(1-$E28)*(1-In_Degradation)^(AN21-1)*AN16*AN$6</f>
        <v>34468.1163263346</v>
      </c>
      <c r="AO72" s="47" t="n">
        <f aca="false">$F25*In_P50_Hours*(1-In_Curtailment)*(1-$E28)*(1-In_Degradation)^(AO21-1)*AO16*AO$6</f>
        <v>34846.8868354152</v>
      </c>
      <c r="AP72" s="47" t="n">
        <f aca="false">$F25*In_P50_Hours*(1-In_Curtailment)*(1-$E28)*(1-In_Degradation)^(AP21-1)*AP16*AP$6</f>
        <v>34742.346174909</v>
      </c>
      <c r="AQ72" s="47" t="n">
        <f aca="false">$F25*In_P50_Hours*(1-In_Curtailment)*(1-$E28)*(1-In_Degradation)^(AQ21-1)*AQ16*AQ$6</f>
        <v>33987.0777798023</v>
      </c>
      <c r="AR72" s="47" t="n">
        <f aca="false">$F25*In_P50_Hours*(1-In_Curtailment)*(1-$E28)*(1-In_Degradation)^(AR21-1)*AR16*AR$6</f>
        <v>34364.7119773556</v>
      </c>
      <c r="AS72" s="47" t="n">
        <f aca="false">$F25*In_P50_Hours*(1-In_Curtailment)*(1-$E28)*(1-In_Degradation)^(AS21-1)*AS16*AS$6</f>
        <v>34742.346174909</v>
      </c>
      <c r="AT72" s="47" t="n">
        <f aca="false">$F25*In_P50_Hours*(1-In_Curtailment)*(1-$E28)*(1-In_Degradation)^(AT21-1)*AT16*AT$6</f>
        <v>34638.1191363842</v>
      </c>
      <c r="AU72" s="47" t="n">
        <f aca="false">$F25*In_P50_Hours*(1-In_Curtailment)*(1-$E28)*(1-In_Degradation)^(AU21-1)*AU16*AU$6</f>
        <v>34261.6178414235</v>
      </c>
      <c r="AV72" s="47" t="n">
        <f aca="false">$F25*In_P50_Hours*(1-In_Curtailment)*(1-$E28)*(1-In_Degradation)^(AV21-1)*AV16*AV$6</f>
        <v>34261.6178414235</v>
      </c>
      <c r="AW72" s="47" t="n">
        <f aca="false">$F25*In_P50_Hours*(1-In_Curtailment)*(1-$E28)*(1-In_Degradation)^(AW21-1)*AW16*AW$6</f>
        <v>34638.1191363842</v>
      </c>
      <c r="AX72" s="47" t="n">
        <f aca="false">$F25*In_P50_Hours*(1-In_Curtailment)*(1-$E28)*(1-In_Degradation)^(AX21-1)*AX16*AX$6</f>
        <v>34534.2047789751</v>
      </c>
      <c r="AY72" s="47" t="n">
        <f aca="false">$F25*In_P50_Hours*(1-In_Curtailment)*(1-$E28)*(1-In_Degradation)^(AY21-1)*AY16*AY$6</f>
        <v>33783.4611968235</v>
      </c>
      <c r="AZ72" s="47" t="n">
        <f aca="false">$F25*In_P50_Hours*(1-In_Curtailment)*(1-$E28)*(1-In_Degradation)^(AZ21-1)*AZ16*AZ$6</f>
        <v>34158.8329878993</v>
      </c>
      <c r="BA72" s="47" t="n">
        <f aca="false">$F25*In_P50_Hours*(1-In_Curtailment)*(1-$E28)*(1-In_Degradation)^(BA21-1)*BA16*BA$6</f>
        <v>34534.2047789751</v>
      </c>
      <c r="BB72" s="47" t="n">
        <f aca="false">$F25*In_P50_Hours*(1-In_Curtailment)*(1-$E28)*(1-In_Degradation)^(BB21-1)*BB16*BB$6</f>
        <v>34430.6021646382</v>
      </c>
      <c r="BC72" s="47" t="n">
        <f aca="false">$F25*In_P50_Hours*(1-In_Curtailment)*(1-$E28)*(1-In_Degradation)^(BC21-1)*BC16*BC$6</f>
        <v>33682.110813233</v>
      </c>
      <c r="BD72" s="47" t="n">
        <f aca="false">$F25*In_P50_Hours*(1-In_Curtailment)*(1-$E28)*(1-In_Degradation)^(BD21-1)*BD16*BD$6</f>
        <v>34056.3564889356</v>
      </c>
      <c r="BE72" s="47" t="n">
        <f aca="false">$F25*In_P50_Hours*(1-In_Curtailment)*(1-$E28)*(1-In_Degradation)^(BE21-1)*BE16*BE$6</f>
        <v>34430.6021646382</v>
      </c>
      <c r="BF72" s="47" t="n">
        <f aca="false">$F25*In_P50_Hours*(1-In_Curtailment)*(1-$E28)*(1-In_Degradation)^(BF21-1)*BF16*BF$6</f>
        <v>34327.3103581443</v>
      </c>
      <c r="BG72" s="47" t="n">
        <f aca="false">$F25*In_P50_Hours*(1-In_Curtailment)*(1-$E28)*(1-In_Degradation)^(BG21-1)*BG16*BG$6</f>
        <v>33581.0644807933</v>
      </c>
      <c r="BH72" s="47" t="n">
        <f aca="false">$F25*In_P50_Hours*(1-In_Curtailment)*(1-$E28)*(1-In_Degradation)^(BH21-1)*BH16*BH$6</f>
        <v>33954.1874194688</v>
      </c>
      <c r="BI72" s="47" t="n">
        <f aca="false">$F25*In_P50_Hours*(1-In_Curtailment)*(1-$E28)*(1-In_Degradation)^(BI21-1)*BI16*BI$6</f>
        <v>34327.3103581443</v>
      </c>
      <c r="BJ72" s="47" t="n">
        <f aca="false">$F25*In_P50_Hours*(1-In_Curtailment)*(1-$E28)*(1-In_Degradation)^(BJ21-1)*BJ16*BJ$6</f>
        <v>34224.3284270698</v>
      </c>
      <c r="BK72" s="47" t="n">
        <f aca="false">$F25*In_P50_Hours*(1-In_Curtailment)*(1-$E28)*(1-In_Degradation)^(BK21-1)*BK16*BK$6</f>
        <v>33852.3248572104</v>
      </c>
      <c r="BL72" s="47" t="n">
        <f aca="false">$F25*In_P50_Hours*(1-In_Curtailment)*(1-$E28)*(1-In_Degradation)^(BL21-1)*BL16*BL$6</f>
        <v>33852.3248572104</v>
      </c>
      <c r="BM72" s="47" t="n">
        <f aca="false">$F25*In_P50_Hours*(1-In_Curtailment)*(1-$E28)*(1-In_Degradation)^(BM21-1)*BM16*BM$6</f>
        <v>34224.3284270698</v>
      </c>
      <c r="BN72" s="47" t="n">
        <f aca="false">$F25*In_P50_Hours*(1-In_Curtailment)*(1-$E28)*(1-In_Degradation)^(BN21-1)*BN16*BN$6</f>
        <v>34121.6554417886</v>
      </c>
      <c r="BO72" s="47" t="n">
        <f aca="false">$F25*In_P50_Hours*(1-In_Curtailment)*(1-$E28)*(1-In_Degradation)^(BO21-1)*BO16*BO$6</f>
        <v>33379.8803234888</v>
      </c>
      <c r="BP72" s="47" t="n">
        <f aca="false">$F25*In_P50_Hours*(1-In_Curtailment)*(1-$E28)*(1-In_Degradation)^(BP21-1)*BP16*BP$6</f>
        <v>33750.7678826387</v>
      </c>
      <c r="BQ72" s="47" t="n">
        <f aca="false">$F25*In_P50_Hours*(1-In_Curtailment)*(1-$E28)*(1-In_Degradation)^(BQ21-1)*BQ16*BQ$6</f>
        <v>34121.6554417886</v>
      </c>
      <c r="BR72" s="47" t="n">
        <f aca="false">$F25*In_P50_Hours*(1-In_Curtailment)*(1-$E28)*(1-In_Degradation)^(BR21-1)*BR16*BR$6</f>
        <v>34019.2904754632</v>
      </c>
      <c r="BS72" s="47" t="n">
        <f aca="false">$F25*In_P50_Hours*(1-In_Curtailment)*(1-$E28)*(1-In_Degradation)^(BS21-1)*BS16*BS$6</f>
        <v>33279.7406825184</v>
      </c>
      <c r="BT72" s="47" t="n">
        <f aca="false">$F25*In_P50_Hours*(1-In_Curtailment)*(1-$E28)*(1-In_Degradation)^(BT21-1)*BT16*BT$6</f>
        <v>33649.5155789908</v>
      </c>
      <c r="BU72" s="47" t="n">
        <f aca="false">$F25*In_P50_Hours*(1-In_Curtailment)*(1-$E28)*(1-In_Degradation)^(BU21-1)*BU16*BU$6</f>
        <v>34019.2904754632</v>
      </c>
      <c r="BV72" s="47" t="n">
        <f aca="false">$F25*In_P50_Hours*(1-In_Curtailment)*(1-$E28)*(1-In_Degradation)^(BV21-1)*BV16*BV$6</f>
        <v>33917.2326040368</v>
      </c>
      <c r="BW72" s="47" t="n">
        <f aca="false">$F25*In_P50_Hours*(1-In_Curtailment)*(1-$E28)*(1-In_Degradation)^(BW21-1)*BW16*BW$6</f>
        <v>33179.9014604708</v>
      </c>
      <c r="BX72" s="47" t="n">
        <f aca="false">$F25*In_P50_Hours*(1-In_Curtailment)*(1-$E28)*(1-In_Degradation)^(BX21-1)*BX16*BX$6</f>
        <v>33548.5670322538</v>
      </c>
      <c r="BY72" s="47" t="n">
        <f aca="false">$F25*In_P50_Hours*(1-In_Curtailment)*(1-$E28)*(1-In_Degradation)^(BY21-1)*BY16*BY$6</f>
        <v>33917.2326040368</v>
      </c>
      <c r="BZ72" s="47" t="n">
        <f aca="false">$F25*In_P50_Hours*(1-In_Curtailment)*(1-$E28)*(1-In_Degradation)^(BZ21-1)*BZ16*BZ$6</f>
        <v>33815.4809062247</v>
      </c>
      <c r="CA72" s="47" t="n">
        <f aca="false">$F25*In_P50_Hours*(1-In_Curtailment)*(1-$E28)*(1-In_Degradation)^(CA21-1)*CA16*CA$6</f>
        <v>33447.9213311571</v>
      </c>
      <c r="CB72" s="47" t="n">
        <f aca="false">$F25*In_P50_Hours*(1-In_Curtailment)*(1-$E28)*(1-In_Degradation)^(CB21-1)*CB16*CB$6</f>
        <v>33447.9213311571</v>
      </c>
      <c r="CC72" s="47" t="n">
        <f aca="false">$F25*In_P50_Hours*(1-In_Curtailment)*(1-$E28)*(1-In_Degradation)^(CC21-1)*CC16*CC$6</f>
        <v>33815.4809062247</v>
      </c>
      <c r="CD72" s="47" t="n">
        <f aca="false">$F25*In_P50_Hours*(1-In_Curtailment)*(1-$E28)*(1-In_Degradation)^(CD21-1)*CD16*CD$6</f>
        <v>33714.0344635061</v>
      </c>
      <c r="CE72" s="47" t="n">
        <f aca="false">$F25*In_P50_Hours*(1-In_Curtailment)*(1-$E28)*(1-In_Degradation)^(CE21-1)*CE16*CE$6</f>
        <v>32981.1206708211</v>
      </c>
      <c r="CF72" s="47" t="n">
        <f aca="false">$F25*In_P50_Hours*(1-In_Curtailment)*(1-$E28)*(1-In_Degradation)^(CF21-1)*CF16*CF$6</f>
        <v>33347.5775671636</v>
      </c>
      <c r="CG72" s="47" t="n">
        <f aca="false">$F25*In_P50_Hours*(1-In_Curtailment)*(1-$E28)*(1-In_Degradation)^(CG21-1)*CG16*CG$6</f>
        <v>33714.0344635061</v>
      </c>
      <c r="CH72" s="47" t="n">
        <f aca="false">$F25*In_P50_Hours*(1-In_Curtailment)*(1-$E28)*(1-In_Degradation)^(CH21-1)*CH16*CH$6</f>
        <v>33612.8923601155</v>
      </c>
      <c r="CI72" s="47" t="n">
        <f aca="false">$F25*In_P50_Hours*(1-In_Curtailment)*(1-$E28)*(1-In_Degradation)^(CI21-1)*CI16*CI$6</f>
        <v>32882.1773088087</v>
      </c>
      <c r="CJ72" s="47" t="n">
        <f aca="false">$F25*In_P50_Hours*(1-In_Curtailment)*(1-$E28)*(1-In_Degradation)^(CJ21-1)*CJ16*CJ$6</f>
        <v>33247.5348344621</v>
      </c>
      <c r="CK72" s="47" t="n">
        <f aca="false">$F25*In_P50_Hours*(1-In_Curtailment)*(1-$E28)*(1-In_Degradation)^(CK21-1)*CK16*CK$6</f>
        <v>33612.8923601155</v>
      </c>
      <c r="CL72" s="47" t="n">
        <f aca="false">$F25*In_P50_Hours*(1-In_Curtailment)*(1-$E28)*(1-In_Degradation)^(CL21-1)*CL16*CL$6</f>
        <v>33512.0536830352</v>
      </c>
      <c r="CM72" s="47" t="n">
        <f aca="false">$F25*In_P50_Hours*(1-In_Curtailment)*(1-$E28)*(1-In_Degradation)^(CM21-1)*CM16*CM$6</f>
        <v>32783.5307768823</v>
      </c>
      <c r="CN72" s="47" t="n">
        <f aca="false">$F25*In_P50_Hours*(1-In_Curtailment)*(1-$E28)*(1-In_Degradation)^(CN21-1)*CN16*CN$6</f>
        <v>33147.7922299587</v>
      </c>
      <c r="CO72" s="47" t="n">
        <f aca="false">$F25*In_P50_Hours*(1-In_Curtailment)*(1-$E28)*(1-In_Degradation)^(CO21-1)*CO16*CO$6</f>
        <v>33512.0536830352</v>
      </c>
      <c r="CP72" s="47" t="n">
        <f aca="false">$F25*In_P50_Hours*(1-In_Curtailment)*(1-$E28)*(1-In_Degradation)^(CP21-1)*CP16*CP$6</f>
        <v>33411.5175219861</v>
      </c>
      <c r="CQ72" s="47" t="n">
        <f aca="false">$F25*In_P50_Hours*(1-In_Curtailment)*(1-$E28)*(1-In_Degradation)^(CQ21-1)*CQ16*CQ$6</f>
        <v>33048.3488532689</v>
      </c>
      <c r="CR72" s="47" t="n">
        <f aca="false">$F25*In_P50_Hours*(1-In_Curtailment)*(1-$E28)*(1-In_Degradation)^(CR21-1)*CR16*CR$6</f>
        <v>33048.3488532689</v>
      </c>
      <c r="CS72" s="47" t="n">
        <f aca="false">$F25*In_P50_Hours*(1-In_Curtailment)*(1-$E28)*(1-In_Degradation)^(CS21-1)*CS16*CS$6</f>
        <v>33411.5175219861</v>
      </c>
      <c r="CT72" s="47" t="n">
        <f aca="false">$F25*In_P50_Hours*(1-In_Curtailment)*(1-$E28)*(1-In_Degradation)^(CT21-1)*CT16*CT$6</f>
        <v>33311.2829694201</v>
      </c>
      <c r="CU72" s="47" t="n">
        <f aca="false">$F25*In_P50_Hours*(1-In_Curtailment)*(1-$E28)*(1-In_Degradation)^(CU21-1)*CU16*CU$6</f>
        <v>32587.124643998</v>
      </c>
      <c r="CV72" s="47" t="n">
        <f aca="false">$F25*In_P50_Hours*(1-In_Curtailment)*(1-$E28)*(1-In_Degradation)^(CV21-1)*CV16*CV$6</f>
        <v>32949.2038067091</v>
      </c>
      <c r="CW72" s="47" t="n">
        <f aca="false">$F25*In_P50_Hours*(1-In_Curtailment)*(1-$E28)*(1-In_Degradation)^(CW21-1)*CW16*CW$6</f>
        <v>33311.2829694201</v>
      </c>
      <c r="CX72" s="47" t="n">
        <f aca="false">$F25*In_P50_Hours*(1-In_Curtailment)*(1-$E28)*(1-In_Degradation)^(CX21-1)*CX16*CX$6</f>
        <v>33211.3491205119</v>
      </c>
      <c r="CY72" s="47" t="n">
        <f aca="false">$F25*In_P50_Hours*(1-In_Curtailment)*(1-$E28)*(1-In_Degradation)^(CY21-1)*CY16*CY$6</f>
        <v>32489.363270066</v>
      </c>
      <c r="CZ72" s="47" t="n">
        <f aca="false">$F25*In_P50_Hours*(1-In_Curtailment)*(1-$E28)*(1-In_Degradation)^(CZ21-1)*CZ16*CZ$6</f>
        <v>32850.3561952889</v>
      </c>
      <c r="DA72" s="47" t="n">
        <f aca="false">$F25*In_P50_Hours*(1-In_Curtailment)*(1-$E28)*(1-In_Degradation)^(DA21-1)*DA16*DA$6</f>
        <v>33211.3491205119</v>
      </c>
      <c r="DB72" s="47" t="n">
        <f aca="false">$F25*In_P50_Hours*(1-In_Curtailment)*(1-$E28)*(1-In_Degradation)^(DB21-1)*DB16*DB$6</f>
        <v>33111.7150731503</v>
      </c>
      <c r="DC72" s="47" t="n">
        <f aca="false">$F25*In_P50_Hours*(1-In_Curtailment)*(1-$E28)*(1-In_Degradation)^(DC21-1)*DC16*DC$6</f>
        <v>32391.8951802558</v>
      </c>
      <c r="DD72" s="47" t="n">
        <f aca="false">$F25*In_P50_Hours*(1-In_Curtailment)*(1-$E28)*(1-In_Degradation)^(DD21-1)*DD16*DD$6</f>
        <v>32751.8051267031</v>
      </c>
      <c r="DE72" s="47" t="n">
        <f aca="false">$F25*In_P50_Hours*(1-In_Curtailment)*(1-$E28)*(1-In_Degradation)^(DE21-1)*DE16*DE$6</f>
        <v>33111.7150731503</v>
      </c>
      <c r="DF72" s="47" t="n">
        <f aca="false">$F25*In_P50_Hours*(1-In_Curtailment)*(1-$E28)*(1-In_Degradation)^(DF21-1)*DF16*DF$6</f>
        <v>33012.3799279309</v>
      </c>
      <c r="DG72" s="47" t="n">
        <f aca="false">$F25*In_P50_Hours*(1-In_Curtailment)*(1-$E28)*(1-In_Degradation)^(DG21-1)*DG16*DG$6</f>
        <v>32653.5497113229</v>
      </c>
      <c r="DH72" s="47" t="n">
        <f aca="false">$F25*In_P50_Hours*(1-In_Curtailment)*(1-$E28)*(1-In_Degradation)^(DH21-1)*DH16*DH$6</f>
        <v>32653.5497113229</v>
      </c>
      <c r="DI72" s="47" t="n">
        <f aca="false">$F25*In_P50_Hours*(1-In_Curtailment)*(1-$E28)*(1-In_Degradation)^(DI21-1)*DI16*DI$6</f>
        <v>33012.3799279309</v>
      </c>
      <c r="DJ72" s="47" t="n">
        <f aca="false">$F25*In_P50_Hours*(1-In_Curtailment)*(1-$E28)*(1-In_Degradation)^(DJ21-1)*DJ16*DJ$6</f>
        <v>32913.3427881471</v>
      </c>
      <c r="DK72" s="47" t="n">
        <f aca="false">$F25*In_P50_Hours*(1-In_Curtailment)*(1-$E28)*(1-In_Degradation)^(DK21-1)*DK16*DK$6</f>
        <v>32197.8353362308</v>
      </c>
      <c r="DL72" s="47" t="n">
        <f aca="false">$F25*In_P50_Hours*(1-In_Curtailment)*(1-$E28)*(1-In_Degradation)^(DL21-1)*DL16*DL$6</f>
        <v>32555.589062189</v>
      </c>
      <c r="DM72" s="47" t="n">
        <f aca="false">$F25*In_P50_Hours*(1-In_Curtailment)*(1-$E28)*(1-In_Degradation)^(DM21-1)*DM16*DM$6</f>
        <v>32913.3427881471</v>
      </c>
      <c r="DN72" s="47" t="n">
        <f aca="false">$F25*In_P50_Hours*(1-In_Curtailment)*(1-$E28)*(1-In_Degradation)^(DN21-1)*DN16*DN$6</f>
        <v>32814.6027597827</v>
      </c>
      <c r="DO72" s="47" t="n">
        <f aca="false">$F25*In_P50_Hours*(1-In_Curtailment)*(1-$E28)*(1-In_Degradation)^(DO21-1)*DO16*DO$6</f>
        <v>32101.2418302222</v>
      </c>
      <c r="DP72" s="47" t="n">
        <f aca="false">$F25*In_P50_Hours*(1-In_Curtailment)*(1-$E28)*(1-In_Degradation)^(DP21-1)*DP16*DP$6</f>
        <v>32457.9222950024</v>
      </c>
      <c r="DQ72" s="47" t="n">
        <f aca="false">$F25*In_P50_Hours*(1-In_Curtailment)*(1-$E28)*(1-In_Degradation)^(DQ21-1)*DQ16*DQ$6</f>
        <v>32814.6027597827</v>
      </c>
      <c r="DR72" s="47" t="n">
        <f aca="false">$F25*In_P50_Hours*(1-In_Curtailment)*(1-$E28)*(1-In_Degradation)^(DR21-1)*DR16*DR$6</f>
        <v>32716.1589515033</v>
      </c>
      <c r="DS72" s="47" t="n">
        <f aca="false">$F25*In_P50_Hours*(1-In_Curtailment)*(1-$E28)*(1-In_Degradation)^(DS21-1)*DS16*DS$6</f>
        <v>32004.9381047315</v>
      </c>
      <c r="DT72" s="47" t="n">
        <f aca="false">$F25*In_P50_Hours*(1-In_Curtailment)*(1-$E28)*(1-In_Degradation)^(DT21-1)*DT16*DT$6</f>
        <v>32360.5485281174</v>
      </c>
      <c r="DU72" s="47" t="n">
        <f aca="false">$F25*In_P50_Hours*(1-In_Curtailment)*(1-$E28)*(1-In_Degradation)^(DU21-1)*DU16*DU$6</f>
        <v>32716.1589515033</v>
      </c>
      <c r="DV72" s="47" t="n">
        <f aca="false">$F25*In_P50_Hours*(1-In_Curtailment)*(1-$E28)*(1-In_Degradation)^(DV21-1)*DV16*DV$6</f>
        <v>32618.0104746488</v>
      </c>
      <c r="DW72" s="47" t="n">
        <f aca="false">$F25*In_P50_Hours*(1-In_Curtailment)*(1-$E28)*(1-In_Degradation)^(DW21-1)*DW16*DW$6</f>
        <v>32263.466882533</v>
      </c>
      <c r="DX72" s="47" t="n">
        <f aca="false">$F25*In_P50_Hours*(1-In_Curtailment)*(1-$E28)*(1-In_Degradation)^(DX21-1)*DX16*DX$6</f>
        <v>32263.466882533</v>
      </c>
      <c r="DY72" s="47" t="n">
        <f aca="false">$F25*In_P50_Hours*(1-In_Curtailment)*(1-$E28)*(1-In_Degradation)^(DY21-1)*DY16*DY$6</f>
        <v>32618.0104746488</v>
      </c>
      <c r="DZ72" s="47" t="n">
        <f aca="false">$F25*In_P50_Hours*(1-In_Curtailment)*(1-$E28)*(1-In_Degradation)^(DZ21-1)*DZ16*DZ$6</f>
        <v>32520.1564432249</v>
      </c>
      <c r="EA72" s="47" t="n">
        <f aca="false">$F25*In_P50_Hours*(1-In_Curtailment)*(1-$E28)*(1-In_Degradation)^(EA21-1)*EA16*EA$6</f>
        <v>31813.196520546</v>
      </c>
      <c r="EB72" s="47" t="n">
        <f aca="false">$F25*In_P50_Hours*(1-In_Curtailment)*(1-$E28)*(1-In_Degradation)^(EB21-1)*EB16*EB$6</f>
        <v>32166.6764818854</v>
      </c>
      <c r="EC72" s="47" t="n">
        <f aca="false">$F25*In_P50_Hours*(1-In_Curtailment)*(1-$E28)*(1-In_Degradation)^(EC21-1)*EC16*EC$6</f>
        <v>32520.1564432249</v>
      </c>
      <c r="ED72" s="47" t="n">
        <f aca="false">$F25*In_P50_Hours*(1-In_Curtailment)*(1-$E28)*(1-In_Degradation)^(ED21-1)*ED16*ED$6</f>
        <v>32422.5959738952</v>
      </c>
      <c r="EE72" s="47" t="n">
        <f aca="false">$F25*In_P50_Hours*(1-In_Curtailment)*(1-$E28)*(1-In_Degradation)^(EE21-1)*EE16*EE$6</f>
        <v>31717.7569309844</v>
      </c>
      <c r="EF72" s="47" t="n">
        <f aca="false">$F25*In_P50_Hours*(1-In_Curtailment)*(1-$E28)*(1-In_Degradation)^(EF21-1)*EF16*EF$6</f>
        <v>32070.1764524398</v>
      </c>
      <c r="EG72" s="47" t="n">
        <f aca="false">$F25*In_P50_Hours*(1-In_Curtailment)*(1-$E28)*(1-In_Degradation)^(EG21-1)*EG16*EG$6</f>
        <v>32422.5959738952</v>
      </c>
      <c r="EH72" s="47" t="n">
        <f aca="false">$F25*In_P50_Hours*(1-In_Curtailment)*(1-$E28)*(1-In_Degradation)^(EH21-1)*EH16*EH$6</f>
        <v>32325.3281859735</v>
      </c>
      <c r="EI72" s="47" t="n">
        <f aca="false">$F25*In_P50_Hours*(1-In_Curtailment)*(1-$E28)*(1-In_Degradation)^(EI21-1)*EI16*EI$6</f>
        <v>31622.6036601915</v>
      </c>
      <c r="EJ72" s="47" t="n">
        <f aca="false">$F25*In_P50_Hours*(1-In_Curtailment)*(1-$E28)*(1-In_Degradation)^(EJ21-1)*EJ16*EJ$6</f>
        <v>31973.9659230825</v>
      </c>
      <c r="EK72" s="47" t="n">
        <f aca="false">$F25*In_P50_Hours*(1-In_Curtailment)*(1-$E28)*(1-In_Degradation)^(EK21-1)*EK16*EK$6</f>
        <v>32325.3281859735</v>
      </c>
      <c r="EL72" s="47" t="n">
        <f aca="false">$F25*In_P50_Hours*(1-In_Curtailment)*(1-$E28)*(1-In_Degradation)^(EL21-1)*EL16*EL$6</f>
        <v>32228.3522014156</v>
      </c>
      <c r="EM72" s="47" t="n">
        <f aca="false">$F25*In_P50_Hours*(1-In_Curtailment)*(1-$E28)*(1-In_Degradation)^(EM21-1)*EM16*EM$6</f>
        <v>31878.0440253132</v>
      </c>
      <c r="EN72" s="47" t="n">
        <f aca="false">$F25*In_P50_Hours*(1-In_Curtailment)*(1-$E28)*(1-In_Degradation)^(EN21-1)*EN16*EN$6</f>
        <v>31878.0440253132</v>
      </c>
      <c r="EO72" s="47" t="n">
        <f aca="false">$F25*In_P50_Hours*(1-In_Curtailment)*(1-$E28)*(1-In_Degradation)^(EO21-1)*EO16*EO$6</f>
        <v>32228.3522014156</v>
      </c>
    </row>
    <row r="73" customFormat="false" ht="15" hidden="false" customHeight="false" outlineLevel="0" collapsed="false">
      <c r="C73" s="0" t="s">
        <v>441</v>
      </c>
      <c r="D73" s="11" t="s">
        <v>33</v>
      </c>
      <c r="E73" s="47" t="n">
        <f aca="false">SUMIF($J$7:$EO$7,YEAR(In_COD)+1,$J73:$EO73)</f>
        <v>12671.23391352</v>
      </c>
      <c r="I73" s="47" t="n">
        <f aca="false">SUM(J73:EO73)</f>
        <v>420752.711777652</v>
      </c>
      <c r="J73" s="47" t="n">
        <f aca="false">J72*J71/Thousand</f>
        <v>0</v>
      </c>
      <c r="K73" s="47" t="n">
        <f aca="false">K72*K71/Thousand</f>
        <v>0</v>
      </c>
      <c r="L73" s="47" t="n">
        <f aca="false">L72*L71/Thousand</f>
        <v>0</v>
      </c>
      <c r="M73" s="47" t="n">
        <f aca="false">M72*M71/Thousand</f>
        <v>0</v>
      </c>
      <c r="N73" s="47" t="n">
        <f aca="false">N72*N71/Thousand</f>
        <v>0</v>
      </c>
      <c r="O73" s="47" t="n">
        <f aca="false">O72*O71/Thousand</f>
        <v>0</v>
      </c>
      <c r="P73" s="47" t="n">
        <f aca="false">P72*P71/Thousand</f>
        <v>0</v>
      </c>
      <c r="Q73" s="47" t="n">
        <f aca="false">Q72*Q71/Thousand</f>
        <v>0</v>
      </c>
      <c r="R73" s="47" t="n">
        <f aca="false">R72*R71/Thousand</f>
        <v>0</v>
      </c>
      <c r="S73" s="47" t="n">
        <f aca="false">S72*S71/Thousand</f>
        <v>0</v>
      </c>
      <c r="T73" s="47" t="n">
        <f aca="false">T72*T71/Thousand</f>
        <v>0</v>
      </c>
      <c r="U73" s="47" t="n">
        <f aca="false">U72*U71/Thousand</f>
        <v>0</v>
      </c>
      <c r="V73" s="47" t="n">
        <f aca="false">V72*V71/Thousand</f>
        <v>0</v>
      </c>
      <c r="W73" s="47" t="n">
        <f aca="false">W72*W71/Thousand</f>
        <v>0</v>
      </c>
      <c r="X73" s="47" t="n">
        <f aca="false">X72*X71/Thousand</f>
        <v>0</v>
      </c>
      <c r="Y73" s="47" t="n">
        <f aca="false">Y72*Y71/Thousand</f>
        <v>0</v>
      </c>
      <c r="Z73" s="47" t="n">
        <f aca="false">Z72*Z71/Thousand</f>
        <v>3164.616</v>
      </c>
      <c r="AA73" s="47" t="n">
        <f aca="false">AA72*AA71/Thousand</f>
        <v>3126.7782</v>
      </c>
      <c r="AB73" s="47" t="n">
        <f aca="false">AB72*AB71/Thousand</f>
        <v>3161.52018</v>
      </c>
      <c r="AC73" s="47" t="n">
        <f aca="false">AC72*AC71/Thousand</f>
        <v>3196.26216</v>
      </c>
      <c r="AD73" s="47" t="n">
        <f aca="false">AD72*AD71/Thousand</f>
        <v>3186.67337352</v>
      </c>
      <c r="AE73" s="47" t="n">
        <f aca="false">AE72*AE71/Thousand</f>
        <v>3183.5559756546</v>
      </c>
      <c r="AF73" s="47" t="n">
        <f aca="false">AF72*AF71/Thousand</f>
        <v>3183.5559756546</v>
      </c>
      <c r="AG73" s="47" t="n">
        <f aca="false">AG72*AG71/Thousand</f>
        <v>3218.5401072552</v>
      </c>
      <c r="AH73" s="47" t="n">
        <f aca="false">AH72*AH71/Thousand</f>
        <v>3208.88448693344</v>
      </c>
      <c r="AI73" s="47" t="n">
        <f aca="false">AI72*AI71/Thousand</f>
        <v>3170.51738980706</v>
      </c>
      <c r="AJ73" s="47" t="n">
        <f aca="false">AJ72*AJ71/Thousand</f>
        <v>3205.74536080491</v>
      </c>
      <c r="AK73" s="47" t="n">
        <f aca="false">AK72*AK71/Thousand</f>
        <v>3240.97333180277</v>
      </c>
      <c r="AL73" s="47" t="n">
        <f aca="false">AL72*AL71/Thousand</f>
        <v>3231.25041180736</v>
      </c>
      <c r="AM73" s="47" t="n">
        <f aca="false">AM72*AM71/Thousand</f>
        <v>3192.61589601401</v>
      </c>
      <c r="AN73" s="47" t="n">
        <f aca="false">AN72*AN71/Thousand</f>
        <v>3228.08940596972</v>
      </c>
      <c r="AO73" s="47" t="n">
        <f aca="false">AO72*AO71/Thousand</f>
        <v>3263.56291592544</v>
      </c>
      <c r="AP73" s="47" t="n">
        <f aca="false">AP72*AP71/Thousand</f>
        <v>3253.77222717766</v>
      </c>
      <c r="AQ73" s="47" t="n">
        <f aca="false">AQ72*AQ71/Thousand</f>
        <v>3214.86842880923</v>
      </c>
      <c r="AR73" s="47" t="n">
        <f aca="false">AR72*AR71/Thousand</f>
        <v>3250.58918912933</v>
      </c>
      <c r="AS73" s="47" t="n">
        <f aca="false">AS72*AS71/Thousand</f>
        <v>3286.30994944944</v>
      </c>
      <c r="AT73" s="47" t="n">
        <f aca="false">AT72*AT71/Thousand</f>
        <v>3276.45101960109</v>
      </c>
      <c r="AU73" s="47" t="n">
        <f aca="false">AU72*AU71/Thousand</f>
        <v>3273.24579577756</v>
      </c>
      <c r="AV73" s="47" t="n">
        <f aca="false">AV72*AV71/Thousand</f>
        <v>3273.24579577756</v>
      </c>
      <c r="AW73" s="47" t="n">
        <f aca="false">AW72*AW71/Thousand</f>
        <v>3309.2155297971</v>
      </c>
      <c r="AX73" s="47" t="n">
        <f aca="false">AX72*AX71/Thousand</f>
        <v>3299.28788320771</v>
      </c>
      <c r="AY73" s="47" t="n">
        <f aca="false">AY72*AY71/Thousand</f>
        <v>3259.83987590848</v>
      </c>
      <c r="AZ73" s="47" t="n">
        <f aca="false">AZ72*AZ71/Thousand</f>
        <v>3296.06031897413</v>
      </c>
      <c r="BA73" s="47" t="n">
        <f aca="false">BA72*BA71/Thousand</f>
        <v>3332.28076203978</v>
      </c>
      <c r="BB73" s="47" t="n">
        <f aca="false">BB72*BB71/Thousand</f>
        <v>3322.28391975366</v>
      </c>
      <c r="BC73" s="47" t="n">
        <f aca="false">BC72*BC71/Thousand</f>
        <v>3282.56095984357</v>
      </c>
      <c r="BD73" s="47" t="n">
        <f aca="false">BD72*BD71/Thousand</f>
        <v>3319.03385939738</v>
      </c>
      <c r="BE73" s="47" t="n">
        <f aca="false">BE72*BE71/Thousand</f>
        <v>3355.5067589512</v>
      </c>
      <c r="BF73" s="47" t="n">
        <f aca="false">BF72*BF71/Thousand</f>
        <v>3345.44023867435</v>
      </c>
      <c r="BG73" s="47" t="n">
        <f aca="false">BG72*BG71/Thousand</f>
        <v>3305.44040973368</v>
      </c>
      <c r="BH73" s="47" t="n">
        <f aca="false">BH72*BH71/Thousand</f>
        <v>3342.16752539738</v>
      </c>
      <c r="BI73" s="47" t="n">
        <f aca="false">BI72*BI71/Thousand</f>
        <v>3378.89464106109</v>
      </c>
      <c r="BJ73" s="47" t="n">
        <f aca="false">BJ72*BJ71/Thousand</f>
        <v>3368.75795713791</v>
      </c>
      <c r="BK73" s="47" t="n">
        <f aca="false">BK72*BK71/Thousand</f>
        <v>3365.4624330494</v>
      </c>
      <c r="BL73" s="47" t="n">
        <f aca="false">BL72*BL71/Thousand</f>
        <v>3365.4624330494</v>
      </c>
      <c r="BM73" s="47" t="n">
        <f aca="false">BM72*BM71/Thousand</f>
        <v>3402.44553670929</v>
      </c>
      <c r="BN73" s="47" t="n">
        <f aca="false">BN72*BN71/Thousand</f>
        <v>3392.23820009916</v>
      </c>
      <c r="BO73" s="47" t="n">
        <f aca="false">BO72*BO71/Thousand</f>
        <v>3351.67883031536</v>
      </c>
      <c r="BP73" s="47" t="n">
        <f aca="false">BP72*BP71/Thousand</f>
        <v>3388.91970620776</v>
      </c>
      <c r="BQ73" s="47" t="n">
        <f aca="false">BQ72*BQ71/Thousand</f>
        <v>3426.16058210015</v>
      </c>
      <c r="BR73" s="47" t="n">
        <f aca="false">BR72*BR71/Thousand</f>
        <v>3415.88210035385</v>
      </c>
      <c r="BS73" s="47" t="n">
        <f aca="false">BS72*BS71/Thousand</f>
        <v>3375.04003176266</v>
      </c>
      <c r="BT73" s="47" t="n">
        <f aca="false">BT72*BT71/Thousand</f>
        <v>3412.54047656003</v>
      </c>
      <c r="BU73" s="47" t="n">
        <f aca="false">BU72*BU71/Thousand</f>
        <v>3450.04092135739</v>
      </c>
      <c r="BV73" s="47" t="n">
        <f aca="false">BV72*BV71/Thousand</f>
        <v>3439.69079859332</v>
      </c>
      <c r="BW73" s="47" t="n">
        <f aca="false">BW72*BW71/Thousand</f>
        <v>3398.56406078405</v>
      </c>
      <c r="BX73" s="47" t="n">
        <f aca="false">BX72*BX71/Thousand</f>
        <v>3436.32588368165</v>
      </c>
      <c r="BY73" s="47" t="n">
        <f aca="false">BY72*BY71/Thousand</f>
        <v>3474.08770657925</v>
      </c>
      <c r="BZ73" s="47" t="n">
        <f aca="false">BZ72*BZ71/Thousand</f>
        <v>3463.66544345951</v>
      </c>
      <c r="CA73" s="47" t="n">
        <f aca="false">CA72*CA71/Thousand</f>
        <v>3460.27707509091</v>
      </c>
      <c r="CB73" s="47" t="n">
        <f aca="false">CB72*CB71/Thousand</f>
        <v>3460.27707509091</v>
      </c>
      <c r="CC73" s="47" t="n">
        <f aca="false">CC72*CC71/Thousand</f>
        <v>3498.30209789411</v>
      </c>
      <c r="CD73" s="47" t="n">
        <f aca="false">CD72*CD71/Thousand</f>
        <v>3487.80719160042</v>
      </c>
      <c r="CE73" s="47" t="n">
        <f aca="false">CE72*CE71/Thousand</f>
        <v>3446.10514909216</v>
      </c>
      <c r="CF73" s="47" t="n">
        <f aca="false">CF72*CF71/Thousand</f>
        <v>3484.39520630429</v>
      </c>
      <c r="CG73" s="47" t="n">
        <f aca="false">CG72*CG71/Thousand</f>
        <v>3522.68526351643</v>
      </c>
      <c r="CH73" s="47" t="n">
        <f aca="false">CH72*CH71/Thousand</f>
        <v>3512.11720772588</v>
      </c>
      <c r="CI73" s="47" t="n">
        <f aca="false">CI72*CI71/Thousand</f>
        <v>3470.12450198133</v>
      </c>
      <c r="CJ73" s="47" t="n">
        <f aca="false">CJ72*CJ71/Thousand</f>
        <v>3508.68144089223</v>
      </c>
      <c r="CK73" s="47" t="n">
        <f aca="false">CK72*CK71/Thousand</f>
        <v>3547.23837980314</v>
      </c>
      <c r="CL73" s="47" t="n">
        <f aca="false">CL72*CL71/Thousand</f>
        <v>3536.59666466373</v>
      </c>
      <c r="CM73" s="47" t="n">
        <f aca="false">CM72*CM71/Thousand</f>
        <v>3494.31126976014</v>
      </c>
      <c r="CN73" s="47" t="n">
        <f aca="false">CN72*CN71/Thousand</f>
        <v>3533.13695053525</v>
      </c>
      <c r="CO73" s="47" t="n">
        <f aca="false">CO72*CO71/Thousand</f>
        <v>3571.96263131037</v>
      </c>
      <c r="CP73" s="47" t="n">
        <f aca="false">CP72*CP71/Thousand</f>
        <v>3561.24674341644</v>
      </c>
      <c r="CQ73" s="47" t="n">
        <f aca="false">CQ72*CQ71/Thousand</f>
        <v>3557.76291508048</v>
      </c>
      <c r="CR73" s="47" t="n">
        <f aca="false">CR72*CR71/Thousand</f>
        <v>3557.76291508048</v>
      </c>
      <c r="CS73" s="47" t="n">
        <f aca="false">CS72*CS71/Thousand</f>
        <v>3596.8592108506</v>
      </c>
      <c r="CT73" s="47" t="n">
        <f aca="false">CT72*CT71/Thousand</f>
        <v>3586.06863321805</v>
      </c>
      <c r="CU73" s="47" t="n">
        <f aca="false">CU72*CU71/Thousand</f>
        <v>3543.19172564696</v>
      </c>
      <c r="CV73" s="47" t="n">
        <f aca="false">CV72*CV71/Thousand</f>
        <v>3582.5605225986</v>
      </c>
      <c r="CW73" s="47" t="n">
        <f aca="false">CW72*CW71/Thousand</f>
        <v>3621.92931955023</v>
      </c>
      <c r="CX73" s="47" t="n">
        <f aca="false">CX72*CX71/Thousand</f>
        <v>3611.06353159158</v>
      </c>
      <c r="CY73" s="47" t="n">
        <f aca="false">CY72*CY71/Thousand</f>
        <v>3567.88777197472</v>
      </c>
      <c r="CZ73" s="47" t="n">
        <f aca="false">CZ72*CZ71/Thousand</f>
        <v>3607.53096944111</v>
      </c>
      <c r="DA73" s="47" t="n">
        <f aca="false">DA72*DA71/Thousand</f>
        <v>3647.17416690749</v>
      </c>
      <c r="DB73" s="47" t="n">
        <f aca="false">DB72*DB71/Thousand</f>
        <v>3636.23264440677</v>
      </c>
      <c r="DC73" s="47" t="n">
        <f aca="false">DC72*DC71/Thousand</f>
        <v>3592.75594974539</v>
      </c>
      <c r="DD73" s="47" t="n">
        <f aca="false">DD72*DD71/Thousand</f>
        <v>3632.67546029811</v>
      </c>
      <c r="DE73" s="47" t="n">
        <f aca="false">DE72*DE71/Thousand</f>
        <v>3672.59497085084</v>
      </c>
      <c r="DF73" s="47" t="n">
        <f aca="false">DF72*DF71/Thousand</f>
        <v>3661.57718593829</v>
      </c>
      <c r="DG73" s="47" t="n">
        <f aca="false">DG72*DG71/Thousand</f>
        <v>3657.99520825639</v>
      </c>
      <c r="DH73" s="47" t="n">
        <f aca="false">DH72*DH71/Thousand</f>
        <v>3657.99520825639</v>
      </c>
      <c r="DI73" s="47" t="n">
        <f aca="false">DI72*DI71/Thousand</f>
        <v>3698.19295779767</v>
      </c>
      <c r="DJ73" s="47" t="n">
        <f aca="false">DJ72*DJ71/Thousand</f>
        <v>3687.09837892428</v>
      </c>
      <c r="DK73" s="47" t="n">
        <f aca="false">DK72*DK71/Thousand</f>
        <v>3643.01350700236</v>
      </c>
      <c r="DL73" s="47" t="n">
        <f aca="false">DL72*DL71/Thousand</f>
        <v>3683.49143485794</v>
      </c>
      <c r="DM73" s="47" t="n">
        <f aca="false">DM72*DM71/Thousand</f>
        <v>3723.96936271352</v>
      </c>
      <c r="DN73" s="47" t="n">
        <f aca="false">DN72*DN71/Thousand</f>
        <v>3712.79745462538</v>
      </c>
      <c r="DO73" s="47" t="n">
        <f aca="false">DO72*DO71/Thousand</f>
        <v>3668.40531114616</v>
      </c>
      <c r="DP73" s="47" t="n">
        <f aca="false">DP72*DP71/Thousand</f>
        <v>3709.1653701589</v>
      </c>
      <c r="DQ73" s="47" t="n">
        <f aca="false">DQ72*DQ71/Thousand</f>
        <v>3749.92542917163</v>
      </c>
      <c r="DR73" s="47" t="n">
        <f aca="false">DR72*DR71/Thousand</f>
        <v>3738.67565288412</v>
      </c>
      <c r="DS73" s="47" t="n">
        <f aca="false">DS72*DS71/Thousand</f>
        <v>3693.97409616485</v>
      </c>
      <c r="DT73" s="47" t="n">
        <f aca="false">DT72*DT71/Thousand</f>
        <v>3735.0182527889</v>
      </c>
      <c r="DU73" s="47" t="n">
        <f aca="false">DU72*DU71/Thousand</f>
        <v>3776.06240941296</v>
      </c>
      <c r="DV73" s="47" t="n">
        <f aca="false">DV72*DV71/Thousand</f>
        <v>3764.73422218472</v>
      </c>
      <c r="DW73" s="47" t="n">
        <f aca="false">DW72*DW71/Thousand</f>
        <v>3761.05133001084</v>
      </c>
      <c r="DX73" s="47" t="n">
        <f aca="false">DX72*DX71/Thousand</f>
        <v>3761.05133001084</v>
      </c>
      <c r="DY73" s="47" t="n">
        <f aca="false">DY72*DY71/Thousand</f>
        <v>3802.38156440657</v>
      </c>
      <c r="DZ73" s="47" t="n">
        <f aca="false">DZ72*DZ71/Thousand</f>
        <v>3790.97441971335</v>
      </c>
      <c r="EA73" s="47" t="n">
        <f aca="false">EA72*EA71/Thousand</f>
        <v>3745.64755165156</v>
      </c>
      <c r="EB73" s="47" t="n">
        <f aca="false">EB72*EB71/Thousand</f>
        <v>3787.26585778102</v>
      </c>
      <c r="EC73" s="47" t="n">
        <f aca="false">EC72*EC71/Thousand</f>
        <v>3828.88416391048</v>
      </c>
      <c r="ED73" s="47" t="n">
        <f aca="false">ED72*ED71/Thousand</f>
        <v>3817.39751141875</v>
      </c>
      <c r="EE73" s="47" t="n">
        <f aca="false">EE72*EE71/Thousand</f>
        <v>3771.75471508657</v>
      </c>
      <c r="EF73" s="47" t="n">
        <f aca="false">EF72*EF71/Thousand</f>
        <v>3813.66310080975</v>
      </c>
      <c r="EG73" s="47" t="n">
        <f aca="false">EG72*EG71/Thousand</f>
        <v>3855.57148653294</v>
      </c>
      <c r="EH73" s="47" t="n">
        <f aca="false">EH72*EH71/Thousand</f>
        <v>3844.00477207334</v>
      </c>
      <c r="EI73" s="47" t="n">
        <f aca="false">EI72*EI71/Thousand</f>
        <v>3798.04384545072</v>
      </c>
      <c r="EJ73" s="47" t="n">
        <f aca="false">EJ72*EJ71/Thousand</f>
        <v>3840.2443326224</v>
      </c>
      <c r="EK73" s="47" t="n">
        <f aca="false">EK72*EK71/Thousand</f>
        <v>3882.44481979407</v>
      </c>
      <c r="EL73" s="47" t="n">
        <f aca="false">EL72*EL71/Thousand</f>
        <v>3870.79748533469</v>
      </c>
      <c r="EM73" s="47" t="n">
        <f aca="false">EM72*EM71/Thousand</f>
        <v>3867.01083562077</v>
      </c>
      <c r="EN73" s="47" t="n">
        <f aca="false">EN72*EN71/Thousand</f>
        <v>3867.01083562077</v>
      </c>
      <c r="EO73" s="47" t="n">
        <f aca="false">EO72*EO71/Thousand</f>
        <v>3909.50546018804</v>
      </c>
    </row>
    <row r="74" customFormat="false" ht="15" hidden="false" customHeight="false" outlineLevel="0" collapsed="false">
      <c r="C74" s="0" t="s">
        <v>442</v>
      </c>
      <c r="D74" s="11" t="s">
        <v>33</v>
      </c>
      <c r="I74" s="47" t="n">
        <f aca="false">SUM(J74:EO74)</f>
        <v>-29733.4185659025</v>
      </c>
      <c r="J74" s="47" t="n">
        <f aca="false">-In_Var_Opex*J72*J70/Thousand</f>
        <v>-0</v>
      </c>
      <c r="K74" s="47" t="n">
        <f aca="false">-In_Var_Opex*K72*K70/Thousand</f>
        <v>-0</v>
      </c>
      <c r="L74" s="47" t="n">
        <f aca="false">-In_Var_Opex*L72*L70/Thousand</f>
        <v>-0</v>
      </c>
      <c r="M74" s="47" t="n">
        <f aca="false">-In_Var_Opex*M72*M70/Thousand</f>
        <v>-0</v>
      </c>
      <c r="N74" s="47" t="n">
        <f aca="false">-In_Var_Opex*N72*N70/Thousand</f>
        <v>-0</v>
      </c>
      <c r="O74" s="47" t="n">
        <f aca="false">-In_Var_Opex*O72*O70/Thousand</f>
        <v>-0</v>
      </c>
      <c r="P74" s="47" t="n">
        <f aca="false">-In_Var_Opex*P72*P70/Thousand</f>
        <v>-0</v>
      </c>
      <c r="Q74" s="47" t="n">
        <f aca="false">-In_Var_Opex*Q72*Q70/Thousand</f>
        <v>-0</v>
      </c>
      <c r="R74" s="47" t="n">
        <f aca="false">-In_Var_Opex*R72*R70/Thousand</f>
        <v>-0</v>
      </c>
      <c r="S74" s="47" t="n">
        <f aca="false">-In_Var_Opex*S72*S70/Thousand</f>
        <v>-0</v>
      </c>
      <c r="T74" s="47" t="n">
        <f aca="false">-In_Var_Opex*T72*T70/Thousand</f>
        <v>-0</v>
      </c>
      <c r="U74" s="47" t="n">
        <f aca="false">-In_Var_Opex*U72*U70/Thousand</f>
        <v>-0</v>
      </c>
      <c r="V74" s="47" t="n">
        <f aca="false">-In_Var_Opex*V72*V70/Thousand</f>
        <v>-0</v>
      </c>
      <c r="W74" s="47" t="n">
        <f aca="false">-In_Var_Opex*W72*W70/Thousand</f>
        <v>-0</v>
      </c>
      <c r="X74" s="47" t="n">
        <f aca="false">-In_Var_Opex*X72*X70/Thousand</f>
        <v>-0</v>
      </c>
      <c r="Y74" s="47" t="n">
        <f aca="false">-In_Var_Opex*Y72*Y70/Thousand</f>
        <v>-0</v>
      </c>
      <c r="Z74" s="47" t="n">
        <f aca="false">-In_Var_Opex*Z72*Z70/Thousand</f>
        <v>-175.812</v>
      </c>
      <c r="AA74" s="47" t="n">
        <f aca="false">-In_Var_Opex*AA72*AA70/Thousand</f>
        <v>-176.28975</v>
      </c>
      <c r="AB74" s="47" t="n">
        <f aca="false">-In_Var_Opex*AB72*AB70/Thousand</f>
        <v>-178.248525</v>
      </c>
      <c r="AC74" s="47" t="n">
        <f aca="false">-In_Var_Opex*AC72*AC70/Thousand</f>
        <v>-180.2073</v>
      </c>
      <c r="AD74" s="47" t="n">
        <f aca="false">-In_Var_Opex*AD72*AD70/Thousand</f>
        <v>-179.6666781</v>
      </c>
      <c r="AE74" s="47" t="n">
        <f aca="false">-In_Var_Opex*AE72*AE70/Thousand</f>
        <v>-182.156623910625</v>
      </c>
      <c r="AF74" s="47" t="n">
        <f aca="false">-In_Var_Opex*AF72*AF70/Thousand</f>
        <v>-182.156623910625</v>
      </c>
      <c r="AG74" s="47" t="n">
        <f aca="false">-In_Var_Opex*AG72*AG70/Thousand</f>
        <v>-184.1583450525</v>
      </c>
      <c r="AH74" s="47" t="n">
        <f aca="false">-In_Var_Opex*AH72*AH70/Thousand</f>
        <v>-183.605870017343</v>
      </c>
      <c r="AI74" s="47" t="n">
        <f aca="false">-In_Var_Opex*AI72*AI70/Thousand</f>
        <v>-184.104799011955</v>
      </c>
      <c r="AJ74" s="47" t="n">
        <f aca="false">-In_Var_Opex*AJ72*AJ70/Thousand</f>
        <v>-186.150407889865</v>
      </c>
      <c r="AK74" s="47" t="n">
        <f aca="false">-In_Var_Opex*AK72*AK70/Thousand</f>
        <v>-188.196016767776</v>
      </c>
      <c r="AL74" s="47" t="n">
        <f aca="false">-In_Var_Opex*AL72*AL70/Thousand</f>
        <v>-187.631428717473</v>
      </c>
      <c r="AM74" s="47" t="n">
        <f aca="false">-In_Var_Opex*AM72*AM70/Thousand</f>
        <v>-188.141296730292</v>
      </c>
      <c r="AN74" s="47" t="n">
        <f aca="false">-In_Var_Opex*AN72*AN70/Thousand</f>
        <v>-190.231755582851</v>
      </c>
      <c r="AO74" s="47" t="n">
        <f aca="false">-In_Var_Opex*AO72*AO70/Thousand</f>
        <v>-192.32221443541</v>
      </c>
      <c r="AP74" s="47" t="n">
        <f aca="false">-In_Var_Opex*AP72*AP70/Thousand</f>
        <v>-191.745247792103</v>
      </c>
      <c r="AQ74" s="47" t="n">
        <f aca="false">-In_Var_Opex*AQ72*AQ70/Thousand</f>
        <v>-192.266294661104</v>
      </c>
      <c r="AR74" s="47" t="n">
        <f aca="false">-In_Var_Opex*AR72*AR70/Thousand</f>
        <v>-194.402586824005</v>
      </c>
      <c r="AS74" s="47" t="n">
        <f aca="false">-In_Var_Opex*AS72*AS70/Thousand</f>
        <v>-196.538878986906</v>
      </c>
      <c r="AT74" s="47" t="n">
        <f aca="false">-In_Var_Opex*AT72*AT70/Thousand</f>
        <v>-195.949262349945</v>
      </c>
      <c r="AU74" s="47" t="n">
        <f aca="false">-In_Var_Opex*AU72*AU70/Thousand</f>
        <v>-198.664863540121</v>
      </c>
      <c r="AV74" s="47" t="n">
        <f aca="false">-In_Var_Opex*AV72*AV70/Thousand</f>
        <v>-198.664863540121</v>
      </c>
      <c r="AW74" s="47" t="n">
        <f aca="false">-In_Var_Opex*AW72*AW70/Thousand</f>
        <v>-200.847993908694</v>
      </c>
      <c r="AX74" s="47" t="n">
        <f aca="false">-In_Var_Opex*AX72*AX70/Thousand</f>
        <v>-200.245449926968</v>
      </c>
      <c r="AY74" s="47" t="n">
        <f aca="false">-In_Var_Opex*AY72*AY70/Thousand</f>
        <v>-200.789595171334</v>
      </c>
      <c r="AZ74" s="47" t="n">
        <f aca="false">-In_Var_Opex*AZ72*AZ70/Thousand</f>
        <v>-203.020590673238</v>
      </c>
      <c r="BA74" s="47" t="n">
        <f aca="false">-In_Var_Opex*BA72*BA70/Thousand</f>
        <v>-205.251586175142</v>
      </c>
      <c r="BB74" s="47" t="n">
        <f aca="false">-In_Var_Opex*BB72*BB70/Thousand</f>
        <v>-204.635831416616</v>
      </c>
      <c r="BC74" s="47" t="n">
        <f aca="false">-In_Var_Opex*BC72*BC70/Thousand</f>
        <v>-205.191907045466</v>
      </c>
      <c r="BD74" s="47" t="n">
        <f aca="false">-In_Var_Opex*BD72*BD70/Thousand</f>
        <v>-207.471817123749</v>
      </c>
      <c r="BE74" s="47" t="n">
        <f aca="false">-In_Var_Opex*BE72*BE70/Thousand</f>
        <v>-209.751727202032</v>
      </c>
      <c r="BF74" s="47" t="n">
        <f aca="false">-In_Var_Opex*BF72*BF70/Thousand</f>
        <v>-209.122472020426</v>
      </c>
      <c r="BG74" s="47" t="n">
        <f aca="false">-In_Var_Opex*BG72*BG70/Thousand</f>
        <v>-209.690739607438</v>
      </c>
      <c r="BH74" s="47" t="n">
        <f aca="false">-In_Var_Opex*BH72*BH70/Thousand</f>
        <v>-212.020636714187</v>
      </c>
      <c r="BI74" s="47" t="n">
        <f aca="false">-In_Var_Opex*BI72*BI70/Thousand</f>
        <v>-214.350533820936</v>
      </c>
      <c r="BJ74" s="47" t="n">
        <f aca="false">-In_Var_Opex*BJ72*BJ70/Thousand</f>
        <v>-213.707482219474</v>
      </c>
      <c r="BK74" s="47" t="n">
        <f aca="false">-In_Var_Opex*BK72*BK70/Thousand</f>
        <v>-216.669189174146</v>
      </c>
      <c r="BL74" s="47" t="n">
        <f aca="false">-In_Var_Opex*BL72*BL70/Thousand</f>
        <v>-216.669189174146</v>
      </c>
      <c r="BM74" s="47" t="n">
        <f aca="false">-In_Var_Opex*BM72*BM70/Thousand</f>
        <v>-219.05016927496</v>
      </c>
      <c r="BN74" s="47" t="n">
        <f aca="false">-In_Var_Opex*BN72*BN70/Thousand</f>
        <v>-218.393018767136</v>
      </c>
      <c r="BO74" s="47" t="n">
        <f aca="false">-In_Var_Opex*BO72*BO70/Thousand</f>
        <v>-218.986478057264</v>
      </c>
      <c r="BP74" s="47" t="n">
        <f aca="false">-In_Var_Opex*BP72*BP70/Thousand</f>
        <v>-221.419661146789</v>
      </c>
      <c r="BQ74" s="47" t="n">
        <f aca="false">-In_Var_Opex*BQ72*BQ70/Thousand</f>
        <v>-223.852844236314</v>
      </c>
      <c r="BR74" s="47" t="n">
        <f aca="false">-In_Var_Opex*BR72*BR70/Thousand</f>
        <v>-223.181285703605</v>
      </c>
      <c r="BS74" s="47" t="n">
        <f aca="false">-In_Var_Opex*BS72*BS70/Thousand</f>
        <v>-223.787756588669</v>
      </c>
      <c r="BT74" s="47" t="n">
        <f aca="false">-In_Var_Opex*BT72*BT70/Thousand</f>
        <v>-226.274287217432</v>
      </c>
      <c r="BU74" s="47" t="n">
        <f aca="false">-In_Var_Opex*BU72*BU70/Thousand</f>
        <v>-228.760817846195</v>
      </c>
      <c r="BV74" s="47" t="n">
        <f aca="false">-In_Var_Opex*BV72*BV70/Thousand</f>
        <v>-228.074535392656</v>
      </c>
      <c r="BW74" s="47" t="n">
        <f aca="false">-In_Var_Opex*BW72*BW70/Thousand</f>
        <v>-228.694303151876</v>
      </c>
      <c r="BX74" s="47" t="n">
        <f aca="false">-In_Var_Opex*BX72*BX70/Thousand</f>
        <v>-231.235350964674</v>
      </c>
      <c r="BY74" s="47" t="n">
        <f aca="false">-In_Var_Opex*BY72*BY70/Thousand</f>
        <v>-233.776398777473</v>
      </c>
      <c r="BZ74" s="47" t="n">
        <f aca="false">-In_Var_Opex*BZ72*BZ70/Thousand</f>
        <v>-233.07506958114</v>
      </c>
      <c r="CA74" s="47" t="n">
        <f aca="false">-In_Var_Opex*CA72*CA70/Thousand</f>
        <v>-236.305186034575</v>
      </c>
      <c r="CB74" s="47" t="n">
        <f aca="false">-In_Var_Opex*CB72*CB70/Thousand</f>
        <v>-236.305186034575</v>
      </c>
      <c r="CC74" s="47" t="n">
        <f aca="false">-In_Var_Opex*CC72*CC70/Thousand</f>
        <v>-238.901946320669</v>
      </c>
      <c r="CD74" s="47" t="n">
        <f aca="false">-In_Var_Opex*CD72*CD70/Thousand</f>
        <v>-238.185240481707</v>
      </c>
      <c r="CE74" s="47" t="n">
        <f aca="false">-In_Var_Opex*CE72*CE70/Thousand</f>
        <v>-238.832482983016</v>
      </c>
      <c r="CF74" s="47" t="n">
        <f aca="false">-In_Var_Opex*CF72*CF70/Thousand</f>
        <v>-241.486177238383</v>
      </c>
      <c r="CG74" s="47" t="n">
        <f aca="false">-In_Var_Opex*CG72*CG70/Thousand</f>
        <v>-244.13987149375</v>
      </c>
      <c r="CH74" s="47" t="n">
        <f aca="false">-In_Var_Opex*CH72*CH70/Thousand</f>
        <v>-243.407451879268</v>
      </c>
      <c r="CI74" s="47" t="n">
        <f aca="false">-In_Var_Opex*CI72*CI70/Thousand</f>
        <v>-244.068885172418</v>
      </c>
      <c r="CJ74" s="47" t="n">
        <f aca="false">-In_Var_Opex*CJ72*CJ70/Thousand</f>
        <v>-246.780761674334</v>
      </c>
      <c r="CK74" s="47" t="n">
        <f aca="false">-In_Var_Opex*CK72*CK70/Thousand</f>
        <v>-249.49263817625</v>
      </c>
      <c r="CL74" s="47" t="n">
        <f aca="false">-In_Var_Opex*CL72*CL70/Thousand</f>
        <v>-248.744160261721</v>
      </c>
      <c r="CM74" s="47" t="n">
        <f aca="false">-In_Var_Opex*CM72*CM70/Thousand</f>
        <v>-249.420095479824</v>
      </c>
      <c r="CN74" s="47" t="n">
        <f aca="false">-In_Var_Opex*CN72*CN70/Thousand</f>
        <v>-252.191429874044</v>
      </c>
      <c r="CO74" s="47" t="n">
        <f aca="false">-In_Var_Opex*CO72*CO70/Thousand</f>
        <v>-254.962764268264</v>
      </c>
      <c r="CP74" s="47" t="n">
        <f aca="false">-In_Var_Opex*CP72*CP70/Thousand</f>
        <v>-254.197875975459</v>
      </c>
      <c r="CQ74" s="47" t="n">
        <f aca="false">-In_Var_Opex*CQ72*CQ70/Thousand</f>
        <v>-257.720726974032</v>
      </c>
      <c r="CR74" s="47" t="n">
        <f aca="false">-In_Var_Opex*CR72*CR70/Thousand</f>
        <v>-257.720726974032</v>
      </c>
      <c r="CS74" s="47" t="n">
        <f aca="false">-In_Var_Opex*CS72*CS70/Thousand</f>
        <v>-260.552822874846</v>
      </c>
      <c r="CT74" s="47" t="n">
        <f aca="false">-In_Var_Opex*CT72*CT70/Thousand</f>
        <v>-259.771164406221</v>
      </c>
      <c r="CU74" s="47" t="n">
        <f aca="false">-In_Var_Opex*CU72*CU70/Thousand</f>
        <v>-260.477064309499</v>
      </c>
      <c r="CV74" s="47" t="n">
        <f aca="false">-In_Var_Opex*CV72*CV70/Thousand</f>
        <v>-263.371253912938</v>
      </c>
      <c r="CW74" s="47" t="n">
        <f aca="false">-In_Var_Opex*CW72*CW70/Thousand</f>
        <v>-266.265443516377</v>
      </c>
      <c r="CX74" s="47" t="n">
        <f aca="false">-In_Var_Opex*CX72*CX70/Thousand</f>
        <v>-265.466647185828</v>
      </c>
      <c r="CY74" s="47" t="n">
        <f aca="false">-In_Var_Opex*CY72*CY70/Thousand</f>
        <v>-266.188023944485</v>
      </c>
      <c r="CZ74" s="47" t="n">
        <f aca="false">-In_Var_Opex*CZ72*CZ70/Thousand</f>
        <v>-269.145668654979</v>
      </c>
      <c r="DA74" s="47" t="n">
        <f aca="false">-In_Var_Opex*DA72*DA70/Thousand</f>
        <v>-272.103313365473</v>
      </c>
      <c r="DB74" s="47" t="n">
        <f aca="false">-In_Var_Opex*DB72*DB70/Thousand</f>
        <v>-271.287003425377</v>
      </c>
      <c r="DC74" s="47" t="n">
        <f aca="false">-In_Var_Opex*DC72*DC70/Thousand</f>
        <v>-272.024196369468</v>
      </c>
      <c r="DD74" s="47" t="n">
        <f aca="false">-In_Var_Opex*DD72*DD70/Thousand</f>
        <v>-275.04668744024</v>
      </c>
      <c r="DE74" s="47" t="n">
        <f aca="false">-In_Var_Opex*DE72*DE70/Thousand</f>
        <v>-278.069178511011</v>
      </c>
      <c r="DF74" s="47" t="n">
        <f aca="false">-In_Var_Opex*DF72*DF70/Thousand</f>
        <v>-277.234970975478</v>
      </c>
      <c r="DG74" s="47" t="n">
        <f aca="false">-In_Var_Opex*DG72*DG70/Thousand</f>
        <v>-281.077086062367</v>
      </c>
      <c r="DH74" s="47" t="n">
        <f aca="false">-In_Var_Opex*DH72*DH70/Thousand</f>
        <v>-281.077086062367</v>
      </c>
      <c r="DI74" s="47" t="n">
        <f aca="false">-In_Var_Opex*DI72*DI70/Thousand</f>
        <v>-284.165845249865</v>
      </c>
      <c r="DJ74" s="47" t="n">
        <f aca="false">-In_Var_Opex*DJ72*DJ70/Thousand</f>
        <v>-283.313347714116</v>
      </c>
      <c r="DK74" s="47" t="n">
        <f aca="false">-In_Var_Opex*DK72*DK70/Thousand</f>
        <v>-284.0832209416</v>
      </c>
      <c r="DL74" s="47" t="n">
        <f aca="false">-In_Var_Opex*DL72*DL70/Thousand</f>
        <v>-287.239701174284</v>
      </c>
      <c r="DM74" s="47" t="n">
        <f aca="false">-In_Var_Opex*DM72*DM70/Thousand</f>
        <v>-290.396181406969</v>
      </c>
      <c r="DN74" s="47" t="n">
        <f aca="false">-In_Var_Opex*DN72*DN70/Thousand</f>
        <v>-289.524992862748</v>
      </c>
      <c r="DO74" s="47" t="n">
        <f aca="false">-In_Var_Opex*DO72*DO70/Thousand</f>
        <v>-290.311745560744</v>
      </c>
      <c r="DP74" s="47" t="n">
        <f aca="false">-In_Var_Opex*DP72*DP70/Thousand</f>
        <v>-293.53743162253</v>
      </c>
      <c r="DQ74" s="47" t="n">
        <f aca="false">-In_Var_Opex*DQ72*DQ70/Thousand</f>
        <v>-296.763117684316</v>
      </c>
      <c r="DR74" s="47" t="n">
        <f aca="false">-In_Var_Opex*DR72*DR70/Thousand</f>
        <v>-295.872828331263</v>
      </c>
      <c r="DS74" s="47" t="n">
        <f aca="false">-In_Var_Opex*DS72*DS70/Thousand</f>
        <v>-296.676830582163</v>
      </c>
      <c r="DT74" s="47" t="n">
        <f aca="false">-In_Var_Opex*DT72*DT70/Thousand</f>
        <v>-299.973239810854</v>
      </c>
      <c r="DU74" s="47" t="n">
        <f aca="false">-In_Var_Opex*DU72*DU70/Thousand</f>
        <v>-303.269649039545</v>
      </c>
      <c r="DV74" s="47" t="n">
        <f aca="false">-In_Var_Opex*DV72*DV70/Thousand</f>
        <v>-302.359840092426</v>
      </c>
      <c r="DW74" s="47" t="n">
        <f aca="false">-In_Var_Opex*DW72*DW70/Thousand</f>
        <v>-306.550153093707</v>
      </c>
      <c r="DX74" s="47" t="n">
        <f aca="false">-In_Var_Opex*DX72*DX70/Thousand</f>
        <v>-306.550153093707</v>
      </c>
      <c r="DY74" s="47" t="n">
        <f aca="false">-In_Var_Opex*DY72*DY70/Thousand</f>
        <v>-309.918836094737</v>
      </c>
      <c r="DZ74" s="47" t="n">
        <f aca="false">-In_Var_Opex*DZ72*DZ70/Thousand</f>
        <v>-308.989079586453</v>
      </c>
      <c r="EA74" s="47" t="n">
        <f aca="false">-In_Var_Opex*EA72*EA70/Thousand</f>
        <v>-309.828723824459</v>
      </c>
      <c r="EB74" s="47" t="n">
        <f aca="false">-In_Var_Opex*EB72*EB70/Thousand</f>
        <v>-313.271265200287</v>
      </c>
      <c r="EC74" s="47" t="n">
        <f aca="false">-In_Var_Opex*EC72*EC70/Thousand</f>
        <v>-316.713806576114</v>
      </c>
      <c r="ED74" s="47" t="n">
        <f aca="false">-In_Var_Opex*ED72*ED70/Thousand</f>
        <v>-315.763665156386</v>
      </c>
      <c r="EE74" s="47" t="n">
        <f aca="false">-In_Var_Opex*EE72*EE70/Thousand</f>
        <v>-316.621718594311</v>
      </c>
      <c r="EF74" s="47" t="n">
        <f aca="false">-In_Var_Opex*EF72*EF70/Thousand</f>
        <v>-320.139737689803</v>
      </c>
      <c r="EG74" s="47" t="n">
        <f aca="false">-In_Var_Opex*EG72*EG70/Thousand</f>
        <v>-323.657756785295</v>
      </c>
      <c r="EH74" s="47" t="n">
        <f aca="false">-In_Var_Opex*EH72*EH70/Thousand</f>
        <v>-322.686783514939</v>
      </c>
      <c r="EI74" s="47" t="n">
        <f aca="false">-In_Var_Opex*EI72*EI70/Thousand</f>
        <v>-323.563649774491</v>
      </c>
      <c r="EJ74" s="47" t="n">
        <f aca="false">-In_Var_Opex*EJ72*EJ70/Thousand</f>
        <v>-327.158801438652</v>
      </c>
      <c r="EK74" s="47" t="n">
        <f aca="false">-In_Var_Opex*EK72*EK70/Thousand</f>
        <v>-330.753953102813</v>
      </c>
      <c r="EL74" s="47" t="n">
        <f aca="false">-In_Var_Opex*EL72*EL70/Thousand</f>
        <v>-329.761691243504</v>
      </c>
      <c r="EM74" s="47" t="n">
        <f aca="false">-In_Var_Opex*EM72*EM70/Thousand</f>
        <v>-334.331758160194</v>
      </c>
      <c r="EN74" s="47" t="n">
        <f aca="false">-In_Var_Opex*EN72*EN70/Thousand</f>
        <v>-334.331758160194</v>
      </c>
      <c r="EO74" s="47" t="n">
        <f aca="false">-In_Var_Opex*EO72*EO70/Thousand</f>
        <v>-338.005733524592</v>
      </c>
    </row>
    <row r="75" customFormat="false" ht="15" hidden="false" customHeight="false" outlineLevel="0" collapsed="false">
      <c r="C75" s="0" t="s">
        <v>443</v>
      </c>
      <c r="D75" s="11" t="s">
        <v>33</v>
      </c>
      <c r="I75" s="47" t="n">
        <f aca="false">SUM(J75:EO75)</f>
        <v>-60869.5202640337</v>
      </c>
      <c r="J75" s="47" t="n">
        <f aca="false">-(In_Fixed_Opex*$F25+In_Admin)*J70*J16*J$6</f>
        <v>-0</v>
      </c>
      <c r="K75" s="47" t="n">
        <f aca="false">-(In_Fixed_Opex*$F25+In_Admin)*K70*K16*K$6</f>
        <v>-0</v>
      </c>
      <c r="L75" s="47" t="n">
        <f aca="false">-(In_Fixed_Opex*$F25+In_Admin)*L70*L16*L$6</f>
        <v>-0</v>
      </c>
      <c r="M75" s="47" t="n">
        <f aca="false">-(In_Fixed_Opex*$F25+In_Admin)*M70*M16*M$6</f>
        <v>-0</v>
      </c>
      <c r="N75" s="47" t="n">
        <f aca="false">-(In_Fixed_Opex*$F25+In_Admin)*N70*N16*N$6</f>
        <v>-0</v>
      </c>
      <c r="O75" s="47" t="n">
        <f aca="false">-(In_Fixed_Opex*$F25+In_Admin)*O70*O16*O$6</f>
        <v>-0</v>
      </c>
      <c r="P75" s="47" t="n">
        <f aca="false">-(In_Fixed_Opex*$F25+In_Admin)*P70*P16*P$6</f>
        <v>-0</v>
      </c>
      <c r="Q75" s="47" t="n">
        <f aca="false">-(In_Fixed_Opex*$F25+In_Admin)*Q70*Q16*Q$6</f>
        <v>-0</v>
      </c>
      <c r="R75" s="47" t="n">
        <f aca="false">-(In_Fixed_Opex*$F25+In_Admin)*R70*R16*R$6</f>
        <v>-0</v>
      </c>
      <c r="S75" s="47" t="n">
        <f aca="false">-(In_Fixed_Opex*$F25+In_Admin)*S70*S16*S$6</f>
        <v>-0</v>
      </c>
      <c r="T75" s="47" t="n">
        <f aca="false">-(In_Fixed_Opex*$F25+In_Admin)*T70*T16*T$6</f>
        <v>-0</v>
      </c>
      <c r="U75" s="47" t="n">
        <f aca="false">-(In_Fixed_Opex*$F25+In_Admin)*U70*U16*U$6</f>
        <v>-0</v>
      </c>
      <c r="V75" s="47" t="n">
        <f aca="false">-(In_Fixed_Opex*$F25+In_Admin)*V70*V16*V$6</f>
        <v>-0</v>
      </c>
      <c r="W75" s="47" t="n">
        <f aca="false">-(In_Fixed_Opex*$F25+In_Admin)*W70*W16*W$6</f>
        <v>-0</v>
      </c>
      <c r="X75" s="47" t="n">
        <f aca="false">-(In_Fixed_Opex*$F25+In_Admin)*X70*X16*X$6</f>
        <v>-0</v>
      </c>
      <c r="Y75" s="47" t="n">
        <f aca="false">-(In_Fixed_Opex*$F25+In_Admin)*Y70*Y16*Y$6</f>
        <v>-0</v>
      </c>
      <c r="Z75" s="47" t="n">
        <f aca="false">-(In_Fixed_Opex*$F25+In_Admin)*Z70*Z16*Z$6</f>
        <v>-342.794520547945</v>
      </c>
      <c r="AA75" s="47" t="n">
        <f aca="false">-(In_Fixed_Opex*$F25+In_Admin)*AA70*AA16*AA$6</f>
        <v>-343.72602739726</v>
      </c>
      <c r="AB75" s="47" t="n">
        <f aca="false">-(In_Fixed_Opex*$F25+In_Admin)*AB70*AB16*AB$6</f>
        <v>-347.545205479452</v>
      </c>
      <c r="AC75" s="47" t="n">
        <f aca="false">-(In_Fixed_Opex*$F25+In_Admin)*AC70*AC16*AC$6</f>
        <v>-351.364383561644</v>
      </c>
      <c r="AD75" s="47" t="n">
        <f aca="false">-(In_Fixed_Opex*$F25+In_Admin)*AD70*AD16*AD$6</f>
        <v>-351.364383561644</v>
      </c>
      <c r="AE75" s="47" t="n">
        <f aca="false">-(In_Fixed_Opex*$F25+In_Admin)*AE70*AE16*AE$6</f>
        <v>-356.233835616438</v>
      </c>
      <c r="AF75" s="47" t="n">
        <f aca="false">-(In_Fixed_Opex*$F25+In_Admin)*AF70*AF16*AF$6</f>
        <v>-356.233835616438</v>
      </c>
      <c r="AG75" s="47" t="n">
        <f aca="false">-(In_Fixed_Opex*$F25+In_Admin)*AG70*AG16*AG$6</f>
        <v>-360.148493150685</v>
      </c>
      <c r="AH75" s="47" t="n">
        <f aca="false">-(In_Fixed_Opex*$F25+In_Admin)*AH70*AH16*AH$6</f>
        <v>-360.148493150685</v>
      </c>
      <c r="AI75" s="47" t="n">
        <f aca="false">-(In_Fixed_Opex*$F25+In_Admin)*AI70*AI16*AI$6</f>
        <v>-361.127157534246</v>
      </c>
      <c r="AJ75" s="47" t="n">
        <f aca="false">-(In_Fixed_Opex*$F25+In_Admin)*AJ70*AJ16*AJ$6</f>
        <v>-365.139681506849</v>
      </c>
      <c r="AK75" s="47" t="n">
        <f aca="false">-(In_Fixed_Opex*$F25+In_Admin)*AK70*AK16*AK$6</f>
        <v>-369.152205479452</v>
      </c>
      <c r="AL75" s="47" t="n">
        <f aca="false">-(In_Fixed_Opex*$F25+In_Admin)*AL70*AL16*AL$6</f>
        <v>-369.152205479452</v>
      </c>
      <c r="AM75" s="47" t="n">
        <f aca="false">-(In_Fixed_Opex*$F25+In_Admin)*AM70*AM16*AM$6</f>
        <v>-370.155336472603</v>
      </c>
      <c r="AN75" s="47" t="n">
        <f aca="false">-(In_Fixed_Opex*$F25+In_Admin)*AN70*AN16*AN$6</f>
        <v>-374.268173544521</v>
      </c>
      <c r="AO75" s="47" t="n">
        <f aca="false">-(In_Fixed_Opex*$F25+In_Admin)*AO70*AO16*AO$6</f>
        <v>-378.381010616438</v>
      </c>
      <c r="AP75" s="47" t="n">
        <f aca="false">-(In_Fixed_Opex*$F25+In_Admin)*AP70*AP16*AP$6</f>
        <v>-378.381010616438</v>
      </c>
      <c r="AQ75" s="47" t="n">
        <f aca="false">-(In_Fixed_Opex*$F25+In_Admin)*AQ70*AQ16*AQ$6</f>
        <v>-379.409219884418</v>
      </c>
      <c r="AR75" s="47" t="n">
        <f aca="false">-(In_Fixed_Opex*$F25+In_Admin)*AR70*AR16*AR$6</f>
        <v>-383.624877883134</v>
      </c>
      <c r="AS75" s="47" t="n">
        <f aca="false">-(In_Fixed_Opex*$F25+In_Admin)*AS70*AS16*AS$6</f>
        <v>-387.840535881849</v>
      </c>
      <c r="AT75" s="47" t="n">
        <f aca="false">-(In_Fixed_Opex*$F25+In_Admin)*AT70*AT16*AT$6</f>
        <v>-387.840535881849</v>
      </c>
      <c r="AU75" s="47" t="n">
        <f aca="false">-(In_Fixed_Opex*$F25+In_Admin)*AU70*AU16*AU$6</f>
        <v>-393.215499830212</v>
      </c>
      <c r="AV75" s="47" t="n">
        <f aca="false">-(In_Fixed_Opex*$F25+In_Admin)*AV70*AV16*AV$6</f>
        <v>-393.215499830212</v>
      </c>
      <c r="AW75" s="47" t="n">
        <f aca="false">-(In_Fixed_Opex*$F25+In_Admin)*AW70*AW16*AW$6</f>
        <v>-397.536549278895</v>
      </c>
      <c r="AX75" s="47" t="n">
        <f aca="false">-(In_Fixed_Opex*$F25+In_Admin)*AX70*AX16*AX$6</f>
        <v>-397.536549278895</v>
      </c>
      <c r="AY75" s="47" t="n">
        <f aca="false">-(In_Fixed_Opex*$F25+In_Admin)*AY70*AY16*AY$6</f>
        <v>-398.616811641066</v>
      </c>
      <c r="AZ75" s="47" t="n">
        <f aca="false">-(In_Fixed_Opex*$F25+In_Admin)*AZ70*AZ16*AZ$6</f>
        <v>-403.045887325967</v>
      </c>
      <c r="BA75" s="47" t="n">
        <f aca="false">-(In_Fixed_Opex*$F25+In_Admin)*BA70*BA16*BA$6</f>
        <v>-407.474963010868</v>
      </c>
      <c r="BB75" s="47" t="n">
        <f aca="false">-(In_Fixed_Opex*$F25+In_Admin)*BB70*BB16*BB$6</f>
        <v>-407.474963010868</v>
      </c>
      <c r="BC75" s="47" t="n">
        <f aca="false">-(In_Fixed_Opex*$F25+In_Admin)*BC70*BC16*BC$6</f>
        <v>-408.582231932093</v>
      </c>
      <c r="BD75" s="47" t="n">
        <f aca="false">-(In_Fixed_Opex*$F25+In_Admin)*BD70*BD16*BD$6</f>
        <v>-413.122034509116</v>
      </c>
      <c r="BE75" s="47" t="n">
        <f aca="false">-(In_Fixed_Opex*$F25+In_Admin)*BE70*BE16*BE$6</f>
        <v>-417.661837086139</v>
      </c>
      <c r="BF75" s="47" t="n">
        <f aca="false">-(In_Fixed_Opex*$F25+In_Admin)*BF70*BF16*BF$6</f>
        <v>-417.661837086139</v>
      </c>
      <c r="BG75" s="47" t="n">
        <f aca="false">-(In_Fixed_Opex*$F25+In_Admin)*BG70*BG16*BG$6</f>
        <v>-418.796787730395</v>
      </c>
      <c r="BH75" s="47" t="n">
        <f aca="false">-(In_Fixed_Opex*$F25+In_Admin)*BH70*BH16*BH$6</f>
        <v>-423.450085371844</v>
      </c>
      <c r="BI75" s="47" t="n">
        <f aca="false">-(In_Fixed_Opex*$F25+In_Admin)*BI70*BI16*BI$6</f>
        <v>-428.103383013293</v>
      </c>
      <c r="BJ75" s="47" t="n">
        <f aca="false">-(In_Fixed_Opex*$F25+In_Admin)*BJ70*BJ16*BJ$6</f>
        <v>-428.103383013293</v>
      </c>
      <c r="BK75" s="47" t="n">
        <f aca="false">-(In_Fixed_Opex*$F25+In_Admin)*BK70*BK16*BK$6</f>
        <v>-434.03633750614</v>
      </c>
      <c r="BL75" s="47" t="n">
        <f aca="false">-(In_Fixed_Opex*$F25+In_Admin)*BL70*BL16*BL$6</f>
        <v>-434.03633750614</v>
      </c>
      <c r="BM75" s="47" t="n">
        <f aca="false">-(In_Fixed_Opex*$F25+In_Admin)*BM70*BM16*BM$6</f>
        <v>-438.805967588625</v>
      </c>
      <c r="BN75" s="47" t="n">
        <f aca="false">-(In_Fixed_Opex*$F25+In_Admin)*BN70*BN16*BN$6</f>
        <v>-438.805967588625</v>
      </c>
      <c r="BO75" s="47" t="n">
        <f aca="false">-(In_Fixed_Opex*$F25+In_Admin)*BO70*BO16*BO$6</f>
        <v>-439.998375109246</v>
      </c>
      <c r="BP75" s="47" t="n">
        <f aca="false">-(In_Fixed_Opex*$F25+In_Admin)*BP70*BP16*BP$6</f>
        <v>-444.887245943794</v>
      </c>
      <c r="BQ75" s="47" t="n">
        <f aca="false">-(In_Fixed_Opex*$F25+In_Admin)*BQ70*BQ16*BQ$6</f>
        <v>-449.776116778341</v>
      </c>
      <c r="BR75" s="47" t="n">
        <f aca="false">-(In_Fixed_Opex*$F25+In_Admin)*BR70*BR16*BR$6</f>
        <v>-449.776116778341</v>
      </c>
      <c r="BS75" s="47" t="n">
        <f aca="false">-(In_Fixed_Opex*$F25+In_Admin)*BS70*BS16*BS$6</f>
        <v>-450.998334486977</v>
      </c>
      <c r="BT75" s="47" t="n">
        <f aca="false">-(In_Fixed_Opex*$F25+In_Admin)*BT70*BT16*BT$6</f>
        <v>-456.009427092388</v>
      </c>
      <c r="BU75" s="47" t="n">
        <f aca="false">-(In_Fixed_Opex*$F25+In_Admin)*BU70*BU16*BU$6</f>
        <v>-461.020519697799</v>
      </c>
      <c r="BV75" s="47" t="n">
        <f aca="false">-(In_Fixed_Opex*$F25+In_Admin)*BV70*BV16*BV$6</f>
        <v>-461.020519697799</v>
      </c>
      <c r="BW75" s="47" t="n">
        <f aca="false">-(In_Fixed_Opex*$F25+In_Admin)*BW70*BW16*BW$6</f>
        <v>-462.273292849152</v>
      </c>
      <c r="BX75" s="47" t="n">
        <f aca="false">-(In_Fixed_Opex*$F25+In_Admin)*BX70*BX16*BX$6</f>
        <v>-467.409662769698</v>
      </c>
      <c r="BY75" s="47" t="n">
        <f aca="false">-(In_Fixed_Opex*$F25+In_Admin)*BY70*BY16*BY$6</f>
        <v>-472.546032690244</v>
      </c>
      <c r="BZ75" s="47" t="n">
        <f aca="false">-(In_Fixed_Opex*$F25+In_Admin)*BZ70*BZ16*BZ$6</f>
        <v>-472.546032690244</v>
      </c>
      <c r="CA75" s="47" t="n">
        <f aca="false">-(In_Fixed_Opex*$F25+In_Admin)*CA70*CA16*CA$6</f>
        <v>-479.09490433894</v>
      </c>
      <c r="CB75" s="47" t="n">
        <f aca="false">-(In_Fixed_Opex*$F25+In_Admin)*CB70*CB16*CB$6</f>
        <v>-479.09490433894</v>
      </c>
      <c r="CC75" s="47" t="n">
        <f aca="false">-(In_Fixed_Opex*$F25+In_Admin)*CC70*CC16*CC$6</f>
        <v>-484.3596835075</v>
      </c>
      <c r="CD75" s="47" t="n">
        <f aca="false">-(In_Fixed_Opex*$F25+In_Admin)*CD70*CD16*CD$6</f>
        <v>-484.3596835075</v>
      </c>
      <c r="CE75" s="47" t="n">
        <f aca="false">-(In_Fixed_Opex*$F25+In_Admin)*CE70*CE16*CE$6</f>
        <v>-485.67587829964</v>
      </c>
      <c r="CF75" s="47" t="n">
        <f aca="false">-(In_Fixed_Opex*$F25+In_Admin)*CF70*CF16*CF$6</f>
        <v>-491.072276947414</v>
      </c>
      <c r="CG75" s="47" t="n">
        <f aca="false">-(In_Fixed_Opex*$F25+In_Admin)*CG70*CG16*CG$6</f>
        <v>-496.468675595188</v>
      </c>
      <c r="CH75" s="47" t="n">
        <f aca="false">-(In_Fixed_Opex*$F25+In_Admin)*CH70*CH16*CH$6</f>
        <v>-496.468675595188</v>
      </c>
      <c r="CI75" s="47" t="n">
        <f aca="false">-(In_Fixed_Opex*$F25+In_Admin)*CI70*CI16*CI$6</f>
        <v>-497.817775257131</v>
      </c>
      <c r="CJ75" s="47" t="n">
        <f aca="false">-(In_Fixed_Opex*$F25+In_Admin)*CJ70*CJ16*CJ$6</f>
        <v>-503.349083871099</v>
      </c>
      <c r="CK75" s="47" t="n">
        <f aca="false">-(In_Fixed_Opex*$F25+In_Admin)*CK70*CK16*CK$6</f>
        <v>-508.880392485067</v>
      </c>
      <c r="CL75" s="47" t="n">
        <f aca="false">-(In_Fixed_Opex*$F25+In_Admin)*CL70*CL16*CL$6</f>
        <v>-508.880392485067</v>
      </c>
      <c r="CM75" s="47" t="n">
        <f aca="false">-(In_Fixed_Opex*$F25+In_Admin)*CM70*CM16*CM$6</f>
        <v>-510.263219638559</v>
      </c>
      <c r="CN75" s="47" t="n">
        <f aca="false">-(In_Fixed_Opex*$F25+In_Admin)*CN70*CN16*CN$6</f>
        <v>-515.932810967877</v>
      </c>
      <c r="CO75" s="47" t="n">
        <f aca="false">-(In_Fixed_Opex*$F25+In_Admin)*CO70*CO16*CO$6</f>
        <v>-521.602402297194</v>
      </c>
      <c r="CP75" s="47" t="n">
        <f aca="false">-(In_Fixed_Opex*$F25+In_Admin)*CP70*CP16*CP$6</f>
        <v>-521.602402297194</v>
      </c>
      <c r="CQ75" s="47" t="n">
        <f aca="false">-(In_Fixed_Opex*$F25+In_Admin)*CQ70*CQ16*CQ$6</f>
        <v>-528.831131242074</v>
      </c>
      <c r="CR75" s="47" t="n">
        <f aca="false">-(In_Fixed_Opex*$F25+In_Admin)*CR70*CR16*CR$6</f>
        <v>-528.831131242074</v>
      </c>
      <c r="CS75" s="47" t="n">
        <f aca="false">-(In_Fixed_Opex*$F25+In_Admin)*CS70*CS16*CS$6</f>
        <v>-534.642462354624</v>
      </c>
      <c r="CT75" s="47" t="n">
        <f aca="false">-(In_Fixed_Opex*$F25+In_Admin)*CT70*CT16*CT$6</f>
        <v>-534.642462354624</v>
      </c>
      <c r="CU75" s="47" t="n">
        <f aca="false">-(In_Fixed_Opex*$F25+In_Admin)*CU70*CU16*CU$6</f>
        <v>-536.095295132761</v>
      </c>
      <c r="CV75" s="47" t="n">
        <f aca="false">-(In_Fixed_Opex*$F25+In_Admin)*CV70*CV16*CV$6</f>
        <v>-542.051909523125</v>
      </c>
      <c r="CW75" s="47" t="n">
        <f aca="false">-(In_Fixed_Opex*$F25+In_Admin)*CW70*CW16*CW$6</f>
        <v>-548.008523913489</v>
      </c>
      <c r="CX75" s="47" t="n">
        <f aca="false">-(In_Fixed_Opex*$F25+In_Admin)*CX70*CX16*CX$6</f>
        <v>-548.008523913489</v>
      </c>
      <c r="CY75" s="47" t="n">
        <f aca="false">-(In_Fixed_Opex*$F25+In_Admin)*CY70*CY16*CY$6</f>
        <v>-549.49767751108</v>
      </c>
      <c r="CZ75" s="47" t="n">
        <f aca="false">-(In_Fixed_Opex*$F25+In_Admin)*CZ70*CZ16*CZ$6</f>
        <v>-555.603207261203</v>
      </c>
      <c r="DA75" s="47" t="n">
        <f aca="false">-(In_Fixed_Opex*$F25+In_Admin)*DA70*DA16*DA$6</f>
        <v>-561.708737011326</v>
      </c>
      <c r="DB75" s="47" t="n">
        <f aca="false">-(In_Fixed_Opex*$F25+In_Admin)*DB70*DB16*DB$6</f>
        <v>-561.708737011326</v>
      </c>
      <c r="DC75" s="47" t="n">
        <f aca="false">-(In_Fixed_Opex*$F25+In_Admin)*DC70*DC16*DC$6</f>
        <v>-563.235119448857</v>
      </c>
      <c r="DD75" s="47" t="n">
        <f aca="false">-(In_Fixed_Opex*$F25+In_Admin)*DD70*DD16*DD$6</f>
        <v>-569.493287442734</v>
      </c>
      <c r="DE75" s="47" t="n">
        <f aca="false">-(In_Fixed_Opex*$F25+In_Admin)*DE70*DE16*DE$6</f>
        <v>-575.75145543661</v>
      </c>
      <c r="DF75" s="47" t="n">
        <f aca="false">-(In_Fixed_Opex*$F25+In_Admin)*DF70*DF16*DF$6</f>
        <v>-575.75145543661</v>
      </c>
      <c r="DG75" s="47" t="n">
        <f aca="false">-(In_Fixed_Opex*$F25+In_Admin)*DG70*DG16*DG$6</f>
        <v>-583.730619628802</v>
      </c>
      <c r="DH75" s="47" t="n">
        <f aca="false">-(In_Fixed_Opex*$F25+In_Admin)*DH70*DH16*DH$6</f>
        <v>-583.730619628802</v>
      </c>
      <c r="DI75" s="47" t="n">
        <f aca="false">-(In_Fixed_Opex*$F25+In_Admin)*DI70*DI16*DI$6</f>
        <v>-590.145241822525</v>
      </c>
      <c r="DJ75" s="47" t="n">
        <f aca="false">-(In_Fixed_Opex*$F25+In_Admin)*DJ70*DJ16*DJ$6</f>
        <v>-590.145241822525</v>
      </c>
      <c r="DK75" s="47" t="n">
        <f aca="false">-(In_Fixed_Opex*$F25+In_Admin)*DK70*DK16*DK$6</f>
        <v>-591.748897370955</v>
      </c>
      <c r="DL75" s="47" t="n">
        <f aca="false">-(In_Fixed_Opex*$F25+In_Admin)*DL70*DL16*DL$6</f>
        <v>-598.323885119522</v>
      </c>
      <c r="DM75" s="47" t="n">
        <f aca="false">-(In_Fixed_Opex*$F25+In_Admin)*DM70*DM16*DM$6</f>
        <v>-604.898872868088</v>
      </c>
      <c r="DN75" s="47" t="n">
        <f aca="false">-(In_Fixed_Opex*$F25+In_Admin)*DN70*DN16*DN$6</f>
        <v>-604.898872868088</v>
      </c>
      <c r="DO75" s="47" t="n">
        <f aca="false">-(In_Fixed_Opex*$F25+In_Admin)*DO70*DO16*DO$6</f>
        <v>-606.542619805229</v>
      </c>
      <c r="DP75" s="47" t="n">
        <f aca="false">-(In_Fixed_Opex*$F25+In_Admin)*DP70*DP16*DP$6</f>
        <v>-613.28198224751</v>
      </c>
      <c r="DQ75" s="47" t="n">
        <f aca="false">-(In_Fixed_Opex*$F25+In_Admin)*DQ70*DQ16*DQ$6</f>
        <v>-620.02134468979</v>
      </c>
      <c r="DR75" s="47" t="n">
        <f aca="false">-(In_Fixed_Opex*$F25+In_Admin)*DR70*DR16*DR$6</f>
        <v>-620.02134468979</v>
      </c>
      <c r="DS75" s="47" t="n">
        <f aca="false">-(In_Fixed_Opex*$F25+In_Admin)*DS70*DS16*DS$6</f>
        <v>-621.70618530036</v>
      </c>
      <c r="DT75" s="47" t="n">
        <f aca="false">-(In_Fixed_Opex*$F25+In_Admin)*DT70*DT16*DT$6</f>
        <v>-628.614031803698</v>
      </c>
      <c r="DU75" s="47" t="n">
        <f aca="false">-(In_Fixed_Opex*$F25+In_Admin)*DU70*DU16*DU$6</f>
        <v>-635.521878307035</v>
      </c>
      <c r="DV75" s="47" t="n">
        <f aca="false">-(In_Fixed_Opex*$F25+In_Admin)*DV70*DV16*DV$6</f>
        <v>-635.521878307035</v>
      </c>
      <c r="DW75" s="47" t="n">
        <f aca="false">-(In_Fixed_Opex*$F25+In_Admin)*DW70*DW16*DW$6</f>
        <v>-644.32938259879</v>
      </c>
      <c r="DX75" s="47" t="n">
        <f aca="false">-(In_Fixed_Opex*$F25+In_Admin)*DX70*DX16*DX$6</f>
        <v>-644.32938259879</v>
      </c>
      <c r="DY75" s="47" t="n">
        <f aca="false">-(In_Fixed_Opex*$F25+In_Admin)*DY70*DY16*DY$6</f>
        <v>-651.409925264711</v>
      </c>
      <c r="DZ75" s="47" t="n">
        <f aca="false">-(In_Fixed_Opex*$F25+In_Admin)*DZ70*DZ16*DZ$6</f>
        <v>-651.409925264711</v>
      </c>
      <c r="EA75" s="47" t="n">
        <f aca="false">-(In_Fixed_Opex*$F25+In_Admin)*EA70*EA16*EA$6</f>
        <v>-653.180060931191</v>
      </c>
      <c r="EB75" s="47" t="n">
        <f aca="false">-(In_Fixed_Opex*$F25+In_Admin)*EB70*EB16*EB$6</f>
        <v>-660.43761716376</v>
      </c>
      <c r="EC75" s="47" t="n">
        <f aca="false">-(In_Fixed_Opex*$F25+In_Admin)*EC70*EC16*EC$6</f>
        <v>-667.695173396328</v>
      </c>
      <c r="ED75" s="47" t="n">
        <f aca="false">-(In_Fixed_Opex*$F25+In_Admin)*ED70*ED16*ED$6</f>
        <v>-667.695173396328</v>
      </c>
      <c r="EE75" s="47" t="n">
        <f aca="false">-(In_Fixed_Opex*$F25+In_Admin)*EE70*EE16*EE$6</f>
        <v>-669.50956245447</v>
      </c>
      <c r="EF75" s="47" t="n">
        <f aca="false">-(In_Fixed_Opex*$F25+In_Admin)*EF70*EF16*EF$6</f>
        <v>-676.948557592854</v>
      </c>
      <c r="EG75" s="47" t="n">
        <f aca="false">-(In_Fixed_Opex*$F25+In_Admin)*EG70*EG16*EG$6</f>
        <v>-684.387552731237</v>
      </c>
      <c r="EH75" s="47" t="n">
        <f aca="false">-(In_Fixed_Opex*$F25+In_Admin)*EH70*EH16*EH$6</f>
        <v>-684.387552731237</v>
      </c>
      <c r="EI75" s="47" t="n">
        <f aca="false">-(In_Fixed_Opex*$F25+In_Admin)*EI70*EI16*EI$6</f>
        <v>-686.247301515832</v>
      </c>
      <c r="EJ75" s="47" t="n">
        <f aca="false">-(In_Fixed_Opex*$F25+In_Admin)*EJ70*EJ16*EJ$6</f>
        <v>-693.872271532675</v>
      </c>
      <c r="EK75" s="47" t="n">
        <f aca="false">-(In_Fixed_Opex*$F25+In_Admin)*EK70*EK16*EK$6</f>
        <v>-701.497241549517</v>
      </c>
      <c r="EL75" s="47" t="n">
        <f aca="false">-(In_Fixed_Opex*$F25+In_Admin)*EL70*EL16*EL$6</f>
        <v>-701.497241549517</v>
      </c>
      <c r="EM75" s="47" t="n">
        <f aca="false">-(In_Fixed_Opex*$F25+In_Admin)*EM70*EM16*EM$6</f>
        <v>-711.219078320991</v>
      </c>
      <c r="EN75" s="47" t="n">
        <f aca="false">-(In_Fixed_Opex*$F25+In_Admin)*EN70*EN16*EN$6</f>
        <v>-711.219078320991</v>
      </c>
      <c r="EO75" s="47" t="n">
        <f aca="false">-(In_Fixed_Opex*$F25+In_Admin)*EO70*EO16*EO$6</f>
        <v>-719.034672588255</v>
      </c>
    </row>
    <row r="76" customFormat="false" ht="15" hidden="false" customHeight="false" outlineLevel="0" collapsed="false">
      <c r="C76" s="0" t="s">
        <v>444</v>
      </c>
      <c r="D76" s="11" t="s">
        <v>33</v>
      </c>
      <c r="I76" s="47" t="n">
        <f aca="false">SUM(J76:EO76)</f>
        <v>-7708.87664873263</v>
      </c>
      <c r="J76" s="47" t="n">
        <f aca="false">-In_Lease*$F25*J70*J17*J$6</f>
        <v>-0</v>
      </c>
      <c r="K76" s="47" t="n">
        <f aca="false">-In_Lease*$F25*K70*K17*K$6</f>
        <v>-0</v>
      </c>
      <c r="L76" s="47" t="n">
        <f aca="false">-In_Lease*$F25*L70*L17*L$6</f>
        <v>-0</v>
      </c>
      <c r="M76" s="47" t="n">
        <f aca="false">-In_Lease*$F25*M70*M17*M$6</f>
        <v>-0</v>
      </c>
      <c r="N76" s="47" t="n">
        <f aca="false">-In_Lease*$F25*N70*N17*N$6</f>
        <v>-0</v>
      </c>
      <c r="O76" s="47" t="n">
        <f aca="false">-In_Lease*$F25*O70*O17*O$6</f>
        <v>-0</v>
      </c>
      <c r="P76" s="47" t="n">
        <f aca="false">-In_Lease*$F25*P70*P17*P$6</f>
        <v>-0</v>
      </c>
      <c r="Q76" s="47" t="n">
        <f aca="false">-In_Lease*$F25*Q70*Q17*Q$6</f>
        <v>-0</v>
      </c>
      <c r="R76" s="47" t="n">
        <f aca="false">-In_Lease*$F25*R70*R17*R$6</f>
        <v>-39.5850480389201</v>
      </c>
      <c r="S76" s="47" t="n">
        <f aca="false">-In_Lease*$F25*S70*S17*S$6</f>
        <v>-39.6926161042432</v>
      </c>
      <c r="T76" s="47" t="n">
        <f aca="false">-In_Lease*$F25*T70*T17*T$6</f>
        <v>-40.1336451720682</v>
      </c>
      <c r="U76" s="47" t="n">
        <f aca="false">-In_Lease*$F25*U70*U17*U$6</f>
        <v>-40.5746742398931</v>
      </c>
      <c r="V76" s="47" t="n">
        <f aca="false">-In_Lease*$F25*V70*V17*V$6</f>
        <v>-40.5746742398931</v>
      </c>
      <c r="W76" s="47" t="n">
        <f aca="false">-In_Lease*$F25*W70*W17*W$6</f>
        <v>-40.6849315068493</v>
      </c>
      <c r="X76" s="47" t="n">
        <f aca="false">-In_Lease*$F25*X70*X17*X$6</f>
        <v>-41.1369863013699</v>
      </c>
      <c r="Y76" s="47" t="n">
        <f aca="false">-In_Lease*$F25*Y70*Y17*Y$6</f>
        <v>-41.5890410958904</v>
      </c>
      <c r="Z76" s="47" t="n">
        <f aca="false">-In_Lease*$F25*Z70*Z17*Z$6</f>
        <v>-41.5890410958904</v>
      </c>
      <c r="AA76" s="47" t="n">
        <f aca="false">-In_Lease*$F25*AA70*AA17*AA$6</f>
        <v>-41.7020547945206</v>
      </c>
      <c r="AB76" s="47" t="n">
        <f aca="false">-In_Lease*$F25*AB70*AB17*AB$6</f>
        <v>-42.1654109589041</v>
      </c>
      <c r="AC76" s="47" t="n">
        <f aca="false">-In_Lease*$F25*AC70*AC17*AC$6</f>
        <v>-42.6287671232877</v>
      </c>
      <c r="AD76" s="47" t="n">
        <f aca="false">-In_Lease*$F25*AD70*AD17*AD$6</f>
        <v>-42.6287671232877</v>
      </c>
      <c r="AE76" s="47" t="n">
        <f aca="false">-In_Lease*$F25*AE70*AE17*AE$6</f>
        <v>-43.2195462328767</v>
      </c>
      <c r="AF76" s="47" t="n">
        <f aca="false">-In_Lease*$F25*AF70*AF17*AF$6</f>
        <v>-43.2195462328767</v>
      </c>
      <c r="AG76" s="47" t="n">
        <f aca="false">-In_Lease*$F25*AG70*AG17*AG$6</f>
        <v>-43.6944863013699</v>
      </c>
      <c r="AH76" s="47" t="n">
        <f aca="false">-In_Lease*$F25*AH70*AH17*AH$6</f>
        <v>-43.6944863013699</v>
      </c>
      <c r="AI76" s="47" t="n">
        <f aca="false">-In_Lease*$F25*AI70*AI17*AI$6</f>
        <v>-43.8132213184931</v>
      </c>
      <c r="AJ76" s="47" t="n">
        <f aca="false">-In_Lease*$F25*AJ70*AJ17*AJ$6</f>
        <v>-44.3000348886986</v>
      </c>
      <c r="AK76" s="47" t="n">
        <f aca="false">-In_Lease*$F25*AK70*AK17*AK$6</f>
        <v>-44.7868484589041</v>
      </c>
      <c r="AL76" s="47" t="n">
        <f aca="false">-In_Lease*$F25*AL70*AL17*AL$6</f>
        <v>-44.7868484589041</v>
      </c>
      <c r="AM76" s="47" t="n">
        <f aca="false">-In_Lease*$F25*AM70*AM17*AM$6</f>
        <v>-44.9085518514555</v>
      </c>
      <c r="AN76" s="47" t="n">
        <f aca="false">-In_Lease*$F25*AN70*AN17*AN$6</f>
        <v>-45.4075357609161</v>
      </c>
      <c r="AO76" s="47" t="n">
        <f aca="false">-In_Lease*$F25*AO70*AO17*AO$6</f>
        <v>-45.9065196703767</v>
      </c>
      <c r="AP76" s="47" t="n">
        <f aca="false">-In_Lease*$F25*AP70*AP17*AP$6</f>
        <v>-45.9065196703767</v>
      </c>
      <c r="AQ76" s="47" t="n">
        <f aca="false">-In_Lease*$F25*AQ70*AQ17*AQ$6</f>
        <v>-46.0312656477419</v>
      </c>
      <c r="AR76" s="47" t="n">
        <f aca="false">-In_Lease*$F25*AR70*AR17*AR$6</f>
        <v>-46.542724154939</v>
      </c>
      <c r="AS76" s="47" t="n">
        <f aca="false">-In_Lease*$F25*AS70*AS17*AS$6</f>
        <v>-47.0541826621361</v>
      </c>
      <c r="AT76" s="47" t="n">
        <f aca="false">-In_Lease*$F25*AT70*AT17*AT$6</f>
        <v>-47.0541826621361</v>
      </c>
      <c r="AU76" s="47" t="n">
        <f aca="false">-In_Lease*$F25*AU70*AU17*AU$6</f>
        <v>-47.7062922588125</v>
      </c>
      <c r="AV76" s="47" t="n">
        <f aca="false">-In_Lease*$F25*AV70*AV17*AV$6</f>
        <v>-47.7062922588125</v>
      </c>
      <c r="AW76" s="47" t="n">
        <f aca="false">-In_Lease*$F25*AW70*AW17*AW$6</f>
        <v>-48.2305372286895</v>
      </c>
      <c r="AX76" s="47" t="n">
        <f aca="false">-In_Lease*$F25*AX70*AX17*AX$6</f>
        <v>-48.2305372286895</v>
      </c>
      <c r="AY76" s="47" t="n">
        <f aca="false">-In_Lease*$F25*AY70*AY17*AY$6</f>
        <v>-48.3615984711588</v>
      </c>
      <c r="AZ76" s="47" t="n">
        <f aca="false">-In_Lease*$F25*AZ70*AZ17*AZ$6</f>
        <v>-48.8989495652828</v>
      </c>
      <c r="BA76" s="47" t="n">
        <f aca="false">-In_Lease*$F25*BA70*BA17*BA$6</f>
        <v>-49.4363006594068</v>
      </c>
      <c r="BB76" s="47" t="n">
        <f aca="false">-In_Lease*$F25*BB70*BB17*BB$6</f>
        <v>-49.4363006594068</v>
      </c>
      <c r="BC76" s="47" t="n">
        <f aca="false">-In_Lease*$F25*BC70*BC17*BC$6</f>
        <v>-49.5706384329377</v>
      </c>
      <c r="BD76" s="47" t="n">
        <f aca="false">-In_Lease*$F25*BD70*BD17*BD$6</f>
        <v>-50.1214233044148</v>
      </c>
      <c r="BE76" s="47" t="n">
        <f aca="false">-In_Lease*$F25*BE70*BE17*BE$6</f>
        <v>-50.6722081758919</v>
      </c>
      <c r="BF76" s="47" t="n">
        <f aca="false">-In_Lease*$F25*BF70*BF17*BF$6</f>
        <v>-50.6722081758919</v>
      </c>
      <c r="BG76" s="47" t="n">
        <f aca="false">-In_Lease*$F25*BG70*BG17*BG$6</f>
        <v>-50.8099043937612</v>
      </c>
      <c r="BH76" s="47" t="n">
        <f aca="false">-In_Lease*$F25*BH70*BH17*BH$6</f>
        <v>-51.3744588870252</v>
      </c>
      <c r="BI76" s="47" t="n">
        <f aca="false">-In_Lease*$F25*BI70*BI17*BI$6</f>
        <v>-51.9390133802892</v>
      </c>
      <c r="BJ76" s="47" t="n">
        <f aca="false">-In_Lease*$F25*BJ70*BJ17*BJ$6</f>
        <v>-51.9390133802892</v>
      </c>
      <c r="BK76" s="47" t="n">
        <f aca="false">-In_Lease*$F25*BK70*BK17*BK$6</f>
        <v>-52.6588203592008</v>
      </c>
      <c r="BL76" s="47" t="n">
        <f aca="false">-In_Lease*$F25*BL70*BL17*BL$6</f>
        <v>-52.6588203592008</v>
      </c>
      <c r="BM76" s="47" t="n">
        <f aca="false">-In_Lease*$F25*BM70*BM17*BM$6</f>
        <v>-53.2374887147964</v>
      </c>
      <c r="BN76" s="47" t="n">
        <f aca="false">-In_Lease*$F25*BN70*BN17*BN$6</f>
        <v>-53.2374887147964</v>
      </c>
      <c r="BO76" s="47" t="n">
        <f aca="false">-In_Lease*$F25*BO70*BO17*BO$6</f>
        <v>-53.3821558036953</v>
      </c>
      <c r="BP76" s="47" t="n">
        <f aca="false">-In_Lease*$F25*BP70*BP17*BP$6</f>
        <v>-53.9752908681808</v>
      </c>
      <c r="BQ76" s="47" t="n">
        <f aca="false">-In_Lease*$F25*BQ70*BQ17*BQ$6</f>
        <v>-54.5684259326664</v>
      </c>
      <c r="BR76" s="47" t="n">
        <f aca="false">-In_Lease*$F25*BR70*BR17*BR$6</f>
        <v>-54.5684259326664</v>
      </c>
      <c r="BS76" s="47" t="n">
        <f aca="false">-In_Lease*$F25*BS70*BS17*BS$6</f>
        <v>-54.7167096987877</v>
      </c>
      <c r="BT76" s="47" t="n">
        <f aca="false">-In_Lease*$F25*BT70*BT17*BT$6</f>
        <v>-55.3246731398854</v>
      </c>
      <c r="BU76" s="47" t="n">
        <f aca="false">-In_Lease*$F25*BU70*BU17*BU$6</f>
        <v>-55.932636580983</v>
      </c>
      <c r="BV76" s="47" t="n">
        <f aca="false">-In_Lease*$F25*BV70*BV17*BV$6</f>
        <v>-55.932636580983</v>
      </c>
      <c r="BW76" s="47" t="n">
        <f aca="false">-In_Lease*$F25*BW70*BW17*BW$6</f>
        <v>-56.0846274412574</v>
      </c>
      <c r="BX76" s="47" t="n">
        <f aca="false">-In_Lease*$F25*BX70*BX17*BX$6</f>
        <v>-56.7077899683825</v>
      </c>
      <c r="BY76" s="47" t="n">
        <f aca="false">-In_Lease*$F25*BY70*BY17*BY$6</f>
        <v>-57.3309524955076</v>
      </c>
      <c r="BZ76" s="47" t="n">
        <f aca="false">-In_Lease*$F25*BZ70*BZ17*BZ$6</f>
        <v>-57.3309524955076</v>
      </c>
      <c r="CA76" s="47" t="n">
        <f aca="false">-In_Lease*$F25*CA70*CA17*CA$6</f>
        <v>-58.125484717592</v>
      </c>
      <c r="CB76" s="47" t="n">
        <f aca="false">-In_Lease*$F25*CB70*CB17*CB$6</f>
        <v>-58.125484717592</v>
      </c>
      <c r="CC76" s="47" t="n">
        <f aca="false">-In_Lease*$F25*CC70*CC17*CC$6</f>
        <v>-58.7642263078953</v>
      </c>
      <c r="CD76" s="47" t="n">
        <f aca="false">-In_Lease*$F25*CD70*CD17*CD$6</f>
        <v>-58.7642263078953</v>
      </c>
      <c r="CE76" s="47" t="n">
        <f aca="false">-In_Lease*$F25*CE70*CE17*CE$6</f>
        <v>-58.923911705471</v>
      </c>
      <c r="CF76" s="47" t="n">
        <f aca="false">-In_Lease*$F25*CF70*CF17*CF$6</f>
        <v>-59.5786218355318</v>
      </c>
      <c r="CG76" s="47" t="n">
        <f aca="false">-In_Lease*$F25*CG70*CG17*CG$6</f>
        <v>-60.2333319655926</v>
      </c>
      <c r="CH76" s="47" t="n">
        <f aca="false">-In_Lease*$F25*CH70*CH17*CH$6</f>
        <v>-60.2333319655926</v>
      </c>
      <c r="CI76" s="47" t="n">
        <f aca="false">-In_Lease*$F25*CI70*CI17*CI$6</f>
        <v>-60.3970094981078</v>
      </c>
      <c r="CJ76" s="47" t="n">
        <f aca="false">-In_Lease*$F25*CJ70*CJ17*CJ$6</f>
        <v>-61.0680873814201</v>
      </c>
      <c r="CK76" s="47" t="n">
        <f aca="false">-In_Lease*$F25*CK70*CK17*CK$6</f>
        <v>-61.7391652647324</v>
      </c>
      <c r="CL76" s="47" t="n">
        <f aca="false">-In_Lease*$F25*CL70*CL17*CL$6</f>
        <v>-61.7391652647324</v>
      </c>
      <c r="CM76" s="47" t="n">
        <f aca="false">-In_Lease*$F25*CM70*CM17*CM$6</f>
        <v>-61.9069347355605</v>
      </c>
      <c r="CN76" s="47" t="n">
        <f aca="false">-In_Lease*$F25*CN70*CN17*CN$6</f>
        <v>-62.5947895659556</v>
      </c>
      <c r="CO76" s="47" t="n">
        <f aca="false">-In_Lease*$F25*CO70*CO17*CO$6</f>
        <v>-63.2826443963507</v>
      </c>
      <c r="CP76" s="47" t="n">
        <f aca="false">-In_Lease*$F25*CP70*CP17*CP$6</f>
        <v>-63.2826443963507</v>
      </c>
      <c r="CQ76" s="47" t="n">
        <f aca="false">-In_Lease*$F25*CQ70*CQ17*CQ$6</f>
        <v>-64.1596593051045</v>
      </c>
      <c r="CR76" s="47" t="n">
        <f aca="false">-In_Lease*$F25*CR70*CR17*CR$6</f>
        <v>-64.1596593051045</v>
      </c>
      <c r="CS76" s="47" t="n">
        <f aca="false">-In_Lease*$F25*CS70*CS17*CS$6</f>
        <v>-64.8647105062595</v>
      </c>
      <c r="CT76" s="47" t="n">
        <f aca="false">-In_Lease*$F25*CT70*CT17*CT$6</f>
        <v>-64.8647105062595</v>
      </c>
      <c r="CU76" s="47" t="n">
        <f aca="false">-In_Lease*$F25*CU70*CU17*CU$6</f>
        <v>-65.0409733065482</v>
      </c>
      <c r="CV76" s="47" t="n">
        <f aca="false">-In_Lease*$F25*CV70*CV17*CV$6</f>
        <v>-65.7636507877321</v>
      </c>
      <c r="CW76" s="47" t="n">
        <f aca="false">-In_Lease*$F25*CW70*CW17*CW$6</f>
        <v>-66.486328268916</v>
      </c>
      <c r="CX76" s="47" t="n">
        <f aca="false">-In_Lease*$F25*CX70*CX17*CX$6</f>
        <v>-66.486328268916</v>
      </c>
      <c r="CY76" s="47" t="n">
        <f aca="false">-In_Lease*$F25*CY70*CY17*CY$6</f>
        <v>-66.6669976392119</v>
      </c>
      <c r="CZ76" s="47" t="n">
        <f aca="false">-In_Lease*$F25*CZ70*CZ17*CZ$6</f>
        <v>-67.4077420574254</v>
      </c>
      <c r="DA76" s="47" t="n">
        <f aca="false">-In_Lease*$F25*DA70*DA17*DA$6</f>
        <v>-68.1484864756389</v>
      </c>
      <c r="DB76" s="47" t="n">
        <f aca="false">-In_Lease*$F25*DB70*DB17*DB$6</f>
        <v>-68.1484864756389</v>
      </c>
      <c r="DC76" s="47" t="n">
        <f aca="false">-In_Lease*$F25*DC70*DC17*DC$6</f>
        <v>-68.3336725801922</v>
      </c>
      <c r="DD76" s="47" t="n">
        <f aca="false">-In_Lease*$F25*DD70*DD17*DD$6</f>
        <v>-69.0929356088611</v>
      </c>
      <c r="DE76" s="47" t="n">
        <f aca="false">-In_Lease*$F25*DE70*DE17*DE$6</f>
        <v>-69.8521986375299</v>
      </c>
      <c r="DF76" s="47" t="n">
        <f aca="false">-In_Lease*$F25*DF70*DF17*DF$6</f>
        <v>-69.8521986375299</v>
      </c>
      <c r="DG76" s="47" t="n">
        <f aca="false">-In_Lease*$F25*DG70*DG17*DG$6</f>
        <v>-70.8202589990826</v>
      </c>
      <c r="DH76" s="47" t="n">
        <f aca="false">-In_Lease*$F25*DH70*DH17*DH$6</f>
        <v>-70.8202589990826</v>
      </c>
      <c r="DI76" s="47" t="n">
        <f aca="false">-In_Lease*$F25*DI70*DI17*DI$6</f>
        <v>-71.5985036034681</v>
      </c>
      <c r="DJ76" s="47" t="n">
        <f aca="false">-In_Lease*$F25*DJ70*DJ17*DJ$6</f>
        <v>-71.5985036034681</v>
      </c>
      <c r="DK76" s="47" t="n">
        <f aca="false">-In_Lease*$F25*DK70*DK17*DK$6</f>
        <v>-71.7930647545645</v>
      </c>
      <c r="DL76" s="47" t="n">
        <f aca="false">-In_Lease*$F25*DL70*DL17*DL$6</f>
        <v>-72.5907654740596</v>
      </c>
      <c r="DM76" s="47" t="n">
        <f aca="false">-In_Lease*$F25*DM70*DM17*DM$6</f>
        <v>-73.3884661935548</v>
      </c>
      <c r="DN76" s="47" t="n">
        <f aca="false">-In_Lease*$F25*DN70*DN17*DN$6</f>
        <v>-73.3884661935548</v>
      </c>
      <c r="DO76" s="47" t="n">
        <f aca="false">-In_Lease*$F25*DO70*DO17*DO$6</f>
        <v>-73.5878913734286</v>
      </c>
      <c r="DP76" s="47" t="n">
        <f aca="false">-In_Lease*$F25*DP70*DP17*DP$6</f>
        <v>-74.4055346109111</v>
      </c>
      <c r="DQ76" s="47" t="n">
        <f aca="false">-In_Lease*$F25*DQ70*DQ17*DQ$6</f>
        <v>-75.2231778483937</v>
      </c>
      <c r="DR76" s="47" t="n">
        <f aca="false">-In_Lease*$F25*DR70*DR17*DR$6</f>
        <v>-75.2231778483937</v>
      </c>
      <c r="DS76" s="47" t="n">
        <f aca="false">-In_Lease*$F25*DS70*DS17*DS$6</f>
        <v>-75.4275886577643</v>
      </c>
      <c r="DT76" s="47" t="n">
        <f aca="false">-In_Lease*$F25*DT70*DT17*DT$6</f>
        <v>-76.2656729761839</v>
      </c>
      <c r="DU76" s="47" t="n">
        <f aca="false">-In_Lease*$F25*DU70*DU17*DU$6</f>
        <v>-77.1037572946035</v>
      </c>
      <c r="DV76" s="47" t="n">
        <f aca="false">-In_Lease*$F25*DV70*DV17*DV$6</f>
        <v>-77.1037572946035</v>
      </c>
      <c r="DW76" s="47" t="n">
        <f aca="false">-In_Lease*$F25*DW70*DW17*DW$6</f>
        <v>-78.1723148005885</v>
      </c>
      <c r="DX76" s="47" t="n">
        <f aca="false">-In_Lease*$F25*DX70*DX17*DX$6</f>
        <v>-78.1723148005885</v>
      </c>
      <c r="DY76" s="47" t="n">
        <f aca="false">-In_Lease*$F25*DY70*DY17*DY$6</f>
        <v>-79.0313512269686</v>
      </c>
      <c r="DZ76" s="47" t="n">
        <f aca="false">-In_Lease*$F25*DZ70*DZ17*DZ$6</f>
        <v>-79.0313512269686</v>
      </c>
      <c r="EA76" s="47" t="n">
        <f aca="false">-In_Lease*$F25*EA70*EA17*EA$6</f>
        <v>-79.2461103335636</v>
      </c>
      <c r="EB76" s="47" t="n">
        <f aca="false">-In_Lease*$F25*EB70*EB17*EB$6</f>
        <v>-80.1266226706032</v>
      </c>
      <c r="EC76" s="47" t="n">
        <f aca="false">-In_Lease*$F25*EC70*EC17*EC$6</f>
        <v>-81.0071350076428</v>
      </c>
      <c r="ED76" s="47" t="n">
        <f aca="false">-In_Lease*$F25*ED70*ED17*ED$6</f>
        <v>-81.0071350076428</v>
      </c>
      <c r="EE76" s="47" t="n">
        <f aca="false">-In_Lease*$F25*EE70*EE17*EE$6</f>
        <v>-81.2272630919027</v>
      </c>
      <c r="EF76" s="47" t="n">
        <f aca="false">-In_Lease*$F25*EF70*EF17*EF$6</f>
        <v>-82.1297882373683</v>
      </c>
      <c r="EG76" s="47" t="n">
        <f aca="false">-In_Lease*$F25*EG70*EG17*EG$6</f>
        <v>-83.0323133828338</v>
      </c>
      <c r="EH76" s="47" t="n">
        <f aca="false">-In_Lease*$F25*EH70*EH17*EH$6</f>
        <v>-83.0323133828338</v>
      </c>
      <c r="EI76" s="47" t="n">
        <f aca="false">-In_Lease*$F25*EI70*EI17*EI$6</f>
        <v>-83.2579446692002</v>
      </c>
      <c r="EJ76" s="47" t="n">
        <f aca="false">-In_Lease*$F25*EJ70*EJ17*EJ$6</f>
        <v>-84.1830329433024</v>
      </c>
      <c r="EK76" s="47" t="n">
        <f aca="false">-In_Lease*$F25*EK70*EK17*EK$6</f>
        <v>-85.1081212174047</v>
      </c>
      <c r="EL76" s="47" t="n">
        <f aca="false">-In_Lease*$F25*EL70*EL17*EL$6</f>
        <v>-85.1081212174047</v>
      </c>
      <c r="EM76" s="47" t="n">
        <f aca="false">-In_Lease*$F25*EM70*EM17*EM$6</f>
        <v>-86.287608766885</v>
      </c>
      <c r="EN76" s="47" t="n">
        <f aca="false">-In_Lease*$F25*EN70*EN17*EN$6</f>
        <v>-86.287608766885</v>
      </c>
      <c r="EO76" s="47" t="n">
        <f aca="false">-In_Lease*$F25*EO70*EO17*EO$6</f>
        <v>-87.2358242478398</v>
      </c>
    </row>
    <row r="77" customFormat="false" ht="15" hidden="false" customHeight="false" outlineLevel="0" collapsed="false">
      <c r="C77" s="0" t="s">
        <v>445</v>
      </c>
      <c r="D77" s="11" t="s">
        <v>33</v>
      </c>
      <c r="I77" s="47" t="n">
        <f aca="false">SUM(J77:EO77)</f>
        <v>-10098.0650826636</v>
      </c>
      <c r="J77" s="47" t="n">
        <f aca="false">-J73*(In_MEKH+In_HIPA+In_Innovation)</f>
        <v>-0</v>
      </c>
      <c r="K77" s="47" t="n">
        <f aca="false">-K73*(In_MEKH+In_HIPA+In_Innovation)</f>
        <v>-0</v>
      </c>
      <c r="L77" s="47" t="n">
        <f aca="false">-L73*(In_MEKH+In_HIPA+In_Innovation)</f>
        <v>-0</v>
      </c>
      <c r="M77" s="47" t="n">
        <f aca="false">-M73*(In_MEKH+In_HIPA+In_Innovation)</f>
        <v>-0</v>
      </c>
      <c r="N77" s="47" t="n">
        <f aca="false">-N73*(In_MEKH+In_HIPA+In_Innovation)</f>
        <v>-0</v>
      </c>
      <c r="O77" s="47" t="n">
        <f aca="false">-O73*(In_MEKH+In_HIPA+In_Innovation)</f>
        <v>-0</v>
      </c>
      <c r="P77" s="47" t="n">
        <f aca="false">-P73*(In_MEKH+In_HIPA+In_Innovation)</f>
        <v>-0</v>
      </c>
      <c r="Q77" s="47" t="n">
        <f aca="false">-Q73*(In_MEKH+In_HIPA+In_Innovation)</f>
        <v>-0</v>
      </c>
      <c r="R77" s="47" t="n">
        <f aca="false">-R73*(In_MEKH+In_HIPA+In_Innovation)</f>
        <v>-0</v>
      </c>
      <c r="S77" s="47" t="n">
        <f aca="false">-S73*(In_MEKH+In_HIPA+In_Innovation)</f>
        <v>-0</v>
      </c>
      <c r="T77" s="47" t="n">
        <f aca="false">-T73*(In_MEKH+In_HIPA+In_Innovation)</f>
        <v>-0</v>
      </c>
      <c r="U77" s="47" t="n">
        <f aca="false">-U73*(In_MEKH+In_HIPA+In_Innovation)</f>
        <v>-0</v>
      </c>
      <c r="V77" s="47" t="n">
        <f aca="false">-V73*(In_MEKH+In_HIPA+In_Innovation)</f>
        <v>-0</v>
      </c>
      <c r="W77" s="47" t="n">
        <f aca="false">-W73*(In_MEKH+In_HIPA+In_Innovation)</f>
        <v>-0</v>
      </c>
      <c r="X77" s="47" t="n">
        <f aca="false">-X73*(In_MEKH+In_HIPA+In_Innovation)</f>
        <v>-0</v>
      </c>
      <c r="Y77" s="47" t="n">
        <f aca="false">-Y73*(In_MEKH+In_HIPA+In_Innovation)</f>
        <v>-0</v>
      </c>
      <c r="Z77" s="47" t="n">
        <f aca="false">-Z73*(In_MEKH+In_HIPA+In_Innovation)</f>
        <v>-75.950784</v>
      </c>
      <c r="AA77" s="47" t="n">
        <f aca="false">-AA73*(In_MEKH+In_HIPA+In_Innovation)</f>
        <v>-75.0426768</v>
      </c>
      <c r="AB77" s="47" t="n">
        <f aca="false">-AB73*(In_MEKH+In_HIPA+In_Innovation)</f>
        <v>-75.87648432</v>
      </c>
      <c r="AC77" s="47" t="n">
        <f aca="false">-AC73*(In_MEKH+In_HIPA+In_Innovation)</f>
        <v>-76.71029184</v>
      </c>
      <c r="AD77" s="47" t="n">
        <f aca="false">-AD73*(In_MEKH+In_HIPA+In_Innovation)</f>
        <v>-76.48016096448</v>
      </c>
      <c r="AE77" s="47" t="n">
        <f aca="false">-AE73*(In_MEKH+In_HIPA+In_Innovation)</f>
        <v>-76.4053434157104</v>
      </c>
      <c r="AF77" s="47" t="n">
        <f aca="false">-AF73*(In_MEKH+In_HIPA+In_Innovation)</f>
        <v>-76.4053434157104</v>
      </c>
      <c r="AG77" s="47" t="n">
        <f aca="false">-AG73*(In_MEKH+In_HIPA+In_Innovation)</f>
        <v>-77.2449625741248</v>
      </c>
      <c r="AH77" s="47" t="n">
        <f aca="false">-AH73*(In_MEKH+In_HIPA+In_Innovation)</f>
        <v>-77.0132276864024</v>
      </c>
      <c r="AI77" s="47" t="n">
        <f aca="false">-AI73*(In_MEKH+In_HIPA+In_Innovation)</f>
        <v>-76.0924173553694</v>
      </c>
      <c r="AJ77" s="47" t="n">
        <f aca="false">-AJ73*(In_MEKH+In_HIPA+In_Innovation)</f>
        <v>-76.9378886593179</v>
      </c>
      <c r="AK77" s="47" t="n">
        <f aca="false">-AK73*(In_MEKH+In_HIPA+In_Innovation)</f>
        <v>-77.7833599632665</v>
      </c>
      <c r="AL77" s="47" t="n">
        <f aca="false">-AL73*(In_MEKH+In_HIPA+In_Innovation)</f>
        <v>-77.5500098833767</v>
      </c>
      <c r="AM77" s="47" t="n">
        <f aca="false">-AM73*(In_MEKH+In_HIPA+In_Innovation)</f>
        <v>-76.6227815043363</v>
      </c>
      <c r="AN77" s="47" t="n">
        <f aca="false">-AN73*(In_MEKH+In_HIPA+In_Innovation)</f>
        <v>-77.4741457432734</v>
      </c>
      <c r="AO77" s="47" t="n">
        <f aca="false">-AO73*(In_MEKH+In_HIPA+In_Innovation)</f>
        <v>-78.3255099822104</v>
      </c>
      <c r="AP77" s="47" t="n">
        <f aca="false">-AP73*(In_MEKH+In_HIPA+In_Innovation)</f>
        <v>-78.0905334522638</v>
      </c>
      <c r="AQ77" s="47" t="n">
        <f aca="false">-AQ73*(In_MEKH+In_HIPA+In_Innovation)</f>
        <v>-77.1568422914215</v>
      </c>
      <c r="AR77" s="47" t="n">
        <f aca="false">-AR73*(In_MEKH+In_HIPA+In_Innovation)</f>
        <v>-78.014140539104</v>
      </c>
      <c r="AS77" s="47" t="n">
        <f aca="false">-AS73*(In_MEKH+In_HIPA+In_Innovation)</f>
        <v>-78.8714387867865</v>
      </c>
      <c r="AT77" s="47" t="n">
        <f aca="false">-AT73*(In_MEKH+In_HIPA+In_Innovation)</f>
        <v>-78.6348244704261</v>
      </c>
      <c r="AU77" s="47" t="n">
        <f aca="false">-AU73*(In_MEKH+In_HIPA+In_Innovation)</f>
        <v>-78.5578990986615</v>
      </c>
      <c r="AV77" s="47" t="n">
        <f aca="false">-AV73*(In_MEKH+In_HIPA+In_Innovation)</f>
        <v>-78.5578990986615</v>
      </c>
      <c r="AW77" s="47" t="n">
        <f aca="false">-AW73*(In_MEKH+In_HIPA+In_Innovation)</f>
        <v>-79.4211727151304</v>
      </c>
      <c r="AX77" s="47" t="n">
        <f aca="false">-AX73*(In_MEKH+In_HIPA+In_Innovation)</f>
        <v>-79.182909196985</v>
      </c>
      <c r="AY77" s="47" t="n">
        <f aca="false">-AY73*(In_MEKH+In_HIPA+In_Innovation)</f>
        <v>-78.2361570218036</v>
      </c>
      <c r="AZ77" s="47" t="n">
        <f aca="false">-AZ73*(In_MEKH+In_HIPA+In_Innovation)</f>
        <v>-79.1054476553792</v>
      </c>
      <c r="BA77" s="47" t="n">
        <f aca="false">-BA73*(In_MEKH+In_HIPA+In_Innovation)</f>
        <v>-79.9747382889548</v>
      </c>
      <c r="BB77" s="47" t="n">
        <f aca="false">-BB73*(In_MEKH+In_HIPA+In_Innovation)</f>
        <v>-79.7348140740879</v>
      </c>
      <c r="BC77" s="47" t="n">
        <f aca="false">-BC73*(In_MEKH+In_HIPA+In_Innovation)</f>
        <v>-78.7814630362456</v>
      </c>
      <c r="BD77" s="47" t="n">
        <f aca="false">-BD73*(In_MEKH+In_HIPA+In_Innovation)</f>
        <v>-79.6568126255372</v>
      </c>
      <c r="BE77" s="47" t="n">
        <f aca="false">-BE73*(In_MEKH+In_HIPA+In_Innovation)</f>
        <v>-80.5321622148288</v>
      </c>
      <c r="BF77" s="47" t="n">
        <f aca="false">-BF73*(In_MEKH+In_HIPA+In_Innovation)</f>
        <v>-80.2905657281844</v>
      </c>
      <c r="BG77" s="47" t="n">
        <f aca="false">-BG73*(In_MEKH+In_HIPA+In_Innovation)</f>
        <v>-79.3305698336082</v>
      </c>
      <c r="BH77" s="47" t="n">
        <f aca="false">-BH73*(In_MEKH+In_HIPA+In_Innovation)</f>
        <v>-80.2120206095372</v>
      </c>
      <c r="BI77" s="47" t="n">
        <f aca="false">-BI73*(In_MEKH+In_HIPA+In_Innovation)</f>
        <v>-81.0934713854662</v>
      </c>
      <c r="BJ77" s="47" t="n">
        <f aca="false">-BJ73*(In_MEKH+In_HIPA+In_Innovation)</f>
        <v>-80.8501909713098</v>
      </c>
      <c r="BK77" s="47" t="n">
        <f aca="false">-BK73*(In_MEKH+In_HIPA+In_Innovation)</f>
        <v>-80.7710983931857</v>
      </c>
      <c r="BL77" s="47" t="n">
        <f aca="false">-BL73*(In_MEKH+In_HIPA+In_Innovation)</f>
        <v>-80.7710983931857</v>
      </c>
      <c r="BM77" s="47" t="n">
        <f aca="false">-BM73*(In_MEKH+In_HIPA+In_Innovation)</f>
        <v>-81.6586928810229</v>
      </c>
      <c r="BN77" s="47" t="n">
        <f aca="false">-BN73*(In_MEKH+In_HIPA+In_Innovation)</f>
        <v>-81.4137168023798</v>
      </c>
      <c r="BO77" s="47" t="n">
        <f aca="false">-BO73*(In_MEKH+In_HIPA+In_Innovation)</f>
        <v>-80.4402919275687</v>
      </c>
      <c r="BP77" s="47" t="n">
        <f aca="false">-BP73*(In_MEKH+In_HIPA+In_Innovation)</f>
        <v>-81.3340729489862</v>
      </c>
      <c r="BQ77" s="47" t="n">
        <f aca="false">-BQ73*(In_MEKH+In_HIPA+In_Innovation)</f>
        <v>-82.2278539704036</v>
      </c>
      <c r="BR77" s="47" t="n">
        <f aca="false">-BR73*(In_MEKH+In_HIPA+In_Innovation)</f>
        <v>-81.9811704084924</v>
      </c>
      <c r="BS77" s="47" t="n">
        <f aca="false">-BS73*(In_MEKH+In_HIPA+In_Innovation)</f>
        <v>-81.0009607623039</v>
      </c>
      <c r="BT77" s="47" t="n">
        <f aca="false">-BT73*(In_MEKH+In_HIPA+In_Innovation)</f>
        <v>-81.9009714374406</v>
      </c>
      <c r="BU77" s="47" t="n">
        <f aca="false">-BU73*(In_MEKH+In_HIPA+In_Innovation)</f>
        <v>-82.8009821125773</v>
      </c>
      <c r="BV77" s="47" t="n">
        <f aca="false">-BV73*(In_MEKH+In_HIPA+In_Innovation)</f>
        <v>-82.5525791662396</v>
      </c>
      <c r="BW77" s="47" t="n">
        <f aca="false">-BW73*(In_MEKH+In_HIPA+In_Innovation)</f>
        <v>-81.5655374588172</v>
      </c>
      <c r="BX77" s="47" t="n">
        <f aca="false">-BX73*(In_MEKH+In_HIPA+In_Innovation)</f>
        <v>-82.4718212083596</v>
      </c>
      <c r="BY77" s="47" t="n">
        <f aca="false">-BY73*(In_MEKH+In_HIPA+In_Innovation)</f>
        <v>-83.378104957902</v>
      </c>
      <c r="BZ77" s="47" t="n">
        <f aca="false">-BZ73*(In_MEKH+In_HIPA+In_Innovation)</f>
        <v>-83.1279706430283</v>
      </c>
      <c r="CA77" s="47" t="n">
        <f aca="false">-CA73*(In_MEKH+In_HIPA+In_Innovation)</f>
        <v>-83.0466498021818</v>
      </c>
      <c r="CB77" s="47" t="n">
        <f aca="false">-CB73*(In_MEKH+In_HIPA+In_Innovation)</f>
        <v>-83.0466498021818</v>
      </c>
      <c r="CC77" s="47" t="n">
        <f aca="false">-CC73*(In_MEKH+In_HIPA+In_Innovation)</f>
        <v>-83.9592503494586</v>
      </c>
      <c r="CD77" s="47" t="n">
        <f aca="false">-CD73*(In_MEKH+In_HIPA+In_Innovation)</f>
        <v>-83.7073725984102</v>
      </c>
      <c r="CE77" s="47" t="n">
        <f aca="false">-CE73*(In_MEKH+In_HIPA+In_Innovation)</f>
        <v>-82.7065235782118</v>
      </c>
      <c r="CF77" s="47" t="n">
        <f aca="false">-CF73*(In_MEKH+In_HIPA+In_Innovation)</f>
        <v>-83.625484951303</v>
      </c>
      <c r="CG77" s="47" t="n">
        <f aca="false">-CG73*(In_MEKH+In_HIPA+In_Innovation)</f>
        <v>-84.5444463243943</v>
      </c>
      <c r="CH77" s="47" t="n">
        <f aca="false">-CH73*(In_MEKH+In_HIPA+In_Innovation)</f>
        <v>-84.2908129854211</v>
      </c>
      <c r="CI77" s="47" t="n">
        <f aca="false">-CI73*(In_MEKH+In_HIPA+In_Innovation)</f>
        <v>-83.2829880475519</v>
      </c>
      <c r="CJ77" s="47" t="n">
        <f aca="false">-CJ73*(In_MEKH+In_HIPA+In_Innovation)</f>
        <v>-84.2083545814136</v>
      </c>
      <c r="CK77" s="47" t="n">
        <f aca="false">-CK73*(In_MEKH+In_HIPA+In_Innovation)</f>
        <v>-85.1337211152753</v>
      </c>
      <c r="CL77" s="47" t="n">
        <f aca="false">-CL73*(In_MEKH+In_HIPA+In_Innovation)</f>
        <v>-84.8783199519295</v>
      </c>
      <c r="CM77" s="47" t="n">
        <f aca="false">-CM73*(In_MEKH+In_HIPA+In_Innovation)</f>
        <v>-83.8634704742434</v>
      </c>
      <c r="CN77" s="47" t="n">
        <f aca="false">-CN73*(In_MEKH+In_HIPA+In_Innovation)</f>
        <v>-84.7952868128461</v>
      </c>
      <c r="CO77" s="47" t="n">
        <f aca="false">-CO73*(In_MEKH+In_HIPA+In_Innovation)</f>
        <v>-85.7271031514488</v>
      </c>
      <c r="CP77" s="47" t="n">
        <f aca="false">-CP73*(In_MEKH+In_HIPA+In_Innovation)</f>
        <v>-85.4699218419945</v>
      </c>
      <c r="CQ77" s="47" t="n">
        <f aca="false">-CQ73*(In_MEKH+In_HIPA+In_Innovation)</f>
        <v>-85.3863099619316</v>
      </c>
      <c r="CR77" s="47" t="n">
        <f aca="false">-CR73*(In_MEKH+In_HIPA+In_Innovation)</f>
        <v>-85.3863099619316</v>
      </c>
      <c r="CS77" s="47" t="n">
        <f aca="false">-CS73*(In_MEKH+In_HIPA+In_Innovation)</f>
        <v>-86.3246210604144</v>
      </c>
      <c r="CT77" s="47" t="n">
        <f aca="false">-CT73*(In_MEKH+In_HIPA+In_Innovation)</f>
        <v>-86.0656471972332</v>
      </c>
      <c r="CU77" s="47" t="n">
        <f aca="false">-CU73*(In_MEKH+In_HIPA+In_Innovation)</f>
        <v>-85.0366014155271</v>
      </c>
      <c r="CV77" s="47" t="n">
        <f aca="false">-CV73*(In_MEKH+In_HIPA+In_Innovation)</f>
        <v>-85.9814525423663</v>
      </c>
      <c r="CW77" s="47" t="n">
        <f aca="false">-CW73*(In_MEKH+In_HIPA+In_Innovation)</f>
        <v>-86.9263036692055</v>
      </c>
      <c r="CX77" s="47" t="n">
        <f aca="false">-CX73*(In_MEKH+In_HIPA+In_Innovation)</f>
        <v>-86.6655247581979</v>
      </c>
      <c r="CY77" s="47" t="n">
        <f aca="false">-CY73*(In_MEKH+In_HIPA+In_Innovation)</f>
        <v>-85.6293065273933</v>
      </c>
      <c r="CZ77" s="47" t="n">
        <f aca="false">-CZ73*(In_MEKH+In_HIPA+In_Innovation)</f>
        <v>-86.5807432665866</v>
      </c>
      <c r="DA77" s="47" t="n">
        <f aca="false">-DA73*(In_MEKH+In_HIPA+In_Innovation)</f>
        <v>-87.5321800057799</v>
      </c>
      <c r="DB77" s="47" t="n">
        <f aca="false">-DB73*(In_MEKH+In_HIPA+In_Innovation)</f>
        <v>-87.2695834657625</v>
      </c>
      <c r="DC77" s="47" t="n">
        <f aca="false">-DC73*(In_MEKH+In_HIPA+In_Innovation)</f>
        <v>-86.2261427938893</v>
      </c>
      <c r="DD77" s="47" t="n">
        <f aca="false">-DD73*(In_MEKH+In_HIPA+In_Innovation)</f>
        <v>-87.1842110471547</v>
      </c>
      <c r="DE77" s="47" t="n">
        <f aca="false">-DE73*(In_MEKH+In_HIPA+In_Innovation)</f>
        <v>-88.1422793004201</v>
      </c>
      <c r="DF77" s="47" t="n">
        <f aca="false">-DF73*(In_MEKH+In_HIPA+In_Innovation)</f>
        <v>-87.8778524625189</v>
      </c>
      <c r="DG77" s="47" t="n">
        <f aca="false">-DG73*(In_MEKH+In_HIPA+In_Innovation)</f>
        <v>-87.7918849981534</v>
      </c>
      <c r="DH77" s="47" t="n">
        <f aca="false">-DH73*(In_MEKH+In_HIPA+In_Innovation)</f>
        <v>-87.7918849981534</v>
      </c>
      <c r="DI77" s="47" t="n">
        <f aca="false">-DI73*(In_MEKH+In_HIPA+In_Innovation)</f>
        <v>-88.7566309871441</v>
      </c>
      <c r="DJ77" s="47" t="n">
        <f aca="false">-DJ73*(In_MEKH+In_HIPA+In_Innovation)</f>
        <v>-88.4903610941826</v>
      </c>
      <c r="DK77" s="47" t="n">
        <f aca="false">-DK73*(In_MEKH+In_HIPA+In_Innovation)</f>
        <v>-87.4323241680565</v>
      </c>
      <c r="DL77" s="47" t="n">
        <f aca="false">-DL73*(In_MEKH+In_HIPA+In_Innovation)</f>
        <v>-88.4037944365905</v>
      </c>
      <c r="DM77" s="47" t="n">
        <f aca="false">-DM73*(In_MEKH+In_HIPA+In_Innovation)</f>
        <v>-89.3752647051245</v>
      </c>
      <c r="DN77" s="47" t="n">
        <f aca="false">-DN73*(In_MEKH+In_HIPA+In_Innovation)</f>
        <v>-89.1071389110091</v>
      </c>
      <c r="DO77" s="47" t="n">
        <f aca="false">-DO73*(In_MEKH+In_HIPA+In_Innovation)</f>
        <v>-88.0417274675079</v>
      </c>
      <c r="DP77" s="47" t="n">
        <f aca="false">-DP73*(In_MEKH+In_HIPA+In_Innovation)</f>
        <v>-89.0199688838135</v>
      </c>
      <c r="DQ77" s="47" t="n">
        <f aca="false">-DQ73*(In_MEKH+In_HIPA+In_Innovation)</f>
        <v>-89.9982103001192</v>
      </c>
      <c r="DR77" s="47" t="n">
        <f aca="false">-DR73*(In_MEKH+In_HIPA+In_Innovation)</f>
        <v>-89.7282156692188</v>
      </c>
      <c r="DS77" s="47" t="n">
        <f aca="false">-DS73*(In_MEKH+In_HIPA+In_Innovation)</f>
        <v>-88.6553783079564</v>
      </c>
      <c r="DT77" s="47" t="n">
        <f aca="false">-DT73*(In_MEKH+In_HIPA+In_Innovation)</f>
        <v>-89.6404380669337</v>
      </c>
      <c r="DU77" s="47" t="n">
        <f aca="false">-DU73*(In_MEKH+In_HIPA+In_Innovation)</f>
        <v>-90.625497825911</v>
      </c>
      <c r="DV77" s="47" t="n">
        <f aca="false">-DV73*(In_MEKH+In_HIPA+In_Innovation)</f>
        <v>-90.3536213324333</v>
      </c>
      <c r="DW77" s="47" t="n">
        <f aca="false">-DW73*(In_MEKH+In_HIPA+In_Innovation)</f>
        <v>-90.2652319202602</v>
      </c>
      <c r="DX77" s="47" t="n">
        <f aca="false">-DX73*(In_MEKH+In_HIPA+In_Innovation)</f>
        <v>-90.2652319202602</v>
      </c>
      <c r="DY77" s="47" t="n">
        <f aca="false">-DY73*(In_MEKH+In_HIPA+In_Innovation)</f>
        <v>-91.2571575457576</v>
      </c>
      <c r="DZ77" s="47" t="n">
        <f aca="false">-DZ73*(In_MEKH+In_HIPA+In_Innovation)</f>
        <v>-90.9833860731203</v>
      </c>
      <c r="EA77" s="47" t="n">
        <f aca="false">-EA73*(In_MEKH+In_HIPA+In_Innovation)</f>
        <v>-89.8955412396374</v>
      </c>
      <c r="EB77" s="47" t="n">
        <f aca="false">-EB73*(In_MEKH+In_HIPA+In_Innovation)</f>
        <v>-90.8943805867445</v>
      </c>
      <c r="EC77" s="47" t="n">
        <f aca="false">-EC73*(In_MEKH+In_HIPA+In_Innovation)</f>
        <v>-91.8932199338516</v>
      </c>
      <c r="ED77" s="47" t="n">
        <f aca="false">-ED73*(In_MEKH+In_HIPA+In_Innovation)</f>
        <v>-91.61754027405</v>
      </c>
      <c r="EE77" s="47" t="n">
        <f aca="false">-EE73*(In_MEKH+In_HIPA+In_Innovation)</f>
        <v>-90.5221131620776</v>
      </c>
      <c r="EF77" s="47" t="n">
        <f aca="false">-EF73*(In_MEKH+In_HIPA+In_Innovation)</f>
        <v>-91.5279144194341</v>
      </c>
      <c r="EG77" s="47" t="n">
        <f aca="false">-EG73*(In_MEKH+In_HIPA+In_Innovation)</f>
        <v>-92.5337156767905</v>
      </c>
      <c r="EH77" s="47" t="n">
        <f aca="false">-EH73*(In_MEKH+In_HIPA+In_Innovation)</f>
        <v>-92.2561145297601</v>
      </c>
      <c r="EI77" s="47" t="n">
        <f aca="false">-EI73*(In_MEKH+In_HIPA+In_Innovation)</f>
        <v>-91.1530522908173</v>
      </c>
      <c r="EJ77" s="47" t="n">
        <f aca="false">-EJ73*(In_MEKH+In_HIPA+In_Innovation)</f>
        <v>-92.1658639829375</v>
      </c>
      <c r="EK77" s="47" t="n">
        <f aca="false">-EK73*(In_MEKH+In_HIPA+In_Innovation)</f>
        <v>-93.1786756750577</v>
      </c>
      <c r="EL77" s="47" t="n">
        <f aca="false">-EL73*(In_MEKH+In_HIPA+In_Innovation)</f>
        <v>-92.8991396480325</v>
      </c>
      <c r="EM77" s="47" t="n">
        <f aca="false">-EM73*(In_MEKH+In_HIPA+In_Innovation)</f>
        <v>-92.8082600548986</v>
      </c>
      <c r="EN77" s="47" t="n">
        <f aca="false">-EN73*(In_MEKH+In_HIPA+In_Innovation)</f>
        <v>-92.8082600548986</v>
      </c>
      <c r="EO77" s="47" t="n">
        <f aca="false">-EO73*(In_MEKH+In_HIPA+In_Innovation)</f>
        <v>-93.8281310445129</v>
      </c>
    </row>
    <row r="78" customFormat="false" ht="15" hidden="false" customHeight="false" outlineLevel="0" collapsed="false">
      <c r="C78" s="0" t="s">
        <v>326</v>
      </c>
      <c r="D78" s="11" t="s">
        <v>33</v>
      </c>
      <c r="I78" s="47" t="n">
        <f aca="false">SUM(J78:EO78)</f>
        <v>-4936.62840952233</v>
      </c>
      <c r="J78" s="47" t="n">
        <f aca="false">In_Opex_Contingency*(J74+J75+J76-J73*In_MEKH)</f>
        <v>-0</v>
      </c>
      <c r="K78" s="47" t="n">
        <f aca="false">In_Opex_Contingency*(K74+K75+K76-K73*In_MEKH)</f>
        <v>-0</v>
      </c>
      <c r="L78" s="47" t="n">
        <f aca="false">In_Opex_Contingency*(L74+L75+L76-L73*In_MEKH)</f>
        <v>-0</v>
      </c>
      <c r="M78" s="47" t="n">
        <f aca="false">In_Opex_Contingency*(M74+M75+M76-M73*In_MEKH)</f>
        <v>-0</v>
      </c>
      <c r="N78" s="47" t="n">
        <f aca="false">In_Opex_Contingency*(N74+N75+N76-N73*In_MEKH)</f>
        <v>-0</v>
      </c>
      <c r="O78" s="47" t="n">
        <f aca="false">In_Opex_Contingency*(O74+O75+O76-O73*In_MEKH)</f>
        <v>-0</v>
      </c>
      <c r="P78" s="47" t="n">
        <f aca="false">In_Opex_Contingency*(P74+P75+P76-P73*In_MEKH)</f>
        <v>-0</v>
      </c>
      <c r="Q78" s="47" t="n">
        <f aca="false">In_Opex_Contingency*(Q74+Q75+Q76-Q73*In_MEKH)</f>
        <v>-0</v>
      </c>
      <c r="R78" s="47" t="n">
        <f aca="false">In_Opex_Contingency*(R74+R75+R76-R73*In_MEKH)</f>
        <v>-1.979252401946</v>
      </c>
      <c r="S78" s="47" t="n">
        <f aca="false">In_Opex_Contingency*(S74+S75+S76-S73*In_MEKH)</f>
        <v>-1.98463080521216</v>
      </c>
      <c r="T78" s="47" t="n">
        <f aca="false">In_Opex_Contingency*(T74+T75+T76-T73*In_MEKH)</f>
        <v>-2.00668225860341</v>
      </c>
      <c r="U78" s="47" t="n">
        <f aca="false">In_Opex_Contingency*(U74+U75+U76-U73*In_MEKH)</f>
        <v>-2.02873371199466</v>
      </c>
      <c r="V78" s="47" t="n">
        <f aca="false">In_Opex_Contingency*(V74+V75+V76-V73*In_MEKH)</f>
        <v>-2.02873371199466</v>
      </c>
      <c r="W78" s="47" t="n">
        <f aca="false">In_Opex_Contingency*(W74+W75+W76-W73*In_MEKH)</f>
        <v>-2.03424657534247</v>
      </c>
      <c r="X78" s="47" t="n">
        <f aca="false">In_Opex_Contingency*(X74+X75+X76-X73*In_MEKH)</f>
        <v>-2.05684931506849</v>
      </c>
      <c r="Y78" s="47" t="n">
        <f aca="false">In_Opex_Contingency*(Y74+Y75+Y76-Y73*In_MEKH)</f>
        <v>-2.07945205479452</v>
      </c>
      <c r="Z78" s="47" t="n">
        <f aca="false">In_Opex_Contingency*(Z74+Z75+Z76-Z73*In_MEKH)</f>
        <v>-28.1680088821918</v>
      </c>
      <c r="AA78" s="47" t="n">
        <f aca="false">In_Opex_Contingency*(AA74+AA75+AA76-AA73*In_MEKH)</f>
        <v>-28.242230519589</v>
      </c>
      <c r="AB78" s="47" t="n">
        <f aca="false">In_Opex_Contingency*(AB74+AB75+AB76-AB73*In_MEKH)</f>
        <v>-28.5560330809178</v>
      </c>
      <c r="AC78" s="47" t="n">
        <f aca="false">In_Opex_Contingency*(AC74+AC75+AC76-AC73*In_MEKH)</f>
        <v>-28.8698356422466</v>
      </c>
      <c r="AD78" s="47" t="n">
        <f aca="false">In_Opex_Contingency*(AD74+AD75+AD76-AD73*In_MEKH)</f>
        <v>-28.8423251079226</v>
      </c>
      <c r="AE78" s="47" t="n">
        <f aca="false">In_Opex_Contingency*(AE74+AE75+AE76-AE73*In_MEKH)</f>
        <v>-29.2396780867797</v>
      </c>
      <c r="AF78" s="47" t="n">
        <f aca="false">In_Opex_Contingency*(AF74+AF75+AF76-AF73*In_MEKH)</f>
        <v>-29.2396780867797</v>
      </c>
      <c r="AG78" s="47" t="n">
        <f aca="false">In_Opex_Contingency*(AG74+AG75+AG76-AG73*In_MEKH)</f>
        <v>-29.5609932305905</v>
      </c>
      <c r="AH78" s="47" t="n">
        <f aca="false">In_Opex_Contingency*(AH74+AH75+AH76-AH73*In_MEKH)</f>
        <v>-29.5328866978166</v>
      </c>
      <c r="AI78" s="47" t="n">
        <f aca="false">In_Opex_Contingency*(AI74+AI75+AI76-AI73*In_MEKH)</f>
        <v>-29.6107847627251</v>
      </c>
      <c r="AJ78" s="47" t="n">
        <f aca="false">In_Opex_Contingency*(AJ74+AJ75+AJ76-AJ73*In_MEKH)</f>
        <v>-29.9397934823109</v>
      </c>
      <c r="AK78" s="47" t="n">
        <f aca="false">In_Opex_Contingency*(AK74+AK75+AK76-AK73*In_MEKH)</f>
        <v>-30.2688022018968</v>
      </c>
      <c r="AL78" s="47" t="n">
        <f aca="false">In_Opex_Contingency*(AL74+AL75+AL76-AL73*In_MEKH)</f>
        <v>-30.2400866533818</v>
      </c>
      <c r="AM78" s="47" t="n">
        <f aca="false">In_Opex_Contingency*(AM74+AM75+AM76-AM73*In_MEKH)</f>
        <v>-30.3198900475182</v>
      </c>
      <c r="AN78" s="47" t="n">
        <f aca="false">In_Opex_Contingency*(AN74+AN75+AN76-AN73*In_MEKH)</f>
        <v>-30.6567777147129</v>
      </c>
      <c r="AO78" s="47" t="n">
        <f aca="false">In_Opex_Contingency*(AO74+AO75+AO76-AO73*In_MEKH)</f>
        <v>-30.9936653819075</v>
      </c>
      <c r="AP78" s="47" t="n">
        <f aca="false">In_Opex_Contingency*(AP74+AP75+AP76-AP73*In_MEKH)</f>
        <v>-30.9643275153048</v>
      </c>
      <c r="AQ78" s="47" t="n">
        <f aca="false">In_Opex_Contingency*(AQ74+AQ75+AQ76-AQ73*In_MEKH)</f>
        <v>-31.0460824311036</v>
      </c>
      <c r="AR78" s="47" t="n">
        <f aca="false">In_Opex_Contingency*(AR74+AR75+AR76-AR73*In_MEKH)</f>
        <v>-31.3910389025603</v>
      </c>
      <c r="AS78" s="47" t="n">
        <f aca="false">In_Opex_Contingency*(AS74+AS75+AS76-AS73*In_MEKH)</f>
        <v>-31.735995374017</v>
      </c>
      <c r="AT78" s="47" t="n">
        <f aca="false">In_Opex_Contingency*(AT74+AT75+AT76-AT73*In_MEKH)</f>
        <v>-31.7060215956766</v>
      </c>
      <c r="AU78" s="47" t="n">
        <f aca="false">In_Opex_Contingency*(AU74+AU75+AU76-AU73*In_MEKH)</f>
        <v>-32.1429950712461</v>
      </c>
      <c r="AV78" s="47" t="n">
        <f aca="false">In_Opex_Contingency*(AV74+AV75+AV76-AV73*In_MEKH)</f>
        <v>-32.1429950712461</v>
      </c>
      <c r="AW78" s="47" t="n">
        <f aca="false">In_Opex_Contingency*(AW74+AW75+AW76-AW73*In_MEKH)</f>
        <v>-32.4962147973038</v>
      </c>
      <c r="AX78" s="47" t="n">
        <f aca="false">In_Opex_Contingency*(AX74+AX75+AX76-AX73*In_MEKH)</f>
        <v>-32.465591215888</v>
      </c>
      <c r="AY78" s="47" t="n">
        <f aca="false">In_Opex_Contingency*(AY74+AY75+AY76-AY73*In_MEKH)</f>
        <v>-32.5513922579734</v>
      </c>
      <c r="AZ78" s="47" t="n">
        <f aca="false">In_Opex_Contingency*(AZ74+AZ75+AZ76-AZ73*In_MEKH)</f>
        <v>-32.9130743941731</v>
      </c>
      <c r="BA78" s="47" t="n">
        <f aca="false">In_Opex_Contingency*(BA74+BA75+BA76-BA73*In_MEKH)</f>
        <v>-33.2747565303728</v>
      </c>
      <c r="BB78" s="47" t="n">
        <f aca="false">In_Opex_Contingency*(BB74+BB75+BB76-BB73*In_MEKH)</f>
        <v>-33.2434689503322</v>
      </c>
      <c r="BC78" s="47" t="n">
        <f aca="false">In_Opex_Contingency*(BC74+BC75+BC76-BC73*In_MEKH)</f>
        <v>-33.331366918517</v>
      </c>
      <c r="BD78" s="47" t="n">
        <f aca="false">In_Opex_Contingency*(BD74+BD75+BD76-BD73*In_MEKH)</f>
        <v>-33.7017154398339</v>
      </c>
      <c r="BE78" s="47" t="n">
        <f aca="false">In_Opex_Contingency*(BE74+BE75+BE76-BE73*In_MEKH)</f>
        <v>-34.0720639611507</v>
      </c>
      <c r="BF78" s="47" t="n">
        <f aca="false">In_Opex_Contingency*(BF74+BF75+BF76-BF73*In_MEKH)</f>
        <v>-34.0400978760566</v>
      </c>
      <c r="BG78" s="47" t="n">
        <f aca="false">In_Opex_Contingency*(BG74+BG75+BG76-BG73*In_MEKH)</f>
        <v>-34.1301436070664</v>
      </c>
      <c r="BH78" s="47" t="n">
        <f aca="false">In_Opex_Contingency*(BH74+BH75+BH76-BH73*In_MEKH)</f>
        <v>-34.5093674249227</v>
      </c>
      <c r="BI78" s="47" t="n">
        <f aca="false">In_Opex_Contingency*(BI74+BI75+BI76-BI73*In_MEKH)</f>
        <v>-34.888591242779</v>
      </c>
      <c r="BJ78" s="47" t="n">
        <f aca="false">In_Opex_Contingency*(BJ74+BJ75+BJ76-BJ73*In_MEKH)</f>
        <v>-34.8559318285097</v>
      </c>
      <c r="BK78" s="47" t="n">
        <f aca="false">In_Opex_Contingency*(BK74+BK75+BK76-BK73*In_MEKH)</f>
        <v>-35.3364904736268</v>
      </c>
      <c r="BL78" s="47" t="n">
        <f aca="false">In_Opex_Contingency*(BL74+BL75+BL76-BL73*In_MEKH)</f>
        <v>-35.3364904736268</v>
      </c>
      <c r="BM78" s="47" t="n">
        <f aca="false">In_Opex_Contingency*(BM74+BM75+BM76-BM73*In_MEKH)</f>
        <v>-35.7248035557546</v>
      </c>
      <c r="BN78" s="47" t="n">
        <f aca="false">In_Opex_Contingency*(BN74+BN75+BN76-BN73*In_MEKH)</f>
        <v>-35.6914356635328</v>
      </c>
      <c r="BO78" s="47" t="n">
        <f aca="false">In_Opex_Contingency*(BO74+BO75+BO76-BO73*In_MEKH)</f>
        <v>-35.785934390026</v>
      </c>
      <c r="BP78" s="47" t="n">
        <f aca="false">In_Opex_Contingency*(BP74+BP75+BP76-BP73*In_MEKH)</f>
        <v>-36.1835558832485</v>
      </c>
      <c r="BQ78" s="47" t="n">
        <f aca="false">In_Opex_Contingency*(BQ74+BQ75+BQ76-BQ73*In_MEKH)</f>
        <v>-36.5811773764711</v>
      </c>
      <c r="BR78" s="47" t="n">
        <f aca="false">In_Opex_Contingency*(BR74+BR75+BR76-BR73*In_MEKH)</f>
        <v>-36.5470855257483</v>
      </c>
      <c r="BS78" s="47" t="n">
        <f aca="false">In_Opex_Contingency*(BS74+BS75+BS76-BS73*In_MEKH)</f>
        <v>-36.6438920403098</v>
      </c>
      <c r="BT78" s="47" t="n">
        <f aca="false">In_Opex_Contingency*(BT74+BT75+BT76-BT73*In_MEKH)</f>
        <v>-37.0510463963133</v>
      </c>
      <c r="BU78" s="47" t="n">
        <f aca="false">In_Opex_Contingency*(BU74+BU75+BU76-BU73*In_MEKH)</f>
        <v>-37.4582007523167</v>
      </c>
      <c r="BV78" s="47" t="n">
        <f aca="false">In_Opex_Contingency*(BV74+BV75+BV76-BV73*In_MEKH)</f>
        <v>-37.4233691235016</v>
      </c>
      <c r="BW78" s="47" t="n">
        <f aca="false">In_Opex_Contingency*(BW74+BW75+BW76-BW73*In_MEKH)</f>
        <v>-37.5225393751534</v>
      </c>
      <c r="BX78" s="47" t="n">
        <f aca="false">In_Opex_Contingency*(BX74+BX75+BX76-BX73*In_MEKH)</f>
        <v>-37.9394564793218</v>
      </c>
      <c r="BY78" s="47" t="n">
        <f aca="false">In_Opex_Contingency*(BY74+BY75+BY76-BY73*In_MEKH)</f>
        <v>-38.3563735834902</v>
      </c>
      <c r="BZ78" s="47" t="n">
        <f aca="false">In_Opex_Contingency*(BZ74+BZ75+BZ76-BZ73*In_MEKH)</f>
        <v>-38.3207860105176</v>
      </c>
      <c r="CA78" s="47" t="n">
        <f aca="false">In_Opex_Contingency*(CA74+CA75+CA76-CA73*In_MEKH)</f>
        <v>-38.8492926083099</v>
      </c>
      <c r="CB78" s="47" t="n">
        <f aca="false">In_Opex_Contingency*(CB74+CB75+CB76-CB73*In_MEKH)</f>
        <v>-38.8492926083099</v>
      </c>
      <c r="CC78" s="47" t="n">
        <f aca="false">In_Opex_Contingency*(CC74+CC75+CC76-CC73*In_MEKH)</f>
        <v>-39.2762079116979</v>
      </c>
      <c r="CD78" s="47" t="n">
        <f aca="false">In_Opex_Contingency*(CD74+CD75+CD76-CD73*In_MEKH)</f>
        <v>-39.2398478744351</v>
      </c>
      <c r="CE78" s="47" t="n">
        <f aca="false">In_Opex_Contingency*(CE74+CE75+CE76-CE73*In_MEKH)</f>
        <v>-39.343918906861</v>
      </c>
      <c r="CF78" s="47" t="n">
        <f aca="false">In_Opex_Contingency*(CF74+CF75+CF76-CF73*In_MEKH)</f>
        <v>-39.7810735613816</v>
      </c>
      <c r="CG78" s="47" t="n">
        <f aca="false">In_Opex_Contingency*(CG74+CG75+CG76-CG73*In_MEKH)</f>
        <v>-40.2182282159023</v>
      </c>
      <c r="CH78" s="47" t="n">
        <f aca="false">In_Opex_Contingency*(CH74+CH75+CH76-CH73*In_MEKH)</f>
        <v>-40.1810788323887</v>
      </c>
      <c r="CI78" s="47" t="n">
        <f aca="false">In_Opex_Contingency*(CI74+CI75+CI76-CI73*In_MEKH)</f>
        <v>-40.2876897214819</v>
      </c>
      <c r="CJ78" s="47" t="n">
        <f aca="false">In_Opex_Contingency*(CJ74+CJ75+CJ76-CJ73*In_MEKH)</f>
        <v>-40.7353307183873</v>
      </c>
      <c r="CK78" s="47" t="n">
        <f aca="false">In_Opex_Contingency*(CK74+CK75+CK76-CK73*In_MEKH)</f>
        <v>-41.1829717152927</v>
      </c>
      <c r="CL78" s="47" t="n">
        <f aca="false">In_Opex_Contingency*(CL74+CL75+CL76-CL73*In_MEKH)</f>
        <v>-41.1450157338092</v>
      </c>
      <c r="CM78" s="47" t="n">
        <f aca="false">In_Opex_Contingency*(CM74+CM75+CM76-CM73*In_MEKH)</f>
        <v>-41.2542280561852</v>
      </c>
      <c r="CN78" s="47" t="n">
        <f aca="false">In_Opex_Contingency*(CN74+CN75+CN76-CN73*In_MEKH)</f>
        <v>-41.7126083679206</v>
      </c>
      <c r="CO78" s="47" t="n">
        <f aca="false">In_Opex_Contingency*(CO74+CO75+CO76-CO73*In_MEKH)</f>
        <v>-42.170988679656</v>
      </c>
      <c r="CP78" s="47" t="n">
        <f aca="false">In_Opex_Contingency*(CP74+CP75+CP76-CP73*In_MEKH)</f>
        <v>-42.132208470621</v>
      </c>
      <c r="CQ78" s="47" t="n">
        <f aca="false">In_Opex_Contingency*(CQ74+CQ75+CQ76-CQ73*In_MEKH)</f>
        <v>-42.7134640218145</v>
      </c>
      <c r="CR78" s="47" t="n">
        <f aca="false">In_Opex_Contingency*(CR74+CR75+CR76-CR73*In_MEKH)</f>
        <v>-42.7134640218145</v>
      </c>
      <c r="CS78" s="47" t="n">
        <f aca="false">In_Opex_Contingency*(CS74+CS75+CS76-CS73*In_MEKH)</f>
        <v>-43.182842747329</v>
      </c>
      <c r="CT78" s="47" t="n">
        <f aca="false">In_Opex_Contingency*(CT74+CT75+CT76-CT73*In_MEKH)</f>
        <v>-43.1432202950161</v>
      </c>
      <c r="CU78" s="47" t="n">
        <f aca="false">In_Opex_Contingency*(CU74+CU75+CU76-CU73*In_MEKH)</f>
        <v>-43.2578262237228</v>
      </c>
      <c r="CV78" s="47" t="n">
        <f aca="false">In_Opex_Contingency*(CV74+CV75+CV76-CV73*In_MEKH)</f>
        <v>-43.7384687373197</v>
      </c>
      <c r="CW78" s="47" t="n">
        <f aca="false">In_Opex_Contingency*(CW74+CW75+CW76-CW73*In_MEKH)</f>
        <v>-44.2191112509166</v>
      </c>
      <c r="CX78" s="47" t="n">
        <f aca="false">In_Opex_Contingency*(CX74+CX75+CX76-CX73*In_MEKH)</f>
        <v>-44.1786281449912</v>
      </c>
      <c r="CY78" s="47" t="n">
        <f aca="false">In_Opex_Contingency*(CY74+CY75+CY76-CY73*In_MEKH)</f>
        <v>-44.2960293433376</v>
      </c>
      <c r="CZ78" s="47" t="n">
        <f aca="false">In_Opex_Contingency*(CZ74+CZ75+CZ76-CZ73*In_MEKH)</f>
        <v>-44.7882074471524</v>
      </c>
      <c r="DA78" s="47" t="n">
        <f aca="false">In_Opex_Contingency*(DA74+DA75+DA76-DA73*In_MEKH)</f>
        <v>-45.2803855509673</v>
      </c>
      <c r="DB78" s="47" t="n">
        <f aca="false">In_Opex_Contingency*(DB74+DB75+DB76-DB73*In_MEKH)</f>
        <v>-45.2390229778375</v>
      </c>
      <c r="DC78" s="47" t="n">
        <f aca="false">In_Opex_Contingency*(DC74+DC75+DC76-DC73*In_MEKH)</f>
        <v>-45.3592872174131</v>
      </c>
      <c r="DD78" s="47" t="n">
        <f aca="false">In_Opex_Contingency*(DD74+DD75+DD76-DD73*In_MEKH)</f>
        <v>-45.8632792976066</v>
      </c>
      <c r="DE78" s="47" t="n">
        <f aca="false">In_Opex_Contingency*(DE74+DE75+DE76-DE73*In_MEKH)</f>
        <v>-46.3672713778001</v>
      </c>
      <c r="DF78" s="47" t="n">
        <f aca="false">In_Opex_Contingency*(DF74+DF75+DF76-DF73*In_MEKH)</f>
        <v>-46.3250101117778</v>
      </c>
      <c r="DG78" s="47" t="n">
        <f aca="false">In_Opex_Contingency*(DG74+DG75+DG76-DG73*In_MEKH)</f>
        <v>-46.9642979949254</v>
      </c>
      <c r="DH78" s="47" t="n">
        <f aca="false">In_Opex_Contingency*(DH74+DH75+DH76-DH73*In_MEKH)</f>
        <v>-46.9642979949254</v>
      </c>
      <c r="DI78" s="47" t="n">
        <f aca="false">In_Opex_Contingency*(DI74+DI75+DI76-DI73*In_MEKH)</f>
        <v>-47.4803891816828</v>
      </c>
      <c r="DJ78" s="47" t="n">
        <f aca="false">In_Opex_Contingency*(DJ74+DJ75+DJ76-DJ73*In_MEKH)</f>
        <v>-47.4372095759517</v>
      </c>
      <c r="DK78" s="47" t="n">
        <f aca="false">In_Opex_Contingency*(DK74+DK75+DK76-DK73*In_MEKH)</f>
        <v>-47.5634098287061</v>
      </c>
      <c r="DL78" s="47" t="n">
        <f aca="false">In_Opex_Contingency*(DL74+DL75+DL76-DL73*In_MEKH)</f>
        <v>-48.0918921601362</v>
      </c>
      <c r="DM78" s="47" t="n">
        <f aca="false">In_Opex_Contingency*(DM74+DM75+DM76-DM73*In_MEKH)</f>
        <v>-48.6203744915662</v>
      </c>
      <c r="DN78" s="47" t="n">
        <f aca="false">In_Opex_Contingency*(DN74+DN75+DN76-DN73*In_MEKH)</f>
        <v>-48.5762564689508</v>
      </c>
      <c r="DO78" s="47" t="n">
        <f aca="false">In_Opex_Contingency*(DO74+DO75+DO76-DO73*In_MEKH)</f>
        <v>-48.7055331025274</v>
      </c>
      <c r="DP78" s="47" t="n">
        <f aca="false">In_Opex_Contingency*(DP74+DP75+DP76-DP73*In_MEKH)</f>
        <v>-49.2467056925555</v>
      </c>
      <c r="DQ78" s="47" t="n">
        <f aca="false">In_Opex_Contingency*(DQ74+DQ75+DQ76-DQ73*In_MEKH)</f>
        <v>-49.7878782825836</v>
      </c>
      <c r="DR78" s="47" t="n">
        <f aca="false">In_Opex_Contingency*(DR74+DR75+DR76-DR73*In_MEKH)</f>
        <v>-49.7428013261166</v>
      </c>
      <c r="DS78" s="47" t="n">
        <f aca="false">In_Opex_Contingency*(DS74+DS75+DS76-DS73*In_MEKH)</f>
        <v>-49.8752289318226</v>
      </c>
      <c r="DT78" s="47" t="n">
        <f aca="false">In_Opex_Contingency*(DT74+DT75+DT76-DT73*In_MEKH)</f>
        <v>-50.4293981421762</v>
      </c>
      <c r="DU78" s="47" t="n">
        <f aca="false">In_Opex_Contingency*(DU74+DU75+DU76-DU73*In_MEKH)</f>
        <v>-50.9835673525298</v>
      </c>
      <c r="DV78" s="47" t="n">
        <f aca="false">In_Opex_Contingency*(DV74+DV75+DV76-DV73*In_MEKH)</f>
        <v>-50.9375104958125</v>
      </c>
      <c r="DW78" s="47" t="n">
        <f aca="false">In_Opex_Contingency*(DW74+DW75+DW76-DW73*In_MEKH)</f>
        <v>-51.6406450911548</v>
      </c>
      <c r="DX78" s="47" t="n">
        <f aca="false">In_Opex_Contingency*(DX74+DX75+DX76-DX73*In_MEKH)</f>
        <v>-51.6406450911548</v>
      </c>
      <c r="DY78" s="47" t="n">
        <f aca="false">In_Opex_Contingency*(DY74+DY75+DY76-DY73*In_MEKH)</f>
        <v>-52.2081247075411</v>
      </c>
      <c r="DZ78" s="47" t="n">
        <f aca="false">In_Opex_Contingency*(DZ74+DZ75+DZ76-DZ73*In_MEKH)</f>
        <v>-52.1610665248923</v>
      </c>
      <c r="EA78" s="47" t="n">
        <f aca="false">In_Opex_Contingency*(EA74+EA75+EA76-EA73*In_MEKH)</f>
        <v>-52.3000271320433</v>
      </c>
      <c r="EB78" s="47" t="n">
        <f aca="false">In_Opex_Contingency*(EB74+EB75+EB76-EB73*In_MEKH)</f>
        <v>-52.8811385446215</v>
      </c>
      <c r="EC78" s="47" t="n">
        <f aca="false">In_Opex_Contingency*(EC74+EC75+EC76-EC73*In_MEKH)</f>
        <v>-53.4622499571998</v>
      </c>
      <c r="ED78" s="47" t="n">
        <f aca="false">In_Opex_Contingency*(ED74+ED75+ED76-ED73*In_MEKH)</f>
        <v>-53.4141685535888</v>
      </c>
      <c r="EE78" s="47" t="n">
        <f aca="false">In_Opex_Contingency*(EE74+EE75+EE76-EE73*In_MEKH)</f>
        <v>-53.5565149427885</v>
      </c>
      <c r="EF78" s="47" t="n">
        <f aca="false">In_Opex_Contingency*(EF74+EF75+EF76-EF73*In_MEKH)</f>
        <v>-54.1515873310417</v>
      </c>
      <c r="EG78" s="47" t="n">
        <f aca="false">In_Opex_Contingency*(EG74+EG75+EG76-EG73*In_MEKH)</f>
        <v>-54.7466597192949</v>
      </c>
      <c r="EH78" s="47" t="n">
        <f aca="false">In_Opex_Contingency*(EH74+EH75+EH76-EH73*In_MEKH)</f>
        <v>-54.6975327200541</v>
      </c>
      <c r="EI78" s="47" t="n">
        <f aca="false">In_Opex_Contingency*(EI74+EI75+EI76-EI73*In_MEKH)</f>
        <v>-54.8433469902487</v>
      </c>
      <c r="EJ78" s="47" t="n">
        <f aca="false">In_Opex_Contingency*(EJ74+EJ75+EJ76-EJ73*In_MEKH)</f>
        <v>-55.4527175123626</v>
      </c>
      <c r="EK78" s="47" t="n">
        <f aca="false">In_Opex_Contingency*(EK74+EK75+EK76-EK73*In_MEKH)</f>
        <v>-56.0620880344765</v>
      </c>
      <c r="EL78" s="47" t="n">
        <f aca="false">In_Opex_Contingency*(EL74+EL75+EL76-EL73*In_MEKH)</f>
        <v>-56.0118925747881</v>
      </c>
      <c r="EM78" s="47" t="n">
        <f aca="false">In_Opex_Contingency*(EM74+EM75+EM76-EM73*In_MEKH)</f>
        <v>-56.7852728041846</v>
      </c>
      <c r="EN78" s="47" t="n">
        <f aca="false">In_Opex_Contingency*(EN74+EN75+EN76-EN73*In_MEKH)</f>
        <v>-56.7852728041846</v>
      </c>
      <c r="EO78" s="47" t="n">
        <f aca="false">In_Opex_Contingency*(EO74+EO75+EO76-EO73*In_MEKH)</f>
        <v>-57.4092867910437</v>
      </c>
    </row>
    <row r="79" customFormat="false" ht="15" hidden="false" customHeight="false" outlineLevel="0" collapsed="false">
      <c r="C79" s="0" t="s">
        <v>23</v>
      </c>
      <c r="D79" s="11" t="s">
        <v>33</v>
      </c>
      <c r="I79" s="47" t="n">
        <f aca="false">SUM(J79:EO79)</f>
        <v>-12032.8750809572</v>
      </c>
      <c r="J79" s="47" t="n">
        <f aca="false">-$E33*J72/Thousand</f>
        <v>-0</v>
      </c>
      <c r="K79" s="47" t="n">
        <f aca="false">-$E33*K72/Thousand</f>
        <v>-0</v>
      </c>
      <c r="L79" s="47" t="n">
        <f aca="false">-$E33*L72/Thousand</f>
        <v>-0</v>
      </c>
      <c r="M79" s="47" t="n">
        <f aca="false">-$E33*M72/Thousand</f>
        <v>-0</v>
      </c>
      <c r="N79" s="47" t="n">
        <f aca="false">-$E33*N72/Thousand</f>
        <v>-0</v>
      </c>
      <c r="O79" s="47" t="n">
        <f aca="false">-$E33*O72/Thousand</f>
        <v>-0</v>
      </c>
      <c r="P79" s="47" t="n">
        <f aca="false">-$E33*P72/Thousand</f>
        <v>-0</v>
      </c>
      <c r="Q79" s="47" t="n">
        <f aca="false">-$E33*Q72/Thousand</f>
        <v>-0</v>
      </c>
      <c r="R79" s="47" t="n">
        <f aca="false">-$E33*R72/Thousand</f>
        <v>-0</v>
      </c>
      <c r="S79" s="47" t="n">
        <f aca="false">-$E33*S72/Thousand</f>
        <v>-0</v>
      </c>
      <c r="T79" s="47" t="n">
        <f aca="false">-$E33*T72/Thousand</f>
        <v>-0</v>
      </c>
      <c r="U79" s="47" t="n">
        <f aca="false">-$E33*U72/Thousand</f>
        <v>-0</v>
      </c>
      <c r="V79" s="47" t="n">
        <f aca="false">-$E33*V72/Thousand</f>
        <v>-0</v>
      </c>
      <c r="W79" s="47" t="n">
        <f aca="false">-$E33*W72/Thousand</f>
        <v>-0</v>
      </c>
      <c r="X79" s="47" t="n">
        <f aca="false">-$E33*X72/Thousand</f>
        <v>-0</v>
      </c>
      <c r="Y79" s="47" t="n">
        <f aca="false">-$E33*Y72/Thousand</f>
        <v>-0</v>
      </c>
      <c r="Z79" s="47" t="n">
        <f aca="false">-$E33*Z72/Thousand</f>
        <v>-105.4872</v>
      </c>
      <c r="AA79" s="47" t="n">
        <f aca="false">-$E33*AA72/Thousand</f>
        <v>-103.194</v>
      </c>
      <c r="AB79" s="47" t="n">
        <f aca="false">-$E33*AB72/Thousand</f>
        <v>-104.3406</v>
      </c>
      <c r="AC79" s="47" t="n">
        <f aca="false">-$E33*AC72/Thousand</f>
        <v>-105.4872</v>
      </c>
      <c r="AD79" s="47" t="n">
        <f aca="false">-$E33*AD72/Thousand</f>
        <v>-105.1707384</v>
      </c>
      <c r="AE79" s="47" t="n">
        <f aca="false">-$E33*AE72/Thousand</f>
        <v>-104.0275782</v>
      </c>
      <c r="AF79" s="47" t="n">
        <f aca="false">-$E33*AF72/Thousand</f>
        <v>-104.0275782</v>
      </c>
      <c r="AG79" s="47" t="n">
        <f aca="false">-$E33*AG72/Thousand</f>
        <v>-105.1707384</v>
      </c>
      <c r="AH79" s="47" t="n">
        <f aca="false">-$E33*AH72/Thousand</f>
        <v>-104.8552261848</v>
      </c>
      <c r="AI79" s="47" t="n">
        <f aca="false">-$E33*AI72/Thousand</f>
        <v>-102.575764746</v>
      </c>
      <c r="AJ79" s="47" t="n">
        <f aca="false">-$E33*AJ72/Thousand</f>
        <v>-103.7154954654</v>
      </c>
      <c r="AK79" s="47" t="n">
        <f aca="false">-$E33*AK72/Thousand</f>
        <v>-104.8552261848</v>
      </c>
      <c r="AL79" s="47" t="n">
        <f aca="false">-$E33*AL72/Thousand</f>
        <v>-104.540660506246</v>
      </c>
      <c r="AM79" s="47" t="n">
        <f aca="false">-$E33*AM72/Thousand</f>
        <v>-102.268037451762</v>
      </c>
      <c r="AN79" s="47" t="n">
        <f aca="false">-$E33*AN72/Thousand</f>
        <v>-103.404348979004</v>
      </c>
      <c r="AO79" s="47" t="n">
        <f aca="false">-$E33*AO72/Thousand</f>
        <v>-104.540660506246</v>
      </c>
      <c r="AP79" s="47" t="n">
        <f aca="false">-$E33*AP72/Thousand</f>
        <v>-104.227038524727</v>
      </c>
      <c r="AQ79" s="47" t="n">
        <f aca="false">-$E33*AQ72/Thousand</f>
        <v>-101.961233339407</v>
      </c>
      <c r="AR79" s="47" t="n">
        <f aca="false">-$E33*AR72/Thousand</f>
        <v>-103.094135932067</v>
      </c>
      <c r="AS79" s="47" t="n">
        <f aca="false">-$E33*AS72/Thousand</f>
        <v>-104.227038524727</v>
      </c>
      <c r="AT79" s="47" t="n">
        <f aca="false">-$E33*AT72/Thousand</f>
        <v>-103.914357409153</v>
      </c>
      <c r="AU79" s="47" t="n">
        <f aca="false">-$E33*AU72/Thousand</f>
        <v>-102.784853524271</v>
      </c>
      <c r="AV79" s="47" t="n">
        <f aca="false">-$E33*AV72/Thousand</f>
        <v>-102.784853524271</v>
      </c>
      <c r="AW79" s="47" t="n">
        <f aca="false">-$E33*AW72/Thousand</f>
        <v>-103.914357409153</v>
      </c>
      <c r="AX79" s="47" t="n">
        <f aca="false">-$E33*AX72/Thousand</f>
        <v>-103.602614336925</v>
      </c>
      <c r="AY79" s="47" t="n">
        <f aca="false">-$E33*AY72/Thousand</f>
        <v>-101.35038359047</v>
      </c>
      <c r="AZ79" s="47" t="n">
        <f aca="false">-$E33*AZ72/Thousand</f>
        <v>-102.476498963698</v>
      </c>
      <c r="BA79" s="47" t="n">
        <f aca="false">-$E33*BA72/Thousand</f>
        <v>-103.602614336925</v>
      </c>
      <c r="BB79" s="47" t="n">
        <f aca="false">-$E33*BB72/Thousand</f>
        <v>-103.291806493914</v>
      </c>
      <c r="BC79" s="47" t="n">
        <f aca="false">-$E33*BC72/Thousand</f>
        <v>-101.046332439699</v>
      </c>
      <c r="BD79" s="47" t="n">
        <f aca="false">-$E33*BD72/Thousand</f>
        <v>-102.169069466807</v>
      </c>
      <c r="BE79" s="47" t="n">
        <f aca="false">-$E33*BE72/Thousand</f>
        <v>-103.291806493914</v>
      </c>
      <c r="BF79" s="47" t="n">
        <f aca="false">-$E33*BF72/Thousand</f>
        <v>-102.981931074433</v>
      </c>
      <c r="BG79" s="47" t="n">
        <f aca="false">-$E33*BG72/Thousand</f>
        <v>-100.74319344238</v>
      </c>
      <c r="BH79" s="47" t="n">
        <f aca="false">-$E33*BH72/Thousand</f>
        <v>-101.862562258406</v>
      </c>
      <c r="BI79" s="47" t="n">
        <f aca="false">-$E33*BI72/Thousand</f>
        <v>-102.981931074433</v>
      </c>
      <c r="BJ79" s="47" t="n">
        <f aca="false">-$E33*BJ72/Thousand</f>
        <v>-102.672985281209</v>
      </c>
      <c r="BK79" s="47" t="n">
        <f aca="false">-$E33*BK72/Thousand</f>
        <v>-101.556974571631</v>
      </c>
      <c r="BL79" s="47" t="n">
        <f aca="false">-$E33*BL72/Thousand</f>
        <v>-101.556974571631</v>
      </c>
      <c r="BM79" s="47" t="n">
        <f aca="false">-$E33*BM72/Thousand</f>
        <v>-102.672985281209</v>
      </c>
      <c r="BN79" s="47" t="n">
        <f aca="false">-$E33*BN72/Thousand</f>
        <v>-102.364966325366</v>
      </c>
      <c r="BO79" s="47" t="n">
        <f aca="false">-$E33*BO72/Thousand</f>
        <v>-100.139640970467</v>
      </c>
      <c r="BP79" s="47" t="n">
        <f aca="false">-$E33*BP72/Thousand</f>
        <v>-101.252303647916</v>
      </c>
      <c r="BQ79" s="47" t="n">
        <f aca="false">-$E33*BQ72/Thousand</f>
        <v>-102.364966325366</v>
      </c>
      <c r="BR79" s="47" t="n">
        <f aca="false">-$E33*BR72/Thousand</f>
        <v>-102.05787142639</v>
      </c>
      <c r="BS79" s="47" t="n">
        <f aca="false">-$E33*BS72/Thousand</f>
        <v>-99.8392220475551</v>
      </c>
      <c r="BT79" s="47" t="n">
        <f aca="false">-$E33*BT72/Thousand</f>
        <v>-100.948546736972</v>
      </c>
      <c r="BU79" s="47" t="n">
        <f aca="false">-$E33*BU72/Thousand</f>
        <v>-102.05787142639</v>
      </c>
      <c r="BV79" s="47" t="n">
        <f aca="false">-$E33*BV72/Thousand</f>
        <v>-101.751697812111</v>
      </c>
      <c r="BW79" s="47" t="n">
        <f aca="false">-$E33*BW72/Thousand</f>
        <v>-99.5397043814125</v>
      </c>
      <c r="BX79" s="47" t="n">
        <f aca="false">-$E33*BX72/Thousand</f>
        <v>-100.645701096762</v>
      </c>
      <c r="BY79" s="47" t="n">
        <f aca="false">-$E33*BY72/Thousand</f>
        <v>-101.751697812111</v>
      </c>
      <c r="BZ79" s="47" t="n">
        <f aca="false">-$E33*BZ72/Thousand</f>
        <v>-101.446442718674</v>
      </c>
      <c r="CA79" s="47" t="n">
        <f aca="false">-$E33*CA72/Thousand</f>
        <v>-100.343763993471</v>
      </c>
      <c r="CB79" s="47" t="n">
        <f aca="false">-$E33*CB72/Thousand</f>
        <v>-100.343763993471</v>
      </c>
      <c r="CC79" s="47" t="n">
        <f aca="false">-$E33*CC72/Thousand</f>
        <v>-101.446442718674</v>
      </c>
      <c r="CD79" s="47" t="n">
        <f aca="false">-$E33*CD72/Thousand</f>
        <v>-101.142103390518</v>
      </c>
      <c r="CE79" s="47" t="n">
        <f aca="false">-$E33*CE72/Thousand</f>
        <v>-98.9433620124634</v>
      </c>
      <c r="CF79" s="47" t="n">
        <f aca="false">-$E33*CF72/Thousand</f>
        <v>-100.042732701491</v>
      </c>
      <c r="CG79" s="47" t="n">
        <f aca="false">-$E33*CG72/Thousand</f>
        <v>-101.142103390518</v>
      </c>
      <c r="CH79" s="47" t="n">
        <f aca="false">-$E33*CH72/Thousand</f>
        <v>-100.838677080347</v>
      </c>
      <c r="CI79" s="47" t="n">
        <f aca="false">-$E33*CI72/Thousand</f>
        <v>-98.646531926426</v>
      </c>
      <c r="CJ79" s="47" t="n">
        <f aca="false">-$E33*CJ72/Thousand</f>
        <v>-99.7426045033863</v>
      </c>
      <c r="CK79" s="47" t="n">
        <f aca="false">-$E33*CK72/Thousand</f>
        <v>-100.838677080347</v>
      </c>
      <c r="CL79" s="47" t="n">
        <f aca="false">-$E33*CL72/Thousand</f>
        <v>-100.536161049106</v>
      </c>
      <c r="CM79" s="47" t="n">
        <f aca="false">-$E33*CM72/Thousand</f>
        <v>-98.3505923306468</v>
      </c>
      <c r="CN79" s="47" t="n">
        <f aca="false">-$E33*CN72/Thousand</f>
        <v>-99.4433766898762</v>
      </c>
      <c r="CO79" s="47" t="n">
        <f aca="false">-$E33*CO72/Thousand</f>
        <v>-100.536161049106</v>
      </c>
      <c r="CP79" s="47" t="n">
        <f aca="false">-$E33*CP72/Thousand</f>
        <v>-100.234552565958</v>
      </c>
      <c r="CQ79" s="47" t="n">
        <f aca="false">-$E33*CQ72/Thousand</f>
        <v>-99.1450465598065</v>
      </c>
      <c r="CR79" s="47" t="n">
        <f aca="false">-$E33*CR72/Thousand</f>
        <v>-99.1450465598065</v>
      </c>
      <c r="CS79" s="47" t="n">
        <f aca="false">-$E33*CS72/Thousand</f>
        <v>-100.234552565958</v>
      </c>
      <c r="CT79" s="47" t="n">
        <f aca="false">-$E33*CT72/Thousand</f>
        <v>-99.9338489082604</v>
      </c>
      <c r="CU79" s="47" t="n">
        <f aca="false">-$E33*CU72/Thousand</f>
        <v>-97.7613739319939</v>
      </c>
      <c r="CV79" s="47" t="n">
        <f aca="false">-$E33*CV72/Thousand</f>
        <v>-98.8476114201271</v>
      </c>
      <c r="CW79" s="47" t="n">
        <f aca="false">-$E33*CW72/Thousand</f>
        <v>-99.9338489082604</v>
      </c>
      <c r="CX79" s="47" t="n">
        <f aca="false">-$E33*CX72/Thousand</f>
        <v>-99.6340473615356</v>
      </c>
      <c r="CY79" s="47" t="n">
        <f aca="false">-$E33*CY72/Thousand</f>
        <v>-97.4680898101979</v>
      </c>
      <c r="CZ79" s="47" t="n">
        <f aca="false">-$E33*CZ72/Thousand</f>
        <v>-98.5510685858667</v>
      </c>
      <c r="DA79" s="47" t="n">
        <f aca="false">-$E33*DA72/Thousand</f>
        <v>-99.6340473615356</v>
      </c>
      <c r="DB79" s="47" t="n">
        <f aca="false">-$E33*DB72/Thousand</f>
        <v>-99.335145219451</v>
      </c>
      <c r="DC79" s="47" t="n">
        <f aca="false">-$E33*DC72/Thousand</f>
        <v>-97.1756855407673</v>
      </c>
      <c r="DD79" s="47" t="n">
        <f aca="false">-$E33*DD72/Thousand</f>
        <v>-98.2554153801091</v>
      </c>
      <c r="DE79" s="47" t="n">
        <f aca="false">-$E33*DE72/Thousand</f>
        <v>-99.335145219451</v>
      </c>
      <c r="DF79" s="47" t="n">
        <f aca="false">-$E33*DF72/Thousand</f>
        <v>-99.0371397837927</v>
      </c>
      <c r="DG79" s="47" t="n">
        <f aca="false">-$E33*DG72/Thousand</f>
        <v>-97.9606491339688</v>
      </c>
      <c r="DH79" s="47" t="n">
        <f aca="false">-$E33*DH72/Thousand</f>
        <v>-97.9606491339688</v>
      </c>
      <c r="DI79" s="47" t="n">
        <f aca="false">-$E33*DI72/Thousand</f>
        <v>-99.0371397837927</v>
      </c>
      <c r="DJ79" s="47" t="n">
        <f aca="false">-$E33*DJ72/Thousand</f>
        <v>-98.7400283644413</v>
      </c>
      <c r="DK79" s="47" t="n">
        <f aca="false">-$E33*DK72/Thousand</f>
        <v>-96.5935060086926</v>
      </c>
      <c r="DL79" s="47" t="n">
        <f aca="false">-$E33*DL72/Thousand</f>
        <v>-97.6667671865669</v>
      </c>
      <c r="DM79" s="47" t="n">
        <f aca="false">-$E33*DM72/Thousand</f>
        <v>-98.7400283644413</v>
      </c>
      <c r="DN79" s="47" t="n">
        <f aca="false">-$E33*DN72/Thousand</f>
        <v>-98.443808279348</v>
      </c>
      <c r="DO79" s="47" t="n">
        <f aca="false">-$E33*DO72/Thousand</f>
        <v>-96.3037254906665</v>
      </c>
      <c r="DP79" s="47" t="n">
        <f aca="false">-$E33*DP72/Thousand</f>
        <v>-97.3737668850072</v>
      </c>
      <c r="DQ79" s="47" t="n">
        <f aca="false">-$E33*DQ72/Thousand</f>
        <v>-98.443808279348</v>
      </c>
      <c r="DR79" s="47" t="n">
        <f aca="false">-$E33*DR72/Thousand</f>
        <v>-98.1484768545099</v>
      </c>
      <c r="DS79" s="47" t="n">
        <f aca="false">-$E33*DS72/Thousand</f>
        <v>-96.0148143141945</v>
      </c>
      <c r="DT79" s="47" t="n">
        <f aca="false">-$E33*DT72/Thousand</f>
        <v>-97.0816455843522</v>
      </c>
      <c r="DU79" s="47" t="n">
        <f aca="false">-$E33*DU72/Thousand</f>
        <v>-98.1484768545099</v>
      </c>
      <c r="DV79" s="47" t="n">
        <f aca="false">-$E33*DV72/Thousand</f>
        <v>-97.8540314239464</v>
      </c>
      <c r="DW79" s="47" t="n">
        <f aca="false">-$E33*DW72/Thousand</f>
        <v>-96.7904006475991</v>
      </c>
      <c r="DX79" s="47" t="n">
        <f aca="false">-$E33*DX72/Thousand</f>
        <v>-96.7904006475991</v>
      </c>
      <c r="DY79" s="47" t="n">
        <f aca="false">-$E33*DY72/Thousand</f>
        <v>-97.8540314239464</v>
      </c>
      <c r="DZ79" s="47" t="n">
        <f aca="false">-$E33*DZ72/Thousand</f>
        <v>-97.5604693296746</v>
      </c>
      <c r="EA79" s="47" t="n">
        <f aca="false">-$E33*EA72/Thousand</f>
        <v>-95.4395895616381</v>
      </c>
      <c r="EB79" s="47" t="n">
        <f aca="false">-$E33*EB72/Thousand</f>
        <v>-96.5000294456563</v>
      </c>
      <c r="EC79" s="47" t="n">
        <f aca="false">-$E33*EC72/Thousand</f>
        <v>-97.5604693296746</v>
      </c>
      <c r="ED79" s="47" t="n">
        <f aca="false">-$E33*ED72/Thousand</f>
        <v>-97.2677879216855</v>
      </c>
      <c r="EE79" s="47" t="n">
        <f aca="false">-$E33*EE72/Thousand</f>
        <v>-95.1532707929532</v>
      </c>
      <c r="EF79" s="47" t="n">
        <f aca="false">-$E33*EF72/Thousand</f>
        <v>-96.2105293573194</v>
      </c>
      <c r="EG79" s="47" t="n">
        <f aca="false">-$E33*EG72/Thousand</f>
        <v>-97.2677879216855</v>
      </c>
      <c r="EH79" s="47" t="n">
        <f aca="false">-$E33*EH72/Thousand</f>
        <v>-96.9759845579205</v>
      </c>
      <c r="EI79" s="47" t="n">
        <f aca="false">-$E33*EI72/Thousand</f>
        <v>-94.8678109805744</v>
      </c>
      <c r="EJ79" s="47" t="n">
        <f aca="false">-$E33*EJ72/Thousand</f>
        <v>-95.9218977692474</v>
      </c>
      <c r="EK79" s="47" t="n">
        <f aca="false">-$E33*EK72/Thousand</f>
        <v>-96.9759845579205</v>
      </c>
      <c r="EL79" s="47" t="n">
        <f aca="false">-$E33*EL72/Thousand</f>
        <v>-96.6850566042467</v>
      </c>
      <c r="EM79" s="47" t="n">
        <f aca="false">-$E33*EM72/Thousand</f>
        <v>-95.6341320759397</v>
      </c>
      <c r="EN79" s="47" t="n">
        <f aca="false">-$E33*EN72/Thousand</f>
        <v>-95.6341320759397</v>
      </c>
      <c r="EO79" s="47" t="n">
        <f aca="false">-$E33*EO72/Thousand</f>
        <v>-96.6850566042467</v>
      </c>
    </row>
    <row r="80" customFormat="false" ht="15" hidden="false" customHeight="false" outlineLevel="0" collapsed="false">
      <c r="C80" s="25" t="s">
        <v>446</v>
      </c>
      <c r="D80" s="11" t="s">
        <v>33</v>
      </c>
      <c r="E80" s="56" t="n">
        <f aca="false">SUMIF($J$7:$EO$7,YEAR(In_COD)+1,$J80:$EO80)</f>
        <v>9556.88408374485</v>
      </c>
      <c r="I80" s="56" t="n">
        <f aca="false">SUM(J80:EO80)</f>
        <v>295373.32772584</v>
      </c>
      <c r="J80" s="56" t="n">
        <f aca="false">SUM(J73:J79)</f>
        <v>0</v>
      </c>
      <c r="K80" s="56" t="n">
        <f aca="false">SUM(K73:K79)</f>
        <v>0</v>
      </c>
      <c r="L80" s="56" t="n">
        <f aca="false">SUM(L73:L79)</f>
        <v>0</v>
      </c>
      <c r="M80" s="56" t="n">
        <f aca="false">SUM(M73:M79)</f>
        <v>0</v>
      </c>
      <c r="N80" s="56" t="n">
        <f aca="false">SUM(N73:N79)</f>
        <v>0</v>
      </c>
      <c r="O80" s="56" t="n">
        <f aca="false">SUM(O73:O79)</f>
        <v>0</v>
      </c>
      <c r="P80" s="56" t="n">
        <f aca="false">SUM(P73:P79)</f>
        <v>0</v>
      </c>
      <c r="Q80" s="56" t="n">
        <f aca="false">SUM(Q73:Q79)</f>
        <v>0</v>
      </c>
      <c r="R80" s="56" t="n">
        <f aca="false">SUM(R73:R79)</f>
        <v>-41.5643004408661</v>
      </c>
      <c r="S80" s="56" t="n">
        <f aca="false">SUM(S73:S79)</f>
        <v>-41.6772469094554</v>
      </c>
      <c r="T80" s="56" t="n">
        <f aca="false">SUM(T73:T79)</f>
        <v>-42.1403274306716</v>
      </c>
      <c r="U80" s="56" t="n">
        <f aca="false">SUM(U73:U79)</f>
        <v>-42.6034079518878</v>
      </c>
      <c r="V80" s="56" t="n">
        <f aca="false">SUM(V73:V79)</f>
        <v>-42.6034079518878</v>
      </c>
      <c r="W80" s="56" t="n">
        <f aca="false">SUM(W73:W79)</f>
        <v>-42.7191780821918</v>
      </c>
      <c r="X80" s="56" t="n">
        <f aca="false">SUM(X73:X79)</f>
        <v>-43.1938356164384</v>
      </c>
      <c r="Y80" s="56" t="n">
        <f aca="false">SUM(Y73:Y79)</f>
        <v>-43.6684931506849</v>
      </c>
      <c r="Z80" s="56" t="n">
        <f aca="false">SUM(Z73:Z79)</f>
        <v>2394.81444547397</v>
      </c>
      <c r="AA80" s="56" t="n">
        <f aca="false">SUM(AA73:AA79)</f>
        <v>2358.58146048863</v>
      </c>
      <c r="AB80" s="56" t="n">
        <f aca="false">SUM(AB73:AB79)</f>
        <v>2384.78792116073</v>
      </c>
      <c r="AC80" s="56" t="n">
        <f aca="false">SUM(AC73:AC79)</f>
        <v>2410.99438183282</v>
      </c>
      <c r="AD80" s="56" t="n">
        <f aca="false">SUM(AD73:AD79)</f>
        <v>2402.52032026267</v>
      </c>
      <c r="AE80" s="56" t="n">
        <f aca="false">SUM(AE73:AE79)</f>
        <v>2392.27337019217</v>
      </c>
      <c r="AF80" s="56" t="n">
        <f aca="false">SUM(AF73:AF79)</f>
        <v>2392.27337019217</v>
      </c>
      <c r="AG80" s="56" t="n">
        <f aca="false">SUM(AG73:AG79)</f>
        <v>2418.56208854593</v>
      </c>
      <c r="AH80" s="56" t="n">
        <f aca="false">SUM(AH73:AH79)</f>
        <v>2410.03429689502</v>
      </c>
      <c r="AI80" s="56" t="n">
        <f aca="false">SUM(AI73:AI79)</f>
        <v>2373.19324507827</v>
      </c>
      <c r="AJ80" s="56" t="n">
        <f aca="false">SUM(AJ73:AJ79)</f>
        <v>2399.56205891247</v>
      </c>
      <c r="AK80" s="56" t="n">
        <f aca="false">SUM(AK73:AK79)</f>
        <v>2425.93087274668</v>
      </c>
      <c r="AL80" s="56" t="n">
        <f aca="false">SUM(AL73:AL79)</f>
        <v>2417.34917210853</v>
      </c>
      <c r="AM80" s="56" t="n">
        <f aca="false">SUM(AM73:AM79)</f>
        <v>2380.20000195605</v>
      </c>
      <c r="AN80" s="56" t="n">
        <f aca="false">SUM(AN73:AN79)</f>
        <v>2406.64666864445</v>
      </c>
      <c r="AO80" s="56" t="n">
        <f aca="false">SUM(AO73:AO79)</f>
        <v>2433.09333533285</v>
      </c>
      <c r="AP80" s="56" t="n">
        <f aca="false">SUM(AP73:AP79)</f>
        <v>2424.45754960645</v>
      </c>
      <c r="AQ80" s="56" t="n">
        <f aca="false">SUM(AQ73:AQ79)</f>
        <v>2386.99749055404</v>
      </c>
      <c r="AR80" s="56" t="n">
        <f aca="false">SUM(AR73:AR79)</f>
        <v>2413.51968489352</v>
      </c>
      <c r="AS80" s="56" t="n">
        <f aca="false">SUM(AS73:AS79)</f>
        <v>2440.04187923301</v>
      </c>
      <c r="AT80" s="56" t="n">
        <f aca="false">SUM(AT73:AT79)</f>
        <v>2431.3518352319</v>
      </c>
      <c r="AU80" s="56" t="n">
        <f aca="false">SUM(AU73:AU79)</f>
        <v>2420.17339245424</v>
      </c>
      <c r="AV80" s="56" t="n">
        <f aca="false">SUM(AV73:AV79)</f>
        <v>2420.17339245424</v>
      </c>
      <c r="AW80" s="56" t="n">
        <f aca="false">SUM(AW73:AW79)</f>
        <v>2446.76870445923</v>
      </c>
      <c r="AX80" s="56" t="n">
        <f aca="false">SUM(AX73:AX79)</f>
        <v>2438.02423202336</v>
      </c>
      <c r="AY80" s="56" t="n">
        <f aca="false">SUM(AY73:AY79)</f>
        <v>2399.93393775468</v>
      </c>
      <c r="AZ80" s="56" t="n">
        <f aca="false">SUM(AZ73:AZ79)</f>
        <v>2426.5998703964</v>
      </c>
      <c r="BA80" s="56" t="n">
        <f aca="false">SUM(BA73:BA79)</f>
        <v>2453.26580303812</v>
      </c>
      <c r="BB80" s="56" t="n">
        <f aca="false">SUM(BB73:BB79)</f>
        <v>2444.46673514844</v>
      </c>
      <c r="BC80" s="56" t="n">
        <f aca="false">SUM(BC73:BC79)</f>
        <v>2406.05702003861</v>
      </c>
      <c r="BD80" s="56" t="n">
        <f aca="false">SUM(BD73:BD79)</f>
        <v>2432.79098692793</v>
      </c>
      <c r="BE80" s="56" t="n">
        <f aca="false">SUM(BE73:BE79)</f>
        <v>2459.52495381724</v>
      </c>
      <c r="BF80" s="56" t="n">
        <f aca="false">SUM(BF73:BF79)</f>
        <v>2450.67112671322</v>
      </c>
      <c r="BG80" s="56" t="n">
        <f aca="false">SUM(BG73:BG79)</f>
        <v>2411.93907111903</v>
      </c>
      <c r="BH80" s="56" t="n">
        <f aca="false">SUM(BH73:BH79)</f>
        <v>2438.73839413146</v>
      </c>
      <c r="BI80" s="56" t="n">
        <f aca="false">SUM(BI73:BI79)</f>
        <v>2465.5377171439</v>
      </c>
      <c r="BJ80" s="56" t="n">
        <f aca="false">SUM(BJ73:BJ79)</f>
        <v>2456.62897044382</v>
      </c>
      <c r="BK80" s="56" t="n">
        <f aca="false">SUM(BK73:BK79)</f>
        <v>2444.43352257147</v>
      </c>
      <c r="BL80" s="56" t="n">
        <f aca="false">SUM(BL73:BL79)</f>
        <v>2444.43352257147</v>
      </c>
      <c r="BM80" s="56" t="n">
        <f aca="false">SUM(BM73:BM79)</f>
        <v>2471.29542941292</v>
      </c>
      <c r="BN80" s="56" t="n">
        <f aca="false">SUM(BN73:BN79)</f>
        <v>2462.33160623732</v>
      </c>
      <c r="BO80" s="56" t="n">
        <f aca="false">SUM(BO73:BO79)</f>
        <v>2422.9459540571</v>
      </c>
      <c r="BP80" s="56" t="n">
        <f aca="false">SUM(BP73:BP79)</f>
        <v>2449.86757576884</v>
      </c>
      <c r="BQ80" s="56" t="n">
        <f aca="false">SUM(BQ73:BQ79)</f>
        <v>2476.78919748059</v>
      </c>
      <c r="BR80" s="56" t="n">
        <f aca="false">SUM(BR73:BR79)</f>
        <v>2467.77014457861</v>
      </c>
      <c r="BS80" s="56" t="n">
        <f aca="false">SUM(BS73:BS79)</f>
        <v>2428.05315613806</v>
      </c>
      <c r="BT80" s="56" t="n">
        <f aca="false">SUM(BT73:BT79)</f>
        <v>2455.03152453959</v>
      </c>
      <c r="BU80" s="56" t="n">
        <f aca="false">SUM(BU73:BU79)</f>
        <v>2482.00989294113</v>
      </c>
      <c r="BV80" s="56" t="n">
        <f aca="false">SUM(BV73:BV79)</f>
        <v>2472.93546082003</v>
      </c>
      <c r="BW80" s="56" t="n">
        <f aca="false">SUM(BW73:BW79)</f>
        <v>2432.88405612638</v>
      </c>
      <c r="BX80" s="56" t="n">
        <f aca="false">SUM(BX73:BX79)</f>
        <v>2459.91610119445</v>
      </c>
      <c r="BY80" s="56" t="n">
        <f aca="false">SUM(BY73:BY79)</f>
        <v>2486.94814626252</v>
      </c>
      <c r="BZ80" s="56" t="n">
        <f aca="false">SUM(BZ73:BZ79)</f>
        <v>2477.8181893204</v>
      </c>
      <c r="CA80" s="56" t="n">
        <f aca="false">SUM(CA73:CA79)</f>
        <v>2464.51179359584</v>
      </c>
      <c r="CB80" s="56" t="n">
        <f aca="false">SUM(CB73:CB79)</f>
        <v>2464.51179359584</v>
      </c>
      <c r="CC80" s="56" t="n">
        <f aca="false">SUM(CC73:CC79)</f>
        <v>2491.59434077821</v>
      </c>
      <c r="CD80" s="56" t="n">
        <f aca="false">SUM(CD73:CD79)</f>
        <v>2482.40871743996</v>
      </c>
      <c r="CE80" s="56" t="n">
        <f aca="false">SUM(CE73:CE79)</f>
        <v>2441.67907160649</v>
      </c>
      <c r="CF80" s="56" t="n">
        <f aca="false">SUM(CF73:CF79)</f>
        <v>2468.80883906879</v>
      </c>
      <c r="CG80" s="56" t="n">
        <f aca="false">SUM(CG73:CG79)</f>
        <v>2495.93860653108</v>
      </c>
      <c r="CH80" s="56" t="n">
        <f aca="false">SUM(CH73:CH79)</f>
        <v>2486.69717938767</v>
      </c>
      <c r="CI80" s="56" t="n">
        <f aca="false">SUM(CI73:CI79)</f>
        <v>2445.62362235821</v>
      </c>
      <c r="CJ80" s="56" t="n">
        <f aca="false">SUM(CJ73:CJ79)</f>
        <v>2472.79721816219</v>
      </c>
      <c r="CK80" s="56" t="n">
        <f aca="false">SUM(CK73:CK79)</f>
        <v>2499.97081396617</v>
      </c>
      <c r="CL80" s="56" t="n">
        <f aca="false">SUM(CL73:CL79)</f>
        <v>2490.67344991736</v>
      </c>
      <c r="CM80" s="56" t="n">
        <f aca="false">SUM(CM73:CM79)</f>
        <v>2449.25272904512</v>
      </c>
      <c r="CN80" s="56" t="n">
        <f aca="false">SUM(CN73:CN79)</f>
        <v>2476.46664825673</v>
      </c>
      <c r="CO80" s="56" t="n">
        <f aca="false">SUM(CO73:CO79)</f>
        <v>2503.68056746835</v>
      </c>
      <c r="CP80" s="56" t="n">
        <f aca="false">SUM(CP73:CP79)</f>
        <v>2494.32713786886</v>
      </c>
      <c r="CQ80" s="56" t="n">
        <f aca="false">SUM(CQ73:CQ79)</f>
        <v>2479.80657701572</v>
      </c>
      <c r="CR80" s="56" t="n">
        <f aca="false">SUM(CR73:CR79)</f>
        <v>2479.80657701572</v>
      </c>
      <c r="CS80" s="56" t="n">
        <f aca="false">SUM(CS73:CS79)</f>
        <v>2507.05719874117</v>
      </c>
      <c r="CT80" s="56" t="n">
        <f aca="false">SUM(CT73:CT79)</f>
        <v>2497.64757955043</v>
      </c>
      <c r="CU80" s="56" t="n">
        <f aca="false">SUM(CU73:CU79)</f>
        <v>2455.52259132691</v>
      </c>
      <c r="CV80" s="56" t="n">
        <f aca="false">SUM(CV73:CV79)</f>
        <v>2482.80617567499</v>
      </c>
      <c r="CW80" s="56" t="n">
        <f aca="false">SUM(CW73:CW79)</f>
        <v>2510.08976002306</v>
      </c>
      <c r="CX80" s="56" t="n">
        <f aca="false">SUM(CX73:CX79)</f>
        <v>2500.62383195862</v>
      </c>
      <c r="CY80" s="56" t="n">
        <f aca="false">SUM(CY73:CY79)</f>
        <v>2458.14164719902</v>
      </c>
      <c r="CZ80" s="56" t="n">
        <f aca="false">SUM(CZ73:CZ79)</f>
        <v>2485.45433216789</v>
      </c>
      <c r="DA80" s="56" t="n">
        <f aca="false">SUM(DA73:DA79)</f>
        <v>2512.76701713677</v>
      </c>
      <c r="DB80" s="56" t="n">
        <f aca="false">SUM(DB73:DB79)</f>
        <v>2503.24466583138</v>
      </c>
      <c r="DC80" s="56" t="n">
        <f aca="false">SUM(DC73:DC79)</f>
        <v>2460.4018457948</v>
      </c>
      <c r="DD80" s="56" t="n">
        <f aca="false">SUM(DD73:DD79)</f>
        <v>2487.73964408141</v>
      </c>
      <c r="DE80" s="56" t="n">
        <f aca="false">SUM(DE73:DE79)</f>
        <v>2515.07744236802</v>
      </c>
      <c r="DF80" s="56" t="n">
        <f aca="false">SUM(DF73:DF79)</f>
        <v>2505.49855853058</v>
      </c>
      <c r="DG80" s="56" t="n">
        <f aca="false">SUM(DG73:DG79)</f>
        <v>2489.65041143909</v>
      </c>
      <c r="DH80" s="56" t="n">
        <f aca="false">SUM(DH73:DH79)</f>
        <v>2489.65041143909</v>
      </c>
      <c r="DI80" s="56" t="n">
        <f aca="false">SUM(DI73:DI79)</f>
        <v>2517.00920716919</v>
      </c>
      <c r="DJ80" s="56" t="n">
        <f aca="false">SUM(DJ73:DJ79)</f>
        <v>2507.37368674959</v>
      </c>
      <c r="DK80" s="56" t="n">
        <f aca="false">SUM(DK73:DK79)</f>
        <v>2463.79908392978</v>
      </c>
      <c r="DL80" s="56" t="n">
        <f aca="false">SUM(DL73:DL79)</f>
        <v>2491.17462930678</v>
      </c>
      <c r="DM80" s="56" t="n">
        <f aca="false">SUM(DM73:DM79)</f>
        <v>2518.55017468378</v>
      </c>
      <c r="DN80" s="56" t="n">
        <f aca="false">SUM(DN73:DN79)</f>
        <v>2508.85791904168</v>
      </c>
      <c r="DO80" s="56" t="n">
        <f aca="false">SUM(DO73:DO79)</f>
        <v>2464.91206834606</v>
      </c>
      <c r="DP80" s="56" t="n">
        <f aca="false">SUM(DP73:DP79)</f>
        <v>2492.29998021657</v>
      </c>
      <c r="DQ80" s="56" t="n">
        <f aca="false">SUM(DQ73:DQ79)</f>
        <v>2519.68789208708</v>
      </c>
      <c r="DR80" s="56" t="n">
        <f aca="false">SUM(DR73:DR79)</f>
        <v>2509.93880816483</v>
      </c>
      <c r="DS80" s="56" t="n">
        <f aca="false">SUM(DS73:DS79)</f>
        <v>2465.61807007059</v>
      </c>
      <c r="DT80" s="56" t="n">
        <f aca="false">SUM(DT73:DT79)</f>
        <v>2493.01382640471</v>
      </c>
      <c r="DU80" s="56" t="n">
        <f aca="false">SUM(DU73:DU79)</f>
        <v>2520.40958273882</v>
      </c>
      <c r="DV80" s="56" t="n">
        <f aca="false">SUM(DV73:DV79)</f>
        <v>2510.60358323846</v>
      </c>
      <c r="DW80" s="56" t="n">
        <f aca="false">SUM(DW73:DW79)</f>
        <v>2493.30320185874</v>
      </c>
      <c r="DX80" s="56" t="n">
        <f aca="false">SUM(DX73:DX79)</f>
        <v>2493.30320185874</v>
      </c>
      <c r="DY80" s="56" t="n">
        <f aca="false">SUM(DY73:DY79)</f>
        <v>2520.70213814291</v>
      </c>
      <c r="DZ80" s="56" t="n">
        <f aca="false">SUM(DZ73:DZ79)</f>
        <v>2510.83914170753</v>
      </c>
      <c r="EA80" s="56" t="n">
        <f aca="false">SUM(EA73:EA79)</f>
        <v>2465.75749862902</v>
      </c>
      <c r="EB80" s="56" t="n">
        <f aca="false">SUM(EB73:EB79)</f>
        <v>2493.15480416935</v>
      </c>
      <c r="EC80" s="56" t="n">
        <f aca="false">SUM(EC73:EC79)</f>
        <v>2520.55210970967</v>
      </c>
      <c r="ED80" s="56" t="n">
        <f aca="false">SUM(ED73:ED79)</f>
        <v>2510.63204110907</v>
      </c>
      <c r="EE80" s="56" t="n">
        <f aca="false">SUM(EE73:EE79)</f>
        <v>2465.16427204807</v>
      </c>
      <c r="EF80" s="56" t="n">
        <f aca="false">SUM(EF73:EF79)</f>
        <v>2492.55498618193</v>
      </c>
      <c r="EG80" s="56" t="n">
        <f aca="false">SUM(EG73:EG79)</f>
        <v>2519.9457003158</v>
      </c>
      <c r="EH80" s="56" t="n">
        <f aca="false">SUM(EH73:EH79)</f>
        <v>2509.96849063659</v>
      </c>
      <c r="EI80" s="56" t="n">
        <f aca="false">SUM(EI73:EI79)</f>
        <v>2464.11073922956</v>
      </c>
      <c r="EJ80" s="56" t="n">
        <f aca="false">SUM(EJ73:EJ79)</f>
        <v>2491.48974744322</v>
      </c>
      <c r="EK80" s="56" t="n">
        <f aca="false">SUM(EK73:EK79)</f>
        <v>2518.86875565688</v>
      </c>
      <c r="EL80" s="56" t="n">
        <f aca="false">SUM(EL73:EL79)</f>
        <v>2508.8343424972</v>
      </c>
      <c r="EM80" s="56" t="n">
        <f aca="false">SUM(EM73:EM79)</f>
        <v>2489.94472543768</v>
      </c>
      <c r="EN80" s="56" t="n">
        <f aca="false">SUM(EN73:EN79)</f>
        <v>2489.94472543768</v>
      </c>
      <c r="EO80" s="56" t="n">
        <f aca="false">SUM(EO73:EO79)</f>
        <v>2517.30675538755</v>
      </c>
    </row>
    <row r="82" customFormat="false" ht="15" hidden="false" customHeight="false" outlineLevel="0" collapsed="false">
      <c r="A82" s="9" t="s">
        <v>13</v>
      </c>
      <c r="B82" s="9"/>
      <c r="C82" s="9" t="s">
        <v>447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</row>
    <row r="83" customFormat="false" ht="15" hidden="false" customHeight="false" outlineLevel="0" collapsed="false">
      <c r="C83" s="0" t="s">
        <v>448</v>
      </c>
      <c r="D83" s="11" t="s">
        <v>33</v>
      </c>
      <c r="J83" s="57" t="n">
        <v>0</v>
      </c>
      <c r="K83" s="57" t="n">
        <v>0</v>
      </c>
      <c r="L83" s="57" t="n">
        <v>0</v>
      </c>
      <c r="M83" s="57" t="n">
        <v>0</v>
      </c>
      <c r="N83" s="57" t="n">
        <v>0</v>
      </c>
      <c r="O83" s="57" t="n">
        <v>0</v>
      </c>
      <c r="P83" s="57" t="n">
        <v>0</v>
      </c>
      <c r="Q83" s="57" t="n">
        <v>0</v>
      </c>
      <c r="R83" s="57" t="n">
        <v>0</v>
      </c>
      <c r="S83" s="57" t="n">
        <v>0</v>
      </c>
      <c r="T83" s="57" t="n">
        <v>0</v>
      </c>
      <c r="U83" s="57" t="n">
        <v>0</v>
      </c>
      <c r="V83" s="57" t="n">
        <v>0</v>
      </c>
      <c r="W83" s="57" t="n">
        <v>0</v>
      </c>
      <c r="X83" s="57" t="n">
        <v>0</v>
      </c>
      <c r="Y83" s="57" t="n">
        <v>0</v>
      </c>
      <c r="Z83" s="57" t="n">
        <v>-60.3480198379648</v>
      </c>
      <c r="AA83" s="57" t="n">
        <v>-59.7113293712707</v>
      </c>
      <c r="AB83" s="57" t="n">
        <v>-61.1586785137462</v>
      </c>
      <c r="AC83" s="57" t="n">
        <v>-62.6193733011231</v>
      </c>
      <c r="AD83" s="57" t="n">
        <v>-71.7930437905066</v>
      </c>
      <c r="AE83" s="57" t="n">
        <v>-125.642580743439</v>
      </c>
      <c r="AF83" s="57" t="n">
        <v>-126.345297170265</v>
      </c>
      <c r="AG83" s="57" t="n">
        <v>-129.272627376339</v>
      </c>
      <c r="AH83" s="57" t="n">
        <v>-128.73034916092</v>
      </c>
      <c r="AI83" s="57" t="n">
        <v>-127.398297463599</v>
      </c>
      <c r="AJ83" s="57" t="n">
        <v>-135.323682667418</v>
      </c>
      <c r="AK83" s="57" t="n">
        <v>-138.377367965125</v>
      </c>
      <c r="AL83" s="57" t="n">
        <v>-137.887673833989</v>
      </c>
      <c r="AM83" s="57" t="n">
        <v>-136.461450560519</v>
      </c>
      <c r="AN83" s="57" t="n">
        <v>-139.541261362076</v>
      </c>
      <c r="AO83" s="57" t="n">
        <v>-142.648182936717</v>
      </c>
      <c r="AP83" s="57" t="n">
        <v>-142.192472092402</v>
      </c>
      <c r="AQ83" s="57" t="n">
        <v>-140.762172543897</v>
      </c>
      <c r="AR83" s="57" t="n">
        <v>-143.896174404842</v>
      </c>
      <c r="AS83" s="57" t="n">
        <v>-147.057838606722</v>
      </c>
      <c r="AT83" s="57" t="n">
        <v>-146.637960554939</v>
      </c>
      <c r="AU83" s="57" t="n">
        <v>-147.522052083885</v>
      </c>
      <c r="AV83" s="57" t="n">
        <v>-148.412782044107</v>
      </c>
      <c r="AW83" s="57" t="n">
        <v>-151.630977732105</v>
      </c>
      <c r="AX83" s="57" t="n">
        <v>-151.249081076918</v>
      </c>
      <c r="AY83" s="57" t="n">
        <v>-149.815354814081</v>
      </c>
      <c r="AZ83" s="57" t="n">
        <v>-153.062700863991</v>
      </c>
      <c r="BA83" s="57" t="n">
        <v>-156.338879046472</v>
      </c>
      <c r="BB83" s="57" t="n">
        <v>-155.996784194789</v>
      </c>
      <c r="BC83" s="57" t="n">
        <v>-154.563665940823</v>
      </c>
      <c r="BD83" s="57" t="n">
        <v>-157.870107882597</v>
      </c>
      <c r="BE83" s="57" t="n">
        <v>-161.205999707802</v>
      </c>
      <c r="BF83" s="57" t="n">
        <v>-160.905824495019</v>
      </c>
      <c r="BG83" s="57" t="n">
        <v>-159.475043794013</v>
      </c>
      <c r="BH83" s="57" t="n">
        <v>-162.842371051721</v>
      </c>
      <c r="BI83" s="57" t="n">
        <v>-166.239790025996</v>
      </c>
      <c r="BJ83" s="57" t="n">
        <v>-165.983749985357</v>
      </c>
      <c r="BK83" s="57" t="n">
        <v>-166.914109041211</v>
      </c>
      <c r="BL83" s="57" t="n">
        <v>-168.005355456381</v>
      </c>
      <c r="BM83" s="57" t="n">
        <v>-171.466414852466</v>
      </c>
      <c r="BN83" s="57" t="n">
        <v>-171.25704356643</v>
      </c>
      <c r="BO83" s="57" t="n">
        <v>-169.836719368816</v>
      </c>
      <c r="BP83" s="57" t="n">
        <v>-173.331752071523</v>
      </c>
      <c r="BQ83" s="57" t="n">
        <v>-176.85823949657</v>
      </c>
      <c r="BR83" s="57" t="n">
        <v>-176.697756205929</v>
      </c>
      <c r="BS83" s="57" t="n">
        <v>-175.285541608384</v>
      </c>
      <c r="BT83" s="57" t="n">
        <v>-178.847367711633</v>
      </c>
      <c r="BU83" s="57" t="n">
        <v>-182.441369617822</v>
      </c>
      <c r="BV83" s="57" t="n">
        <v>-182.33231148233</v>
      </c>
      <c r="BW83" s="57" t="n">
        <v>-180.930334075662</v>
      </c>
      <c r="BX83" s="57" t="n">
        <v>-184.561111180757</v>
      </c>
      <c r="BY83" s="57" t="n">
        <v>-188.224814026067</v>
      </c>
      <c r="BZ83" s="57" t="n">
        <v>-188.169835362927</v>
      </c>
      <c r="CA83" s="57" t="n">
        <v>-189.170410613652</v>
      </c>
      <c r="CB83" s="57" t="n">
        <v>-190.500601799777</v>
      </c>
      <c r="CC83" s="57" t="n">
        <v>-194.236511953841</v>
      </c>
      <c r="CD83" s="57" t="n">
        <v>-194.238607155981</v>
      </c>
      <c r="CE83" s="57" t="n">
        <v>-192.864158913</v>
      </c>
      <c r="CF83" s="57" t="n">
        <v>-196.639953097212</v>
      </c>
      <c r="CG83" s="57" t="n">
        <v>-200.450267496761</v>
      </c>
      <c r="CH83" s="57" t="n">
        <v>-200.51213472432</v>
      </c>
      <c r="CI83" s="57" t="n">
        <v>-199.15500862805</v>
      </c>
      <c r="CJ83" s="57" t="n">
        <v>-203.006879854702</v>
      </c>
      <c r="CK83" s="57" t="n">
        <v>-206.894116210172</v>
      </c>
      <c r="CL83" s="57" t="n">
        <v>-207.018795456058</v>
      </c>
      <c r="CM83" s="57" t="n">
        <v>-205.681599468086</v>
      </c>
      <c r="CN83" s="57" t="n">
        <v>-209.612152215719</v>
      </c>
      <c r="CO83" s="57" t="n">
        <v>-213.57894961102</v>
      </c>
      <c r="CP83" s="57" t="n">
        <v>-213.769621414783</v>
      </c>
      <c r="CQ83" s="57" t="n">
        <v>-214.87038564545</v>
      </c>
      <c r="CR83" s="57" t="n">
        <v>-216.485446580175</v>
      </c>
      <c r="CS83" s="57" t="n">
        <v>-220.534787667427</v>
      </c>
      <c r="CT83" s="57" t="n">
        <v>-220.794998393365</v>
      </c>
      <c r="CU83" s="57" t="n">
        <v>-217.82086186721</v>
      </c>
      <c r="CV83" s="57" t="n">
        <v>-220.241093665735</v>
      </c>
      <c r="CW83" s="57" t="n">
        <v>-222.661325464259</v>
      </c>
      <c r="CX83" s="57" t="n">
        <v>-221.241436254592</v>
      </c>
      <c r="CY83" s="57" t="n">
        <v>-218.213720248026</v>
      </c>
      <c r="CZ83" s="57" t="n">
        <v>-220.638317139671</v>
      </c>
      <c r="DA83" s="57" t="n">
        <v>-223.062914031315</v>
      </c>
      <c r="DB83" s="57" t="n">
        <v>-375.486699874706</v>
      </c>
      <c r="DC83" s="57" t="n">
        <v>-369.06027686922</v>
      </c>
      <c r="DD83" s="57" t="n">
        <v>-373.160946612211</v>
      </c>
      <c r="DE83" s="57" t="n">
        <v>-377.261616355202</v>
      </c>
      <c r="DF83" s="57" t="n">
        <v>-375.824783779587</v>
      </c>
      <c r="DG83" s="57" t="n">
        <v>-373.447561715863</v>
      </c>
      <c r="DH83" s="57" t="n">
        <v>-373.447561715863</v>
      </c>
      <c r="DI83" s="57" t="n">
        <v>-377.551381075378</v>
      </c>
      <c r="DJ83" s="57" t="n">
        <v>-376.106053012438</v>
      </c>
      <c r="DK83" s="57" t="n">
        <v>-369.569862589467</v>
      </c>
      <c r="DL83" s="57" t="n">
        <v>-373.676194396016</v>
      </c>
      <c r="DM83" s="57" t="n">
        <v>-377.782526202566</v>
      </c>
      <c r="DN83" s="57" t="n">
        <v>-376.328687856252</v>
      </c>
      <c r="DO83" s="57" t="n">
        <v>-369.736810251908</v>
      </c>
      <c r="DP83" s="57" t="n">
        <v>-373.844997032485</v>
      </c>
      <c r="DQ83" s="57" t="n">
        <v>-377.953183813062</v>
      </c>
      <c r="DR83" s="57" t="n">
        <v>-376.490821224723</v>
      </c>
      <c r="DS83" s="57" t="n">
        <v>-369.842710510588</v>
      </c>
      <c r="DT83" s="57" t="n">
        <v>-373.952073960706</v>
      </c>
      <c r="DU83" s="57" t="n">
        <v>-378.061437410823</v>
      </c>
      <c r="DV83" s="57" t="n">
        <v>-376.590537485769</v>
      </c>
      <c r="DW83" s="57" t="n">
        <v>-373.995480278811</v>
      </c>
      <c r="DX83" s="57" t="n">
        <v>-373.995480278811</v>
      </c>
      <c r="DY83" s="57" t="n">
        <v>-378.105320721436</v>
      </c>
      <c r="DZ83" s="57" t="n">
        <v>-376.625871256129</v>
      </c>
      <c r="EA83" s="57" t="n">
        <v>-369.863624794353</v>
      </c>
      <c r="EB83" s="57" t="n">
        <v>-373.973220625402</v>
      </c>
      <c r="EC83" s="57" t="n">
        <v>-378.08281645645</v>
      </c>
      <c r="ED83" s="57" t="n">
        <v>-376.59480616636</v>
      </c>
      <c r="EE83" s="57" t="n">
        <v>-369.774640807209</v>
      </c>
      <c r="EF83" s="57" t="n">
        <v>-373.883247927289</v>
      </c>
      <c r="EG83" s="57" t="n">
        <v>-377.99185504737</v>
      </c>
      <c r="EH83" s="57" t="n">
        <v>-376.495273595489</v>
      </c>
      <c r="EI83" s="57" t="n">
        <v>-369.616610884433</v>
      </c>
      <c r="EJ83" s="57" t="n">
        <v>-373.723462116483</v>
      </c>
      <c r="EK83" s="57" t="n">
        <v>-377.830313348532</v>
      </c>
      <c r="EL83" s="57" t="n">
        <v>-376.325151374579</v>
      </c>
      <c r="EM83" s="57" t="n">
        <v>-373.491708815652</v>
      </c>
      <c r="EN83" s="57" t="n">
        <v>-373.491708815652</v>
      </c>
      <c r="EO83" s="57" t="n">
        <v>-377.596013308131</v>
      </c>
    </row>
    <row r="84" customFormat="false" ht="15" hidden="false" customHeight="false" outlineLevel="0" collapsed="false">
      <c r="C84" s="0" t="s">
        <v>449</v>
      </c>
      <c r="D84" s="11" t="s">
        <v>33</v>
      </c>
      <c r="I84" s="47" t="n">
        <f aca="false">SUM(J84:EO84)</f>
        <v>266918.240536877</v>
      </c>
      <c r="J84" s="47" t="n">
        <f aca="false">(J80+J56+J83)*(J$4&gt;In_COD)</f>
        <v>-0</v>
      </c>
      <c r="K84" s="47" t="n">
        <f aca="false">(K80+K56+K83)*(K$4&gt;In_COD)</f>
        <v>-0</v>
      </c>
      <c r="L84" s="47" t="n">
        <f aca="false">(L80+L56+L83)*(L$4&gt;In_COD)</f>
        <v>-0</v>
      </c>
      <c r="M84" s="47" t="n">
        <f aca="false">(M80+M56+M83)*(M$4&gt;In_COD)</f>
        <v>-0</v>
      </c>
      <c r="N84" s="47" t="n">
        <f aca="false">(N80+N56+N83)*(N$4&gt;In_COD)</f>
        <v>-0</v>
      </c>
      <c r="O84" s="47" t="n">
        <f aca="false">(O80+O56+O83)*(O$4&gt;In_COD)</f>
        <v>-0</v>
      </c>
      <c r="P84" s="47" t="n">
        <f aca="false">(P80+P56+P83)*(P$4&gt;In_COD)</f>
        <v>-0</v>
      </c>
      <c r="Q84" s="47" t="n">
        <f aca="false">(Q80+Q56+Q83)*(Q$4&gt;In_COD)</f>
        <v>-0</v>
      </c>
      <c r="R84" s="47" t="n">
        <f aca="false">(R80+R56+R83)*(R$4&gt;In_COD)</f>
        <v>-0</v>
      </c>
      <c r="S84" s="47" t="n">
        <f aca="false">(S80+S56+S83)*(S$4&gt;In_COD)</f>
        <v>-0</v>
      </c>
      <c r="T84" s="47" t="n">
        <f aca="false">(T80+T56+T83)*(T$4&gt;In_COD)</f>
        <v>-0</v>
      </c>
      <c r="U84" s="47" t="n">
        <f aca="false">(U80+U56+U83)*(U$4&gt;In_COD)</f>
        <v>-0</v>
      </c>
      <c r="V84" s="47" t="n">
        <f aca="false">(V80+V56+V83)*(V$4&gt;In_COD)</f>
        <v>-0</v>
      </c>
      <c r="W84" s="47" t="n">
        <f aca="false">(W80+W56+W83)*(W$4&gt;In_COD)</f>
        <v>-0</v>
      </c>
      <c r="X84" s="47" t="n">
        <f aca="false">(X80+X56+X83)*(X$4&gt;In_COD)</f>
        <v>-0</v>
      </c>
      <c r="Y84" s="47" t="n">
        <f aca="false">(Y80+Y56+Y83)*(Y$4&gt;In_COD)</f>
        <v>-0</v>
      </c>
      <c r="Z84" s="47" t="n">
        <f aca="false">(Z80+Z56+Z83)*(Z$4&gt;In_COD)</f>
        <v>2300.94659077018</v>
      </c>
      <c r="AA84" s="47" t="n">
        <f aca="false">(AA80+AA56+AA83)*(AA$4&gt;In_COD)</f>
        <v>2266.07898831383</v>
      </c>
      <c r="AB84" s="47" t="n">
        <f aca="false">(AB80+AB56+AB83)*(AB$4&gt;In_COD)</f>
        <v>2290.4737538123</v>
      </c>
      <c r="AC84" s="47" t="n">
        <f aca="false">(AC80+AC56+AC83)*(AC$4&gt;In_COD)</f>
        <v>2314.85517366587</v>
      </c>
      <c r="AD84" s="47" t="n">
        <f aca="false">(AD80+AD56+AD83)*(AD$4&gt;In_COD)</f>
        <v>2297.20744160633</v>
      </c>
      <c r="AE84" s="47" t="n">
        <f aca="false">(AE80+AE56+AE83)*(AE$4&gt;In_COD)</f>
        <v>2233.47530061405</v>
      </c>
      <c r="AF84" s="47" t="n">
        <f aca="false">(AF80+AF56+AF83)*(AF$4&gt;In_COD)</f>
        <v>2232.77258418723</v>
      </c>
      <c r="AG84" s="47" t="n">
        <f aca="false">(AG80+AG56+AG83)*(AG$4&gt;In_COD)</f>
        <v>2255.76962630376</v>
      </c>
      <c r="AH84" s="47" t="n">
        <f aca="false">(AH80+AH56+AH83)*(AH$4&gt;In_COD)</f>
        <v>2247.78411286827</v>
      </c>
      <c r="AI84" s="47" t="n">
        <f aca="false">(AI80+AI56+AI83)*(AI$4&gt;In_COD)</f>
        <v>2213.00380481114</v>
      </c>
      <c r="AJ84" s="47" t="n">
        <f aca="false">(AJ80+AJ56+AJ83)*(AJ$4&gt;In_COD)</f>
        <v>2264.23837624505</v>
      </c>
      <c r="AK84" s="47" t="n">
        <f aca="false">(AK80+AK56+AK83)*(AK$4&gt;In_COD)</f>
        <v>2287.55350478155</v>
      </c>
      <c r="AL84" s="47" t="n">
        <f aca="false">(AL80+AL56+AL83)*(AL$4&gt;In_COD)</f>
        <v>2279.46149827454</v>
      </c>
      <c r="AM84" s="47" t="n">
        <f aca="false">(AM80+AM56+AM83)*(AM$4&gt;In_COD)</f>
        <v>2243.73855139553</v>
      </c>
      <c r="AN84" s="47" t="n">
        <f aca="false">(AN80+AN56+AN83)*(AN$4&gt;In_COD)</f>
        <v>2267.10540728237</v>
      </c>
      <c r="AO84" s="47" t="n">
        <f aca="false">(AO80+AO56+AO83)*(AO$4&gt;In_COD)</f>
        <v>2290.44515239613</v>
      </c>
      <c r="AP84" s="47" t="n">
        <f aca="false">(AP80+AP56+AP83)*(AP$4&gt;In_COD)</f>
        <v>2282.26507751404</v>
      </c>
      <c r="AQ84" s="47" t="n">
        <f aca="false">(AQ80+AQ56+AQ83)*(AQ$4&gt;In_COD)</f>
        <v>2246.23531801014</v>
      </c>
      <c r="AR84" s="47" t="n">
        <f aca="false">(AR80+AR56+AR83)*(AR$4&gt;In_COD)</f>
        <v>2269.62351048868</v>
      </c>
      <c r="AS84" s="47" t="n">
        <f aca="false">(AS80+AS56+AS83)*(AS$4&gt;In_COD)</f>
        <v>2292.98404062629</v>
      </c>
      <c r="AT84" s="47" t="n">
        <f aca="false">(AT80+AT56+AT83)*(AT$4&gt;In_COD)</f>
        <v>2284.71387467696</v>
      </c>
      <c r="AU84" s="47" t="n">
        <f aca="false">(AU80+AU56+AU83)*(AU$4&gt;In_COD)</f>
        <v>2272.65134037036</v>
      </c>
      <c r="AV84" s="47" t="n">
        <f aca="false">(AV80+AV56+AV83)*(AV$4&gt;In_COD)</f>
        <v>2271.76061041013</v>
      </c>
      <c r="AW84" s="47" t="n">
        <f aca="false">(AW80+AW56+AW83)*(AW$4&gt;In_COD)</f>
        <v>2295.13772672713</v>
      </c>
      <c r="AX84" s="47" t="n">
        <f aca="false">(AX80+AX56+AX83)*(AX$4&gt;In_COD)</f>
        <v>2286.77515094644</v>
      </c>
      <c r="AY84" s="47" t="n">
        <f aca="false">(AY80+AY56+AY83)*(AY$4&gt;In_COD)</f>
        <v>2250.1185829406</v>
      </c>
      <c r="AZ84" s="47" t="n">
        <f aca="false">(AZ80+AZ56+AZ83)*(AZ$4&gt;In_COD)</f>
        <v>2273.5371695324</v>
      </c>
      <c r="BA84" s="47" t="n">
        <f aca="false">(BA80+BA56+BA83)*(BA$4&gt;In_COD)</f>
        <v>2296.92692399164</v>
      </c>
      <c r="BB84" s="47" t="n">
        <f aca="false">(BB80+BB56+BB83)*(BB$4&gt;In_COD)</f>
        <v>2288.46995095365</v>
      </c>
      <c r="BC84" s="47" t="n">
        <f aca="false">(BC80+BC56+BC83)*(BC$4&gt;In_COD)</f>
        <v>2251.49335409779</v>
      </c>
      <c r="BD84" s="47" t="n">
        <f aca="false">(BD80+BD56+BD83)*(BD$4&gt;In_COD)</f>
        <v>2274.92087904533</v>
      </c>
      <c r="BE84" s="47" t="n">
        <f aca="false">(BE80+BE56+BE83)*(BE$4&gt;In_COD)</f>
        <v>2298.31895410944</v>
      </c>
      <c r="BF84" s="47" t="n">
        <f aca="false">(BF80+BF56+BF83)*(BF$4&gt;In_COD)</f>
        <v>2289.7653022182</v>
      </c>
      <c r="BG84" s="47" t="n">
        <f aca="false">(BG80+BG56+BG83)*(BG$4&gt;In_COD)</f>
        <v>2252.46402732501</v>
      </c>
      <c r="BH84" s="47" t="n">
        <f aca="false">(BH80+BH56+BH83)*(BH$4&gt;In_COD)</f>
        <v>2275.89602307974</v>
      </c>
      <c r="BI84" s="47" t="n">
        <f aca="false">(BI80+BI56+BI83)*(BI$4&gt;In_COD)</f>
        <v>2299.2979271179</v>
      </c>
      <c r="BJ84" s="47" t="n">
        <f aca="false">(BJ80+BJ56+BJ83)*(BJ$4&gt;In_COD)</f>
        <v>2290.64522045847</v>
      </c>
      <c r="BK84" s="47" t="n">
        <f aca="false">(BK80+BK56+BK83)*(BK$4&gt;In_COD)</f>
        <v>2277.51941353026</v>
      </c>
      <c r="BL84" s="47" t="n">
        <f aca="false">(BL80+BL56+BL83)*(BL$4&gt;In_COD)</f>
        <v>2276.42816711509</v>
      </c>
      <c r="BM84" s="47" t="n">
        <f aca="false">(BM80+BM56+BM83)*(BM$4&gt;In_COD)</f>
        <v>2299.82901456045</v>
      </c>
      <c r="BN84" s="47" t="n">
        <f aca="false">(BN80+BN56+BN83)*(BN$4&gt;In_COD)</f>
        <v>2291.07456267089</v>
      </c>
      <c r="BO84" s="47" t="n">
        <f aca="false">(BO80+BO56+BO83)*(BO$4&gt;In_COD)</f>
        <v>2253.10923468828</v>
      </c>
      <c r="BP84" s="47" t="n">
        <f aca="false">(BP80+BP56+BP83)*(BP$4&gt;In_COD)</f>
        <v>2276.53582369732</v>
      </c>
      <c r="BQ84" s="47" t="n">
        <f aca="false">(BQ80+BQ56+BQ83)*(BQ$4&gt;In_COD)</f>
        <v>2299.93095798402</v>
      </c>
      <c r="BR84" s="47" t="n">
        <f aca="false">(BR80+BR56+BR83)*(BR$4&gt;In_COD)</f>
        <v>2291.07238837268</v>
      </c>
      <c r="BS84" s="47" t="n">
        <f aca="false">(BS80+BS56+BS83)*(BS$4&gt;In_COD)</f>
        <v>2252.76761452967</v>
      </c>
      <c r="BT84" s="47" t="n">
        <f aca="false">(BT80+BT56+BT83)*(BT$4&gt;In_COD)</f>
        <v>2276.18415682796</v>
      </c>
      <c r="BU84" s="47" t="n">
        <f aca="false">(BU80+BU56+BU83)*(BU$4&gt;In_COD)</f>
        <v>2299.56852332331</v>
      </c>
      <c r="BV84" s="47" t="n">
        <f aca="false">(BV80+BV56+BV83)*(BV$4&gt;In_COD)</f>
        <v>2290.6031493377</v>
      </c>
      <c r="BW84" s="47" t="n">
        <f aca="false">(BW80+BW56+BW83)*(BW$4&gt;In_COD)</f>
        <v>2251.95372205072</v>
      </c>
      <c r="BX84" s="47" t="n">
        <f aca="false">(BX80+BX56+BX83)*(BX$4&gt;In_COD)</f>
        <v>2275.35499001369</v>
      </c>
      <c r="BY84" s="47" t="n">
        <f aca="false">(BY80+BY56+BY83)*(BY$4&gt;In_COD)</f>
        <v>2298.72333223645</v>
      </c>
      <c r="BZ84" s="47" t="n">
        <f aca="false">(BZ80+BZ56+BZ83)*(BZ$4&gt;In_COD)</f>
        <v>2289.64835395747</v>
      </c>
      <c r="CA84" s="47" t="n">
        <f aca="false">(CA80+CA56+CA83)*(CA$4&gt;In_COD)</f>
        <v>2275.34138298219</v>
      </c>
      <c r="CB84" s="47" t="n">
        <f aca="false">(CB80+CB56+CB83)*(CB$4&gt;In_COD)</f>
        <v>2274.01119179606</v>
      </c>
      <c r="CC84" s="47" t="n">
        <f aca="false">(CC80+CC56+CC83)*(CC$4&gt;In_COD)</f>
        <v>2297.35782882437</v>
      </c>
      <c r="CD84" s="47" t="n">
        <f aca="false">(CD80+CD56+CD83)*(CD$4&gt;In_COD)</f>
        <v>2288.17011028398</v>
      </c>
      <c r="CE84" s="47" t="n">
        <f aca="false">(CE80+CE56+CE83)*(CE$4&gt;In_COD)</f>
        <v>2248.81491269349</v>
      </c>
      <c r="CF84" s="47" t="n">
        <f aca="false">(CF80+CF56+CF83)*(CF$4&gt;In_COD)</f>
        <v>2272.16888597158</v>
      </c>
      <c r="CG84" s="47" t="n">
        <f aca="false">(CG80+CG56+CG83)*(CG$4&gt;In_COD)</f>
        <v>2295.48833903432</v>
      </c>
      <c r="CH84" s="47" t="n">
        <f aca="false">(CH80+CH56+CH83)*(CH$4&gt;In_COD)</f>
        <v>2286.18504466335</v>
      </c>
      <c r="CI84" s="47" t="n">
        <f aca="false">(CI80+CI56+CI83)*(CI$4&gt;In_COD)</f>
        <v>2246.46861373016</v>
      </c>
      <c r="CJ84" s="47" t="n">
        <f aca="false">(CJ80+CJ56+CJ83)*(CJ$4&gt;In_COD)</f>
        <v>2269.79033830749</v>
      </c>
      <c r="CK84" s="47" t="n">
        <f aca="false">(CK80+CK56+CK83)*(CK$4&gt;In_COD)</f>
        <v>2293.076697756</v>
      </c>
      <c r="CL84" s="47" t="n">
        <f aca="false">(CL80+CL56+CL83)*(CL$4&gt;In_COD)</f>
        <v>2283.65465446131</v>
      </c>
      <c r="CM84" s="47" t="n">
        <f aca="false">(CM80+CM56+CM83)*(CM$4&gt;In_COD)</f>
        <v>2243.57112957704</v>
      </c>
      <c r="CN84" s="47" t="n">
        <f aca="false">(CN80+CN56+CN83)*(CN$4&gt;In_COD)</f>
        <v>2266.85449604102</v>
      </c>
      <c r="CO84" s="47" t="n">
        <f aca="false">(CO80+CO56+CO83)*(CO$4&gt;In_COD)</f>
        <v>2290.10161785733</v>
      </c>
      <c r="CP84" s="47" t="n">
        <f aca="false">(CP80+CP56+CP83)*(CP$4&gt;In_COD)</f>
        <v>2280.55751645407</v>
      </c>
      <c r="CQ84" s="47" t="n">
        <f aca="false">(CQ80+CQ56+CQ83)*(CQ$4&gt;In_COD)</f>
        <v>2264.93619137027</v>
      </c>
      <c r="CR84" s="47" t="n">
        <f aca="false">(CR80+CR56+CR83)*(CR$4&gt;In_COD)</f>
        <v>2263.32113043555</v>
      </c>
      <c r="CS84" s="47" t="n">
        <f aca="false">(CS80+CS56+CS83)*(CS$4&gt;In_COD)</f>
        <v>2286.52241107374</v>
      </c>
      <c r="CT84" s="47" t="n">
        <f aca="false">(CT80+CT56+CT83)*(CT$4&gt;In_COD)</f>
        <v>2276.85258115707</v>
      </c>
      <c r="CU84" s="47" t="n">
        <f aca="false">(CU80+CU56+CU83)*(CU$4&gt;In_COD)</f>
        <v>2237.7017294597</v>
      </c>
      <c r="CV84" s="47" t="n">
        <f aca="false">(CV80+CV56+CV83)*(CV$4&gt;In_COD)</f>
        <v>2262.56508200925</v>
      </c>
      <c r="CW84" s="47" t="n">
        <f aca="false">(CW80+CW56+CW83)*(CW$4&gt;In_COD)</f>
        <v>2287.42843455881</v>
      </c>
      <c r="CX84" s="47" t="n">
        <f aca="false">(CX80+CX56+CX83)*(CX$4&gt;In_COD)</f>
        <v>2279.38239570403</v>
      </c>
      <c r="CY84" s="47" t="n">
        <f aca="false">(CY80+CY56+CY83)*(CY$4&gt;In_COD)</f>
        <v>2239.92792695099</v>
      </c>
      <c r="CZ84" s="47" t="n">
        <f aca="false">(CZ80+CZ56+CZ83)*(CZ$4&gt;In_COD)</f>
        <v>2264.81601502822</v>
      </c>
      <c r="DA84" s="47" t="n">
        <f aca="false">(DA80+DA56+DA83)*(DA$4&gt;In_COD)</f>
        <v>2289.70410310546</v>
      </c>
      <c r="DB84" s="47" t="n">
        <f aca="false">(DB80+DB56+DB83)*(DB$4&gt;In_COD)</f>
        <v>2127.75796595667</v>
      </c>
      <c r="DC84" s="47" t="n">
        <f aca="false">(DC80+DC56+DC83)*(DC$4&gt;In_COD)</f>
        <v>2091.34156892558</v>
      </c>
      <c r="DD84" s="47" t="n">
        <f aca="false">(DD80+DD56+DD83)*(DD$4&gt;In_COD)</f>
        <v>2114.5786974692</v>
      </c>
      <c r="DE84" s="47" t="n">
        <f aca="false">(DE80+DE56+DE83)*(DE$4&gt;In_COD)</f>
        <v>2137.81582601281</v>
      </c>
      <c r="DF84" s="47" t="n">
        <f aca="false">(DF80+DF56+DF83)*(DF$4&gt;In_COD)</f>
        <v>2129.67377475099</v>
      </c>
      <c r="DG84" s="47" t="n">
        <f aca="false">(DG80+DG56+DG83)*(DG$4&gt;In_COD)</f>
        <v>2116.20284972323</v>
      </c>
      <c r="DH84" s="47" t="n">
        <f aca="false">(DH80+DH56+DH83)*(DH$4&gt;In_COD)</f>
        <v>2116.20284972323</v>
      </c>
      <c r="DI84" s="47" t="n">
        <f aca="false">(DI80+DI56+DI83)*(DI$4&gt;In_COD)</f>
        <v>2139.45782609381</v>
      </c>
      <c r="DJ84" s="47" t="n">
        <f aca="false">(DJ80+DJ56+DJ83)*(DJ$4&gt;In_COD)</f>
        <v>2131.26763373715</v>
      </c>
      <c r="DK84" s="47" t="n">
        <f aca="false">(DK80+DK56+DK83)*(DK$4&gt;In_COD)</f>
        <v>2094.22922134031</v>
      </c>
      <c r="DL84" s="47" t="n">
        <f aca="false">(DL80+DL56+DL83)*(DL$4&gt;In_COD)</f>
        <v>2117.49843491076</v>
      </c>
      <c r="DM84" s="47" t="n">
        <f aca="false">(DM80+DM56+DM83)*(DM$4&gt;In_COD)</f>
        <v>2140.76764848121</v>
      </c>
      <c r="DN84" s="47" t="n">
        <f aca="false">(DN80+DN56+DN83)*(DN$4&gt;In_COD)</f>
        <v>2132.52923118543</v>
      </c>
      <c r="DO84" s="47" t="n">
        <f aca="false">(DO80+DO56+DO83)*(DO$4&gt;In_COD)</f>
        <v>2095.17525809415</v>
      </c>
      <c r="DP84" s="47" t="n">
        <f aca="false">(DP80+DP56+DP83)*(DP$4&gt;In_COD)</f>
        <v>2118.45498318408</v>
      </c>
      <c r="DQ84" s="47" t="n">
        <f aca="false">(DQ80+DQ56+DQ83)*(DQ$4&gt;In_COD)</f>
        <v>2141.73470827402</v>
      </c>
      <c r="DR84" s="47" t="n">
        <f aca="false">(DR80+DR56+DR83)*(DR$4&gt;In_COD)</f>
        <v>2133.4479869401</v>
      </c>
      <c r="DS84" s="47" t="n">
        <f aca="false">(DS80+DS56+DS83)*(DS$4&gt;In_COD)</f>
        <v>2095.77535956</v>
      </c>
      <c r="DT84" s="47" t="n">
        <f aca="false">(DT80+DT56+DT83)*(DT$4&gt;In_COD)</f>
        <v>2119.061752444</v>
      </c>
      <c r="DU84" s="47" t="n">
        <f aca="false">(DU80+DU56+DU83)*(DU$4&gt;In_COD)</f>
        <v>2142.348145328</v>
      </c>
      <c r="DV84" s="47" t="n">
        <f aca="false">(DV80+DV56+DV83)*(DV$4&gt;In_COD)</f>
        <v>2134.01304575269</v>
      </c>
      <c r="DW84" s="47" t="n">
        <f aca="false">(DW80+DW56+DW83)*(DW$4&gt;In_COD)</f>
        <v>2119.30772157993</v>
      </c>
      <c r="DX84" s="47" t="n">
        <f aca="false">(DX80+DX56+DX83)*(DX$4&gt;In_COD)</f>
        <v>2119.30772157993</v>
      </c>
      <c r="DY84" s="47" t="n">
        <f aca="false">(DY80+DY56+DY83)*(DY$4&gt;In_COD)</f>
        <v>2142.59681742147</v>
      </c>
      <c r="DZ84" s="47" t="n">
        <f aca="false">(DZ80+DZ56+DZ83)*(DZ$4&gt;In_COD)</f>
        <v>2134.2132704514</v>
      </c>
      <c r="EA84" s="47" t="n">
        <f aca="false">(EA80+EA56+EA83)*(EA$4&gt;In_COD)</f>
        <v>2095.89387383467</v>
      </c>
      <c r="EB84" s="47" t="n">
        <f aca="false">(EB80+EB56+EB83)*(EB$4&gt;In_COD)</f>
        <v>2119.18158354395</v>
      </c>
      <c r="EC84" s="47" t="n">
        <f aca="false">(EC80+EC56+EC83)*(EC$4&gt;In_COD)</f>
        <v>2142.46929325322</v>
      </c>
      <c r="ED84" s="47" t="n">
        <f aca="false">(ED80+ED56+ED83)*(ED$4&gt;In_COD)</f>
        <v>2134.03723494271</v>
      </c>
      <c r="EE84" s="47" t="n">
        <f aca="false">(EE80+EE56+EE83)*(EE$4&gt;In_COD)</f>
        <v>2095.38963124086</v>
      </c>
      <c r="EF84" s="47" t="n">
        <f aca="false">(EF80+EF56+EF83)*(EF$4&gt;In_COD)</f>
        <v>2118.67173825464</v>
      </c>
      <c r="EG84" s="47" t="n">
        <f aca="false">(EG80+EG56+EG83)*(EG$4&gt;In_COD)</f>
        <v>2141.95384526843</v>
      </c>
      <c r="EH84" s="47" t="n">
        <f aca="false">(EH80+EH56+EH83)*(EH$4&gt;In_COD)</f>
        <v>2133.47321704111</v>
      </c>
      <c r="EI84" s="47" t="n">
        <f aca="false">(EI80+EI56+EI83)*(EI$4&gt;In_COD)</f>
        <v>2094.49412834513</v>
      </c>
      <c r="EJ84" s="47" t="n">
        <f aca="false">(EJ80+EJ56+EJ83)*(EJ$4&gt;In_COD)</f>
        <v>2117.76628532674</v>
      </c>
      <c r="EK84" s="47" t="n">
        <f aca="false">(EK80+EK56+EK83)*(EK$4&gt;In_COD)</f>
        <v>2141.03844230835</v>
      </c>
      <c r="EL84" s="47" t="n">
        <f aca="false">(EL80+EL56+EL83)*(EL$4&gt;In_COD)</f>
        <v>2132.50919112262</v>
      </c>
      <c r="EM84" s="47" t="n">
        <f aca="false">(EM80+EM56+EM83)*(EM$4&gt;In_COD)</f>
        <v>2116.45301662203</v>
      </c>
      <c r="EN84" s="47" t="n">
        <f aca="false">(EN80+EN56+EN83)*(EN$4&gt;In_COD)</f>
        <v>2116.45301662203</v>
      </c>
      <c r="EO84" s="47" t="n">
        <f aca="false">(EO80+EO56+EO83)*(EO$4&gt;In_COD)</f>
        <v>2139.71074207941</v>
      </c>
    </row>
    <row r="85" customFormat="false" ht="15" hidden="false" customHeight="false" outlineLevel="0" collapsed="false">
      <c r="C85" s="0" t="s">
        <v>450</v>
      </c>
      <c r="D85" s="11" t="s">
        <v>33</v>
      </c>
      <c r="E85" s="47" t="n">
        <f aca="false">SUMPRODUCT($J85:$EO85/$J22:$EO22)*$E22</f>
        <v>89663.7581285666</v>
      </c>
      <c r="I85" s="47" t="n">
        <f aca="false">SUM(J85:EO85)</f>
        <v>136546.338941815</v>
      </c>
      <c r="J85" s="47" t="n">
        <f aca="false">J84/In_DSCR*J18</f>
        <v>-0</v>
      </c>
      <c r="K85" s="47" t="n">
        <f aca="false">K84/In_DSCR*K18</f>
        <v>-0</v>
      </c>
      <c r="L85" s="47" t="n">
        <f aca="false">L84/In_DSCR*L18</f>
        <v>-0</v>
      </c>
      <c r="M85" s="47" t="n">
        <f aca="false">M84/In_DSCR*M18</f>
        <v>-0</v>
      </c>
      <c r="N85" s="47" t="n">
        <f aca="false">N84/In_DSCR*N18</f>
        <v>-0</v>
      </c>
      <c r="O85" s="47" t="n">
        <f aca="false">O84/In_DSCR*O18</f>
        <v>-0</v>
      </c>
      <c r="P85" s="47" t="n">
        <f aca="false">P84/In_DSCR*P18</f>
        <v>-0</v>
      </c>
      <c r="Q85" s="47" t="n">
        <f aca="false">Q84/In_DSCR*Q18</f>
        <v>-0</v>
      </c>
      <c r="R85" s="47" t="n">
        <f aca="false">R84/In_DSCR*R18</f>
        <v>-0</v>
      </c>
      <c r="S85" s="47" t="n">
        <f aca="false">S84/In_DSCR*S18</f>
        <v>-0</v>
      </c>
      <c r="T85" s="47" t="n">
        <f aca="false">T84/In_DSCR*T18</f>
        <v>-0</v>
      </c>
      <c r="U85" s="47" t="n">
        <f aca="false">U84/In_DSCR*U18</f>
        <v>-0</v>
      </c>
      <c r="V85" s="47" t="n">
        <f aca="false">V84/In_DSCR*V18</f>
        <v>-0</v>
      </c>
      <c r="W85" s="47" t="n">
        <f aca="false">W84/In_DSCR*W18</f>
        <v>-0</v>
      </c>
      <c r="X85" s="47" t="n">
        <f aca="false">X84/In_DSCR*X18</f>
        <v>-0</v>
      </c>
      <c r="Y85" s="47" t="n">
        <f aca="false">Y84/In_DSCR*Y18</f>
        <v>-0</v>
      </c>
      <c r="Z85" s="47" t="n">
        <f aca="false">Z84/In_DSCR*Z18</f>
        <v>1917.45549230848</v>
      </c>
      <c r="AA85" s="47" t="n">
        <f aca="false">AA84/In_DSCR*AA18</f>
        <v>1888.39915692819</v>
      </c>
      <c r="AB85" s="47" t="n">
        <f aca="false">AB84/In_DSCR*AB18</f>
        <v>1908.72812817692</v>
      </c>
      <c r="AC85" s="47" t="n">
        <f aca="false">AC84/In_DSCR*AC18</f>
        <v>1929.04597805489</v>
      </c>
      <c r="AD85" s="47" t="n">
        <f aca="false">AD84/In_DSCR*AD18</f>
        <v>1914.33953467194</v>
      </c>
      <c r="AE85" s="47" t="n">
        <f aca="false">AE84/In_DSCR*AE18</f>
        <v>1861.22941717838</v>
      </c>
      <c r="AF85" s="47" t="n">
        <f aca="false">AF84/In_DSCR*AF18</f>
        <v>1860.64382015602</v>
      </c>
      <c r="AG85" s="47" t="n">
        <f aca="false">AG84/In_DSCR*AG18</f>
        <v>1879.8080219198</v>
      </c>
      <c r="AH85" s="47" t="n">
        <f aca="false">AH84/In_DSCR*AH18</f>
        <v>1873.15342739023</v>
      </c>
      <c r="AI85" s="47" t="n">
        <f aca="false">AI84/In_DSCR*AI18</f>
        <v>1844.16983734262</v>
      </c>
      <c r="AJ85" s="47" t="n">
        <f aca="false">AJ84/In_DSCR*AJ18</f>
        <v>1886.86531353754</v>
      </c>
      <c r="AK85" s="47" t="n">
        <f aca="false">AK84/In_DSCR*AK18</f>
        <v>1906.29458731796</v>
      </c>
      <c r="AL85" s="47" t="n">
        <f aca="false">AL84/In_DSCR*AL18</f>
        <v>1899.55124856212</v>
      </c>
      <c r="AM85" s="47" t="n">
        <f aca="false">AM84/In_DSCR*AM18</f>
        <v>1869.78212616294</v>
      </c>
      <c r="AN85" s="47" t="n">
        <f aca="false">AN84/In_DSCR*AN18</f>
        <v>1889.25450606864</v>
      </c>
      <c r="AO85" s="47" t="n">
        <f aca="false">AO84/In_DSCR*AO18</f>
        <v>1908.70429366344</v>
      </c>
      <c r="AP85" s="47" t="n">
        <f aca="false">AP84/In_DSCR*AP18</f>
        <v>1901.88756459504</v>
      </c>
      <c r="AQ85" s="47" t="n">
        <f aca="false">AQ84/In_DSCR*AQ18</f>
        <v>1871.86276500845</v>
      </c>
      <c r="AR85" s="47" t="n">
        <f aca="false">AR84/In_DSCR*AR18</f>
        <v>1891.35292540724</v>
      </c>
      <c r="AS85" s="47" t="n">
        <f aca="false">AS84/In_DSCR*AS18</f>
        <v>1910.82003385524</v>
      </c>
      <c r="AT85" s="47" t="n">
        <f aca="false">AT84/In_DSCR*AT18</f>
        <v>1903.92822889747</v>
      </c>
      <c r="AU85" s="47" t="n">
        <f aca="false">AU84/In_DSCR*AU18</f>
        <v>1893.8761169753</v>
      </c>
      <c r="AV85" s="47" t="n">
        <f aca="false">AV84/In_DSCR*AV18</f>
        <v>1893.13384200845</v>
      </c>
      <c r="AW85" s="47" t="n">
        <f aca="false">AW84/In_DSCR*AW18</f>
        <v>1912.61477227261</v>
      </c>
      <c r="AX85" s="47" t="n">
        <f aca="false">AX84/In_DSCR*AX18</f>
        <v>1905.64595912203</v>
      </c>
      <c r="AY85" s="47" t="n">
        <f aca="false">AY84/In_DSCR*AY18</f>
        <v>1875.09881911716</v>
      </c>
      <c r="AZ85" s="47" t="n">
        <f aca="false">AZ84/In_DSCR*AZ18</f>
        <v>1894.61430794367</v>
      </c>
      <c r="BA85" s="47" t="n">
        <f aca="false">BA84/In_DSCR*BA18</f>
        <v>1914.10576999304</v>
      </c>
      <c r="BB85" s="47" t="n">
        <f aca="false">BB84/In_DSCR*BB18</f>
        <v>1907.05829246138</v>
      </c>
      <c r="BC85" s="47" t="n">
        <f aca="false">BC84/In_DSCR*BC18</f>
        <v>1876.24446174815</v>
      </c>
      <c r="BD85" s="47" t="n">
        <f aca="false">BD84/In_DSCR*BD18</f>
        <v>1895.76739920444</v>
      </c>
      <c r="BE85" s="47" t="n">
        <f aca="false">BE84/In_DSCR*BE18</f>
        <v>1915.2657950912</v>
      </c>
      <c r="BF85" s="47" t="n">
        <f aca="false">BF84/In_DSCR*BF18</f>
        <v>1908.1377518485</v>
      </c>
      <c r="BG85" s="47" t="n">
        <f aca="false">BG84/In_DSCR*BG18</f>
        <v>1877.05335610418</v>
      </c>
      <c r="BH85" s="47" t="n">
        <f aca="false">BH84/In_DSCR*BH18</f>
        <v>1896.58001923312</v>
      </c>
      <c r="BI85" s="47" t="n">
        <f aca="false">BI84/In_DSCR*BI18</f>
        <v>1916.08160593158</v>
      </c>
      <c r="BJ85" s="47" t="n">
        <f aca="false">BJ84/In_DSCR*BJ18</f>
        <v>1908.87101704872</v>
      </c>
      <c r="BK85" s="47" t="n">
        <f aca="false">BK84/In_DSCR*BK18</f>
        <v>1897.93284460855</v>
      </c>
      <c r="BL85" s="47" t="n">
        <f aca="false">BL84/In_DSCR*BL18</f>
        <v>1897.02347259591</v>
      </c>
      <c r="BM85" s="47" t="n">
        <f aca="false">BM84/In_DSCR*BM18</f>
        <v>1916.52417880038</v>
      </c>
      <c r="BN85" s="47" t="n">
        <f aca="false">BN84/In_DSCR*BN18</f>
        <v>1909.22880222574</v>
      </c>
      <c r="BO85" s="47" t="n">
        <f aca="false">BO84/In_DSCR*BO18</f>
        <v>1877.5910289069</v>
      </c>
      <c r="BP85" s="47" t="n">
        <f aca="false">BP84/In_DSCR*BP18</f>
        <v>1897.11318641443</v>
      </c>
      <c r="BQ85" s="47" t="n">
        <f aca="false">BQ84/In_DSCR*BQ18</f>
        <v>1916.60913165335</v>
      </c>
      <c r="BR85" s="47" t="n">
        <f aca="false">BR84/In_DSCR*BR18</f>
        <v>1909.22699031057</v>
      </c>
      <c r="BS85" s="47" t="n">
        <f aca="false">BS84/In_DSCR*BS18</f>
        <v>1877.3063454414</v>
      </c>
      <c r="BT85" s="47" t="n">
        <f aca="false">BT84/In_DSCR*BT18</f>
        <v>1896.82013068997</v>
      </c>
      <c r="BU85" s="47" t="n">
        <f aca="false">BU84/In_DSCR*BU18</f>
        <v>1916.30710276942</v>
      </c>
      <c r="BV85" s="47" t="n">
        <f aca="false">BV84/In_DSCR*BV18</f>
        <v>1908.83595778141</v>
      </c>
      <c r="BW85" s="47" t="n">
        <f aca="false">BW84/In_DSCR*BW18</f>
        <v>1876.62810170893</v>
      </c>
      <c r="BX85" s="47" t="n">
        <f aca="false">BX84/In_DSCR*BX18</f>
        <v>1896.12915834475</v>
      </c>
      <c r="BY85" s="47" t="n">
        <f aca="false">BY84/In_DSCR*BY18</f>
        <v>1915.60277686371</v>
      </c>
      <c r="BZ85" s="47" t="n">
        <f aca="false">BZ84/In_DSCR*BZ18</f>
        <v>1908.04029496456</v>
      </c>
      <c r="CA85" s="47" t="n">
        <f aca="false">CA84/In_DSCR*CA18</f>
        <v>1896.11781915182</v>
      </c>
      <c r="CB85" s="47" t="n">
        <f aca="false">CB84/In_DSCR*CB18</f>
        <v>1895.00932649672</v>
      </c>
      <c r="CC85" s="47" t="n">
        <f aca="false">CC84/In_DSCR*CC18</f>
        <v>1914.46485735364</v>
      </c>
      <c r="CD85" s="47" t="n">
        <f aca="false">CD84/In_DSCR*CD18</f>
        <v>1906.80842523665</v>
      </c>
      <c r="CE85" s="47" t="n">
        <f aca="false">CE84/In_DSCR*CE18</f>
        <v>1874.01242724458</v>
      </c>
      <c r="CF85" s="47" t="n">
        <f aca="false">CF84/In_DSCR*CF18</f>
        <v>1893.47407164298</v>
      </c>
      <c r="CG85" s="47" t="n">
        <f aca="false">CG84/In_DSCR*CG18</f>
        <v>1912.90694919527</v>
      </c>
      <c r="CH85" s="47" t="n">
        <f aca="false">CH84/In_DSCR*CH18</f>
        <v>1905.15420388613</v>
      </c>
      <c r="CI85" s="47" t="n">
        <f aca="false">CI84/In_DSCR*CI18</f>
        <v>1872.05717810847</v>
      </c>
      <c r="CJ85" s="47" t="n">
        <f aca="false">CJ84/In_DSCR*CJ18</f>
        <v>1891.49194858958</v>
      </c>
      <c r="CK85" s="47" t="n">
        <f aca="false">CK84/In_DSCR*CK18</f>
        <v>1910.89724813</v>
      </c>
      <c r="CL85" s="47" t="n">
        <f aca="false">CL84/In_DSCR*CL18</f>
        <v>1903.04554538442</v>
      </c>
      <c r="CM85" s="47" t="n">
        <f aca="false">CM84/In_DSCR*CM18</f>
        <v>1869.64260798086</v>
      </c>
      <c r="CN85" s="47" t="n">
        <f aca="false">CN84/In_DSCR*CN18</f>
        <v>1889.04541336751</v>
      </c>
      <c r="CO85" s="47" t="n">
        <f aca="false">CO84/In_DSCR*CO18</f>
        <v>1908.41801488111</v>
      </c>
      <c r="CP85" s="47" t="n">
        <f aca="false">CP84/In_DSCR*CP18</f>
        <v>1900.46459704506</v>
      </c>
      <c r="CQ85" s="47" t="n">
        <f aca="false">CQ84/In_DSCR*CQ18</f>
        <v>1887.44682614189</v>
      </c>
      <c r="CR85" s="47" t="n">
        <f aca="false">CR84/In_DSCR*CR18</f>
        <v>1886.10094202962</v>
      </c>
      <c r="CS85" s="47" t="n">
        <f aca="false">CS84/In_DSCR*CS18</f>
        <v>1905.43534256145</v>
      </c>
      <c r="CT85" s="47" t="n">
        <f aca="false">CT84/In_DSCR*CT18</f>
        <v>0</v>
      </c>
      <c r="CU85" s="47" t="n">
        <f aca="false">CU84/In_DSCR*CU18</f>
        <v>0</v>
      </c>
      <c r="CV85" s="47" t="n">
        <f aca="false">CV84/In_DSCR*CV18</f>
        <v>0</v>
      </c>
      <c r="CW85" s="47" t="n">
        <f aca="false">CW84/In_DSCR*CW18</f>
        <v>0</v>
      </c>
      <c r="CX85" s="47" t="n">
        <f aca="false">CX84/In_DSCR*CX18</f>
        <v>0</v>
      </c>
      <c r="CY85" s="47" t="n">
        <f aca="false">CY84/In_DSCR*CY18</f>
        <v>0</v>
      </c>
      <c r="CZ85" s="47" t="n">
        <f aca="false">CZ84/In_DSCR*CZ18</f>
        <v>0</v>
      </c>
      <c r="DA85" s="47" t="n">
        <f aca="false">DA84/In_DSCR*DA18</f>
        <v>0</v>
      </c>
      <c r="DB85" s="47" t="n">
        <f aca="false">DB84/In_DSCR*DB18</f>
        <v>0</v>
      </c>
      <c r="DC85" s="47" t="n">
        <f aca="false">DC84/In_DSCR*DC18</f>
        <v>0</v>
      </c>
      <c r="DD85" s="47" t="n">
        <f aca="false">DD84/In_DSCR*DD18</f>
        <v>0</v>
      </c>
      <c r="DE85" s="47" t="n">
        <f aca="false">DE84/In_DSCR*DE18</f>
        <v>0</v>
      </c>
      <c r="DF85" s="47" t="n">
        <f aca="false">DF84/In_DSCR*DF18</f>
        <v>0</v>
      </c>
      <c r="DG85" s="47" t="n">
        <f aca="false">DG84/In_DSCR*DG18</f>
        <v>0</v>
      </c>
      <c r="DH85" s="47" t="n">
        <f aca="false">DH84/In_DSCR*DH18</f>
        <v>0</v>
      </c>
      <c r="DI85" s="47" t="n">
        <f aca="false">DI84/In_DSCR*DI18</f>
        <v>0</v>
      </c>
      <c r="DJ85" s="47" t="n">
        <f aca="false">DJ84/In_DSCR*DJ18</f>
        <v>0</v>
      </c>
      <c r="DK85" s="47" t="n">
        <f aca="false">DK84/In_DSCR*DK18</f>
        <v>0</v>
      </c>
      <c r="DL85" s="47" t="n">
        <f aca="false">DL84/In_DSCR*DL18</f>
        <v>0</v>
      </c>
      <c r="DM85" s="47" t="n">
        <f aca="false">DM84/In_DSCR*DM18</f>
        <v>0</v>
      </c>
      <c r="DN85" s="47" t="n">
        <f aca="false">DN84/In_DSCR*DN18</f>
        <v>0</v>
      </c>
      <c r="DO85" s="47" t="n">
        <f aca="false">DO84/In_DSCR*DO18</f>
        <v>0</v>
      </c>
      <c r="DP85" s="47" t="n">
        <f aca="false">DP84/In_DSCR*DP18</f>
        <v>0</v>
      </c>
      <c r="DQ85" s="47" t="n">
        <f aca="false">DQ84/In_DSCR*DQ18</f>
        <v>0</v>
      </c>
      <c r="DR85" s="47" t="n">
        <f aca="false">DR84/In_DSCR*DR18</f>
        <v>0</v>
      </c>
      <c r="DS85" s="47" t="n">
        <f aca="false">DS84/In_DSCR*DS18</f>
        <v>0</v>
      </c>
      <c r="DT85" s="47" t="n">
        <f aca="false">DT84/In_DSCR*DT18</f>
        <v>0</v>
      </c>
      <c r="DU85" s="47" t="n">
        <f aca="false">DU84/In_DSCR*DU18</f>
        <v>0</v>
      </c>
      <c r="DV85" s="47" t="n">
        <f aca="false">DV84/In_DSCR*DV18</f>
        <v>0</v>
      </c>
      <c r="DW85" s="47" t="n">
        <f aca="false">DW84/In_DSCR*DW18</f>
        <v>0</v>
      </c>
      <c r="DX85" s="47" t="n">
        <f aca="false">DX84/In_DSCR*DX18</f>
        <v>0</v>
      </c>
      <c r="DY85" s="47" t="n">
        <f aca="false">DY84/In_DSCR*DY18</f>
        <v>0</v>
      </c>
      <c r="DZ85" s="47" t="n">
        <f aca="false">DZ84/In_DSCR*DZ18</f>
        <v>0</v>
      </c>
      <c r="EA85" s="47" t="n">
        <f aca="false">EA84/In_DSCR*EA18</f>
        <v>0</v>
      </c>
      <c r="EB85" s="47" t="n">
        <f aca="false">EB84/In_DSCR*EB18</f>
        <v>0</v>
      </c>
      <c r="EC85" s="47" t="n">
        <f aca="false">EC84/In_DSCR*EC18</f>
        <v>0</v>
      </c>
      <c r="ED85" s="47" t="n">
        <f aca="false">ED84/In_DSCR*ED18</f>
        <v>0</v>
      </c>
      <c r="EE85" s="47" t="n">
        <f aca="false">EE84/In_DSCR*EE18</f>
        <v>0</v>
      </c>
      <c r="EF85" s="47" t="n">
        <f aca="false">EF84/In_DSCR*EF18</f>
        <v>0</v>
      </c>
      <c r="EG85" s="47" t="n">
        <f aca="false">EG84/In_DSCR*EG18</f>
        <v>0</v>
      </c>
      <c r="EH85" s="47" t="n">
        <f aca="false">EH84/In_DSCR*EH18</f>
        <v>0</v>
      </c>
      <c r="EI85" s="47" t="n">
        <f aca="false">EI84/In_DSCR*EI18</f>
        <v>0</v>
      </c>
      <c r="EJ85" s="47" t="n">
        <f aca="false">EJ84/In_DSCR*EJ18</f>
        <v>0</v>
      </c>
      <c r="EK85" s="47" t="n">
        <f aca="false">EK84/In_DSCR*EK18</f>
        <v>0</v>
      </c>
      <c r="EL85" s="47" t="n">
        <f aca="false">EL84/In_DSCR*EL18</f>
        <v>0</v>
      </c>
      <c r="EM85" s="47" t="n">
        <f aca="false">EM84/In_DSCR*EM18</f>
        <v>0</v>
      </c>
      <c r="EN85" s="47" t="n">
        <f aca="false">EN84/In_DSCR*EN18</f>
        <v>0</v>
      </c>
      <c r="EO85" s="47" t="n">
        <f aca="false">EO84/In_DSCR*EO18</f>
        <v>0</v>
      </c>
    </row>
    <row r="86" customFormat="false" ht="15" hidden="false" customHeight="false" outlineLevel="0" collapsed="false">
      <c r="C86" s="0" t="s">
        <v>451</v>
      </c>
      <c r="D86" s="11" t="s">
        <v>33</v>
      </c>
      <c r="E86" s="47" t="n">
        <f aca="false">IF(In_Debt_Mult&gt;0,In_Debt_Mult*$E80,$E85)</f>
        <v>89663.7581285666</v>
      </c>
    </row>
    <row r="87" customFormat="false" ht="15" hidden="false" customHeight="false" outlineLevel="0" collapsed="false">
      <c r="C87" s="25" t="s">
        <v>452</v>
      </c>
      <c r="D87" s="11" t="s">
        <v>27</v>
      </c>
      <c r="E87" s="33" t="n">
        <f aca="false">MIN(In_Gearing,$E85/-$E67,$E86/-$E67)</f>
        <v>0.55</v>
      </c>
      <c r="F87" s="33" t="n">
        <f aca="false">$E87*-$E67/$E85</f>
        <v>0.473746301595728</v>
      </c>
    </row>
    <row r="89" customFormat="false" ht="15" hidden="false" customHeight="false" outlineLevel="0" collapsed="false">
      <c r="A89" s="9" t="s">
        <v>13</v>
      </c>
      <c r="B89" s="9"/>
      <c r="C89" s="9" t="s">
        <v>336</v>
      </c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</row>
    <row r="90" customFormat="false" ht="15" hidden="false" customHeight="false" outlineLevel="0" collapsed="false">
      <c r="C90" s="0" t="s">
        <v>453</v>
      </c>
      <c r="D90" s="11" t="s">
        <v>33</v>
      </c>
      <c r="I90" s="47" t="n">
        <f aca="false">SUM(J90:EO90)</f>
        <v>-22210.4492695395</v>
      </c>
      <c r="J90" s="47" t="n">
        <f aca="false">-I96*$F22*(J$4&gt;In_COD)</f>
        <v>-0</v>
      </c>
      <c r="K90" s="47" t="n">
        <f aca="false">-J96*$F22*(K$4&gt;In_COD)</f>
        <v>-0</v>
      </c>
      <c r="L90" s="47" t="n">
        <f aca="false">-K96*$F22*(L$4&gt;In_COD)</f>
        <v>-0</v>
      </c>
      <c r="M90" s="47" t="n">
        <f aca="false">-L96*$F22*(M$4&gt;In_COD)</f>
        <v>-0</v>
      </c>
      <c r="N90" s="47" t="n">
        <f aca="false">-M96*$F22*(N$4&gt;In_COD)</f>
        <v>-0</v>
      </c>
      <c r="O90" s="47" t="n">
        <f aca="false">-N96*$F22*(O$4&gt;In_COD)</f>
        <v>-0</v>
      </c>
      <c r="P90" s="47" t="n">
        <f aca="false">-O96*$F22*(P$4&gt;In_COD)</f>
        <v>-0</v>
      </c>
      <c r="Q90" s="47" t="n">
        <f aca="false">-P96*$F22*(Q$4&gt;In_COD)</f>
        <v>-0</v>
      </c>
      <c r="R90" s="47" t="n">
        <f aca="false">-Q96*$F22*(R$4&gt;In_COD)</f>
        <v>-0</v>
      </c>
      <c r="S90" s="47" t="n">
        <f aca="false">-R96*$F22*(S$4&gt;In_COD)</f>
        <v>-0</v>
      </c>
      <c r="T90" s="47" t="n">
        <f aca="false">-S96*$F22*(T$4&gt;In_COD)</f>
        <v>-0</v>
      </c>
      <c r="U90" s="47" t="n">
        <f aca="false">-T96*$F22*(U$4&gt;In_COD)</f>
        <v>-0</v>
      </c>
      <c r="V90" s="47" t="n">
        <f aca="false">-U96*$F22*(V$4&gt;In_COD)</f>
        <v>-0</v>
      </c>
      <c r="W90" s="47" t="n">
        <f aca="false">-V96*$F22*(W$4&gt;In_COD)</f>
        <v>-0</v>
      </c>
      <c r="X90" s="47" t="n">
        <f aca="false">-W96*$F22*(X$4&gt;In_COD)</f>
        <v>-0</v>
      </c>
      <c r="Y90" s="47" t="n">
        <f aca="false">-X96*$F22*(Y$4&gt;In_COD)</f>
        <v>-0</v>
      </c>
      <c r="Z90" s="47" t="n">
        <f aca="false">-Y96*$F22*(Z$4&gt;In_COD)</f>
        <v>-530.973422507279</v>
      </c>
      <c r="AA90" s="47" t="n">
        <f aca="false">-Z96*$F22*(AA$4&gt;In_COD)</f>
        <v>-526.255747189176</v>
      </c>
      <c r="AB90" s="47" t="n">
        <f aca="false">-AA96*$F22*(AB$4&gt;In_COD)</f>
        <v>-521.6511675724</v>
      </c>
      <c r="AC90" s="47" t="n">
        <f aca="false">-AB96*$F22*(AC$4&gt;In_COD)</f>
        <v>-516.868646023611</v>
      </c>
      <c r="AD90" s="47" t="n">
        <f aca="false">-AC96*$F22*(AD$4&gt;In_COD)</f>
        <v>-511.906024127511</v>
      </c>
      <c r="AE90" s="47" t="n">
        <f aca="false">-AD96*$F22*(AE$4&gt;In_COD)</f>
        <v>-506.968458497238</v>
      </c>
      <c r="AF90" s="47" t="n">
        <f aca="false">-AE96*$F22*(AF$4&gt;In_COD)</f>
        <v>-502.283682318336</v>
      </c>
      <c r="AG90" s="47" t="n">
        <f aca="false">-AF96*$F22*(AG$4&gt;In_COD)</f>
        <v>-497.543814242492</v>
      </c>
      <c r="AH90" s="47" t="n">
        <f aca="false">-AG96*$F22*(AH$4&gt;In_COD)</f>
        <v>-492.631210694342</v>
      </c>
      <c r="AI90" s="47" t="n">
        <f aca="false">-AH96*$F22*(AI$4&gt;In_COD)</f>
        <v>-487.696606971177</v>
      </c>
      <c r="AJ90" s="47" t="n">
        <f aca="false">-AI96*$F22*(AJ$4&gt;In_COD)</f>
        <v>-482.871956558874</v>
      </c>
      <c r="AK90" s="47" t="n">
        <f aca="false">-AJ96*$F22*(AK$4&gt;In_COD)</f>
        <v>-477.734162717139</v>
      </c>
      <c r="AL90" s="47" t="n">
        <f aca="false">-AK96*$F22*(AL$4&gt;In_COD)</f>
        <v>-472.41708961993</v>
      </c>
      <c r="AM90" s="47" t="n">
        <f aca="false">-AL96*$F22*(AM$4&gt;In_COD)</f>
        <v>-467.073486006456</v>
      </c>
      <c r="AN90" s="47" t="n">
        <f aca="false">-AM96*$F22*(AN$4&gt;In_COD)</f>
        <v>-461.839374993293</v>
      </c>
      <c r="AO90" s="47" t="n">
        <f aca="false">-AN96*$F22*(AO$4&gt;In_COD)</f>
        <v>-456.424525492921</v>
      </c>
      <c r="AP90" s="47" t="n">
        <f aca="false">-AO96*$F22*(AP$4&gt;In_COD)</f>
        <v>-450.826812062046</v>
      </c>
      <c r="AQ90" s="47" t="n">
        <f aca="false">-AP96*$F22*(AQ$4&gt;In_COD)</f>
        <v>-445.199494715599</v>
      </c>
      <c r="AR90" s="47" t="n">
        <f aca="false">-AQ96*$F22*(AR$4&gt;In_COD)</f>
        <v>-439.679637624325</v>
      </c>
      <c r="AS90" s="47" t="n">
        <f aca="false">-AR96*$F22*(AS$4&gt;In_COD)</f>
        <v>-433.97536492683</v>
      </c>
      <c r="AT90" s="47" t="n">
        <f aca="false">-AS96*$F22*(AT$4&gt;In_COD)</f>
        <v>-428.084507937741</v>
      </c>
      <c r="AU90" s="47" t="n">
        <f aca="false">-AT96*$F22*(AU$4&gt;In_COD)</f>
        <v>-422.160827325164</v>
      </c>
      <c r="AV90" s="47" t="n">
        <f aca="false">-AU96*$F22*(AV$4&gt;In_COD)</f>
        <v>-416.222627590509</v>
      </c>
      <c r="AW90" s="47" t="n">
        <f aca="false">-AV96*$F22*(AW$4&gt;In_COD)</f>
        <v>-410.214595984426</v>
      </c>
      <c r="AX90" s="47" t="n">
        <f aca="false">-AW96*$F22*(AX$4&gt;In_COD)</f>
        <v>-404.016101249962</v>
      </c>
      <c r="AY90" s="47" t="n">
        <f aca="false">-AX96*$F22*(AY$4&gt;In_COD)</f>
        <v>-397.781393449525</v>
      </c>
      <c r="AZ90" s="47" t="n">
        <f aca="false">-AY96*$F22*(AZ$4&gt;In_COD)</f>
        <v>-391.649646734104</v>
      </c>
      <c r="BA90" s="47" t="n">
        <f aca="false">-AZ96*$F22*(BA$4&gt;In_COD)</f>
        <v>-385.325685801547</v>
      </c>
      <c r="BB90" s="47" t="n">
        <f aca="false">-BA96*$F22*(BB$4&gt;In_COD)</f>
        <v>-378.8072502566</v>
      </c>
      <c r="BC90" s="47" t="n">
        <f aca="false">-BB96*$F22*(BC$4&gt;In_COD)</f>
        <v>-372.249068222545</v>
      </c>
      <c r="BD90" s="47" t="n">
        <f aca="false">-BC96*$F22*(BD$4&gt;In_COD)</f>
        <v>-365.791383142293</v>
      </c>
      <c r="BE90" s="47" t="n">
        <f aca="false">-BD96*$F22*(BE$4&gt;In_COD)</f>
        <v>-359.137365505836</v>
      </c>
      <c r="BF90" s="47" t="n">
        <f aca="false">-BE96*$F22*(BF$4&gt;In_COD)</f>
        <v>-352.284706487194</v>
      </c>
      <c r="BG90" s="47" t="n">
        <f aca="false">-BF96*$F22*(BG$4&gt;In_COD)</f>
        <v>-345.388600282366</v>
      </c>
      <c r="BH90" s="47" t="n">
        <f aca="false">-BG96*$F22*(BH$4&gt;In_COD)</f>
        <v>-338.590369218993</v>
      </c>
      <c r="BI90" s="47" t="n">
        <f aca="false">-BH96*$F22*(BI$4&gt;In_COD)</f>
        <v>-331.59152671183</v>
      </c>
      <c r="BJ90" s="47" t="n">
        <f aca="false">-BI96*$F22*(BJ$4&gt;In_COD)</f>
        <v>-324.389713616157</v>
      </c>
      <c r="BK90" s="47" t="n">
        <f aca="false">-BJ96*$F22*(BK$4&gt;In_COD)</f>
        <v>-317.140577729482</v>
      </c>
      <c r="BL90" s="47" t="n">
        <f aca="false">-BK96*$F22*(BL$4&gt;In_COD)</f>
        <v>-309.865601628471</v>
      </c>
      <c r="BM90" s="47" t="n">
        <f aca="false">-BL96*$F22*(BM$4&gt;In_COD)</f>
        <v>-302.505073471545</v>
      </c>
      <c r="BN90" s="47" t="n">
        <f aca="false">-BM96*$F22*(BN$4&gt;In_COD)</f>
        <v>-294.937058869621</v>
      </c>
      <c r="BO90" s="47" t="n">
        <f aca="false">-BN96*$F22*(BO$4&gt;In_COD)</f>
        <v>-287.31764605606</v>
      </c>
      <c r="BP90" s="47" t="n">
        <f aca="false">-BO96*$F22*(BP$4&gt;In_COD)</f>
        <v>-279.790344058586</v>
      </c>
      <c r="BQ90" s="47" t="n">
        <f aca="false">-BP96*$F22*(BQ$4&gt;In_COD)</f>
        <v>-272.053343912164</v>
      </c>
      <c r="BR90" s="47" t="n">
        <f aca="false">-BQ96*$F22*(BR$4&gt;In_COD)</f>
        <v>-264.104179614499</v>
      </c>
      <c r="BS90" s="47" t="n">
        <f aca="false">-BR96*$F22*(BS$4&gt;In_COD)</f>
        <v>-256.099366540101</v>
      </c>
      <c r="BT90" s="47" t="n">
        <f aca="false">-BS96*$F22*(BT$4&gt;In_COD)</f>
        <v>-248.183521895414</v>
      </c>
      <c r="BU90" s="47" t="n">
        <f aca="false">-BT96*$F22*(BU$4&gt;In_COD)</f>
        <v>-240.053171897773</v>
      </c>
      <c r="BV90" s="47" t="n">
        <f aca="false">-BU96*$F22*(BV$4&gt;In_COD)</f>
        <v>-231.705794013262</v>
      </c>
      <c r="BW90" s="47" t="n">
        <f aca="false">-BV96*$F22*(BW$4&gt;In_COD)</f>
        <v>-223.298316746529</v>
      </c>
      <c r="BX90" s="47" t="n">
        <f aca="false">-BW96*$F22*(BX$4&gt;In_COD)</f>
        <v>-214.976475422671</v>
      </c>
      <c r="BY90" s="47" t="n">
        <f aca="false">-BX96*$F22*(BY$4&gt;In_COD)</f>
        <v>-206.435129164033</v>
      </c>
      <c r="BZ90" s="47" t="n">
        <f aca="false">-BY96*$F22*(BZ$4&gt;In_COD)</f>
        <v>-197.671696642763</v>
      </c>
      <c r="CA90" s="47" t="n">
        <f aca="false">-BZ96*$F22*(CA$4&gt;In_COD)</f>
        <v>-188.843504937859</v>
      </c>
      <c r="CB90" s="47" t="n">
        <f aca="false">-CA96*$F22*(CB$4&gt;In_COD)</f>
        <v>-179.97556369692</v>
      </c>
      <c r="CC90" s="47" t="n">
        <f aca="false">-CB96*$F22*(CC$4&gt;In_COD)</f>
        <v>-171.003337494166</v>
      </c>
      <c r="CD90" s="47" t="n">
        <f aca="false">-CC96*$F22*(CD$4&gt;In_COD)</f>
        <v>-161.803746141515</v>
      </c>
      <c r="CE90" s="47" t="n">
        <f aca="false">-CD96*$F22*(CE$4&gt;In_COD)</f>
        <v>-152.534499976941</v>
      </c>
      <c r="CF90" s="47" t="n">
        <f aca="false">-CE96*$F22*(CF$4&gt;In_COD)</f>
        <v>-143.343600519758</v>
      </c>
      <c r="CG90" s="47" t="n">
        <f aca="false">-CF96*$F22*(CG$4&gt;In_COD)</f>
        <v>-133.922566293652</v>
      </c>
      <c r="CH90" s="47" t="n">
        <f aca="false">-CG96*$F22*(CH$4&gt;In_COD)</f>
        <v>-124.268690966347</v>
      </c>
      <c r="CI90" s="47" t="n">
        <f aca="false">-CH96*$F22*(CI$4&gt;In_COD)</f>
        <v>-114.540052627669</v>
      </c>
      <c r="CJ90" s="47" t="n">
        <f aca="false">-CI96*$F22*(CJ$4&gt;In_COD)</f>
        <v>-104.885801229207</v>
      </c>
      <c r="CK90" s="47" t="n">
        <f aca="false">-CJ96*$F22*(CK$4&gt;In_COD)</f>
        <v>-94.9957823052921</v>
      </c>
      <c r="CL90" s="47" t="n">
        <f aca="false">-CK96*$F22*(CL$4&gt;In_COD)</f>
        <v>-84.8672232837202</v>
      </c>
      <c r="CM90" s="47" t="n">
        <f aca="false">-CL96*$F22*(CM$4&gt;In_COD)</f>
        <v>-74.6585537135905</v>
      </c>
      <c r="CN90" s="47" t="n">
        <f aca="false">-CM96*$F22*(CN$4&gt;In_COD)</f>
        <v>-64.5200822495514</v>
      </c>
      <c r="CO90" s="47" t="n">
        <f aca="false">-CN96*$F22*(CO$4&gt;In_COD)</f>
        <v>-54.1399798010554</v>
      </c>
      <c r="CP90" s="47" t="n">
        <f aca="false">-CO96*$F22*(CP$4&gt;In_COD)</f>
        <v>-43.5154048429612</v>
      </c>
      <c r="CQ90" s="47" t="n">
        <f aca="false">-CP96*$F22*(CQ$4&gt;In_COD)</f>
        <v>-32.8051214764518</v>
      </c>
      <c r="CR90" s="47" t="n">
        <f aca="false">-CQ96*$F22*(CR$4&gt;In_COD)</f>
        <v>-22.038048578116</v>
      </c>
      <c r="CS90" s="47" t="n">
        <f aca="false">-CR96*$F22*(CS$4&gt;In_COD)</f>
        <v>-11.1443573638081</v>
      </c>
      <c r="CT90" s="47" t="n">
        <f aca="false">-CS96*$F22*(CT$4&gt;In_COD)</f>
        <v>-2.22115659198607E-012</v>
      </c>
      <c r="CU90" s="47" t="n">
        <f aca="false">-CT96*$F22*(CU$4&gt;In_COD)</f>
        <v>-2.2489210493859E-012</v>
      </c>
      <c r="CV90" s="47" t="n">
        <f aca="false">-CU96*$F22*(CV$4&gt;In_COD)</f>
        <v>-2.27703256250322E-012</v>
      </c>
      <c r="CW90" s="47" t="n">
        <f aca="false">-CV96*$F22*(CW$4&gt;In_COD)</f>
        <v>-2.30549546953451E-012</v>
      </c>
      <c r="CX90" s="47" t="n">
        <f aca="false">-CW96*$F22*(CX$4&gt;In_COD)</f>
        <v>-2.33431416290369E-012</v>
      </c>
      <c r="CY90" s="47" t="n">
        <f aca="false">-CX96*$F22*(CY$4&gt;In_COD)</f>
        <v>-2.36349308993999E-012</v>
      </c>
      <c r="CZ90" s="47" t="n">
        <f aca="false">-CY96*$F22*(CZ$4&gt;In_COD)</f>
        <v>-2.39303675356424E-012</v>
      </c>
      <c r="DA90" s="47" t="n">
        <f aca="false">-CZ96*$F22*(DA$4&gt;In_COD)</f>
        <v>-2.42294971298379E-012</v>
      </c>
      <c r="DB90" s="47" t="n">
        <f aca="false">-DA96*$F22*(DB$4&gt;In_COD)</f>
        <v>-2.45323658439609E-012</v>
      </c>
      <c r="DC90" s="47" t="n">
        <f aca="false">-DB96*$F22*(DC$4&gt;In_COD)</f>
        <v>-2.48390204170104E-012</v>
      </c>
      <c r="DD90" s="47" t="n">
        <f aca="false">-DC96*$F22*(DD$4&gt;In_COD)</f>
        <v>-2.51495081722231E-012</v>
      </c>
      <c r="DE90" s="47" t="n">
        <f aca="false">-DD96*$F22*(DE$4&gt;In_COD)</f>
        <v>-2.54638770243758E-012</v>
      </c>
      <c r="DF90" s="47" t="n">
        <f aca="false">-DE96*$F22*(DF$4&gt;In_COD)</f>
        <v>-2.57821754871805E-012</v>
      </c>
      <c r="DG90" s="47" t="n">
        <f aca="false">-DF96*$F22*(DG$4&gt;In_COD)</f>
        <v>-2.61044526807703E-012</v>
      </c>
      <c r="DH90" s="47" t="n">
        <f aca="false">-DG96*$F22*(DH$4&gt;In_COD)</f>
        <v>-2.64307583392799E-012</v>
      </c>
      <c r="DI90" s="47" t="n">
        <f aca="false">-DH96*$F22*(DI$4&gt;In_COD)</f>
        <v>-2.67611428185209E-012</v>
      </c>
      <c r="DJ90" s="47" t="n">
        <f aca="false">-DI96*$F22*(DJ$4&gt;In_COD)</f>
        <v>-2.70956571037524E-012</v>
      </c>
      <c r="DK90" s="47" t="n">
        <f aca="false">-DJ96*$F22*(DK$4&gt;In_COD)</f>
        <v>-2.74343528175493E-012</v>
      </c>
      <c r="DL90" s="47" t="n">
        <f aca="false">-DK96*$F22*(DL$4&gt;In_COD)</f>
        <v>-2.77772822277687E-012</v>
      </c>
      <c r="DM90" s="47" t="n">
        <f aca="false">-DL96*$F22*(DM$4&gt;In_COD)</f>
        <v>-2.81244982556158E-012</v>
      </c>
      <c r="DN90" s="47" t="n">
        <f aca="false">-DM96*$F22*(DN$4&gt;In_COD)</f>
        <v>-2.8476054483811E-012</v>
      </c>
      <c r="DO90" s="47" t="n">
        <f aca="false">-DN96*$F22*(DO$4&gt;In_COD)</f>
        <v>-2.88320051648587E-012</v>
      </c>
      <c r="DP90" s="47" t="n">
        <f aca="false">-DO96*$F22*(DP$4&gt;In_COD)</f>
        <v>-2.91924052294194E-012</v>
      </c>
      <c r="DQ90" s="47" t="n">
        <f aca="false">-DP96*$F22*(DQ$4&gt;In_COD)</f>
        <v>-2.95573102947871E-012</v>
      </c>
      <c r="DR90" s="47" t="n">
        <f aca="false">-DQ96*$F22*(DR$4&gt;In_COD)</f>
        <v>-2.9926776673472E-012</v>
      </c>
      <c r="DS90" s="47" t="n">
        <f aca="false">-DR96*$F22*(DS$4&gt;In_COD)</f>
        <v>-3.03008613818904E-012</v>
      </c>
      <c r="DT90" s="47" t="n">
        <f aca="false">-DS96*$F22*(DT$4&gt;In_COD)</f>
        <v>-3.0679622149164E-012</v>
      </c>
      <c r="DU90" s="47" t="n">
        <f aca="false">-DT96*$F22*(DU$4&gt;In_COD)</f>
        <v>-3.10631174260286E-012</v>
      </c>
      <c r="DV90" s="47" t="n">
        <f aca="false">-DU96*$F22*(DV$4&gt;In_COD)</f>
        <v>-3.14514063938539E-012</v>
      </c>
      <c r="DW90" s="47" t="n">
        <f aca="false">-DV96*$F22*(DW$4&gt;In_COD)</f>
        <v>-3.18445489737771E-012</v>
      </c>
      <c r="DX90" s="47" t="n">
        <f aca="false">-DW96*$F22*(DX$4&gt;In_COD)</f>
        <v>-3.22426058359493E-012</v>
      </c>
      <c r="DY90" s="47" t="n">
        <f aca="false">-DX96*$F22*(DY$4&gt;In_COD)</f>
        <v>-3.26456384088987E-012</v>
      </c>
      <c r="DZ90" s="47" t="n">
        <f aca="false">-DY96*$F22*(DZ$4&gt;In_COD)</f>
        <v>-3.30537088890099E-012</v>
      </c>
      <c r="EA90" s="47" t="n">
        <f aca="false">-DZ96*$F22*(EA$4&gt;In_COD)</f>
        <v>-3.34668802501225E-012</v>
      </c>
      <c r="EB90" s="47" t="n">
        <f aca="false">-EA96*$F22*(EB$4&gt;In_COD)</f>
        <v>-3.3885216253249E-012</v>
      </c>
      <c r="EC90" s="47" t="n">
        <f aca="false">-EB96*$F22*(EC$4&gt;In_COD)</f>
        <v>-3.43087814564147E-012</v>
      </c>
      <c r="ED90" s="47" t="n">
        <f aca="false">-EC96*$F22*(ED$4&gt;In_COD)</f>
        <v>-3.47376412246198E-012</v>
      </c>
      <c r="EE90" s="47" t="n">
        <f aca="false">-ED96*$F22*(EE$4&gt;In_COD)</f>
        <v>-3.51718617399276E-012</v>
      </c>
      <c r="EF90" s="47" t="n">
        <f aca="false">-EE96*$F22*(EF$4&gt;In_COD)</f>
        <v>-3.56115100116767E-012</v>
      </c>
      <c r="EG90" s="47" t="n">
        <f aca="false">-EF96*$F22*(EG$4&gt;In_COD)</f>
        <v>-3.60566538868226E-012</v>
      </c>
      <c r="EH90" s="47" t="n">
        <f aca="false">-EG96*$F22*(EH$4&gt;In_COD)</f>
        <v>-3.65073620604079E-012</v>
      </c>
      <c r="EI90" s="47" t="n">
        <f aca="false">-EH96*$F22*(EI$4&gt;In_COD)</f>
        <v>-3.6963704086163E-012</v>
      </c>
      <c r="EJ90" s="47" t="n">
        <f aca="false">-EI96*$F22*(EJ$4&gt;In_COD)</f>
        <v>-3.74257503872401E-012</v>
      </c>
      <c r="EK90" s="47" t="n">
        <f aca="false">-EJ96*$F22*(EK$4&gt;In_COD)</f>
        <v>-3.78935722670806E-012</v>
      </c>
      <c r="EL90" s="47" t="n">
        <f aca="false">-EK96*$F22*(EL$4&gt;In_COD)</f>
        <v>-3.83672419204191E-012</v>
      </c>
      <c r="EM90" s="47" t="n">
        <f aca="false">-EL96*$F22*(EM$4&gt;In_COD)</f>
        <v>-3.88468324444243E-012</v>
      </c>
      <c r="EN90" s="47" t="n">
        <f aca="false">-EM96*$F22*(EN$4&gt;In_COD)</f>
        <v>-3.93324178499796E-012</v>
      </c>
      <c r="EO90" s="47" t="n">
        <f aca="false">-EN96*$F22*(EO$4&gt;In_COD)</f>
        <v>-3.98240730731044E-012</v>
      </c>
    </row>
    <row r="91" customFormat="false" ht="15" hidden="false" customHeight="false" outlineLevel="0" collapsed="false">
      <c r="C91" s="0" t="s">
        <v>454</v>
      </c>
      <c r="D91" s="11" t="s">
        <v>33</v>
      </c>
      <c r="I91" s="47" t="n">
        <f aca="false">SUM(J91:EO91)</f>
        <v>-64688.3230701215</v>
      </c>
      <c r="J91" s="47" t="n">
        <f aca="false">-J85*$F87</f>
        <v>0</v>
      </c>
      <c r="K91" s="47" t="n">
        <f aca="false">-K85*$F87</f>
        <v>0</v>
      </c>
      <c r="L91" s="47" t="n">
        <f aca="false">-L85*$F87</f>
        <v>0</v>
      </c>
      <c r="M91" s="47" t="n">
        <f aca="false">-M85*$F87</f>
        <v>0</v>
      </c>
      <c r="N91" s="47" t="n">
        <f aca="false">-N85*$F87</f>
        <v>0</v>
      </c>
      <c r="O91" s="47" t="n">
        <f aca="false">-O85*$F87</f>
        <v>0</v>
      </c>
      <c r="P91" s="47" t="n">
        <f aca="false">-P85*$F87</f>
        <v>0</v>
      </c>
      <c r="Q91" s="47" t="n">
        <f aca="false">-Q85*$F87</f>
        <v>0</v>
      </c>
      <c r="R91" s="47" t="n">
        <f aca="false">-R85*$F87</f>
        <v>0</v>
      </c>
      <c r="S91" s="47" t="n">
        <f aca="false">-S85*$F87</f>
        <v>0</v>
      </c>
      <c r="T91" s="47" t="n">
        <f aca="false">-T85*$F87</f>
        <v>0</v>
      </c>
      <c r="U91" s="47" t="n">
        <f aca="false">-U85*$F87</f>
        <v>0</v>
      </c>
      <c r="V91" s="47" t="n">
        <f aca="false">-V85*$F87</f>
        <v>0</v>
      </c>
      <c r="W91" s="47" t="n">
        <f aca="false">-W85*$F87</f>
        <v>0</v>
      </c>
      <c r="X91" s="47" t="n">
        <f aca="false">-X85*$F87</f>
        <v>0</v>
      </c>
      <c r="Y91" s="47" t="n">
        <f aca="false">-Y85*$F87</f>
        <v>0</v>
      </c>
      <c r="Z91" s="47" t="n">
        <f aca="false">-Z85*$F87</f>
        <v>-908.387447955559</v>
      </c>
      <c r="AA91" s="47" t="n">
        <f aca="false">-AA85*$F87</f>
        <v>-894.622116531222</v>
      </c>
      <c r="AB91" s="47" t="n">
        <f aca="false">-AB85*$F87</f>
        <v>-904.252891475551</v>
      </c>
      <c r="AC91" s="47" t="n">
        <f aca="false">-AC85*$F87</f>
        <v>-913.878397711619</v>
      </c>
      <c r="AD91" s="47" t="n">
        <f aca="false">-AD85*$F87</f>
        <v>-906.91127454932</v>
      </c>
      <c r="AE91" s="47" t="n">
        <f aca="false">-AE85*$F87</f>
        <v>-881.750552809429</v>
      </c>
      <c r="AF91" s="47" t="n">
        <f aca="false">-AF85*$F87</f>
        <v>-881.473128385863</v>
      </c>
      <c r="AG91" s="47" t="n">
        <f aca="false">-AG85*$F87</f>
        <v>-890.552098094487</v>
      </c>
      <c r="AH91" s="47" t="n">
        <f aca="false">-AH85*$F87</f>
        <v>-887.399508547481</v>
      </c>
      <c r="AI91" s="47" t="n">
        <f aca="false">-AI85*$F87</f>
        <v>-873.66863995546</v>
      </c>
      <c r="AJ91" s="47" t="n">
        <f aca="false">-AJ85*$F87</f>
        <v>-893.895463897675</v>
      </c>
      <c r="AK91" s="47" t="n">
        <f aca="false">-AK85*$F87</f>
        <v>-903.100010493837</v>
      </c>
      <c r="AL91" s="47" t="n">
        <f aca="false">-AL85*$F87</f>
        <v>-899.90537869785</v>
      </c>
      <c r="AM91" s="47" t="n">
        <f aca="false">-AM85*$F87</f>
        <v>-885.802367059489</v>
      </c>
      <c r="AN91" s="47" t="n">
        <f aca="false">-AN85*$F87</f>
        <v>-895.027335023082</v>
      </c>
      <c r="AO91" s="47" t="n">
        <f aca="false">-AO85*$F87</f>
        <v>-904.241599962941</v>
      </c>
      <c r="AP91" s="47" t="n">
        <f aca="false">-AP85*$F87</f>
        <v>-901.012199777804</v>
      </c>
      <c r="AQ91" s="47" t="n">
        <f aca="false">-AQ85*$F87</f>
        <v>-886.788062017506</v>
      </c>
      <c r="AR91" s="47" t="n">
        <f aca="false">-AR85*$F87</f>
        <v>-896.021453423938</v>
      </c>
      <c r="AS91" s="47" t="n">
        <f aca="false">-AS85*$F87</f>
        <v>-905.243924053945</v>
      </c>
      <c r="AT91" s="47" t="n">
        <f aca="false">-AT85*$F87</f>
        <v>-901.97895694388</v>
      </c>
      <c r="AU91" s="47" t="n">
        <f aca="false">-AU85*$F87</f>
        <v>-897.216806097525</v>
      </c>
      <c r="AV91" s="47" t="n">
        <f aca="false">-AV85*$F87</f>
        <v>-896.865156077212</v>
      </c>
      <c r="AW91" s="47" t="n">
        <f aca="false">-AW85*$F87</f>
        <v>-906.094174741503</v>
      </c>
      <c r="AX91" s="47" t="n">
        <f aca="false">-AX85*$F87</f>
        <v>-902.792725284906</v>
      </c>
      <c r="AY91" s="47" t="n">
        <f aca="false">-AY85*$F87</f>
        <v>-888.321130683273</v>
      </c>
      <c r="AZ91" s="47" t="n">
        <f aca="false">-AZ85*$F87</f>
        <v>-897.566521338663</v>
      </c>
      <c r="BA91" s="47" t="n">
        <f aca="false">-BA85*$F87</f>
        <v>-906.800529397244</v>
      </c>
      <c r="BB91" s="47" t="n">
        <f aca="false">-BB85*$F87</f>
        <v>-903.46181298104</v>
      </c>
      <c r="BC91" s="47" t="n">
        <f aca="false">-BC85*$F87</f>
        <v>-888.863874642655</v>
      </c>
      <c r="BD91" s="47" t="n">
        <f aca="false">-BD85*$F87</f>
        <v>-898.112794058855</v>
      </c>
      <c r="BE91" s="47" t="n">
        <f aca="false">-BE85*$F87</f>
        <v>-907.350086997257</v>
      </c>
      <c r="BF91" s="47" t="n">
        <f aca="false">-BF85*$F87</f>
        <v>-903.973202873413</v>
      </c>
      <c r="BG91" s="47" t="n">
        <f aca="false">-BG85*$F87</f>
        <v>-889.247085352203</v>
      </c>
      <c r="BH91" s="47" t="n">
        <f aca="false">-BH85*$F87</f>
        <v>-898.497769792043</v>
      </c>
      <c r="BI91" s="47" t="n">
        <f aca="false">-BI85*$F87</f>
        <v>-907.73657436569</v>
      </c>
      <c r="BJ91" s="47" t="n">
        <f aca="false">-BJ85*$F87</f>
        <v>-904.320584550108</v>
      </c>
      <c r="BK91" s="47" t="n">
        <f aca="false">-BK85*$F87</f>
        <v>-899.13866581036</v>
      </c>
      <c r="BL91" s="47" t="n">
        <f aca="false">-BL85*$F87</f>
        <v>-898.707854182597</v>
      </c>
      <c r="BM91" s="47" t="n">
        <f aca="false">-BM85*$F87</f>
        <v>-907.946241625468</v>
      </c>
      <c r="BN91" s="47" t="n">
        <f aca="false">-BN85*$F87</f>
        <v>-904.490083954488</v>
      </c>
      <c r="BO91" s="47" t="n">
        <f aca="false">-BO85*$F87</f>
        <v>-889.501805853961</v>
      </c>
      <c r="BP91" s="47" t="n">
        <f aca="false">-BP85*$F87</f>
        <v>-898.750355772324</v>
      </c>
      <c r="BQ91" s="47" t="n">
        <f aca="false">-BQ85*$F87</f>
        <v>-907.986487725373</v>
      </c>
      <c r="BR91" s="47" t="n">
        <f aca="false">-BR85*$F87</f>
        <v>-904.489225566373</v>
      </c>
      <c r="BS91" s="47" t="n">
        <f aca="false">-BS85*$F87</f>
        <v>-889.366938115053</v>
      </c>
      <c r="BT91" s="47" t="n">
        <f aca="false">-BT85*$F87</f>
        <v>-898.611521706697</v>
      </c>
      <c r="BU91" s="47" t="n">
        <f aca="false">-BU85*$F87</f>
        <v>-907.843402658638</v>
      </c>
      <c r="BV91" s="47" t="n">
        <f aca="false">-BV85*$F87</f>
        <v>-904.303975351883</v>
      </c>
      <c r="BW91" s="47" t="n">
        <f aca="false">-BW85*$F87</f>
        <v>-889.045622655218</v>
      </c>
      <c r="BX91" s="47" t="n">
        <f aca="false">-BX85*$F87</f>
        <v>-898.284176113643</v>
      </c>
      <c r="BY91" s="47" t="n">
        <f aca="false">-BY85*$F87</f>
        <v>-907.50973086569</v>
      </c>
      <c r="BZ91" s="47" t="n">
        <f aca="false">-BZ85*$F87</f>
        <v>-903.927033035082</v>
      </c>
      <c r="CA91" s="47" t="n">
        <f aca="false">-CA85*$F87</f>
        <v>-898.278804212933</v>
      </c>
      <c r="CB91" s="47" t="n">
        <f aca="false">-CB85*$F87</f>
        <v>-897.753659917232</v>
      </c>
      <c r="CC91" s="47" t="n">
        <f aca="false">-CC85*$F87</f>
        <v>-906.970645706281</v>
      </c>
      <c r="CD91" s="47" t="n">
        <f aca="false">-CD85*$F87</f>
        <v>-903.343439307436</v>
      </c>
      <c r="CE91" s="47" t="n">
        <f aca="false">-CE85*$F87</f>
        <v>-887.806456551552</v>
      </c>
      <c r="CF91" s="47" t="n">
        <f aca="false">-CF85*$F87</f>
        <v>-897.026338608266</v>
      </c>
      <c r="CG91" s="47" t="n">
        <f aca="false">-CG85*$F87</f>
        <v>-906.232592478025</v>
      </c>
      <c r="CH91" s="47" t="n">
        <f aca="false">-CH85*$F87</f>
        <v>-902.559758060607</v>
      </c>
      <c r="CI91" s="47" t="n">
        <f aca="false">-CI85*$F87</f>
        <v>-886.880164504622</v>
      </c>
      <c r="CJ91" s="47" t="n">
        <f aca="false">-CJ85*$F87</f>
        <v>-896.087315142408</v>
      </c>
      <c r="CK91" s="47" t="n">
        <f aca="false">-CK85*$F87</f>
        <v>-905.280504031042</v>
      </c>
      <c r="CL91" s="47" t="n">
        <f aca="false">-CL85*$F87</f>
        <v>-901.560788894095</v>
      </c>
      <c r="CM91" s="47" t="n">
        <f aca="false">-CM85*$F87</f>
        <v>-885.736270836725</v>
      </c>
      <c r="CN91" s="47" t="n">
        <f aca="false">-CN85*$F87</f>
        <v>-894.928278129232</v>
      </c>
      <c r="CO91" s="47" t="n">
        <f aca="false">-CO85*$F87</f>
        <v>-904.105976448584</v>
      </c>
      <c r="CP91" s="47" t="n">
        <f aca="false">-CP85*$F87</f>
        <v>-900.338074163713</v>
      </c>
      <c r="CQ91" s="47" t="n">
        <f aca="false">-CQ85*$F87</f>
        <v>-894.170953343317</v>
      </c>
      <c r="CR91" s="47" t="n">
        <f aca="false">-CR85*$F87</f>
        <v>-893.533345722752</v>
      </c>
      <c r="CS91" s="47" t="n">
        <f aca="false">-CS85*$F87</f>
        <v>-902.692946468276</v>
      </c>
      <c r="CT91" s="47" t="n">
        <f aca="false">-CT85*$F87</f>
        <v>-0</v>
      </c>
      <c r="CU91" s="47" t="n">
        <f aca="false">-CU85*$F87</f>
        <v>-0</v>
      </c>
      <c r="CV91" s="47" t="n">
        <f aca="false">-CV85*$F87</f>
        <v>-0</v>
      </c>
      <c r="CW91" s="47" t="n">
        <f aca="false">-CW85*$F87</f>
        <v>-0</v>
      </c>
      <c r="CX91" s="47" t="n">
        <f aca="false">-CX85*$F87</f>
        <v>-0</v>
      </c>
      <c r="CY91" s="47" t="n">
        <f aca="false">-CY85*$F87</f>
        <v>-0</v>
      </c>
      <c r="CZ91" s="47" t="n">
        <f aca="false">-CZ85*$F87</f>
        <v>-0</v>
      </c>
      <c r="DA91" s="47" t="n">
        <f aca="false">-DA85*$F87</f>
        <v>-0</v>
      </c>
      <c r="DB91" s="47" t="n">
        <f aca="false">-DB85*$F87</f>
        <v>-0</v>
      </c>
      <c r="DC91" s="47" t="n">
        <f aca="false">-DC85*$F87</f>
        <v>-0</v>
      </c>
      <c r="DD91" s="47" t="n">
        <f aca="false">-DD85*$F87</f>
        <v>-0</v>
      </c>
      <c r="DE91" s="47" t="n">
        <f aca="false">-DE85*$F87</f>
        <v>-0</v>
      </c>
      <c r="DF91" s="47" t="n">
        <f aca="false">-DF85*$F87</f>
        <v>-0</v>
      </c>
      <c r="DG91" s="47" t="n">
        <f aca="false">-DG85*$F87</f>
        <v>-0</v>
      </c>
      <c r="DH91" s="47" t="n">
        <f aca="false">-DH85*$F87</f>
        <v>-0</v>
      </c>
      <c r="DI91" s="47" t="n">
        <f aca="false">-DI85*$F87</f>
        <v>-0</v>
      </c>
      <c r="DJ91" s="47" t="n">
        <f aca="false">-DJ85*$F87</f>
        <v>-0</v>
      </c>
      <c r="DK91" s="47" t="n">
        <f aca="false">-DK85*$F87</f>
        <v>-0</v>
      </c>
      <c r="DL91" s="47" t="n">
        <f aca="false">-DL85*$F87</f>
        <v>-0</v>
      </c>
      <c r="DM91" s="47" t="n">
        <f aca="false">-DM85*$F87</f>
        <v>-0</v>
      </c>
      <c r="DN91" s="47" t="n">
        <f aca="false">-DN85*$F87</f>
        <v>-0</v>
      </c>
      <c r="DO91" s="47" t="n">
        <f aca="false">-DO85*$F87</f>
        <v>-0</v>
      </c>
      <c r="DP91" s="47" t="n">
        <f aca="false">-DP85*$F87</f>
        <v>-0</v>
      </c>
      <c r="DQ91" s="47" t="n">
        <f aca="false">-DQ85*$F87</f>
        <v>-0</v>
      </c>
      <c r="DR91" s="47" t="n">
        <f aca="false">-DR85*$F87</f>
        <v>-0</v>
      </c>
      <c r="DS91" s="47" t="n">
        <f aca="false">-DS85*$F87</f>
        <v>-0</v>
      </c>
      <c r="DT91" s="47" t="n">
        <f aca="false">-DT85*$F87</f>
        <v>-0</v>
      </c>
      <c r="DU91" s="47" t="n">
        <f aca="false">-DU85*$F87</f>
        <v>-0</v>
      </c>
      <c r="DV91" s="47" t="n">
        <f aca="false">-DV85*$F87</f>
        <v>-0</v>
      </c>
      <c r="DW91" s="47" t="n">
        <f aca="false">-DW85*$F87</f>
        <v>-0</v>
      </c>
      <c r="DX91" s="47" t="n">
        <f aca="false">-DX85*$F87</f>
        <v>-0</v>
      </c>
      <c r="DY91" s="47" t="n">
        <f aca="false">-DY85*$F87</f>
        <v>-0</v>
      </c>
      <c r="DZ91" s="47" t="n">
        <f aca="false">-DZ85*$F87</f>
        <v>-0</v>
      </c>
      <c r="EA91" s="47" t="n">
        <f aca="false">-EA85*$F87</f>
        <v>-0</v>
      </c>
      <c r="EB91" s="47" t="n">
        <f aca="false">-EB85*$F87</f>
        <v>-0</v>
      </c>
      <c r="EC91" s="47" t="n">
        <f aca="false">-EC85*$F87</f>
        <v>-0</v>
      </c>
      <c r="ED91" s="47" t="n">
        <f aca="false">-ED85*$F87</f>
        <v>-0</v>
      </c>
      <c r="EE91" s="47" t="n">
        <f aca="false">-EE85*$F87</f>
        <v>-0</v>
      </c>
      <c r="EF91" s="47" t="n">
        <f aca="false">-EF85*$F87</f>
        <v>-0</v>
      </c>
      <c r="EG91" s="47" t="n">
        <f aca="false">-EG85*$F87</f>
        <v>-0</v>
      </c>
      <c r="EH91" s="47" t="n">
        <f aca="false">-EH85*$F87</f>
        <v>-0</v>
      </c>
      <c r="EI91" s="47" t="n">
        <f aca="false">-EI85*$F87</f>
        <v>-0</v>
      </c>
      <c r="EJ91" s="47" t="n">
        <f aca="false">-EJ85*$F87</f>
        <v>-0</v>
      </c>
      <c r="EK91" s="47" t="n">
        <f aca="false">-EK85*$F87</f>
        <v>-0</v>
      </c>
      <c r="EL91" s="47" t="n">
        <f aca="false">-EL85*$F87</f>
        <v>-0</v>
      </c>
      <c r="EM91" s="47" t="n">
        <f aca="false">-EM85*$F87</f>
        <v>-0</v>
      </c>
      <c r="EN91" s="47" t="n">
        <f aca="false">-EN85*$F87</f>
        <v>-0</v>
      </c>
      <c r="EO91" s="47" t="n">
        <f aca="false">-EO85*$F87</f>
        <v>-0</v>
      </c>
    </row>
    <row r="92" customFormat="false" ht="15" hidden="false" customHeight="false" outlineLevel="0" collapsed="false">
      <c r="C92" s="0" t="s">
        <v>455</v>
      </c>
      <c r="D92" s="11" t="s">
        <v>33</v>
      </c>
      <c r="J92" s="18" t="n">
        <f aca="false">I96</f>
        <v>0</v>
      </c>
      <c r="K92" s="18" t="n">
        <f aca="false">J96</f>
        <v>0</v>
      </c>
      <c r="L92" s="18" t="n">
        <f aca="false">K96</f>
        <v>0</v>
      </c>
      <c r="M92" s="18" t="n">
        <f aca="false">L96</f>
        <v>0</v>
      </c>
      <c r="N92" s="18" t="n">
        <f aca="false">M96</f>
        <v>0</v>
      </c>
      <c r="O92" s="18" t="n">
        <f aca="false">N96</f>
        <v>0</v>
      </c>
      <c r="P92" s="18" t="n">
        <f aca="false">O96</f>
        <v>0</v>
      </c>
      <c r="Q92" s="18" t="n">
        <f aca="false">P96</f>
        <v>0</v>
      </c>
      <c r="R92" s="18" t="n">
        <f aca="false">Q96</f>
        <v>0</v>
      </c>
      <c r="S92" s="18" t="n">
        <f aca="false">R96</f>
        <v>4374.90719178082</v>
      </c>
      <c r="T92" s="18" t="n">
        <f aca="false">S96</f>
        <v>13194.5467782534</v>
      </c>
      <c r="U92" s="18" t="n">
        <f aca="false">T96</f>
        <v>17686.8324657213</v>
      </c>
      <c r="V92" s="18" t="n">
        <f aca="false">U96</f>
        <v>22282.8250633237</v>
      </c>
      <c r="W92" s="18" t="n">
        <f aca="false">V96</f>
        <v>26936.267568396</v>
      </c>
      <c r="X92" s="18" t="n">
        <f aca="false">W96</f>
        <v>31552.7714266996</v>
      </c>
      <c r="Y92" s="18" t="n">
        <f aca="false">X96</f>
        <v>36274.5349222731</v>
      </c>
      <c r="Z92" s="18" t="n">
        <f aca="false">Y96</f>
        <v>42477.8738005823</v>
      </c>
      <c r="AA92" s="18" t="n">
        <f aca="false">Z96</f>
        <v>42100.459775134</v>
      </c>
      <c r="AB92" s="18" t="n">
        <f aca="false">AA96</f>
        <v>41732.093405792</v>
      </c>
      <c r="AC92" s="18" t="n">
        <f aca="false">AB96</f>
        <v>41349.4916818888</v>
      </c>
      <c r="AD92" s="18" t="n">
        <f aca="false">AC96</f>
        <v>40952.4819302008</v>
      </c>
      <c r="AE92" s="18" t="n">
        <f aca="false">AD96</f>
        <v>40557.476679779</v>
      </c>
      <c r="AF92" s="18" t="n">
        <f aca="false">AE96</f>
        <v>40182.6945854668</v>
      </c>
      <c r="AG92" s="18" t="n">
        <f aca="false">AF96</f>
        <v>39803.5051393993</v>
      </c>
      <c r="AH92" s="18" t="n">
        <f aca="false">AG96</f>
        <v>39410.4968555473</v>
      </c>
      <c r="AI92" s="18" t="n">
        <f aca="false">AH96</f>
        <v>39015.7285576942</v>
      </c>
      <c r="AJ92" s="18" t="n">
        <f aca="false">AI96</f>
        <v>38629.7565247099</v>
      </c>
      <c r="AK92" s="18" t="n">
        <f aca="false">AJ96</f>
        <v>38218.7330173711</v>
      </c>
      <c r="AL92" s="18" t="n">
        <f aca="false">AK96</f>
        <v>37793.3671695944</v>
      </c>
      <c r="AM92" s="18" t="n">
        <f aca="false">AL96</f>
        <v>37365.8788805165</v>
      </c>
      <c r="AN92" s="18" t="n">
        <f aca="false">AM96</f>
        <v>36947.1499994635</v>
      </c>
      <c r="AO92" s="18" t="n">
        <f aca="false">AN96</f>
        <v>36513.9620394337</v>
      </c>
      <c r="AP92" s="18" t="n">
        <f aca="false">AO96</f>
        <v>36066.1449649636</v>
      </c>
      <c r="AQ92" s="18" t="n">
        <f aca="false">AP96</f>
        <v>35615.9595772479</v>
      </c>
      <c r="AR92" s="18" t="n">
        <f aca="false">AQ96</f>
        <v>35174.371009946</v>
      </c>
      <c r="AS92" s="18" t="n">
        <f aca="false">AR96</f>
        <v>34718.0291941464</v>
      </c>
      <c r="AT92" s="18" t="n">
        <f aca="false">AS96</f>
        <v>34246.7606350193</v>
      </c>
      <c r="AU92" s="18" t="n">
        <f aca="false">AT96</f>
        <v>33772.8661860131</v>
      </c>
      <c r="AV92" s="18" t="n">
        <f aca="false">AU96</f>
        <v>33297.8102072408</v>
      </c>
      <c r="AW92" s="18" t="n">
        <f aca="false">AV96</f>
        <v>32817.1676787541</v>
      </c>
      <c r="AX92" s="18" t="n">
        <f aca="false">AW96</f>
        <v>32321.288099997</v>
      </c>
      <c r="AY92" s="18" t="n">
        <f aca="false">AX96</f>
        <v>31822.511475962</v>
      </c>
      <c r="AZ92" s="18" t="n">
        <f aca="false">AY96</f>
        <v>31331.9717387283</v>
      </c>
      <c r="BA92" s="18" t="n">
        <f aca="false">AZ96</f>
        <v>30826.0548641237</v>
      </c>
      <c r="BB92" s="18" t="n">
        <f aca="false">BA96</f>
        <v>30304.580020528</v>
      </c>
      <c r="BC92" s="18" t="n">
        <f aca="false">BB96</f>
        <v>29779.9254578036</v>
      </c>
      <c r="BD92" s="18" t="n">
        <f aca="false">BC96</f>
        <v>29263.3106513835</v>
      </c>
      <c r="BE92" s="18" t="n">
        <f aca="false">BD96</f>
        <v>28730.9892404669</v>
      </c>
      <c r="BF92" s="18" t="n">
        <f aca="false">BE96</f>
        <v>28182.7765189755</v>
      </c>
      <c r="BG92" s="18" t="n">
        <f aca="false">BF96</f>
        <v>27631.0880225893</v>
      </c>
      <c r="BH92" s="18" t="n">
        <f aca="false">BG96</f>
        <v>27087.2295375194</v>
      </c>
      <c r="BI92" s="18" t="n">
        <f aca="false">BH96</f>
        <v>26527.3221369464</v>
      </c>
      <c r="BJ92" s="18" t="n">
        <f aca="false">BI96</f>
        <v>25951.1770892925</v>
      </c>
      <c r="BK92" s="18" t="n">
        <f aca="false">BJ96</f>
        <v>25371.2462183586</v>
      </c>
      <c r="BL92" s="18" t="n">
        <f aca="false">BK96</f>
        <v>24789.2481302777</v>
      </c>
      <c r="BM92" s="18" t="n">
        <f aca="false">BL96</f>
        <v>24200.4058777236</v>
      </c>
      <c r="BN92" s="18" t="n">
        <f aca="false">BM96</f>
        <v>23594.9647095696</v>
      </c>
      <c r="BO92" s="18" t="n">
        <f aca="false">BN96</f>
        <v>22985.4116844848</v>
      </c>
      <c r="BP92" s="18" t="n">
        <f aca="false">BO96</f>
        <v>22383.2275246869</v>
      </c>
      <c r="BQ92" s="18" t="n">
        <f aca="false">BP96</f>
        <v>21764.2675129731</v>
      </c>
      <c r="BR92" s="18" t="n">
        <f aca="false">BQ96</f>
        <v>21128.3343691599</v>
      </c>
      <c r="BS92" s="18" t="n">
        <f aca="false">BR96</f>
        <v>20487.9493232081</v>
      </c>
      <c r="BT92" s="18" t="n">
        <f aca="false">BS96</f>
        <v>19854.6817516331</v>
      </c>
      <c r="BU92" s="18" t="n">
        <f aca="false">BT96</f>
        <v>19204.2537518218</v>
      </c>
      <c r="BV92" s="18" t="n">
        <f aca="false">BU96</f>
        <v>18536.463521061</v>
      </c>
      <c r="BW92" s="18" t="n">
        <f aca="false">BV96</f>
        <v>17863.8653397223</v>
      </c>
      <c r="BX92" s="18" t="n">
        <f aca="false">BW96</f>
        <v>17198.1180338136</v>
      </c>
      <c r="BY92" s="18" t="n">
        <f aca="false">BX96</f>
        <v>16514.8103331227</v>
      </c>
      <c r="BZ92" s="18" t="n">
        <f aca="false">BY96</f>
        <v>15813.735731421</v>
      </c>
      <c r="CA92" s="18" t="n">
        <f aca="false">BZ96</f>
        <v>15107.4803950287</v>
      </c>
      <c r="CB92" s="18" t="n">
        <f aca="false">CA96</f>
        <v>14398.0450957536</v>
      </c>
      <c r="CC92" s="18" t="n">
        <f aca="false">CB96</f>
        <v>13680.2669995333</v>
      </c>
      <c r="CD92" s="18" t="n">
        <f aca="false">CC96</f>
        <v>12944.2996913212</v>
      </c>
      <c r="CE92" s="18" t="n">
        <f aca="false">CD96</f>
        <v>12202.7599981553</v>
      </c>
      <c r="CF92" s="18" t="n">
        <f aca="false">CE96</f>
        <v>11467.4880415807</v>
      </c>
      <c r="CG92" s="18" t="n">
        <f aca="false">CF96</f>
        <v>10713.8053034922</v>
      </c>
      <c r="CH92" s="18" t="n">
        <f aca="false">CG96</f>
        <v>9941.49527730778</v>
      </c>
      <c r="CI92" s="18" t="n">
        <f aca="false">CH96</f>
        <v>9163.20421021352</v>
      </c>
      <c r="CJ92" s="18" t="n">
        <f aca="false">CI96</f>
        <v>8390.86409833657</v>
      </c>
      <c r="CK92" s="18" t="n">
        <f aca="false">CJ96</f>
        <v>7599.66258442337</v>
      </c>
      <c r="CL92" s="18" t="n">
        <f aca="false">CK96</f>
        <v>6789.37786269762</v>
      </c>
      <c r="CM92" s="18" t="n">
        <f aca="false">CL96</f>
        <v>5972.68429708724</v>
      </c>
      <c r="CN92" s="18" t="n">
        <f aca="false">CM96</f>
        <v>5161.60657996411</v>
      </c>
      <c r="CO92" s="18" t="n">
        <f aca="false">CN96</f>
        <v>4331.19838408443</v>
      </c>
      <c r="CP92" s="18" t="n">
        <f aca="false">CO96</f>
        <v>3481.2323874369</v>
      </c>
      <c r="CQ92" s="18" t="n">
        <f aca="false">CP96</f>
        <v>2624.40971811615</v>
      </c>
      <c r="CR92" s="18" t="n">
        <f aca="false">CQ96</f>
        <v>1763.04388624928</v>
      </c>
      <c r="CS92" s="18" t="n">
        <f aca="false">CR96</f>
        <v>891.548589104646</v>
      </c>
      <c r="CT92" s="18" t="n">
        <f aca="false">CS96</f>
        <v>1.77692527358886E-010</v>
      </c>
      <c r="CU92" s="18" t="n">
        <f aca="false">CT96</f>
        <v>1.79913683950872E-010</v>
      </c>
      <c r="CV92" s="18" t="n">
        <f aca="false">CU96</f>
        <v>1.82162605000258E-010</v>
      </c>
      <c r="CW92" s="18" t="n">
        <f aca="false">CV96</f>
        <v>1.84439637562761E-010</v>
      </c>
      <c r="CX92" s="18" t="n">
        <f aca="false">CW96</f>
        <v>1.86745133032296E-010</v>
      </c>
      <c r="CY92" s="18" t="n">
        <f aca="false">CX96</f>
        <v>1.89079447195199E-010</v>
      </c>
      <c r="CZ92" s="18" t="n">
        <f aca="false">CY96</f>
        <v>1.91442940285139E-010</v>
      </c>
      <c r="DA92" s="18" t="n">
        <f aca="false">CZ96</f>
        <v>1.93835977038703E-010</v>
      </c>
      <c r="DB92" s="18" t="n">
        <f aca="false">DA96</f>
        <v>1.96258926751687E-010</v>
      </c>
      <c r="DC92" s="18" t="n">
        <f aca="false">DB96</f>
        <v>1.98712163336083E-010</v>
      </c>
      <c r="DD92" s="18" t="n">
        <f aca="false">DC96</f>
        <v>2.01196065377784E-010</v>
      </c>
      <c r="DE92" s="18" t="n">
        <f aca="false">DD96</f>
        <v>2.03711016195007E-010</v>
      </c>
      <c r="DF92" s="18" t="n">
        <f aca="false">DE96</f>
        <v>2.06257403897444E-010</v>
      </c>
      <c r="DG92" s="18" t="n">
        <f aca="false">DF96</f>
        <v>2.08835621446162E-010</v>
      </c>
      <c r="DH92" s="18" t="n">
        <f aca="false">DG96</f>
        <v>2.11446066714239E-010</v>
      </c>
      <c r="DI92" s="18" t="n">
        <f aca="false">DH96</f>
        <v>2.14089142548167E-010</v>
      </c>
      <c r="DJ92" s="18" t="n">
        <f aca="false">DI96</f>
        <v>2.16765256830019E-010</v>
      </c>
      <c r="DK92" s="18" t="n">
        <f aca="false">DJ96</f>
        <v>2.19474822540395E-010</v>
      </c>
      <c r="DL92" s="18" t="n">
        <f aca="false">DK96</f>
        <v>2.2221825782215E-010</v>
      </c>
      <c r="DM92" s="18" t="n">
        <f aca="false">DL96</f>
        <v>2.24995986044927E-010</v>
      </c>
      <c r="DN92" s="18" t="n">
        <f aca="false">DM96</f>
        <v>2.27808435870488E-010</v>
      </c>
      <c r="DO92" s="18" t="n">
        <f aca="false">DN96</f>
        <v>2.30656041318869E-010</v>
      </c>
      <c r="DP92" s="18" t="n">
        <f aca="false">DO96</f>
        <v>2.33539241835355E-010</v>
      </c>
      <c r="DQ92" s="18" t="n">
        <f aca="false">DP96</f>
        <v>2.36458482358297E-010</v>
      </c>
      <c r="DR92" s="18" t="n">
        <f aca="false">DQ96</f>
        <v>2.39414213387776E-010</v>
      </c>
      <c r="DS92" s="18" t="n">
        <f aca="false">DR96</f>
        <v>2.42406891055123E-010</v>
      </c>
      <c r="DT92" s="18" t="n">
        <f aca="false">DS96</f>
        <v>2.45436977193312E-010</v>
      </c>
      <c r="DU92" s="18" t="n">
        <f aca="false">DT96</f>
        <v>2.48504939408228E-010</v>
      </c>
      <c r="DV92" s="18" t="n">
        <f aca="false">DU96</f>
        <v>2.51611251150831E-010</v>
      </c>
      <c r="DW92" s="18" t="n">
        <f aca="false">DV96</f>
        <v>2.54756391790217E-010</v>
      </c>
      <c r="DX92" s="18" t="n">
        <f aca="false">DW96</f>
        <v>2.57940846687594E-010</v>
      </c>
      <c r="DY92" s="18" t="n">
        <f aca="false">DX96</f>
        <v>2.61165107271189E-010</v>
      </c>
      <c r="DZ92" s="18" t="n">
        <f aca="false">DY96</f>
        <v>2.64429671112079E-010</v>
      </c>
      <c r="EA92" s="18" t="n">
        <f aca="false">DZ96</f>
        <v>2.6773504200098E-010</v>
      </c>
      <c r="EB92" s="18" t="n">
        <f aca="false">EA96</f>
        <v>2.71081730025992E-010</v>
      </c>
      <c r="EC92" s="18" t="n">
        <f aca="false">EB96</f>
        <v>2.74470251651317E-010</v>
      </c>
      <c r="ED92" s="18" t="n">
        <f aca="false">EC96</f>
        <v>2.77901129796959E-010</v>
      </c>
      <c r="EE92" s="18" t="n">
        <f aca="false">ED96</f>
        <v>2.81374893919421E-010</v>
      </c>
      <c r="EF92" s="18" t="n">
        <f aca="false">EE96</f>
        <v>2.84892080093413E-010</v>
      </c>
      <c r="EG92" s="18" t="n">
        <f aca="false">EF96</f>
        <v>2.88453231094581E-010</v>
      </c>
      <c r="EH92" s="18" t="n">
        <f aca="false">EG96</f>
        <v>2.92058896483263E-010</v>
      </c>
      <c r="EI92" s="18" t="n">
        <f aca="false">EH96</f>
        <v>2.95709632689304E-010</v>
      </c>
      <c r="EJ92" s="18" t="n">
        <f aca="false">EI96</f>
        <v>2.9940600309792E-010</v>
      </c>
      <c r="EK92" s="18" t="n">
        <f aca="false">EJ96</f>
        <v>3.03148578136644E-010</v>
      </c>
      <c r="EL92" s="18" t="n">
        <f aca="false">EK96</f>
        <v>3.06937935363353E-010</v>
      </c>
      <c r="EM92" s="18" t="n">
        <f aca="false">EL96</f>
        <v>3.10774659555394E-010</v>
      </c>
      <c r="EN92" s="18" t="n">
        <f aca="false">EM96</f>
        <v>3.14659342799837E-010</v>
      </c>
      <c r="EO92" s="18" t="n">
        <f aca="false">EN96</f>
        <v>3.18592584584835E-010</v>
      </c>
    </row>
    <row r="93" customFormat="false" ht="15" hidden="false" customHeight="false" outlineLevel="0" collapsed="false">
      <c r="C93" s="0" t="s">
        <v>456</v>
      </c>
      <c r="D93" s="11" t="s">
        <v>33</v>
      </c>
      <c r="I93" s="47" t="n">
        <f aca="false">SUM(J93:EO93)</f>
        <v>40574.0902328767</v>
      </c>
      <c r="J93" s="47" t="n">
        <f aca="false">-$E87*J67</f>
        <v>0</v>
      </c>
      <c r="K93" s="47" t="n">
        <f aca="false">-$E87*K67</f>
        <v>0</v>
      </c>
      <c r="L93" s="47" t="n">
        <f aca="false">-$E87*L67</f>
        <v>0</v>
      </c>
      <c r="M93" s="47" t="n">
        <f aca="false">-$E87*M67</f>
        <v>0</v>
      </c>
      <c r="N93" s="47" t="n">
        <f aca="false">-$E87*N67</f>
        <v>0</v>
      </c>
      <c r="O93" s="47" t="n">
        <f aca="false">-$E87*O67</f>
        <v>0</v>
      </c>
      <c r="P93" s="47" t="n">
        <f aca="false">-$E87*P67</f>
        <v>0</v>
      </c>
      <c r="Q93" s="47" t="n">
        <f aca="false">-$E87*Q67</f>
        <v>0</v>
      </c>
      <c r="R93" s="47" t="n">
        <f aca="false">-$E87*R67</f>
        <v>4374.90719178082</v>
      </c>
      <c r="S93" s="47" t="n">
        <f aca="false">-$E87*S67</f>
        <v>8764.95324657534</v>
      </c>
      <c r="T93" s="47" t="n">
        <f aca="false">-$E87*T67</f>
        <v>4327.35385273973</v>
      </c>
      <c r="U93" s="47" t="n">
        <f aca="false">-$E87*U67</f>
        <v>4374.90719178082</v>
      </c>
      <c r="V93" s="47" t="n">
        <f aca="false">-$E87*V67</f>
        <v>4374.90719178082</v>
      </c>
      <c r="W93" s="47" t="n">
        <f aca="false">-$E87*W67</f>
        <v>4279.80051369863</v>
      </c>
      <c r="X93" s="47" t="n">
        <f aca="false">-$E87*X67</f>
        <v>4327.35385273973</v>
      </c>
      <c r="Y93" s="47" t="n">
        <f aca="false">-$E87*Y67</f>
        <v>5749.90719178082</v>
      </c>
      <c r="Z93" s="47" t="n">
        <f aca="false">-$E87*Z67</f>
        <v>0</v>
      </c>
      <c r="AA93" s="47" t="n">
        <f aca="false">-$E87*AA67</f>
        <v>0</v>
      </c>
      <c r="AB93" s="47" t="n">
        <f aca="false">-$E87*AB67</f>
        <v>0</v>
      </c>
      <c r="AC93" s="47" t="n">
        <f aca="false">-$E87*AC67</f>
        <v>0</v>
      </c>
      <c r="AD93" s="47" t="n">
        <f aca="false">-$E87*AD67</f>
        <v>0</v>
      </c>
      <c r="AE93" s="47" t="n">
        <f aca="false">-$E87*AE67</f>
        <v>0</v>
      </c>
      <c r="AF93" s="47" t="n">
        <f aca="false">-$E87*AF67</f>
        <v>0</v>
      </c>
      <c r="AG93" s="47" t="n">
        <f aca="false">-$E87*AG67</f>
        <v>0</v>
      </c>
      <c r="AH93" s="47" t="n">
        <f aca="false">-$E87*AH67</f>
        <v>0</v>
      </c>
      <c r="AI93" s="47" t="n">
        <f aca="false">-$E87*AI67</f>
        <v>0</v>
      </c>
      <c r="AJ93" s="47" t="n">
        <f aca="false">-$E87*AJ67</f>
        <v>0</v>
      </c>
      <c r="AK93" s="47" t="n">
        <f aca="false">-$E87*AK67</f>
        <v>0</v>
      </c>
      <c r="AL93" s="47" t="n">
        <f aca="false">-$E87*AL67</f>
        <v>0</v>
      </c>
      <c r="AM93" s="47" t="n">
        <f aca="false">-$E87*AM67</f>
        <v>0</v>
      </c>
      <c r="AN93" s="47" t="n">
        <f aca="false">-$E87*AN67</f>
        <v>0</v>
      </c>
      <c r="AO93" s="47" t="n">
        <f aca="false">-$E87*AO67</f>
        <v>0</v>
      </c>
      <c r="AP93" s="47" t="n">
        <f aca="false">-$E87*AP67</f>
        <v>0</v>
      </c>
      <c r="AQ93" s="47" t="n">
        <f aca="false">-$E87*AQ67</f>
        <v>0</v>
      </c>
      <c r="AR93" s="47" t="n">
        <f aca="false">-$E87*AR67</f>
        <v>0</v>
      </c>
      <c r="AS93" s="47" t="n">
        <f aca="false">-$E87*AS67</f>
        <v>0</v>
      </c>
      <c r="AT93" s="47" t="n">
        <f aca="false">-$E87*AT67</f>
        <v>0</v>
      </c>
      <c r="AU93" s="47" t="n">
        <f aca="false">-$E87*AU67</f>
        <v>0</v>
      </c>
      <c r="AV93" s="47" t="n">
        <f aca="false">-$E87*AV67</f>
        <v>0</v>
      </c>
      <c r="AW93" s="47" t="n">
        <f aca="false">-$E87*AW67</f>
        <v>0</v>
      </c>
      <c r="AX93" s="47" t="n">
        <f aca="false">-$E87*AX67</f>
        <v>0</v>
      </c>
      <c r="AY93" s="47" t="n">
        <f aca="false">-$E87*AY67</f>
        <v>0</v>
      </c>
      <c r="AZ93" s="47" t="n">
        <f aca="false">-$E87*AZ67</f>
        <v>0</v>
      </c>
      <c r="BA93" s="47" t="n">
        <f aca="false">-$E87*BA67</f>
        <v>0</v>
      </c>
      <c r="BB93" s="47" t="n">
        <f aca="false">-$E87*BB67</f>
        <v>0</v>
      </c>
      <c r="BC93" s="47" t="n">
        <f aca="false">-$E87*BC67</f>
        <v>0</v>
      </c>
      <c r="BD93" s="47" t="n">
        <f aca="false">-$E87*BD67</f>
        <v>0</v>
      </c>
      <c r="BE93" s="47" t="n">
        <f aca="false">-$E87*BE67</f>
        <v>0</v>
      </c>
      <c r="BF93" s="47" t="n">
        <f aca="false">-$E87*BF67</f>
        <v>0</v>
      </c>
      <c r="BG93" s="47" t="n">
        <f aca="false">-$E87*BG67</f>
        <v>0</v>
      </c>
      <c r="BH93" s="47" t="n">
        <f aca="false">-$E87*BH67</f>
        <v>0</v>
      </c>
      <c r="BI93" s="47" t="n">
        <f aca="false">-$E87*BI67</f>
        <v>0</v>
      </c>
      <c r="BJ93" s="47" t="n">
        <f aca="false">-$E87*BJ67</f>
        <v>0</v>
      </c>
      <c r="BK93" s="47" t="n">
        <f aca="false">-$E87*BK67</f>
        <v>0</v>
      </c>
      <c r="BL93" s="47" t="n">
        <f aca="false">-$E87*BL67</f>
        <v>0</v>
      </c>
      <c r="BM93" s="47" t="n">
        <f aca="false">-$E87*BM67</f>
        <v>0</v>
      </c>
      <c r="BN93" s="47" t="n">
        <f aca="false">-$E87*BN67</f>
        <v>0</v>
      </c>
      <c r="BO93" s="47" t="n">
        <f aca="false">-$E87*BO67</f>
        <v>0</v>
      </c>
      <c r="BP93" s="47" t="n">
        <f aca="false">-$E87*BP67</f>
        <v>0</v>
      </c>
      <c r="BQ93" s="47" t="n">
        <f aca="false">-$E87*BQ67</f>
        <v>0</v>
      </c>
      <c r="BR93" s="47" t="n">
        <f aca="false">-$E87*BR67</f>
        <v>0</v>
      </c>
      <c r="BS93" s="47" t="n">
        <f aca="false">-$E87*BS67</f>
        <v>0</v>
      </c>
      <c r="BT93" s="47" t="n">
        <f aca="false">-$E87*BT67</f>
        <v>0</v>
      </c>
      <c r="BU93" s="47" t="n">
        <f aca="false">-$E87*BU67</f>
        <v>0</v>
      </c>
      <c r="BV93" s="47" t="n">
        <f aca="false">-$E87*BV67</f>
        <v>0</v>
      </c>
      <c r="BW93" s="47" t="n">
        <f aca="false">-$E87*BW67</f>
        <v>0</v>
      </c>
      <c r="BX93" s="47" t="n">
        <f aca="false">-$E87*BX67</f>
        <v>0</v>
      </c>
      <c r="BY93" s="47" t="n">
        <f aca="false">-$E87*BY67</f>
        <v>0</v>
      </c>
      <c r="BZ93" s="47" t="n">
        <f aca="false">-$E87*BZ67</f>
        <v>0</v>
      </c>
      <c r="CA93" s="47" t="n">
        <f aca="false">-$E87*CA67</f>
        <v>0</v>
      </c>
      <c r="CB93" s="47" t="n">
        <f aca="false">-$E87*CB67</f>
        <v>0</v>
      </c>
      <c r="CC93" s="47" t="n">
        <f aca="false">-$E87*CC67</f>
        <v>0</v>
      </c>
      <c r="CD93" s="47" t="n">
        <f aca="false">-$E87*CD67</f>
        <v>0</v>
      </c>
      <c r="CE93" s="47" t="n">
        <f aca="false">-$E87*CE67</f>
        <v>0</v>
      </c>
      <c r="CF93" s="47" t="n">
        <f aca="false">-$E87*CF67</f>
        <v>0</v>
      </c>
      <c r="CG93" s="47" t="n">
        <f aca="false">-$E87*CG67</f>
        <v>0</v>
      </c>
      <c r="CH93" s="47" t="n">
        <f aca="false">-$E87*CH67</f>
        <v>0</v>
      </c>
      <c r="CI93" s="47" t="n">
        <f aca="false">-$E87*CI67</f>
        <v>0</v>
      </c>
      <c r="CJ93" s="47" t="n">
        <f aca="false">-$E87*CJ67</f>
        <v>0</v>
      </c>
      <c r="CK93" s="47" t="n">
        <f aca="false">-$E87*CK67</f>
        <v>0</v>
      </c>
      <c r="CL93" s="47" t="n">
        <f aca="false">-$E87*CL67</f>
        <v>0</v>
      </c>
      <c r="CM93" s="47" t="n">
        <f aca="false">-$E87*CM67</f>
        <v>0</v>
      </c>
      <c r="CN93" s="47" t="n">
        <f aca="false">-$E87*CN67</f>
        <v>0</v>
      </c>
      <c r="CO93" s="47" t="n">
        <f aca="false">-$E87*CO67</f>
        <v>0</v>
      </c>
      <c r="CP93" s="47" t="n">
        <f aca="false">-$E87*CP67</f>
        <v>0</v>
      </c>
      <c r="CQ93" s="47" t="n">
        <f aca="false">-$E87*CQ67</f>
        <v>0</v>
      </c>
      <c r="CR93" s="47" t="n">
        <f aca="false">-$E87*CR67</f>
        <v>0</v>
      </c>
      <c r="CS93" s="47" t="n">
        <f aca="false">-$E87*CS67</f>
        <v>0</v>
      </c>
      <c r="CT93" s="47" t="n">
        <f aca="false">-$E87*CT67</f>
        <v>0</v>
      </c>
      <c r="CU93" s="47" t="n">
        <f aca="false">-$E87*CU67</f>
        <v>0</v>
      </c>
      <c r="CV93" s="47" t="n">
        <f aca="false">-$E87*CV67</f>
        <v>0</v>
      </c>
      <c r="CW93" s="47" t="n">
        <f aca="false">-$E87*CW67</f>
        <v>0</v>
      </c>
      <c r="CX93" s="47" t="n">
        <f aca="false">-$E87*CX67</f>
        <v>0</v>
      </c>
      <c r="CY93" s="47" t="n">
        <f aca="false">-$E87*CY67</f>
        <v>0</v>
      </c>
      <c r="CZ93" s="47" t="n">
        <f aca="false">-$E87*CZ67</f>
        <v>0</v>
      </c>
      <c r="DA93" s="47" t="n">
        <f aca="false">-$E87*DA67</f>
        <v>0</v>
      </c>
      <c r="DB93" s="47" t="n">
        <f aca="false">-$E87*DB67</f>
        <v>0</v>
      </c>
      <c r="DC93" s="47" t="n">
        <f aca="false">-$E87*DC67</f>
        <v>0</v>
      </c>
      <c r="DD93" s="47" t="n">
        <f aca="false">-$E87*DD67</f>
        <v>0</v>
      </c>
      <c r="DE93" s="47" t="n">
        <f aca="false">-$E87*DE67</f>
        <v>0</v>
      </c>
      <c r="DF93" s="47" t="n">
        <f aca="false">-$E87*DF67</f>
        <v>0</v>
      </c>
      <c r="DG93" s="47" t="n">
        <f aca="false">-$E87*DG67</f>
        <v>0</v>
      </c>
      <c r="DH93" s="47" t="n">
        <f aca="false">-$E87*DH67</f>
        <v>0</v>
      </c>
      <c r="DI93" s="47" t="n">
        <f aca="false">-$E87*DI67</f>
        <v>0</v>
      </c>
      <c r="DJ93" s="47" t="n">
        <f aca="false">-$E87*DJ67</f>
        <v>0</v>
      </c>
      <c r="DK93" s="47" t="n">
        <f aca="false">-$E87*DK67</f>
        <v>0</v>
      </c>
      <c r="DL93" s="47" t="n">
        <f aca="false">-$E87*DL67</f>
        <v>0</v>
      </c>
      <c r="DM93" s="47" t="n">
        <f aca="false">-$E87*DM67</f>
        <v>0</v>
      </c>
      <c r="DN93" s="47" t="n">
        <f aca="false">-$E87*DN67</f>
        <v>0</v>
      </c>
      <c r="DO93" s="47" t="n">
        <f aca="false">-$E87*DO67</f>
        <v>0</v>
      </c>
      <c r="DP93" s="47" t="n">
        <f aca="false">-$E87*DP67</f>
        <v>0</v>
      </c>
      <c r="DQ93" s="47" t="n">
        <f aca="false">-$E87*DQ67</f>
        <v>0</v>
      </c>
      <c r="DR93" s="47" t="n">
        <f aca="false">-$E87*DR67</f>
        <v>0</v>
      </c>
      <c r="DS93" s="47" t="n">
        <f aca="false">-$E87*DS67</f>
        <v>0</v>
      </c>
      <c r="DT93" s="47" t="n">
        <f aca="false">-$E87*DT67</f>
        <v>0</v>
      </c>
      <c r="DU93" s="47" t="n">
        <f aca="false">-$E87*DU67</f>
        <v>0</v>
      </c>
      <c r="DV93" s="47" t="n">
        <f aca="false">-$E87*DV67</f>
        <v>0</v>
      </c>
      <c r="DW93" s="47" t="n">
        <f aca="false">-$E87*DW67</f>
        <v>0</v>
      </c>
      <c r="DX93" s="47" t="n">
        <f aca="false">-$E87*DX67</f>
        <v>0</v>
      </c>
      <c r="DY93" s="47" t="n">
        <f aca="false">-$E87*DY67</f>
        <v>0</v>
      </c>
      <c r="DZ93" s="47" t="n">
        <f aca="false">-$E87*DZ67</f>
        <v>0</v>
      </c>
      <c r="EA93" s="47" t="n">
        <f aca="false">-$E87*EA67</f>
        <v>0</v>
      </c>
      <c r="EB93" s="47" t="n">
        <f aca="false">-$E87*EB67</f>
        <v>0</v>
      </c>
      <c r="EC93" s="47" t="n">
        <f aca="false">-$E87*EC67</f>
        <v>0</v>
      </c>
      <c r="ED93" s="47" t="n">
        <f aca="false">-$E87*ED67</f>
        <v>0</v>
      </c>
      <c r="EE93" s="47" t="n">
        <f aca="false">-$E87*EE67</f>
        <v>0</v>
      </c>
      <c r="EF93" s="47" t="n">
        <f aca="false">-$E87*EF67</f>
        <v>0</v>
      </c>
      <c r="EG93" s="47" t="n">
        <f aca="false">-$E87*EG67</f>
        <v>0</v>
      </c>
      <c r="EH93" s="47" t="n">
        <f aca="false">-$E87*EH67</f>
        <v>0</v>
      </c>
      <c r="EI93" s="47" t="n">
        <f aca="false">-$E87*EI67</f>
        <v>0</v>
      </c>
      <c r="EJ93" s="47" t="n">
        <f aca="false">-$E87*EJ67</f>
        <v>0</v>
      </c>
      <c r="EK93" s="47" t="n">
        <f aca="false">-$E87*EK67</f>
        <v>0</v>
      </c>
      <c r="EL93" s="47" t="n">
        <f aca="false">-$E87*EL67</f>
        <v>0</v>
      </c>
      <c r="EM93" s="47" t="n">
        <f aca="false">-$E87*EM67</f>
        <v>0</v>
      </c>
      <c r="EN93" s="47" t="n">
        <f aca="false">-$E87*EN67</f>
        <v>0</v>
      </c>
      <c r="EO93" s="47" t="n">
        <f aca="false">-$E87*EO67</f>
        <v>0</v>
      </c>
    </row>
    <row r="94" customFormat="false" ht="15" hidden="false" customHeight="false" outlineLevel="0" collapsed="false">
      <c r="C94" s="0" t="s">
        <v>457</v>
      </c>
      <c r="D94" s="11" t="s">
        <v>33</v>
      </c>
      <c r="I94" s="47" t="n">
        <f aca="false">SUM(J94:EO94)</f>
        <v>1903.7835677056</v>
      </c>
      <c r="J94" s="47" t="n">
        <f aca="false">J92*$F22*(J$4&lt;=In_COD)</f>
        <v>0</v>
      </c>
      <c r="K94" s="47" t="n">
        <f aca="false">K92*$F22*(K$4&lt;=In_COD)</f>
        <v>0</v>
      </c>
      <c r="L94" s="47" t="n">
        <f aca="false">L92*$F22*(L$4&lt;=In_COD)</f>
        <v>0</v>
      </c>
      <c r="M94" s="47" t="n">
        <f aca="false">M92*$F22*(M$4&lt;=In_COD)</f>
        <v>0</v>
      </c>
      <c r="N94" s="47" t="n">
        <f aca="false">N92*$F22*(N$4&lt;=In_COD)</f>
        <v>0</v>
      </c>
      <c r="O94" s="47" t="n">
        <f aca="false">O92*$F22*(O$4&lt;=In_COD)</f>
        <v>0</v>
      </c>
      <c r="P94" s="47" t="n">
        <f aca="false">P92*$F22*(P$4&lt;=In_COD)</f>
        <v>0</v>
      </c>
      <c r="Q94" s="47" t="n">
        <f aca="false">Q92*$F22*(Q$4&lt;=In_COD)</f>
        <v>0</v>
      </c>
      <c r="R94" s="47" t="n">
        <f aca="false">R92*$F22*(R$4&lt;=In_COD)</f>
        <v>0</v>
      </c>
      <c r="S94" s="47" t="n">
        <f aca="false">S92*$F22*(S$4&lt;=In_COD)</f>
        <v>54.6863398972603</v>
      </c>
      <c r="T94" s="47" t="n">
        <f aca="false">T92*$F22*(T$4&lt;=In_COD)</f>
        <v>164.931834728168</v>
      </c>
      <c r="U94" s="47" t="n">
        <f aca="false">U92*$F22*(U$4&lt;=In_COD)</f>
        <v>221.085405821517</v>
      </c>
      <c r="V94" s="47" t="n">
        <f aca="false">V92*$F22*(V$4&lt;=In_COD)</f>
        <v>278.535313291546</v>
      </c>
      <c r="W94" s="47" t="n">
        <f aca="false">W92*$F22*(W$4&lt;=In_COD)</f>
        <v>336.70334460495</v>
      </c>
      <c r="X94" s="47" t="n">
        <f aca="false">X92*$F22*(X$4&lt;=In_COD)</f>
        <v>394.409642833745</v>
      </c>
      <c r="Y94" s="47" t="n">
        <f aca="false">Y92*$F22*(Y$4&lt;=In_COD)</f>
        <v>453.431686528414</v>
      </c>
      <c r="Z94" s="47" t="n">
        <f aca="false">Z92*$F22*(Z$4&lt;=In_COD)</f>
        <v>0</v>
      </c>
      <c r="AA94" s="47" t="n">
        <f aca="false">AA92*$F22*(AA$4&lt;=In_COD)</f>
        <v>0</v>
      </c>
      <c r="AB94" s="47" t="n">
        <f aca="false">AB92*$F22*(AB$4&lt;=In_COD)</f>
        <v>0</v>
      </c>
      <c r="AC94" s="47" t="n">
        <f aca="false">AC92*$F22*(AC$4&lt;=In_COD)</f>
        <v>0</v>
      </c>
      <c r="AD94" s="47" t="n">
        <f aca="false">AD92*$F22*(AD$4&lt;=In_COD)</f>
        <v>0</v>
      </c>
      <c r="AE94" s="47" t="n">
        <f aca="false">AE92*$F22*(AE$4&lt;=In_COD)</f>
        <v>0</v>
      </c>
      <c r="AF94" s="47" t="n">
        <f aca="false">AF92*$F22*(AF$4&lt;=In_COD)</f>
        <v>0</v>
      </c>
      <c r="AG94" s="47" t="n">
        <f aca="false">AG92*$F22*(AG$4&lt;=In_COD)</f>
        <v>0</v>
      </c>
      <c r="AH94" s="47" t="n">
        <f aca="false">AH92*$F22*(AH$4&lt;=In_COD)</f>
        <v>0</v>
      </c>
      <c r="AI94" s="47" t="n">
        <f aca="false">AI92*$F22*(AI$4&lt;=In_COD)</f>
        <v>0</v>
      </c>
      <c r="AJ94" s="47" t="n">
        <f aca="false">AJ92*$F22*(AJ$4&lt;=In_COD)</f>
        <v>0</v>
      </c>
      <c r="AK94" s="47" t="n">
        <f aca="false">AK92*$F22*(AK$4&lt;=In_COD)</f>
        <v>0</v>
      </c>
      <c r="AL94" s="47" t="n">
        <f aca="false">AL92*$F22*(AL$4&lt;=In_COD)</f>
        <v>0</v>
      </c>
      <c r="AM94" s="47" t="n">
        <f aca="false">AM92*$F22*(AM$4&lt;=In_COD)</f>
        <v>0</v>
      </c>
      <c r="AN94" s="47" t="n">
        <f aca="false">AN92*$F22*(AN$4&lt;=In_COD)</f>
        <v>0</v>
      </c>
      <c r="AO94" s="47" t="n">
        <f aca="false">AO92*$F22*(AO$4&lt;=In_COD)</f>
        <v>0</v>
      </c>
      <c r="AP94" s="47" t="n">
        <f aca="false">AP92*$F22*(AP$4&lt;=In_COD)</f>
        <v>0</v>
      </c>
      <c r="AQ94" s="47" t="n">
        <f aca="false">AQ92*$F22*(AQ$4&lt;=In_COD)</f>
        <v>0</v>
      </c>
      <c r="AR94" s="47" t="n">
        <f aca="false">AR92*$F22*(AR$4&lt;=In_COD)</f>
        <v>0</v>
      </c>
      <c r="AS94" s="47" t="n">
        <f aca="false">AS92*$F22*(AS$4&lt;=In_COD)</f>
        <v>0</v>
      </c>
      <c r="AT94" s="47" t="n">
        <f aca="false">AT92*$F22*(AT$4&lt;=In_COD)</f>
        <v>0</v>
      </c>
      <c r="AU94" s="47" t="n">
        <f aca="false">AU92*$F22*(AU$4&lt;=In_COD)</f>
        <v>0</v>
      </c>
      <c r="AV94" s="47" t="n">
        <f aca="false">AV92*$F22*(AV$4&lt;=In_COD)</f>
        <v>0</v>
      </c>
      <c r="AW94" s="47" t="n">
        <f aca="false">AW92*$F22*(AW$4&lt;=In_COD)</f>
        <v>0</v>
      </c>
      <c r="AX94" s="47" t="n">
        <f aca="false">AX92*$F22*(AX$4&lt;=In_COD)</f>
        <v>0</v>
      </c>
      <c r="AY94" s="47" t="n">
        <f aca="false">AY92*$F22*(AY$4&lt;=In_COD)</f>
        <v>0</v>
      </c>
      <c r="AZ94" s="47" t="n">
        <f aca="false">AZ92*$F22*(AZ$4&lt;=In_COD)</f>
        <v>0</v>
      </c>
      <c r="BA94" s="47" t="n">
        <f aca="false">BA92*$F22*(BA$4&lt;=In_COD)</f>
        <v>0</v>
      </c>
      <c r="BB94" s="47" t="n">
        <f aca="false">BB92*$F22*(BB$4&lt;=In_COD)</f>
        <v>0</v>
      </c>
      <c r="BC94" s="47" t="n">
        <f aca="false">BC92*$F22*(BC$4&lt;=In_COD)</f>
        <v>0</v>
      </c>
      <c r="BD94" s="47" t="n">
        <f aca="false">BD92*$F22*(BD$4&lt;=In_COD)</f>
        <v>0</v>
      </c>
      <c r="BE94" s="47" t="n">
        <f aca="false">BE92*$F22*(BE$4&lt;=In_COD)</f>
        <v>0</v>
      </c>
      <c r="BF94" s="47" t="n">
        <f aca="false">BF92*$F22*(BF$4&lt;=In_COD)</f>
        <v>0</v>
      </c>
      <c r="BG94" s="47" t="n">
        <f aca="false">BG92*$F22*(BG$4&lt;=In_COD)</f>
        <v>0</v>
      </c>
      <c r="BH94" s="47" t="n">
        <f aca="false">BH92*$F22*(BH$4&lt;=In_COD)</f>
        <v>0</v>
      </c>
      <c r="BI94" s="47" t="n">
        <f aca="false">BI92*$F22*(BI$4&lt;=In_COD)</f>
        <v>0</v>
      </c>
      <c r="BJ94" s="47" t="n">
        <f aca="false">BJ92*$F22*(BJ$4&lt;=In_COD)</f>
        <v>0</v>
      </c>
      <c r="BK94" s="47" t="n">
        <f aca="false">BK92*$F22*(BK$4&lt;=In_COD)</f>
        <v>0</v>
      </c>
      <c r="BL94" s="47" t="n">
        <f aca="false">BL92*$F22*(BL$4&lt;=In_COD)</f>
        <v>0</v>
      </c>
      <c r="BM94" s="47" t="n">
        <f aca="false">BM92*$F22*(BM$4&lt;=In_COD)</f>
        <v>0</v>
      </c>
      <c r="BN94" s="47" t="n">
        <f aca="false">BN92*$F22*(BN$4&lt;=In_COD)</f>
        <v>0</v>
      </c>
      <c r="BO94" s="47" t="n">
        <f aca="false">BO92*$F22*(BO$4&lt;=In_COD)</f>
        <v>0</v>
      </c>
      <c r="BP94" s="47" t="n">
        <f aca="false">BP92*$F22*(BP$4&lt;=In_COD)</f>
        <v>0</v>
      </c>
      <c r="BQ94" s="47" t="n">
        <f aca="false">BQ92*$F22*(BQ$4&lt;=In_COD)</f>
        <v>0</v>
      </c>
      <c r="BR94" s="47" t="n">
        <f aca="false">BR92*$F22*(BR$4&lt;=In_COD)</f>
        <v>0</v>
      </c>
      <c r="BS94" s="47" t="n">
        <f aca="false">BS92*$F22*(BS$4&lt;=In_COD)</f>
        <v>0</v>
      </c>
      <c r="BT94" s="47" t="n">
        <f aca="false">BT92*$F22*(BT$4&lt;=In_COD)</f>
        <v>0</v>
      </c>
      <c r="BU94" s="47" t="n">
        <f aca="false">BU92*$F22*(BU$4&lt;=In_COD)</f>
        <v>0</v>
      </c>
      <c r="BV94" s="47" t="n">
        <f aca="false">BV92*$F22*(BV$4&lt;=In_COD)</f>
        <v>0</v>
      </c>
      <c r="BW94" s="47" t="n">
        <f aca="false">BW92*$F22*(BW$4&lt;=In_COD)</f>
        <v>0</v>
      </c>
      <c r="BX94" s="47" t="n">
        <f aca="false">BX92*$F22*(BX$4&lt;=In_COD)</f>
        <v>0</v>
      </c>
      <c r="BY94" s="47" t="n">
        <f aca="false">BY92*$F22*(BY$4&lt;=In_COD)</f>
        <v>0</v>
      </c>
      <c r="BZ94" s="47" t="n">
        <f aca="false">BZ92*$F22*(BZ$4&lt;=In_COD)</f>
        <v>0</v>
      </c>
      <c r="CA94" s="47" t="n">
        <f aca="false">CA92*$F22*(CA$4&lt;=In_COD)</f>
        <v>0</v>
      </c>
      <c r="CB94" s="47" t="n">
        <f aca="false">CB92*$F22*(CB$4&lt;=In_COD)</f>
        <v>0</v>
      </c>
      <c r="CC94" s="47" t="n">
        <f aca="false">CC92*$F22*(CC$4&lt;=In_COD)</f>
        <v>0</v>
      </c>
      <c r="CD94" s="47" t="n">
        <f aca="false">CD92*$F22*(CD$4&lt;=In_COD)</f>
        <v>0</v>
      </c>
      <c r="CE94" s="47" t="n">
        <f aca="false">CE92*$F22*(CE$4&lt;=In_COD)</f>
        <v>0</v>
      </c>
      <c r="CF94" s="47" t="n">
        <f aca="false">CF92*$F22*(CF$4&lt;=In_COD)</f>
        <v>0</v>
      </c>
      <c r="CG94" s="47" t="n">
        <f aca="false">CG92*$F22*(CG$4&lt;=In_COD)</f>
        <v>0</v>
      </c>
      <c r="CH94" s="47" t="n">
        <f aca="false">CH92*$F22*(CH$4&lt;=In_COD)</f>
        <v>0</v>
      </c>
      <c r="CI94" s="47" t="n">
        <f aca="false">CI92*$F22*(CI$4&lt;=In_COD)</f>
        <v>0</v>
      </c>
      <c r="CJ94" s="47" t="n">
        <f aca="false">CJ92*$F22*(CJ$4&lt;=In_COD)</f>
        <v>0</v>
      </c>
      <c r="CK94" s="47" t="n">
        <f aca="false">CK92*$F22*(CK$4&lt;=In_COD)</f>
        <v>0</v>
      </c>
      <c r="CL94" s="47" t="n">
        <f aca="false">CL92*$F22*(CL$4&lt;=In_COD)</f>
        <v>0</v>
      </c>
      <c r="CM94" s="47" t="n">
        <f aca="false">CM92*$F22*(CM$4&lt;=In_COD)</f>
        <v>0</v>
      </c>
      <c r="CN94" s="47" t="n">
        <f aca="false">CN92*$F22*(CN$4&lt;=In_COD)</f>
        <v>0</v>
      </c>
      <c r="CO94" s="47" t="n">
        <f aca="false">CO92*$F22*(CO$4&lt;=In_COD)</f>
        <v>0</v>
      </c>
      <c r="CP94" s="47" t="n">
        <f aca="false">CP92*$F22*(CP$4&lt;=In_COD)</f>
        <v>0</v>
      </c>
      <c r="CQ94" s="47" t="n">
        <f aca="false">CQ92*$F22*(CQ$4&lt;=In_COD)</f>
        <v>0</v>
      </c>
      <c r="CR94" s="47" t="n">
        <f aca="false">CR92*$F22*(CR$4&lt;=In_COD)</f>
        <v>0</v>
      </c>
      <c r="CS94" s="47" t="n">
        <f aca="false">CS92*$F22*(CS$4&lt;=In_COD)</f>
        <v>0</v>
      </c>
      <c r="CT94" s="47" t="n">
        <f aca="false">CT92*$F22*(CT$4&lt;=In_COD)</f>
        <v>0</v>
      </c>
      <c r="CU94" s="47" t="n">
        <f aca="false">CU92*$F22*(CU$4&lt;=In_COD)</f>
        <v>0</v>
      </c>
      <c r="CV94" s="47" t="n">
        <f aca="false">CV92*$F22*(CV$4&lt;=In_COD)</f>
        <v>0</v>
      </c>
      <c r="CW94" s="47" t="n">
        <f aca="false">CW92*$F22*(CW$4&lt;=In_COD)</f>
        <v>0</v>
      </c>
      <c r="CX94" s="47" t="n">
        <f aca="false">CX92*$F22*(CX$4&lt;=In_COD)</f>
        <v>0</v>
      </c>
      <c r="CY94" s="47" t="n">
        <f aca="false">CY92*$F22*(CY$4&lt;=In_COD)</f>
        <v>0</v>
      </c>
      <c r="CZ94" s="47" t="n">
        <f aca="false">CZ92*$F22*(CZ$4&lt;=In_COD)</f>
        <v>0</v>
      </c>
      <c r="DA94" s="47" t="n">
        <f aca="false">DA92*$F22*(DA$4&lt;=In_COD)</f>
        <v>0</v>
      </c>
      <c r="DB94" s="47" t="n">
        <f aca="false">DB92*$F22*(DB$4&lt;=In_COD)</f>
        <v>0</v>
      </c>
      <c r="DC94" s="47" t="n">
        <f aca="false">DC92*$F22*(DC$4&lt;=In_COD)</f>
        <v>0</v>
      </c>
      <c r="DD94" s="47" t="n">
        <f aca="false">DD92*$F22*(DD$4&lt;=In_COD)</f>
        <v>0</v>
      </c>
      <c r="DE94" s="47" t="n">
        <f aca="false">DE92*$F22*(DE$4&lt;=In_COD)</f>
        <v>0</v>
      </c>
      <c r="DF94" s="47" t="n">
        <f aca="false">DF92*$F22*(DF$4&lt;=In_COD)</f>
        <v>0</v>
      </c>
      <c r="DG94" s="47" t="n">
        <f aca="false">DG92*$F22*(DG$4&lt;=In_COD)</f>
        <v>0</v>
      </c>
      <c r="DH94" s="47" t="n">
        <f aca="false">DH92*$F22*(DH$4&lt;=In_COD)</f>
        <v>0</v>
      </c>
      <c r="DI94" s="47" t="n">
        <f aca="false">DI92*$F22*(DI$4&lt;=In_COD)</f>
        <v>0</v>
      </c>
      <c r="DJ94" s="47" t="n">
        <f aca="false">DJ92*$F22*(DJ$4&lt;=In_COD)</f>
        <v>0</v>
      </c>
      <c r="DK94" s="47" t="n">
        <f aca="false">DK92*$F22*(DK$4&lt;=In_COD)</f>
        <v>0</v>
      </c>
      <c r="DL94" s="47" t="n">
        <f aca="false">DL92*$F22*(DL$4&lt;=In_COD)</f>
        <v>0</v>
      </c>
      <c r="DM94" s="47" t="n">
        <f aca="false">DM92*$F22*(DM$4&lt;=In_COD)</f>
        <v>0</v>
      </c>
      <c r="DN94" s="47" t="n">
        <f aca="false">DN92*$F22*(DN$4&lt;=In_COD)</f>
        <v>0</v>
      </c>
      <c r="DO94" s="47" t="n">
        <f aca="false">DO92*$F22*(DO$4&lt;=In_COD)</f>
        <v>0</v>
      </c>
      <c r="DP94" s="47" t="n">
        <f aca="false">DP92*$F22*(DP$4&lt;=In_COD)</f>
        <v>0</v>
      </c>
      <c r="DQ94" s="47" t="n">
        <f aca="false">DQ92*$F22*(DQ$4&lt;=In_COD)</f>
        <v>0</v>
      </c>
      <c r="DR94" s="47" t="n">
        <f aca="false">DR92*$F22*(DR$4&lt;=In_COD)</f>
        <v>0</v>
      </c>
      <c r="DS94" s="47" t="n">
        <f aca="false">DS92*$F22*(DS$4&lt;=In_COD)</f>
        <v>0</v>
      </c>
      <c r="DT94" s="47" t="n">
        <f aca="false">DT92*$F22*(DT$4&lt;=In_COD)</f>
        <v>0</v>
      </c>
      <c r="DU94" s="47" t="n">
        <f aca="false">DU92*$F22*(DU$4&lt;=In_COD)</f>
        <v>0</v>
      </c>
      <c r="DV94" s="47" t="n">
        <f aca="false">DV92*$F22*(DV$4&lt;=In_COD)</f>
        <v>0</v>
      </c>
      <c r="DW94" s="47" t="n">
        <f aca="false">DW92*$F22*(DW$4&lt;=In_COD)</f>
        <v>0</v>
      </c>
      <c r="DX94" s="47" t="n">
        <f aca="false">DX92*$F22*(DX$4&lt;=In_COD)</f>
        <v>0</v>
      </c>
      <c r="DY94" s="47" t="n">
        <f aca="false">DY92*$F22*(DY$4&lt;=In_COD)</f>
        <v>0</v>
      </c>
      <c r="DZ94" s="47" t="n">
        <f aca="false">DZ92*$F22*(DZ$4&lt;=In_COD)</f>
        <v>0</v>
      </c>
      <c r="EA94" s="47" t="n">
        <f aca="false">EA92*$F22*(EA$4&lt;=In_COD)</f>
        <v>0</v>
      </c>
      <c r="EB94" s="47" t="n">
        <f aca="false">EB92*$F22*(EB$4&lt;=In_COD)</f>
        <v>0</v>
      </c>
      <c r="EC94" s="47" t="n">
        <f aca="false">EC92*$F22*(EC$4&lt;=In_COD)</f>
        <v>0</v>
      </c>
      <c r="ED94" s="47" t="n">
        <f aca="false">ED92*$F22*(ED$4&lt;=In_COD)</f>
        <v>0</v>
      </c>
      <c r="EE94" s="47" t="n">
        <f aca="false">EE92*$F22*(EE$4&lt;=In_COD)</f>
        <v>0</v>
      </c>
      <c r="EF94" s="47" t="n">
        <f aca="false">EF92*$F22*(EF$4&lt;=In_COD)</f>
        <v>0</v>
      </c>
      <c r="EG94" s="47" t="n">
        <f aca="false">EG92*$F22*(EG$4&lt;=In_COD)</f>
        <v>0</v>
      </c>
      <c r="EH94" s="47" t="n">
        <f aca="false">EH92*$F22*(EH$4&lt;=In_COD)</f>
        <v>0</v>
      </c>
      <c r="EI94" s="47" t="n">
        <f aca="false">EI92*$F22*(EI$4&lt;=In_COD)</f>
        <v>0</v>
      </c>
      <c r="EJ94" s="47" t="n">
        <f aca="false">EJ92*$F22*(EJ$4&lt;=In_COD)</f>
        <v>0</v>
      </c>
      <c r="EK94" s="47" t="n">
        <f aca="false">EK92*$F22*(EK$4&lt;=In_COD)</f>
        <v>0</v>
      </c>
      <c r="EL94" s="47" t="n">
        <f aca="false">EL92*$F22*(EL$4&lt;=In_COD)</f>
        <v>0</v>
      </c>
      <c r="EM94" s="47" t="n">
        <f aca="false">EM92*$F22*(EM$4&lt;=In_COD)</f>
        <v>0</v>
      </c>
      <c r="EN94" s="47" t="n">
        <f aca="false">EN92*$F22*(EN$4&lt;=In_COD)</f>
        <v>0</v>
      </c>
      <c r="EO94" s="47" t="n">
        <f aca="false">EO92*$F22*(EO$4&lt;=In_COD)</f>
        <v>0</v>
      </c>
    </row>
    <row r="95" customFormat="false" ht="15" hidden="false" customHeight="false" outlineLevel="0" collapsed="false">
      <c r="C95" s="0" t="s">
        <v>458</v>
      </c>
      <c r="D95" s="11" t="s">
        <v>33</v>
      </c>
      <c r="I95" s="47" t="n">
        <f aca="false">SUM(J95:EO95)</f>
        <v>-42477.873800582</v>
      </c>
      <c r="J95" s="47" t="n">
        <f aca="false">J91-J90</f>
        <v>0</v>
      </c>
      <c r="K95" s="47" t="n">
        <f aca="false">K91-K90</f>
        <v>0</v>
      </c>
      <c r="L95" s="47" t="n">
        <f aca="false">L91-L90</f>
        <v>0</v>
      </c>
      <c r="M95" s="47" t="n">
        <f aca="false">M91-M90</f>
        <v>0</v>
      </c>
      <c r="N95" s="47" t="n">
        <f aca="false">N91-N90</f>
        <v>0</v>
      </c>
      <c r="O95" s="47" t="n">
        <f aca="false">O91-O90</f>
        <v>0</v>
      </c>
      <c r="P95" s="47" t="n">
        <f aca="false">P91-P90</f>
        <v>0</v>
      </c>
      <c r="Q95" s="47" t="n">
        <f aca="false">Q91-Q90</f>
        <v>0</v>
      </c>
      <c r="R95" s="47" t="n">
        <f aca="false">R91-R90</f>
        <v>0</v>
      </c>
      <c r="S95" s="47" t="n">
        <f aca="false">S91-S90</f>
        <v>0</v>
      </c>
      <c r="T95" s="47" t="n">
        <f aca="false">T91-T90</f>
        <v>0</v>
      </c>
      <c r="U95" s="47" t="n">
        <f aca="false">U91-U90</f>
        <v>0</v>
      </c>
      <c r="V95" s="47" t="n">
        <f aca="false">V91-V90</f>
        <v>0</v>
      </c>
      <c r="W95" s="47" t="n">
        <f aca="false">W91-W90</f>
        <v>0</v>
      </c>
      <c r="X95" s="47" t="n">
        <f aca="false">X91-X90</f>
        <v>0</v>
      </c>
      <c r="Y95" s="47" t="n">
        <f aca="false">Y91-Y90</f>
        <v>0</v>
      </c>
      <c r="Z95" s="47" t="n">
        <f aca="false">Z91-Z90</f>
        <v>-377.41402544828</v>
      </c>
      <c r="AA95" s="47" t="n">
        <f aca="false">AA91-AA90</f>
        <v>-368.366369342047</v>
      </c>
      <c r="AB95" s="47" t="n">
        <f aca="false">AB91-AB90</f>
        <v>-382.601723903151</v>
      </c>
      <c r="AC95" s="47" t="n">
        <f aca="false">AC91-AC90</f>
        <v>-397.009751688008</v>
      </c>
      <c r="AD95" s="47" t="n">
        <f aca="false">AD91-AD90</f>
        <v>-395.005250421809</v>
      </c>
      <c r="AE95" s="47" t="n">
        <f aca="false">AE91-AE90</f>
        <v>-374.782094312191</v>
      </c>
      <c r="AF95" s="47" t="n">
        <f aca="false">AF91-AF90</f>
        <v>-379.189446067527</v>
      </c>
      <c r="AG95" s="47" t="n">
        <f aca="false">AG91-AG90</f>
        <v>-393.008283851996</v>
      </c>
      <c r="AH95" s="47" t="n">
        <f aca="false">AH91-AH90</f>
        <v>-394.768297853139</v>
      </c>
      <c r="AI95" s="47" t="n">
        <f aca="false">AI91-AI90</f>
        <v>-385.972032984283</v>
      </c>
      <c r="AJ95" s="47" t="n">
        <f aca="false">AJ91-AJ90</f>
        <v>-411.023507338801</v>
      </c>
      <c r="AK95" s="47" t="n">
        <f aca="false">AK91-AK90</f>
        <v>-425.365847776698</v>
      </c>
      <c r="AL95" s="47" t="n">
        <f aca="false">AL91-AL90</f>
        <v>-427.48828907792</v>
      </c>
      <c r="AM95" s="47" t="n">
        <f aca="false">AM91-AM90</f>
        <v>-418.728881053033</v>
      </c>
      <c r="AN95" s="47" t="n">
        <f aca="false">AN91-AN90</f>
        <v>-433.187960029789</v>
      </c>
      <c r="AO95" s="47" t="n">
        <f aca="false">AO91-AO90</f>
        <v>-447.817074470021</v>
      </c>
      <c r="AP95" s="47" t="n">
        <f aca="false">AP91-AP90</f>
        <v>-450.185387715759</v>
      </c>
      <c r="AQ95" s="47" t="n">
        <f aca="false">AQ91-AQ90</f>
        <v>-441.588567301907</v>
      </c>
      <c r="AR95" s="47" t="n">
        <f aca="false">AR91-AR90</f>
        <v>-456.341815799613</v>
      </c>
      <c r="AS95" s="47" t="n">
        <f aca="false">AS91-AS90</f>
        <v>-471.268559127115</v>
      </c>
      <c r="AT95" s="47" t="n">
        <f aca="false">AT91-AT90</f>
        <v>-473.894449006139</v>
      </c>
      <c r="AU95" s="47" t="n">
        <f aca="false">AU91-AU90</f>
        <v>-475.055978772361</v>
      </c>
      <c r="AV95" s="47" t="n">
        <f aca="false">AV91-AV90</f>
        <v>-480.642528486702</v>
      </c>
      <c r="AW95" s="47" t="n">
        <f aca="false">AW91-AW90</f>
        <v>-495.879578757077</v>
      </c>
      <c r="AX95" s="47" t="n">
        <f aca="false">AX91-AX90</f>
        <v>-498.776624034944</v>
      </c>
      <c r="AY95" s="47" t="n">
        <f aca="false">AY91-AY90</f>
        <v>-490.539737233748</v>
      </c>
      <c r="AZ95" s="47" t="n">
        <f aca="false">AZ91-AZ90</f>
        <v>-505.91687460456</v>
      </c>
      <c r="BA95" s="47" t="n">
        <f aca="false">BA91-BA90</f>
        <v>-521.474843595697</v>
      </c>
      <c r="BB95" s="47" t="n">
        <f aca="false">BB91-BB90</f>
        <v>-524.65456272444</v>
      </c>
      <c r="BC95" s="47" t="n">
        <f aca="false">BC91-BC90</f>
        <v>-516.61480642011</v>
      </c>
      <c r="BD95" s="47" t="n">
        <f aca="false">BD91-BD90</f>
        <v>-532.321410916562</v>
      </c>
      <c r="BE95" s="47" t="n">
        <f aca="false">BE91-BE90</f>
        <v>-548.212721491421</v>
      </c>
      <c r="BF95" s="47" t="n">
        <f aca="false">BF91-BF90</f>
        <v>-551.688496386219</v>
      </c>
      <c r="BG95" s="47" t="n">
        <f aca="false">BG91-BG90</f>
        <v>-543.858485069837</v>
      </c>
      <c r="BH95" s="47" t="n">
        <f aca="false">BH91-BH90</f>
        <v>-559.90740057305</v>
      </c>
      <c r="BI95" s="47" t="n">
        <f aca="false">BI91-BI90</f>
        <v>-576.14504765386</v>
      </c>
      <c r="BJ95" s="47" t="n">
        <f aca="false">BJ91-BJ90</f>
        <v>-579.930870933951</v>
      </c>
      <c r="BK95" s="47" t="n">
        <f aca="false">BK91-BK90</f>
        <v>-581.998088080878</v>
      </c>
      <c r="BL95" s="47" t="n">
        <f aca="false">BL91-BL90</f>
        <v>-588.842252554126</v>
      </c>
      <c r="BM95" s="47" t="n">
        <f aca="false">BM91-BM90</f>
        <v>-605.441168153923</v>
      </c>
      <c r="BN95" s="47" t="n">
        <f aca="false">BN91-BN90</f>
        <v>-609.553025084867</v>
      </c>
      <c r="BO95" s="47" t="n">
        <f aca="false">BO91-BO90</f>
        <v>-602.184159797901</v>
      </c>
      <c r="BP95" s="47" t="n">
        <f aca="false">BP91-BP90</f>
        <v>-618.960011713738</v>
      </c>
      <c r="BQ95" s="47" t="n">
        <f aca="false">BQ91-BQ90</f>
        <v>-635.933143813209</v>
      </c>
      <c r="BR95" s="47" t="n">
        <f aca="false">BR91-BR90</f>
        <v>-640.385045951874</v>
      </c>
      <c r="BS95" s="47" t="n">
        <f aca="false">BS91-BS90</f>
        <v>-633.267571574952</v>
      </c>
      <c r="BT95" s="47" t="n">
        <f aca="false">BT91-BT90</f>
        <v>-650.427999811283</v>
      </c>
      <c r="BU95" s="47" t="n">
        <f aca="false">BU91-BU90</f>
        <v>-667.790230760865</v>
      </c>
      <c r="BV95" s="47" t="n">
        <f aca="false">BV91-BV90</f>
        <v>-672.598181338621</v>
      </c>
      <c r="BW95" s="47" t="n">
        <f aca="false">BW91-BW90</f>
        <v>-665.747305908689</v>
      </c>
      <c r="BX95" s="47" t="n">
        <f aca="false">BX91-BX90</f>
        <v>-683.307700690973</v>
      </c>
      <c r="BY95" s="47" t="n">
        <f aca="false">BY91-BY90</f>
        <v>-701.074601701657</v>
      </c>
      <c r="BZ95" s="47" t="n">
        <f aca="false">BZ91-BZ90</f>
        <v>-706.255336392319</v>
      </c>
      <c r="CA95" s="47" t="n">
        <f aca="false">CA91-CA90</f>
        <v>-709.435299275074</v>
      </c>
      <c r="CB95" s="47" t="n">
        <f aca="false">CB91-CB90</f>
        <v>-717.778096220311</v>
      </c>
      <c r="CC95" s="47" t="n">
        <f aca="false">CC91-CC90</f>
        <v>-735.967308212114</v>
      </c>
      <c r="CD95" s="47" t="n">
        <f aca="false">CD91-CD90</f>
        <v>-741.539693165921</v>
      </c>
      <c r="CE95" s="47" t="n">
        <f aca="false">CE91-CE90</f>
        <v>-735.271956574611</v>
      </c>
      <c r="CF95" s="47" t="n">
        <f aca="false">CF91-CF90</f>
        <v>-753.682738088508</v>
      </c>
      <c r="CG95" s="47" t="n">
        <f aca="false">CG91-CG90</f>
        <v>-772.310026184373</v>
      </c>
      <c r="CH95" s="47" t="n">
        <f aca="false">CH91-CH90</f>
        <v>-778.291067094259</v>
      </c>
      <c r="CI95" s="47" t="n">
        <f aca="false">CI91-CI90</f>
        <v>-772.340111876953</v>
      </c>
      <c r="CJ95" s="47" t="n">
        <f aca="false">CJ91-CJ90</f>
        <v>-791.201513913201</v>
      </c>
      <c r="CK95" s="47" t="n">
        <f aca="false">CK91-CK90</f>
        <v>-810.28472172575</v>
      </c>
      <c r="CL95" s="47" t="n">
        <f aca="false">CL91-CL90</f>
        <v>-816.693565610374</v>
      </c>
      <c r="CM95" s="47" t="n">
        <f aca="false">CM91-CM90</f>
        <v>-811.077717123134</v>
      </c>
      <c r="CN95" s="47" t="n">
        <f aca="false">CN91-CN90</f>
        <v>-830.408195879681</v>
      </c>
      <c r="CO95" s="47" t="n">
        <f aca="false">CO91-CO90</f>
        <v>-849.965996647529</v>
      </c>
      <c r="CP95" s="47" t="n">
        <f aca="false">CP91-CP90</f>
        <v>-856.822669320752</v>
      </c>
      <c r="CQ95" s="47" t="n">
        <f aca="false">CQ91-CQ90</f>
        <v>-861.365831866865</v>
      </c>
      <c r="CR95" s="47" t="n">
        <f aca="false">CR91-CR90</f>
        <v>-871.495297144636</v>
      </c>
      <c r="CS95" s="47" t="n">
        <f aca="false">CS91-CS90</f>
        <v>-891.548589104468</v>
      </c>
      <c r="CT95" s="47" t="n">
        <f aca="false">CT91-CT90</f>
        <v>2.22115659198607E-012</v>
      </c>
      <c r="CU95" s="47" t="n">
        <f aca="false">CU91-CU90</f>
        <v>2.2489210493859E-012</v>
      </c>
      <c r="CV95" s="47" t="n">
        <f aca="false">CV91-CV90</f>
        <v>2.27703256250322E-012</v>
      </c>
      <c r="CW95" s="47" t="n">
        <f aca="false">CW91-CW90</f>
        <v>2.30549546953451E-012</v>
      </c>
      <c r="CX95" s="47" t="n">
        <f aca="false">CX91-CX90</f>
        <v>2.33431416290369E-012</v>
      </c>
      <c r="CY95" s="47" t="n">
        <f aca="false">CY91-CY90</f>
        <v>2.36349308993999E-012</v>
      </c>
      <c r="CZ95" s="47" t="n">
        <f aca="false">CZ91-CZ90</f>
        <v>2.39303675356424E-012</v>
      </c>
      <c r="DA95" s="47" t="n">
        <f aca="false">DA91-DA90</f>
        <v>2.42294971298379E-012</v>
      </c>
      <c r="DB95" s="47" t="n">
        <f aca="false">DB91-DB90</f>
        <v>2.45323658439609E-012</v>
      </c>
      <c r="DC95" s="47" t="n">
        <f aca="false">DC91-DC90</f>
        <v>2.48390204170104E-012</v>
      </c>
      <c r="DD95" s="47" t="n">
        <f aca="false">DD91-DD90</f>
        <v>2.51495081722231E-012</v>
      </c>
      <c r="DE95" s="47" t="n">
        <f aca="false">DE91-DE90</f>
        <v>2.54638770243758E-012</v>
      </c>
      <c r="DF95" s="47" t="n">
        <f aca="false">DF91-DF90</f>
        <v>2.57821754871805E-012</v>
      </c>
      <c r="DG95" s="47" t="n">
        <f aca="false">DG91-DG90</f>
        <v>2.61044526807703E-012</v>
      </c>
      <c r="DH95" s="47" t="n">
        <f aca="false">DH91-DH90</f>
        <v>2.64307583392799E-012</v>
      </c>
      <c r="DI95" s="47" t="n">
        <f aca="false">DI91-DI90</f>
        <v>2.67611428185209E-012</v>
      </c>
      <c r="DJ95" s="47" t="n">
        <f aca="false">DJ91-DJ90</f>
        <v>2.70956571037524E-012</v>
      </c>
      <c r="DK95" s="47" t="n">
        <f aca="false">DK91-DK90</f>
        <v>2.74343528175493E-012</v>
      </c>
      <c r="DL95" s="47" t="n">
        <f aca="false">DL91-DL90</f>
        <v>2.77772822277687E-012</v>
      </c>
      <c r="DM95" s="47" t="n">
        <f aca="false">DM91-DM90</f>
        <v>2.81244982556158E-012</v>
      </c>
      <c r="DN95" s="47" t="n">
        <f aca="false">DN91-DN90</f>
        <v>2.8476054483811E-012</v>
      </c>
      <c r="DO95" s="47" t="n">
        <f aca="false">DO91-DO90</f>
        <v>2.88320051648587E-012</v>
      </c>
      <c r="DP95" s="47" t="n">
        <f aca="false">DP91-DP90</f>
        <v>2.91924052294194E-012</v>
      </c>
      <c r="DQ95" s="47" t="n">
        <f aca="false">DQ91-DQ90</f>
        <v>2.95573102947871E-012</v>
      </c>
      <c r="DR95" s="47" t="n">
        <f aca="false">DR91-DR90</f>
        <v>2.9926776673472E-012</v>
      </c>
      <c r="DS95" s="47" t="n">
        <f aca="false">DS91-DS90</f>
        <v>3.03008613818904E-012</v>
      </c>
      <c r="DT95" s="47" t="n">
        <f aca="false">DT91-DT90</f>
        <v>3.0679622149164E-012</v>
      </c>
      <c r="DU95" s="47" t="n">
        <f aca="false">DU91-DU90</f>
        <v>3.10631174260286E-012</v>
      </c>
      <c r="DV95" s="47" t="n">
        <f aca="false">DV91-DV90</f>
        <v>3.14514063938539E-012</v>
      </c>
      <c r="DW95" s="47" t="n">
        <f aca="false">DW91-DW90</f>
        <v>3.18445489737771E-012</v>
      </c>
      <c r="DX95" s="47" t="n">
        <f aca="false">DX91-DX90</f>
        <v>3.22426058359493E-012</v>
      </c>
      <c r="DY95" s="47" t="n">
        <f aca="false">DY91-DY90</f>
        <v>3.26456384088987E-012</v>
      </c>
      <c r="DZ95" s="47" t="n">
        <f aca="false">DZ91-DZ90</f>
        <v>3.30537088890099E-012</v>
      </c>
      <c r="EA95" s="47" t="n">
        <f aca="false">EA91-EA90</f>
        <v>3.34668802501225E-012</v>
      </c>
      <c r="EB95" s="47" t="n">
        <f aca="false">EB91-EB90</f>
        <v>3.3885216253249E-012</v>
      </c>
      <c r="EC95" s="47" t="n">
        <f aca="false">EC91-EC90</f>
        <v>3.43087814564147E-012</v>
      </c>
      <c r="ED95" s="47" t="n">
        <f aca="false">ED91-ED90</f>
        <v>3.47376412246198E-012</v>
      </c>
      <c r="EE95" s="47" t="n">
        <f aca="false">EE91-EE90</f>
        <v>3.51718617399276E-012</v>
      </c>
      <c r="EF95" s="47" t="n">
        <f aca="false">EF91-EF90</f>
        <v>3.56115100116767E-012</v>
      </c>
      <c r="EG95" s="47" t="n">
        <f aca="false">EG91-EG90</f>
        <v>3.60566538868226E-012</v>
      </c>
      <c r="EH95" s="47" t="n">
        <f aca="false">EH91-EH90</f>
        <v>3.65073620604079E-012</v>
      </c>
      <c r="EI95" s="47" t="n">
        <f aca="false">EI91-EI90</f>
        <v>3.6963704086163E-012</v>
      </c>
      <c r="EJ95" s="47" t="n">
        <f aca="false">EJ91-EJ90</f>
        <v>3.74257503872401E-012</v>
      </c>
      <c r="EK95" s="47" t="n">
        <f aca="false">EK91-EK90</f>
        <v>3.78935722670806E-012</v>
      </c>
      <c r="EL95" s="47" t="n">
        <f aca="false">EL91-EL90</f>
        <v>3.83672419204191E-012</v>
      </c>
      <c r="EM95" s="47" t="n">
        <f aca="false">EM91-EM90</f>
        <v>3.88468324444243E-012</v>
      </c>
      <c r="EN95" s="47" t="n">
        <f aca="false">EN91-EN90</f>
        <v>3.93324178499796E-012</v>
      </c>
      <c r="EO95" s="47" t="n">
        <f aca="false">EO91-EO90</f>
        <v>3.98240730731044E-012</v>
      </c>
    </row>
    <row r="96" customFormat="false" ht="15" hidden="false" customHeight="false" outlineLevel="0" collapsed="false">
      <c r="C96" s="25" t="s">
        <v>459</v>
      </c>
      <c r="D96" s="11" t="s">
        <v>33</v>
      </c>
      <c r="E96" s="56" t="n">
        <f aca="false">SUMIF($J$4:$EO$4,In_COD,$J96:$EO96)</f>
        <v>42477.8738005823</v>
      </c>
      <c r="I96" s="58"/>
      <c r="J96" s="56" t="n">
        <f aca="false">SUM(J92:J95)</f>
        <v>0</v>
      </c>
      <c r="K96" s="56" t="n">
        <f aca="false">SUM(K92:K95)</f>
        <v>0</v>
      </c>
      <c r="L96" s="56" t="n">
        <f aca="false">SUM(L92:L95)</f>
        <v>0</v>
      </c>
      <c r="M96" s="56" t="n">
        <f aca="false">SUM(M92:M95)</f>
        <v>0</v>
      </c>
      <c r="N96" s="56" t="n">
        <f aca="false">SUM(N92:N95)</f>
        <v>0</v>
      </c>
      <c r="O96" s="56" t="n">
        <f aca="false">SUM(O92:O95)</f>
        <v>0</v>
      </c>
      <c r="P96" s="56" t="n">
        <f aca="false">SUM(P92:P95)</f>
        <v>0</v>
      </c>
      <c r="Q96" s="56" t="n">
        <f aca="false">SUM(Q92:Q95)</f>
        <v>0</v>
      </c>
      <c r="R96" s="56" t="n">
        <f aca="false">SUM(R92:R95)</f>
        <v>4374.90719178082</v>
      </c>
      <c r="S96" s="56" t="n">
        <f aca="false">SUM(S92:S95)</f>
        <v>13194.5467782534</v>
      </c>
      <c r="T96" s="56" t="n">
        <f aca="false">SUM(T92:T95)</f>
        <v>17686.8324657213</v>
      </c>
      <c r="U96" s="56" t="n">
        <f aca="false">SUM(U92:U95)</f>
        <v>22282.8250633237</v>
      </c>
      <c r="V96" s="56" t="n">
        <f aca="false">SUM(V92:V95)</f>
        <v>26936.267568396</v>
      </c>
      <c r="W96" s="56" t="n">
        <f aca="false">SUM(W92:W95)</f>
        <v>31552.7714266996</v>
      </c>
      <c r="X96" s="56" t="n">
        <f aca="false">SUM(X92:X95)</f>
        <v>36274.5349222731</v>
      </c>
      <c r="Y96" s="56" t="n">
        <f aca="false">SUM(Y92:Y95)</f>
        <v>42477.8738005823</v>
      </c>
      <c r="Z96" s="56" t="n">
        <f aca="false">SUM(Z92:Z95)</f>
        <v>42100.459775134</v>
      </c>
      <c r="AA96" s="56" t="n">
        <f aca="false">SUM(AA92:AA95)</f>
        <v>41732.093405792</v>
      </c>
      <c r="AB96" s="56" t="n">
        <f aca="false">SUM(AB92:AB95)</f>
        <v>41349.4916818888</v>
      </c>
      <c r="AC96" s="56" t="n">
        <f aca="false">SUM(AC92:AC95)</f>
        <v>40952.4819302008</v>
      </c>
      <c r="AD96" s="56" t="n">
        <f aca="false">SUM(AD92:AD95)</f>
        <v>40557.476679779</v>
      </c>
      <c r="AE96" s="56" t="n">
        <f aca="false">SUM(AE92:AE95)</f>
        <v>40182.6945854668</v>
      </c>
      <c r="AF96" s="56" t="n">
        <f aca="false">SUM(AF92:AF95)</f>
        <v>39803.5051393993</v>
      </c>
      <c r="AG96" s="56" t="n">
        <f aca="false">SUM(AG92:AG95)</f>
        <v>39410.4968555473</v>
      </c>
      <c r="AH96" s="56" t="n">
        <f aca="false">SUM(AH92:AH95)</f>
        <v>39015.7285576942</v>
      </c>
      <c r="AI96" s="56" t="n">
        <f aca="false">SUM(AI92:AI95)</f>
        <v>38629.7565247099</v>
      </c>
      <c r="AJ96" s="56" t="n">
        <f aca="false">SUM(AJ92:AJ95)</f>
        <v>38218.7330173711</v>
      </c>
      <c r="AK96" s="56" t="n">
        <f aca="false">SUM(AK92:AK95)</f>
        <v>37793.3671695944</v>
      </c>
      <c r="AL96" s="56" t="n">
        <f aca="false">SUM(AL92:AL95)</f>
        <v>37365.8788805165</v>
      </c>
      <c r="AM96" s="56" t="n">
        <f aca="false">SUM(AM92:AM95)</f>
        <v>36947.1499994635</v>
      </c>
      <c r="AN96" s="56" t="n">
        <f aca="false">SUM(AN92:AN95)</f>
        <v>36513.9620394337</v>
      </c>
      <c r="AO96" s="56" t="n">
        <f aca="false">SUM(AO92:AO95)</f>
        <v>36066.1449649636</v>
      </c>
      <c r="AP96" s="56" t="n">
        <f aca="false">SUM(AP92:AP95)</f>
        <v>35615.9595772479</v>
      </c>
      <c r="AQ96" s="56" t="n">
        <f aca="false">SUM(AQ92:AQ95)</f>
        <v>35174.371009946</v>
      </c>
      <c r="AR96" s="56" t="n">
        <f aca="false">SUM(AR92:AR95)</f>
        <v>34718.0291941464</v>
      </c>
      <c r="AS96" s="56" t="n">
        <f aca="false">SUM(AS92:AS95)</f>
        <v>34246.7606350193</v>
      </c>
      <c r="AT96" s="56" t="n">
        <f aca="false">SUM(AT92:AT95)</f>
        <v>33772.8661860131</v>
      </c>
      <c r="AU96" s="56" t="n">
        <f aca="false">SUM(AU92:AU95)</f>
        <v>33297.8102072408</v>
      </c>
      <c r="AV96" s="56" t="n">
        <f aca="false">SUM(AV92:AV95)</f>
        <v>32817.1676787541</v>
      </c>
      <c r="AW96" s="56" t="n">
        <f aca="false">SUM(AW92:AW95)</f>
        <v>32321.288099997</v>
      </c>
      <c r="AX96" s="56" t="n">
        <f aca="false">SUM(AX92:AX95)</f>
        <v>31822.511475962</v>
      </c>
      <c r="AY96" s="56" t="n">
        <f aca="false">SUM(AY92:AY95)</f>
        <v>31331.9717387283</v>
      </c>
      <c r="AZ96" s="56" t="n">
        <f aca="false">SUM(AZ92:AZ95)</f>
        <v>30826.0548641237</v>
      </c>
      <c r="BA96" s="56" t="n">
        <f aca="false">SUM(BA92:BA95)</f>
        <v>30304.580020528</v>
      </c>
      <c r="BB96" s="56" t="n">
        <f aca="false">SUM(BB92:BB95)</f>
        <v>29779.9254578036</v>
      </c>
      <c r="BC96" s="56" t="n">
        <f aca="false">SUM(BC92:BC95)</f>
        <v>29263.3106513835</v>
      </c>
      <c r="BD96" s="56" t="n">
        <f aca="false">SUM(BD92:BD95)</f>
        <v>28730.9892404669</v>
      </c>
      <c r="BE96" s="56" t="n">
        <f aca="false">SUM(BE92:BE95)</f>
        <v>28182.7765189755</v>
      </c>
      <c r="BF96" s="56" t="n">
        <f aca="false">SUM(BF92:BF95)</f>
        <v>27631.0880225893</v>
      </c>
      <c r="BG96" s="56" t="n">
        <f aca="false">SUM(BG92:BG95)</f>
        <v>27087.2295375194</v>
      </c>
      <c r="BH96" s="56" t="n">
        <f aca="false">SUM(BH92:BH95)</f>
        <v>26527.3221369464</v>
      </c>
      <c r="BI96" s="56" t="n">
        <f aca="false">SUM(BI92:BI95)</f>
        <v>25951.1770892925</v>
      </c>
      <c r="BJ96" s="56" t="n">
        <f aca="false">SUM(BJ92:BJ95)</f>
        <v>25371.2462183586</v>
      </c>
      <c r="BK96" s="56" t="n">
        <f aca="false">SUM(BK92:BK95)</f>
        <v>24789.2481302777</v>
      </c>
      <c r="BL96" s="56" t="n">
        <f aca="false">SUM(BL92:BL95)</f>
        <v>24200.4058777236</v>
      </c>
      <c r="BM96" s="56" t="n">
        <f aca="false">SUM(BM92:BM95)</f>
        <v>23594.9647095696</v>
      </c>
      <c r="BN96" s="56" t="n">
        <f aca="false">SUM(BN92:BN95)</f>
        <v>22985.4116844848</v>
      </c>
      <c r="BO96" s="56" t="n">
        <f aca="false">SUM(BO92:BO95)</f>
        <v>22383.2275246869</v>
      </c>
      <c r="BP96" s="56" t="n">
        <f aca="false">SUM(BP92:BP95)</f>
        <v>21764.2675129731</v>
      </c>
      <c r="BQ96" s="56" t="n">
        <f aca="false">SUM(BQ92:BQ95)</f>
        <v>21128.3343691599</v>
      </c>
      <c r="BR96" s="56" t="n">
        <f aca="false">SUM(BR92:BR95)</f>
        <v>20487.9493232081</v>
      </c>
      <c r="BS96" s="56" t="n">
        <f aca="false">SUM(BS92:BS95)</f>
        <v>19854.6817516331</v>
      </c>
      <c r="BT96" s="56" t="n">
        <f aca="false">SUM(BT92:BT95)</f>
        <v>19204.2537518218</v>
      </c>
      <c r="BU96" s="56" t="n">
        <f aca="false">SUM(BU92:BU95)</f>
        <v>18536.463521061</v>
      </c>
      <c r="BV96" s="56" t="n">
        <f aca="false">SUM(BV92:BV95)</f>
        <v>17863.8653397223</v>
      </c>
      <c r="BW96" s="56" t="n">
        <f aca="false">SUM(BW92:BW95)</f>
        <v>17198.1180338136</v>
      </c>
      <c r="BX96" s="56" t="n">
        <f aca="false">SUM(BX92:BX95)</f>
        <v>16514.8103331227</v>
      </c>
      <c r="BY96" s="56" t="n">
        <f aca="false">SUM(BY92:BY95)</f>
        <v>15813.735731421</v>
      </c>
      <c r="BZ96" s="56" t="n">
        <f aca="false">SUM(BZ92:BZ95)</f>
        <v>15107.4803950287</v>
      </c>
      <c r="CA96" s="56" t="n">
        <f aca="false">SUM(CA92:CA95)</f>
        <v>14398.0450957536</v>
      </c>
      <c r="CB96" s="56" t="n">
        <f aca="false">SUM(CB92:CB95)</f>
        <v>13680.2669995333</v>
      </c>
      <c r="CC96" s="56" t="n">
        <f aca="false">SUM(CC92:CC95)</f>
        <v>12944.2996913212</v>
      </c>
      <c r="CD96" s="56" t="n">
        <f aca="false">SUM(CD92:CD95)</f>
        <v>12202.7599981553</v>
      </c>
      <c r="CE96" s="56" t="n">
        <f aca="false">SUM(CE92:CE95)</f>
        <v>11467.4880415807</v>
      </c>
      <c r="CF96" s="56" t="n">
        <f aca="false">SUM(CF92:CF95)</f>
        <v>10713.8053034922</v>
      </c>
      <c r="CG96" s="56" t="n">
        <f aca="false">SUM(CG92:CG95)</f>
        <v>9941.49527730778</v>
      </c>
      <c r="CH96" s="56" t="n">
        <f aca="false">SUM(CH92:CH95)</f>
        <v>9163.20421021352</v>
      </c>
      <c r="CI96" s="56" t="n">
        <f aca="false">SUM(CI92:CI95)</f>
        <v>8390.86409833657</v>
      </c>
      <c r="CJ96" s="56" t="n">
        <f aca="false">SUM(CJ92:CJ95)</f>
        <v>7599.66258442337</v>
      </c>
      <c r="CK96" s="56" t="n">
        <f aca="false">SUM(CK92:CK95)</f>
        <v>6789.37786269762</v>
      </c>
      <c r="CL96" s="56" t="n">
        <f aca="false">SUM(CL92:CL95)</f>
        <v>5972.68429708724</v>
      </c>
      <c r="CM96" s="56" t="n">
        <f aca="false">SUM(CM92:CM95)</f>
        <v>5161.60657996411</v>
      </c>
      <c r="CN96" s="56" t="n">
        <f aca="false">SUM(CN92:CN95)</f>
        <v>4331.19838408443</v>
      </c>
      <c r="CO96" s="56" t="n">
        <f aca="false">SUM(CO92:CO95)</f>
        <v>3481.2323874369</v>
      </c>
      <c r="CP96" s="56" t="n">
        <f aca="false">SUM(CP92:CP95)</f>
        <v>2624.40971811615</v>
      </c>
      <c r="CQ96" s="56" t="n">
        <f aca="false">SUM(CQ92:CQ95)</f>
        <v>1763.04388624928</v>
      </c>
      <c r="CR96" s="56" t="n">
        <f aca="false">SUM(CR92:CR95)</f>
        <v>891.548589104646</v>
      </c>
      <c r="CS96" s="56" t="n">
        <f aca="false">SUM(CS92:CS95)</f>
        <v>1.77692527358886E-010</v>
      </c>
      <c r="CT96" s="56" t="n">
        <f aca="false">SUM(CT92:CT95)</f>
        <v>1.79913683950872E-010</v>
      </c>
      <c r="CU96" s="56" t="n">
        <f aca="false">SUM(CU92:CU95)</f>
        <v>1.82162605000258E-010</v>
      </c>
      <c r="CV96" s="56" t="n">
        <f aca="false">SUM(CV92:CV95)</f>
        <v>1.84439637562761E-010</v>
      </c>
      <c r="CW96" s="56" t="n">
        <f aca="false">SUM(CW92:CW95)</f>
        <v>1.86745133032296E-010</v>
      </c>
      <c r="CX96" s="56" t="n">
        <f aca="false">SUM(CX92:CX95)</f>
        <v>1.89079447195199E-010</v>
      </c>
      <c r="CY96" s="56" t="n">
        <f aca="false">SUM(CY92:CY95)</f>
        <v>1.91442940285139E-010</v>
      </c>
      <c r="CZ96" s="56" t="n">
        <f aca="false">SUM(CZ92:CZ95)</f>
        <v>1.93835977038703E-010</v>
      </c>
      <c r="DA96" s="56" t="n">
        <f aca="false">SUM(DA92:DA95)</f>
        <v>1.96258926751687E-010</v>
      </c>
      <c r="DB96" s="56" t="n">
        <f aca="false">SUM(DB92:DB95)</f>
        <v>1.98712163336083E-010</v>
      </c>
      <c r="DC96" s="56" t="n">
        <f aca="false">SUM(DC92:DC95)</f>
        <v>2.01196065377784E-010</v>
      </c>
      <c r="DD96" s="56" t="n">
        <f aca="false">SUM(DD92:DD95)</f>
        <v>2.03711016195007E-010</v>
      </c>
      <c r="DE96" s="56" t="n">
        <f aca="false">SUM(DE92:DE95)</f>
        <v>2.06257403897444E-010</v>
      </c>
      <c r="DF96" s="56" t="n">
        <f aca="false">SUM(DF92:DF95)</f>
        <v>2.08835621446162E-010</v>
      </c>
      <c r="DG96" s="56" t="n">
        <f aca="false">SUM(DG92:DG95)</f>
        <v>2.11446066714239E-010</v>
      </c>
      <c r="DH96" s="56" t="n">
        <f aca="false">SUM(DH92:DH95)</f>
        <v>2.14089142548167E-010</v>
      </c>
      <c r="DI96" s="56" t="n">
        <f aca="false">SUM(DI92:DI95)</f>
        <v>2.16765256830019E-010</v>
      </c>
      <c r="DJ96" s="56" t="n">
        <f aca="false">SUM(DJ92:DJ95)</f>
        <v>2.19474822540395E-010</v>
      </c>
      <c r="DK96" s="56" t="n">
        <f aca="false">SUM(DK92:DK95)</f>
        <v>2.2221825782215E-010</v>
      </c>
      <c r="DL96" s="56" t="n">
        <f aca="false">SUM(DL92:DL95)</f>
        <v>2.24995986044927E-010</v>
      </c>
      <c r="DM96" s="56" t="n">
        <f aca="false">SUM(DM92:DM95)</f>
        <v>2.27808435870488E-010</v>
      </c>
      <c r="DN96" s="56" t="n">
        <f aca="false">SUM(DN92:DN95)</f>
        <v>2.30656041318869E-010</v>
      </c>
      <c r="DO96" s="56" t="n">
        <f aca="false">SUM(DO92:DO95)</f>
        <v>2.33539241835355E-010</v>
      </c>
      <c r="DP96" s="56" t="n">
        <f aca="false">SUM(DP92:DP95)</f>
        <v>2.36458482358297E-010</v>
      </c>
      <c r="DQ96" s="56" t="n">
        <f aca="false">SUM(DQ92:DQ95)</f>
        <v>2.39414213387776E-010</v>
      </c>
      <c r="DR96" s="56" t="n">
        <f aca="false">SUM(DR92:DR95)</f>
        <v>2.42406891055123E-010</v>
      </c>
      <c r="DS96" s="56" t="n">
        <f aca="false">SUM(DS92:DS95)</f>
        <v>2.45436977193312E-010</v>
      </c>
      <c r="DT96" s="56" t="n">
        <f aca="false">SUM(DT92:DT95)</f>
        <v>2.48504939408228E-010</v>
      </c>
      <c r="DU96" s="56" t="n">
        <f aca="false">SUM(DU92:DU95)</f>
        <v>2.51611251150831E-010</v>
      </c>
      <c r="DV96" s="56" t="n">
        <f aca="false">SUM(DV92:DV95)</f>
        <v>2.54756391790217E-010</v>
      </c>
      <c r="DW96" s="56" t="n">
        <f aca="false">SUM(DW92:DW95)</f>
        <v>2.57940846687594E-010</v>
      </c>
      <c r="DX96" s="56" t="n">
        <f aca="false">SUM(DX92:DX95)</f>
        <v>2.61165107271189E-010</v>
      </c>
      <c r="DY96" s="56" t="n">
        <f aca="false">SUM(DY92:DY95)</f>
        <v>2.64429671112079E-010</v>
      </c>
      <c r="DZ96" s="56" t="n">
        <f aca="false">SUM(DZ92:DZ95)</f>
        <v>2.6773504200098E-010</v>
      </c>
      <c r="EA96" s="56" t="n">
        <f aca="false">SUM(EA92:EA95)</f>
        <v>2.71081730025992E-010</v>
      </c>
      <c r="EB96" s="56" t="n">
        <f aca="false">SUM(EB92:EB95)</f>
        <v>2.74470251651317E-010</v>
      </c>
      <c r="EC96" s="56" t="n">
        <f aca="false">SUM(EC92:EC95)</f>
        <v>2.77901129796959E-010</v>
      </c>
      <c r="ED96" s="56" t="n">
        <f aca="false">SUM(ED92:ED95)</f>
        <v>2.81374893919421E-010</v>
      </c>
      <c r="EE96" s="56" t="n">
        <f aca="false">SUM(EE92:EE95)</f>
        <v>2.84892080093413E-010</v>
      </c>
      <c r="EF96" s="56" t="n">
        <f aca="false">SUM(EF92:EF95)</f>
        <v>2.88453231094581E-010</v>
      </c>
      <c r="EG96" s="56" t="n">
        <f aca="false">SUM(EG92:EG95)</f>
        <v>2.92058896483263E-010</v>
      </c>
      <c r="EH96" s="56" t="n">
        <f aca="false">SUM(EH92:EH95)</f>
        <v>2.95709632689304E-010</v>
      </c>
      <c r="EI96" s="56" t="n">
        <f aca="false">SUM(EI92:EI95)</f>
        <v>2.9940600309792E-010</v>
      </c>
      <c r="EJ96" s="56" t="n">
        <f aca="false">SUM(EJ92:EJ95)</f>
        <v>3.03148578136644E-010</v>
      </c>
      <c r="EK96" s="56" t="n">
        <f aca="false">SUM(EK92:EK95)</f>
        <v>3.06937935363353E-010</v>
      </c>
      <c r="EL96" s="56" t="n">
        <f aca="false">SUM(EL92:EL95)</f>
        <v>3.10774659555394E-010</v>
      </c>
      <c r="EM96" s="56" t="n">
        <f aca="false">SUM(EM92:EM95)</f>
        <v>3.14659342799837E-010</v>
      </c>
      <c r="EN96" s="56" t="n">
        <f aca="false">SUM(EN92:EN95)</f>
        <v>3.18592584584835E-010</v>
      </c>
      <c r="EO96" s="56" t="n">
        <f aca="false">SUM(EO92:EO95)</f>
        <v>3.22574991892145E-010</v>
      </c>
    </row>
    <row r="97" customFormat="false" ht="15" hidden="false" customHeight="false" outlineLevel="0" collapsed="false">
      <c r="C97" s="0" t="s">
        <v>460</v>
      </c>
      <c r="D97" s="11" t="s">
        <v>33</v>
      </c>
      <c r="I97" s="47" t="n">
        <f aca="false">SUM(J97:EO97)</f>
        <v>-743.362791510191</v>
      </c>
      <c r="J97" s="47" t="n">
        <f aca="false">-In_Upfront_Fee*$E96*(J92=0)*(J93&gt;0)</f>
        <v>-0</v>
      </c>
      <c r="K97" s="47" t="n">
        <f aca="false">-In_Upfront_Fee*$E96*(K92=0)*(K93&gt;0)</f>
        <v>-0</v>
      </c>
      <c r="L97" s="47" t="n">
        <f aca="false">-In_Upfront_Fee*$E96*(L92=0)*(L93&gt;0)</f>
        <v>-0</v>
      </c>
      <c r="M97" s="47" t="n">
        <f aca="false">-In_Upfront_Fee*$E96*(M92=0)*(M93&gt;0)</f>
        <v>-0</v>
      </c>
      <c r="N97" s="47" t="n">
        <f aca="false">-In_Upfront_Fee*$E96*(N92=0)*(N93&gt;0)</f>
        <v>-0</v>
      </c>
      <c r="O97" s="47" t="n">
        <f aca="false">-In_Upfront_Fee*$E96*(O92=0)*(O93&gt;0)</f>
        <v>-0</v>
      </c>
      <c r="P97" s="47" t="n">
        <f aca="false">-In_Upfront_Fee*$E96*(P92=0)*(P93&gt;0)</f>
        <v>-0</v>
      </c>
      <c r="Q97" s="47" t="n">
        <f aca="false">-In_Upfront_Fee*$E96*(Q92=0)*(Q93&gt;0)</f>
        <v>-0</v>
      </c>
      <c r="R97" s="47" t="n">
        <f aca="false">-In_Upfront_Fee*$E96*(R92=0)*(R93&gt;0)</f>
        <v>-743.362791510191</v>
      </c>
      <c r="S97" s="47" t="n">
        <f aca="false">-In_Upfront_Fee*$E96*(S92=0)*(S93&gt;0)</f>
        <v>-0</v>
      </c>
      <c r="T97" s="47" t="n">
        <f aca="false">-In_Upfront_Fee*$E96*(T92=0)*(T93&gt;0)</f>
        <v>-0</v>
      </c>
      <c r="U97" s="47" t="n">
        <f aca="false">-In_Upfront_Fee*$E96*(U92=0)*(U93&gt;0)</f>
        <v>-0</v>
      </c>
      <c r="V97" s="47" t="n">
        <f aca="false">-In_Upfront_Fee*$E96*(V92=0)*(V93&gt;0)</f>
        <v>-0</v>
      </c>
      <c r="W97" s="47" t="n">
        <f aca="false">-In_Upfront_Fee*$E96*(W92=0)*(W93&gt;0)</f>
        <v>-0</v>
      </c>
      <c r="X97" s="47" t="n">
        <f aca="false">-In_Upfront_Fee*$E96*(X92=0)*(X93&gt;0)</f>
        <v>-0</v>
      </c>
      <c r="Y97" s="47" t="n">
        <f aca="false">-In_Upfront_Fee*$E96*(Y92=0)*(Y93&gt;0)</f>
        <v>-0</v>
      </c>
      <c r="Z97" s="47" t="n">
        <f aca="false">-In_Upfront_Fee*$E96*(Z92=0)*(Z93&gt;0)</f>
        <v>-0</v>
      </c>
      <c r="AA97" s="47" t="n">
        <f aca="false">-In_Upfront_Fee*$E96*(AA92=0)*(AA93&gt;0)</f>
        <v>-0</v>
      </c>
      <c r="AB97" s="47" t="n">
        <f aca="false">-In_Upfront_Fee*$E96*(AB92=0)*(AB93&gt;0)</f>
        <v>-0</v>
      </c>
      <c r="AC97" s="47" t="n">
        <f aca="false">-In_Upfront_Fee*$E96*(AC92=0)*(AC93&gt;0)</f>
        <v>-0</v>
      </c>
      <c r="AD97" s="47" t="n">
        <f aca="false">-In_Upfront_Fee*$E96*(AD92=0)*(AD93&gt;0)</f>
        <v>-0</v>
      </c>
      <c r="AE97" s="47" t="n">
        <f aca="false">-In_Upfront_Fee*$E96*(AE92=0)*(AE93&gt;0)</f>
        <v>-0</v>
      </c>
      <c r="AF97" s="47" t="n">
        <f aca="false">-In_Upfront_Fee*$E96*(AF92=0)*(AF93&gt;0)</f>
        <v>-0</v>
      </c>
      <c r="AG97" s="47" t="n">
        <f aca="false">-In_Upfront_Fee*$E96*(AG92=0)*(AG93&gt;0)</f>
        <v>-0</v>
      </c>
      <c r="AH97" s="47" t="n">
        <f aca="false">-In_Upfront_Fee*$E96*(AH92=0)*(AH93&gt;0)</f>
        <v>-0</v>
      </c>
      <c r="AI97" s="47" t="n">
        <f aca="false">-In_Upfront_Fee*$E96*(AI92=0)*(AI93&gt;0)</f>
        <v>-0</v>
      </c>
      <c r="AJ97" s="47" t="n">
        <f aca="false">-In_Upfront_Fee*$E96*(AJ92=0)*(AJ93&gt;0)</f>
        <v>-0</v>
      </c>
      <c r="AK97" s="47" t="n">
        <f aca="false">-In_Upfront_Fee*$E96*(AK92=0)*(AK93&gt;0)</f>
        <v>-0</v>
      </c>
      <c r="AL97" s="47" t="n">
        <f aca="false">-In_Upfront_Fee*$E96*(AL92=0)*(AL93&gt;0)</f>
        <v>-0</v>
      </c>
      <c r="AM97" s="47" t="n">
        <f aca="false">-In_Upfront_Fee*$E96*(AM92=0)*(AM93&gt;0)</f>
        <v>-0</v>
      </c>
      <c r="AN97" s="47" t="n">
        <f aca="false">-In_Upfront_Fee*$E96*(AN92=0)*(AN93&gt;0)</f>
        <v>-0</v>
      </c>
      <c r="AO97" s="47" t="n">
        <f aca="false">-In_Upfront_Fee*$E96*(AO92=0)*(AO93&gt;0)</f>
        <v>-0</v>
      </c>
      <c r="AP97" s="47" t="n">
        <f aca="false">-In_Upfront_Fee*$E96*(AP92=0)*(AP93&gt;0)</f>
        <v>-0</v>
      </c>
      <c r="AQ97" s="47" t="n">
        <f aca="false">-In_Upfront_Fee*$E96*(AQ92=0)*(AQ93&gt;0)</f>
        <v>-0</v>
      </c>
      <c r="AR97" s="47" t="n">
        <f aca="false">-In_Upfront_Fee*$E96*(AR92=0)*(AR93&gt;0)</f>
        <v>-0</v>
      </c>
      <c r="AS97" s="47" t="n">
        <f aca="false">-In_Upfront_Fee*$E96*(AS92=0)*(AS93&gt;0)</f>
        <v>-0</v>
      </c>
      <c r="AT97" s="47" t="n">
        <f aca="false">-In_Upfront_Fee*$E96*(AT92=0)*(AT93&gt;0)</f>
        <v>-0</v>
      </c>
      <c r="AU97" s="47" t="n">
        <f aca="false">-In_Upfront_Fee*$E96*(AU92=0)*(AU93&gt;0)</f>
        <v>-0</v>
      </c>
      <c r="AV97" s="47" t="n">
        <f aca="false">-In_Upfront_Fee*$E96*(AV92=0)*(AV93&gt;0)</f>
        <v>-0</v>
      </c>
      <c r="AW97" s="47" t="n">
        <f aca="false">-In_Upfront_Fee*$E96*(AW92=0)*(AW93&gt;0)</f>
        <v>-0</v>
      </c>
      <c r="AX97" s="47" t="n">
        <f aca="false">-In_Upfront_Fee*$E96*(AX92=0)*(AX93&gt;0)</f>
        <v>-0</v>
      </c>
      <c r="AY97" s="47" t="n">
        <f aca="false">-In_Upfront_Fee*$E96*(AY92=0)*(AY93&gt;0)</f>
        <v>-0</v>
      </c>
      <c r="AZ97" s="47" t="n">
        <f aca="false">-In_Upfront_Fee*$E96*(AZ92=0)*(AZ93&gt;0)</f>
        <v>-0</v>
      </c>
      <c r="BA97" s="47" t="n">
        <f aca="false">-In_Upfront_Fee*$E96*(BA92=0)*(BA93&gt;0)</f>
        <v>-0</v>
      </c>
      <c r="BB97" s="47" t="n">
        <f aca="false">-In_Upfront_Fee*$E96*(BB92=0)*(BB93&gt;0)</f>
        <v>-0</v>
      </c>
      <c r="BC97" s="47" t="n">
        <f aca="false">-In_Upfront_Fee*$E96*(BC92=0)*(BC93&gt;0)</f>
        <v>-0</v>
      </c>
      <c r="BD97" s="47" t="n">
        <f aca="false">-In_Upfront_Fee*$E96*(BD92=0)*(BD93&gt;0)</f>
        <v>-0</v>
      </c>
      <c r="BE97" s="47" t="n">
        <f aca="false">-In_Upfront_Fee*$E96*(BE92=0)*(BE93&gt;0)</f>
        <v>-0</v>
      </c>
      <c r="BF97" s="47" t="n">
        <f aca="false">-In_Upfront_Fee*$E96*(BF92=0)*(BF93&gt;0)</f>
        <v>-0</v>
      </c>
      <c r="BG97" s="47" t="n">
        <f aca="false">-In_Upfront_Fee*$E96*(BG92=0)*(BG93&gt;0)</f>
        <v>-0</v>
      </c>
      <c r="BH97" s="47" t="n">
        <f aca="false">-In_Upfront_Fee*$E96*(BH92=0)*(BH93&gt;0)</f>
        <v>-0</v>
      </c>
      <c r="BI97" s="47" t="n">
        <f aca="false">-In_Upfront_Fee*$E96*(BI92=0)*(BI93&gt;0)</f>
        <v>-0</v>
      </c>
      <c r="BJ97" s="47" t="n">
        <f aca="false">-In_Upfront_Fee*$E96*(BJ92=0)*(BJ93&gt;0)</f>
        <v>-0</v>
      </c>
      <c r="BK97" s="47" t="n">
        <f aca="false">-In_Upfront_Fee*$E96*(BK92=0)*(BK93&gt;0)</f>
        <v>-0</v>
      </c>
      <c r="BL97" s="47" t="n">
        <f aca="false">-In_Upfront_Fee*$E96*(BL92=0)*(BL93&gt;0)</f>
        <v>-0</v>
      </c>
      <c r="BM97" s="47" t="n">
        <f aca="false">-In_Upfront_Fee*$E96*(BM92=0)*(BM93&gt;0)</f>
        <v>-0</v>
      </c>
      <c r="BN97" s="47" t="n">
        <f aca="false">-In_Upfront_Fee*$E96*(BN92=0)*(BN93&gt;0)</f>
        <v>-0</v>
      </c>
      <c r="BO97" s="47" t="n">
        <f aca="false">-In_Upfront_Fee*$E96*(BO92=0)*(BO93&gt;0)</f>
        <v>-0</v>
      </c>
      <c r="BP97" s="47" t="n">
        <f aca="false">-In_Upfront_Fee*$E96*(BP92=0)*(BP93&gt;0)</f>
        <v>-0</v>
      </c>
      <c r="BQ97" s="47" t="n">
        <f aca="false">-In_Upfront_Fee*$E96*(BQ92=0)*(BQ93&gt;0)</f>
        <v>-0</v>
      </c>
      <c r="BR97" s="47" t="n">
        <f aca="false">-In_Upfront_Fee*$E96*(BR92=0)*(BR93&gt;0)</f>
        <v>-0</v>
      </c>
      <c r="BS97" s="47" t="n">
        <f aca="false">-In_Upfront_Fee*$E96*(BS92=0)*(BS93&gt;0)</f>
        <v>-0</v>
      </c>
      <c r="BT97" s="47" t="n">
        <f aca="false">-In_Upfront_Fee*$E96*(BT92=0)*(BT93&gt;0)</f>
        <v>-0</v>
      </c>
      <c r="BU97" s="47" t="n">
        <f aca="false">-In_Upfront_Fee*$E96*(BU92=0)*(BU93&gt;0)</f>
        <v>-0</v>
      </c>
      <c r="BV97" s="47" t="n">
        <f aca="false">-In_Upfront_Fee*$E96*(BV92=0)*(BV93&gt;0)</f>
        <v>-0</v>
      </c>
      <c r="BW97" s="47" t="n">
        <f aca="false">-In_Upfront_Fee*$E96*(BW92=0)*(BW93&gt;0)</f>
        <v>-0</v>
      </c>
      <c r="BX97" s="47" t="n">
        <f aca="false">-In_Upfront_Fee*$E96*(BX92=0)*(BX93&gt;0)</f>
        <v>-0</v>
      </c>
      <c r="BY97" s="47" t="n">
        <f aca="false">-In_Upfront_Fee*$E96*(BY92=0)*(BY93&gt;0)</f>
        <v>-0</v>
      </c>
      <c r="BZ97" s="47" t="n">
        <f aca="false">-In_Upfront_Fee*$E96*(BZ92=0)*(BZ93&gt;0)</f>
        <v>-0</v>
      </c>
      <c r="CA97" s="47" t="n">
        <f aca="false">-In_Upfront_Fee*$E96*(CA92=0)*(CA93&gt;0)</f>
        <v>-0</v>
      </c>
      <c r="CB97" s="47" t="n">
        <f aca="false">-In_Upfront_Fee*$E96*(CB92=0)*(CB93&gt;0)</f>
        <v>-0</v>
      </c>
      <c r="CC97" s="47" t="n">
        <f aca="false">-In_Upfront_Fee*$E96*(CC92=0)*(CC93&gt;0)</f>
        <v>-0</v>
      </c>
      <c r="CD97" s="47" t="n">
        <f aca="false">-In_Upfront_Fee*$E96*(CD92=0)*(CD93&gt;0)</f>
        <v>-0</v>
      </c>
      <c r="CE97" s="47" t="n">
        <f aca="false">-In_Upfront_Fee*$E96*(CE92=0)*(CE93&gt;0)</f>
        <v>-0</v>
      </c>
      <c r="CF97" s="47" t="n">
        <f aca="false">-In_Upfront_Fee*$E96*(CF92=0)*(CF93&gt;0)</f>
        <v>-0</v>
      </c>
      <c r="CG97" s="47" t="n">
        <f aca="false">-In_Upfront_Fee*$E96*(CG92=0)*(CG93&gt;0)</f>
        <v>-0</v>
      </c>
      <c r="CH97" s="47" t="n">
        <f aca="false">-In_Upfront_Fee*$E96*(CH92=0)*(CH93&gt;0)</f>
        <v>-0</v>
      </c>
      <c r="CI97" s="47" t="n">
        <f aca="false">-In_Upfront_Fee*$E96*(CI92=0)*(CI93&gt;0)</f>
        <v>-0</v>
      </c>
      <c r="CJ97" s="47" t="n">
        <f aca="false">-In_Upfront_Fee*$E96*(CJ92=0)*(CJ93&gt;0)</f>
        <v>-0</v>
      </c>
      <c r="CK97" s="47" t="n">
        <f aca="false">-In_Upfront_Fee*$E96*(CK92=0)*(CK93&gt;0)</f>
        <v>-0</v>
      </c>
      <c r="CL97" s="47" t="n">
        <f aca="false">-In_Upfront_Fee*$E96*(CL92=0)*(CL93&gt;0)</f>
        <v>-0</v>
      </c>
      <c r="CM97" s="47" t="n">
        <f aca="false">-In_Upfront_Fee*$E96*(CM92=0)*(CM93&gt;0)</f>
        <v>-0</v>
      </c>
      <c r="CN97" s="47" t="n">
        <f aca="false">-In_Upfront_Fee*$E96*(CN92=0)*(CN93&gt;0)</f>
        <v>-0</v>
      </c>
      <c r="CO97" s="47" t="n">
        <f aca="false">-In_Upfront_Fee*$E96*(CO92=0)*(CO93&gt;0)</f>
        <v>-0</v>
      </c>
      <c r="CP97" s="47" t="n">
        <f aca="false">-In_Upfront_Fee*$E96*(CP92=0)*(CP93&gt;0)</f>
        <v>-0</v>
      </c>
      <c r="CQ97" s="47" t="n">
        <f aca="false">-In_Upfront_Fee*$E96*(CQ92=0)*(CQ93&gt;0)</f>
        <v>-0</v>
      </c>
      <c r="CR97" s="47" t="n">
        <f aca="false">-In_Upfront_Fee*$E96*(CR92=0)*(CR93&gt;0)</f>
        <v>-0</v>
      </c>
      <c r="CS97" s="47" t="n">
        <f aca="false">-In_Upfront_Fee*$E96*(CS92=0)*(CS93&gt;0)</f>
        <v>-0</v>
      </c>
      <c r="CT97" s="47" t="n">
        <f aca="false">-In_Upfront_Fee*$E96*(CT92=0)*(CT93&gt;0)</f>
        <v>-0</v>
      </c>
      <c r="CU97" s="47" t="n">
        <f aca="false">-In_Upfront_Fee*$E96*(CU92=0)*(CU93&gt;0)</f>
        <v>-0</v>
      </c>
      <c r="CV97" s="47" t="n">
        <f aca="false">-In_Upfront_Fee*$E96*(CV92=0)*(CV93&gt;0)</f>
        <v>-0</v>
      </c>
      <c r="CW97" s="47" t="n">
        <f aca="false">-In_Upfront_Fee*$E96*(CW92=0)*(CW93&gt;0)</f>
        <v>-0</v>
      </c>
      <c r="CX97" s="47" t="n">
        <f aca="false">-In_Upfront_Fee*$E96*(CX92=0)*(CX93&gt;0)</f>
        <v>-0</v>
      </c>
      <c r="CY97" s="47" t="n">
        <f aca="false">-In_Upfront_Fee*$E96*(CY92=0)*(CY93&gt;0)</f>
        <v>-0</v>
      </c>
      <c r="CZ97" s="47" t="n">
        <f aca="false">-In_Upfront_Fee*$E96*(CZ92=0)*(CZ93&gt;0)</f>
        <v>-0</v>
      </c>
      <c r="DA97" s="47" t="n">
        <f aca="false">-In_Upfront_Fee*$E96*(DA92=0)*(DA93&gt;0)</f>
        <v>-0</v>
      </c>
      <c r="DB97" s="47" t="n">
        <f aca="false">-In_Upfront_Fee*$E96*(DB92=0)*(DB93&gt;0)</f>
        <v>-0</v>
      </c>
      <c r="DC97" s="47" t="n">
        <f aca="false">-In_Upfront_Fee*$E96*(DC92=0)*(DC93&gt;0)</f>
        <v>-0</v>
      </c>
      <c r="DD97" s="47" t="n">
        <f aca="false">-In_Upfront_Fee*$E96*(DD92=0)*(DD93&gt;0)</f>
        <v>-0</v>
      </c>
      <c r="DE97" s="47" t="n">
        <f aca="false">-In_Upfront_Fee*$E96*(DE92=0)*(DE93&gt;0)</f>
        <v>-0</v>
      </c>
      <c r="DF97" s="47" t="n">
        <f aca="false">-In_Upfront_Fee*$E96*(DF92=0)*(DF93&gt;0)</f>
        <v>-0</v>
      </c>
      <c r="DG97" s="47" t="n">
        <f aca="false">-In_Upfront_Fee*$E96*(DG92=0)*(DG93&gt;0)</f>
        <v>-0</v>
      </c>
      <c r="DH97" s="47" t="n">
        <f aca="false">-In_Upfront_Fee*$E96*(DH92=0)*(DH93&gt;0)</f>
        <v>-0</v>
      </c>
      <c r="DI97" s="47" t="n">
        <f aca="false">-In_Upfront_Fee*$E96*(DI92=0)*(DI93&gt;0)</f>
        <v>-0</v>
      </c>
      <c r="DJ97" s="47" t="n">
        <f aca="false">-In_Upfront_Fee*$E96*(DJ92=0)*(DJ93&gt;0)</f>
        <v>-0</v>
      </c>
      <c r="DK97" s="47" t="n">
        <f aca="false">-In_Upfront_Fee*$E96*(DK92=0)*(DK93&gt;0)</f>
        <v>-0</v>
      </c>
      <c r="DL97" s="47" t="n">
        <f aca="false">-In_Upfront_Fee*$E96*(DL92=0)*(DL93&gt;0)</f>
        <v>-0</v>
      </c>
      <c r="DM97" s="47" t="n">
        <f aca="false">-In_Upfront_Fee*$E96*(DM92=0)*(DM93&gt;0)</f>
        <v>-0</v>
      </c>
      <c r="DN97" s="47" t="n">
        <f aca="false">-In_Upfront_Fee*$E96*(DN92=0)*(DN93&gt;0)</f>
        <v>-0</v>
      </c>
      <c r="DO97" s="47" t="n">
        <f aca="false">-In_Upfront_Fee*$E96*(DO92=0)*(DO93&gt;0)</f>
        <v>-0</v>
      </c>
      <c r="DP97" s="47" t="n">
        <f aca="false">-In_Upfront_Fee*$E96*(DP92=0)*(DP93&gt;0)</f>
        <v>-0</v>
      </c>
      <c r="DQ97" s="47" t="n">
        <f aca="false">-In_Upfront_Fee*$E96*(DQ92=0)*(DQ93&gt;0)</f>
        <v>-0</v>
      </c>
      <c r="DR97" s="47" t="n">
        <f aca="false">-In_Upfront_Fee*$E96*(DR92=0)*(DR93&gt;0)</f>
        <v>-0</v>
      </c>
      <c r="DS97" s="47" t="n">
        <f aca="false">-In_Upfront_Fee*$E96*(DS92=0)*(DS93&gt;0)</f>
        <v>-0</v>
      </c>
      <c r="DT97" s="47" t="n">
        <f aca="false">-In_Upfront_Fee*$E96*(DT92=0)*(DT93&gt;0)</f>
        <v>-0</v>
      </c>
      <c r="DU97" s="47" t="n">
        <f aca="false">-In_Upfront_Fee*$E96*(DU92=0)*(DU93&gt;0)</f>
        <v>-0</v>
      </c>
      <c r="DV97" s="47" t="n">
        <f aca="false">-In_Upfront_Fee*$E96*(DV92=0)*(DV93&gt;0)</f>
        <v>-0</v>
      </c>
      <c r="DW97" s="47" t="n">
        <f aca="false">-In_Upfront_Fee*$E96*(DW92=0)*(DW93&gt;0)</f>
        <v>-0</v>
      </c>
      <c r="DX97" s="47" t="n">
        <f aca="false">-In_Upfront_Fee*$E96*(DX92=0)*(DX93&gt;0)</f>
        <v>-0</v>
      </c>
      <c r="DY97" s="47" t="n">
        <f aca="false">-In_Upfront_Fee*$E96*(DY92=0)*(DY93&gt;0)</f>
        <v>-0</v>
      </c>
      <c r="DZ97" s="47" t="n">
        <f aca="false">-In_Upfront_Fee*$E96*(DZ92=0)*(DZ93&gt;0)</f>
        <v>-0</v>
      </c>
      <c r="EA97" s="47" t="n">
        <f aca="false">-In_Upfront_Fee*$E96*(EA92=0)*(EA93&gt;0)</f>
        <v>-0</v>
      </c>
      <c r="EB97" s="47" t="n">
        <f aca="false">-In_Upfront_Fee*$E96*(EB92=0)*(EB93&gt;0)</f>
        <v>-0</v>
      </c>
      <c r="EC97" s="47" t="n">
        <f aca="false">-In_Upfront_Fee*$E96*(EC92=0)*(EC93&gt;0)</f>
        <v>-0</v>
      </c>
      <c r="ED97" s="47" t="n">
        <f aca="false">-In_Upfront_Fee*$E96*(ED92=0)*(ED93&gt;0)</f>
        <v>-0</v>
      </c>
      <c r="EE97" s="47" t="n">
        <f aca="false">-In_Upfront_Fee*$E96*(EE92=0)*(EE93&gt;0)</f>
        <v>-0</v>
      </c>
      <c r="EF97" s="47" t="n">
        <f aca="false">-In_Upfront_Fee*$E96*(EF92=0)*(EF93&gt;0)</f>
        <v>-0</v>
      </c>
      <c r="EG97" s="47" t="n">
        <f aca="false">-In_Upfront_Fee*$E96*(EG92=0)*(EG93&gt;0)</f>
        <v>-0</v>
      </c>
      <c r="EH97" s="47" t="n">
        <f aca="false">-In_Upfront_Fee*$E96*(EH92=0)*(EH93&gt;0)</f>
        <v>-0</v>
      </c>
      <c r="EI97" s="47" t="n">
        <f aca="false">-In_Upfront_Fee*$E96*(EI92=0)*(EI93&gt;0)</f>
        <v>-0</v>
      </c>
      <c r="EJ97" s="47" t="n">
        <f aca="false">-In_Upfront_Fee*$E96*(EJ92=0)*(EJ93&gt;0)</f>
        <v>-0</v>
      </c>
      <c r="EK97" s="47" t="n">
        <f aca="false">-In_Upfront_Fee*$E96*(EK92=0)*(EK93&gt;0)</f>
        <v>-0</v>
      </c>
      <c r="EL97" s="47" t="n">
        <f aca="false">-In_Upfront_Fee*$E96*(EL92=0)*(EL93&gt;0)</f>
        <v>-0</v>
      </c>
      <c r="EM97" s="47" t="n">
        <f aca="false">-In_Upfront_Fee*$E96*(EM92=0)*(EM93&gt;0)</f>
        <v>-0</v>
      </c>
      <c r="EN97" s="47" t="n">
        <f aca="false">-In_Upfront_Fee*$E96*(EN92=0)*(EN93&gt;0)</f>
        <v>-0</v>
      </c>
      <c r="EO97" s="47" t="n">
        <f aca="false">-In_Upfront_Fee*$E96*(EO92=0)*(EO93&gt;0)</f>
        <v>-0</v>
      </c>
    </row>
    <row r="98" customFormat="false" ht="15" hidden="false" customHeight="false" outlineLevel="0" collapsed="false">
      <c r="C98" s="0" t="s">
        <v>461</v>
      </c>
      <c r="D98" s="11" t="s">
        <v>33</v>
      </c>
      <c r="I98" s="47" t="n">
        <f aca="false">SUM(J98:EO98)</f>
        <v>-396.359732589126</v>
      </c>
      <c r="J98" s="47" t="n">
        <f aca="false">-In_Commitment_Fee*($I93-SUM($J93:J93)+J93)*J$6*(J12&gt;0)</f>
        <v>-0</v>
      </c>
      <c r="K98" s="47" t="n">
        <f aca="false">-In_Commitment_Fee*($I93-SUM($J93:K93)+K93)*K$6*(K12&gt;0)</f>
        <v>-0</v>
      </c>
      <c r="L98" s="47" t="n">
        <f aca="false">-In_Commitment_Fee*($I93-SUM($J93:L93)+L93)*L$6*(L12&gt;0)</f>
        <v>-0</v>
      </c>
      <c r="M98" s="47" t="n">
        <f aca="false">-In_Commitment_Fee*($I93-SUM($J93:M93)+M93)*M$6*(M12&gt;0)</f>
        <v>-0</v>
      </c>
      <c r="N98" s="47" t="n">
        <f aca="false">-In_Commitment_Fee*($I93-SUM($J93:N93)+N93)*N$6*(N12&gt;0)</f>
        <v>-0</v>
      </c>
      <c r="O98" s="47" t="n">
        <f aca="false">-In_Commitment_Fee*($I93-SUM($J93:O93)+O93)*O$6*(O12&gt;0)</f>
        <v>-0</v>
      </c>
      <c r="P98" s="47" t="n">
        <f aca="false">-In_Commitment_Fee*($I93-SUM($J93:P93)+P93)*P$6*(P12&gt;0)</f>
        <v>-0</v>
      </c>
      <c r="Q98" s="47" t="n">
        <f aca="false">-In_Commitment_Fee*($I93-SUM($J93:Q93)+Q93)*Q$6*(Q12&gt;0)</f>
        <v>-0</v>
      </c>
      <c r="R98" s="47" t="n">
        <f aca="false">-In_Commitment_Fee*($I93-SUM($J93:R93)+R93)*R$6*(R12&gt;0)</f>
        <v>-92.0420457885532</v>
      </c>
      <c r="S98" s="47" t="n">
        <f aca="false">-In_Commitment_Fee*($I93-SUM($J93:S93)+S93)*S$6*(S12&gt;0)</f>
        <v>-80.3324335980484</v>
      </c>
      <c r="T98" s="47" t="n">
        <f aca="false">-In_Commitment_Fee*($I93-SUM($J93:T93)+T93)*T$6*(T12&gt;0)</f>
        <v>-61.5579019224996</v>
      </c>
      <c r="U98" s="47" t="n">
        <f aca="false">-In_Commitment_Fee*($I93-SUM($J93:U93)+U93)*U$6*(U12&gt;0)</f>
        <v>-52.4177898076563</v>
      </c>
      <c r="V98" s="47" t="n">
        <f aca="false">-In_Commitment_Fee*($I93-SUM($J93:V93)+V93)*V$6*(V12&gt;0)</f>
        <v>-42.4933428082192</v>
      </c>
      <c r="W98" s="47" t="n">
        <f aca="false">-In_Commitment_Fee*($I93-SUM($J93:W93)+W93)*W$6*(W12&gt;0)</f>
        <v>-31.8608763346782</v>
      </c>
      <c r="X98" s="47" t="n">
        <f aca="false">-In_Commitment_Fee*($I93-SUM($J93:X93)+X93)*X$6*(X12&gt;0)</f>
        <v>-22.611717247842</v>
      </c>
      <c r="Y98" s="47" t="n">
        <f aca="false">-In_Commitment_Fee*($I93-SUM($J93:Y93)+Y93)*Y$6*(Y12&gt;0)</f>
        <v>-13.0436250816288</v>
      </c>
      <c r="Z98" s="47" t="n">
        <f aca="false">-In_Commitment_Fee*($I93-SUM($J93:Z93)+Z93)*Z$6*(Z12&gt;0)</f>
        <v>-0</v>
      </c>
      <c r="AA98" s="47" t="n">
        <f aca="false">-In_Commitment_Fee*($I93-SUM($J93:AA93)+AA93)*AA$6*(AA12&gt;0)</f>
        <v>-0</v>
      </c>
      <c r="AB98" s="47" t="n">
        <f aca="false">-In_Commitment_Fee*($I93-SUM($J93:AB93)+AB93)*AB$6*(AB12&gt;0)</f>
        <v>-0</v>
      </c>
      <c r="AC98" s="47" t="n">
        <f aca="false">-In_Commitment_Fee*($I93-SUM($J93:AC93)+AC93)*AC$6*(AC12&gt;0)</f>
        <v>-0</v>
      </c>
      <c r="AD98" s="47" t="n">
        <f aca="false">-In_Commitment_Fee*($I93-SUM($J93:AD93)+AD93)*AD$6*(AD12&gt;0)</f>
        <v>-0</v>
      </c>
      <c r="AE98" s="47" t="n">
        <f aca="false">-In_Commitment_Fee*($I93-SUM($J93:AE93)+AE93)*AE$6*(AE12&gt;0)</f>
        <v>-0</v>
      </c>
      <c r="AF98" s="47" t="n">
        <f aca="false">-In_Commitment_Fee*($I93-SUM($J93:AF93)+AF93)*AF$6*(AF12&gt;0)</f>
        <v>-0</v>
      </c>
      <c r="AG98" s="47" t="n">
        <f aca="false">-In_Commitment_Fee*($I93-SUM($J93:AG93)+AG93)*AG$6*(AG12&gt;0)</f>
        <v>-0</v>
      </c>
      <c r="AH98" s="47" t="n">
        <f aca="false">-In_Commitment_Fee*($I93-SUM($J93:AH93)+AH93)*AH$6*(AH12&gt;0)</f>
        <v>-0</v>
      </c>
      <c r="AI98" s="47" t="n">
        <f aca="false">-In_Commitment_Fee*($I93-SUM($J93:AI93)+AI93)*AI$6*(AI12&gt;0)</f>
        <v>-0</v>
      </c>
      <c r="AJ98" s="47" t="n">
        <f aca="false">-In_Commitment_Fee*($I93-SUM($J93:AJ93)+AJ93)*AJ$6*(AJ12&gt;0)</f>
        <v>-0</v>
      </c>
      <c r="AK98" s="47" t="n">
        <f aca="false">-In_Commitment_Fee*($I93-SUM($J93:AK93)+AK93)*AK$6*(AK12&gt;0)</f>
        <v>-0</v>
      </c>
      <c r="AL98" s="47" t="n">
        <f aca="false">-In_Commitment_Fee*($I93-SUM($J93:AL93)+AL93)*AL$6*(AL12&gt;0)</f>
        <v>-0</v>
      </c>
      <c r="AM98" s="47" t="n">
        <f aca="false">-In_Commitment_Fee*($I93-SUM($J93:AM93)+AM93)*AM$6*(AM12&gt;0)</f>
        <v>-0</v>
      </c>
      <c r="AN98" s="47" t="n">
        <f aca="false">-In_Commitment_Fee*($I93-SUM($J93:AN93)+AN93)*AN$6*(AN12&gt;0)</f>
        <v>-0</v>
      </c>
      <c r="AO98" s="47" t="n">
        <f aca="false">-In_Commitment_Fee*($I93-SUM($J93:AO93)+AO93)*AO$6*(AO12&gt;0)</f>
        <v>-0</v>
      </c>
      <c r="AP98" s="47" t="n">
        <f aca="false">-In_Commitment_Fee*($I93-SUM($J93:AP93)+AP93)*AP$6*(AP12&gt;0)</f>
        <v>-0</v>
      </c>
      <c r="AQ98" s="47" t="n">
        <f aca="false">-In_Commitment_Fee*($I93-SUM($J93:AQ93)+AQ93)*AQ$6*(AQ12&gt;0)</f>
        <v>-0</v>
      </c>
      <c r="AR98" s="47" t="n">
        <f aca="false">-In_Commitment_Fee*($I93-SUM($J93:AR93)+AR93)*AR$6*(AR12&gt;0)</f>
        <v>-0</v>
      </c>
      <c r="AS98" s="47" t="n">
        <f aca="false">-In_Commitment_Fee*($I93-SUM($J93:AS93)+AS93)*AS$6*(AS12&gt;0)</f>
        <v>-0</v>
      </c>
      <c r="AT98" s="47" t="n">
        <f aca="false">-In_Commitment_Fee*($I93-SUM($J93:AT93)+AT93)*AT$6*(AT12&gt;0)</f>
        <v>-0</v>
      </c>
      <c r="AU98" s="47" t="n">
        <f aca="false">-In_Commitment_Fee*($I93-SUM($J93:AU93)+AU93)*AU$6*(AU12&gt;0)</f>
        <v>-0</v>
      </c>
      <c r="AV98" s="47" t="n">
        <f aca="false">-In_Commitment_Fee*($I93-SUM($J93:AV93)+AV93)*AV$6*(AV12&gt;0)</f>
        <v>-0</v>
      </c>
      <c r="AW98" s="47" t="n">
        <f aca="false">-In_Commitment_Fee*($I93-SUM($J93:AW93)+AW93)*AW$6*(AW12&gt;0)</f>
        <v>-0</v>
      </c>
      <c r="AX98" s="47" t="n">
        <f aca="false">-In_Commitment_Fee*($I93-SUM($J93:AX93)+AX93)*AX$6*(AX12&gt;0)</f>
        <v>-0</v>
      </c>
      <c r="AY98" s="47" t="n">
        <f aca="false">-In_Commitment_Fee*($I93-SUM($J93:AY93)+AY93)*AY$6*(AY12&gt;0)</f>
        <v>-0</v>
      </c>
      <c r="AZ98" s="47" t="n">
        <f aca="false">-In_Commitment_Fee*($I93-SUM($J93:AZ93)+AZ93)*AZ$6*(AZ12&gt;0)</f>
        <v>-0</v>
      </c>
      <c r="BA98" s="47" t="n">
        <f aca="false">-In_Commitment_Fee*($I93-SUM($J93:BA93)+BA93)*BA$6*(BA12&gt;0)</f>
        <v>-0</v>
      </c>
      <c r="BB98" s="47" t="n">
        <f aca="false">-In_Commitment_Fee*($I93-SUM($J93:BB93)+BB93)*BB$6*(BB12&gt;0)</f>
        <v>-0</v>
      </c>
      <c r="BC98" s="47" t="n">
        <f aca="false">-In_Commitment_Fee*($I93-SUM($J93:BC93)+BC93)*BC$6*(BC12&gt;0)</f>
        <v>-0</v>
      </c>
      <c r="BD98" s="47" t="n">
        <f aca="false">-In_Commitment_Fee*($I93-SUM($J93:BD93)+BD93)*BD$6*(BD12&gt;0)</f>
        <v>-0</v>
      </c>
      <c r="BE98" s="47" t="n">
        <f aca="false">-In_Commitment_Fee*($I93-SUM($J93:BE93)+BE93)*BE$6*(BE12&gt;0)</f>
        <v>-0</v>
      </c>
      <c r="BF98" s="47" t="n">
        <f aca="false">-In_Commitment_Fee*($I93-SUM($J93:BF93)+BF93)*BF$6*(BF12&gt;0)</f>
        <v>-0</v>
      </c>
      <c r="BG98" s="47" t="n">
        <f aca="false">-In_Commitment_Fee*($I93-SUM($J93:BG93)+BG93)*BG$6*(BG12&gt;0)</f>
        <v>-0</v>
      </c>
      <c r="BH98" s="47" t="n">
        <f aca="false">-In_Commitment_Fee*($I93-SUM($J93:BH93)+BH93)*BH$6*(BH12&gt;0)</f>
        <v>-0</v>
      </c>
      <c r="BI98" s="47" t="n">
        <f aca="false">-In_Commitment_Fee*($I93-SUM($J93:BI93)+BI93)*BI$6*(BI12&gt;0)</f>
        <v>-0</v>
      </c>
      <c r="BJ98" s="47" t="n">
        <f aca="false">-In_Commitment_Fee*($I93-SUM($J93:BJ93)+BJ93)*BJ$6*(BJ12&gt;0)</f>
        <v>-0</v>
      </c>
      <c r="BK98" s="47" t="n">
        <f aca="false">-In_Commitment_Fee*($I93-SUM($J93:BK93)+BK93)*BK$6*(BK12&gt;0)</f>
        <v>-0</v>
      </c>
      <c r="BL98" s="47" t="n">
        <f aca="false">-In_Commitment_Fee*($I93-SUM($J93:BL93)+BL93)*BL$6*(BL12&gt;0)</f>
        <v>-0</v>
      </c>
      <c r="BM98" s="47" t="n">
        <f aca="false">-In_Commitment_Fee*($I93-SUM($J93:BM93)+BM93)*BM$6*(BM12&gt;0)</f>
        <v>-0</v>
      </c>
      <c r="BN98" s="47" t="n">
        <f aca="false">-In_Commitment_Fee*($I93-SUM($J93:BN93)+BN93)*BN$6*(BN12&gt;0)</f>
        <v>-0</v>
      </c>
      <c r="BO98" s="47" t="n">
        <f aca="false">-In_Commitment_Fee*($I93-SUM($J93:BO93)+BO93)*BO$6*(BO12&gt;0)</f>
        <v>-0</v>
      </c>
      <c r="BP98" s="47" t="n">
        <f aca="false">-In_Commitment_Fee*($I93-SUM($J93:BP93)+BP93)*BP$6*(BP12&gt;0)</f>
        <v>-0</v>
      </c>
      <c r="BQ98" s="47" t="n">
        <f aca="false">-In_Commitment_Fee*($I93-SUM($J93:BQ93)+BQ93)*BQ$6*(BQ12&gt;0)</f>
        <v>-0</v>
      </c>
      <c r="BR98" s="47" t="n">
        <f aca="false">-In_Commitment_Fee*($I93-SUM($J93:BR93)+BR93)*BR$6*(BR12&gt;0)</f>
        <v>-0</v>
      </c>
      <c r="BS98" s="47" t="n">
        <f aca="false">-In_Commitment_Fee*($I93-SUM($J93:BS93)+BS93)*BS$6*(BS12&gt;0)</f>
        <v>-0</v>
      </c>
      <c r="BT98" s="47" t="n">
        <f aca="false">-In_Commitment_Fee*($I93-SUM($J93:BT93)+BT93)*BT$6*(BT12&gt;0)</f>
        <v>-0</v>
      </c>
      <c r="BU98" s="47" t="n">
        <f aca="false">-In_Commitment_Fee*($I93-SUM($J93:BU93)+BU93)*BU$6*(BU12&gt;0)</f>
        <v>-0</v>
      </c>
      <c r="BV98" s="47" t="n">
        <f aca="false">-In_Commitment_Fee*($I93-SUM($J93:BV93)+BV93)*BV$6*(BV12&gt;0)</f>
        <v>-0</v>
      </c>
      <c r="BW98" s="47" t="n">
        <f aca="false">-In_Commitment_Fee*($I93-SUM($J93:BW93)+BW93)*BW$6*(BW12&gt;0)</f>
        <v>-0</v>
      </c>
      <c r="BX98" s="47" t="n">
        <f aca="false">-In_Commitment_Fee*($I93-SUM($J93:BX93)+BX93)*BX$6*(BX12&gt;0)</f>
        <v>-0</v>
      </c>
      <c r="BY98" s="47" t="n">
        <f aca="false">-In_Commitment_Fee*($I93-SUM($J93:BY93)+BY93)*BY$6*(BY12&gt;0)</f>
        <v>-0</v>
      </c>
      <c r="BZ98" s="47" t="n">
        <f aca="false">-In_Commitment_Fee*($I93-SUM($J93:BZ93)+BZ93)*BZ$6*(BZ12&gt;0)</f>
        <v>-0</v>
      </c>
      <c r="CA98" s="47" t="n">
        <f aca="false">-In_Commitment_Fee*($I93-SUM($J93:CA93)+CA93)*CA$6*(CA12&gt;0)</f>
        <v>-0</v>
      </c>
      <c r="CB98" s="47" t="n">
        <f aca="false">-In_Commitment_Fee*($I93-SUM($J93:CB93)+CB93)*CB$6*(CB12&gt;0)</f>
        <v>-0</v>
      </c>
      <c r="CC98" s="47" t="n">
        <f aca="false">-In_Commitment_Fee*($I93-SUM($J93:CC93)+CC93)*CC$6*(CC12&gt;0)</f>
        <v>-0</v>
      </c>
      <c r="CD98" s="47" t="n">
        <f aca="false">-In_Commitment_Fee*($I93-SUM($J93:CD93)+CD93)*CD$6*(CD12&gt;0)</f>
        <v>-0</v>
      </c>
      <c r="CE98" s="47" t="n">
        <f aca="false">-In_Commitment_Fee*($I93-SUM($J93:CE93)+CE93)*CE$6*(CE12&gt;0)</f>
        <v>-0</v>
      </c>
      <c r="CF98" s="47" t="n">
        <f aca="false">-In_Commitment_Fee*($I93-SUM($J93:CF93)+CF93)*CF$6*(CF12&gt;0)</f>
        <v>-0</v>
      </c>
      <c r="CG98" s="47" t="n">
        <f aca="false">-In_Commitment_Fee*($I93-SUM($J93:CG93)+CG93)*CG$6*(CG12&gt;0)</f>
        <v>-0</v>
      </c>
      <c r="CH98" s="47" t="n">
        <f aca="false">-In_Commitment_Fee*($I93-SUM($J93:CH93)+CH93)*CH$6*(CH12&gt;0)</f>
        <v>-0</v>
      </c>
      <c r="CI98" s="47" t="n">
        <f aca="false">-In_Commitment_Fee*($I93-SUM($J93:CI93)+CI93)*CI$6*(CI12&gt;0)</f>
        <v>-0</v>
      </c>
      <c r="CJ98" s="47" t="n">
        <f aca="false">-In_Commitment_Fee*($I93-SUM($J93:CJ93)+CJ93)*CJ$6*(CJ12&gt;0)</f>
        <v>-0</v>
      </c>
      <c r="CK98" s="47" t="n">
        <f aca="false">-In_Commitment_Fee*($I93-SUM($J93:CK93)+CK93)*CK$6*(CK12&gt;0)</f>
        <v>-0</v>
      </c>
      <c r="CL98" s="47" t="n">
        <f aca="false">-In_Commitment_Fee*($I93-SUM($J93:CL93)+CL93)*CL$6*(CL12&gt;0)</f>
        <v>-0</v>
      </c>
      <c r="CM98" s="47" t="n">
        <f aca="false">-In_Commitment_Fee*($I93-SUM($J93:CM93)+CM93)*CM$6*(CM12&gt;0)</f>
        <v>-0</v>
      </c>
      <c r="CN98" s="47" t="n">
        <f aca="false">-In_Commitment_Fee*($I93-SUM($J93:CN93)+CN93)*CN$6*(CN12&gt;0)</f>
        <v>-0</v>
      </c>
      <c r="CO98" s="47" t="n">
        <f aca="false">-In_Commitment_Fee*($I93-SUM($J93:CO93)+CO93)*CO$6*(CO12&gt;0)</f>
        <v>-0</v>
      </c>
      <c r="CP98" s="47" t="n">
        <f aca="false">-In_Commitment_Fee*($I93-SUM($J93:CP93)+CP93)*CP$6*(CP12&gt;0)</f>
        <v>-0</v>
      </c>
      <c r="CQ98" s="47" t="n">
        <f aca="false">-In_Commitment_Fee*($I93-SUM($J93:CQ93)+CQ93)*CQ$6*(CQ12&gt;0)</f>
        <v>-0</v>
      </c>
      <c r="CR98" s="47" t="n">
        <f aca="false">-In_Commitment_Fee*($I93-SUM($J93:CR93)+CR93)*CR$6*(CR12&gt;0)</f>
        <v>-0</v>
      </c>
      <c r="CS98" s="47" t="n">
        <f aca="false">-In_Commitment_Fee*($I93-SUM($J93:CS93)+CS93)*CS$6*(CS12&gt;0)</f>
        <v>-0</v>
      </c>
      <c r="CT98" s="47" t="n">
        <f aca="false">-In_Commitment_Fee*($I93-SUM($J93:CT93)+CT93)*CT$6*(CT12&gt;0)</f>
        <v>-0</v>
      </c>
      <c r="CU98" s="47" t="n">
        <f aca="false">-In_Commitment_Fee*($I93-SUM($J93:CU93)+CU93)*CU$6*(CU12&gt;0)</f>
        <v>-0</v>
      </c>
      <c r="CV98" s="47" t="n">
        <f aca="false">-In_Commitment_Fee*($I93-SUM($J93:CV93)+CV93)*CV$6*(CV12&gt;0)</f>
        <v>-0</v>
      </c>
      <c r="CW98" s="47" t="n">
        <f aca="false">-In_Commitment_Fee*($I93-SUM($J93:CW93)+CW93)*CW$6*(CW12&gt;0)</f>
        <v>-0</v>
      </c>
      <c r="CX98" s="47" t="n">
        <f aca="false">-In_Commitment_Fee*($I93-SUM($J93:CX93)+CX93)*CX$6*(CX12&gt;0)</f>
        <v>-0</v>
      </c>
      <c r="CY98" s="47" t="n">
        <f aca="false">-In_Commitment_Fee*($I93-SUM($J93:CY93)+CY93)*CY$6*(CY12&gt;0)</f>
        <v>-0</v>
      </c>
      <c r="CZ98" s="47" t="n">
        <f aca="false">-In_Commitment_Fee*($I93-SUM($J93:CZ93)+CZ93)*CZ$6*(CZ12&gt;0)</f>
        <v>-0</v>
      </c>
      <c r="DA98" s="47" t="n">
        <f aca="false">-In_Commitment_Fee*($I93-SUM($J93:DA93)+DA93)*DA$6*(DA12&gt;0)</f>
        <v>-0</v>
      </c>
      <c r="DB98" s="47" t="n">
        <f aca="false">-In_Commitment_Fee*($I93-SUM($J93:DB93)+DB93)*DB$6*(DB12&gt;0)</f>
        <v>-0</v>
      </c>
      <c r="DC98" s="47" t="n">
        <f aca="false">-In_Commitment_Fee*($I93-SUM($J93:DC93)+DC93)*DC$6*(DC12&gt;0)</f>
        <v>-0</v>
      </c>
      <c r="DD98" s="47" t="n">
        <f aca="false">-In_Commitment_Fee*($I93-SUM($J93:DD93)+DD93)*DD$6*(DD12&gt;0)</f>
        <v>-0</v>
      </c>
      <c r="DE98" s="47" t="n">
        <f aca="false">-In_Commitment_Fee*($I93-SUM($J93:DE93)+DE93)*DE$6*(DE12&gt;0)</f>
        <v>-0</v>
      </c>
      <c r="DF98" s="47" t="n">
        <f aca="false">-In_Commitment_Fee*($I93-SUM($J93:DF93)+DF93)*DF$6*(DF12&gt;0)</f>
        <v>-0</v>
      </c>
      <c r="DG98" s="47" t="n">
        <f aca="false">-In_Commitment_Fee*($I93-SUM($J93:DG93)+DG93)*DG$6*(DG12&gt;0)</f>
        <v>-0</v>
      </c>
      <c r="DH98" s="47" t="n">
        <f aca="false">-In_Commitment_Fee*($I93-SUM($J93:DH93)+DH93)*DH$6*(DH12&gt;0)</f>
        <v>-0</v>
      </c>
      <c r="DI98" s="47" t="n">
        <f aca="false">-In_Commitment_Fee*($I93-SUM($J93:DI93)+DI93)*DI$6*(DI12&gt;0)</f>
        <v>-0</v>
      </c>
      <c r="DJ98" s="47" t="n">
        <f aca="false">-In_Commitment_Fee*($I93-SUM($J93:DJ93)+DJ93)*DJ$6*(DJ12&gt;0)</f>
        <v>-0</v>
      </c>
      <c r="DK98" s="47" t="n">
        <f aca="false">-In_Commitment_Fee*($I93-SUM($J93:DK93)+DK93)*DK$6*(DK12&gt;0)</f>
        <v>-0</v>
      </c>
      <c r="DL98" s="47" t="n">
        <f aca="false">-In_Commitment_Fee*($I93-SUM($J93:DL93)+DL93)*DL$6*(DL12&gt;0)</f>
        <v>-0</v>
      </c>
      <c r="DM98" s="47" t="n">
        <f aca="false">-In_Commitment_Fee*($I93-SUM($J93:DM93)+DM93)*DM$6*(DM12&gt;0)</f>
        <v>-0</v>
      </c>
      <c r="DN98" s="47" t="n">
        <f aca="false">-In_Commitment_Fee*($I93-SUM($J93:DN93)+DN93)*DN$6*(DN12&gt;0)</f>
        <v>-0</v>
      </c>
      <c r="DO98" s="47" t="n">
        <f aca="false">-In_Commitment_Fee*($I93-SUM($J93:DO93)+DO93)*DO$6*(DO12&gt;0)</f>
        <v>-0</v>
      </c>
      <c r="DP98" s="47" t="n">
        <f aca="false">-In_Commitment_Fee*($I93-SUM($J93:DP93)+DP93)*DP$6*(DP12&gt;0)</f>
        <v>-0</v>
      </c>
      <c r="DQ98" s="47" t="n">
        <f aca="false">-In_Commitment_Fee*($I93-SUM($J93:DQ93)+DQ93)*DQ$6*(DQ12&gt;0)</f>
        <v>-0</v>
      </c>
      <c r="DR98" s="47" t="n">
        <f aca="false">-In_Commitment_Fee*($I93-SUM($J93:DR93)+DR93)*DR$6*(DR12&gt;0)</f>
        <v>-0</v>
      </c>
      <c r="DS98" s="47" t="n">
        <f aca="false">-In_Commitment_Fee*($I93-SUM($J93:DS93)+DS93)*DS$6*(DS12&gt;0)</f>
        <v>-0</v>
      </c>
      <c r="DT98" s="47" t="n">
        <f aca="false">-In_Commitment_Fee*($I93-SUM($J93:DT93)+DT93)*DT$6*(DT12&gt;0)</f>
        <v>-0</v>
      </c>
      <c r="DU98" s="47" t="n">
        <f aca="false">-In_Commitment_Fee*($I93-SUM($J93:DU93)+DU93)*DU$6*(DU12&gt;0)</f>
        <v>-0</v>
      </c>
      <c r="DV98" s="47" t="n">
        <f aca="false">-In_Commitment_Fee*($I93-SUM($J93:DV93)+DV93)*DV$6*(DV12&gt;0)</f>
        <v>-0</v>
      </c>
      <c r="DW98" s="47" t="n">
        <f aca="false">-In_Commitment_Fee*($I93-SUM($J93:DW93)+DW93)*DW$6*(DW12&gt;0)</f>
        <v>-0</v>
      </c>
      <c r="DX98" s="47" t="n">
        <f aca="false">-In_Commitment_Fee*($I93-SUM($J93:DX93)+DX93)*DX$6*(DX12&gt;0)</f>
        <v>-0</v>
      </c>
      <c r="DY98" s="47" t="n">
        <f aca="false">-In_Commitment_Fee*($I93-SUM($J93:DY93)+DY93)*DY$6*(DY12&gt;0)</f>
        <v>-0</v>
      </c>
      <c r="DZ98" s="47" t="n">
        <f aca="false">-In_Commitment_Fee*($I93-SUM($J93:DZ93)+DZ93)*DZ$6*(DZ12&gt;0)</f>
        <v>-0</v>
      </c>
      <c r="EA98" s="47" t="n">
        <f aca="false">-In_Commitment_Fee*($I93-SUM($J93:EA93)+EA93)*EA$6*(EA12&gt;0)</f>
        <v>-0</v>
      </c>
      <c r="EB98" s="47" t="n">
        <f aca="false">-In_Commitment_Fee*($I93-SUM($J93:EB93)+EB93)*EB$6*(EB12&gt;0)</f>
        <v>-0</v>
      </c>
      <c r="EC98" s="47" t="n">
        <f aca="false">-In_Commitment_Fee*($I93-SUM($J93:EC93)+EC93)*EC$6*(EC12&gt;0)</f>
        <v>-0</v>
      </c>
      <c r="ED98" s="47" t="n">
        <f aca="false">-In_Commitment_Fee*($I93-SUM($J93:ED93)+ED93)*ED$6*(ED12&gt;0)</f>
        <v>-0</v>
      </c>
      <c r="EE98" s="47" t="n">
        <f aca="false">-In_Commitment_Fee*($I93-SUM($J93:EE93)+EE93)*EE$6*(EE12&gt;0)</f>
        <v>-0</v>
      </c>
      <c r="EF98" s="47" t="n">
        <f aca="false">-In_Commitment_Fee*($I93-SUM($J93:EF93)+EF93)*EF$6*(EF12&gt;0)</f>
        <v>-0</v>
      </c>
      <c r="EG98" s="47" t="n">
        <f aca="false">-In_Commitment_Fee*($I93-SUM($J93:EG93)+EG93)*EG$6*(EG12&gt;0)</f>
        <v>-0</v>
      </c>
      <c r="EH98" s="47" t="n">
        <f aca="false">-In_Commitment_Fee*($I93-SUM($J93:EH93)+EH93)*EH$6*(EH12&gt;0)</f>
        <v>-0</v>
      </c>
      <c r="EI98" s="47" t="n">
        <f aca="false">-In_Commitment_Fee*($I93-SUM($J93:EI93)+EI93)*EI$6*(EI12&gt;0)</f>
        <v>-0</v>
      </c>
      <c r="EJ98" s="47" t="n">
        <f aca="false">-In_Commitment_Fee*($I93-SUM($J93:EJ93)+EJ93)*EJ$6*(EJ12&gt;0)</f>
        <v>-0</v>
      </c>
      <c r="EK98" s="47" t="n">
        <f aca="false">-In_Commitment_Fee*($I93-SUM($J93:EK93)+EK93)*EK$6*(EK12&gt;0)</f>
        <v>-0</v>
      </c>
      <c r="EL98" s="47" t="n">
        <f aca="false">-In_Commitment_Fee*($I93-SUM($J93:EL93)+EL93)*EL$6*(EL12&gt;0)</f>
        <v>-0</v>
      </c>
      <c r="EM98" s="47" t="n">
        <f aca="false">-In_Commitment_Fee*($I93-SUM($J93:EM93)+EM93)*EM$6*(EM12&gt;0)</f>
        <v>-0</v>
      </c>
      <c r="EN98" s="47" t="n">
        <f aca="false">-In_Commitment_Fee*($I93-SUM($J93:EN93)+EN93)*EN$6*(EN12&gt;0)</f>
        <v>-0</v>
      </c>
      <c r="EO98" s="47" t="n">
        <f aca="false">-In_Commitment_Fee*($I93-SUM($J93:EO93)+EO93)*EO$6*(EO12&gt;0)</f>
        <v>-0</v>
      </c>
    </row>
    <row r="99" customFormat="false" ht="15" hidden="false" customHeight="false" outlineLevel="0" collapsed="false">
      <c r="C99" s="0" t="s">
        <v>462</v>
      </c>
      <c r="D99" s="11" t="s">
        <v>33</v>
      </c>
      <c r="E99" s="47" t="n">
        <f aca="false">-SUMIFS($J91:$EO91,$J$4:$EO$4,"&gt;"&amp;In_COD,$J$4:$EO$4,"&lt;="&amp;EDATE(In_COD,In_DSRA_Months))</f>
        <v>908.387447955559</v>
      </c>
      <c r="I99" s="47" t="n">
        <f aca="false">SUM(J99:EO99)</f>
        <v>0</v>
      </c>
      <c r="J99" s="47" t="n">
        <f aca="false">$E99*(J19-J14)</f>
        <v>0</v>
      </c>
      <c r="K99" s="47" t="n">
        <f aca="false">$E99*(K19-K14)</f>
        <v>0</v>
      </c>
      <c r="L99" s="47" t="n">
        <f aca="false">$E99*(L19-L14)</f>
        <v>0</v>
      </c>
      <c r="M99" s="47" t="n">
        <f aca="false">$E99*(M19-M14)</f>
        <v>0</v>
      </c>
      <c r="N99" s="47" t="n">
        <f aca="false">$E99*(N19-N14)</f>
        <v>0</v>
      </c>
      <c r="O99" s="47" t="n">
        <f aca="false">$E99*(O19-O14)</f>
        <v>0</v>
      </c>
      <c r="P99" s="47" t="n">
        <f aca="false">$E99*(P19-P14)</f>
        <v>0</v>
      </c>
      <c r="Q99" s="47" t="n">
        <f aca="false">$E99*(Q19-Q14)</f>
        <v>0</v>
      </c>
      <c r="R99" s="47" t="n">
        <f aca="false">$E99*(R19-R14)</f>
        <v>0</v>
      </c>
      <c r="S99" s="47" t="n">
        <f aca="false">$E99*(S19-S14)</f>
        <v>0</v>
      </c>
      <c r="T99" s="47" t="n">
        <f aca="false">$E99*(T19-T14)</f>
        <v>0</v>
      </c>
      <c r="U99" s="47" t="n">
        <f aca="false">$E99*(U19-U14)</f>
        <v>0</v>
      </c>
      <c r="V99" s="47" t="n">
        <f aca="false">$E99*(V19-V14)</f>
        <v>0</v>
      </c>
      <c r="W99" s="47" t="n">
        <f aca="false">$E99*(W19-W14)</f>
        <v>0</v>
      </c>
      <c r="X99" s="47" t="n">
        <f aca="false">$E99*(X19-X14)</f>
        <v>0</v>
      </c>
      <c r="Y99" s="47" t="n">
        <f aca="false">$E99*(Y19-Y14)</f>
        <v>-908.387447955559</v>
      </c>
      <c r="Z99" s="47" t="n">
        <f aca="false">$E99*(Z19-Z14)</f>
        <v>0</v>
      </c>
      <c r="AA99" s="47" t="n">
        <f aca="false">$E99*(AA19-AA14)</f>
        <v>0</v>
      </c>
      <c r="AB99" s="47" t="n">
        <f aca="false">$E99*(AB19-AB14)</f>
        <v>0</v>
      </c>
      <c r="AC99" s="47" t="n">
        <f aca="false">$E99*(AC19-AC14)</f>
        <v>0</v>
      </c>
      <c r="AD99" s="47" t="n">
        <f aca="false">$E99*(AD19-AD14)</f>
        <v>0</v>
      </c>
      <c r="AE99" s="47" t="n">
        <f aca="false">$E99*(AE19-AE14)</f>
        <v>0</v>
      </c>
      <c r="AF99" s="47" t="n">
        <f aca="false">$E99*(AF19-AF14)</f>
        <v>0</v>
      </c>
      <c r="AG99" s="47" t="n">
        <f aca="false">$E99*(AG19-AG14)</f>
        <v>0</v>
      </c>
      <c r="AH99" s="47" t="n">
        <f aca="false">$E99*(AH19-AH14)</f>
        <v>0</v>
      </c>
      <c r="AI99" s="47" t="n">
        <f aca="false">$E99*(AI19-AI14)</f>
        <v>0</v>
      </c>
      <c r="AJ99" s="47" t="n">
        <f aca="false">$E99*(AJ19-AJ14)</f>
        <v>0</v>
      </c>
      <c r="AK99" s="47" t="n">
        <f aca="false">$E99*(AK19-AK14)</f>
        <v>0</v>
      </c>
      <c r="AL99" s="47" t="n">
        <f aca="false">$E99*(AL19-AL14)</f>
        <v>0</v>
      </c>
      <c r="AM99" s="47" t="n">
        <f aca="false">$E99*(AM19-AM14)</f>
        <v>0</v>
      </c>
      <c r="AN99" s="47" t="n">
        <f aca="false">$E99*(AN19-AN14)</f>
        <v>0</v>
      </c>
      <c r="AO99" s="47" t="n">
        <f aca="false">$E99*(AO19-AO14)</f>
        <v>0</v>
      </c>
      <c r="AP99" s="47" t="n">
        <f aca="false">$E99*(AP19-AP14)</f>
        <v>0</v>
      </c>
      <c r="AQ99" s="47" t="n">
        <f aca="false">$E99*(AQ19-AQ14)</f>
        <v>0</v>
      </c>
      <c r="AR99" s="47" t="n">
        <f aca="false">$E99*(AR19-AR14)</f>
        <v>0</v>
      </c>
      <c r="AS99" s="47" t="n">
        <f aca="false">$E99*(AS19-AS14)</f>
        <v>0</v>
      </c>
      <c r="AT99" s="47" t="n">
        <f aca="false">$E99*(AT19-AT14)</f>
        <v>0</v>
      </c>
      <c r="AU99" s="47" t="n">
        <f aca="false">$E99*(AU19-AU14)</f>
        <v>0</v>
      </c>
      <c r="AV99" s="47" t="n">
        <f aca="false">$E99*(AV19-AV14)</f>
        <v>0</v>
      </c>
      <c r="AW99" s="47" t="n">
        <f aca="false">$E99*(AW19-AW14)</f>
        <v>0</v>
      </c>
      <c r="AX99" s="47" t="n">
        <f aca="false">$E99*(AX19-AX14)</f>
        <v>0</v>
      </c>
      <c r="AY99" s="47" t="n">
        <f aca="false">$E99*(AY19-AY14)</f>
        <v>0</v>
      </c>
      <c r="AZ99" s="47" t="n">
        <f aca="false">$E99*(AZ19-AZ14)</f>
        <v>0</v>
      </c>
      <c r="BA99" s="47" t="n">
        <f aca="false">$E99*(BA19-BA14)</f>
        <v>0</v>
      </c>
      <c r="BB99" s="47" t="n">
        <f aca="false">$E99*(BB19-BB14)</f>
        <v>0</v>
      </c>
      <c r="BC99" s="47" t="n">
        <f aca="false">$E99*(BC19-BC14)</f>
        <v>0</v>
      </c>
      <c r="BD99" s="47" t="n">
        <f aca="false">$E99*(BD19-BD14)</f>
        <v>0</v>
      </c>
      <c r="BE99" s="47" t="n">
        <f aca="false">$E99*(BE19-BE14)</f>
        <v>0</v>
      </c>
      <c r="BF99" s="47" t="n">
        <f aca="false">$E99*(BF19-BF14)</f>
        <v>0</v>
      </c>
      <c r="BG99" s="47" t="n">
        <f aca="false">$E99*(BG19-BG14)</f>
        <v>0</v>
      </c>
      <c r="BH99" s="47" t="n">
        <f aca="false">$E99*(BH19-BH14)</f>
        <v>0</v>
      </c>
      <c r="BI99" s="47" t="n">
        <f aca="false">$E99*(BI19-BI14)</f>
        <v>0</v>
      </c>
      <c r="BJ99" s="47" t="n">
        <f aca="false">$E99*(BJ19-BJ14)</f>
        <v>0</v>
      </c>
      <c r="BK99" s="47" t="n">
        <f aca="false">$E99*(BK19-BK14)</f>
        <v>0</v>
      </c>
      <c r="BL99" s="47" t="n">
        <f aca="false">$E99*(BL19-BL14)</f>
        <v>0</v>
      </c>
      <c r="BM99" s="47" t="n">
        <f aca="false">$E99*(BM19-BM14)</f>
        <v>0</v>
      </c>
      <c r="BN99" s="47" t="n">
        <f aca="false">$E99*(BN19-BN14)</f>
        <v>0</v>
      </c>
      <c r="BO99" s="47" t="n">
        <f aca="false">$E99*(BO19-BO14)</f>
        <v>0</v>
      </c>
      <c r="BP99" s="47" t="n">
        <f aca="false">$E99*(BP19-BP14)</f>
        <v>0</v>
      </c>
      <c r="BQ99" s="47" t="n">
        <f aca="false">$E99*(BQ19-BQ14)</f>
        <v>0</v>
      </c>
      <c r="BR99" s="47" t="n">
        <f aca="false">$E99*(BR19-BR14)</f>
        <v>0</v>
      </c>
      <c r="BS99" s="47" t="n">
        <f aca="false">$E99*(BS19-BS14)</f>
        <v>0</v>
      </c>
      <c r="BT99" s="47" t="n">
        <f aca="false">$E99*(BT19-BT14)</f>
        <v>0</v>
      </c>
      <c r="BU99" s="47" t="n">
        <f aca="false">$E99*(BU19-BU14)</f>
        <v>0</v>
      </c>
      <c r="BV99" s="47" t="n">
        <f aca="false">$E99*(BV19-BV14)</f>
        <v>0</v>
      </c>
      <c r="BW99" s="47" t="n">
        <f aca="false">$E99*(BW19-BW14)</f>
        <v>0</v>
      </c>
      <c r="BX99" s="47" t="n">
        <f aca="false">$E99*(BX19-BX14)</f>
        <v>0</v>
      </c>
      <c r="BY99" s="47" t="n">
        <f aca="false">$E99*(BY19-BY14)</f>
        <v>0</v>
      </c>
      <c r="BZ99" s="47" t="n">
        <f aca="false">$E99*(BZ19-BZ14)</f>
        <v>0</v>
      </c>
      <c r="CA99" s="47" t="n">
        <f aca="false">$E99*(CA19-CA14)</f>
        <v>0</v>
      </c>
      <c r="CB99" s="47" t="n">
        <f aca="false">$E99*(CB19-CB14)</f>
        <v>0</v>
      </c>
      <c r="CC99" s="47" t="n">
        <f aca="false">$E99*(CC19-CC14)</f>
        <v>0</v>
      </c>
      <c r="CD99" s="47" t="n">
        <f aca="false">$E99*(CD19-CD14)</f>
        <v>0</v>
      </c>
      <c r="CE99" s="47" t="n">
        <f aca="false">$E99*(CE19-CE14)</f>
        <v>0</v>
      </c>
      <c r="CF99" s="47" t="n">
        <f aca="false">$E99*(CF19-CF14)</f>
        <v>0</v>
      </c>
      <c r="CG99" s="47" t="n">
        <f aca="false">$E99*(CG19-CG14)</f>
        <v>0</v>
      </c>
      <c r="CH99" s="47" t="n">
        <f aca="false">$E99*(CH19-CH14)</f>
        <v>0</v>
      </c>
      <c r="CI99" s="47" t="n">
        <f aca="false">$E99*(CI19-CI14)</f>
        <v>0</v>
      </c>
      <c r="CJ99" s="47" t="n">
        <f aca="false">$E99*(CJ19-CJ14)</f>
        <v>0</v>
      </c>
      <c r="CK99" s="47" t="n">
        <f aca="false">$E99*(CK19-CK14)</f>
        <v>0</v>
      </c>
      <c r="CL99" s="47" t="n">
        <f aca="false">$E99*(CL19-CL14)</f>
        <v>0</v>
      </c>
      <c r="CM99" s="47" t="n">
        <f aca="false">$E99*(CM19-CM14)</f>
        <v>0</v>
      </c>
      <c r="CN99" s="47" t="n">
        <f aca="false">$E99*(CN19-CN14)</f>
        <v>0</v>
      </c>
      <c r="CO99" s="47" t="n">
        <f aca="false">$E99*(CO19-CO14)</f>
        <v>0</v>
      </c>
      <c r="CP99" s="47" t="n">
        <f aca="false">$E99*(CP19-CP14)</f>
        <v>0</v>
      </c>
      <c r="CQ99" s="47" t="n">
        <f aca="false">$E99*(CQ19-CQ14)</f>
        <v>0</v>
      </c>
      <c r="CR99" s="47" t="n">
        <f aca="false">$E99*(CR19-CR14)</f>
        <v>0</v>
      </c>
      <c r="CS99" s="47" t="n">
        <f aca="false">$E99*(CS19-CS14)</f>
        <v>908.387447955559</v>
      </c>
      <c r="CT99" s="47" t="n">
        <f aca="false">$E99*(CT19-CT14)</f>
        <v>0</v>
      </c>
      <c r="CU99" s="47" t="n">
        <f aca="false">$E99*(CU19-CU14)</f>
        <v>0</v>
      </c>
      <c r="CV99" s="47" t="n">
        <f aca="false">$E99*(CV19-CV14)</f>
        <v>0</v>
      </c>
      <c r="CW99" s="47" t="n">
        <f aca="false">$E99*(CW19-CW14)</f>
        <v>0</v>
      </c>
      <c r="CX99" s="47" t="n">
        <f aca="false">$E99*(CX19-CX14)</f>
        <v>0</v>
      </c>
      <c r="CY99" s="47" t="n">
        <f aca="false">$E99*(CY19-CY14)</f>
        <v>0</v>
      </c>
      <c r="CZ99" s="47" t="n">
        <f aca="false">$E99*(CZ19-CZ14)</f>
        <v>0</v>
      </c>
      <c r="DA99" s="47" t="n">
        <f aca="false">$E99*(DA19-DA14)</f>
        <v>0</v>
      </c>
      <c r="DB99" s="47" t="n">
        <f aca="false">$E99*(DB19-DB14)</f>
        <v>0</v>
      </c>
      <c r="DC99" s="47" t="n">
        <f aca="false">$E99*(DC19-DC14)</f>
        <v>0</v>
      </c>
      <c r="DD99" s="47" t="n">
        <f aca="false">$E99*(DD19-DD14)</f>
        <v>0</v>
      </c>
      <c r="DE99" s="47" t="n">
        <f aca="false">$E99*(DE19-DE14)</f>
        <v>0</v>
      </c>
      <c r="DF99" s="47" t="n">
        <f aca="false">$E99*(DF19-DF14)</f>
        <v>0</v>
      </c>
      <c r="DG99" s="47" t="n">
        <f aca="false">$E99*(DG19-DG14)</f>
        <v>0</v>
      </c>
      <c r="DH99" s="47" t="n">
        <f aca="false">$E99*(DH19-DH14)</f>
        <v>0</v>
      </c>
      <c r="DI99" s="47" t="n">
        <f aca="false">$E99*(DI19-DI14)</f>
        <v>0</v>
      </c>
      <c r="DJ99" s="47" t="n">
        <f aca="false">$E99*(DJ19-DJ14)</f>
        <v>0</v>
      </c>
      <c r="DK99" s="47" t="n">
        <f aca="false">$E99*(DK19-DK14)</f>
        <v>0</v>
      </c>
      <c r="DL99" s="47" t="n">
        <f aca="false">$E99*(DL19-DL14)</f>
        <v>0</v>
      </c>
      <c r="DM99" s="47" t="n">
        <f aca="false">$E99*(DM19-DM14)</f>
        <v>0</v>
      </c>
      <c r="DN99" s="47" t="n">
        <f aca="false">$E99*(DN19-DN14)</f>
        <v>0</v>
      </c>
      <c r="DO99" s="47" t="n">
        <f aca="false">$E99*(DO19-DO14)</f>
        <v>0</v>
      </c>
      <c r="DP99" s="47" t="n">
        <f aca="false">$E99*(DP19-DP14)</f>
        <v>0</v>
      </c>
      <c r="DQ99" s="47" t="n">
        <f aca="false">$E99*(DQ19-DQ14)</f>
        <v>0</v>
      </c>
      <c r="DR99" s="47" t="n">
        <f aca="false">$E99*(DR19-DR14)</f>
        <v>0</v>
      </c>
      <c r="DS99" s="47" t="n">
        <f aca="false">$E99*(DS19-DS14)</f>
        <v>0</v>
      </c>
      <c r="DT99" s="47" t="n">
        <f aca="false">$E99*(DT19-DT14)</f>
        <v>0</v>
      </c>
      <c r="DU99" s="47" t="n">
        <f aca="false">$E99*(DU19-DU14)</f>
        <v>0</v>
      </c>
      <c r="DV99" s="47" t="n">
        <f aca="false">$E99*(DV19-DV14)</f>
        <v>0</v>
      </c>
      <c r="DW99" s="47" t="n">
        <f aca="false">$E99*(DW19-DW14)</f>
        <v>0</v>
      </c>
      <c r="DX99" s="47" t="n">
        <f aca="false">$E99*(DX19-DX14)</f>
        <v>0</v>
      </c>
      <c r="DY99" s="47" t="n">
        <f aca="false">$E99*(DY19-DY14)</f>
        <v>0</v>
      </c>
      <c r="DZ99" s="47" t="n">
        <f aca="false">$E99*(DZ19-DZ14)</f>
        <v>0</v>
      </c>
      <c r="EA99" s="47" t="n">
        <f aca="false">$E99*(EA19-EA14)</f>
        <v>0</v>
      </c>
      <c r="EB99" s="47" t="n">
        <f aca="false">$E99*(EB19-EB14)</f>
        <v>0</v>
      </c>
      <c r="EC99" s="47" t="n">
        <f aca="false">$E99*(EC19-EC14)</f>
        <v>0</v>
      </c>
      <c r="ED99" s="47" t="n">
        <f aca="false">$E99*(ED19-ED14)</f>
        <v>0</v>
      </c>
      <c r="EE99" s="47" t="n">
        <f aca="false">$E99*(EE19-EE14)</f>
        <v>0</v>
      </c>
      <c r="EF99" s="47" t="n">
        <f aca="false">$E99*(EF19-EF14)</f>
        <v>0</v>
      </c>
      <c r="EG99" s="47" t="n">
        <f aca="false">$E99*(EG19-EG14)</f>
        <v>0</v>
      </c>
      <c r="EH99" s="47" t="n">
        <f aca="false">$E99*(EH19-EH14)</f>
        <v>0</v>
      </c>
      <c r="EI99" s="47" t="n">
        <f aca="false">$E99*(EI19-EI14)</f>
        <v>0</v>
      </c>
      <c r="EJ99" s="47" t="n">
        <f aca="false">$E99*(EJ19-EJ14)</f>
        <v>0</v>
      </c>
      <c r="EK99" s="47" t="n">
        <f aca="false">$E99*(EK19-EK14)</f>
        <v>0</v>
      </c>
      <c r="EL99" s="47" t="n">
        <f aca="false">$E99*(EL19-EL14)</f>
        <v>0</v>
      </c>
      <c r="EM99" s="47" t="n">
        <f aca="false">$E99*(EM19-EM14)</f>
        <v>0</v>
      </c>
      <c r="EN99" s="47" t="n">
        <f aca="false">$E99*(EN19-EN14)</f>
        <v>0</v>
      </c>
      <c r="EO99" s="47" t="n">
        <f aca="false">$E99*(EO19-EO14)</f>
        <v>0</v>
      </c>
    </row>
    <row r="100" customFormat="false" ht="15" hidden="false" customHeight="false" outlineLevel="0" collapsed="false">
      <c r="C100" s="0" t="s">
        <v>463</v>
      </c>
      <c r="D100" s="11" t="s">
        <v>13</v>
      </c>
      <c r="E100" s="52" t="n">
        <f aca="false">MIN($J100:$EO100)</f>
        <v>2.53300130461815</v>
      </c>
      <c r="J100" s="52" t="str">
        <f aca="false">IF(J91&lt;0,J84/-J91,"")</f>
        <v/>
      </c>
      <c r="K100" s="52" t="str">
        <f aca="false">IF(K91&lt;0,K84/-K91,"")</f>
        <v/>
      </c>
      <c r="L100" s="52" t="str">
        <f aca="false">IF(L91&lt;0,L84/-L91,"")</f>
        <v/>
      </c>
      <c r="M100" s="52" t="str">
        <f aca="false">IF(M91&lt;0,M84/-M91,"")</f>
        <v/>
      </c>
      <c r="N100" s="52" t="str">
        <f aca="false">IF(N91&lt;0,N84/-N91,"")</f>
        <v/>
      </c>
      <c r="O100" s="52" t="str">
        <f aca="false">IF(O91&lt;0,O84/-O91,"")</f>
        <v/>
      </c>
      <c r="P100" s="52" t="str">
        <f aca="false">IF(P91&lt;0,P84/-P91,"")</f>
        <v/>
      </c>
      <c r="Q100" s="52" t="str">
        <f aca="false">IF(Q91&lt;0,Q84/-Q91,"")</f>
        <v/>
      </c>
      <c r="R100" s="52" t="str">
        <f aca="false">IF(R91&lt;0,R84/-R91,"")</f>
        <v/>
      </c>
      <c r="S100" s="52" t="str">
        <f aca="false">IF(S91&lt;0,S84/-S91,"")</f>
        <v/>
      </c>
      <c r="T100" s="52" t="str">
        <f aca="false">IF(T91&lt;0,T84/-T91,"")</f>
        <v/>
      </c>
      <c r="U100" s="52" t="str">
        <f aca="false">IF(U91&lt;0,U84/-U91,"")</f>
        <v/>
      </c>
      <c r="V100" s="52" t="str">
        <f aca="false">IF(V91&lt;0,V84/-V91,"")</f>
        <v/>
      </c>
      <c r="W100" s="52" t="str">
        <f aca="false">IF(W91&lt;0,W84/-W91,"")</f>
        <v/>
      </c>
      <c r="X100" s="52" t="str">
        <f aca="false">IF(X91&lt;0,X84/-X91,"")</f>
        <v/>
      </c>
      <c r="Y100" s="52" t="str">
        <f aca="false">IF(Y91&lt;0,Y84/-Y91,"")</f>
        <v/>
      </c>
      <c r="Z100" s="52" t="n">
        <f aca="false">IF(Z91&lt;0,Z84/-Z91,"")</f>
        <v>2.53300130461815</v>
      </c>
      <c r="AA100" s="52" t="n">
        <f aca="false">IF(AA91&lt;0,AA84/-AA91,"")</f>
        <v>2.53300130461815</v>
      </c>
      <c r="AB100" s="52" t="n">
        <f aca="false">IF(AB91&lt;0,AB84/-AB91,"")</f>
        <v>2.53300130461815</v>
      </c>
      <c r="AC100" s="52" t="n">
        <f aca="false">IF(AC91&lt;0,AC84/-AC91,"")</f>
        <v>2.53300130461815</v>
      </c>
      <c r="AD100" s="52" t="n">
        <f aca="false">IF(AD91&lt;0,AD84/-AD91,"")</f>
        <v>2.53300130461815</v>
      </c>
      <c r="AE100" s="52" t="n">
        <f aca="false">IF(AE91&lt;0,AE84/-AE91,"")</f>
        <v>2.53300130461815</v>
      </c>
      <c r="AF100" s="52" t="n">
        <f aca="false">IF(AF91&lt;0,AF84/-AF91,"")</f>
        <v>2.53300130461815</v>
      </c>
      <c r="AG100" s="52" t="n">
        <f aca="false">IF(AG91&lt;0,AG84/-AG91,"")</f>
        <v>2.53300130461815</v>
      </c>
      <c r="AH100" s="52" t="n">
        <f aca="false">IF(AH91&lt;0,AH84/-AH91,"")</f>
        <v>2.53300130461815</v>
      </c>
      <c r="AI100" s="52" t="n">
        <f aca="false">IF(AI91&lt;0,AI84/-AI91,"")</f>
        <v>2.53300130461815</v>
      </c>
      <c r="AJ100" s="52" t="n">
        <f aca="false">IF(AJ91&lt;0,AJ84/-AJ91,"")</f>
        <v>2.53300130461815</v>
      </c>
      <c r="AK100" s="52" t="n">
        <f aca="false">IF(AK91&lt;0,AK84/-AK91,"")</f>
        <v>2.53300130461815</v>
      </c>
      <c r="AL100" s="52" t="n">
        <f aca="false">IF(AL91&lt;0,AL84/-AL91,"")</f>
        <v>2.53300130461815</v>
      </c>
      <c r="AM100" s="52" t="n">
        <f aca="false">IF(AM91&lt;0,AM84/-AM91,"")</f>
        <v>2.53300130461815</v>
      </c>
      <c r="AN100" s="52" t="n">
        <f aca="false">IF(AN91&lt;0,AN84/-AN91,"")</f>
        <v>2.53300130461815</v>
      </c>
      <c r="AO100" s="52" t="n">
        <f aca="false">IF(AO91&lt;0,AO84/-AO91,"")</f>
        <v>2.53300130461815</v>
      </c>
      <c r="AP100" s="52" t="n">
        <f aca="false">IF(AP91&lt;0,AP84/-AP91,"")</f>
        <v>2.53300130461815</v>
      </c>
      <c r="AQ100" s="52" t="n">
        <f aca="false">IF(AQ91&lt;0,AQ84/-AQ91,"")</f>
        <v>2.53300130461815</v>
      </c>
      <c r="AR100" s="52" t="n">
        <f aca="false">IF(AR91&lt;0,AR84/-AR91,"")</f>
        <v>2.53300130461815</v>
      </c>
      <c r="AS100" s="52" t="n">
        <f aca="false">IF(AS91&lt;0,AS84/-AS91,"")</f>
        <v>2.53300130461815</v>
      </c>
      <c r="AT100" s="52" t="n">
        <f aca="false">IF(AT91&lt;0,AT84/-AT91,"")</f>
        <v>2.53300130461815</v>
      </c>
      <c r="AU100" s="52" t="n">
        <f aca="false">IF(AU91&lt;0,AU84/-AU91,"")</f>
        <v>2.53300130461815</v>
      </c>
      <c r="AV100" s="52" t="n">
        <f aca="false">IF(AV91&lt;0,AV84/-AV91,"")</f>
        <v>2.53300130461815</v>
      </c>
      <c r="AW100" s="52" t="n">
        <f aca="false">IF(AW91&lt;0,AW84/-AW91,"")</f>
        <v>2.53300130461815</v>
      </c>
      <c r="AX100" s="52" t="n">
        <f aca="false">IF(AX91&lt;0,AX84/-AX91,"")</f>
        <v>2.53300130461815</v>
      </c>
      <c r="AY100" s="52" t="n">
        <f aca="false">IF(AY91&lt;0,AY84/-AY91,"")</f>
        <v>2.53300130461815</v>
      </c>
      <c r="AZ100" s="52" t="n">
        <f aca="false">IF(AZ91&lt;0,AZ84/-AZ91,"")</f>
        <v>2.53300130461815</v>
      </c>
      <c r="BA100" s="52" t="n">
        <f aca="false">IF(BA91&lt;0,BA84/-BA91,"")</f>
        <v>2.53300130461815</v>
      </c>
      <c r="BB100" s="52" t="n">
        <f aca="false">IF(BB91&lt;0,BB84/-BB91,"")</f>
        <v>2.53300130461815</v>
      </c>
      <c r="BC100" s="52" t="n">
        <f aca="false">IF(BC91&lt;0,BC84/-BC91,"")</f>
        <v>2.53300130461815</v>
      </c>
      <c r="BD100" s="52" t="n">
        <f aca="false">IF(BD91&lt;0,BD84/-BD91,"")</f>
        <v>2.53300130461815</v>
      </c>
      <c r="BE100" s="52" t="n">
        <f aca="false">IF(BE91&lt;0,BE84/-BE91,"")</f>
        <v>2.53300130461815</v>
      </c>
      <c r="BF100" s="52" t="n">
        <f aca="false">IF(BF91&lt;0,BF84/-BF91,"")</f>
        <v>2.53300130461815</v>
      </c>
      <c r="BG100" s="52" t="n">
        <f aca="false">IF(BG91&lt;0,BG84/-BG91,"")</f>
        <v>2.53300130461815</v>
      </c>
      <c r="BH100" s="52" t="n">
        <f aca="false">IF(BH91&lt;0,BH84/-BH91,"")</f>
        <v>2.53300130461815</v>
      </c>
      <c r="BI100" s="52" t="n">
        <f aca="false">IF(BI91&lt;0,BI84/-BI91,"")</f>
        <v>2.53300130461815</v>
      </c>
      <c r="BJ100" s="52" t="n">
        <f aca="false">IF(BJ91&lt;0,BJ84/-BJ91,"")</f>
        <v>2.53300130461815</v>
      </c>
      <c r="BK100" s="52" t="n">
        <f aca="false">IF(BK91&lt;0,BK84/-BK91,"")</f>
        <v>2.53300130461815</v>
      </c>
      <c r="BL100" s="52" t="n">
        <f aca="false">IF(BL91&lt;0,BL84/-BL91,"")</f>
        <v>2.53300130461815</v>
      </c>
      <c r="BM100" s="52" t="n">
        <f aca="false">IF(BM91&lt;0,BM84/-BM91,"")</f>
        <v>2.53300130461815</v>
      </c>
      <c r="BN100" s="52" t="n">
        <f aca="false">IF(BN91&lt;0,BN84/-BN91,"")</f>
        <v>2.53300130461815</v>
      </c>
      <c r="BO100" s="52" t="n">
        <f aca="false">IF(BO91&lt;0,BO84/-BO91,"")</f>
        <v>2.53300130461815</v>
      </c>
      <c r="BP100" s="52" t="n">
        <f aca="false">IF(BP91&lt;0,BP84/-BP91,"")</f>
        <v>2.53300130461815</v>
      </c>
      <c r="BQ100" s="52" t="n">
        <f aca="false">IF(BQ91&lt;0,BQ84/-BQ91,"")</f>
        <v>2.53300130461815</v>
      </c>
      <c r="BR100" s="52" t="n">
        <f aca="false">IF(BR91&lt;0,BR84/-BR91,"")</f>
        <v>2.53300130461815</v>
      </c>
      <c r="BS100" s="52" t="n">
        <f aca="false">IF(BS91&lt;0,BS84/-BS91,"")</f>
        <v>2.53300130461815</v>
      </c>
      <c r="BT100" s="52" t="n">
        <f aca="false">IF(BT91&lt;0,BT84/-BT91,"")</f>
        <v>2.53300130461815</v>
      </c>
      <c r="BU100" s="52" t="n">
        <f aca="false">IF(BU91&lt;0,BU84/-BU91,"")</f>
        <v>2.53300130461815</v>
      </c>
      <c r="BV100" s="52" t="n">
        <f aca="false">IF(BV91&lt;0,BV84/-BV91,"")</f>
        <v>2.53300130461815</v>
      </c>
      <c r="BW100" s="52" t="n">
        <f aca="false">IF(BW91&lt;0,BW84/-BW91,"")</f>
        <v>2.53300130461815</v>
      </c>
      <c r="BX100" s="52" t="n">
        <f aca="false">IF(BX91&lt;0,BX84/-BX91,"")</f>
        <v>2.53300130461815</v>
      </c>
      <c r="BY100" s="52" t="n">
        <f aca="false">IF(BY91&lt;0,BY84/-BY91,"")</f>
        <v>2.53300130461815</v>
      </c>
      <c r="BZ100" s="52" t="n">
        <f aca="false">IF(BZ91&lt;0,BZ84/-BZ91,"")</f>
        <v>2.53300130461815</v>
      </c>
      <c r="CA100" s="52" t="n">
        <f aca="false">IF(CA91&lt;0,CA84/-CA91,"")</f>
        <v>2.53300130461815</v>
      </c>
      <c r="CB100" s="52" t="n">
        <f aca="false">IF(CB91&lt;0,CB84/-CB91,"")</f>
        <v>2.53300130461815</v>
      </c>
      <c r="CC100" s="52" t="n">
        <f aca="false">IF(CC91&lt;0,CC84/-CC91,"")</f>
        <v>2.53300130461815</v>
      </c>
      <c r="CD100" s="52" t="n">
        <f aca="false">IF(CD91&lt;0,CD84/-CD91,"")</f>
        <v>2.53300130461815</v>
      </c>
      <c r="CE100" s="52" t="n">
        <f aca="false">IF(CE91&lt;0,CE84/-CE91,"")</f>
        <v>2.53300130461815</v>
      </c>
      <c r="CF100" s="52" t="n">
        <f aca="false">IF(CF91&lt;0,CF84/-CF91,"")</f>
        <v>2.53300130461815</v>
      </c>
      <c r="CG100" s="52" t="n">
        <f aca="false">IF(CG91&lt;0,CG84/-CG91,"")</f>
        <v>2.53300130461815</v>
      </c>
      <c r="CH100" s="52" t="n">
        <f aca="false">IF(CH91&lt;0,CH84/-CH91,"")</f>
        <v>2.53300130461815</v>
      </c>
      <c r="CI100" s="52" t="n">
        <f aca="false">IF(CI91&lt;0,CI84/-CI91,"")</f>
        <v>2.53300130461815</v>
      </c>
      <c r="CJ100" s="52" t="n">
        <f aca="false">IF(CJ91&lt;0,CJ84/-CJ91,"")</f>
        <v>2.53300130461815</v>
      </c>
      <c r="CK100" s="52" t="n">
        <f aca="false">IF(CK91&lt;0,CK84/-CK91,"")</f>
        <v>2.53300130461815</v>
      </c>
      <c r="CL100" s="52" t="n">
        <f aca="false">IF(CL91&lt;0,CL84/-CL91,"")</f>
        <v>2.53300130461815</v>
      </c>
      <c r="CM100" s="52" t="n">
        <f aca="false">IF(CM91&lt;0,CM84/-CM91,"")</f>
        <v>2.53300130461815</v>
      </c>
      <c r="CN100" s="52" t="n">
        <f aca="false">IF(CN91&lt;0,CN84/-CN91,"")</f>
        <v>2.53300130461815</v>
      </c>
      <c r="CO100" s="52" t="n">
        <f aca="false">IF(CO91&lt;0,CO84/-CO91,"")</f>
        <v>2.53300130461815</v>
      </c>
      <c r="CP100" s="52" t="n">
        <f aca="false">IF(CP91&lt;0,CP84/-CP91,"")</f>
        <v>2.53300130461815</v>
      </c>
      <c r="CQ100" s="52" t="n">
        <f aca="false">IF(CQ91&lt;0,CQ84/-CQ91,"")</f>
        <v>2.53300130461815</v>
      </c>
      <c r="CR100" s="52" t="n">
        <f aca="false">IF(CR91&lt;0,CR84/-CR91,"")</f>
        <v>2.53300130461815</v>
      </c>
      <c r="CS100" s="52" t="n">
        <f aca="false">IF(CS91&lt;0,CS84/-CS91,"")</f>
        <v>2.53300130461815</v>
      </c>
      <c r="CT100" s="52" t="str">
        <f aca="false">IF(CT91&lt;0,CT84/-CT91,"")</f>
        <v/>
      </c>
      <c r="CU100" s="52" t="str">
        <f aca="false">IF(CU91&lt;0,CU84/-CU91,"")</f>
        <v/>
      </c>
      <c r="CV100" s="52" t="str">
        <f aca="false">IF(CV91&lt;0,CV84/-CV91,"")</f>
        <v/>
      </c>
      <c r="CW100" s="52" t="str">
        <f aca="false">IF(CW91&lt;0,CW84/-CW91,"")</f>
        <v/>
      </c>
      <c r="CX100" s="52" t="str">
        <f aca="false">IF(CX91&lt;0,CX84/-CX91,"")</f>
        <v/>
      </c>
      <c r="CY100" s="52" t="str">
        <f aca="false">IF(CY91&lt;0,CY84/-CY91,"")</f>
        <v/>
      </c>
      <c r="CZ100" s="52" t="str">
        <f aca="false">IF(CZ91&lt;0,CZ84/-CZ91,"")</f>
        <v/>
      </c>
      <c r="DA100" s="52" t="str">
        <f aca="false">IF(DA91&lt;0,DA84/-DA91,"")</f>
        <v/>
      </c>
      <c r="DB100" s="52" t="str">
        <f aca="false">IF(DB91&lt;0,DB84/-DB91,"")</f>
        <v/>
      </c>
      <c r="DC100" s="52" t="str">
        <f aca="false">IF(DC91&lt;0,DC84/-DC91,"")</f>
        <v/>
      </c>
      <c r="DD100" s="52" t="str">
        <f aca="false">IF(DD91&lt;0,DD84/-DD91,"")</f>
        <v/>
      </c>
      <c r="DE100" s="52" t="str">
        <f aca="false">IF(DE91&lt;0,DE84/-DE91,"")</f>
        <v/>
      </c>
      <c r="DF100" s="52" t="str">
        <f aca="false">IF(DF91&lt;0,DF84/-DF91,"")</f>
        <v/>
      </c>
      <c r="DG100" s="52" t="str">
        <f aca="false">IF(DG91&lt;0,DG84/-DG91,"")</f>
        <v/>
      </c>
      <c r="DH100" s="52" t="str">
        <f aca="false">IF(DH91&lt;0,DH84/-DH91,"")</f>
        <v/>
      </c>
      <c r="DI100" s="52" t="str">
        <f aca="false">IF(DI91&lt;0,DI84/-DI91,"")</f>
        <v/>
      </c>
      <c r="DJ100" s="52" t="str">
        <f aca="false">IF(DJ91&lt;0,DJ84/-DJ91,"")</f>
        <v/>
      </c>
      <c r="DK100" s="52" t="str">
        <f aca="false">IF(DK91&lt;0,DK84/-DK91,"")</f>
        <v/>
      </c>
      <c r="DL100" s="52" t="str">
        <f aca="false">IF(DL91&lt;0,DL84/-DL91,"")</f>
        <v/>
      </c>
      <c r="DM100" s="52" t="str">
        <f aca="false">IF(DM91&lt;0,DM84/-DM91,"")</f>
        <v/>
      </c>
      <c r="DN100" s="52" t="str">
        <f aca="false">IF(DN91&lt;0,DN84/-DN91,"")</f>
        <v/>
      </c>
      <c r="DO100" s="52" t="str">
        <f aca="false">IF(DO91&lt;0,DO84/-DO91,"")</f>
        <v/>
      </c>
      <c r="DP100" s="52" t="str">
        <f aca="false">IF(DP91&lt;0,DP84/-DP91,"")</f>
        <v/>
      </c>
      <c r="DQ100" s="52" t="str">
        <f aca="false">IF(DQ91&lt;0,DQ84/-DQ91,"")</f>
        <v/>
      </c>
      <c r="DR100" s="52" t="str">
        <f aca="false">IF(DR91&lt;0,DR84/-DR91,"")</f>
        <v/>
      </c>
      <c r="DS100" s="52" t="str">
        <f aca="false">IF(DS91&lt;0,DS84/-DS91,"")</f>
        <v/>
      </c>
      <c r="DT100" s="52" t="str">
        <f aca="false">IF(DT91&lt;0,DT84/-DT91,"")</f>
        <v/>
      </c>
      <c r="DU100" s="52" t="str">
        <f aca="false">IF(DU91&lt;0,DU84/-DU91,"")</f>
        <v/>
      </c>
      <c r="DV100" s="52" t="str">
        <f aca="false">IF(DV91&lt;0,DV84/-DV91,"")</f>
        <v/>
      </c>
      <c r="DW100" s="52" t="str">
        <f aca="false">IF(DW91&lt;0,DW84/-DW91,"")</f>
        <v/>
      </c>
      <c r="DX100" s="52" t="str">
        <f aca="false">IF(DX91&lt;0,DX84/-DX91,"")</f>
        <v/>
      </c>
      <c r="DY100" s="52" t="str">
        <f aca="false">IF(DY91&lt;0,DY84/-DY91,"")</f>
        <v/>
      </c>
      <c r="DZ100" s="52" t="str">
        <f aca="false">IF(DZ91&lt;0,DZ84/-DZ91,"")</f>
        <v/>
      </c>
      <c r="EA100" s="52" t="str">
        <f aca="false">IF(EA91&lt;0,EA84/-EA91,"")</f>
        <v/>
      </c>
      <c r="EB100" s="52" t="str">
        <f aca="false">IF(EB91&lt;0,EB84/-EB91,"")</f>
        <v/>
      </c>
      <c r="EC100" s="52" t="str">
        <f aca="false">IF(EC91&lt;0,EC84/-EC91,"")</f>
        <v/>
      </c>
      <c r="ED100" s="52" t="str">
        <f aca="false">IF(ED91&lt;0,ED84/-ED91,"")</f>
        <v/>
      </c>
      <c r="EE100" s="52" t="str">
        <f aca="false">IF(EE91&lt;0,EE84/-EE91,"")</f>
        <v/>
      </c>
      <c r="EF100" s="52" t="str">
        <f aca="false">IF(EF91&lt;0,EF84/-EF91,"")</f>
        <v/>
      </c>
      <c r="EG100" s="52" t="str">
        <f aca="false">IF(EG91&lt;0,EG84/-EG91,"")</f>
        <v/>
      </c>
      <c r="EH100" s="52" t="str">
        <f aca="false">IF(EH91&lt;0,EH84/-EH91,"")</f>
        <v/>
      </c>
      <c r="EI100" s="52" t="str">
        <f aca="false">IF(EI91&lt;0,EI84/-EI91,"")</f>
        <v/>
      </c>
      <c r="EJ100" s="52" t="str">
        <f aca="false">IF(EJ91&lt;0,EJ84/-EJ91,"")</f>
        <v/>
      </c>
      <c r="EK100" s="52" t="str">
        <f aca="false">IF(EK91&lt;0,EK84/-EK91,"")</f>
        <v/>
      </c>
      <c r="EL100" s="52" t="str">
        <f aca="false">IF(EL91&lt;0,EL84/-EL91,"")</f>
        <v/>
      </c>
      <c r="EM100" s="52" t="str">
        <f aca="false">IF(EM91&lt;0,EM84/-EM91,"")</f>
        <v/>
      </c>
      <c r="EN100" s="52" t="str">
        <f aca="false">IF(EN91&lt;0,EN84/-EN91,"")</f>
        <v/>
      </c>
      <c r="EO100" s="52" t="str">
        <f aca="false">IF(EO91&lt;0,EO84/-EO91,"")</f>
        <v/>
      </c>
    </row>
    <row r="102" customFormat="false" ht="15" hidden="false" customHeight="false" outlineLevel="0" collapsed="false">
      <c r="A102" s="9" t="s">
        <v>13</v>
      </c>
      <c r="B102" s="9"/>
      <c r="C102" s="9" t="s">
        <v>464</v>
      </c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</row>
    <row r="103" customFormat="false" ht="15" hidden="false" customHeight="false" outlineLevel="0" collapsed="false">
      <c r="C103" s="0" t="s">
        <v>465</v>
      </c>
      <c r="D103" s="11" t="s">
        <v>33</v>
      </c>
      <c r="E103" s="47" t="n">
        <f aca="false">$I94-($I65+$I55+$I66+$I52+$I45+$I46+$I47)</f>
        <v>81441.2950745549</v>
      </c>
      <c r="I103" s="47" t="n">
        <f aca="false">SUM(J103:EO103)</f>
        <v>-81441.2950745549</v>
      </c>
      <c r="J103" s="47" t="n">
        <f aca="false">-$E103*J20</f>
        <v>-0</v>
      </c>
      <c r="K103" s="47" t="n">
        <f aca="false">-$E103*K20</f>
        <v>-0</v>
      </c>
      <c r="L103" s="47" t="n">
        <f aca="false">-$E103*L20</f>
        <v>-0</v>
      </c>
      <c r="M103" s="47" t="n">
        <f aca="false">-$E103*M20</f>
        <v>-0</v>
      </c>
      <c r="N103" s="47" t="n">
        <f aca="false">-$E103*N20</f>
        <v>-0</v>
      </c>
      <c r="O103" s="47" t="n">
        <f aca="false">-$E103*O20</f>
        <v>-0</v>
      </c>
      <c r="P103" s="47" t="n">
        <f aca="false">-$E103*P20</f>
        <v>-0</v>
      </c>
      <c r="Q103" s="47" t="n">
        <f aca="false">-$E103*Q20</f>
        <v>-0</v>
      </c>
      <c r="R103" s="47" t="n">
        <f aca="false">-$E103*R20</f>
        <v>-0</v>
      </c>
      <c r="S103" s="47" t="n">
        <f aca="false">-$E103*S20</f>
        <v>-0</v>
      </c>
      <c r="T103" s="47" t="n">
        <f aca="false">-$E103*T20</f>
        <v>-0</v>
      </c>
      <c r="U103" s="47" t="n">
        <f aca="false">-$E103*U20</f>
        <v>-0</v>
      </c>
      <c r="V103" s="47" t="n">
        <f aca="false">-$E103*V20</f>
        <v>-0</v>
      </c>
      <c r="W103" s="47" t="n">
        <f aca="false">-$E103*W20</f>
        <v>-0</v>
      </c>
      <c r="X103" s="47" t="n">
        <f aca="false">-$E103*X20</f>
        <v>-0</v>
      </c>
      <c r="Y103" s="47" t="n">
        <f aca="false">-$E103*Y20</f>
        <v>-0</v>
      </c>
      <c r="Z103" s="47" t="n">
        <f aca="false">-$E103*Z20</f>
        <v>-1025.68092359467</v>
      </c>
      <c r="AA103" s="47" t="n">
        <f aca="false">-$E103*AA20</f>
        <v>-1003.38351221218</v>
      </c>
      <c r="AB103" s="47" t="n">
        <f aca="false">-$E103*AB20</f>
        <v>-1014.53221790342</v>
      </c>
      <c r="AC103" s="47" t="n">
        <f aca="false">-$E103*AC20</f>
        <v>-1025.68092359467</v>
      </c>
      <c r="AD103" s="47" t="n">
        <f aca="false">-$E103*AD20</f>
        <v>-1025.68092359467</v>
      </c>
      <c r="AE103" s="47" t="n">
        <f aca="false">-$E103*AE20</f>
        <v>-1014.53221790342</v>
      </c>
      <c r="AF103" s="47" t="n">
        <f aca="false">-$E103*AF20</f>
        <v>-1014.53221790342</v>
      </c>
      <c r="AG103" s="47" t="n">
        <f aca="false">-$E103*AG20</f>
        <v>-1025.68092359467</v>
      </c>
      <c r="AH103" s="47" t="n">
        <f aca="false">-$E103*AH20</f>
        <v>-1025.68092359467</v>
      </c>
      <c r="AI103" s="47" t="n">
        <f aca="false">-$E103*AI20</f>
        <v>-1003.38351221218</v>
      </c>
      <c r="AJ103" s="47" t="n">
        <f aca="false">-$E103*AJ20</f>
        <v>-1014.53221790342</v>
      </c>
      <c r="AK103" s="47" t="n">
        <f aca="false">-$E103*AK20</f>
        <v>-1025.68092359467</v>
      </c>
      <c r="AL103" s="47" t="n">
        <f aca="false">-$E103*AL20</f>
        <v>-1025.68092359467</v>
      </c>
      <c r="AM103" s="47" t="n">
        <f aca="false">-$E103*AM20</f>
        <v>-1003.38351221218</v>
      </c>
      <c r="AN103" s="47" t="n">
        <f aca="false">-$E103*AN20</f>
        <v>-1014.53221790342</v>
      </c>
      <c r="AO103" s="47" t="n">
        <f aca="false">-$E103*AO20</f>
        <v>-1025.68092359467</v>
      </c>
      <c r="AP103" s="47" t="n">
        <f aca="false">-$E103*AP20</f>
        <v>-1025.68092359467</v>
      </c>
      <c r="AQ103" s="47" t="n">
        <f aca="false">-$E103*AQ20</f>
        <v>-1003.38351221218</v>
      </c>
      <c r="AR103" s="47" t="n">
        <f aca="false">-$E103*AR20</f>
        <v>-1014.53221790342</v>
      </c>
      <c r="AS103" s="47" t="n">
        <f aca="false">-$E103*AS20</f>
        <v>-1025.68092359467</v>
      </c>
      <c r="AT103" s="47" t="n">
        <f aca="false">-$E103*AT20</f>
        <v>-1025.68092359467</v>
      </c>
      <c r="AU103" s="47" t="n">
        <f aca="false">-$E103*AU20</f>
        <v>-1014.53221790342</v>
      </c>
      <c r="AV103" s="47" t="n">
        <f aca="false">-$E103*AV20</f>
        <v>-1014.53221790342</v>
      </c>
      <c r="AW103" s="47" t="n">
        <f aca="false">-$E103*AW20</f>
        <v>-1025.68092359467</v>
      </c>
      <c r="AX103" s="47" t="n">
        <f aca="false">-$E103*AX20</f>
        <v>-1025.68092359467</v>
      </c>
      <c r="AY103" s="47" t="n">
        <f aca="false">-$E103*AY20</f>
        <v>-1003.38351221218</v>
      </c>
      <c r="AZ103" s="47" t="n">
        <f aca="false">-$E103*AZ20</f>
        <v>-1014.53221790342</v>
      </c>
      <c r="BA103" s="47" t="n">
        <f aca="false">-$E103*BA20</f>
        <v>-1025.68092359467</v>
      </c>
      <c r="BB103" s="47" t="n">
        <f aca="false">-$E103*BB20</f>
        <v>-1025.68092359467</v>
      </c>
      <c r="BC103" s="47" t="n">
        <f aca="false">-$E103*BC20</f>
        <v>-1003.38351221218</v>
      </c>
      <c r="BD103" s="47" t="n">
        <f aca="false">-$E103*BD20</f>
        <v>-1014.53221790342</v>
      </c>
      <c r="BE103" s="47" t="n">
        <f aca="false">-$E103*BE20</f>
        <v>-1025.68092359467</v>
      </c>
      <c r="BF103" s="47" t="n">
        <f aca="false">-$E103*BF20</f>
        <v>-1025.68092359467</v>
      </c>
      <c r="BG103" s="47" t="n">
        <f aca="false">-$E103*BG20</f>
        <v>-1003.38351221218</v>
      </c>
      <c r="BH103" s="47" t="n">
        <f aca="false">-$E103*BH20</f>
        <v>-1014.53221790342</v>
      </c>
      <c r="BI103" s="47" t="n">
        <f aca="false">-$E103*BI20</f>
        <v>-1025.68092359467</v>
      </c>
      <c r="BJ103" s="47" t="n">
        <f aca="false">-$E103*BJ20</f>
        <v>-1025.68092359467</v>
      </c>
      <c r="BK103" s="47" t="n">
        <f aca="false">-$E103*BK20</f>
        <v>-1014.53221790342</v>
      </c>
      <c r="BL103" s="47" t="n">
        <f aca="false">-$E103*BL20</f>
        <v>-1014.53221790342</v>
      </c>
      <c r="BM103" s="47" t="n">
        <f aca="false">-$E103*BM20</f>
        <v>-1025.68092359467</v>
      </c>
      <c r="BN103" s="47" t="n">
        <f aca="false">-$E103*BN20</f>
        <v>-1025.68092359467</v>
      </c>
      <c r="BO103" s="47" t="n">
        <f aca="false">-$E103*BO20</f>
        <v>-1003.38351221218</v>
      </c>
      <c r="BP103" s="47" t="n">
        <f aca="false">-$E103*BP20</f>
        <v>-1014.53221790342</v>
      </c>
      <c r="BQ103" s="47" t="n">
        <f aca="false">-$E103*BQ20</f>
        <v>-1025.68092359467</v>
      </c>
      <c r="BR103" s="47" t="n">
        <f aca="false">-$E103*BR20</f>
        <v>-1025.68092359467</v>
      </c>
      <c r="BS103" s="47" t="n">
        <f aca="false">-$E103*BS20</f>
        <v>-1003.38351221218</v>
      </c>
      <c r="BT103" s="47" t="n">
        <f aca="false">-$E103*BT20</f>
        <v>-1014.53221790342</v>
      </c>
      <c r="BU103" s="47" t="n">
        <f aca="false">-$E103*BU20</f>
        <v>-1025.68092359467</v>
      </c>
      <c r="BV103" s="47" t="n">
        <f aca="false">-$E103*BV20</f>
        <v>-1025.68092359467</v>
      </c>
      <c r="BW103" s="47" t="n">
        <f aca="false">-$E103*BW20</f>
        <v>-1003.38351221218</v>
      </c>
      <c r="BX103" s="47" t="n">
        <f aca="false">-$E103*BX20</f>
        <v>-1014.53221790342</v>
      </c>
      <c r="BY103" s="47" t="n">
        <f aca="false">-$E103*BY20</f>
        <v>-1025.68092359467</v>
      </c>
      <c r="BZ103" s="47" t="n">
        <f aca="false">-$E103*BZ20</f>
        <v>-1025.68092359467</v>
      </c>
      <c r="CA103" s="47" t="n">
        <f aca="false">-$E103*CA20</f>
        <v>-1014.53221790342</v>
      </c>
      <c r="CB103" s="47" t="n">
        <f aca="false">-$E103*CB20</f>
        <v>-1014.53221790342</v>
      </c>
      <c r="CC103" s="47" t="n">
        <f aca="false">-$E103*CC20</f>
        <v>-1025.68092359467</v>
      </c>
      <c r="CD103" s="47" t="n">
        <f aca="false">-$E103*CD20</f>
        <v>-1025.68092359467</v>
      </c>
      <c r="CE103" s="47" t="n">
        <f aca="false">-$E103*CE20</f>
        <v>-1003.38351221218</v>
      </c>
      <c r="CF103" s="47" t="n">
        <f aca="false">-$E103*CF20</f>
        <v>-1014.53221790342</v>
      </c>
      <c r="CG103" s="47" t="n">
        <f aca="false">-$E103*CG20</f>
        <v>-1025.68092359467</v>
      </c>
      <c r="CH103" s="47" t="n">
        <f aca="false">-$E103*CH20</f>
        <v>-1025.68092359467</v>
      </c>
      <c r="CI103" s="47" t="n">
        <f aca="false">-$E103*CI20</f>
        <v>-1003.38351221218</v>
      </c>
      <c r="CJ103" s="47" t="n">
        <f aca="false">-$E103*CJ20</f>
        <v>-1014.53221790342</v>
      </c>
      <c r="CK103" s="47" t="n">
        <f aca="false">-$E103*CK20</f>
        <v>-1025.68092359467</v>
      </c>
      <c r="CL103" s="47" t="n">
        <f aca="false">-$E103*CL20</f>
        <v>-1025.68092359467</v>
      </c>
      <c r="CM103" s="47" t="n">
        <f aca="false">-$E103*CM20</f>
        <v>-1003.38351221218</v>
      </c>
      <c r="CN103" s="47" t="n">
        <f aca="false">-$E103*CN20</f>
        <v>-1014.53221790342</v>
      </c>
      <c r="CO103" s="47" t="n">
        <f aca="false">-$E103*CO20</f>
        <v>-1025.68092359467</v>
      </c>
      <c r="CP103" s="47" t="n">
        <f aca="false">-$E103*CP20</f>
        <v>-1025.68092359467</v>
      </c>
      <c r="CQ103" s="47" t="n">
        <f aca="false">-$E103*CQ20</f>
        <v>-1014.53221790342</v>
      </c>
      <c r="CR103" s="47" t="n">
        <f aca="false">-$E103*CR20</f>
        <v>-1014.53221790342</v>
      </c>
      <c r="CS103" s="47" t="n">
        <f aca="false">-$E103*CS20</f>
        <v>-1025.68092359467</v>
      </c>
      <c r="CT103" s="47" t="n">
        <f aca="false">-$E103*CT20</f>
        <v>-1025.68092359467</v>
      </c>
      <c r="CU103" s="47" t="n">
        <f aca="false">-$E103*CU20</f>
        <v>-1003.38351221218</v>
      </c>
      <c r="CV103" s="47" t="n">
        <f aca="false">-$E103*CV20</f>
        <v>-1014.53221790342</v>
      </c>
      <c r="CW103" s="47" t="n">
        <f aca="false">-$E103*CW20</f>
        <v>-1025.68092359467</v>
      </c>
      <c r="CX103" s="47" t="n">
        <f aca="false">-$E103*CX20</f>
        <v>-1025.68092359467</v>
      </c>
      <c r="CY103" s="47" t="n">
        <f aca="false">-$E103*CY20</f>
        <v>-1003.38351221218</v>
      </c>
      <c r="CZ103" s="47" t="n">
        <f aca="false">-$E103*CZ20</f>
        <v>-1014.53221790342</v>
      </c>
      <c r="DA103" s="47" t="n">
        <f aca="false">-$E103*DA20</f>
        <v>-1025.68092359467</v>
      </c>
      <c r="DB103" s="47" t="n">
        <f aca="false">-$E103*DB20</f>
        <v>-0</v>
      </c>
      <c r="DC103" s="47" t="n">
        <f aca="false">-$E103*DC20</f>
        <v>-0</v>
      </c>
      <c r="DD103" s="47" t="n">
        <f aca="false">-$E103*DD20</f>
        <v>-0</v>
      </c>
      <c r="DE103" s="47" t="n">
        <f aca="false">-$E103*DE20</f>
        <v>-0</v>
      </c>
      <c r="DF103" s="47" t="n">
        <f aca="false">-$E103*DF20</f>
        <v>-0</v>
      </c>
      <c r="DG103" s="47" t="n">
        <f aca="false">-$E103*DG20</f>
        <v>-0</v>
      </c>
      <c r="DH103" s="47" t="n">
        <f aca="false">-$E103*DH20</f>
        <v>-0</v>
      </c>
      <c r="DI103" s="47" t="n">
        <f aca="false">-$E103*DI20</f>
        <v>-0</v>
      </c>
      <c r="DJ103" s="47" t="n">
        <f aca="false">-$E103*DJ20</f>
        <v>-0</v>
      </c>
      <c r="DK103" s="47" t="n">
        <f aca="false">-$E103*DK20</f>
        <v>-0</v>
      </c>
      <c r="DL103" s="47" t="n">
        <f aca="false">-$E103*DL20</f>
        <v>-0</v>
      </c>
      <c r="DM103" s="47" t="n">
        <f aca="false">-$E103*DM20</f>
        <v>-0</v>
      </c>
      <c r="DN103" s="47" t="n">
        <f aca="false">-$E103*DN20</f>
        <v>-0</v>
      </c>
      <c r="DO103" s="47" t="n">
        <f aca="false">-$E103*DO20</f>
        <v>-0</v>
      </c>
      <c r="DP103" s="47" t="n">
        <f aca="false">-$E103*DP20</f>
        <v>-0</v>
      </c>
      <c r="DQ103" s="47" t="n">
        <f aca="false">-$E103*DQ20</f>
        <v>-0</v>
      </c>
      <c r="DR103" s="47" t="n">
        <f aca="false">-$E103*DR20</f>
        <v>-0</v>
      </c>
      <c r="DS103" s="47" t="n">
        <f aca="false">-$E103*DS20</f>
        <v>-0</v>
      </c>
      <c r="DT103" s="47" t="n">
        <f aca="false">-$E103*DT20</f>
        <v>-0</v>
      </c>
      <c r="DU103" s="47" t="n">
        <f aca="false">-$E103*DU20</f>
        <v>-0</v>
      </c>
      <c r="DV103" s="47" t="n">
        <f aca="false">-$E103*DV20</f>
        <v>-0</v>
      </c>
      <c r="DW103" s="47" t="n">
        <f aca="false">-$E103*DW20</f>
        <v>-0</v>
      </c>
      <c r="DX103" s="47" t="n">
        <f aca="false">-$E103*DX20</f>
        <v>-0</v>
      </c>
      <c r="DY103" s="47" t="n">
        <f aca="false">-$E103*DY20</f>
        <v>-0</v>
      </c>
      <c r="DZ103" s="47" t="n">
        <f aca="false">-$E103*DZ20</f>
        <v>-0</v>
      </c>
      <c r="EA103" s="47" t="n">
        <f aca="false">-$E103*EA20</f>
        <v>-0</v>
      </c>
      <c r="EB103" s="47" t="n">
        <f aca="false">-$E103*EB20</f>
        <v>-0</v>
      </c>
      <c r="EC103" s="47" t="n">
        <f aca="false">-$E103*EC20</f>
        <v>-0</v>
      </c>
      <c r="ED103" s="47" t="n">
        <f aca="false">-$E103*ED20</f>
        <v>-0</v>
      </c>
      <c r="EE103" s="47" t="n">
        <f aca="false">-$E103*EE20</f>
        <v>-0</v>
      </c>
      <c r="EF103" s="47" t="n">
        <f aca="false">-$E103*EF20</f>
        <v>-0</v>
      </c>
      <c r="EG103" s="47" t="n">
        <f aca="false">-$E103*EG20</f>
        <v>-0</v>
      </c>
      <c r="EH103" s="47" t="n">
        <f aca="false">-$E103*EH20</f>
        <v>-0</v>
      </c>
      <c r="EI103" s="47" t="n">
        <f aca="false">-$E103*EI20</f>
        <v>-0</v>
      </c>
      <c r="EJ103" s="47" t="n">
        <f aca="false">-$E103*EJ20</f>
        <v>-0</v>
      </c>
      <c r="EK103" s="47" t="n">
        <f aca="false">-$E103*EK20</f>
        <v>-0</v>
      </c>
      <c r="EL103" s="47" t="n">
        <f aca="false">-$E103*EL20</f>
        <v>-0</v>
      </c>
      <c r="EM103" s="47" t="n">
        <f aca="false">-$E103*EM20</f>
        <v>-0</v>
      </c>
      <c r="EN103" s="47" t="n">
        <f aca="false">-$E103*EN20</f>
        <v>-0</v>
      </c>
      <c r="EO103" s="47" t="n">
        <f aca="false">-$E103*EO20</f>
        <v>-0</v>
      </c>
    </row>
    <row r="104" customFormat="false" ht="15" hidden="false" customHeight="false" outlineLevel="0" collapsed="false">
      <c r="C104" s="0" t="s">
        <v>466</v>
      </c>
      <c r="D104" s="11" t="s">
        <v>33</v>
      </c>
      <c r="I104" s="47" t="n">
        <f aca="false">SUM(J104:EO104)</f>
        <v>189750.729733608</v>
      </c>
      <c r="J104" s="47" t="n">
        <f aca="false">J80+J103+J90+J97+J98+J49+J56</f>
        <v>-12.8099380746857</v>
      </c>
      <c r="K104" s="47" t="n">
        <f aca="false">K80+K103+K90+K97+K98+K49+K56</f>
        <v>-19.6746856821167</v>
      </c>
      <c r="L104" s="47" t="n">
        <f aca="false">L80+L103+L90+L97+L98+L49+L56</f>
        <v>-33.1554888346782</v>
      </c>
      <c r="M104" s="47" t="n">
        <f aca="false">M80+M103+M90+M97+M98+M49+M56</f>
        <v>-33.5198348658285</v>
      </c>
      <c r="N104" s="47" t="n">
        <f aca="false">N80+N103+N90+N97+N98+N49+N56</f>
        <v>-33.5198348658285</v>
      </c>
      <c r="O104" s="47" t="n">
        <f aca="false">O80+O103+O90+O97+O98+O49+O56</f>
        <v>-33.1554888346782</v>
      </c>
      <c r="P104" s="47" t="n">
        <f aca="false">P80+P103+P90+P97+P98+P49+P56</f>
        <v>-33.1554888346782</v>
      </c>
      <c r="Q104" s="47" t="n">
        <f aca="false">Q80+Q103+Q90+Q97+Q98+Q49+Q56</f>
        <v>-33.5198348658285</v>
      </c>
      <c r="R104" s="47" t="n">
        <f aca="false">R80+R103+R90+R97+R98+R49+R56</f>
        <v>-910.488972605438</v>
      </c>
      <c r="S104" s="47" t="n">
        <f aca="false">S80+S103+S90+S97+S98+S49+S56</f>
        <v>-154.800823311032</v>
      </c>
      <c r="T104" s="47" t="n">
        <f aca="false">T80+T103+T90+T97+T98+T49+T56</f>
        <v>-136.853718187849</v>
      </c>
      <c r="U104" s="47" t="n">
        <f aca="false">U80+U103+U90+U97+U98+U49+U56</f>
        <v>-128.541032625373</v>
      </c>
      <c r="V104" s="47" t="n">
        <f aca="false">V80+V103+V90+V97+V98+V49+V56</f>
        <v>-118.616585625935</v>
      </c>
      <c r="W104" s="47" t="n">
        <f aca="false">W80+W103+W90+W97+W98+W49+W56</f>
        <v>-107.371197220398</v>
      </c>
      <c r="X104" s="47" t="n">
        <f aca="false">X80+X103+X90+X97+X98+X49+X56</f>
        <v>-98.9610416989586</v>
      </c>
      <c r="Y104" s="47" t="n">
        <f aca="false">Y80+Y103+Y90+Y97+Y98+Y49+Y56</f>
        <v>-90.2319530981423</v>
      </c>
      <c r="Z104" s="47" t="n">
        <f aca="false">Z80+Z103+Z90+Z97+Z98+Z49+Z56</f>
        <v>804.640264506197</v>
      </c>
      <c r="AA104" s="47" t="n">
        <f aca="false">AA80+AA103+AA90+AA97+AA98+AA49+AA56</f>
        <v>796.151058283752</v>
      </c>
      <c r="AB104" s="47" t="n">
        <f aca="false">AB80+AB103+AB90+AB97+AB98+AB49+AB56</f>
        <v>815.449046850226</v>
      </c>
      <c r="AC104" s="47" t="n">
        <f aca="false">AC80+AC103+AC90+AC97+AC98+AC49+AC56</f>
        <v>834.924977348715</v>
      </c>
      <c r="AD104" s="47" t="n">
        <f aca="false">AD80+AD103+AD90+AD97+AD98+AD49+AD56</f>
        <v>831.41353767466</v>
      </c>
      <c r="AE104" s="47" t="n">
        <f aca="false">AE80+AE103+AE90+AE97+AE98+AE49+AE56</f>
        <v>837.617204956833</v>
      </c>
      <c r="AF104" s="47" t="n">
        <f aca="false">AF80+AF103+AF90+AF97+AF98+AF49+AF56</f>
        <v>842.301981135735</v>
      </c>
      <c r="AG104" s="47" t="n">
        <f aca="false">AG80+AG103+AG90+AG97+AG98+AG49+AG56</f>
        <v>861.817515842942</v>
      </c>
      <c r="AH104" s="47" t="n">
        <f aca="false">AH80+AH103+AH90+AH97+AH98+AH49+AH56</f>
        <v>858.202327740181</v>
      </c>
      <c r="AI104" s="47" t="n">
        <f aca="false">AI80+AI103+AI90+AI97+AI98+AI49+AI56</f>
        <v>849.321983091388</v>
      </c>
      <c r="AJ104" s="47" t="n">
        <f aca="false">AJ80+AJ103+AJ90+AJ97+AJ98+AJ49+AJ56</f>
        <v>902.157884450176</v>
      </c>
      <c r="AK104" s="47" t="n">
        <f aca="false">AK80+AK103+AK90+AK97+AK98+AK49+AK56</f>
        <v>922.515786434868</v>
      </c>
      <c r="AL104" s="47" t="n">
        <f aca="false">AL80+AL103+AL90+AL97+AL98+AL49+AL56</f>
        <v>919.25115889393</v>
      </c>
      <c r="AM104" s="47" t="n">
        <f aca="false">AM80+AM103+AM90+AM97+AM98+AM49+AM56</f>
        <v>909.743003737414</v>
      </c>
      <c r="AN104" s="47" t="n">
        <f aca="false">AN80+AN103+AN90+AN97+AN98+AN49+AN56</f>
        <v>930.27507574773</v>
      </c>
      <c r="AO104" s="47" t="n">
        <f aca="false">AO80+AO103+AO90+AO97+AO98+AO49+AO56</f>
        <v>950.987886245258</v>
      </c>
      <c r="AP104" s="47" t="n">
        <f aca="false">AP80+AP103+AP90+AP97+AP98+AP49+AP56</f>
        <v>947.949813949731</v>
      </c>
      <c r="AQ104" s="47" t="n">
        <f aca="false">AQ80+AQ103+AQ90+AQ97+AQ98+AQ49+AQ56</f>
        <v>938.414483626262</v>
      </c>
      <c r="AR104" s="47" t="n">
        <f aca="false">AR80+AR103+AR90+AR97+AR98+AR49+AR56</f>
        <v>959.307829365778</v>
      </c>
      <c r="AS104" s="47" t="n">
        <f aca="false">AS80+AS103+AS90+AS97+AS98+AS49+AS56</f>
        <v>980.385590711516</v>
      </c>
      <c r="AT104" s="47" t="n">
        <f aca="false">AT80+AT103+AT90+AT97+AT98+AT49+AT56</f>
        <v>977.586403699492</v>
      </c>
      <c r="AU104" s="47" t="n">
        <f aca="false">AU80+AU103+AU90+AU97+AU98+AU49+AU56</f>
        <v>983.480347225655</v>
      </c>
      <c r="AV104" s="47" t="n">
        <f aca="false">AV80+AV103+AV90+AV97+AV98+AV49+AV56</f>
        <v>989.41854696031</v>
      </c>
      <c r="AW104" s="47" t="n">
        <f aca="false">AW80+AW103+AW90+AW97+AW98+AW49+AW56</f>
        <v>1010.87318488014</v>
      </c>
      <c r="AX104" s="47" t="n">
        <f aca="false">AX80+AX103+AX90+AX97+AX98+AX49+AX56</f>
        <v>1008.32720717873</v>
      </c>
      <c r="AY104" s="47" t="n">
        <f aca="false">AY80+AY103+AY90+AY97+AY98+AY49+AY56</f>
        <v>998.769032092977</v>
      </c>
      <c r="AZ104" s="47" t="n">
        <f aca="false">AZ80+AZ103+AZ90+AZ97+AZ98+AZ49+AZ56</f>
        <v>1020.41800575887</v>
      </c>
      <c r="BA104" s="47" t="n">
        <f aca="false">BA80+BA103+BA90+BA97+BA98+BA49+BA56</f>
        <v>1042.2591936419</v>
      </c>
      <c r="BB104" s="47" t="n">
        <f aca="false">BB80+BB103+BB90+BB97+BB98+BB49+BB56</f>
        <v>1039.97856129717</v>
      </c>
      <c r="BC104" s="47" t="n">
        <f aca="false">BC80+BC103+BC90+BC97+BC98+BC49+BC56</f>
        <v>1030.42443960389</v>
      </c>
      <c r="BD104" s="47" t="n">
        <f aca="false">BD80+BD103+BD90+BD97+BD98+BD49+BD56</f>
        <v>1052.46738588221</v>
      </c>
      <c r="BE104" s="47" t="n">
        <f aca="false">BE80+BE103+BE90+BE97+BE98+BE49+BE56</f>
        <v>1074.70666471674</v>
      </c>
      <c r="BF104" s="47" t="n">
        <f aca="false">BF80+BF103+BF90+BF97+BF98+BF49+BF56</f>
        <v>1072.70549663135</v>
      </c>
      <c r="BG104" s="47" t="n">
        <f aca="false">BG80+BG103+BG90+BG97+BG98+BG49+BG56</f>
        <v>1063.16695862449</v>
      </c>
      <c r="BH104" s="47" t="n">
        <f aca="false">BH80+BH103+BH90+BH97+BH98+BH49+BH56</f>
        <v>1085.61580700905</v>
      </c>
      <c r="BI104" s="47" t="n">
        <f aca="false">BI80+BI103+BI90+BI97+BI98+BI49+BI56</f>
        <v>1108.2652668374</v>
      </c>
      <c r="BJ104" s="47" t="n">
        <f aca="false">BJ80+BJ103+BJ90+BJ97+BJ98+BJ49+BJ56</f>
        <v>1106.558333233</v>
      </c>
      <c r="BK104" s="47" t="n">
        <f aca="false">BK80+BK103+BK90+BK97+BK98+BK49+BK56</f>
        <v>1112.76072693857</v>
      </c>
      <c r="BL104" s="47" t="n">
        <f aca="false">BL80+BL103+BL90+BL97+BL98+BL49+BL56</f>
        <v>1120.03570303958</v>
      </c>
      <c r="BM104" s="47" t="n">
        <f aca="false">BM80+BM103+BM90+BM97+BM98+BM49+BM56</f>
        <v>1143.10943234671</v>
      </c>
      <c r="BN104" s="47" t="n">
        <f aca="false">BN80+BN103+BN90+BN97+BN98+BN49+BN56</f>
        <v>1141.71362377303</v>
      </c>
      <c r="BO104" s="47" t="n">
        <f aca="false">BO80+BO103+BO90+BO97+BO98+BO49+BO56</f>
        <v>1132.24479578886</v>
      </c>
      <c r="BP104" s="47" t="n">
        <f aca="false">BP80+BP103+BP90+BP97+BP98+BP49+BP56</f>
        <v>1155.54501380683</v>
      </c>
      <c r="BQ104" s="47" t="n">
        <f aca="false">BQ80+BQ103+BQ90+BQ97+BQ98+BQ49+BQ56</f>
        <v>1179.05492997376</v>
      </c>
      <c r="BR104" s="47" t="n">
        <f aca="false">BR80+BR103+BR90+BR97+BR98+BR49+BR56</f>
        <v>1177.98504136944</v>
      </c>
      <c r="BS104" s="47" t="n">
        <f aca="false">BS80+BS103+BS90+BS97+BS98+BS49+BS56</f>
        <v>1168.57027738578</v>
      </c>
      <c r="BT104" s="47" t="n">
        <f aca="false">BT80+BT103+BT90+BT97+BT98+BT49+BT56</f>
        <v>1192.31578474076</v>
      </c>
      <c r="BU104" s="47" t="n">
        <f aca="false">BU80+BU103+BU90+BU97+BU98+BU49+BU56</f>
        <v>1216.27579744869</v>
      </c>
      <c r="BV104" s="47" t="n">
        <f aca="false">BV80+BV103+BV90+BV97+BV98+BV49+BV56</f>
        <v>1215.54874321209</v>
      </c>
      <c r="BW104" s="47" t="n">
        <f aca="false">BW80+BW103+BW90+BW97+BW98+BW49+BW56</f>
        <v>1206.20222716768</v>
      </c>
      <c r="BX104" s="47" t="n">
        <f aca="false">BX80+BX103+BX90+BX97+BX98+BX49+BX56</f>
        <v>1230.40740786836</v>
      </c>
      <c r="BY104" s="47" t="n">
        <f aca="false">BY80+BY103+BY90+BY97+BY98+BY49+BY56</f>
        <v>1254.83209350382</v>
      </c>
      <c r="BZ104" s="47" t="n">
        <f aca="false">BZ80+BZ103+BZ90+BZ97+BZ98+BZ49+BZ56</f>
        <v>1254.46556908297</v>
      </c>
      <c r="CA104" s="47" t="n">
        <f aca="false">CA80+CA103+CA90+CA97+CA98+CA49+CA56</f>
        <v>1261.13607075456</v>
      </c>
      <c r="CB104" s="47" t="n">
        <f aca="false">CB80+CB103+CB90+CB97+CB98+CB49+CB56</f>
        <v>1270.0040119955</v>
      </c>
      <c r="CC104" s="47" t="n">
        <f aca="false">CC80+CC103+CC90+CC97+CC98+CC49+CC56</f>
        <v>1294.91007968938</v>
      </c>
      <c r="CD104" s="47" t="n">
        <f aca="false">CD80+CD103+CD90+CD97+CD98+CD49+CD56</f>
        <v>1294.92404770378</v>
      </c>
      <c r="CE104" s="47" t="n">
        <f aca="false">CE80+CE103+CE90+CE97+CE98+CE49+CE56</f>
        <v>1285.76105941738</v>
      </c>
      <c r="CF104" s="47" t="n">
        <f aca="false">CF80+CF103+CF90+CF97+CF98+CF49+CF56</f>
        <v>1310.93302064561</v>
      </c>
      <c r="CG104" s="47" t="n">
        <f aca="false">CG80+CG103+CG90+CG97+CG98+CG49+CG56</f>
        <v>1336.33511664276</v>
      </c>
      <c r="CH104" s="47" t="n">
        <f aca="false">CH80+CH103+CH90+CH97+CH98+CH49+CH56</f>
        <v>1336.74756482666</v>
      </c>
      <c r="CI104" s="47" t="n">
        <f aca="false">CI80+CI103+CI90+CI97+CI98+CI49+CI56</f>
        <v>1327.70005751837</v>
      </c>
      <c r="CJ104" s="47" t="n">
        <f aca="false">CJ80+CJ103+CJ90+CJ97+CJ98+CJ49+CJ56</f>
        <v>1353.37919902957</v>
      </c>
      <c r="CK104" s="47" t="n">
        <f aca="false">CK80+CK103+CK90+CK97+CK98+CK49+CK56</f>
        <v>1379.29410806621</v>
      </c>
      <c r="CL104" s="47" t="n">
        <f aca="false">CL80+CL103+CL90+CL97+CL98+CL49+CL56</f>
        <v>1380.12530303897</v>
      </c>
      <c r="CM104" s="47" t="n">
        <f aca="false">CM80+CM103+CM90+CM97+CM98+CM49+CM56</f>
        <v>1371.21066311936</v>
      </c>
      <c r="CN104" s="47" t="n">
        <f aca="false">CN80+CN103+CN90+CN97+CN98+CN49+CN56</f>
        <v>1397.41434810376</v>
      </c>
      <c r="CO104" s="47" t="n">
        <f aca="false">CO80+CO103+CO90+CO97+CO98+CO49+CO56</f>
        <v>1423.85966407262</v>
      </c>
      <c r="CP104" s="47" t="n">
        <f aca="false">CP80+CP103+CP90+CP97+CP98+CP49+CP56</f>
        <v>1425.13080943123</v>
      </c>
      <c r="CQ104" s="47" t="n">
        <f aca="false">CQ80+CQ103+CQ90+CQ97+CQ98+CQ49+CQ56</f>
        <v>1432.46923763585</v>
      </c>
      <c r="CR104" s="47" t="n">
        <f aca="false">CR80+CR103+CR90+CR97+CR98+CR49+CR56</f>
        <v>1443.23631053418</v>
      </c>
      <c r="CS104" s="47" t="n">
        <f aca="false">CS80+CS103+CS90+CS97+CS98+CS49+CS56</f>
        <v>1470.23191778269</v>
      </c>
      <c r="CT104" s="47" t="n">
        <f aca="false">CT80+CT103+CT90+CT97+CT98+CT49+CT56</f>
        <v>1471.96665595576</v>
      </c>
      <c r="CU104" s="47" t="n">
        <f aca="false">CU80+CU103+CU90+CU97+CU98+CU49+CU56</f>
        <v>1452.13907911473</v>
      </c>
      <c r="CV104" s="47" t="n">
        <f aca="false">CV80+CV103+CV90+CV97+CV98+CV49+CV56</f>
        <v>1468.27395777156</v>
      </c>
      <c r="CW104" s="47" t="n">
        <f aca="false">CW80+CW103+CW90+CW97+CW98+CW49+CW56</f>
        <v>1484.40883642839</v>
      </c>
      <c r="CX104" s="47" t="n">
        <f aca="false">CX80+CX103+CX90+CX97+CX98+CX49+CX56</f>
        <v>1474.94290836395</v>
      </c>
      <c r="CY104" s="47" t="n">
        <f aca="false">CY80+CY103+CY90+CY97+CY98+CY49+CY56</f>
        <v>1454.75813498684</v>
      </c>
      <c r="CZ104" s="47" t="n">
        <f aca="false">CZ80+CZ103+CZ90+CZ97+CZ98+CZ49+CZ56</f>
        <v>1470.92211426447</v>
      </c>
      <c r="DA104" s="47" t="n">
        <f aca="false">DA80+DA103+DA90+DA97+DA98+DA49+DA56</f>
        <v>1487.0860935421</v>
      </c>
      <c r="DB104" s="47" t="n">
        <f aca="false">DB80+DB103+DB90+DB97+DB98+DB49+DB56</f>
        <v>2503.24466583138</v>
      </c>
      <c r="DC104" s="47" t="n">
        <f aca="false">DC80+DC103+DC90+DC97+DC98+DC49+DC56</f>
        <v>2460.4018457948</v>
      </c>
      <c r="DD104" s="47" t="n">
        <f aca="false">DD80+DD103+DD90+DD97+DD98+DD49+DD56</f>
        <v>2487.73964408141</v>
      </c>
      <c r="DE104" s="47" t="n">
        <f aca="false">DE80+DE103+DE90+DE97+DE98+DE49+DE56</f>
        <v>2515.07744236801</v>
      </c>
      <c r="DF104" s="47" t="n">
        <f aca="false">DF80+DF103+DF90+DF97+DF98+DF49+DF56</f>
        <v>2505.49855853058</v>
      </c>
      <c r="DG104" s="47" t="n">
        <f aca="false">DG80+DG103+DG90+DG97+DG98+DG49+DG56</f>
        <v>2489.65041143909</v>
      </c>
      <c r="DH104" s="47" t="n">
        <f aca="false">DH80+DH103+DH90+DH97+DH98+DH49+DH56</f>
        <v>2489.65041143909</v>
      </c>
      <c r="DI104" s="47" t="n">
        <f aca="false">DI80+DI103+DI90+DI97+DI98+DI49+DI56</f>
        <v>2517.00920716919</v>
      </c>
      <c r="DJ104" s="47" t="n">
        <f aca="false">DJ80+DJ103+DJ90+DJ97+DJ98+DJ49+DJ56</f>
        <v>2507.37368674959</v>
      </c>
      <c r="DK104" s="47" t="n">
        <f aca="false">DK80+DK103+DK90+DK97+DK98+DK49+DK56</f>
        <v>2463.79908392978</v>
      </c>
      <c r="DL104" s="47" t="n">
        <f aca="false">DL80+DL103+DL90+DL97+DL98+DL49+DL56</f>
        <v>2491.17462930678</v>
      </c>
      <c r="DM104" s="47" t="n">
        <f aca="false">DM80+DM103+DM90+DM97+DM98+DM49+DM56</f>
        <v>2518.55017468377</v>
      </c>
      <c r="DN104" s="47" t="n">
        <f aca="false">DN80+DN103+DN90+DN97+DN98+DN49+DN56</f>
        <v>2508.85791904168</v>
      </c>
      <c r="DO104" s="47" t="n">
        <f aca="false">DO80+DO103+DO90+DO97+DO98+DO49+DO56</f>
        <v>2464.91206834606</v>
      </c>
      <c r="DP104" s="47" t="n">
        <f aca="false">DP80+DP103+DP90+DP97+DP98+DP49+DP56</f>
        <v>2492.29998021657</v>
      </c>
      <c r="DQ104" s="47" t="n">
        <f aca="false">DQ80+DQ103+DQ90+DQ97+DQ98+DQ49+DQ56</f>
        <v>2519.68789208708</v>
      </c>
      <c r="DR104" s="47" t="n">
        <f aca="false">DR80+DR103+DR90+DR97+DR98+DR49+DR56</f>
        <v>2509.93880816482</v>
      </c>
      <c r="DS104" s="47" t="n">
        <f aca="false">DS80+DS103+DS90+DS97+DS98+DS49+DS56</f>
        <v>2465.61807007059</v>
      </c>
      <c r="DT104" s="47" t="n">
        <f aca="false">DT80+DT103+DT90+DT97+DT98+DT49+DT56</f>
        <v>2493.0138264047</v>
      </c>
      <c r="DU104" s="47" t="n">
        <f aca="false">DU80+DU103+DU90+DU97+DU98+DU49+DU56</f>
        <v>2520.40958273882</v>
      </c>
      <c r="DV104" s="47" t="n">
        <f aca="false">DV80+DV103+DV90+DV97+DV98+DV49+DV56</f>
        <v>2510.60358323846</v>
      </c>
      <c r="DW104" s="47" t="n">
        <f aca="false">DW80+DW103+DW90+DW97+DW98+DW49+DW56</f>
        <v>2493.30320185874</v>
      </c>
      <c r="DX104" s="47" t="n">
        <f aca="false">DX80+DX103+DX90+DX97+DX98+DX49+DX56</f>
        <v>2493.30320185874</v>
      </c>
      <c r="DY104" s="47" t="n">
        <f aca="false">DY80+DY103+DY90+DY97+DY98+DY49+DY56</f>
        <v>2520.7021381429</v>
      </c>
      <c r="DZ104" s="47" t="n">
        <f aca="false">DZ80+DZ103+DZ90+DZ97+DZ98+DZ49+DZ56</f>
        <v>2510.83914170753</v>
      </c>
      <c r="EA104" s="47" t="n">
        <f aca="false">EA80+EA103+EA90+EA97+EA98+EA49+EA56</f>
        <v>2465.75749862902</v>
      </c>
      <c r="EB104" s="47" t="n">
        <f aca="false">EB80+EB103+EB90+EB97+EB98+EB49+EB56</f>
        <v>2493.15480416934</v>
      </c>
      <c r="EC104" s="47" t="n">
        <f aca="false">EC80+EC103+EC90+EC97+EC98+EC49+EC56</f>
        <v>2520.55210970967</v>
      </c>
      <c r="ED104" s="47" t="n">
        <f aca="false">ED80+ED103+ED90+ED97+ED98+ED49+ED56</f>
        <v>2510.63204110906</v>
      </c>
      <c r="EE104" s="47" t="n">
        <f aca="false">EE80+EE103+EE90+EE97+EE98+EE49+EE56</f>
        <v>2465.16427204806</v>
      </c>
      <c r="EF104" s="47" t="n">
        <f aca="false">EF80+EF103+EF90+EF97+EF98+EF49+EF56</f>
        <v>2492.55498618193</v>
      </c>
      <c r="EG104" s="47" t="n">
        <f aca="false">EG80+EG103+EG90+EG97+EG98+EG49+EG56</f>
        <v>2519.9457003158</v>
      </c>
      <c r="EH104" s="47" t="n">
        <f aca="false">EH80+EH103+EH90+EH97+EH98+EH49+EH56</f>
        <v>2509.96849063659</v>
      </c>
      <c r="EI104" s="47" t="n">
        <f aca="false">EI80+EI103+EI90+EI97+EI98+EI49+EI56</f>
        <v>2464.11073922956</v>
      </c>
      <c r="EJ104" s="47" t="n">
        <f aca="false">EJ80+EJ103+EJ90+EJ97+EJ98+EJ49+EJ56</f>
        <v>2491.48974744322</v>
      </c>
      <c r="EK104" s="47" t="n">
        <f aca="false">EK80+EK103+EK90+EK97+EK98+EK49+EK56</f>
        <v>2518.86875565688</v>
      </c>
      <c r="EL104" s="47" t="n">
        <f aca="false">EL80+EL103+EL90+EL97+EL98+EL49+EL56</f>
        <v>2508.83434249719</v>
      </c>
      <c r="EM104" s="47" t="n">
        <f aca="false">EM80+EM103+EM90+EM97+EM98+EM49+EM56</f>
        <v>2489.94472543768</v>
      </c>
      <c r="EN104" s="47" t="n">
        <f aca="false">EN80+EN103+EN90+EN97+EN98+EN49+EN56</f>
        <v>2489.94472543768</v>
      </c>
      <c r="EO104" s="47" t="n">
        <f aca="false">EO80+EO103+EO90+EO97+EO98+EO49+EO56</f>
        <v>2517.30675538754</v>
      </c>
    </row>
    <row r="105" customFormat="false" ht="15" hidden="false" customHeight="false" outlineLevel="0" collapsed="false">
      <c r="C105" s="0" t="s">
        <v>467</v>
      </c>
      <c r="D105" s="11" t="s">
        <v>33</v>
      </c>
      <c r="J105" s="18" t="n">
        <f aca="false">I109</f>
        <v>0</v>
      </c>
      <c r="K105" s="18" t="n">
        <f aca="false">J109</f>
        <v>12.8099380746857</v>
      </c>
      <c r="L105" s="18" t="n">
        <f aca="false">K109</f>
        <v>32.4846237568024</v>
      </c>
      <c r="M105" s="18" t="n">
        <f aca="false">L109</f>
        <v>65.6401125914806</v>
      </c>
      <c r="N105" s="18" t="n">
        <f aca="false">M109</f>
        <v>99.1599474573091</v>
      </c>
      <c r="O105" s="18" t="n">
        <f aca="false">N109</f>
        <v>132.679782323138</v>
      </c>
      <c r="P105" s="18" t="n">
        <f aca="false">O109</f>
        <v>165.835271157816</v>
      </c>
      <c r="Q105" s="18" t="n">
        <f aca="false">P109</f>
        <v>198.990759992494</v>
      </c>
      <c r="R105" s="18" t="n">
        <f aca="false">Q109</f>
        <v>232.510594858322</v>
      </c>
      <c r="S105" s="18" t="n">
        <f aca="false">R109</f>
        <v>1142.99956746376</v>
      </c>
      <c r="T105" s="18" t="n">
        <f aca="false">S109</f>
        <v>1297.80039077479</v>
      </c>
      <c r="U105" s="18" t="n">
        <f aca="false">T109</f>
        <v>1434.65410896264</v>
      </c>
      <c r="V105" s="18" t="n">
        <f aca="false">U109</f>
        <v>1563.19514158801</v>
      </c>
      <c r="W105" s="18" t="n">
        <f aca="false">V109</f>
        <v>1681.81172721395</v>
      </c>
      <c r="X105" s="18" t="n">
        <f aca="false">W109</f>
        <v>1789.18292443435</v>
      </c>
      <c r="Y105" s="18" t="n">
        <f aca="false">X109</f>
        <v>1888.14396613331</v>
      </c>
      <c r="Z105" s="18" t="n">
        <f aca="false">Y109</f>
        <v>1978.37591923145</v>
      </c>
      <c r="AA105" s="18" t="n">
        <f aca="false">Z109</f>
        <v>1576.05578697835</v>
      </c>
      <c r="AB105" s="18" t="n">
        <f aca="false">AA109</f>
        <v>1177.98025783647</v>
      </c>
      <c r="AC105" s="18" t="n">
        <f aca="false">AB109</f>
        <v>770.255734411361</v>
      </c>
      <c r="AD105" s="18" t="n">
        <f aca="false">AC109</f>
        <v>352.793245737003</v>
      </c>
      <c r="AE105" s="18" t="n">
        <f aca="false">AD109</f>
        <v>0</v>
      </c>
      <c r="AF105" s="18" t="n">
        <f aca="false">AE109</f>
        <v>0</v>
      </c>
      <c r="AG105" s="18" t="n">
        <f aca="false">AF109</f>
        <v>0</v>
      </c>
      <c r="AH105" s="18" t="n">
        <f aca="false">AG109</f>
        <v>0</v>
      </c>
      <c r="AI105" s="18" t="n">
        <f aca="false">AH109</f>
        <v>0</v>
      </c>
      <c r="AJ105" s="18" t="n">
        <f aca="false">AI109</f>
        <v>0</v>
      </c>
      <c r="AK105" s="18" t="n">
        <f aca="false">AJ109</f>
        <v>0</v>
      </c>
      <c r="AL105" s="18" t="n">
        <f aca="false">AK109</f>
        <v>0</v>
      </c>
      <c r="AM105" s="18" t="n">
        <f aca="false">AL109</f>
        <v>0</v>
      </c>
      <c r="AN105" s="18" t="n">
        <f aca="false">AM109</f>
        <v>0</v>
      </c>
      <c r="AO105" s="18" t="n">
        <f aca="false">AN109</f>
        <v>0</v>
      </c>
      <c r="AP105" s="18" t="n">
        <f aca="false">AO109</f>
        <v>0</v>
      </c>
      <c r="AQ105" s="18" t="n">
        <f aca="false">AP109</f>
        <v>0</v>
      </c>
      <c r="AR105" s="18" t="n">
        <f aca="false">AQ109</f>
        <v>0</v>
      </c>
      <c r="AS105" s="18" t="n">
        <f aca="false">AR109</f>
        <v>0</v>
      </c>
      <c r="AT105" s="18" t="n">
        <f aca="false">AS109</f>
        <v>0</v>
      </c>
      <c r="AU105" s="18" t="n">
        <f aca="false">AT109</f>
        <v>0</v>
      </c>
      <c r="AV105" s="18" t="n">
        <f aca="false">AU109</f>
        <v>0</v>
      </c>
      <c r="AW105" s="18" t="n">
        <f aca="false">AV109</f>
        <v>0</v>
      </c>
      <c r="AX105" s="18" t="n">
        <f aca="false">AW109</f>
        <v>0</v>
      </c>
      <c r="AY105" s="18" t="n">
        <f aca="false">AX109</f>
        <v>0</v>
      </c>
      <c r="AZ105" s="18" t="n">
        <f aca="false">AY109</f>
        <v>0</v>
      </c>
      <c r="BA105" s="18" t="n">
        <f aca="false">AZ109</f>
        <v>0</v>
      </c>
      <c r="BB105" s="18" t="n">
        <f aca="false">BA109</f>
        <v>0</v>
      </c>
      <c r="BC105" s="18" t="n">
        <f aca="false">BB109</f>
        <v>0</v>
      </c>
      <c r="BD105" s="18" t="n">
        <f aca="false">BC109</f>
        <v>0</v>
      </c>
      <c r="BE105" s="18" t="n">
        <f aca="false">BD109</f>
        <v>0</v>
      </c>
      <c r="BF105" s="18" t="n">
        <f aca="false">BE109</f>
        <v>0</v>
      </c>
      <c r="BG105" s="18" t="n">
        <f aca="false">BF109</f>
        <v>0</v>
      </c>
      <c r="BH105" s="18" t="n">
        <f aca="false">BG109</f>
        <v>0</v>
      </c>
      <c r="BI105" s="18" t="n">
        <f aca="false">BH109</f>
        <v>0</v>
      </c>
      <c r="BJ105" s="18" t="n">
        <f aca="false">BI109</f>
        <v>0</v>
      </c>
      <c r="BK105" s="18" t="n">
        <f aca="false">BJ109</f>
        <v>0</v>
      </c>
      <c r="BL105" s="18" t="n">
        <f aca="false">BK109</f>
        <v>0</v>
      </c>
      <c r="BM105" s="18" t="n">
        <f aca="false">BL109</f>
        <v>0</v>
      </c>
      <c r="BN105" s="18" t="n">
        <f aca="false">BM109</f>
        <v>0</v>
      </c>
      <c r="BO105" s="18" t="n">
        <f aca="false">BN109</f>
        <v>0</v>
      </c>
      <c r="BP105" s="18" t="n">
        <f aca="false">BO109</f>
        <v>0</v>
      </c>
      <c r="BQ105" s="18" t="n">
        <f aca="false">BP109</f>
        <v>0</v>
      </c>
      <c r="BR105" s="18" t="n">
        <f aca="false">BQ109</f>
        <v>0</v>
      </c>
      <c r="BS105" s="18" t="n">
        <f aca="false">BR109</f>
        <v>0</v>
      </c>
      <c r="BT105" s="18" t="n">
        <f aca="false">BS109</f>
        <v>0</v>
      </c>
      <c r="BU105" s="18" t="n">
        <f aca="false">BT109</f>
        <v>0</v>
      </c>
      <c r="BV105" s="18" t="n">
        <f aca="false">BU109</f>
        <v>0</v>
      </c>
      <c r="BW105" s="18" t="n">
        <f aca="false">BV109</f>
        <v>0</v>
      </c>
      <c r="BX105" s="18" t="n">
        <f aca="false">BW109</f>
        <v>0</v>
      </c>
      <c r="BY105" s="18" t="n">
        <f aca="false">BX109</f>
        <v>0</v>
      </c>
      <c r="BZ105" s="18" t="n">
        <f aca="false">BY109</f>
        <v>0</v>
      </c>
      <c r="CA105" s="18" t="n">
        <f aca="false">BZ109</f>
        <v>0</v>
      </c>
      <c r="CB105" s="18" t="n">
        <f aca="false">CA109</f>
        <v>0</v>
      </c>
      <c r="CC105" s="18" t="n">
        <f aca="false">CB109</f>
        <v>0</v>
      </c>
      <c r="CD105" s="18" t="n">
        <f aca="false">CC109</f>
        <v>0</v>
      </c>
      <c r="CE105" s="18" t="n">
        <f aca="false">CD109</f>
        <v>0</v>
      </c>
      <c r="CF105" s="18" t="n">
        <f aca="false">CE109</f>
        <v>0</v>
      </c>
      <c r="CG105" s="18" t="n">
        <f aca="false">CF109</f>
        <v>0</v>
      </c>
      <c r="CH105" s="18" t="n">
        <f aca="false">CG109</f>
        <v>0</v>
      </c>
      <c r="CI105" s="18" t="n">
        <f aca="false">CH109</f>
        <v>0</v>
      </c>
      <c r="CJ105" s="18" t="n">
        <f aca="false">CI109</f>
        <v>0</v>
      </c>
      <c r="CK105" s="18" t="n">
        <f aca="false">CJ109</f>
        <v>0</v>
      </c>
      <c r="CL105" s="18" t="n">
        <f aca="false">CK109</f>
        <v>0</v>
      </c>
      <c r="CM105" s="18" t="n">
        <f aca="false">CL109</f>
        <v>0</v>
      </c>
      <c r="CN105" s="18" t="n">
        <f aca="false">CM109</f>
        <v>0</v>
      </c>
      <c r="CO105" s="18" t="n">
        <f aca="false">CN109</f>
        <v>0</v>
      </c>
      <c r="CP105" s="18" t="n">
        <f aca="false">CO109</f>
        <v>0</v>
      </c>
      <c r="CQ105" s="18" t="n">
        <f aca="false">CP109</f>
        <v>0</v>
      </c>
      <c r="CR105" s="18" t="n">
        <f aca="false">CQ109</f>
        <v>0</v>
      </c>
      <c r="CS105" s="18" t="n">
        <f aca="false">CR109</f>
        <v>0</v>
      </c>
      <c r="CT105" s="18" t="n">
        <f aca="false">CS109</f>
        <v>0</v>
      </c>
      <c r="CU105" s="18" t="n">
        <f aca="false">CT109</f>
        <v>0</v>
      </c>
      <c r="CV105" s="18" t="n">
        <f aca="false">CU109</f>
        <v>0</v>
      </c>
      <c r="CW105" s="18" t="n">
        <f aca="false">CV109</f>
        <v>0</v>
      </c>
      <c r="CX105" s="18" t="n">
        <f aca="false">CW109</f>
        <v>0</v>
      </c>
      <c r="CY105" s="18" t="n">
        <f aca="false">CX109</f>
        <v>0</v>
      </c>
      <c r="CZ105" s="18" t="n">
        <f aca="false">CY109</f>
        <v>0</v>
      </c>
      <c r="DA105" s="18" t="n">
        <f aca="false">CZ109</f>
        <v>0</v>
      </c>
      <c r="DB105" s="18" t="n">
        <f aca="false">DA109</f>
        <v>0</v>
      </c>
      <c r="DC105" s="18" t="n">
        <f aca="false">DB109</f>
        <v>0</v>
      </c>
      <c r="DD105" s="18" t="n">
        <f aca="false">DC109</f>
        <v>0</v>
      </c>
      <c r="DE105" s="18" t="n">
        <f aca="false">DD109</f>
        <v>0</v>
      </c>
      <c r="DF105" s="18" t="n">
        <f aca="false">DE109</f>
        <v>0</v>
      </c>
      <c r="DG105" s="18" t="n">
        <f aca="false">DF109</f>
        <v>0</v>
      </c>
      <c r="DH105" s="18" t="n">
        <f aca="false">DG109</f>
        <v>0</v>
      </c>
      <c r="DI105" s="18" t="n">
        <f aca="false">DH109</f>
        <v>0</v>
      </c>
      <c r="DJ105" s="18" t="n">
        <f aca="false">DI109</f>
        <v>0</v>
      </c>
      <c r="DK105" s="18" t="n">
        <f aca="false">DJ109</f>
        <v>0</v>
      </c>
      <c r="DL105" s="18" t="n">
        <f aca="false">DK109</f>
        <v>0</v>
      </c>
      <c r="DM105" s="18" t="n">
        <f aca="false">DL109</f>
        <v>0</v>
      </c>
      <c r="DN105" s="18" t="n">
        <f aca="false">DM109</f>
        <v>0</v>
      </c>
      <c r="DO105" s="18" t="n">
        <f aca="false">DN109</f>
        <v>0</v>
      </c>
      <c r="DP105" s="18" t="n">
        <f aca="false">DO109</f>
        <v>0</v>
      </c>
      <c r="DQ105" s="18" t="n">
        <f aca="false">DP109</f>
        <v>0</v>
      </c>
      <c r="DR105" s="18" t="n">
        <f aca="false">DQ109</f>
        <v>0</v>
      </c>
      <c r="DS105" s="18" t="n">
        <f aca="false">DR109</f>
        <v>0</v>
      </c>
      <c r="DT105" s="18" t="n">
        <f aca="false">DS109</f>
        <v>0</v>
      </c>
      <c r="DU105" s="18" t="n">
        <f aca="false">DT109</f>
        <v>0</v>
      </c>
      <c r="DV105" s="18" t="n">
        <f aca="false">DU109</f>
        <v>0</v>
      </c>
      <c r="DW105" s="18" t="n">
        <f aca="false">DV109</f>
        <v>0</v>
      </c>
      <c r="DX105" s="18" t="n">
        <f aca="false">DW109</f>
        <v>0</v>
      </c>
      <c r="DY105" s="18" t="n">
        <f aca="false">DX109</f>
        <v>0</v>
      </c>
      <c r="DZ105" s="18" t="n">
        <f aca="false">DY109</f>
        <v>0</v>
      </c>
      <c r="EA105" s="18" t="n">
        <f aca="false">DZ109</f>
        <v>0</v>
      </c>
      <c r="EB105" s="18" t="n">
        <f aca="false">EA109</f>
        <v>0</v>
      </c>
      <c r="EC105" s="18" t="n">
        <f aca="false">EB109</f>
        <v>0</v>
      </c>
      <c r="ED105" s="18" t="n">
        <f aca="false">EC109</f>
        <v>0</v>
      </c>
      <c r="EE105" s="18" t="n">
        <f aca="false">ED109</f>
        <v>0</v>
      </c>
      <c r="EF105" s="18" t="n">
        <f aca="false">EE109</f>
        <v>0</v>
      </c>
      <c r="EG105" s="18" t="n">
        <f aca="false">EF109</f>
        <v>0</v>
      </c>
      <c r="EH105" s="18" t="n">
        <f aca="false">EG109</f>
        <v>0</v>
      </c>
      <c r="EI105" s="18" t="n">
        <f aca="false">EH109</f>
        <v>0</v>
      </c>
      <c r="EJ105" s="18" t="n">
        <f aca="false">EI109</f>
        <v>0</v>
      </c>
      <c r="EK105" s="18" t="n">
        <f aca="false">EJ109</f>
        <v>0</v>
      </c>
      <c r="EL105" s="18" t="n">
        <f aca="false">EK109</f>
        <v>0</v>
      </c>
      <c r="EM105" s="18" t="n">
        <f aca="false">EL109</f>
        <v>0</v>
      </c>
      <c r="EN105" s="18" t="n">
        <f aca="false">EM109</f>
        <v>0</v>
      </c>
      <c r="EO105" s="18" t="n">
        <f aca="false">EN109</f>
        <v>0</v>
      </c>
    </row>
    <row r="106" customFormat="false" ht="15" hidden="false" customHeight="false" outlineLevel="0" collapsed="false">
      <c r="C106" s="0" t="s">
        <v>468</v>
      </c>
      <c r="D106" s="11" t="s">
        <v>33</v>
      </c>
      <c r="I106" s="47" t="n">
        <f aca="false">SUM(J106:EO106)</f>
        <v>1978.37591923145</v>
      </c>
      <c r="J106" s="47" t="n">
        <f aca="false">MAX(0,-J104)</f>
        <v>12.8099380746857</v>
      </c>
      <c r="K106" s="47" t="n">
        <f aca="false">MAX(0,-K104)</f>
        <v>19.6746856821167</v>
      </c>
      <c r="L106" s="47" t="n">
        <f aca="false">MAX(0,-L104)</f>
        <v>33.1554888346782</v>
      </c>
      <c r="M106" s="47" t="n">
        <f aca="false">MAX(0,-M104)</f>
        <v>33.5198348658285</v>
      </c>
      <c r="N106" s="47" t="n">
        <f aca="false">MAX(0,-N104)</f>
        <v>33.5198348658285</v>
      </c>
      <c r="O106" s="47" t="n">
        <f aca="false">MAX(0,-O104)</f>
        <v>33.1554888346782</v>
      </c>
      <c r="P106" s="47" t="n">
        <f aca="false">MAX(0,-P104)</f>
        <v>33.1554888346782</v>
      </c>
      <c r="Q106" s="47" t="n">
        <f aca="false">MAX(0,-Q104)</f>
        <v>33.5198348658285</v>
      </c>
      <c r="R106" s="47" t="n">
        <f aca="false">MAX(0,-R104)</f>
        <v>910.488972605438</v>
      </c>
      <c r="S106" s="47" t="n">
        <f aca="false">MAX(0,-S104)</f>
        <v>154.800823311032</v>
      </c>
      <c r="T106" s="47" t="n">
        <f aca="false">MAX(0,-T104)</f>
        <v>136.853718187849</v>
      </c>
      <c r="U106" s="47" t="n">
        <f aca="false">MAX(0,-U104)</f>
        <v>128.541032625373</v>
      </c>
      <c r="V106" s="47" t="n">
        <f aca="false">MAX(0,-V104)</f>
        <v>118.616585625935</v>
      </c>
      <c r="W106" s="47" t="n">
        <f aca="false">MAX(0,-W104)</f>
        <v>107.371197220398</v>
      </c>
      <c r="X106" s="47" t="n">
        <f aca="false">MAX(0,-X104)</f>
        <v>98.9610416989586</v>
      </c>
      <c r="Y106" s="47" t="n">
        <f aca="false">MAX(0,-Y104)</f>
        <v>90.2319530981423</v>
      </c>
      <c r="Z106" s="47" t="n">
        <f aca="false">MAX(0,-Z104)</f>
        <v>0</v>
      </c>
      <c r="AA106" s="47" t="n">
        <f aca="false">MAX(0,-AA104)</f>
        <v>0</v>
      </c>
      <c r="AB106" s="47" t="n">
        <f aca="false">MAX(0,-AB104)</f>
        <v>0</v>
      </c>
      <c r="AC106" s="47" t="n">
        <f aca="false">MAX(0,-AC104)</f>
        <v>0</v>
      </c>
      <c r="AD106" s="47" t="n">
        <f aca="false">MAX(0,-AD104)</f>
        <v>0</v>
      </c>
      <c r="AE106" s="47" t="n">
        <f aca="false">MAX(0,-AE104)</f>
        <v>0</v>
      </c>
      <c r="AF106" s="47" t="n">
        <f aca="false">MAX(0,-AF104)</f>
        <v>0</v>
      </c>
      <c r="AG106" s="47" t="n">
        <f aca="false">MAX(0,-AG104)</f>
        <v>0</v>
      </c>
      <c r="AH106" s="47" t="n">
        <f aca="false">MAX(0,-AH104)</f>
        <v>0</v>
      </c>
      <c r="AI106" s="47" t="n">
        <f aca="false">MAX(0,-AI104)</f>
        <v>0</v>
      </c>
      <c r="AJ106" s="47" t="n">
        <f aca="false">MAX(0,-AJ104)</f>
        <v>0</v>
      </c>
      <c r="AK106" s="47" t="n">
        <f aca="false">MAX(0,-AK104)</f>
        <v>0</v>
      </c>
      <c r="AL106" s="47" t="n">
        <f aca="false">MAX(0,-AL104)</f>
        <v>0</v>
      </c>
      <c r="AM106" s="47" t="n">
        <f aca="false">MAX(0,-AM104)</f>
        <v>0</v>
      </c>
      <c r="AN106" s="47" t="n">
        <f aca="false">MAX(0,-AN104)</f>
        <v>0</v>
      </c>
      <c r="AO106" s="47" t="n">
        <f aca="false">MAX(0,-AO104)</f>
        <v>0</v>
      </c>
      <c r="AP106" s="47" t="n">
        <f aca="false">MAX(0,-AP104)</f>
        <v>0</v>
      </c>
      <c r="AQ106" s="47" t="n">
        <f aca="false">MAX(0,-AQ104)</f>
        <v>0</v>
      </c>
      <c r="AR106" s="47" t="n">
        <f aca="false">MAX(0,-AR104)</f>
        <v>0</v>
      </c>
      <c r="AS106" s="47" t="n">
        <f aca="false">MAX(0,-AS104)</f>
        <v>0</v>
      </c>
      <c r="AT106" s="47" t="n">
        <f aca="false">MAX(0,-AT104)</f>
        <v>0</v>
      </c>
      <c r="AU106" s="47" t="n">
        <f aca="false">MAX(0,-AU104)</f>
        <v>0</v>
      </c>
      <c r="AV106" s="47" t="n">
        <f aca="false">MAX(0,-AV104)</f>
        <v>0</v>
      </c>
      <c r="AW106" s="47" t="n">
        <f aca="false">MAX(0,-AW104)</f>
        <v>0</v>
      </c>
      <c r="AX106" s="47" t="n">
        <f aca="false">MAX(0,-AX104)</f>
        <v>0</v>
      </c>
      <c r="AY106" s="47" t="n">
        <f aca="false">MAX(0,-AY104)</f>
        <v>0</v>
      </c>
      <c r="AZ106" s="47" t="n">
        <f aca="false">MAX(0,-AZ104)</f>
        <v>0</v>
      </c>
      <c r="BA106" s="47" t="n">
        <f aca="false">MAX(0,-BA104)</f>
        <v>0</v>
      </c>
      <c r="BB106" s="47" t="n">
        <f aca="false">MAX(0,-BB104)</f>
        <v>0</v>
      </c>
      <c r="BC106" s="47" t="n">
        <f aca="false">MAX(0,-BC104)</f>
        <v>0</v>
      </c>
      <c r="BD106" s="47" t="n">
        <f aca="false">MAX(0,-BD104)</f>
        <v>0</v>
      </c>
      <c r="BE106" s="47" t="n">
        <f aca="false">MAX(0,-BE104)</f>
        <v>0</v>
      </c>
      <c r="BF106" s="47" t="n">
        <f aca="false">MAX(0,-BF104)</f>
        <v>0</v>
      </c>
      <c r="BG106" s="47" t="n">
        <f aca="false">MAX(0,-BG104)</f>
        <v>0</v>
      </c>
      <c r="BH106" s="47" t="n">
        <f aca="false">MAX(0,-BH104)</f>
        <v>0</v>
      </c>
      <c r="BI106" s="47" t="n">
        <f aca="false">MAX(0,-BI104)</f>
        <v>0</v>
      </c>
      <c r="BJ106" s="47" t="n">
        <f aca="false">MAX(0,-BJ104)</f>
        <v>0</v>
      </c>
      <c r="BK106" s="47" t="n">
        <f aca="false">MAX(0,-BK104)</f>
        <v>0</v>
      </c>
      <c r="BL106" s="47" t="n">
        <f aca="false">MAX(0,-BL104)</f>
        <v>0</v>
      </c>
      <c r="BM106" s="47" t="n">
        <f aca="false">MAX(0,-BM104)</f>
        <v>0</v>
      </c>
      <c r="BN106" s="47" t="n">
        <f aca="false">MAX(0,-BN104)</f>
        <v>0</v>
      </c>
      <c r="BO106" s="47" t="n">
        <f aca="false">MAX(0,-BO104)</f>
        <v>0</v>
      </c>
      <c r="BP106" s="47" t="n">
        <f aca="false">MAX(0,-BP104)</f>
        <v>0</v>
      </c>
      <c r="BQ106" s="47" t="n">
        <f aca="false">MAX(0,-BQ104)</f>
        <v>0</v>
      </c>
      <c r="BR106" s="47" t="n">
        <f aca="false">MAX(0,-BR104)</f>
        <v>0</v>
      </c>
      <c r="BS106" s="47" t="n">
        <f aca="false">MAX(0,-BS104)</f>
        <v>0</v>
      </c>
      <c r="BT106" s="47" t="n">
        <f aca="false">MAX(0,-BT104)</f>
        <v>0</v>
      </c>
      <c r="BU106" s="47" t="n">
        <f aca="false">MAX(0,-BU104)</f>
        <v>0</v>
      </c>
      <c r="BV106" s="47" t="n">
        <f aca="false">MAX(0,-BV104)</f>
        <v>0</v>
      </c>
      <c r="BW106" s="47" t="n">
        <f aca="false">MAX(0,-BW104)</f>
        <v>0</v>
      </c>
      <c r="BX106" s="47" t="n">
        <f aca="false">MAX(0,-BX104)</f>
        <v>0</v>
      </c>
      <c r="BY106" s="47" t="n">
        <f aca="false">MAX(0,-BY104)</f>
        <v>0</v>
      </c>
      <c r="BZ106" s="47" t="n">
        <f aca="false">MAX(0,-BZ104)</f>
        <v>0</v>
      </c>
      <c r="CA106" s="47" t="n">
        <f aca="false">MAX(0,-CA104)</f>
        <v>0</v>
      </c>
      <c r="CB106" s="47" t="n">
        <f aca="false">MAX(0,-CB104)</f>
        <v>0</v>
      </c>
      <c r="CC106" s="47" t="n">
        <f aca="false">MAX(0,-CC104)</f>
        <v>0</v>
      </c>
      <c r="CD106" s="47" t="n">
        <f aca="false">MAX(0,-CD104)</f>
        <v>0</v>
      </c>
      <c r="CE106" s="47" t="n">
        <f aca="false">MAX(0,-CE104)</f>
        <v>0</v>
      </c>
      <c r="CF106" s="47" t="n">
        <f aca="false">MAX(0,-CF104)</f>
        <v>0</v>
      </c>
      <c r="CG106" s="47" t="n">
        <f aca="false">MAX(0,-CG104)</f>
        <v>0</v>
      </c>
      <c r="CH106" s="47" t="n">
        <f aca="false">MAX(0,-CH104)</f>
        <v>0</v>
      </c>
      <c r="CI106" s="47" t="n">
        <f aca="false">MAX(0,-CI104)</f>
        <v>0</v>
      </c>
      <c r="CJ106" s="47" t="n">
        <f aca="false">MAX(0,-CJ104)</f>
        <v>0</v>
      </c>
      <c r="CK106" s="47" t="n">
        <f aca="false">MAX(0,-CK104)</f>
        <v>0</v>
      </c>
      <c r="CL106" s="47" t="n">
        <f aca="false">MAX(0,-CL104)</f>
        <v>0</v>
      </c>
      <c r="CM106" s="47" t="n">
        <f aca="false">MAX(0,-CM104)</f>
        <v>0</v>
      </c>
      <c r="CN106" s="47" t="n">
        <f aca="false">MAX(0,-CN104)</f>
        <v>0</v>
      </c>
      <c r="CO106" s="47" t="n">
        <f aca="false">MAX(0,-CO104)</f>
        <v>0</v>
      </c>
      <c r="CP106" s="47" t="n">
        <f aca="false">MAX(0,-CP104)</f>
        <v>0</v>
      </c>
      <c r="CQ106" s="47" t="n">
        <f aca="false">MAX(0,-CQ104)</f>
        <v>0</v>
      </c>
      <c r="CR106" s="47" t="n">
        <f aca="false">MAX(0,-CR104)</f>
        <v>0</v>
      </c>
      <c r="CS106" s="47" t="n">
        <f aca="false">MAX(0,-CS104)</f>
        <v>0</v>
      </c>
      <c r="CT106" s="47" t="n">
        <f aca="false">MAX(0,-CT104)</f>
        <v>0</v>
      </c>
      <c r="CU106" s="47" t="n">
        <f aca="false">MAX(0,-CU104)</f>
        <v>0</v>
      </c>
      <c r="CV106" s="47" t="n">
        <f aca="false">MAX(0,-CV104)</f>
        <v>0</v>
      </c>
      <c r="CW106" s="47" t="n">
        <f aca="false">MAX(0,-CW104)</f>
        <v>0</v>
      </c>
      <c r="CX106" s="47" t="n">
        <f aca="false">MAX(0,-CX104)</f>
        <v>0</v>
      </c>
      <c r="CY106" s="47" t="n">
        <f aca="false">MAX(0,-CY104)</f>
        <v>0</v>
      </c>
      <c r="CZ106" s="47" t="n">
        <f aca="false">MAX(0,-CZ104)</f>
        <v>0</v>
      </c>
      <c r="DA106" s="47" t="n">
        <f aca="false">MAX(0,-DA104)</f>
        <v>0</v>
      </c>
      <c r="DB106" s="47" t="n">
        <f aca="false">MAX(0,-DB104)</f>
        <v>0</v>
      </c>
      <c r="DC106" s="47" t="n">
        <f aca="false">MAX(0,-DC104)</f>
        <v>0</v>
      </c>
      <c r="DD106" s="47" t="n">
        <f aca="false">MAX(0,-DD104)</f>
        <v>0</v>
      </c>
      <c r="DE106" s="47" t="n">
        <f aca="false">MAX(0,-DE104)</f>
        <v>0</v>
      </c>
      <c r="DF106" s="47" t="n">
        <f aca="false">MAX(0,-DF104)</f>
        <v>0</v>
      </c>
      <c r="DG106" s="47" t="n">
        <f aca="false">MAX(0,-DG104)</f>
        <v>0</v>
      </c>
      <c r="DH106" s="47" t="n">
        <f aca="false">MAX(0,-DH104)</f>
        <v>0</v>
      </c>
      <c r="DI106" s="47" t="n">
        <f aca="false">MAX(0,-DI104)</f>
        <v>0</v>
      </c>
      <c r="DJ106" s="47" t="n">
        <f aca="false">MAX(0,-DJ104)</f>
        <v>0</v>
      </c>
      <c r="DK106" s="47" t="n">
        <f aca="false">MAX(0,-DK104)</f>
        <v>0</v>
      </c>
      <c r="DL106" s="47" t="n">
        <f aca="false">MAX(0,-DL104)</f>
        <v>0</v>
      </c>
      <c r="DM106" s="47" t="n">
        <f aca="false">MAX(0,-DM104)</f>
        <v>0</v>
      </c>
      <c r="DN106" s="47" t="n">
        <f aca="false">MAX(0,-DN104)</f>
        <v>0</v>
      </c>
      <c r="DO106" s="47" t="n">
        <f aca="false">MAX(0,-DO104)</f>
        <v>0</v>
      </c>
      <c r="DP106" s="47" t="n">
        <f aca="false">MAX(0,-DP104)</f>
        <v>0</v>
      </c>
      <c r="DQ106" s="47" t="n">
        <f aca="false">MAX(0,-DQ104)</f>
        <v>0</v>
      </c>
      <c r="DR106" s="47" t="n">
        <f aca="false">MAX(0,-DR104)</f>
        <v>0</v>
      </c>
      <c r="DS106" s="47" t="n">
        <f aca="false">MAX(0,-DS104)</f>
        <v>0</v>
      </c>
      <c r="DT106" s="47" t="n">
        <f aca="false">MAX(0,-DT104)</f>
        <v>0</v>
      </c>
      <c r="DU106" s="47" t="n">
        <f aca="false">MAX(0,-DU104)</f>
        <v>0</v>
      </c>
      <c r="DV106" s="47" t="n">
        <f aca="false">MAX(0,-DV104)</f>
        <v>0</v>
      </c>
      <c r="DW106" s="47" t="n">
        <f aca="false">MAX(0,-DW104)</f>
        <v>0</v>
      </c>
      <c r="DX106" s="47" t="n">
        <f aca="false">MAX(0,-DX104)</f>
        <v>0</v>
      </c>
      <c r="DY106" s="47" t="n">
        <f aca="false">MAX(0,-DY104)</f>
        <v>0</v>
      </c>
      <c r="DZ106" s="47" t="n">
        <f aca="false">MAX(0,-DZ104)</f>
        <v>0</v>
      </c>
      <c r="EA106" s="47" t="n">
        <f aca="false">MAX(0,-EA104)</f>
        <v>0</v>
      </c>
      <c r="EB106" s="47" t="n">
        <f aca="false">MAX(0,-EB104)</f>
        <v>0</v>
      </c>
      <c r="EC106" s="47" t="n">
        <f aca="false">MAX(0,-EC104)</f>
        <v>0</v>
      </c>
      <c r="ED106" s="47" t="n">
        <f aca="false">MAX(0,-ED104)</f>
        <v>0</v>
      </c>
      <c r="EE106" s="47" t="n">
        <f aca="false">MAX(0,-EE104)</f>
        <v>0</v>
      </c>
      <c r="EF106" s="47" t="n">
        <f aca="false">MAX(0,-EF104)</f>
        <v>0</v>
      </c>
      <c r="EG106" s="47" t="n">
        <f aca="false">MAX(0,-EG104)</f>
        <v>0</v>
      </c>
      <c r="EH106" s="47" t="n">
        <f aca="false">MAX(0,-EH104)</f>
        <v>0</v>
      </c>
      <c r="EI106" s="47" t="n">
        <f aca="false">MAX(0,-EI104)</f>
        <v>0</v>
      </c>
      <c r="EJ106" s="47" t="n">
        <f aca="false">MAX(0,-EJ104)</f>
        <v>0</v>
      </c>
      <c r="EK106" s="47" t="n">
        <f aca="false">MAX(0,-EK104)</f>
        <v>0</v>
      </c>
      <c r="EL106" s="47" t="n">
        <f aca="false">MAX(0,-EL104)</f>
        <v>0</v>
      </c>
      <c r="EM106" s="47" t="n">
        <f aca="false">MAX(0,-EM104)</f>
        <v>0</v>
      </c>
      <c r="EN106" s="47" t="n">
        <f aca="false">MAX(0,-EN104)</f>
        <v>0</v>
      </c>
      <c r="EO106" s="47" t="n">
        <f aca="false">MAX(0,-EO104)</f>
        <v>0</v>
      </c>
    </row>
    <row r="107" customFormat="false" ht="15" hidden="false" customHeight="false" outlineLevel="0" collapsed="false">
      <c r="C107" s="0" t="s">
        <v>469</v>
      </c>
      <c r="D107" s="11" t="s">
        <v>33</v>
      </c>
      <c r="I107" s="47" t="n">
        <f aca="false">SUM(J107:EO107)</f>
        <v>-1978.37591923145</v>
      </c>
      <c r="J107" s="47" t="n">
        <f aca="false">-MIN(J105,In_Loss_Cap*MAX(0,J104))</f>
        <v>-0</v>
      </c>
      <c r="K107" s="47" t="n">
        <f aca="false">-MIN(K105,In_Loss_Cap*MAX(0,K104))</f>
        <v>-0</v>
      </c>
      <c r="L107" s="47" t="n">
        <f aca="false">-MIN(L105,In_Loss_Cap*MAX(0,L104))</f>
        <v>-0</v>
      </c>
      <c r="M107" s="47" t="n">
        <f aca="false">-MIN(M105,In_Loss_Cap*MAX(0,M104))</f>
        <v>-0</v>
      </c>
      <c r="N107" s="47" t="n">
        <f aca="false">-MIN(N105,In_Loss_Cap*MAX(0,N104))</f>
        <v>-0</v>
      </c>
      <c r="O107" s="47" t="n">
        <f aca="false">-MIN(O105,In_Loss_Cap*MAX(0,O104))</f>
        <v>-0</v>
      </c>
      <c r="P107" s="47" t="n">
        <f aca="false">-MIN(P105,In_Loss_Cap*MAX(0,P104))</f>
        <v>-0</v>
      </c>
      <c r="Q107" s="47" t="n">
        <f aca="false">-MIN(Q105,In_Loss_Cap*MAX(0,Q104))</f>
        <v>-0</v>
      </c>
      <c r="R107" s="47" t="n">
        <f aca="false">-MIN(R105,In_Loss_Cap*MAX(0,R104))</f>
        <v>-0</v>
      </c>
      <c r="S107" s="47" t="n">
        <f aca="false">-MIN(S105,In_Loss_Cap*MAX(0,S104))</f>
        <v>-0</v>
      </c>
      <c r="T107" s="47" t="n">
        <f aca="false">-MIN(T105,In_Loss_Cap*MAX(0,T104))</f>
        <v>-0</v>
      </c>
      <c r="U107" s="47" t="n">
        <f aca="false">-MIN(U105,In_Loss_Cap*MAX(0,U104))</f>
        <v>-0</v>
      </c>
      <c r="V107" s="47" t="n">
        <f aca="false">-MIN(V105,In_Loss_Cap*MAX(0,V104))</f>
        <v>-0</v>
      </c>
      <c r="W107" s="47" t="n">
        <f aca="false">-MIN(W105,In_Loss_Cap*MAX(0,W104))</f>
        <v>-0</v>
      </c>
      <c r="X107" s="47" t="n">
        <f aca="false">-MIN(X105,In_Loss_Cap*MAX(0,X104))</f>
        <v>-0</v>
      </c>
      <c r="Y107" s="47" t="n">
        <f aca="false">-MIN(Y105,In_Loss_Cap*MAX(0,Y104))</f>
        <v>-0</v>
      </c>
      <c r="Z107" s="47" t="n">
        <f aca="false">-MIN(Z105,In_Loss_Cap*MAX(0,Z104))</f>
        <v>-402.320132253099</v>
      </c>
      <c r="AA107" s="47" t="n">
        <f aca="false">-MIN(AA105,In_Loss_Cap*MAX(0,AA104))</f>
        <v>-398.075529141876</v>
      </c>
      <c r="AB107" s="47" t="n">
        <f aca="false">-MIN(AB105,In_Loss_Cap*MAX(0,AB104))</f>
        <v>-407.724523425113</v>
      </c>
      <c r="AC107" s="47" t="n">
        <f aca="false">-MIN(AC105,In_Loss_Cap*MAX(0,AC104))</f>
        <v>-417.462488674358</v>
      </c>
      <c r="AD107" s="47" t="n">
        <f aca="false">-MIN(AD105,In_Loss_Cap*MAX(0,AD104))</f>
        <v>-352.793245737003</v>
      </c>
      <c r="AE107" s="47" t="n">
        <f aca="false">-MIN(AE105,In_Loss_Cap*MAX(0,AE104))</f>
        <v>-0</v>
      </c>
      <c r="AF107" s="47" t="n">
        <f aca="false">-MIN(AF105,In_Loss_Cap*MAX(0,AF104))</f>
        <v>-0</v>
      </c>
      <c r="AG107" s="47" t="n">
        <f aca="false">-MIN(AG105,In_Loss_Cap*MAX(0,AG104))</f>
        <v>-0</v>
      </c>
      <c r="AH107" s="47" t="n">
        <f aca="false">-MIN(AH105,In_Loss_Cap*MAX(0,AH104))</f>
        <v>-0</v>
      </c>
      <c r="AI107" s="47" t="n">
        <f aca="false">-MIN(AI105,In_Loss_Cap*MAX(0,AI104))</f>
        <v>-0</v>
      </c>
      <c r="AJ107" s="47" t="n">
        <f aca="false">-MIN(AJ105,In_Loss_Cap*MAX(0,AJ104))</f>
        <v>-0</v>
      </c>
      <c r="AK107" s="47" t="n">
        <f aca="false">-MIN(AK105,In_Loss_Cap*MAX(0,AK104))</f>
        <v>-0</v>
      </c>
      <c r="AL107" s="47" t="n">
        <f aca="false">-MIN(AL105,In_Loss_Cap*MAX(0,AL104))</f>
        <v>-0</v>
      </c>
      <c r="AM107" s="47" t="n">
        <f aca="false">-MIN(AM105,In_Loss_Cap*MAX(0,AM104))</f>
        <v>-0</v>
      </c>
      <c r="AN107" s="47" t="n">
        <f aca="false">-MIN(AN105,In_Loss_Cap*MAX(0,AN104))</f>
        <v>-0</v>
      </c>
      <c r="AO107" s="47" t="n">
        <f aca="false">-MIN(AO105,In_Loss_Cap*MAX(0,AO104))</f>
        <v>-0</v>
      </c>
      <c r="AP107" s="47" t="n">
        <f aca="false">-MIN(AP105,In_Loss_Cap*MAX(0,AP104))</f>
        <v>-0</v>
      </c>
      <c r="AQ107" s="47" t="n">
        <f aca="false">-MIN(AQ105,In_Loss_Cap*MAX(0,AQ104))</f>
        <v>-0</v>
      </c>
      <c r="AR107" s="47" t="n">
        <f aca="false">-MIN(AR105,In_Loss_Cap*MAX(0,AR104))</f>
        <v>-0</v>
      </c>
      <c r="AS107" s="47" t="n">
        <f aca="false">-MIN(AS105,In_Loss_Cap*MAX(0,AS104))</f>
        <v>-0</v>
      </c>
      <c r="AT107" s="47" t="n">
        <f aca="false">-MIN(AT105,In_Loss_Cap*MAX(0,AT104))</f>
        <v>-0</v>
      </c>
      <c r="AU107" s="47" t="n">
        <f aca="false">-MIN(AU105,In_Loss_Cap*MAX(0,AU104))</f>
        <v>-0</v>
      </c>
      <c r="AV107" s="47" t="n">
        <f aca="false">-MIN(AV105,In_Loss_Cap*MAX(0,AV104))</f>
        <v>-0</v>
      </c>
      <c r="AW107" s="47" t="n">
        <f aca="false">-MIN(AW105,In_Loss_Cap*MAX(0,AW104))</f>
        <v>-0</v>
      </c>
      <c r="AX107" s="47" t="n">
        <f aca="false">-MIN(AX105,In_Loss_Cap*MAX(0,AX104))</f>
        <v>-0</v>
      </c>
      <c r="AY107" s="47" t="n">
        <f aca="false">-MIN(AY105,In_Loss_Cap*MAX(0,AY104))</f>
        <v>-0</v>
      </c>
      <c r="AZ107" s="47" t="n">
        <f aca="false">-MIN(AZ105,In_Loss_Cap*MAX(0,AZ104))</f>
        <v>-0</v>
      </c>
      <c r="BA107" s="47" t="n">
        <f aca="false">-MIN(BA105,In_Loss_Cap*MAX(0,BA104))</f>
        <v>-0</v>
      </c>
      <c r="BB107" s="47" t="n">
        <f aca="false">-MIN(BB105,In_Loss_Cap*MAX(0,BB104))</f>
        <v>-0</v>
      </c>
      <c r="BC107" s="47" t="n">
        <f aca="false">-MIN(BC105,In_Loss_Cap*MAX(0,BC104))</f>
        <v>-0</v>
      </c>
      <c r="BD107" s="47" t="n">
        <f aca="false">-MIN(BD105,In_Loss_Cap*MAX(0,BD104))</f>
        <v>-0</v>
      </c>
      <c r="BE107" s="47" t="n">
        <f aca="false">-MIN(BE105,In_Loss_Cap*MAX(0,BE104))</f>
        <v>-0</v>
      </c>
      <c r="BF107" s="47" t="n">
        <f aca="false">-MIN(BF105,In_Loss_Cap*MAX(0,BF104))</f>
        <v>-0</v>
      </c>
      <c r="BG107" s="47" t="n">
        <f aca="false">-MIN(BG105,In_Loss_Cap*MAX(0,BG104))</f>
        <v>-0</v>
      </c>
      <c r="BH107" s="47" t="n">
        <f aca="false">-MIN(BH105,In_Loss_Cap*MAX(0,BH104))</f>
        <v>-0</v>
      </c>
      <c r="BI107" s="47" t="n">
        <f aca="false">-MIN(BI105,In_Loss_Cap*MAX(0,BI104))</f>
        <v>-0</v>
      </c>
      <c r="BJ107" s="47" t="n">
        <f aca="false">-MIN(BJ105,In_Loss_Cap*MAX(0,BJ104))</f>
        <v>-0</v>
      </c>
      <c r="BK107" s="47" t="n">
        <f aca="false">-MIN(BK105,In_Loss_Cap*MAX(0,BK104))</f>
        <v>-0</v>
      </c>
      <c r="BL107" s="47" t="n">
        <f aca="false">-MIN(BL105,In_Loss_Cap*MAX(0,BL104))</f>
        <v>-0</v>
      </c>
      <c r="BM107" s="47" t="n">
        <f aca="false">-MIN(BM105,In_Loss_Cap*MAX(0,BM104))</f>
        <v>-0</v>
      </c>
      <c r="BN107" s="47" t="n">
        <f aca="false">-MIN(BN105,In_Loss_Cap*MAX(0,BN104))</f>
        <v>-0</v>
      </c>
      <c r="BO107" s="47" t="n">
        <f aca="false">-MIN(BO105,In_Loss_Cap*MAX(0,BO104))</f>
        <v>-0</v>
      </c>
      <c r="BP107" s="47" t="n">
        <f aca="false">-MIN(BP105,In_Loss_Cap*MAX(0,BP104))</f>
        <v>-0</v>
      </c>
      <c r="BQ107" s="47" t="n">
        <f aca="false">-MIN(BQ105,In_Loss_Cap*MAX(0,BQ104))</f>
        <v>-0</v>
      </c>
      <c r="BR107" s="47" t="n">
        <f aca="false">-MIN(BR105,In_Loss_Cap*MAX(0,BR104))</f>
        <v>-0</v>
      </c>
      <c r="BS107" s="47" t="n">
        <f aca="false">-MIN(BS105,In_Loss_Cap*MAX(0,BS104))</f>
        <v>-0</v>
      </c>
      <c r="BT107" s="47" t="n">
        <f aca="false">-MIN(BT105,In_Loss_Cap*MAX(0,BT104))</f>
        <v>-0</v>
      </c>
      <c r="BU107" s="47" t="n">
        <f aca="false">-MIN(BU105,In_Loss_Cap*MAX(0,BU104))</f>
        <v>-0</v>
      </c>
      <c r="BV107" s="47" t="n">
        <f aca="false">-MIN(BV105,In_Loss_Cap*MAX(0,BV104))</f>
        <v>-0</v>
      </c>
      <c r="BW107" s="47" t="n">
        <f aca="false">-MIN(BW105,In_Loss_Cap*MAX(0,BW104))</f>
        <v>-0</v>
      </c>
      <c r="BX107" s="47" t="n">
        <f aca="false">-MIN(BX105,In_Loss_Cap*MAX(0,BX104))</f>
        <v>-0</v>
      </c>
      <c r="BY107" s="47" t="n">
        <f aca="false">-MIN(BY105,In_Loss_Cap*MAX(0,BY104))</f>
        <v>-0</v>
      </c>
      <c r="BZ107" s="47" t="n">
        <f aca="false">-MIN(BZ105,In_Loss_Cap*MAX(0,BZ104))</f>
        <v>-0</v>
      </c>
      <c r="CA107" s="47" t="n">
        <f aca="false">-MIN(CA105,In_Loss_Cap*MAX(0,CA104))</f>
        <v>-0</v>
      </c>
      <c r="CB107" s="47" t="n">
        <f aca="false">-MIN(CB105,In_Loss_Cap*MAX(0,CB104))</f>
        <v>-0</v>
      </c>
      <c r="CC107" s="47" t="n">
        <f aca="false">-MIN(CC105,In_Loss_Cap*MAX(0,CC104))</f>
        <v>-0</v>
      </c>
      <c r="CD107" s="47" t="n">
        <f aca="false">-MIN(CD105,In_Loss_Cap*MAX(0,CD104))</f>
        <v>-0</v>
      </c>
      <c r="CE107" s="47" t="n">
        <f aca="false">-MIN(CE105,In_Loss_Cap*MAX(0,CE104))</f>
        <v>-0</v>
      </c>
      <c r="CF107" s="47" t="n">
        <f aca="false">-MIN(CF105,In_Loss_Cap*MAX(0,CF104))</f>
        <v>-0</v>
      </c>
      <c r="CG107" s="47" t="n">
        <f aca="false">-MIN(CG105,In_Loss_Cap*MAX(0,CG104))</f>
        <v>-0</v>
      </c>
      <c r="CH107" s="47" t="n">
        <f aca="false">-MIN(CH105,In_Loss_Cap*MAX(0,CH104))</f>
        <v>-0</v>
      </c>
      <c r="CI107" s="47" t="n">
        <f aca="false">-MIN(CI105,In_Loss_Cap*MAX(0,CI104))</f>
        <v>-0</v>
      </c>
      <c r="CJ107" s="47" t="n">
        <f aca="false">-MIN(CJ105,In_Loss_Cap*MAX(0,CJ104))</f>
        <v>-0</v>
      </c>
      <c r="CK107" s="47" t="n">
        <f aca="false">-MIN(CK105,In_Loss_Cap*MAX(0,CK104))</f>
        <v>-0</v>
      </c>
      <c r="CL107" s="47" t="n">
        <f aca="false">-MIN(CL105,In_Loss_Cap*MAX(0,CL104))</f>
        <v>-0</v>
      </c>
      <c r="CM107" s="47" t="n">
        <f aca="false">-MIN(CM105,In_Loss_Cap*MAX(0,CM104))</f>
        <v>-0</v>
      </c>
      <c r="CN107" s="47" t="n">
        <f aca="false">-MIN(CN105,In_Loss_Cap*MAX(0,CN104))</f>
        <v>-0</v>
      </c>
      <c r="CO107" s="47" t="n">
        <f aca="false">-MIN(CO105,In_Loss_Cap*MAX(0,CO104))</f>
        <v>-0</v>
      </c>
      <c r="CP107" s="47" t="n">
        <f aca="false">-MIN(CP105,In_Loss_Cap*MAX(0,CP104))</f>
        <v>-0</v>
      </c>
      <c r="CQ107" s="47" t="n">
        <f aca="false">-MIN(CQ105,In_Loss_Cap*MAX(0,CQ104))</f>
        <v>-0</v>
      </c>
      <c r="CR107" s="47" t="n">
        <f aca="false">-MIN(CR105,In_Loss_Cap*MAX(0,CR104))</f>
        <v>-0</v>
      </c>
      <c r="CS107" s="47" t="n">
        <f aca="false">-MIN(CS105,In_Loss_Cap*MAX(0,CS104))</f>
        <v>-0</v>
      </c>
      <c r="CT107" s="47" t="n">
        <f aca="false">-MIN(CT105,In_Loss_Cap*MAX(0,CT104))</f>
        <v>-0</v>
      </c>
      <c r="CU107" s="47" t="n">
        <f aca="false">-MIN(CU105,In_Loss_Cap*MAX(0,CU104))</f>
        <v>-0</v>
      </c>
      <c r="CV107" s="47" t="n">
        <f aca="false">-MIN(CV105,In_Loss_Cap*MAX(0,CV104))</f>
        <v>-0</v>
      </c>
      <c r="CW107" s="47" t="n">
        <f aca="false">-MIN(CW105,In_Loss_Cap*MAX(0,CW104))</f>
        <v>-0</v>
      </c>
      <c r="CX107" s="47" t="n">
        <f aca="false">-MIN(CX105,In_Loss_Cap*MAX(0,CX104))</f>
        <v>-0</v>
      </c>
      <c r="CY107" s="47" t="n">
        <f aca="false">-MIN(CY105,In_Loss_Cap*MAX(0,CY104))</f>
        <v>-0</v>
      </c>
      <c r="CZ107" s="47" t="n">
        <f aca="false">-MIN(CZ105,In_Loss_Cap*MAX(0,CZ104))</f>
        <v>-0</v>
      </c>
      <c r="DA107" s="47" t="n">
        <f aca="false">-MIN(DA105,In_Loss_Cap*MAX(0,DA104))</f>
        <v>-0</v>
      </c>
      <c r="DB107" s="47" t="n">
        <f aca="false">-MIN(DB105,In_Loss_Cap*MAX(0,DB104))</f>
        <v>-0</v>
      </c>
      <c r="DC107" s="47" t="n">
        <f aca="false">-MIN(DC105,In_Loss_Cap*MAX(0,DC104))</f>
        <v>-0</v>
      </c>
      <c r="DD107" s="47" t="n">
        <f aca="false">-MIN(DD105,In_Loss_Cap*MAX(0,DD104))</f>
        <v>-0</v>
      </c>
      <c r="DE107" s="47" t="n">
        <f aca="false">-MIN(DE105,In_Loss_Cap*MAX(0,DE104))</f>
        <v>-0</v>
      </c>
      <c r="DF107" s="47" t="n">
        <f aca="false">-MIN(DF105,In_Loss_Cap*MAX(0,DF104))</f>
        <v>-0</v>
      </c>
      <c r="DG107" s="47" t="n">
        <f aca="false">-MIN(DG105,In_Loss_Cap*MAX(0,DG104))</f>
        <v>-0</v>
      </c>
      <c r="DH107" s="47" t="n">
        <f aca="false">-MIN(DH105,In_Loss_Cap*MAX(0,DH104))</f>
        <v>-0</v>
      </c>
      <c r="DI107" s="47" t="n">
        <f aca="false">-MIN(DI105,In_Loss_Cap*MAX(0,DI104))</f>
        <v>-0</v>
      </c>
      <c r="DJ107" s="47" t="n">
        <f aca="false">-MIN(DJ105,In_Loss_Cap*MAX(0,DJ104))</f>
        <v>-0</v>
      </c>
      <c r="DK107" s="47" t="n">
        <f aca="false">-MIN(DK105,In_Loss_Cap*MAX(0,DK104))</f>
        <v>-0</v>
      </c>
      <c r="DL107" s="47" t="n">
        <f aca="false">-MIN(DL105,In_Loss_Cap*MAX(0,DL104))</f>
        <v>-0</v>
      </c>
      <c r="DM107" s="47" t="n">
        <f aca="false">-MIN(DM105,In_Loss_Cap*MAX(0,DM104))</f>
        <v>-0</v>
      </c>
      <c r="DN107" s="47" t="n">
        <f aca="false">-MIN(DN105,In_Loss_Cap*MAX(0,DN104))</f>
        <v>-0</v>
      </c>
      <c r="DO107" s="47" t="n">
        <f aca="false">-MIN(DO105,In_Loss_Cap*MAX(0,DO104))</f>
        <v>-0</v>
      </c>
      <c r="DP107" s="47" t="n">
        <f aca="false">-MIN(DP105,In_Loss_Cap*MAX(0,DP104))</f>
        <v>-0</v>
      </c>
      <c r="DQ107" s="47" t="n">
        <f aca="false">-MIN(DQ105,In_Loss_Cap*MAX(0,DQ104))</f>
        <v>-0</v>
      </c>
      <c r="DR107" s="47" t="n">
        <f aca="false">-MIN(DR105,In_Loss_Cap*MAX(0,DR104))</f>
        <v>-0</v>
      </c>
      <c r="DS107" s="47" t="n">
        <f aca="false">-MIN(DS105,In_Loss_Cap*MAX(0,DS104))</f>
        <v>-0</v>
      </c>
      <c r="DT107" s="47" t="n">
        <f aca="false">-MIN(DT105,In_Loss_Cap*MAX(0,DT104))</f>
        <v>-0</v>
      </c>
      <c r="DU107" s="47" t="n">
        <f aca="false">-MIN(DU105,In_Loss_Cap*MAX(0,DU104))</f>
        <v>-0</v>
      </c>
      <c r="DV107" s="47" t="n">
        <f aca="false">-MIN(DV105,In_Loss_Cap*MAX(0,DV104))</f>
        <v>-0</v>
      </c>
      <c r="DW107" s="47" t="n">
        <f aca="false">-MIN(DW105,In_Loss_Cap*MAX(0,DW104))</f>
        <v>-0</v>
      </c>
      <c r="DX107" s="47" t="n">
        <f aca="false">-MIN(DX105,In_Loss_Cap*MAX(0,DX104))</f>
        <v>-0</v>
      </c>
      <c r="DY107" s="47" t="n">
        <f aca="false">-MIN(DY105,In_Loss_Cap*MAX(0,DY104))</f>
        <v>-0</v>
      </c>
      <c r="DZ107" s="47" t="n">
        <f aca="false">-MIN(DZ105,In_Loss_Cap*MAX(0,DZ104))</f>
        <v>-0</v>
      </c>
      <c r="EA107" s="47" t="n">
        <f aca="false">-MIN(EA105,In_Loss_Cap*MAX(0,EA104))</f>
        <v>-0</v>
      </c>
      <c r="EB107" s="47" t="n">
        <f aca="false">-MIN(EB105,In_Loss_Cap*MAX(0,EB104))</f>
        <v>-0</v>
      </c>
      <c r="EC107" s="47" t="n">
        <f aca="false">-MIN(EC105,In_Loss_Cap*MAX(0,EC104))</f>
        <v>-0</v>
      </c>
      <c r="ED107" s="47" t="n">
        <f aca="false">-MIN(ED105,In_Loss_Cap*MAX(0,ED104))</f>
        <v>-0</v>
      </c>
      <c r="EE107" s="47" t="n">
        <f aca="false">-MIN(EE105,In_Loss_Cap*MAX(0,EE104))</f>
        <v>-0</v>
      </c>
      <c r="EF107" s="47" t="n">
        <f aca="false">-MIN(EF105,In_Loss_Cap*MAX(0,EF104))</f>
        <v>-0</v>
      </c>
      <c r="EG107" s="47" t="n">
        <f aca="false">-MIN(EG105,In_Loss_Cap*MAX(0,EG104))</f>
        <v>-0</v>
      </c>
      <c r="EH107" s="47" t="n">
        <f aca="false">-MIN(EH105,In_Loss_Cap*MAX(0,EH104))</f>
        <v>-0</v>
      </c>
      <c r="EI107" s="47" t="n">
        <f aca="false">-MIN(EI105,In_Loss_Cap*MAX(0,EI104))</f>
        <v>-0</v>
      </c>
      <c r="EJ107" s="47" t="n">
        <f aca="false">-MIN(EJ105,In_Loss_Cap*MAX(0,EJ104))</f>
        <v>-0</v>
      </c>
      <c r="EK107" s="47" t="n">
        <f aca="false">-MIN(EK105,In_Loss_Cap*MAX(0,EK104))</f>
        <v>-0</v>
      </c>
      <c r="EL107" s="47" t="n">
        <f aca="false">-MIN(EL105,In_Loss_Cap*MAX(0,EL104))</f>
        <v>-0</v>
      </c>
      <c r="EM107" s="47" t="n">
        <f aca="false">-MIN(EM105,In_Loss_Cap*MAX(0,EM104))</f>
        <v>-0</v>
      </c>
      <c r="EN107" s="47" t="n">
        <f aca="false">-MIN(EN105,In_Loss_Cap*MAX(0,EN104))</f>
        <v>-0</v>
      </c>
      <c r="EO107" s="47" t="n">
        <f aca="false">-MIN(EO105,In_Loss_Cap*MAX(0,EO104))</f>
        <v>-0</v>
      </c>
    </row>
    <row r="108" customFormat="false" ht="15" hidden="false" customHeight="false" outlineLevel="0" collapsed="false">
      <c r="C108" s="0" t="s">
        <v>470</v>
      </c>
      <c r="D108" s="11" t="s">
        <v>33</v>
      </c>
      <c r="E108" s="45" t="n">
        <f aca="false">EDATE(In_NTP,In_Loss_Years*Months_In_Year)</f>
        <v>48852</v>
      </c>
      <c r="I108" s="47" t="n">
        <f aca="false">SUM(J108:EO108)</f>
        <v>0</v>
      </c>
      <c r="J108" s="47" t="n">
        <f aca="false">-(J105+J106+J107)*N(AND(J$3&lt;=$E108,J$4&gt;=$E108))</f>
        <v>-0</v>
      </c>
      <c r="K108" s="47" t="n">
        <f aca="false">-(K105+K106+K107)*N(AND(K$3&lt;=$E108,K$4&gt;=$E108))</f>
        <v>-0</v>
      </c>
      <c r="L108" s="47" t="n">
        <f aca="false">-(L105+L106+L107)*N(AND(L$3&lt;=$E108,L$4&gt;=$E108))</f>
        <v>-0</v>
      </c>
      <c r="M108" s="47" t="n">
        <f aca="false">-(M105+M106+M107)*N(AND(M$3&lt;=$E108,M$4&gt;=$E108))</f>
        <v>-0</v>
      </c>
      <c r="N108" s="47" t="n">
        <f aca="false">-(N105+N106+N107)*N(AND(N$3&lt;=$E108,N$4&gt;=$E108))</f>
        <v>-0</v>
      </c>
      <c r="O108" s="47" t="n">
        <f aca="false">-(O105+O106+O107)*N(AND(O$3&lt;=$E108,O$4&gt;=$E108))</f>
        <v>-0</v>
      </c>
      <c r="P108" s="47" t="n">
        <f aca="false">-(P105+P106+P107)*N(AND(P$3&lt;=$E108,P$4&gt;=$E108))</f>
        <v>-0</v>
      </c>
      <c r="Q108" s="47" t="n">
        <f aca="false">-(Q105+Q106+Q107)*N(AND(Q$3&lt;=$E108,Q$4&gt;=$E108))</f>
        <v>-0</v>
      </c>
      <c r="R108" s="47" t="n">
        <f aca="false">-(R105+R106+R107)*N(AND(R$3&lt;=$E108,R$4&gt;=$E108))</f>
        <v>-0</v>
      </c>
      <c r="S108" s="47" t="n">
        <f aca="false">-(S105+S106+S107)*N(AND(S$3&lt;=$E108,S$4&gt;=$E108))</f>
        <v>-0</v>
      </c>
      <c r="T108" s="47" t="n">
        <f aca="false">-(T105+T106+T107)*N(AND(T$3&lt;=$E108,T$4&gt;=$E108))</f>
        <v>-0</v>
      </c>
      <c r="U108" s="47" t="n">
        <f aca="false">-(U105+U106+U107)*N(AND(U$3&lt;=$E108,U$4&gt;=$E108))</f>
        <v>-0</v>
      </c>
      <c r="V108" s="47" t="n">
        <f aca="false">-(V105+V106+V107)*N(AND(V$3&lt;=$E108,V$4&gt;=$E108))</f>
        <v>-0</v>
      </c>
      <c r="W108" s="47" t="n">
        <f aca="false">-(W105+W106+W107)*N(AND(W$3&lt;=$E108,W$4&gt;=$E108))</f>
        <v>-0</v>
      </c>
      <c r="X108" s="47" t="n">
        <f aca="false">-(X105+X106+X107)*N(AND(X$3&lt;=$E108,X$4&gt;=$E108))</f>
        <v>-0</v>
      </c>
      <c r="Y108" s="47" t="n">
        <f aca="false">-(Y105+Y106+Y107)*N(AND(Y$3&lt;=$E108,Y$4&gt;=$E108))</f>
        <v>-0</v>
      </c>
      <c r="Z108" s="47" t="n">
        <f aca="false">-(Z105+Z106+Z107)*N(AND(Z$3&lt;=$E108,Z$4&gt;=$E108))</f>
        <v>-0</v>
      </c>
      <c r="AA108" s="47" t="n">
        <f aca="false">-(AA105+AA106+AA107)*N(AND(AA$3&lt;=$E108,AA$4&gt;=$E108))</f>
        <v>-0</v>
      </c>
      <c r="AB108" s="47" t="n">
        <f aca="false">-(AB105+AB106+AB107)*N(AND(AB$3&lt;=$E108,AB$4&gt;=$E108))</f>
        <v>-0</v>
      </c>
      <c r="AC108" s="47" t="n">
        <f aca="false">-(AC105+AC106+AC107)*N(AND(AC$3&lt;=$E108,AC$4&gt;=$E108))</f>
        <v>-0</v>
      </c>
      <c r="AD108" s="47" t="n">
        <f aca="false">-(AD105+AD106+AD107)*N(AND(AD$3&lt;=$E108,AD$4&gt;=$E108))</f>
        <v>-0</v>
      </c>
      <c r="AE108" s="47" t="n">
        <f aca="false">-(AE105+AE106+AE107)*N(AND(AE$3&lt;=$E108,AE$4&gt;=$E108))</f>
        <v>-0</v>
      </c>
      <c r="AF108" s="47" t="n">
        <f aca="false">-(AF105+AF106+AF107)*N(AND(AF$3&lt;=$E108,AF$4&gt;=$E108))</f>
        <v>-0</v>
      </c>
      <c r="AG108" s="47" t="n">
        <f aca="false">-(AG105+AG106+AG107)*N(AND(AG$3&lt;=$E108,AG$4&gt;=$E108))</f>
        <v>-0</v>
      </c>
      <c r="AH108" s="47" t="n">
        <f aca="false">-(AH105+AH106+AH107)*N(AND(AH$3&lt;=$E108,AH$4&gt;=$E108))</f>
        <v>-0</v>
      </c>
      <c r="AI108" s="47" t="n">
        <f aca="false">-(AI105+AI106+AI107)*N(AND(AI$3&lt;=$E108,AI$4&gt;=$E108))</f>
        <v>-0</v>
      </c>
      <c r="AJ108" s="47" t="n">
        <f aca="false">-(AJ105+AJ106+AJ107)*N(AND(AJ$3&lt;=$E108,AJ$4&gt;=$E108))</f>
        <v>-0</v>
      </c>
      <c r="AK108" s="47" t="n">
        <f aca="false">-(AK105+AK106+AK107)*N(AND(AK$3&lt;=$E108,AK$4&gt;=$E108))</f>
        <v>-0</v>
      </c>
      <c r="AL108" s="47" t="n">
        <f aca="false">-(AL105+AL106+AL107)*N(AND(AL$3&lt;=$E108,AL$4&gt;=$E108))</f>
        <v>-0</v>
      </c>
      <c r="AM108" s="47" t="n">
        <f aca="false">-(AM105+AM106+AM107)*N(AND(AM$3&lt;=$E108,AM$4&gt;=$E108))</f>
        <v>-0</v>
      </c>
      <c r="AN108" s="47" t="n">
        <f aca="false">-(AN105+AN106+AN107)*N(AND(AN$3&lt;=$E108,AN$4&gt;=$E108))</f>
        <v>-0</v>
      </c>
      <c r="AO108" s="47" t="n">
        <f aca="false">-(AO105+AO106+AO107)*N(AND(AO$3&lt;=$E108,AO$4&gt;=$E108))</f>
        <v>-0</v>
      </c>
      <c r="AP108" s="47" t="n">
        <f aca="false">-(AP105+AP106+AP107)*N(AND(AP$3&lt;=$E108,AP$4&gt;=$E108))</f>
        <v>-0</v>
      </c>
      <c r="AQ108" s="47" t="n">
        <f aca="false">-(AQ105+AQ106+AQ107)*N(AND(AQ$3&lt;=$E108,AQ$4&gt;=$E108))</f>
        <v>-0</v>
      </c>
      <c r="AR108" s="47" t="n">
        <f aca="false">-(AR105+AR106+AR107)*N(AND(AR$3&lt;=$E108,AR$4&gt;=$E108))</f>
        <v>-0</v>
      </c>
      <c r="AS108" s="47" t="n">
        <f aca="false">-(AS105+AS106+AS107)*N(AND(AS$3&lt;=$E108,AS$4&gt;=$E108))</f>
        <v>-0</v>
      </c>
      <c r="AT108" s="47" t="n">
        <f aca="false">-(AT105+AT106+AT107)*N(AND(AT$3&lt;=$E108,AT$4&gt;=$E108))</f>
        <v>-0</v>
      </c>
      <c r="AU108" s="47" t="n">
        <f aca="false">-(AU105+AU106+AU107)*N(AND(AU$3&lt;=$E108,AU$4&gt;=$E108))</f>
        <v>-0</v>
      </c>
      <c r="AV108" s="47" t="n">
        <f aca="false">-(AV105+AV106+AV107)*N(AND(AV$3&lt;=$E108,AV$4&gt;=$E108))</f>
        <v>-0</v>
      </c>
      <c r="AW108" s="47" t="n">
        <f aca="false">-(AW105+AW106+AW107)*N(AND(AW$3&lt;=$E108,AW$4&gt;=$E108))</f>
        <v>-0</v>
      </c>
      <c r="AX108" s="47" t="n">
        <f aca="false">-(AX105+AX106+AX107)*N(AND(AX$3&lt;=$E108,AX$4&gt;=$E108))</f>
        <v>-0</v>
      </c>
      <c r="AY108" s="47" t="n">
        <f aca="false">-(AY105+AY106+AY107)*N(AND(AY$3&lt;=$E108,AY$4&gt;=$E108))</f>
        <v>-0</v>
      </c>
      <c r="AZ108" s="47" t="n">
        <f aca="false">-(AZ105+AZ106+AZ107)*N(AND(AZ$3&lt;=$E108,AZ$4&gt;=$E108))</f>
        <v>-0</v>
      </c>
      <c r="BA108" s="47" t="n">
        <f aca="false">-(BA105+BA106+BA107)*N(AND(BA$3&lt;=$E108,BA$4&gt;=$E108))</f>
        <v>-0</v>
      </c>
      <c r="BB108" s="47" t="n">
        <f aca="false">-(BB105+BB106+BB107)*N(AND(BB$3&lt;=$E108,BB$4&gt;=$E108))</f>
        <v>-0</v>
      </c>
      <c r="BC108" s="47" t="n">
        <f aca="false">-(BC105+BC106+BC107)*N(AND(BC$3&lt;=$E108,BC$4&gt;=$E108))</f>
        <v>-0</v>
      </c>
      <c r="BD108" s="47" t="n">
        <f aca="false">-(BD105+BD106+BD107)*N(AND(BD$3&lt;=$E108,BD$4&gt;=$E108))</f>
        <v>-0</v>
      </c>
      <c r="BE108" s="47" t="n">
        <f aca="false">-(BE105+BE106+BE107)*N(AND(BE$3&lt;=$E108,BE$4&gt;=$E108))</f>
        <v>-0</v>
      </c>
      <c r="BF108" s="47" t="n">
        <f aca="false">-(BF105+BF106+BF107)*N(AND(BF$3&lt;=$E108,BF$4&gt;=$E108))</f>
        <v>-0</v>
      </c>
      <c r="BG108" s="47" t="n">
        <f aca="false">-(BG105+BG106+BG107)*N(AND(BG$3&lt;=$E108,BG$4&gt;=$E108))</f>
        <v>-0</v>
      </c>
      <c r="BH108" s="47" t="n">
        <f aca="false">-(BH105+BH106+BH107)*N(AND(BH$3&lt;=$E108,BH$4&gt;=$E108))</f>
        <v>-0</v>
      </c>
      <c r="BI108" s="47" t="n">
        <f aca="false">-(BI105+BI106+BI107)*N(AND(BI$3&lt;=$E108,BI$4&gt;=$E108))</f>
        <v>-0</v>
      </c>
      <c r="BJ108" s="47" t="n">
        <f aca="false">-(BJ105+BJ106+BJ107)*N(AND(BJ$3&lt;=$E108,BJ$4&gt;=$E108))</f>
        <v>-0</v>
      </c>
      <c r="BK108" s="47" t="n">
        <f aca="false">-(BK105+BK106+BK107)*N(AND(BK$3&lt;=$E108,BK$4&gt;=$E108))</f>
        <v>-0</v>
      </c>
      <c r="BL108" s="47" t="n">
        <f aca="false">-(BL105+BL106+BL107)*N(AND(BL$3&lt;=$E108,BL$4&gt;=$E108))</f>
        <v>-0</v>
      </c>
      <c r="BM108" s="47" t="n">
        <f aca="false">-(BM105+BM106+BM107)*N(AND(BM$3&lt;=$E108,BM$4&gt;=$E108))</f>
        <v>-0</v>
      </c>
      <c r="BN108" s="47" t="n">
        <f aca="false">-(BN105+BN106+BN107)*N(AND(BN$3&lt;=$E108,BN$4&gt;=$E108))</f>
        <v>-0</v>
      </c>
      <c r="BO108" s="47" t="n">
        <f aca="false">-(BO105+BO106+BO107)*N(AND(BO$3&lt;=$E108,BO$4&gt;=$E108))</f>
        <v>-0</v>
      </c>
      <c r="BP108" s="47" t="n">
        <f aca="false">-(BP105+BP106+BP107)*N(AND(BP$3&lt;=$E108,BP$4&gt;=$E108))</f>
        <v>-0</v>
      </c>
      <c r="BQ108" s="47" t="n">
        <f aca="false">-(BQ105+BQ106+BQ107)*N(AND(BQ$3&lt;=$E108,BQ$4&gt;=$E108))</f>
        <v>-0</v>
      </c>
      <c r="BR108" s="47" t="n">
        <f aca="false">-(BR105+BR106+BR107)*N(AND(BR$3&lt;=$E108,BR$4&gt;=$E108))</f>
        <v>-0</v>
      </c>
      <c r="BS108" s="47" t="n">
        <f aca="false">-(BS105+BS106+BS107)*N(AND(BS$3&lt;=$E108,BS$4&gt;=$E108))</f>
        <v>-0</v>
      </c>
      <c r="BT108" s="47" t="n">
        <f aca="false">-(BT105+BT106+BT107)*N(AND(BT$3&lt;=$E108,BT$4&gt;=$E108))</f>
        <v>-0</v>
      </c>
      <c r="BU108" s="47" t="n">
        <f aca="false">-(BU105+BU106+BU107)*N(AND(BU$3&lt;=$E108,BU$4&gt;=$E108))</f>
        <v>-0</v>
      </c>
      <c r="BV108" s="47" t="n">
        <f aca="false">-(BV105+BV106+BV107)*N(AND(BV$3&lt;=$E108,BV$4&gt;=$E108))</f>
        <v>-0</v>
      </c>
      <c r="BW108" s="47" t="n">
        <f aca="false">-(BW105+BW106+BW107)*N(AND(BW$3&lt;=$E108,BW$4&gt;=$E108))</f>
        <v>-0</v>
      </c>
      <c r="BX108" s="47" t="n">
        <f aca="false">-(BX105+BX106+BX107)*N(AND(BX$3&lt;=$E108,BX$4&gt;=$E108))</f>
        <v>-0</v>
      </c>
      <c r="BY108" s="47" t="n">
        <f aca="false">-(BY105+BY106+BY107)*N(AND(BY$3&lt;=$E108,BY$4&gt;=$E108))</f>
        <v>-0</v>
      </c>
      <c r="BZ108" s="47" t="n">
        <f aca="false">-(BZ105+BZ106+BZ107)*N(AND(BZ$3&lt;=$E108,BZ$4&gt;=$E108))</f>
        <v>-0</v>
      </c>
      <c r="CA108" s="47" t="n">
        <f aca="false">-(CA105+CA106+CA107)*N(AND(CA$3&lt;=$E108,CA$4&gt;=$E108))</f>
        <v>-0</v>
      </c>
      <c r="CB108" s="47" t="n">
        <f aca="false">-(CB105+CB106+CB107)*N(AND(CB$3&lt;=$E108,CB$4&gt;=$E108))</f>
        <v>-0</v>
      </c>
      <c r="CC108" s="47" t="n">
        <f aca="false">-(CC105+CC106+CC107)*N(AND(CC$3&lt;=$E108,CC$4&gt;=$E108))</f>
        <v>-0</v>
      </c>
      <c r="CD108" s="47" t="n">
        <f aca="false">-(CD105+CD106+CD107)*N(AND(CD$3&lt;=$E108,CD$4&gt;=$E108))</f>
        <v>-0</v>
      </c>
      <c r="CE108" s="47" t="n">
        <f aca="false">-(CE105+CE106+CE107)*N(AND(CE$3&lt;=$E108,CE$4&gt;=$E108))</f>
        <v>-0</v>
      </c>
      <c r="CF108" s="47" t="n">
        <f aca="false">-(CF105+CF106+CF107)*N(AND(CF$3&lt;=$E108,CF$4&gt;=$E108))</f>
        <v>-0</v>
      </c>
      <c r="CG108" s="47" t="n">
        <f aca="false">-(CG105+CG106+CG107)*N(AND(CG$3&lt;=$E108,CG$4&gt;=$E108))</f>
        <v>-0</v>
      </c>
      <c r="CH108" s="47" t="n">
        <f aca="false">-(CH105+CH106+CH107)*N(AND(CH$3&lt;=$E108,CH$4&gt;=$E108))</f>
        <v>-0</v>
      </c>
      <c r="CI108" s="47" t="n">
        <f aca="false">-(CI105+CI106+CI107)*N(AND(CI$3&lt;=$E108,CI$4&gt;=$E108))</f>
        <v>-0</v>
      </c>
      <c r="CJ108" s="47" t="n">
        <f aca="false">-(CJ105+CJ106+CJ107)*N(AND(CJ$3&lt;=$E108,CJ$4&gt;=$E108))</f>
        <v>-0</v>
      </c>
      <c r="CK108" s="47" t="n">
        <f aca="false">-(CK105+CK106+CK107)*N(AND(CK$3&lt;=$E108,CK$4&gt;=$E108))</f>
        <v>-0</v>
      </c>
      <c r="CL108" s="47" t="n">
        <f aca="false">-(CL105+CL106+CL107)*N(AND(CL$3&lt;=$E108,CL$4&gt;=$E108))</f>
        <v>-0</v>
      </c>
      <c r="CM108" s="47" t="n">
        <f aca="false">-(CM105+CM106+CM107)*N(AND(CM$3&lt;=$E108,CM$4&gt;=$E108))</f>
        <v>-0</v>
      </c>
      <c r="CN108" s="47" t="n">
        <f aca="false">-(CN105+CN106+CN107)*N(AND(CN$3&lt;=$E108,CN$4&gt;=$E108))</f>
        <v>-0</v>
      </c>
      <c r="CO108" s="47" t="n">
        <f aca="false">-(CO105+CO106+CO107)*N(AND(CO$3&lt;=$E108,CO$4&gt;=$E108))</f>
        <v>-0</v>
      </c>
      <c r="CP108" s="47" t="n">
        <f aca="false">-(CP105+CP106+CP107)*N(AND(CP$3&lt;=$E108,CP$4&gt;=$E108))</f>
        <v>-0</v>
      </c>
      <c r="CQ108" s="47" t="n">
        <f aca="false">-(CQ105+CQ106+CQ107)*N(AND(CQ$3&lt;=$E108,CQ$4&gt;=$E108))</f>
        <v>-0</v>
      </c>
      <c r="CR108" s="47" t="n">
        <f aca="false">-(CR105+CR106+CR107)*N(AND(CR$3&lt;=$E108,CR$4&gt;=$E108))</f>
        <v>-0</v>
      </c>
      <c r="CS108" s="47" t="n">
        <f aca="false">-(CS105+CS106+CS107)*N(AND(CS$3&lt;=$E108,CS$4&gt;=$E108))</f>
        <v>-0</v>
      </c>
      <c r="CT108" s="47" t="n">
        <f aca="false">-(CT105+CT106+CT107)*N(AND(CT$3&lt;=$E108,CT$4&gt;=$E108))</f>
        <v>-0</v>
      </c>
      <c r="CU108" s="47" t="n">
        <f aca="false">-(CU105+CU106+CU107)*N(AND(CU$3&lt;=$E108,CU$4&gt;=$E108))</f>
        <v>-0</v>
      </c>
      <c r="CV108" s="47" t="n">
        <f aca="false">-(CV105+CV106+CV107)*N(AND(CV$3&lt;=$E108,CV$4&gt;=$E108))</f>
        <v>-0</v>
      </c>
      <c r="CW108" s="47" t="n">
        <f aca="false">-(CW105+CW106+CW107)*N(AND(CW$3&lt;=$E108,CW$4&gt;=$E108))</f>
        <v>-0</v>
      </c>
      <c r="CX108" s="47" t="n">
        <f aca="false">-(CX105+CX106+CX107)*N(AND(CX$3&lt;=$E108,CX$4&gt;=$E108))</f>
        <v>-0</v>
      </c>
      <c r="CY108" s="47" t="n">
        <f aca="false">-(CY105+CY106+CY107)*N(AND(CY$3&lt;=$E108,CY$4&gt;=$E108))</f>
        <v>-0</v>
      </c>
      <c r="CZ108" s="47" t="n">
        <f aca="false">-(CZ105+CZ106+CZ107)*N(AND(CZ$3&lt;=$E108,CZ$4&gt;=$E108))</f>
        <v>-0</v>
      </c>
      <c r="DA108" s="47" t="n">
        <f aca="false">-(DA105+DA106+DA107)*N(AND(DA$3&lt;=$E108,DA$4&gt;=$E108))</f>
        <v>-0</v>
      </c>
      <c r="DB108" s="47" t="n">
        <f aca="false">-(DB105+DB106+DB107)*N(AND(DB$3&lt;=$E108,DB$4&gt;=$E108))</f>
        <v>-0</v>
      </c>
      <c r="DC108" s="47" t="n">
        <f aca="false">-(DC105+DC106+DC107)*N(AND(DC$3&lt;=$E108,DC$4&gt;=$E108))</f>
        <v>-0</v>
      </c>
      <c r="DD108" s="47" t="n">
        <f aca="false">-(DD105+DD106+DD107)*N(AND(DD$3&lt;=$E108,DD$4&gt;=$E108))</f>
        <v>-0</v>
      </c>
      <c r="DE108" s="47" t="n">
        <f aca="false">-(DE105+DE106+DE107)*N(AND(DE$3&lt;=$E108,DE$4&gt;=$E108))</f>
        <v>-0</v>
      </c>
      <c r="DF108" s="47" t="n">
        <f aca="false">-(DF105+DF106+DF107)*N(AND(DF$3&lt;=$E108,DF$4&gt;=$E108))</f>
        <v>-0</v>
      </c>
      <c r="DG108" s="47" t="n">
        <f aca="false">-(DG105+DG106+DG107)*N(AND(DG$3&lt;=$E108,DG$4&gt;=$E108))</f>
        <v>-0</v>
      </c>
      <c r="DH108" s="47" t="n">
        <f aca="false">-(DH105+DH106+DH107)*N(AND(DH$3&lt;=$E108,DH$4&gt;=$E108))</f>
        <v>-0</v>
      </c>
      <c r="DI108" s="47" t="n">
        <f aca="false">-(DI105+DI106+DI107)*N(AND(DI$3&lt;=$E108,DI$4&gt;=$E108))</f>
        <v>-0</v>
      </c>
      <c r="DJ108" s="47" t="n">
        <f aca="false">-(DJ105+DJ106+DJ107)*N(AND(DJ$3&lt;=$E108,DJ$4&gt;=$E108))</f>
        <v>-0</v>
      </c>
      <c r="DK108" s="47" t="n">
        <f aca="false">-(DK105+DK106+DK107)*N(AND(DK$3&lt;=$E108,DK$4&gt;=$E108))</f>
        <v>-0</v>
      </c>
      <c r="DL108" s="47" t="n">
        <f aca="false">-(DL105+DL106+DL107)*N(AND(DL$3&lt;=$E108,DL$4&gt;=$E108))</f>
        <v>-0</v>
      </c>
      <c r="DM108" s="47" t="n">
        <f aca="false">-(DM105+DM106+DM107)*N(AND(DM$3&lt;=$E108,DM$4&gt;=$E108))</f>
        <v>-0</v>
      </c>
      <c r="DN108" s="47" t="n">
        <f aca="false">-(DN105+DN106+DN107)*N(AND(DN$3&lt;=$E108,DN$4&gt;=$E108))</f>
        <v>-0</v>
      </c>
      <c r="DO108" s="47" t="n">
        <f aca="false">-(DO105+DO106+DO107)*N(AND(DO$3&lt;=$E108,DO$4&gt;=$E108))</f>
        <v>-0</v>
      </c>
      <c r="DP108" s="47" t="n">
        <f aca="false">-(DP105+DP106+DP107)*N(AND(DP$3&lt;=$E108,DP$4&gt;=$E108))</f>
        <v>-0</v>
      </c>
      <c r="DQ108" s="47" t="n">
        <f aca="false">-(DQ105+DQ106+DQ107)*N(AND(DQ$3&lt;=$E108,DQ$4&gt;=$E108))</f>
        <v>-0</v>
      </c>
      <c r="DR108" s="47" t="n">
        <f aca="false">-(DR105+DR106+DR107)*N(AND(DR$3&lt;=$E108,DR$4&gt;=$E108))</f>
        <v>-0</v>
      </c>
      <c r="DS108" s="47" t="n">
        <f aca="false">-(DS105+DS106+DS107)*N(AND(DS$3&lt;=$E108,DS$4&gt;=$E108))</f>
        <v>-0</v>
      </c>
      <c r="DT108" s="47" t="n">
        <f aca="false">-(DT105+DT106+DT107)*N(AND(DT$3&lt;=$E108,DT$4&gt;=$E108))</f>
        <v>-0</v>
      </c>
      <c r="DU108" s="47" t="n">
        <f aca="false">-(DU105+DU106+DU107)*N(AND(DU$3&lt;=$E108,DU$4&gt;=$E108))</f>
        <v>-0</v>
      </c>
      <c r="DV108" s="47" t="n">
        <f aca="false">-(DV105+DV106+DV107)*N(AND(DV$3&lt;=$E108,DV$4&gt;=$E108))</f>
        <v>-0</v>
      </c>
      <c r="DW108" s="47" t="n">
        <f aca="false">-(DW105+DW106+DW107)*N(AND(DW$3&lt;=$E108,DW$4&gt;=$E108))</f>
        <v>-0</v>
      </c>
      <c r="DX108" s="47" t="n">
        <f aca="false">-(DX105+DX106+DX107)*N(AND(DX$3&lt;=$E108,DX$4&gt;=$E108))</f>
        <v>-0</v>
      </c>
      <c r="DY108" s="47" t="n">
        <f aca="false">-(DY105+DY106+DY107)*N(AND(DY$3&lt;=$E108,DY$4&gt;=$E108))</f>
        <v>-0</v>
      </c>
      <c r="DZ108" s="47" t="n">
        <f aca="false">-(DZ105+DZ106+DZ107)*N(AND(DZ$3&lt;=$E108,DZ$4&gt;=$E108))</f>
        <v>-0</v>
      </c>
      <c r="EA108" s="47" t="n">
        <f aca="false">-(EA105+EA106+EA107)*N(AND(EA$3&lt;=$E108,EA$4&gt;=$E108))</f>
        <v>-0</v>
      </c>
      <c r="EB108" s="47" t="n">
        <f aca="false">-(EB105+EB106+EB107)*N(AND(EB$3&lt;=$E108,EB$4&gt;=$E108))</f>
        <v>-0</v>
      </c>
      <c r="EC108" s="47" t="n">
        <f aca="false">-(EC105+EC106+EC107)*N(AND(EC$3&lt;=$E108,EC$4&gt;=$E108))</f>
        <v>-0</v>
      </c>
      <c r="ED108" s="47" t="n">
        <f aca="false">-(ED105+ED106+ED107)*N(AND(ED$3&lt;=$E108,ED$4&gt;=$E108))</f>
        <v>-0</v>
      </c>
      <c r="EE108" s="47" t="n">
        <f aca="false">-(EE105+EE106+EE107)*N(AND(EE$3&lt;=$E108,EE$4&gt;=$E108))</f>
        <v>-0</v>
      </c>
      <c r="EF108" s="47" t="n">
        <f aca="false">-(EF105+EF106+EF107)*N(AND(EF$3&lt;=$E108,EF$4&gt;=$E108))</f>
        <v>-0</v>
      </c>
      <c r="EG108" s="47" t="n">
        <f aca="false">-(EG105+EG106+EG107)*N(AND(EG$3&lt;=$E108,EG$4&gt;=$E108))</f>
        <v>-0</v>
      </c>
      <c r="EH108" s="47" t="n">
        <f aca="false">-(EH105+EH106+EH107)*N(AND(EH$3&lt;=$E108,EH$4&gt;=$E108))</f>
        <v>-0</v>
      </c>
      <c r="EI108" s="47" t="n">
        <f aca="false">-(EI105+EI106+EI107)*N(AND(EI$3&lt;=$E108,EI$4&gt;=$E108))</f>
        <v>-0</v>
      </c>
      <c r="EJ108" s="47" t="n">
        <f aca="false">-(EJ105+EJ106+EJ107)*N(AND(EJ$3&lt;=$E108,EJ$4&gt;=$E108))</f>
        <v>-0</v>
      </c>
      <c r="EK108" s="47" t="n">
        <f aca="false">-(EK105+EK106+EK107)*N(AND(EK$3&lt;=$E108,EK$4&gt;=$E108))</f>
        <v>-0</v>
      </c>
      <c r="EL108" s="47" t="n">
        <f aca="false">-(EL105+EL106+EL107)*N(AND(EL$3&lt;=$E108,EL$4&gt;=$E108))</f>
        <v>-0</v>
      </c>
      <c r="EM108" s="47" t="n">
        <f aca="false">-(EM105+EM106+EM107)*N(AND(EM$3&lt;=$E108,EM$4&gt;=$E108))</f>
        <v>-0</v>
      </c>
      <c r="EN108" s="47" t="n">
        <f aca="false">-(EN105+EN106+EN107)*N(AND(EN$3&lt;=$E108,EN$4&gt;=$E108))</f>
        <v>-0</v>
      </c>
      <c r="EO108" s="47" t="n">
        <f aca="false">-(EO105+EO106+EO107)*N(AND(EO$3&lt;=$E108,EO$4&gt;=$E108))</f>
        <v>-0</v>
      </c>
    </row>
    <row r="109" customFormat="false" ht="15" hidden="false" customHeight="false" outlineLevel="0" collapsed="false">
      <c r="C109" s="0" t="s">
        <v>471</v>
      </c>
      <c r="D109" s="11" t="s">
        <v>33</v>
      </c>
      <c r="I109" s="58"/>
      <c r="J109" s="47" t="n">
        <f aca="false">SUM(J105:J108)</f>
        <v>12.8099380746857</v>
      </c>
      <c r="K109" s="47" t="n">
        <f aca="false">SUM(K105:K108)</f>
        <v>32.4846237568024</v>
      </c>
      <c r="L109" s="47" t="n">
        <f aca="false">SUM(L105:L108)</f>
        <v>65.6401125914806</v>
      </c>
      <c r="M109" s="47" t="n">
        <f aca="false">SUM(M105:M108)</f>
        <v>99.1599474573091</v>
      </c>
      <c r="N109" s="47" t="n">
        <f aca="false">SUM(N105:N108)</f>
        <v>132.679782323138</v>
      </c>
      <c r="O109" s="47" t="n">
        <f aca="false">SUM(O105:O108)</f>
        <v>165.835271157816</v>
      </c>
      <c r="P109" s="47" t="n">
        <f aca="false">SUM(P105:P108)</f>
        <v>198.990759992494</v>
      </c>
      <c r="Q109" s="47" t="n">
        <f aca="false">SUM(Q105:Q108)</f>
        <v>232.510594858322</v>
      </c>
      <c r="R109" s="47" t="n">
        <f aca="false">SUM(R105:R108)</f>
        <v>1142.99956746376</v>
      </c>
      <c r="S109" s="47" t="n">
        <f aca="false">SUM(S105:S108)</f>
        <v>1297.80039077479</v>
      </c>
      <c r="T109" s="47" t="n">
        <f aca="false">SUM(T105:T108)</f>
        <v>1434.65410896264</v>
      </c>
      <c r="U109" s="47" t="n">
        <f aca="false">SUM(U105:U108)</f>
        <v>1563.19514158801</v>
      </c>
      <c r="V109" s="47" t="n">
        <f aca="false">SUM(V105:V108)</f>
        <v>1681.81172721395</v>
      </c>
      <c r="W109" s="47" t="n">
        <f aca="false">SUM(W105:W108)</f>
        <v>1789.18292443435</v>
      </c>
      <c r="X109" s="47" t="n">
        <f aca="false">SUM(X105:X108)</f>
        <v>1888.14396613331</v>
      </c>
      <c r="Y109" s="47" t="n">
        <f aca="false">SUM(Y105:Y108)</f>
        <v>1978.37591923145</v>
      </c>
      <c r="Z109" s="47" t="n">
        <f aca="false">SUM(Z105:Z108)</f>
        <v>1576.05578697835</v>
      </c>
      <c r="AA109" s="47" t="n">
        <f aca="false">SUM(AA105:AA108)</f>
        <v>1177.98025783647</v>
      </c>
      <c r="AB109" s="47" t="n">
        <f aca="false">SUM(AB105:AB108)</f>
        <v>770.255734411361</v>
      </c>
      <c r="AC109" s="47" t="n">
        <f aca="false">SUM(AC105:AC108)</f>
        <v>352.793245737003</v>
      </c>
      <c r="AD109" s="47" t="n">
        <f aca="false">SUM(AD105:AD108)</f>
        <v>0</v>
      </c>
      <c r="AE109" s="47" t="n">
        <f aca="false">SUM(AE105:AE108)</f>
        <v>0</v>
      </c>
      <c r="AF109" s="47" t="n">
        <f aca="false">SUM(AF105:AF108)</f>
        <v>0</v>
      </c>
      <c r="AG109" s="47" t="n">
        <f aca="false">SUM(AG105:AG108)</f>
        <v>0</v>
      </c>
      <c r="AH109" s="47" t="n">
        <f aca="false">SUM(AH105:AH108)</f>
        <v>0</v>
      </c>
      <c r="AI109" s="47" t="n">
        <f aca="false">SUM(AI105:AI108)</f>
        <v>0</v>
      </c>
      <c r="AJ109" s="47" t="n">
        <f aca="false">SUM(AJ105:AJ108)</f>
        <v>0</v>
      </c>
      <c r="AK109" s="47" t="n">
        <f aca="false">SUM(AK105:AK108)</f>
        <v>0</v>
      </c>
      <c r="AL109" s="47" t="n">
        <f aca="false">SUM(AL105:AL108)</f>
        <v>0</v>
      </c>
      <c r="AM109" s="47" t="n">
        <f aca="false">SUM(AM105:AM108)</f>
        <v>0</v>
      </c>
      <c r="AN109" s="47" t="n">
        <f aca="false">SUM(AN105:AN108)</f>
        <v>0</v>
      </c>
      <c r="AO109" s="47" t="n">
        <f aca="false">SUM(AO105:AO108)</f>
        <v>0</v>
      </c>
      <c r="AP109" s="47" t="n">
        <f aca="false">SUM(AP105:AP108)</f>
        <v>0</v>
      </c>
      <c r="AQ109" s="47" t="n">
        <f aca="false">SUM(AQ105:AQ108)</f>
        <v>0</v>
      </c>
      <c r="AR109" s="47" t="n">
        <f aca="false">SUM(AR105:AR108)</f>
        <v>0</v>
      </c>
      <c r="AS109" s="47" t="n">
        <f aca="false">SUM(AS105:AS108)</f>
        <v>0</v>
      </c>
      <c r="AT109" s="47" t="n">
        <f aca="false">SUM(AT105:AT108)</f>
        <v>0</v>
      </c>
      <c r="AU109" s="47" t="n">
        <f aca="false">SUM(AU105:AU108)</f>
        <v>0</v>
      </c>
      <c r="AV109" s="47" t="n">
        <f aca="false">SUM(AV105:AV108)</f>
        <v>0</v>
      </c>
      <c r="AW109" s="47" t="n">
        <f aca="false">SUM(AW105:AW108)</f>
        <v>0</v>
      </c>
      <c r="AX109" s="47" t="n">
        <f aca="false">SUM(AX105:AX108)</f>
        <v>0</v>
      </c>
      <c r="AY109" s="47" t="n">
        <f aca="false">SUM(AY105:AY108)</f>
        <v>0</v>
      </c>
      <c r="AZ109" s="47" t="n">
        <f aca="false">SUM(AZ105:AZ108)</f>
        <v>0</v>
      </c>
      <c r="BA109" s="47" t="n">
        <f aca="false">SUM(BA105:BA108)</f>
        <v>0</v>
      </c>
      <c r="BB109" s="47" t="n">
        <f aca="false">SUM(BB105:BB108)</f>
        <v>0</v>
      </c>
      <c r="BC109" s="47" t="n">
        <f aca="false">SUM(BC105:BC108)</f>
        <v>0</v>
      </c>
      <c r="BD109" s="47" t="n">
        <f aca="false">SUM(BD105:BD108)</f>
        <v>0</v>
      </c>
      <c r="BE109" s="47" t="n">
        <f aca="false">SUM(BE105:BE108)</f>
        <v>0</v>
      </c>
      <c r="BF109" s="47" t="n">
        <f aca="false">SUM(BF105:BF108)</f>
        <v>0</v>
      </c>
      <c r="BG109" s="47" t="n">
        <f aca="false">SUM(BG105:BG108)</f>
        <v>0</v>
      </c>
      <c r="BH109" s="47" t="n">
        <f aca="false">SUM(BH105:BH108)</f>
        <v>0</v>
      </c>
      <c r="BI109" s="47" t="n">
        <f aca="false">SUM(BI105:BI108)</f>
        <v>0</v>
      </c>
      <c r="BJ109" s="47" t="n">
        <f aca="false">SUM(BJ105:BJ108)</f>
        <v>0</v>
      </c>
      <c r="BK109" s="47" t="n">
        <f aca="false">SUM(BK105:BK108)</f>
        <v>0</v>
      </c>
      <c r="BL109" s="47" t="n">
        <f aca="false">SUM(BL105:BL108)</f>
        <v>0</v>
      </c>
      <c r="BM109" s="47" t="n">
        <f aca="false">SUM(BM105:BM108)</f>
        <v>0</v>
      </c>
      <c r="BN109" s="47" t="n">
        <f aca="false">SUM(BN105:BN108)</f>
        <v>0</v>
      </c>
      <c r="BO109" s="47" t="n">
        <f aca="false">SUM(BO105:BO108)</f>
        <v>0</v>
      </c>
      <c r="BP109" s="47" t="n">
        <f aca="false">SUM(BP105:BP108)</f>
        <v>0</v>
      </c>
      <c r="BQ109" s="47" t="n">
        <f aca="false">SUM(BQ105:BQ108)</f>
        <v>0</v>
      </c>
      <c r="BR109" s="47" t="n">
        <f aca="false">SUM(BR105:BR108)</f>
        <v>0</v>
      </c>
      <c r="BS109" s="47" t="n">
        <f aca="false">SUM(BS105:BS108)</f>
        <v>0</v>
      </c>
      <c r="BT109" s="47" t="n">
        <f aca="false">SUM(BT105:BT108)</f>
        <v>0</v>
      </c>
      <c r="BU109" s="47" t="n">
        <f aca="false">SUM(BU105:BU108)</f>
        <v>0</v>
      </c>
      <c r="BV109" s="47" t="n">
        <f aca="false">SUM(BV105:BV108)</f>
        <v>0</v>
      </c>
      <c r="BW109" s="47" t="n">
        <f aca="false">SUM(BW105:BW108)</f>
        <v>0</v>
      </c>
      <c r="BX109" s="47" t="n">
        <f aca="false">SUM(BX105:BX108)</f>
        <v>0</v>
      </c>
      <c r="BY109" s="47" t="n">
        <f aca="false">SUM(BY105:BY108)</f>
        <v>0</v>
      </c>
      <c r="BZ109" s="47" t="n">
        <f aca="false">SUM(BZ105:BZ108)</f>
        <v>0</v>
      </c>
      <c r="CA109" s="47" t="n">
        <f aca="false">SUM(CA105:CA108)</f>
        <v>0</v>
      </c>
      <c r="CB109" s="47" t="n">
        <f aca="false">SUM(CB105:CB108)</f>
        <v>0</v>
      </c>
      <c r="CC109" s="47" t="n">
        <f aca="false">SUM(CC105:CC108)</f>
        <v>0</v>
      </c>
      <c r="CD109" s="47" t="n">
        <f aca="false">SUM(CD105:CD108)</f>
        <v>0</v>
      </c>
      <c r="CE109" s="47" t="n">
        <f aca="false">SUM(CE105:CE108)</f>
        <v>0</v>
      </c>
      <c r="CF109" s="47" t="n">
        <f aca="false">SUM(CF105:CF108)</f>
        <v>0</v>
      </c>
      <c r="CG109" s="47" t="n">
        <f aca="false">SUM(CG105:CG108)</f>
        <v>0</v>
      </c>
      <c r="CH109" s="47" t="n">
        <f aca="false">SUM(CH105:CH108)</f>
        <v>0</v>
      </c>
      <c r="CI109" s="47" t="n">
        <f aca="false">SUM(CI105:CI108)</f>
        <v>0</v>
      </c>
      <c r="CJ109" s="47" t="n">
        <f aca="false">SUM(CJ105:CJ108)</f>
        <v>0</v>
      </c>
      <c r="CK109" s="47" t="n">
        <f aca="false">SUM(CK105:CK108)</f>
        <v>0</v>
      </c>
      <c r="CL109" s="47" t="n">
        <f aca="false">SUM(CL105:CL108)</f>
        <v>0</v>
      </c>
      <c r="CM109" s="47" t="n">
        <f aca="false">SUM(CM105:CM108)</f>
        <v>0</v>
      </c>
      <c r="CN109" s="47" t="n">
        <f aca="false">SUM(CN105:CN108)</f>
        <v>0</v>
      </c>
      <c r="CO109" s="47" t="n">
        <f aca="false">SUM(CO105:CO108)</f>
        <v>0</v>
      </c>
      <c r="CP109" s="47" t="n">
        <f aca="false">SUM(CP105:CP108)</f>
        <v>0</v>
      </c>
      <c r="CQ109" s="47" t="n">
        <f aca="false">SUM(CQ105:CQ108)</f>
        <v>0</v>
      </c>
      <c r="CR109" s="47" t="n">
        <f aca="false">SUM(CR105:CR108)</f>
        <v>0</v>
      </c>
      <c r="CS109" s="47" t="n">
        <f aca="false">SUM(CS105:CS108)</f>
        <v>0</v>
      </c>
      <c r="CT109" s="47" t="n">
        <f aca="false">SUM(CT105:CT108)</f>
        <v>0</v>
      </c>
      <c r="CU109" s="47" t="n">
        <f aca="false">SUM(CU105:CU108)</f>
        <v>0</v>
      </c>
      <c r="CV109" s="47" t="n">
        <f aca="false">SUM(CV105:CV108)</f>
        <v>0</v>
      </c>
      <c r="CW109" s="47" t="n">
        <f aca="false">SUM(CW105:CW108)</f>
        <v>0</v>
      </c>
      <c r="CX109" s="47" t="n">
        <f aca="false">SUM(CX105:CX108)</f>
        <v>0</v>
      </c>
      <c r="CY109" s="47" t="n">
        <f aca="false">SUM(CY105:CY108)</f>
        <v>0</v>
      </c>
      <c r="CZ109" s="47" t="n">
        <f aca="false">SUM(CZ105:CZ108)</f>
        <v>0</v>
      </c>
      <c r="DA109" s="47" t="n">
        <f aca="false">SUM(DA105:DA108)</f>
        <v>0</v>
      </c>
      <c r="DB109" s="47" t="n">
        <f aca="false">SUM(DB105:DB108)</f>
        <v>0</v>
      </c>
      <c r="DC109" s="47" t="n">
        <f aca="false">SUM(DC105:DC108)</f>
        <v>0</v>
      </c>
      <c r="DD109" s="47" t="n">
        <f aca="false">SUM(DD105:DD108)</f>
        <v>0</v>
      </c>
      <c r="DE109" s="47" t="n">
        <f aca="false">SUM(DE105:DE108)</f>
        <v>0</v>
      </c>
      <c r="DF109" s="47" t="n">
        <f aca="false">SUM(DF105:DF108)</f>
        <v>0</v>
      </c>
      <c r="DG109" s="47" t="n">
        <f aca="false">SUM(DG105:DG108)</f>
        <v>0</v>
      </c>
      <c r="DH109" s="47" t="n">
        <f aca="false">SUM(DH105:DH108)</f>
        <v>0</v>
      </c>
      <c r="DI109" s="47" t="n">
        <f aca="false">SUM(DI105:DI108)</f>
        <v>0</v>
      </c>
      <c r="DJ109" s="47" t="n">
        <f aca="false">SUM(DJ105:DJ108)</f>
        <v>0</v>
      </c>
      <c r="DK109" s="47" t="n">
        <f aca="false">SUM(DK105:DK108)</f>
        <v>0</v>
      </c>
      <c r="DL109" s="47" t="n">
        <f aca="false">SUM(DL105:DL108)</f>
        <v>0</v>
      </c>
      <c r="DM109" s="47" t="n">
        <f aca="false">SUM(DM105:DM108)</f>
        <v>0</v>
      </c>
      <c r="DN109" s="47" t="n">
        <f aca="false">SUM(DN105:DN108)</f>
        <v>0</v>
      </c>
      <c r="DO109" s="47" t="n">
        <f aca="false">SUM(DO105:DO108)</f>
        <v>0</v>
      </c>
      <c r="DP109" s="47" t="n">
        <f aca="false">SUM(DP105:DP108)</f>
        <v>0</v>
      </c>
      <c r="DQ109" s="47" t="n">
        <f aca="false">SUM(DQ105:DQ108)</f>
        <v>0</v>
      </c>
      <c r="DR109" s="47" t="n">
        <f aca="false">SUM(DR105:DR108)</f>
        <v>0</v>
      </c>
      <c r="DS109" s="47" t="n">
        <f aca="false">SUM(DS105:DS108)</f>
        <v>0</v>
      </c>
      <c r="DT109" s="47" t="n">
        <f aca="false">SUM(DT105:DT108)</f>
        <v>0</v>
      </c>
      <c r="DU109" s="47" t="n">
        <f aca="false">SUM(DU105:DU108)</f>
        <v>0</v>
      </c>
      <c r="DV109" s="47" t="n">
        <f aca="false">SUM(DV105:DV108)</f>
        <v>0</v>
      </c>
      <c r="DW109" s="47" t="n">
        <f aca="false">SUM(DW105:DW108)</f>
        <v>0</v>
      </c>
      <c r="DX109" s="47" t="n">
        <f aca="false">SUM(DX105:DX108)</f>
        <v>0</v>
      </c>
      <c r="DY109" s="47" t="n">
        <f aca="false">SUM(DY105:DY108)</f>
        <v>0</v>
      </c>
      <c r="DZ109" s="47" t="n">
        <f aca="false">SUM(DZ105:DZ108)</f>
        <v>0</v>
      </c>
      <c r="EA109" s="47" t="n">
        <f aca="false">SUM(EA105:EA108)</f>
        <v>0</v>
      </c>
      <c r="EB109" s="47" t="n">
        <f aca="false">SUM(EB105:EB108)</f>
        <v>0</v>
      </c>
      <c r="EC109" s="47" t="n">
        <f aca="false">SUM(EC105:EC108)</f>
        <v>0</v>
      </c>
      <c r="ED109" s="47" t="n">
        <f aca="false">SUM(ED105:ED108)</f>
        <v>0</v>
      </c>
      <c r="EE109" s="47" t="n">
        <f aca="false">SUM(EE105:EE108)</f>
        <v>0</v>
      </c>
      <c r="EF109" s="47" t="n">
        <f aca="false">SUM(EF105:EF108)</f>
        <v>0</v>
      </c>
      <c r="EG109" s="47" t="n">
        <f aca="false">SUM(EG105:EG108)</f>
        <v>0</v>
      </c>
      <c r="EH109" s="47" t="n">
        <f aca="false">SUM(EH105:EH108)</f>
        <v>0</v>
      </c>
      <c r="EI109" s="47" t="n">
        <f aca="false">SUM(EI105:EI108)</f>
        <v>0</v>
      </c>
      <c r="EJ109" s="47" t="n">
        <f aca="false">SUM(EJ105:EJ108)</f>
        <v>0</v>
      </c>
      <c r="EK109" s="47" t="n">
        <f aca="false">SUM(EK105:EK108)</f>
        <v>0</v>
      </c>
      <c r="EL109" s="47" t="n">
        <f aca="false">SUM(EL105:EL108)</f>
        <v>0</v>
      </c>
      <c r="EM109" s="47" t="n">
        <f aca="false">SUM(EM105:EM108)</f>
        <v>0</v>
      </c>
      <c r="EN109" s="47" t="n">
        <f aca="false">SUM(EN105:EN108)</f>
        <v>0</v>
      </c>
      <c r="EO109" s="47" t="n">
        <f aca="false">SUM(EO105:EO108)</f>
        <v>0</v>
      </c>
    </row>
    <row r="110" customFormat="false" ht="15" hidden="false" customHeight="false" outlineLevel="0" collapsed="false">
      <c r="C110" s="0" t="s">
        <v>472</v>
      </c>
      <c r="D110" s="11" t="s">
        <v>33</v>
      </c>
      <c r="J110" s="47" t="n">
        <f aca="false">-In_CIT*(MAX(0,J104)+J107)-In_RH_On*In_RH_Rate*MAX(0,J104)</f>
        <v>-0</v>
      </c>
      <c r="K110" s="47" t="n">
        <f aca="false">-In_CIT*(MAX(0,K104)+K107)-In_RH_On*In_RH_Rate*MAX(0,K104)</f>
        <v>-0</v>
      </c>
      <c r="L110" s="47" t="n">
        <f aca="false">-In_CIT*(MAX(0,L104)+L107)-In_RH_On*In_RH_Rate*MAX(0,L104)</f>
        <v>-0</v>
      </c>
      <c r="M110" s="47" t="n">
        <f aca="false">-In_CIT*(MAX(0,M104)+M107)-In_RH_On*In_RH_Rate*MAX(0,M104)</f>
        <v>-0</v>
      </c>
      <c r="N110" s="47" t="n">
        <f aca="false">-In_CIT*(MAX(0,N104)+N107)-In_RH_On*In_RH_Rate*MAX(0,N104)</f>
        <v>-0</v>
      </c>
      <c r="O110" s="47" t="n">
        <f aca="false">-In_CIT*(MAX(0,O104)+O107)-In_RH_On*In_RH_Rate*MAX(0,O104)</f>
        <v>-0</v>
      </c>
      <c r="P110" s="47" t="n">
        <f aca="false">-In_CIT*(MAX(0,P104)+P107)-In_RH_On*In_RH_Rate*MAX(0,P104)</f>
        <v>-0</v>
      </c>
      <c r="Q110" s="47" t="n">
        <f aca="false">-In_CIT*(MAX(0,Q104)+Q107)-In_RH_On*In_RH_Rate*MAX(0,Q104)</f>
        <v>-0</v>
      </c>
      <c r="R110" s="47" t="n">
        <f aca="false">-In_CIT*(MAX(0,R104)+R107)-In_RH_On*In_RH_Rate*MAX(0,R104)</f>
        <v>-0</v>
      </c>
      <c r="S110" s="47" t="n">
        <f aca="false">-In_CIT*(MAX(0,S104)+S107)-In_RH_On*In_RH_Rate*MAX(0,S104)</f>
        <v>-0</v>
      </c>
      <c r="T110" s="47" t="n">
        <f aca="false">-In_CIT*(MAX(0,T104)+T107)-In_RH_On*In_RH_Rate*MAX(0,T104)</f>
        <v>-0</v>
      </c>
      <c r="U110" s="47" t="n">
        <f aca="false">-In_CIT*(MAX(0,U104)+U107)-In_RH_On*In_RH_Rate*MAX(0,U104)</f>
        <v>-0</v>
      </c>
      <c r="V110" s="47" t="n">
        <f aca="false">-In_CIT*(MAX(0,V104)+V107)-In_RH_On*In_RH_Rate*MAX(0,V104)</f>
        <v>-0</v>
      </c>
      <c r="W110" s="47" t="n">
        <f aca="false">-In_CIT*(MAX(0,W104)+W107)-In_RH_On*In_RH_Rate*MAX(0,W104)</f>
        <v>-0</v>
      </c>
      <c r="X110" s="47" t="n">
        <f aca="false">-In_CIT*(MAX(0,X104)+X107)-In_RH_On*In_RH_Rate*MAX(0,X104)</f>
        <v>-0</v>
      </c>
      <c r="Y110" s="47" t="n">
        <f aca="false">-In_CIT*(MAX(0,Y104)+Y107)-In_RH_On*In_RH_Rate*MAX(0,Y104)</f>
        <v>-0</v>
      </c>
      <c r="Z110" s="47" t="n">
        <f aca="false">-In_CIT*(MAX(0,Z104)+Z107)-In_RH_On*In_RH_Rate*MAX(0,Z104)</f>
        <v>-60.3480198379648</v>
      </c>
      <c r="AA110" s="47" t="n">
        <f aca="false">-In_CIT*(MAX(0,AA104)+AA107)-In_RH_On*In_RH_Rate*MAX(0,AA104)</f>
        <v>-59.7113293712814</v>
      </c>
      <c r="AB110" s="47" t="n">
        <f aca="false">-In_CIT*(MAX(0,AB104)+AB107)-In_RH_On*In_RH_Rate*MAX(0,AB104)</f>
        <v>-61.158678513767</v>
      </c>
      <c r="AC110" s="47" t="n">
        <f aca="false">-In_CIT*(MAX(0,AC104)+AC107)-In_RH_On*In_RH_Rate*MAX(0,AC104)</f>
        <v>-62.6193733011537</v>
      </c>
      <c r="AD110" s="47" t="n">
        <f aca="false">-In_CIT*(MAX(0,AD104)+AD107)-In_RH_On*In_RH_Rate*MAX(0,AD104)</f>
        <v>-71.7930437906485</v>
      </c>
      <c r="AE110" s="47" t="n">
        <f aca="false">-In_CIT*(MAX(0,AE104)+AE107)-In_RH_On*In_RH_Rate*MAX(0,AE104)</f>
        <v>-125.642580743525</v>
      </c>
      <c r="AF110" s="47" t="n">
        <f aca="false">-In_CIT*(MAX(0,AF104)+AF107)-In_RH_On*In_RH_Rate*MAX(0,AF104)</f>
        <v>-126.34529717036</v>
      </c>
      <c r="AG110" s="47" t="n">
        <f aca="false">-In_CIT*(MAX(0,AG104)+AG107)-In_RH_On*In_RH_Rate*MAX(0,AG104)</f>
        <v>-129.272627376441</v>
      </c>
      <c r="AH110" s="47" t="n">
        <f aca="false">-In_CIT*(MAX(0,AH104)+AH107)-In_RH_On*In_RH_Rate*MAX(0,AH104)</f>
        <v>-128.730349161027</v>
      </c>
      <c r="AI110" s="47" t="n">
        <f aca="false">-In_CIT*(MAX(0,AI104)+AI107)-In_RH_On*In_RH_Rate*MAX(0,AI104)</f>
        <v>-127.398297463708</v>
      </c>
      <c r="AJ110" s="47" t="n">
        <f aca="false">-In_CIT*(MAX(0,AJ104)+AJ107)-In_RH_On*In_RH_Rate*MAX(0,AJ104)</f>
        <v>-135.323682667526</v>
      </c>
      <c r="AK110" s="47" t="n">
        <f aca="false">-In_CIT*(MAX(0,AK104)+AK107)-In_RH_On*In_RH_Rate*MAX(0,AK104)</f>
        <v>-138.37736796523</v>
      </c>
      <c r="AL110" s="47" t="n">
        <f aca="false">-In_CIT*(MAX(0,AL104)+AL107)-In_RH_On*In_RH_Rate*MAX(0,AL104)</f>
        <v>-137.887673834089</v>
      </c>
      <c r="AM110" s="47" t="n">
        <f aca="false">-In_CIT*(MAX(0,AM104)+AM107)-In_RH_On*In_RH_Rate*MAX(0,AM104)</f>
        <v>-136.461450560612</v>
      </c>
      <c r="AN110" s="47" t="n">
        <f aca="false">-In_CIT*(MAX(0,AN104)+AN107)-In_RH_On*In_RH_Rate*MAX(0,AN104)</f>
        <v>-139.54126136216</v>
      </c>
      <c r="AO110" s="47" t="n">
        <f aca="false">-In_CIT*(MAX(0,AO104)+AO107)-In_RH_On*In_RH_Rate*MAX(0,AO104)</f>
        <v>-142.648182936789</v>
      </c>
      <c r="AP110" s="47" t="n">
        <f aca="false">-In_CIT*(MAX(0,AP104)+AP107)-In_RH_On*In_RH_Rate*MAX(0,AP104)</f>
        <v>-142.19247209246</v>
      </c>
      <c r="AQ110" s="47" t="n">
        <f aca="false">-In_CIT*(MAX(0,AQ104)+AQ107)-In_RH_On*In_RH_Rate*MAX(0,AQ104)</f>
        <v>-140.762172543939</v>
      </c>
      <c r="AR110" s="47" t="n">
        <f aca="false">-In_CIT*(MAX(0,AR104)+AR107)-In_RH_On*In_RH_Rate*MAX(0,AR104)</f>
        <v>-143.896174404867</v>
      </c>
      <c r="AS110" s="47" t="n">
        <f aca="false">-In_CIT*(MAX(0,AS104)+AS107)-In_RH_On*In_RH_Rate*MAX(0,AS104)</f>
        <v>-147.057838606727</v>
      </c>
      <c r="AT110" s="47" t="n">
        <f aca="false">-In_CIT*(MAX(0,AT104)+AT107)-In_RH_On*In_RH_Rate*MAX(0,AT104)</f>
        <v>-146.637960554924</v>
      </c>
      <c r="AU110" s="47" t="n">
        <f aca="false">-In_CIT*(MAX(0,AU104)+AU107)-In_RH_On*In_RH_Rate*MAX(0,AU104)</f>
        <v>-147.522052083848</v>
      </c>
      <c r="AV110" s="47" t="n">
        <f aca="false">-In_CIT*(MAX(0,AV104)+AV107)-In_RH_On*In_RH_Rate*MAX(0,AV104)</f>
        <v>-148.412782044046</v>
      </c>
      <c r="AW110" s="47" t="n">
        <f aca="false">-In_CIT*(MAX(0,AW104)+AW107)-In_RH_On*In_RH_Rate*MAX(0,AW104)</f>
        <v>-151.630977732021</v>
      </c>
      <c r="AX110" s="47" t="n">
        <f aca="false">-In_CIT*(MAX(0,AX104)+AX107)-In_RH_On*In_RH_Rate*MAX(0,AX104)</f>
        <v>-151.249081076809</v>
      </c>
      <c r="AY110" s="47" t="n">
        <f aca="false">-In_CIT*(MAX(0,AY104)+AY107)-In_RH_On*In_RH_Rate*MAX(0,AY104)</f>
        <v>-149.815354813947</v>
      </c>
      <c r="AZ110" s="47" t="n">
        <f aca="false">-In_CIT*(MAX(0,AZ104)+AZ107)-In_RH_On*In_RH_Rate*MAX(0,AZ104)</f>
        <v>-153.062700863831</v>
      </c>
      <c r="BA110" s="47" t="n">
        <f aca="false">-In_CIT*(MAX(0,BA104)+BA107)-In_RH_On*In_RH_Rate*MAX(0,BA104)</f>
        <v>-156.338879046285</v>
      </c>
      <c r="BB110" s="47" t="n">
        <f aca="false">-In_CIT*(MAX(0,BB104)+BB107)-In_RH_On*In_RH_Rate*MAX(0,BB104)</f>
        <v>-155.996784194575</v>
      </c>
      <c r="BC110" s="47" t="n">
        <f aca="false">-In_CIT*(MAX(0,BC104)+BC107)-In_RH_On*In_RH_Rate*MAX(0,BC104)</f>
        <v>-154.563665940583</v>
      </c>
      <c r="BD110" s="47" t="n">
        <f aca="false">-In_CIT*(MAX(0,BD104)+BD107)-In_RH_On*In_RH_Rate*MAX(0,BD104)</f>
        <v>-157.870107882332</v>
      </c>
      <c r="BE110" s="47" t="n">
        <f aca="false">-In_CIT*(MAX(0,BE104)+BE107)-In_RH_On*In_RH_Rate*MAX(0,BE104)</f>
        <v>-161.205999707511</v>
      </c>
      <c r="BF110" s="47" t="n">
        <f aca="false">-In_CIT*(MAX(0,BF104)+BF107)-In_RH_On*In_RH_Rate*MAX(0,BF104)</f>
        <v>-160.905824494703</v>
      </c>
      <c r="BG110" s="47" t="n">
        <f aca="false">-In_CIT*(MAX(0,BG104)+BG107)-In_RH_On*In_RH_Rate*MAX(0,BG104)</f>
        <v>-159.475043793673</v>
      </c>
      <c r="BH110" s="47" t="n">
        <f aca="false">-In_CIT*(MAX(0,BH104)+BH107)-In_RH_On*In_RH_Rate*MAX(0,BH104)</f>
        <v>-162.842371051357</v>
      </c>
      <c r="BI110" s="47" t="n">
        <f aca="false">-In_CIT*(MAX(0,BI104)+BI107)-In_RH_On*In_RH_Rate*MAX(0,BI104)</f>
        <v>-166.23979002561</v>
      </c>
      <c r="BJ110" s="47" t="n">
        <f aca="false">-In_CIT*(MAX(0,BJ104)+BJ107)-In_RH_On*In_RH_Rate*MAX(0,BJ104)</f>
        <v>-165.98374998495</v>
      </c>
      <c r="BK110" s="47" t="n">
        <f aca="false">-In_CIT*(MAX(0,BK104)+BK107)-In_RH_On*In_RH_Rate*MAX(0,BK104)</f>
        <v>-166.914109040785</v>
      </c>
      <c r="BL110" s="47" t="n">
        <f aca="false">-In_CIT*(MAX(0,BL104)+BL107)-In_RH_On*In_RH_Rate*MAX(0,BL104)</f>
        <v>-168.005355455937</v>
      </c>
      <c r="BM110" s="47" t="n">
        <f aca="false">-In_CIT*(MAX(0,BM104)+BM107)-In_RH_On*In_RH_Rate*MAX(0,BM104)</f>
        <v>-171.466414852006</v>
      </c>
      <c r="BN110" s="47" t="n">
        <f aca="false">-In_CIT*(MAX(0,BN104)+BN107)-In_RH_On*In_RH_Rate*MAX(0,BN104)</f>
        <v>-171.257043565955</v>
      </c>
      <c r="BO110" s="47" t="n">
        <f aca="false">-In_CIT*(MAX(0,BO104)+BO107)-In_RH_On*In_RH_Rate*MAX(0,BO104)</f>
        <v>-169.836719368329</v>
      </c>
      <c r="BP110" s="47" t="n">
        <f aca="false">-In_CIT*(MAX(0,BP104)+BP107)-In_RH_On*In_RH_Rate*MAX(0,BP104)</f>
        <v>-173.331752071025</v>
      </c>
      <c r="BQ110" s="47" t="n">
        <f aca="false">-In_CIT*(MAX(0,BQ104)+BQ107)-In_RH_On*In_RH_Rate*MAX(0,BQ104)</f>
        <v>-176.858239496063</v>
      </c>
      <c r="BR110" s="47" t="n">
        <f aca="false">-In_CIT*(MAX(0,BR104)+BR107)-In_RH_On*In_RH_Rate*MAX(0,BR104)</f>
        <v>-176.697756205416</v>
      </c>
      <c r="BS110" s="47" t="n">
        <f aca="false">-In_CIT*(MAX(0,BS104)+BS107)-In_RH_On*In_RH_Rate*MAX(0,BS104)</f>
        <v>-175.285541607867</v>
      </c>
      <c r="BT110" s="47" t="n">
        <f aca="false">-In_CIT*(MAX(0,BT104)+BT107)-In_RH_On*In_RH_Rate*MAX(0,BT104)</f>
        <v>-178.847367711114</v>
      </c>
      <c r="BU110" s="47" t="n">
        <f aca="false">-In_CIT*(MAX(0,BU104)+BU107)-In_RH_On*In_RH_Rate*MAX(0,BU104)</f>
        <v>-182.441369617303</v>
      </c>
      <c r="BV110" s="47" t="n">
        <f aca="false">-In_CIT*(MAX(0,BV104)+BV107)-In_RH_On*In_RH_Rate*MAX(0,BV104)</f>
        <v>-182.332311481814</v>
      </c>
      <c r="BW110" s="47" t="n">
        <f aca="false">-In_CIT*(MAX(0,BW104)+BW107)-In_RH_On*In_RH_Rate*MAX(0,BW104)</f>
        <v>-180.930334075151</v>
      </c>
      <c r="BX110" s="47" t="n">
        <f aca="false">-In_CIT*(MAX(0,BX104)+BX107)-In_RH_On*In_RH_Rate*MAX(0,BX104)</f>
        <v>-184.561111180254</v>
      </c>
      <c r="BY110" s="47" t="n">
        <f aca="false">-In_CIT*(MAX(0,BY104)+BY107)-In_RH_On*In_RH_Rate*MAX(0,BY104)</f>
        <v>-188.224814025573</v>
      </c>
      <c r="BZ110" s="47" t="n">
        <f aca="false">-In_CIT*(MAX(0,BZ104)+BZ107)-In_RH_On*In_RH_Rate*MAX(0,BZ104)</f>
        <v>-188.169835362445</v>
      </c>
      <c r="CA110" s="47" t="n">
        <f aca="false">-In_CIT*(MAX(0,CA104)+CA107)-In_RH_On*In_RH_Rate*MAX(0,CA104)</f>
        <v>-189.170410613184</v>
      </c>
      <c r="CB110" s="47" t="n">
        <f aca="false">-In_CIT*(MAX(0,CB104)+CB107)-In_RH_On*In_RH_Rate*MAX(0,CB104)</f>
        <v>-190.500601799325</v>
      </c>
      <c r="CC110" s="47" t="n">
        <f aca="false">-In_CIT*(MAX(0,CC104)+CC107)-In_RH_On*In_RH_Rate*MAX(0,CC104)</f>
        <v>-194.236511953407</v>
      </c>
      <c r="CD110" s="47" t="n">
        <f aca="false">-In_CIT*(MAX(0,CD104)+CD107)-In_RH_On*In_RH_Rate*MAX(0,CD104)</f>
        <v>-194.238607155566</v>
      </c>
      <c r="CE110" s="47" t="n">
        <f aca="false">-In_CIT*(MAX(0,CE104)+CE107)-In_RH_On*In_RH_Rate*MAX(0,CE104)</f>
        <v>-192.864158912607</v>
      </c>
      <c r="CF110" s="47" t="n">
        <f aca="false">-In_CIT*(MAX(0,CF104)+CF107)-In_RH_On*In_RH_Rate*MAX(0,CF104)</f>
        <v>-196.639953096841</v>
      </c>
      <c r="CG110" s="47" t="n">
        <f aca="false">-In_CIT*(MAX(0,CG104)+CG107)-In_RH_On*In_RH_Rate*MAX(0,CG104)</f>
        <v>-200.450267496414</v>
      </c>
      <c r="CH110" s="47" t="n">
        <f aca="false">-In_CIT*(MAX(0,CH104)+CH107)-In_RH_On*In_RH_Rate*MAX(0,CH104)</f>
        <v>-200.512134723999</v>
      </c>
      <c r="CI110" s="47" t="n">
        <f aca="false">-In_CIT*(MAX(0,CI104)+CI107)-In_RH_On*In_RH_Rate*MAX(0,CI104)</f>
        <v>-199.155008627755</v>
      </c>
      <c r="CJ110" s="47" t="n">
        <f aca="false">-In_CIT*(MAX(0,CJ104)+CJ107)-In_RH_On*In_RH_Rate*MAX(0,CJ104)</f>
        <v>-203.006879854435</v>
      </c>
      <c r="CK110" s="47" t="n">
        <f aca="false">-In_CIT*(MAX(0,CK104)+CK107)-In_RH_On*In_RH_Rate*MAX(0,CK104)</f>
        <v>-206.894116209932</v>
      </c>
      <c r="CL110" s="47" t="n">
        <f aca="false">-In_CIT*(MAX(0,CL104)+CL107)-In_RH_On*In_RH_Rate*MAX(0,CL104)</f>
        <v>-207.018795455846</v>
      </c>
      <c r="CM110" s="47" t="n">
        <f aca="false">-In_CIT*(MAX(0,CM104)+CM107)-In_RH_On*In_RH_Rate*MAX(0,CM104)</f>
        <v>-205.681599467903</v>
      </c>
      <c r="CN110" s="47" t="n">
        <f aca="false">-In_CIT*(MAX(0,CN104)+CN107)-In_RH_On*In_RH_Rate*MAX(0,CN104)</f>
        <v>-209.612152215564</v>
      </c>
      <c r="CO110" s="47" t="n">
        <f aca="false">-In_CIT*(MAX(0,CO104)+CO107)-In_RH_On*In_RH_Rate*MAX(0,CO104)</f>
        <v>-213.578949610894</v>
      </c>
      <c r="CP110" s="47" t="n">
        <f aca="false">-In_CIT*(MAX(0,CP104)+CP107)-In_RH_On*In_RH_Rate*MAX(0,CP104)</f>
        <v>-213.769621414684</v>
      </c>
      <c r="CQ110" s="47" t="n">
        <f aca="false">-In_CIT*(MAX(0,CQ104)+CQ107)-In_RH_On*In_RH_Rate*MAX(0,CQ104)</f>
        <v>-214.870385645377</v>
      </c>
      <c r="CR110" s="47" t="n">
        <f aca="false">-In_CIT*(MAX(0,CR104)+CR107)-In_RH_On*In_RH_Rate*MAX(0,CR104)</f>
        <v>-216.485446580128</v>
      </c>
      <c r="CS110" s="47" t="n">
        <f aca="false">-In_CIT*(MAX(0,CS104)+CS107)-In_RH_On*In_RH_Rate*MAX(0,CS104)</f>
        <v>-220.534787667404</v>
      </c>
      <c r="CT110" s="47" t="n">
        <f aca="false">-In_CIT*(MAX(0,CT104)+CT107)-In_RH_On*In_RH_Rate*MAX(0,CT104)</f>
        <v>-220.794998393364</v>
      </c>
      <c r="CU110" s="47" t="n">
        <f aca="false">-In_CIT*(MAX(0,CU104)+CU107)-In_RH_On*In_RH_Rate*MAX(0,CU104)</f>
        <v>-217.82086186721</v>
      </c>
      <c r="CV110" s="47" t="n">
        <f aca="false">-In_CIT*(MAX(0,CV104)+CV107)-In_RH_On*In_RH_Rate*MAX(0,CV104)</f>
        <v>-220.241093665735</v>
      </c>
      <c r="CW110" s="47" t="n">
        <f aca="false">-In_CIT*(MAX(0,CW104)+CW107)-In_RH_On*In_RH_Rate*MAX(0,CW104)</f>
        <v>-222.661325464259</v>
      </c>
      <c r="CX110" s="47" t="n">
        <f aca="false">-In_CIT*(MAX(0,CX104)+CX107)-In_RH_On*In_RH_Rate*MAX(0,CX104)</f>
        <v>-221.241436254592</v>
      </c>
      <c r="CY110" s="47" t="n">
        <f aca="false">-In_CIT*(MAX(0,CY104)+CY107)-In_RH_On*In_RH_Rate*MAX(0,CY104)</f>
        <v>-218.213720248026</v>
      </c>
      <c r="CZ110" s="47" t="n">
        <f aca="false">-In_CIT*(MAX(0,CZ104)+CZ107)-In_RH_On*In_RH_Rate*MAX(0,CZ104)</f>
        <v>-220.63831713967</v>
      </c>
      <c r="DA110" s="47" t="n">
        <f aca="false">-In_CIT*(MAX(0,DA104)+DA107)-In_RH_On*In_RH_Rate*MAX(0,DA104)</f>
        <v>-223.062914031315</v>
      </c>
      <c r="DB110" s="47" t="n">
        <f aca="false">-In_CIT*(MAX(0,DB104)+DB107)-In_RH_On*In_RH_Rate*MAX(0,DB104)</f>
        <v>-375.486699874706</v>
      </c>
      <c r="DC110" s="47" t="n">
        <f aca="false">-In_CIT*(MAX(0,DC104)+DC107)-In_RH_On*In_RH_Rate*MAX(0,DC104)</f>
        <v>-369.060276869219</v>
      </c>
      <c r="DD110" s="47" t="n">
        <f aca="false">-In_CIT*(MAX(0,DD104)+DD107)-In_RH_On*In_RH_Rate*MAX(0,DD104)</f>
        <v>-373.160946612211</v>
      </c>
      <c r="DE110" s="47" t="n">
        <f aca="false">-In_CIT*(MAX(0,DE104)+DE107)-In_RH_On*In_RH_Rate*MAX(0,DE104)</f>
        <v>-377.261616355202</v>
      </c>
      <c r="DF110" s="47" t="n">
        <f aca="false">-In_CIT*(MAX(0,DF104)+DF107)-In_RH_On*In_RH_Rate*MAX(0,DF104)</f>
        <v>-375.824783779587</v>
      </c>
      <c r="DG110" s="47" t="n">
        <f aca="false">-In_CIT*(MAX(0,DG104)+DG107)-In_RH_On*In_RH_Rate*MAX(0,DG104)</f>
        <v>-373.447561715863</v>
      </c>
      <c r="DH110" s="47" t="n">
        <f aca="false">-In_CIT*(MAX(0,DH104)+DH107)-In_RH_On*In_RH_Rate*MAX(0,DH104)</f>
        <v>-373.447561715863</v>
      </c>
      <c r="DI110" s="47" t="n">
        <f aca="false">-In_CIT*(MAX(0,DI104)+DI107)-In_RH_On*In_RH_Rate*MAX(0,DI104)</f>
        <v>-377.551381075378</v>
      </c>
      <c r="DJ110" s="47" t="n">
        <f aca="false">-In_CIT*(MAX(0,DJ104)+DJ107)-In_RH_On*In_RH_Rate*MAX(0,DJ104)</f>
        <v>-376.106053012438</v>
      </c>
      <c r="DK110" s="47" t="n">
        <f aca="false">-In_CIT*(MAX(0,DK104)+DK107)-In_RH_On*In_RH_Rate*MAX(0,DK104)</f>
        <v>-369.569862589467</v>
      </c>
      <c r="DL110" s="47" t="n">
        <f aca="false">-In_CIT*(MAX(0,DL104)+DL107)-In_RH_On*In_RH_Rate*MAX(0,DL104)</f>
        <v>-373.676194396016</v>
      </c>
      <c r="DM110" s="47" t="n">
        <f aca="false">-In_CIT*(MAX(0,DM104)+DM107)-In_RH_On*In_RH_Rate*MAX(0,DM104)</f>
        <v>-377.782526202566</v>
      </c>
      <c r="DN110" s="47" t="n">
        <f aca="false">-In_CIT*(MAX(0,DN104)+DN107)-In_RH_On*In_RH_Rate*MAX(0,DN104)</f>
        <v>-376.328687856252</v>
      </c>
      <c r="DO110" s="47" t="n">
        <f aca="false">-In_CIT*(MAX(0,DO104)+DO107)-In_RH_On*In_RH_Rate*MAX(0,DO104)</f>
        <v>-369.736810251908</v>
      </c>
      <c r="DP110" s="47" t="n">
        <f aca="false">-In_CIT*(MAX(0,DP104)+DP107)-In_RH_On*In_RH_Rate*MAX(0,DP104)</f>
        <v>-373.844997032485</v>
      </c>
      <c r="DQ110" s="47" t="n">
        <f aca="false">-In_CIT*(MAX(0,DQ104)+DQ107)-In_RH_On*In_RH_Rate*MAX(0,DQ104)</f>
        <v>-377.953183813062</v>
      </c>
      <c r="DR110" s="47" t="n">
        <f aca="false">-In_CIT*(MAX(0,DR104)+DR107)-In_RH_On*In_RH_Rate*MAX(0,DR104)</f>
        <v>-376.490821224723</v>
      </c>
      <c r="DS110" s="47" t="n">
        <f aca="false">-In_CIT*(MAX(0,DS104)+DS107)-In_RH_On*In_RH_Rate*MAX(0,DS104)</f>
        <v>-369.842710510588</v>
      </c>
      <c r="DT110" s="47" t="n">
        <f aca="false">-In_CIT*(MAX(0,DT104)+DT107)-In_RH_On*In_RH_Rate*MAX(0,DT104)</f>
        <v>-373.952073960705</v>
      </c>
      <c r="DU110" s="47" t="n">
        <f aca="false">-In_CIT*(MAX(0,DU104)+DU107)-In_RH_On*In_RH_Rate*MAX(0,DU104)</f>
        <v>-378.061437410823</v>
      </c>
      <c r="DV110" s="47" t="n">
        <f aca="false">-In_CIT*(MAX(0,DV104)+DV107)-In_RH_On*In_RH_Rate*MAX(0,DV104)</f>
        <v>-376.590537485769</v>
      </c>
      <c r="DW110" s="47" t="n">
        <f aca="false">-In_CIT*(MAX(0,DW104)+DW107)-In_RH_On*In_RH_Rate*MAX(0,DW104)</f>
        <v>-373.995480278811</v>
      </c>
      <c r="DX110" s="47" t="n">
        <f aca="false">-In_CIT*(MAX(0,DX104)+DX107)-In_RH_On*In_RH_Rate*MAX(0,DX104)</f>
        <v>-373.995480278811</v>
      </c>
      <c r="DY110" s="47" t="n">
        <f aca="false">-In_CIT*(MAX(0,DY104)+DY107)-In_RH_On*In_RH_Rate*MAX(0,DY104)</f>
        <v>-378.105320721435</v>
      </c>
      <c r="DZ110" s="47" t="n">
        <f aca="false">-In_CIT*(MAX(0,DZ104)+DZ107)-In_RH_On*In_RH_Rate*MAX(0,DZ104)</f>
        <v>-376.625871256129</v>
      </c>
      <c r="EA110" s="47" t="n">
        <f aca="false">-In_CIT*(MAX(0,EA104)+EA107)-In_RH_On*In_RH_Rate*MAX(0,EA104)</f>
        <v>-369.863624794353</v>
      </c>
      <c r="EB110" s="47" t="n">
        <f aca="false">-In_CIT*(MAX(0,EB104)+EB107)-In_RH_On*In_RH_Rate*MAX(0,EB104)</f>
        <v>-373.973220625402</v>
      </c>
      <c r="EC110" s="47" t="n">
        <f aca="false">-In_CIT*(MAX(0,EC104)+EC107)-In_RH_On*In_RH_Rate*MAX(0,EC104)</f>
        <v>-378.08281645645</v>
      </c>
      <c r="ED110" s="47" t="n">
        <f aca="false">-In_CIT*(MAX(0,ED104)+ED107)-In_RH_On*In_RH_Rate*MAX(0,ED104)</f>
        <v>-376.59480616636</v>
      </c>
      <c r="EE110" s="47" t="n">
        <f aca="false">-In_CIT*(MAX(0,EE104)+EE107)-In_RH_On*In_RH_Rate*MAX(0,EE104)</f>
        <v>-369.774640807209</v>
      </c>
      <c r="EF110" s="47" t="n">
        <f aca="false">-In_CIT*(MAX(0,EF104)+EF107)-In_RH_On*In_RH_Rate*MAX(0,EF104)</f>
        <v>-373.883247927289</v>
      </c>
      <c r="EG110" s="47" t="n">
        <f aca="false">-In_CIT*(MAX(0,EG104)+EG107)-In_RH_On*In_RH_Rate*MAX(0,EG104)</f>
        <v>-377.991855047369</v>
      </c>
      <c r="EH110" s="47" t="n">
        <f aca="false">-In_CIT*(MAX(0,EH104)+EH107)-In_RH_On*In_RH_Rate*MAX(0,EH104)</f>
        <v>-376.495273595488</v>
      </c>
      <c r="EI110" s="47" t="n">
        <f aca="false">-In_CIT*(MAX(0,EI104)+EI107)-In_RH_On*In_RH_Rate*MAX(0,EI104)</f>
        <v>-369.616610884433</v>
      </c>
      <c r="EJ110" s="47" t="n">
        <f aca="false">-In_CIT*(MAX(0,EJ104)+EJ107)-In_RH_On*In_RH_Rate*MAX(0,EJ104)</f>
        <v>-373.723462116482</v>
      </c>
      <c r="EK110" s="47" t="n">
        <f aca="false">-In_CIT*(MAX(0,EK104)+EK107)-In_RH_On*In_RH_Rate*MAX(0,EK104)</f>
        <v>-377.830313348532</v>
      </c>
      <c r="EL110" s="47" t="n">
        <f aca="false">-In_CIT*(MAX(0,EL104)+EL107)-In_RH_On*In_RH_Rate*MAX(0,EL104)</f>
        <v>-376.325151374579</v>
      </c>
      <c r="EM110" s="47" t="n">
        <f aca="false">-In_CIT*(MAX(0,EM104)+EM107)-In_RH_On*In_RH_Rate*MAX(0,EM104)</f>
        <v>-373.491708815652</v>
      </c>
      <c r="EN110" s="47" t="n">
        <f aca="false">-In_CIT*(MAX(0,EN104)+EN107)-In_RH_On*In_RH_Rate*MAX(0,EN104)</f>
        <v>-373.491708815652</v>
      </c>
      <c r="EO110" s="47" t="n">
        <f aca="false">-In_CIT*(MAX(0,EO104)+EO107)-In_RH_On*In_RH_Rate*MAX(0,EO104)</f>
        <v>-377.596013308131</v>
      </c>
    </row>
    <row r="111" customFormat="false" ht="15" hidden="false" customHeight="false" outlineLevel="0" collapsed="false">
      <c r="C111" s="0" t="s">
        <v>473</v>
      </c>
      <c r="D111" s="11" t="s">
        <v>33</v>
      </c>
      <c r="I111" s="47" t="n">
        <f aca="false">SUM(J111:EO111)</f>
        <v>1.7800893203912E-008</v>
      </c>
      <c r="J111" s="47" t="n">
        <f aca="false">ABS(J110-J83)</f>
        <v>0</v>
      </c>
      <c r="K111" s="47" t="n">
        <f aca="false">ABS(K110-K83)</f>
        <v>0</v>
      </c>
      <c r="L111" s="47" t="n">
        <f aca="false">ABS(L110-L83)</f>
        <v>0</v>
      </c>
      <c r="M111" s="47" t="n">
        <f aca="false">ABS(M110-M83)</f>
        <v>0</v>
      </c>
      <c r="N111" s="47" t="n">
        <f aca="false">ABS(N110-N83)</f>
        <v>0</v>
      </c>
      <c r="O111" s="47" t="n">
        <f aca="false">ABS(O110-O83)</f>
        <v>0</v>
      </c>
      <c r="P111" s="47" t="n">
        <f aca="false">ABS(P110-P83)</f>
        <v>0</v>
      </c>
      <c r="Q111" s="47" t="n">
        <f aca="false">ABS(Q110-Q83)</f>
        <v>0</v>
      </c>
      <c r="R111" s="47" t="n">
        <f aca="false">ABS(R110-R83)</f>
        <v>0</v>
      </c>
      <c r="S111" s="47" t="n">
        <f aca="false">ABS(S110-S83)</f>
        <v>0</v>
      </c>
      <c r="T111" s="47" t="n">
        <f aca="false">ABS(T110-T83)</f>
        <v>0</v>
      </c>
      <c r="U111" s="47" t="n">
        <f aca="false">ABS(U110-U83)</f>
        <v>0</v>
      </c>
      <c r="V111" s="47" t="n">
        <f aca="false">ABS(V110-V83)</f>
        <v>0</v>
      </c>
      <c r="W111" s="47" t="n">
        <f aca="false">ABS(W110-W83)</f>
        <v>0</v>
      </c>
      <c r="X111" s="47" t="n">
        <f aca="false">ABS(X110-X83)</f>
        <v>0</v>
      </c>
      <c r="Y111" s="47" t="n">
        <f aca="false">ABS(Y110-Y83)</f>
        <v>0</v>
      </c>
      <c r="Z111" s="47" t="n">
        <f aca="false">ABS(Z110-Z83)</f>
        <v>0</v>
      </c>
      <c r="AA111" s="47" t="n">
        <f aca="false">ABS(AA110-AA83)</f>
        <v>1.06794573184743E-011</v>
      </c>
      <c r="AB111" s="47" t="n">
        <f aca="false">ABS(AB110-AB83)</f>
        <v>2.07762695936253E-011</v>
      </c>
      <c r="AC111" s="47" t="n">
        <f aca="false">ABS(AC110-AC83)</f>
        <v>3.05391267829691E-011</v>
      </c>
      <c r="AD111" s="47" t="n">
        <f aca="false">ABS(AD110-AD83)</f>
        <v>1.41895384331292E-010</v>
      </c>
      <c r="AE111" s="47" t="n">
        <f aca="false">ABS(AE110-AE83)</f>
        <v>8.62030447024154E-011</v>
      </c>
      <c r="AF111" s="47" t="n">
        <f aca="false">ABS(AF110-AF83)</f>
        <v>9.56390522333095E-011</v>
      </c>
      <c r="AG111" s="47" t="n">
        <f aca="false">ABS(AG110-AG83)</f>
        <v>1.02573949334328E-010</v>
      </c>
      <c r="AH111" s="47" t="n">
        <f aca="false">ABS(AH110-AH83)</f>
        <v>1.07178266262054E-010</v>
      </c>
      <c r="AI111" s="47" t="n">
        <f aca="false">ABS(AI110-AI83)</f>
        <v>1.09181996776897E-010</v>
      </c>
      <c r="AJ111" s="47" t="n">
        <f aca="false">ABS(AJ110-AJ83)</f>
        <v>1.083435563487E-010</v>
      </c>
      <c r="AK111" s="47" t="n">
        <f aca="false">ABS(AK110-AK83)</f>
        <v>1.0555822882452E-010</v>
      </c>
      <c r="AL111" s="47" t="n">
        <f aca="false">ABS(AL110-AL83)</f>
        <v>1.0061285138363E-010</v>
      </c>
      <c r="AM111" s="47" t="n">
        <f aca="false">ABS(AM110-AM83)</f>
        <v>9.3280050350586E-011</v>
      </c>
      <c r="AN111" s="47" t="n">
        <f aca="false">ABS(AN110-AN83)</f>
        <v>8.33324520499446E-011</v>
      </c>
      <c r="AO111" s="47" t="n">
        <f aca="false">ABS(AO110-AO83)</f>
        <v>7.14805992174661E-011</v>
      </c>
      <c r="AP111" s="47" t="n">
        <f aca="false">ABS(AP110-AP83)</f>
        <v>5.78097569814418E-011</v>
      </c>
      <c r="AQ111" s="47" t="n">
        <f aca="false">ABS(AQ110-AQ83)</f>
        <v>4.21778167947196E-011</v>
      </c>
      <c r="AR111" s="47" t="n">
        <f aca="false">ABS(AR110-AR83)</f>
        <v>2.4414248400717E-011</v>
      </c>
      <c r="AS111" s="47" t="n">
        <f aca="false">ABS(AS110-AS83)</f>
        <v>5.25801624462474E-012</v>
      </c>
      <c r="AT111" s="47" t="n">
        <f aca="false">ABS(AT110-AT83)</f>
        <v>1.51771928358357E-011</v>
      </c>
      <c r="AU111" s="47" t="n">
        <f aca="false">ABS(AU110-AU83)</f>
        <v>3.69766439689556E-011</v>
      </c>
      <c r="AV111" s="47" t="n">
        <f aca="false">ABS(AV110-AV83)</f>
        <v>6.01119154453045E-011</v>
      </c>
      <c r="AW111" s="47" t="n">
        <f aca="false">ABS(AW110-AW83)</f>
        <v>8.41851033328567E-011</v>
      </c>
      <c r="AX111" s="47" t="n">
        <f aca="false">ABS(AX110-AX83)</f>
        <v>1.08968833956169E-010</v>
      </c>
      <c r="AY111" s="47" t="n">
        <f aca="false">ABS(AY110-AY83)</f>
        <v>1.34406263896381E-010</v>
      </c>
      <c r="AZ111" s="47" t="n">
        <f aca="false">ABS(AZ110-AZ83)</f>
        <v>1.60667923410074E-010</v>
      </c>
      <c r="BA111" s="47" t="n">
        <f aca="false">ABS(BA110-BA83)</f>
        <v>1.87043269761489E-010</v>
      </c>
      <c r="BB111" s="47" t="n">
        <f aca="false">ABS(BB110-BB83)</f>
        <v>2.13219664146891E-010</v>
      </c>
      <c r="BC111" s="47" t="n">
        <f aca="false">ABS(BC110-BC83)</f>
        <v>2.39452901951154E-010</v>
      </c>
      <c r="BD111" s="47" t="n">
        <f aca="false">ABS(BD110-BD83)</f>
        <v>2.65771404883708E-010</v>
      </c>
      <c r="BE111" s="47" t="n">
        <f aca="false">ABS(BE110-BE83)</f>
        <v>2.91436208499363E-010</v>
      </c>
      <c r="BF111" s="47" t="n">
        <f aca="false">ABS(BF110-BF83)</f>
        <v>3.16276782541536E-010</v>
      </c>
      <c r="BG111" s="47" t="n">
        <f aca="false">ABS(BG110-BG83)</f>
        <v>3.40406813847949E-010</v>
      </c>
      <c r="BH111" s="47" t="n">
        <f aca="false">ABS(BH110-BH83)</f>
        <v>3.63911567546893E-010</v>
      </c>
      <c r="BI111" s="47" t="n">
        <f aca="false">ABS(BI110-BI83)</f>
        <v>3.86108922612038E-010</v>
      </c>
      <c r="BJ111" s="47" t="n">
        <f aca="false">ABS(BJ110-BJ83)</f>
        <v>4.06799927077373E-010</v>
      </c>
      <c r="BK111" s="47" t="n">
        <f aca="false">ABS(BK110-BK83)</f>
        <v>4.26183532908908E-010</v>
      </c>
      <c r="BL111" s="47" t="n">
        <f aca="false">ABS(BL110-BL83)</f>
        <v>4.44202896687784E-010</v>
      </c>
      <c r="BM111" s="47" t="n">
        <f aca="false">ABS(BM110-BM83)</f>
        <v>4.60460114481975E-010</v>
      </c>
      <c r="BN111" s="47" t="n">
        <f aca="false">ABS(BN110-BN83)</f>
        <v>4.74756234325469E-010</v>
      </c>
      <c r="BO111" s="47" t="n">
        <f aca="false">ABS(BO110-BO83)</f>
        <v>4.87233364765416E-010</v>
      </c>
      <c r="BP111" s="47" t="n">
        <f aca="false">ABS(BP110-BP83)</f>
        <v>4.9809045776783E-010</v>
      </c>
      <c r="BQ111" s="47" t="n">
        <f aca="false">ABS(BQ110-BQ83)</f>
        <v>5.06616970596951E-010</v>
      </c>
      <c r="BR111" s="47" t="n">
        <f aca="false">ABS(BR110-BR83)</f>
        <v>5.12756059833919E-010</v>
      </c>
      <c r="BS111" s="47" t="n">
        <f aca="false">ABS(BS110-BS83)</f>
        <v>5.16763520863606E-010</v>
      </c>
      <c r="BT111" s="47" t="n">
        <f aca="false">ABS(BT110-BT83)</f>
        <v>5.18923570780316E-010</v>
      </c>
      <c r="BU111" s="47" t="n">
        <f aca="false">ABS(BU110-BU83)</f>
        <v>5.18525666848291E-010</v>
      </c>
      <c r="BV111" s="47" t="n">
        <f aca="false">ABS(BV110-BV83)</f>
        <v>5.15598230776959E-010</v>
      </c>
      <c r="BW111" s="47" t="n">
        <f aca="false">ABS(BW110-BW83)</f>
        <v>5.10510744788917E-010</v>
      </c>
      <c r="BX111" s="47" t="n">
        <f aca="false">ABS(BX110-BX83)</f>
        <v>5.03519004269037E-010</v>
      </c>
      <c r="BY111" s="47" t="n">
        <f aca="false">ABS(BY110-BY83)</f>
        <v>4.94026153319283E-010</v>
      </c>
      <c r="BZ111" s="47" t="n">
        <f aca="false">ABS(BZ110-BZ83)</f>
        <v>4.82117457067943E-010</v>
      </c>
      <c r="CA111" s="47" t="n">
        <f aca="false">ABS(CA110-CA83)</f>
        <v>4.68219241156476E-010</v>
      </c>
      <c r="CB111" s="47" t="n">
        <f aca="false">ABS(CB110-CB83)</f>
        <v>4.52388349003741E-010</v>
      </c>
      <c r="CC111" s="47" t="n">
        <f aca="false">ABS(CC110-CC83)</f>
        <v>4.34596358900308E-010</v>
      </c>
      <c r="CD111" s="47" t="n">
        <f aca="false">ABS(CD110-CD83)</f>
        <v>4.14814849136747E-010</v>
      </c>
      <c r="CE111" s="47" t="n">
        <f aca="false">ABS(CE110-CE83)</f>
        <v>3.93441723645083E-010</v>
      </c>
      <c r="CF111" s="47" t="n">
        <f aca="false">ABS(CF110-CF83)</f>
        <v>3.70874886357342E-010</v>
      </c>
      <c r="CG111" s="47" t="n">
        <f aca="false">ABS(CG110-CG83)</f>
        <v>3.46716433341499E-010</v>
      </c>
      <c r="CH111" s="47" t="n">
        <f aca="false">ABS(CH110-CH83)</f>
        <v>3.21108473144705E-010</v>
      </c>
      <c r="CI111" s="47" t="n">
        <f aca="false">ABS(CI110-CI83)</f>
        <v>2.94591018246138E-010</v>
      </c>
      <c r="CJ111" s="47" t="n">
        <f aca="false">ABS(CJ110-CJ83)</f>
        <v>2.67618815996684E-010</v>
      </c>
      <c r="CK111" s="47" t="n">
        <f aca="false">ABS(CK110-CK83)</f>
        <v>2.39850805883179E-010</v>
      </c>
      <c r="CL111" s="47" t="n">
        <f aca="false">ABS(CL110-CL83)</f>
        <v>2.11400674743345E-010</v>
      </c>
      <c r="CM111" s="47" t="n">
        <f aca="false">ABS(CM110-CM83)</f>
        <v>1.8289370018465E-010</v>
      </c>
      <c r="CN111" s="47" t="n">
        <f aca="false">ABS(CN110-CN83)</f>
        <v>1.54898316395702E-010</v>
      </c>
      <c r="CO111" s="47" t="n">
        <f aca="false">ABS(CO110-CO83)</f>
        <v>1.26959776025615E-010</v>
      </c>
      <c r="CP111" s="47" t="n">
        <f aca="false">ABS(CP110-CP83)</f>
        <v>9.94191395875532E-011</v>
      </c>
      <c r="CQ111" s="47" t="n">
        <f aca="false">ABS(CQ110-CQ83)</f>
        <v>7.27311544324039E-011</v>
      </c>
      <c r="CR111" s="47" t="n">
        <f aca="false">ABS(CR110-CR83)</f>
        <v>4.72368810733315E-011</v>
      </c>
      <c r="CS111" s="47" t="n">
        <f aca="false">ABS(CS110-CS83)</f>
        <v>2.29931629291968E-011</v>
      </c>
      <c r="CT111" s="47" t="n">
        <f aca="false">ABS(CT110-CT83)</f>
        <v>0</v>
      </c>
      <c r="CU111" s="47" t="n">
        <f aca="false">ABS(CU110-CU83)</f>
        <v>0</v>
      </c>
      <c r="CV111" s="47" t="n">
        <f aca="false">ABS(CV110-CV83)</f>
        <v>0</v>
      </c>
      <c r="CW111" s="47" t="n">
        <f aca="false">ABS(CW110-CW83)</f>
        <v>0</v>
      </c>
      <c r="CX111" s="47" t="n">
        <f aca="false">ABS(CX110-CX83)</f>
        <v>0</v>
      </c>
      <c r="CY111" s="47" t="n">
        <f aca="false">ABS(CY110-CY83)</f>
        <v>0</v>
      </c>
      <c r="CZ111" s="47" t="n">
        <f aca="false">ABS(CZ110-CZ83)</f>
        <v>0</v>
      </c>
      <c r="DA111" s="47" t="n">
        <f aca="false">ABS(DA110-DA83)</f>
        <v>0</v>
      </c>
      <c r="DB111" s="47" t="n">
        <f aca="false">ABS(DB110-DB83)</f>
        <v>0</v>
      </c>
      <c r="DC111" s="47" t="n">
        <f aca="false">ABS(DC110-DC83)</f>
        <v>0</v>
      </c>
      <c r="DD111" s="47" t="n">
        <f aca="false">ABS(DD110-DD83)</f>
        <v>0</v>
      </c>
      <c r="DE111" s="47" t="n">
        <f aca="false">ABS(DE110-DE83)</f>
        <v>0</v>
      </c>
      <c r="DF111" s="47" t="n">
        <f aca="false">ABS(DF110-DF83)</f>
        <v>0</v>
      </c>
      <c r="DG111" s="47" t="n">
        <f aca="false">ABS(DG110-DG83)</f>
        <v>0</v>
      </c>
      <c r="DH111" s="47" t="n">
        <f aca="false">ABS(DH110-DH83)</f>
        <v>0</v>
      </c>
      <c r="DI111" s="47" t="n">
        <f aca="false">ABS(DI110-DI83)</f>
        <v>0</v>
      </c>
      <c r="DJ111" s="47" t="n">
        <f aca="false">ABS(DJ110-DJ83)</f>
        <v>0</v>
      </c>
      <c r="DK111" s="47" t="n">
        <f aca="false">ABS(DK110-DK83)</f>
        <v>0</v>
      </c>
      <c r="DL111" s="47" t="n">
        <f aca="false">ABS(DL110-DL83)</f>
        <v>0</v>
      </c>
      <c r="DM111" s="47" t="n">
        <f aca="false">ABS(DM110-DM83)</f>
        <v>0</v>
      </c>
      <c r="DN111" s="47" t="n">
        <f aca="false">ABS(DN110-DN83)</f>
        <v>0</v>
      </c>
      <c r="DO111" s="47" t="n">
        <f aca="false">ABS(DO110-DO83)</f>
        <v>0</v>
      </c>
      <c r="DP111" s="47" t="n">
        <f aca="false">ABS(DP110-DP83)</f>
        <v>0</v>
      </c>
      <c r="DQ111" s="47" t="n">
        <f aca="false">ABS(DQ110-DQ83)</f>
        <v>0</v>
      </c>
      <c r="DR111" s="47" t="n">
        <f aca="false">ABS(DR110-DR83)</f>
        <v>0</v>
      </c>
      <c r="DS111" s="47" t="n">
        <f aca="false">ABS(DS110-DS83)</f>
        <v>0</v>
      </c>
      <c r="DT111" s="47" t="n">
        <f aca="false">ABS(DT110-DT83)</f>
        <v>0</v>
      </c>
      <c r="DU111" s="47" t="n">
        <f aca="false">ABS(DU110-DU83)</f>
        <v>0</v>
      </c>
      <c r="DV111" s="47" t="n">
        <f aca="false">ABS(DV110-DV83)</f>
        <v>0</v>
      </c>
      <c r="DW111" s="47" t="n">
        <f aca="false">ABS(DW110-DW83)</f>
        <v>0</v>
      </c>
      <c r="DX111" s="47" t="n">
        <f aca="false">ABS(DX110-DX83)</f>
        <v>0</v>
      </c>
      <c r="DY111" s="47" t="n">
        <f aca="false">ABS(DY110-DY83)</f>
        <v>0</v>
      </c>
      <c r="DZ111" s="47" t="n">
        <f aca="false">ABS(DZ110-DZ83)</f>
        <v>0</v>
      </c>
      <c r="EA111" s="47" t="n">
        <f aca="false">ABS(EA110-EA83)</f>
        <v>0</v>
      </c>
      <c r="EB111" s="47" t="n">
        <f aca="false">ABS(EB110-EB83)</f>
        <v>0</v>
      </c>
      <c r="EC111" s="47" t="n">
        <f aca="false">ABS(EC110-EC83)</f>
        <v>0</v>
      </c>
      <c r="ED111" s="47" t="n">
        <f aca="false">ABS(ED110-ED83)</f>
        <v>0</v>
      </c>
      <c r="EE111" s="47" t="n">
        <f aca="false">ABS(EE110-EE83)</f>
        <v>0</v>
      </c>
      <c r="EF111" s="47" t="n">
        <f aca="false">ABS(EF110-EF83)</f>
        <v>0</v>
      </c>
      <c r="EG111" s="47" t="n">
        <f aca="false">ABS(EG110-EG83)</f>
        <v>0</v>
      </c>
      <c r="EH111" s="47" t="n">
        <f aca="false">ABS(EH110-EH83)</f>
        <v>0</v>
      </c>
      <c r="EI111" s="47" t="n">
        <f aca="false">ABS(EI110-EI83)</f>
        <v>0</v>
      </c>
      <c r="EJ111" s="47" t="n">
        <f aca="false">ABS(EJ110-EJ83)</f>
        <v>0</v>
      </c>
      <c r="EK111" s="47" t="n">
        <f aca="false">ABS(EK110-EK83)</f>
        <v>0</v>
      </c>
      <c r="EL111" s="47" t="n">
        <f aca="false">ABS(EL110-EL83)</f>
        <v>0</v>
      </c>
      <c r="EM111" s="47" t="n">
        <f aca="false">ABS(EM110-EM83)</f>
        <v>0</v>
      </c>
      <c r="EN111" s="47" t="n">
        <f aca="false">ABS(EN110-EN83)</f>
        <v>0</v>
      </c>
      <c r="EO111" s="47" t="n">
        <f aca="false">ABS(EO110-EO83)</f>
        <v>0</v>
      </c>
    </row>
    <row r="113" customFormat="false" ht="15" hidden="false" customHeight="false" outlineLevel="0" collapsed="false">
      <c r="A113" s="9" t="s">
        <v>13</v>
      </c>
      <c r="B113" s="9"/>
      <c r="C113" s="9" t="s">
        <v>474</v>
      </c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 s="9"/>
      <c r="ED113" s="9"/>
      <c r="EE113" s="9"/>
      <c r="EF113" s="9"/>
      <c r="EG113" s="9"/>
      <c r="EH113" s="9"/>
      <c r="EI113" s="9"/>
      <c r="EJ113" s="9"/>
      <c r="EK113" s="9"/>
      <c r="EL113" s="9"/>
      <c r="EM113" s="9"/>
      <c r="EN113" s="9"/>
      <c r="EO113" s="9"/>
    </row>
    <row r="114" customFormat="false" ht="15" hidden="false" customHeight="false" outlineLevel="0" collapsed="false">
      <c r="C114" s="0" t="s">
        <v>93</v>
      </c>
      <c r="D114" s="11" t="s">
        <v>33</v>
      </c>
      <c r="E114" s="47" t="n">
        <f aca="false">-($I45+$I46+$I47)</f>
        <v>5150</v>
      </c>
    </row>
    <row r="115" customFormat="false" ht="15" hidden="false" customHeight="false" outlineLevel="0" collapsed="false">
      <c r="C115" s="0" t="s">
        <v>94</v>
      </c>
      <c r="D115" s="11" t="s">
        <v>33</v>
      </c>
      <c r="E115" s="47" t="n">
        <f aca="false">-($I49+$I52+$E56)</f>
        <v>1114.92155376243</v>
      </c>
    </row>
    <row r="116" customFormat="false" ht="15" hidden="false" customHeight="false" outlineLevel="0" collapsed="false">
      <c r="C116" s="0" t="s">
        <v>95</v>
      </c>
      <c r="D116" s="11" t="s">
        <v>33</v>
      </c>
      <c r="E116" s="47" t="n">
        <f aca="false">-$I65</f>
        <v>63116.25</v>
      </c>
    </row>
    <row r="117" customFormat="false" ht="15" hidden="false" customHeight="false" outlineLevel="0" collapsed="false">
      <c r="C117" s="0" t="s">
        <v>96</v>
      </c>
      <c r="D117" s="11" t="s">
        <v>33</v>
      </c>
      <c r="E117" s="47" t="n">
        <f aca="false">-$I55</f>
        <v>8154.82315068493</v>
      </c>
    </row>
    <row r="118" customFormat="false" ht="15" hidden="false" customHeight="false" outlineLevel="0" collapsed="false">
      <c r="C118" s="0" t="s">
        <v>97</v>
      </c>
      <c r="D118" s="11" t="s">
        <v>33</v>
      </c>
      <c r="E118" s="47" t="n">
        <f aca="false">-$I66</f>
        <v>2500</v>
      </c>
    </row>
    <row r="119" customFormat="false" ht="15" hidden="false" customHeight="false" outlineLevel="0" collapsed="false">
      <c r="C119" s="0" t="s">
        <v>98</v>
      </c>
      <c r="D119" s="11" t="s">
        <v>33</v>
      </c>
      <c r="E119" s="47" t="n">
        <f aca="false">$I94-$I97-$I98</f>
        <v>3043.50609180492</v>
      </c>
    </row>
    <row r="120" customFormat="false" ht="15" hidden="false" customHeight="false" outlineLevel="0" collapsed="false">
      <c r="C120" s="0" t="s">
        <v>99</v>
      </c>
      <c r="D120" s="11" t="s">
        <v>33</v>
      </c>
      <c r="E120" s="47" t="n">
        <f aca="false">-SUMIF($J$4:$EO$4,"&lt;="&amp;In_COD,$J80:$EO80)</f>
        <v>340.170197534084</v>
      </c>
    </row>
    <row r="121" customFormat="false" ht="15" hidden="false" customHeight="false" outlineLevel="0" collapsed="false">
      <c r="C121" s="25" t="s">
        <v>100</v>
      </c>
      <c r="D121" s="11" t="s">
        <v>33</v>
      </c>
      <c r="E121" s="56" t="n">
        <f aca="false">SUM($E114:$E120)</f>
        <v>83419.6709937864</v>
      </c>
    </row>
    <row r="122" customFormat="false" ht="15" hidden="false" customHeight="false" outlineLevel="0" collapsed="false">
      <c r="C122" s="0" t="s">
        <v>475</v>
      </c>
      <c r="D122" s="11" t="s">
        <v>33</v>
      </c>
      <c r="E122" s="47" t="n">
        <f aca="false">$E121-$E96</f>
        <v>40941.7971932041</v>
      </c>
      <c r="F122" s="47" t="n">
        <f aca="false">$E122+$E99</f>
        <v>41850.1846411596</v>
      </c>
    </row>
    <row r="123" customFormat="false" ht="15" hidden="false" customHeight="false" outlineLevel="0" collapsed="false">
      <c r="C123" s="0" t="s">
        <v>104</v>
      </c>
      <c r="D123" s="11" t="s">
        <v>27</v>
      </c>
      <c r="E123" s="48" t="n">
        <f aca="false">$E96/$E121</f>
        <v>0.509206920796251</v>
      </c>
    </row>
    <row r="124" customFormat="false" ht="15" hidden="false" customHeight="false" outlineLevel="0" collapsed="false">
      <c r="C124" s="0" t="s">
        <v>476</v>
      </c>
      <c r="D124" s="11" t="s">
        <v>33</v>
      </c>
      <c r="E124" s="47" t="n">
        <f aca="false">$E85*In_DSCR/In_DSCR_Max_Low</f>
        <v>97815.0088675272</v>
      </c>
      <c r="F124" s="47" t="n">
        <f aca="false">$E85*In_DSCR/In_DSCR_Max_High</f>
        <v>89663.7581285666</v>
      </c>
    </row>
    <row r="125" customFormat="false" ht="15" hidden="false" customHeight="false" outlineLevel="0" collapsed="false">
      <c r="C125" s="0" t="s">
        <v>477</v>
      </c>
      <c r="D125" s="11" t="s">
        <v>27</v>
      </c>
      <c r="E125" s="48" t="n">
        <f aca="false">$E124/$E121</f>
        <v>1.17256526790681</v>
      </c>
      <c r="F125" s="48" t="n">
        <f aca="false">$F124/$E121</f>
        <v>1.07485149558124</v>
      </c>
    </row>
    <row r="127" customFormat="false" ht="15" hidden="false" customHeight="false" outlineLevel="0" collapsed="false">
      <c r="A127" s="9" t="s">
        <v>13</v>
      </c>
      <c r="B127" s="9"/>
      <c r="C127" s="9" t="s">
        <v>120</v>
      </c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</row>
    <row r="128" customFormat="false" ht="15" hidden="false" customHeight="false" outlineLevel="0" collapsed="false">
      <c r="C128" s="0" t="s">
        <v>478</v>
      </c>
      <c r="D128" s="11" t="s">
        <v>33</v>
      </c>
      <c r="I128" s="47" t="n">
        <f aca="false">SUM(J128:EO128)</f>
        <v>-40941.7971932041</v>
      </c>
      <c r="J128" s="47" t="n">
        <f aca="false">(J60+J67+J93+J97+J98+J80)*(J$4&lt;=In_COD)</f>
        <v>-4662.80993807469</v>
      </c>
      <c r="K128" s="47" t="n">
        <f aca="false">(K60+K67+K93+K97+K98+K80)*(K$4&lt;=In_COD)</f>
        <v>-706.535577057768</v>
      </c>
      <c r="L128" s="47" t="n">
        <f aca="false">(L60+L67+L93+L97+L98+L80)*(L$4&lt;=In_COD)</f>
        <v>-104.360496659404</v>
      </c>
      <c r="M128" s="47" t="n">
        <f aca="false">(M60+M67+M93+M97+M98+M80)*(M$4&lt;=In_COD)</f>
        <v>-105.507315304013</v>
      </c>
      <c r="N128" s="47" t="n">
        <f aca="false">(N60+N67+N93+N97+N98+N80)*(N$4&lt;=In_COD)</f>
        <v>-105.507315304013</v>
      </c>
      <c r="O128" s="47" t="n">
        <f aca="false">(O60+O67+O93+O97+O98+O80)*(O$4&lt;=In_COD)</f>
        <v>-104.360496659404</v>
      </c>
      <c r="P128" s="47" t="n">
        <f aca="false">(P60+P67+P93+P97+P98+P80)*(P$4&lt;=In_COD)</f>
        <v>-104.360496659404</v>
      </c>
      <c r="Q128" s="47" t="n">
        <f aca="false">(Q60+Q67+Q93+Q97+Q98+Q80)*(Q$4&lt;=In_COD)</f>
        <v>-105.507315304013</v>
      </c>
      <c r="R128" s="47" t="n">
        <f aca="false">(R60+R67+R93+R97+R98+R80)*(R$4&lt;=In_COD)</f>
        <v>-4489.95849315338</v>
      </c>
      <c r="S128" s="47" t="n">
        <f aca="false">(S60+S67+S93+S97+S98+S80)*(S$4&lt;=In_COD)</f>
        <v>-7326.12620687268</v>
      </c>
      <c r="T128" s="47" t="n">
        <f aca="false">(T60+T67+T93+T97+T98+T80)*(T$4&lt;=In_COD)</f>
        <v>-3677.41596133854</v>
      </c>
      <c r="U128" s="47" t="n">
        <f aca="false">(U60+U67+U93+U97+U98+U80)*(U$4&lt;=In_COD)</f>
        <v>-3708.01055317332</v>
      </c>
      <c r="V128" s="47" t="n">
        <f aca="false">(V60+V67+V93+V97+V98+V80)*(V$4&lt;=In_COD)</f>
        <v>-3698.08610617388</v>
      </c>
      <c r="W128" s="47" t="n">
        <f aca="false">(W60+W67+W93+W97+W98+W80)*(W$4&lt;=In_COD)</f>
        <v>-3609.02616297382</v>
      </c>
      <c r="X128" s="47" t="n">
        <f aca="false">(X60+X67+X93+X97+X98+X80)*(X$4&lt;=In_COD)</f>
        <v>-3639.52328484964</v>
      </c>
      <c r="Y128" s="47" t="n">
        <f aca="false">(Y60+Y67+Y93+Y97+Y98+Y80)*(Y$4&lt;=In_COD)</f>
        <v>-4794.70147364609</v>
      </c>
      <c r="Z128" s="47" t="n">
        <f aca="false">(Z60+Z67+Z93+Z97+Z98+Z80)*(Z$4&lt;=In_COD)</f>
        <v>0</v>
      </c>
      <c r="AA128" s="47" t="n">
        <f aca="false">(AA60+AA67+AA93+AA97+AA98+AA80)*(AA$4&lt;=In_COD)</f>
        <v>0</v>
      </c>
      <c r="AB128" s="47" t="n">
        <f aca="false">(AB60+AB67+AB93+AB97+AB98+AB80)*(AB$4&lt;=In_COD)</f>
        <v>0</v>
      </c>
      <c r="AC128" s="47" t="n">
        <f aca="false">(AC60+AC67+AC93+AC97+AC98+AC80)*(AC$4&lt;=In_COD)</f>
        <v>0</v>
      </c>
      <c r="AD128" s="47" t="n">
        <f aca="false">(AD60+AD67+AD93+AD97+AD98+AD80)*(AD$4&lt;=In_COD)</f>
        <v>0</v>
      </c>
      <c r="AE128" s="47" t="n">
        <f aca="false">(AE60+AE67+AE93+AE97+AE98+AE80)*(AE$4&lt;=In_COD)</f>
        <v>0</v>
      </c>
      <c r="AF128" s="47" t="n">
        <f aca="false">(AF60+AF67+AF93+AF97+AF98+AF80)*(AF$4&lt;=In_COD)</f>
        <v>0</v>
      </c>
      <c r="AG128" s="47" t="n">
        <f aca="false">(AG60+AG67+AG93+AG97+AG98+AG80)*(AG$4&lt;=In_COD)</f>
        <v>0</v>
      </c>
      <c r="AH128" s="47" t="n">
        <f aca="false">(AH60+AH67+AH93+AH97+AH98+AH80)*(AH$4&lt;=In_COD)</f>
        <v>0</v>
      </c>
      <c r="AI128" s="47" t="n">
        <f aca="false">(AI60+AI67+AI93+AI97+AI98+AI80)*(AI$4&lt;=In_COD)</f>
        <v>0</v>
      </c>
      <c r="AJ128" s="47" t="n">
        <f aca="false">(AJ60+AJ67+AJ93+AJ97+AJ98+AJ80)*(AJ$4&lt;=In_COD)</f>
        <v>0</v>
      </c>
      <c r="AK128" s="47" t="n">
        <f aca="false">(AK60+AK67+AK93+AK97+AK98+AK80)*(AK$4&lt;=In_COD)</f>
        <v>0</v>
      </c>
      <c r="AL128" s="47" t="n">
        <f aca="false">(AL60+AL67+AL93+AL97+AL98+AL80)*(AL$4&lt;=In_COD)</f>
        <v>0</v>
      </c>
      <c r="AM128" s="47" t="n">
        <f aca="false">(AM60+AM67+AM93+AM97+AM98+AM80)*(AM$4&lt;=In_COD)</f>
        <v>0</v>
      </c>
      <c r="AN128" s="47" t="n">
        <f aca="false">(AN60+AN67+AN93+AN97+AN98+AN80)*(AN$4&lt;=In_COD)</f>
        <v>0</v>
      </c>
      <c r="AO128" s="47" t="n">
        <f aca="false">(AO60+AO67+AO93+AO97+AO98+AO80)*(AO$4&lt;=In_COD)</f>
        <v>0</v>
      </c>
      <c r="AP128" s="47" t="n">
        <f aca="false">(AP60+AP67+AP93+AP97+AP98+AP80)*(AP$4&lt;=In_COD)</f>
        <v>0</v>
      </c>
      <c r="AQ128" s="47" t="n">
        <f aca="false">(AQ60+AQ67+AQ93+AQ97+AQ98+AQ80)*(AQ$4&lt;=In_COD)</f>
        <v>0</v>
      </c>
      <c r="AR128" s="47" t="n">
        <f aca="false">(AR60+AR67+AR93+AR97+AR98+AR80)*(AR$4&lt;=In_COD)</f>
        <v>0</v>
      </c>
      <c r="AS128" s="47" t="n">
        <f aca="false">(AS60+AS67+AS93+AS97+AS98+AS80)*(AS$4&lt;=In_COD)</f>
        <v>0</v>
      </c>
      <c r="AT128" s="47" t="n">
        <f aca="false">(AT60+AT67+AT93+AT97+AT98+AT80)*(AT$4&lt;=In_COD)</f>
        <v>0</v>
      </c>
      <c r="AU128" s="47" t="n">
        <f aca="false">(AU60+AU67+AU93+AU97+AU98+AU80)*(AU$4&lt;=In_COD)</f>
        <v>0</v>
      </c>
      <c r="AV128" s="47" t="n">
        <f aca="false">(AV60+AV67+AV93+AV97+AV98+AV80)*(AV$4&lt;=In_COD)</f>
        <v>0</v>
      </c>
      <c r="AW128" s="47" t="n">
        <f aca="false">(AW60+AW67+AW93+AW97+AW98+AW80)*(AW$4&lt;=In_COD)</f>
        <v>0</v>
      </c>
      <c r="AX128" s="47" t="n">
        <f aca="false">(AX60+AX67+AX93+AX97+AX98+AX80)*(AX$4&lt;=In_COD)</f>
        <v>0</v>
      </c>
      <c r="AY128" s="47" t="n">
        <f aca="false">(AY60+AY67+AY93+AY97+AY98+AY80)*(AY$4&lt;=In_COD)</f>
        <v>0</v>
      </c>
      <c r="AZ128" s="47" t="n">
        <f aca="false">(AZ60+AZ67+AZ93+AZ97+AZ98+AZ80)*(AZ$4&lt;=In_COD)</f>
        <v>0</v>
      </c>
      <c r="BA128" s="47" t="n">
        <f aca="false">(BA60+BA67+BA93+BA97+BA98+BA80)*(BA$4&lt;=In_COD)</f>
        <v>0</v>
      </c>
      <c r="BB128" s="47" t="n">
        <f aca="false">(BB60+BB67+BB93+BB97+BB98+BB80)*(BB$4&lt;=In_COD)</f>
        <v>0</v>
      </c>
      <c r="BC128" s="47" t="n">
        <f aca="false">(BC60+BC67+BC93+BC97+BC98+BC80)*(BC$4&lt;=In_COD)</f>
        <v>0</v>
      </c>
      <c r="BD128" s="47" t="n">
        <f aca="false">(BD60+BD67+BD93+BD97+BD98+BD80)*(BD$4&lt;=In_COD)</f>
        <v>0</v>
      </c>
      <c r="BE128" s="47" t="n">
        <f aca="false">(BE60+BE67+BE93+BE97+BE98+BE80)*(BE$4&lt;=In_COD)</f>
        <v>0</v>
      </c>
      <c r="BF128" s="47" t="n">
        <f aca="false">(BF60+BF67+BF93+BF97+BF98+BF80)*(BF$4&lt;=In_COD)</f>
        <v>0</v>
      </c>
      <c r="BG128" s="47" t="n">
        <f aca="false">(BG60+BG67+BG93+BG97+BG98+BG80)*(BG$4&lt;=In_COD)</f>
        <v>0</v>
      </c>
      <c r="BH128" s="47" t="n">
        <f aca="false">(BH60+BH67+BH93+BH97+BH98+BH80)*(BH$4&lt;=In_COD)</f>
        <v>0</v>
      </c>
      <c r="BI128" s="47" t="n">
        <f aca="false">(BI60+BI67+BI93+BI97+BI98+BI80)*(BI$4&lt;=In_COD)</f>
        <v>0</v>
      </c>
      <c r="BJ128" s="47" t="n">
        <f aca="false">(BJ60+BJ67+BJ93+BJ97+BJ98+BJ80)*(BJ$4&lt;=In_COD)</f>
        <v>0</v>
      </c>
      <c r="BK128" s="47" t="n">
        <f aca="false">(BK60+BK67+BK93+BK97+BK98+BK80)*(BK$4&lt;=In_COD)</f>
        <v>0</v>
      </c>
      <c r="BL128" s="47" t="n">
        <f aca="false">(BL60+BL67+BL93+BL97+BL98+BL80)*(BL$4&lt;=In_COD)</f>
        <v>0</v>
      </c>
      <c r="BM128" s="47" t="n">
        <f aca="false">(BM60+BM67+BM93+BM97+BM98+BM80)*(BM$4&lt;=In_COD)</f>
        <v>0</v>
      </c>
      <c r="BN128" s="47" t="n">
        <f aca="false">(BN60+BN67+BN93+BN97+BN98+BN80)*(BN$4&lt;=In_COD)</f>
        <v>0</v>
      </c>
      <c r="BO128" s="47" t="n">
        <f aca="false">(BO60+BO67+BO93+BO97+BO98+BO80)*(BO$4&lt;=In_COD)</f>
        <v>0</v>
      </c>
      <c r="BP128" s="47" t="n">
        <f aca="false">(BP60+BP67+BP93+BP97+BP98+BP80)*(BP$4&lt;=In_COD)</f>
        <v>0</v>
      </c>
      <c r="BQ128" s="47" t="n">
        <f aca="false">(BQ60+BQ67+BQ93+BQ97+BQ98+BQ80)*(BQ$4&lt;=In_COD)</f>
        <v>0</v>
      </c>
      <c r="BR128" s="47" t="n">
        <f aca="false">(BR60+BR67+BR93+BR97+BR98+BR80)*(BR$4&lt;=In_COD)</f>
        <v>0</v>
      </c>
      <c r="BS128" s="47" t="n">
        <f aca="false">(BS60+BS67+BS93+BS97+BS98+BS80)*(BS$4&lt;=In_COD)</f>
        <v>0</v>
      </c>
      <c r="BT128" s="47" t="n">
        <f aca="false">(BT60+BT67+BT93+BT97+BT98+BT80)*(BT$4&lt;=In_COD)</f>
        <v>0</v>
      </c>
      <c r="BU128" s="47" t="n">
        <f aca="false">(BU60+BU67+BU93+BU97+BU98+BU80)*(BU$4&lt;=In_COD)</f>
        <v>0</v>
      </c>
      <c r="BV128" s="47" t="n">
        <f aca="false">(BV60+BV67+BV93+BV97+BV98+BV80)*(BV$4&lt;=In_COD)</f>
        <v>0</v>
      </c>
      <c r="BW128" s="47" t="n">
        <f aca="false">(BW60+BW67+BW93+BW97+BW98+BW80)*(BW$4&lt;=In_COD)</f>
        <v>0</v>
      </c>
      <c r="BX128" s="47" t="n">
        <f aca="false">(BX60+BX67+BX93+BX97+BX98+BX80)*(BX$4&lt;=In_COD)</f>
        <v>0</v>
      </c>
      <c r="BY128" s="47" t="n">
        <f aca="false">(BY60+BY67+BY93+BY97+BY98+BY80)*(BY$4&lt;=In_COD)</f>
        <v>0</v>
      </c>
      <c r="BZ128" s="47" t="n">
        <f aca="false">(BZ60+BZ67+BZ93+BZ97+BZ98+BZ80)*(BZ$4&lt;=In_COD)</f>
        <v>0</v>
      </c>
      <c r="CA128" s="47" t="n">
        <f aca="false">(CA60+CA67+CA93+CA97+CA98+CA80)*(CA$4&lt;=In_COD)</f>
        <v>0</v>
      </c>
      <c r="CB128" s="47" t="n">
        <f aca="false">(CB60+CB67+CB93+CB97+CB98+CB80)*(CB$4&lt;=In_COD)</f>
        <v>0</v>
      </c>
      <c r="CC128" s="47" t="n">
        <f aca="false">(CC60+CC67+CC93+CC97+CC98+CC80)*(CC$4&lt;=In_COD)</f>
        <v>0</v>
      </c>
      <c r="CD128" s="47" t="n">
        <f aca="false">(CD60+CD67+CD93+CD97+CD98+CD80)*(CD$4&lt;=In_COD)</f>
        <v>0</v>
      </c>
      <c r="CE128" s="47" t="n">
        <f aca="false">(CE60+CE67+CE93+CE97+CE98+CE80)*(CE$4&lt;=In_COD)</f>
        <v>0</v>
      </c>
      <c r="CF128" s="47" t="n">
        <f aca="false">(CF60+CF67+CF93+CF97+CF98+CF80)*(CF$4&lt;=In_COD)</f>
        <v>0</v>
      </c>
      <c r="CG128" s="47" t="n">
        <f aca="false">(CG60+CG67+CG93+CG97+CG98+CG80)*(CG$4&lt;=In_COD)</f>
        <v>0</v>
      </c>
      <c r="CH128" s="47" t="n">
        <f aca="false">(CH60+CH67+CH93+CH97+CH98+CH80)*(CH$4&lt;=In_COD)</f>
        <v>0</v>
      </c>
      <c r="CI128" s="47" t="n">
        <f aca="false">(CI60+CI67+CI93+CI97+CI98+CI80)*(CI$4&lt;=In_COD)</f>
        <v>0</v>
      </c>
      <c r="CJ128" s="47" t="n">
        <f aca="false">(CJ60+CJ67+CJ93+CJ97+CJ98+CJ80)*(CJ$4&lt;=In_COD)</f>
        <v>0</v>
      </c>
      <c r="CK128" s="47" t="n">
        <f aca="false">(CK60+CK67+CK93+CK97+CK98+CK80)*(CK$4&lt;=In_COD)</f>
        <v>0</v>
      </c>
      <c r="CL128" s="47" t="n">
        <f aca="false">(CL60+CL67+CL93+CL97+CL98+CL80)*(CL$4&lt;=In_COD)</f>
        <v>0</v>
      </c>
      <c r="CM128" s="47" t="n">
        <f aca="false">(CM60+CM67+CM93+CM97+CM98+CM80)*(CM$4&lt;=In_COD)</f>
        <v>0</v>
      </c>
      <c r="CN128" s="47" t="n">
        <f aca="false">(CN60+CN67+CN93+CN97+CN98+CN80)*(CN$4&lt;=In_COD)</f>
        <v>0</v>
      </c>
      <c r="CO128" s="47" t="n">
        <f aca="false">(CO60+CO67+CO93+CO97+CO98+CO80)*(CO$4&lt;=In_COD)</f>
        <v>0</v>
      </c>
      <c r="CP128" s="47" t="n">
        <f aca="false">(CP60+CP67+CP93+CP97+CP98+CP80)*(CP$4&lt;=In_COD)</f>
        <v>0</v>
      </c>
      <c r="CQ128" s="47" t="n">
        <f aca="false">(CQ60+CQ67+CQ93+CQ97+CQ98+CQ80)*(CQ$4&lt;=In_COD)</f>
        <v>0</v>
      </c>
      <c r="CR128" s="47" t="n">
        <f aca="false">(CR60+CR67+CR93+CR97+CR98+CR80)*(CR$4&lt;=In_COD)</f>
        <v>0</v>
      </c>
      <c r="CS128" s="47" t="n">
        <f aca="false">(CS60+CS67+CS93+CS97+CS98+CS80)*(CS$4&lt;=In_COD)</f>
        <v>0</v>
      </c>
      <c r="CT128" s="47" t="n">
        <f aca="false">(CT60+CT67+CT93+CT97+CT98+CT80)*(CT$4&lt;=In_COD)</f>
        <v>0</v>
      </c>
      <c r="CU128" s="47" t="n">
        <f aca="false">(CU60+CU67+CU93+CU97+CU98+CU80)*(CU$4&lt;=In_COD)</f>
        <v>0</v>
      </c>
      <c r="CV128" s="47" t="n">
        <f aca="false">(CV60+CV67+CV93+CV97+CV98+CV80)*(CV$4&lt;=In_COD)</f>
        <v>0</v>
      </c>
      <c r="CW128" s="47" t="n">
        <f aca="false">(CW60+CW67+CW93+CW97+CW98+CW80)*(CW$4&lt;=In_COD)</f>
        <v>0</v>
      </c>
      <c r="CX128" s="47" t="n">
        <f aca="false">(CX60+CX67+CX93+CX97+CX98+CX80)*(CX$4&lt;=In_COD)</f>
        <v>0</v>
      </c>
      <c r="CY128" s="47" t="n">
        <f aca="false">(CY60+CY67+CY93+CY97+CY98+CY80)*(CY$4&lt;=In_COD)</f>
        <v>0</v>
      </c>
      <c r="CZ128" s="47" t="n">
        <f aca="false">(CZ60+CZ67+CZ93+CZ97+CZ98+CZ80)*(CZ$4&lt;=In_COD)</f>
        <v>0</v>
      </c>
      <c r="DA128" s="47" t="n">
        <f aca="false">(DA60+DA67+DA93+DA97+DA98+DA80)*(DA$4&lt;=In_COD)</f>
        <v>0</v>
      </c>
      <c r="DB128" s="47" t="n">
        <f aca="false">(DB60+DB67+DB93+DB97+DB98+DB80)*(DB$4&lt;=In_COD)</f>
        <v>0</v>
      </c>
      <c r="DC128" s="47" t="n">
        <f aca="false">(DC60+DC67+DC93+DC97+DC98+DC80)*(DC$4&lt;=In_COD)</f>
        <v>0</v>
      </c>
      <c r="DD128" s="47" t="n">
        <f aca="false">(DD60+DD67+DD93+DD97+DD98+DD80)*(DD$4&lt;=In_COD)</f>
        <v>0</v>
      </c>
      <c r="DE128" s="47" t="n">
        <f aca="false">(DE60+DE67+DE93+DE97+DE98+DE80)*(DE$4&lt;=In_COD)</f>
        <v>0</v>
      </c>
      <c r="DF128" s="47" t="n">
        <f aca="false">(DF60+DF67+DF93+DF97+DF98+DF80)*(DF$4&lt;=In_COD)</f>
        <v>0</v>
      </c>
      <c r="DG128" s="47" t="n">
        <f aca="false">(DG60+DG67+DG93+DG97+DG98+DG80)*(DG$4&lt;=In_COD)</f>
        <v>0</v>
      </c>
      <c r="DH128" s="47" t="n">
        <f aca="false">(DH60+DH67+DH93+DH97+DH98+DH80)*(DH$4&lt;=In_COD)</f>
        <v>0</v>
      </c>
      <c r="DI128" s="47" t="n">
        <f aca="false">(DI60+DI67+DI93+DI97+DI98+DI80)*(DI$4&lt;=In_COD)</f>
        <v>0</v>
      </c>
      <c r="DJ128" s="47" t="n">
        <f aca="false">(DJ60+DJ67+DJ93+DJ97+DJ98+DJ80)*(DJ$4&lt;=In_COD)</f>
        <v>0</v>
      </c>
      <c r="DK128" s="47" t="n">
        <f aca="false">(DK60+DK67+DK93+DK97+DK98+DK80)*(DK$4&lt;=In_COD)</f>
        <v>0</v>
      </c>
      <c r="DL128" s="47" t="n">
        <f aca="false">(DL60+DL67+DL93+DL97+DL98+DL80)*(DL$4&lt;=In_COD)</f>
        <v>0</v>
      </c>
      <c r="DM128" s="47" t="n">
        <f aca="false">(DM60+DM67+DM93+DM97+DM98+DM80)*(DM$4&lt;=In_COD)</f>
        <v>0</v>
      </c>
      <c r="DN128" s="47" t="n">
        <f aca="false">(DN60+DN67+DN93+DN97+DN98+DN80)*(DN$4&lt;=In_COD)</f>
        <v>0</v>
      </c>
      <c r="DO128" s="47" t="n">
        <f aca="false">(DO60+DO67+DO93+DO97+DO98+DO80)*(DO$4&lt;=In_COD)</f>
        <v>0</v>
      </c>
      <c r="DP128" s="47" t="n">
        <f aca="false">(DP60+DP67+DP93+DP97+DP98+DP80)*(DP$4&lt;=In_COD)</f>
        <v>0</v>
      </c>
      <c r="DQ128" s="47" t="n">
        <f aca="false">(DQ60+DQ67+DQ93+DQ97+DQ98+DQ80)*(DQ$4&lt;=In_COD)</f>
        <v>0</v>
      </c>
      <c r="DR128" s="47" t="n">
        <f aca="false">(DR60+DR67+DR93+DR97+DR98+DR80)*(DR$4&lt;=In_COD)</f>
        <v>0</v>
      </c>
      <c r="DS128" s="47" t="n">
        <f aca="false">(DS60+DS67+DS93+DS97+DS98+DS80)*(DS$4&lt;=In_COD)</f>
        <v>0</v>
      </c>
      <c r="DT128" s="47" t="n">
        <f aca="false">(DT60+DT67+DT93+DT97+DT98+DT80)*(DT$4&lt;=In_COD)</f>
        <v>0</v>
      </c>
      <c r="DU128" s="47" t="n">
        <f aca="false">(DU60+DU67+DU93+DU97+DU98+DU80)*(DU$4&lt;=In_COD)</f>
        <v>0</v>
      </c>
      <c r="DV128" s="47" t="n">
        <f aca="false">(DV60+DV67+DV93+DV97+DV98+DV80)*(DV$4&lt;=In_COD)</f>
        <v>0</v>
      </c>
      <c r="DW128" s="47" t="n">
        <f aca="false">(DW60+DW67+DW93+DW97+DW98+DW80)*(DW$4&lt;=In_COD)</f>
        <v>0</v>
      </c>
      <c r="DX128" s="47" t="n">
        <f aca="false">(DX60+DX67+DX93+DX97+DX98+DX80)*(DX$4&lt;=In_COD)</f>
        <v>0</v>
      </c>
      <c r="DY128" s="47" t="n">
        <f aca="false">(DY60+DY67+DY93+DY97+DY98+DY80)*(DY$4&lt;=In_COD)</f>
        <v>0</v>
      </c>
      <c r="DZ128" s="47" t="n">
        <f aca="false">(DZ60+DZ67+DZ93+DZ97+DZ98+DZ80)*(DZ$4&lt;=In_COD)</f>
        <v>0</v>
      </c>
      <c r="EA128" s="47" t="n">
        <f aca="false">(EA60+EA67+EA93+EA97+EA98+EA80)*(EA$4&lt;=In_COD)</f>
        <v>0</v>
      </c>
      <c r="EB128" s="47" t="n">
        <f aca="false">(EB60+EB67+EB93+EB97+EB98+EB80)*(EB$4&lt;=In_COD)</f>
        <v>0</v>
      </c>
      <c r="EC128" s="47" t="n">
        <f aca="false">(EC60+EC67+EC93+EC97+EC98+EC80)*(EC$4&lt;=In_COD)</f>
        <v>0</v>
      </c>
      <c r="ED128" s="47" t="n">
        <f aca="false">(ED60+ED67+ED93+ED97+ED98+ED80)*(ED$4&lt;=In_COD)</f>
        <v>0</v>
      </c>
      <c r="EE128" s="47" t="n">
        <f aca="false">(EE60+EE67+EE93+EE97+EE98+EE80)*(EE$4&lt;=In_COD)</f>
        <v>0</v>
      </c>
      <c r="EF128" s="47" t="n">
        <f aca="false">(EF60+EF67+EF93+EF97+EF98+EF80)*(EF$4&lt;=In_COD)</f>
        <v>0</v>
      </c>
      <c r="EG128" s="47" t="n">
        <f aca="false">(EG60+EG67+EG93+EG97+EG98+EG80)*(EG$4&lt;=In_COD)</f>
        <v>0</v>
      </c>
      <c r="EH128" s="47" t="n">
        <f aca="false">(EH60+EH67+EH93+EH97+EH98+EH80)*(EH$4&lt;=In_COD)</f>
        <v>0</v>
      </c>
      <c r="EI128" s="47" t="n">
        <f aca="false">(EI60+EI67+EI93+EI97+EI98+EI80)*(EI$4&lt;=In_COD)</f>
        <v>0</v>
      </c>
      <c r="EJ128" s="47" t="n">
        <f aca="false">(EJ60+EJ67+EJ93+EJ97+EJ98+EJ80)*(EJ$4&lt;=In_COD)</f>
        <v>0</v>
      </c>
      <c r="EK128" s="47" t="n">
        <f aca="false">(EK60+EK67+EK93+EK97+EK98+EK80)*(EK$4&lt;=In_COD)</f>
        <v>0</v>
      </c>
      <c r="EL128" s="47" t="n">
        <f aca="false">(EL60+EL67+EL93+EL97+EL98+EL80)*(EL$4&lt;=In_COD)</f>
        <v>0</v>
      </c>
      <c r="EM128" s="47" t="n">
        <f aca="false">(EM60+EM67+EM93+EM97+EM98+EM80)*(EM$4&lt;=In_COD)</f>
        <v>0</v>
      </c>
      <c r="EN128" s="47" t="n">
        <f aca="false">(EN60+EN67+EN93+EN97+EN98+EN80)*(EN$4&lt;=In_COD)</f>
        <v>0</v>
      </c>
      <c r="EO128" s="47" t="n">
        <f aca="false">(EO60+EO67+EO93+EO97+EO98+EO80)*(EO$4&lt;=In_COD)</f>
        <v>0</v>
      </c>
    </row>
    <row r="129" customFormat="false" ht="15" hidden="false" customHeight="false" outlineLevel="0" collapsed="false">
      <c r="C129" s="0" t="s">
        <v>479</v>
      </c>
      <c r="D129" s="11" t="s">
        <v>33</v>
      </c>
      <c r="E129" s="47" t="n">
        <f aca="false">IF($E39=1,In_COD_Price,In_COD_Price_CN)*$F25*(1-$E28)</f>
        <v>114975</v>
      </c>
    </row>
    <row r="130" customFormat="false" ht="15" hidden="false" customHeight="false" outlineLevel="0" collapsed="false">
      <c r="C130" s="0" t="s">
        <v>480</v>
      </c>
      <c r="D130" s="11" t="s">
        <v>33</v>
      </c>
      <c r="E130" s="47" t="n">
        <f aca="false">$E129+$I59-$E96-In_Sale_Costs</f>
        <v>71997.1261994177</v>
      </c>
    </row>
    <row r="131" customFormat="false" ht="15" hidden="false" customHeight="false" outlineLevel="0" collapsed="false">
      <c r="C131" s="0" t="s">
        <v>123</v>
      </c>
      <c r="D131" s="11" t="s">
        <v>33</v>
      </c>
      <c r="E131" s="47" t="n">
        <f aca="false">-In_CIT*In_Sale_Gain_Taxed*MAX(0,$E130+$I128)</f>
        <v>-0</v>
      </c>
    </row>
    <row r="132" customFormat="false" ht="15" hidden="false" customHeight="false" outlineLevel="0" collapsed="false">
      <c r="C132" s="25" t="s">
        <v>481</v>
      </c>
      <c r="D132" s="11" t="s">
        <v>33</v>
      </c>
      <c r="I132" s="56" t="n">
        <f aca="false">SUM(J132:EO132)</f>
        <v>31055.3290062136</v>
      </c>
      <c r="J132" s="56" t="n">
        <f aca="false">J128+($E130+$E131)*J14</f>
        <v>-4662.80993807469</v>
      </c>
      <c r="K132" s="56" t="n">
        <f aca="false">K128+($E130+$E131)*K14</f>
        <v>-706.535577057768</v>
      </c>
      <c r="L132" s="56" t="n">
        <f aca="false">L128+($E130+$E131)*L14</f>
        <v>-104.360496659404</v>
      </c>
      <c r="M132" s="56" t="n">
        <f aca="false">M128+($E130+$E131)*M14</f>
        <v>-105.507315304013</v>
      </c>
      <c r="N132" s="56" t="n">
        <f aca="false">N128+($E130+$E131)*N14</f>
        <v>-105.507315304013</v>
      </c>
      <c r="O132" s="56" t="n">
        <f aca="false">O128+($E130+$E131)*O14</f>
        <v>-104.360496659404</v>
      </c>
      <c r="P132" s="56" t="n">
        <f aca="false">P128+($E130+$E131)*P14</f>
        <v>-104.360496659404</v>
      </c>
      <c r="Q132" s="56" t="n">
        <f aca="false">Q128+($E130+$E131)*Q14</f>
        <v>-105.507315304013</v>
      </c>
      <c r="R132" s="56" t="n">
        <f aca="false">R128+($E130+$E131)*R14</f>
        <v>-4489.95849315338</v>
      </c>
      <c r="S132" s="56" t="n">
        <f aca="false">S128+($E130+$E131)*S14</f>
        <v>-7326.12620687268</v>
      </c>
      <c r="T132" s="56" t="n">
        <f aca="false">T128+($E130+$E131)*T14</f>
        <v>-3677.41596133854</v>
      </c>
      <c r="U132" s="56" t="n">
        <f aca="false">U128+($E130+$E131)*U14</f>
        <v>-3708.01055317332</v>
      </c>
      <c r="V132" s="56" t="n">
        <f aca="false">V128+($E130+$E131)*V14</f>
        <v>-3698.08610617388</v>
      </c>
      <c r="W132" s="56" t="n">
        <f aca="false">W128+($E130+$E131)*W14</f>
        <v>-3609.02616297382</v>
      </c>
      <c r="X132" s="56" t="n">
        <f aca="false">X128+($E130+$E131)*X14</f>
        <v>-3639.52328484964</v>
      </c>
      <c r="Y132" s="56" t="n">
        <f aca="false">Y128+($E130+$E131)*Y14</f>
        <v>67202.4247257716</v>
      </c>
      <c r="Z132" s="56" t="n">
        <f aca="false">Z128+($E130+$E131)*Z14</f>
        <v>0</v>
      </c>
      <c r="AA132" s="56" t="n">
        <f aca="false">AA128+($E130+$E131)*AA14</f>
        <v>0</v>
      </c>
      <c r="AB132" s="56" t="n">
        <f aca="false">AB128+($E130+$E131)*AB14</f>
        <v>0</v>
      </c>
      <c r="AC132" s="56" t="n">
        <f aca="false">AC128+($E130+$E131)*AC14</f>
        <v>0</v>
      </c>
      <c r="AD132" s="56" t="n">
        <f aca="false">AD128+($E130+$E131)*AD14</f>
        <v>0</v>
      </c>
      <c r="AE132" s="56" t="n">
        <f aca="false">AE128+($E130+$E131)*AE14</f>
        <v>0</v>
      </c>
      <c r="AF132" s="56" t="n">
        <f aca="false">AF128+($E130+$E131)*AF14</f>
        <v>0</v>
      </c>
      <c r="AG132" s="56" t="n">
        <f aca="false">AG128+($E130+$E131)*AG14</f>
        <v>0</v>
      </c>
      <c r="AH132" s="56" t="n">
        <f aca="false">AH128+($E130+$E131)*AH14</f>
        <v>0</v>
      </c>
      <c r="AI132" s="56" t="n">
        <f aca="false">AI128+($E130+$E131)*AI14</f>
        <v>0</v>
      </c>
      <c r="AJ132" s="56" t="n">
        <f aca="false">AJ128+($E130+$E131)*AJ14</f>
        <v>0</v>
      </c>
      <c r="AK132" s="56" t="n">
        <f aca="false">AK128+($E130+$E131)*AK14</f>
        <v>0</v>
      </c>
      <c r="AL132" s="56" t="n">
        <f aca="false">AL128+($E130+$E131)*AL14</f>
        <v>0</v>
      </c>
      <c r="AM132" s="56" t="n">
        <f aca="false">AM128+($E130+$E131)*AM14</f>
        <v>0</v>
      </c>
      <c r="AN132" s="56" t="n">
        <f aca="false">AN128+($E130+$E131)*AN14</f>
        <v>0</v>
      </c>
      <c r="AO132" s="56" t="n">
        <f aca="false">AO128+($E130+$E131)*AO14</f>
        <v>0</v>
      </c>
      <c r="AP132" s="56" t="n">
        <f aca="false">AP128+($E130+$E131)*AP14</f>
        <v>0</v>
      </c>
      <c r="AQ132" s="56" t="n">
        <f aca="false">AQ128+($E130+$E131)*AQ14</f>
        <v>0</v>
      </c>
      <c r="AR132" s="56" t="n">
        <f aca="false">AR128+($E130+$E131)*AR14</f>
        <v>0</v>
      </c>
      <c r="AS132" s="56" t="n">
        <f aca="false">AS128+($E130+$E131)*AS14</f>
        <v>0</v>
      </c>
      <c r="AT132" s="56" t="n">
        <f aca="false">AT128+($E130+$E131)*AT14</f>
        <v>0</v>
      </c>
      <c r="AU132" s="56" t="n">
        <f aca="false">AU128+($E130+$E131)*AU14</f>
        <v>0</v>
      </c>
      <c r="AV132" s="56" t="n">
        <f aca="false">AV128+($E130+$E131)*AV14</f>
        <v>0</v>
      </c>
      <c r="AW132" s="56" t="n">
        <f aca="false">AW128+($E130+$E131)*AW14</f>
        <v>0</v>
      </c>
      <c r="AX132" s="56" t="n">
        <f aca="false">AX128+($E130+$E131)*AX14</f>
        <v>0</v>
      </c>
      <c r="AY132" s="56" t="n">
        <f aca="false">AY128+($E130+$E131)*AY14</f>
        <v>0</v>
      </c>
      <c r="AZ132" s="56" t="n">
        <f aca="false">AZ128+($E130+$E131)*AZ14</f>
        <v>0</v>
      </c>
      <c r="BA132" s="56" t="n">
        <f aca="false">BA128+($E130+$E131)*BA14</f>
        <v>0</v>
      </c>
      <c r="BB132" s="56" t="n">
        <f aca="false">BB128+($E130+$E131)*BB14</f>
        <v>0</v>
      </c>
      <c r="BC132" s="56" t="n">
        <f aca="false">BC128+($E130+$E131)*BC14</f>
        <v>0</v>
      </c>
      <c r="BD132" s="56" t="n">
        <f aca="false">BD128+($E130+$E131)*BD14</f>
        <v>0</v>
      </c>
      <c r="BE132" s="56" t="n">
        <f aca="false">BE128+($E130+$E131)*BE14</f>
        <v>0</v>
      </c>
      <c r="BF132" s="56" t="n">
        <f aca="false">BF128+($E130+$E131)*BF14</f>
        <v>0</v>
      </c>
      <c r="BG132" s="56" t="n">
        <f aca="false">BG128+($E130+$E131)*BG14</f>
        <v>0</v>
      </c>
      <c r="BH132" s="56" t="n">
        <f aca="false">BH128+($E130+$E131)*BH14</f>
        <v>0</v>
      </c>
      <c r="BI132" s="56" t="n">
        <f aca="false">BI128+($E130+$E131)*BI14</f>
        <v>0</v>
      </c>
      <c r="BJ132" s="56" t="n">
        <f aca="false">BJ128+($E130+$E131)*BJ14</f>
        <v>0</v>
      </c>
      <c r="BK132" s="56" t="n">
        <f aca="false">BK128+($E130+$E131)*BK14</f>
        <v>0</v>
      </c>
      <c r="BL132" s="56" t="n">
        <f aca="false">BL128+($E130+$E131)*BL14</f>
        <v>0</v>
      </c>
      <c r="BM132" s="56" t="n">
        <f aca="false">BM128+($E130+$E131)*BM14</f>
        <v>0</v>
      </c>
      <c r="BN132" s="56" t="n">
        <f aca="false">BN128+($E130+$E131)*BN14</f>
        <v>0</v>
      </c>
      <c r="BO132" s="56" t="n">
        <f aca="false">BO128+($E130+$E131)*BO14</f>
        <v>0</v>
      </c>
      <c r="BP132" s="56" t="n">
        <f aca="false">BP128+($E130+$E131)*BP14</f>
        <v>0</v>
      </c>
      <c r="BQ132" s="56" t="n">
        <f aca="false">BQ128+($E130+$E131)*BQ14</f>
        <v>0</v>
      </c>
      <c r="BR132" s="56" t="n">
        <f aca="false">BR128+($E130+$E131)*BR14</f>
        <v>0</v>
      </c>
      <c r="BS132" s="56" t="n">
        <f aca="false">BS128+($E130+$E131)*BS14</f>
        <v>0</v>
      </c>
      <c r="BT132" s="56" t="n">
        <f aca="false">BT128+($E130+$E131)*BT14</f>
        <v>0</v>
      </c>
      <c r="BU132" s="56" t="n">
        <f aca="false">BU128+($E130+$E131)*BU14</f>
        <v>0</v>
      </c>
      <c r="BV132" s="56" t="n">
        <f aca="false">BV128+($E130+$E131)*BV14</f>
        <v>0</v>
      </c>
      <c r="BW132" s="56" t="n">
        <f aca="false">BW128+($E130+$E131)*BW14</f>
        <v>0</v>
      </c>
      <c r="BX132" s="56" t="n">
        <f aca="false">BX128+($E130+$E131)*BX14</f>
        <v>0</v>
      </c>
      <c r="BY132" s="56" t="n">
        <f aca="false">BY128+($E130+$E131)*BY14</f>
        <v>0</v>
      </c>
      <c r="BZ132" s="56" t="n">
        <f aca="false">BZ128+($E130+$E131)*BZ14</f>
        <v>0</v>
      </c>
      <c r="CA132" s="56" t="n">
        <f aca="false">CA128+($E130+$E131)*CA14</f>
        <v>0</v>
      </c>
      <c r="CB132" s="56" t="n">
        <f aca="false">CB128+($E130+$E131)*CB14</f>
        <v>0</v>
      </c>
      <c r="CC132" s="56" t="n">
        <f aca="false">CC128+($E130+$E131)*CC14</f>
        <v>0</v>
      </c>
      <c r="CD132" s="56" t="n">
        <f aca="false">CD128+($E130+$E131)*CD14</f>
        <v>0</v>
      </c>
      <c r="CE132" s="56" t="n">
        <f aca="false">CE128+($E130+$E131)*CE14</f>
        <v>0</v>
      </c>
      <c r="CF132" s="56" t="n">
        <f aca="false">CF128+($E130+$E131)*CF14</f>
        <v>0</v>
      </c>
      <c r="CG132" s="56" t="n">
        <f aca="false">CG128+($E130+$E131)*CG14</f>
        <v>0</v>
      </c>
      <c r="CH132" s="56" t="n">
        <f aca="false">CH128+($E130+$E131)*CH14</f>
        <v>0</v>
      </c>
      <c r="CI132" s="56" t="n">
        <f aca="false">CI128+($E130+$E131)*CI14</f>
        <v>0</v>
      </c>
      <c r="CJ132" s="56" t="n">
        <f aca="false">CJ128+($E130+$E131)*CJ14</f>
        <v>0</v>
      </c>
      <c r="CK132" s="56" t="n">
        <f aca="false">CK128+($E130+$E131)*CK14</f>
        <v>0</v>
      </c>
      <c r="CL132" s="56" t="n">
        <f aca="false">CL128+($E130+$E131)*CL14</f>
        <v>0</v>
      </c>
      <c r="CM132" s="56" t="n">
        <f aca="false">CM128+($E130+$E131)*CM14</f>
        <v>0</v>
      </c>
      <c r="CN132" s="56" t="n">
        <f aca="false">CN128+($E130+$E131)*CN14</f>
        <v>0</v>
      </c>
      <c r="CO132" s="56" t="n">
        <f aca="false">CO128+($E130+$E131)*CO14</f>
        <v>0</v>
      </c>
      <c r="CP132" s="56" t="n">
        <f aca="false">CP128+($E130+$E131)*CP14</f>
        <v>0</v>
      </c>
      <c r="CQ132" s="56" t="n">
        <f aca="false">CQ128+($E130+$E131)*CQ14</f>
        <v>0</v>
      </c>
      <c r="CR132" s="56" t="n">
        <f aca="false">CR128+($E130+$E131)*CR14</f>
        <v>0</v>
      </c>
      <c r="CS132" s="56" t="n">
        <f aca="false">CS128+($E130+$E131)*CS14</f>
        <v>0</v>
      </c>
      <c r="CT132" s="56" t="n">
        <f aca="false">CT128+($E130+$E131)*CT14</f>
        <v>0</v>
      </c>
      <c r="CU132" s="56" t="n">
        <f aca="false">CU128+($E130+$E131)*CU14</f>
        <v>0</v>
      </c>
      <c r="CV132" s="56" t="n">
        <f aca="false">CV128+($E130+$E131)*CV14</f>
        <v>0</v>
      </c>
      <c r="CW132" s="56" t="n">
        <f aca="false">CW128+($E130+$E131)*CW14</f>
        <v>0</v>
      </c>
      <c r="CX132" s="56" t="n">
        <f aca="false">CX128+($E130+$E131)*CX14</f>
        <v>0</v>
      </c>
      <c r="CY132" s="56" t="n">
        <f aca="false">CY128+($E130+$E131)*CY14</f>
        <v>0</v>
      </c>
      <c r="CZ132" s="56" t="n">
        <f aca="false">CZ128+($E130+$E131)*CZ14</f>
        <v>0</v>
      </c>
      <c r="DA132" s="56" t="n">
        <f aca="false">DA128+($E130+$E131)*DA14</f>
        <v>0</v>
      </c>
      <c r="DB132" s="56" t="n">
        <f aca="false">DB128+($E130+$E131)*DB14</f>
        <v>0</v>
      </c>
      <c r="DC132" s="56" t="n">
        <f aca="false">DC128+($E130+$E131)*DC14</f>
        <v>0</v>
      </c>
      <c r="DD132" s="56" t="n">
        <f aca="false">DD128+($E130+$E131)*DD14</f>
        <v>0</v>
      </c>
      <c r="DE132" s="56" t="n">
        <f aca="false">DE128+($E130+$E131)*DE14</f>
        <v>0</v>
      </c>
      <c r="DF132" s="56" t="n">
        <f aca="false">DF128+($E130+$E131)*DF14</f>
        <v>0</v>
      </c>
      <c r="DG132" s="56" t="n">
        <f aca="false">DG128+($E130+$E131)*DG14</f>
        <v>0</v>
      </c>
      <c r="DH132" s="56" t="n">
        <f aca="false">DH128+($E130+$E131)*DH14</f>
        <v>0</v>
      </c>
      <c r="DI132" s="56" t="n">
        <f aca="false">DI128+($E130+$E131)*DI14</f>
        <v>0</v>
      </c>
      <c r="DJ132" s="56" t="n">
        <f aca="false">DJ128+($E130+$E131)*DJ14</f>
        <v>0</v>
      </c>
      <c r="DK132" s="56" t="n">
        <f aca="false">DK128+($E130+$E131)*DK14</f>
        <v>0</v>
      </c>
      <c r="DL132" s="56" t="n">
        <f aca="false">DL128+($E130+$E131)*DL14</f>
        <v>0</v>
      </c>
      <c r="DM132" s="56" t="n">
        <f aca="false">DM128+($E130+$E131)*DM14</f>
        <v>0</v>
      </c>
      <c r="DN132" s="56" t="n">
        <f aca="false">DN128+($E130+$E131)*DN14</f>
        <v>0</v>
      </c>
      <c r="DO132" s="56" t="n">
        <f aca="false">DO128+($E130+$E131)*DO14</f>
        <v>0</v>
      </c>
      <c r="DP132" s="56" t="n">
        <f aca="false">DP128+($E130+$E131)*DP14</f>
        <v>0</v>
      </c>
      <c r="DQ132" s="56" t="n">
        <f aca="false">DQ128+($E130+$E131)*DQ14</f>
        <v>0</v>
      </c>
      <c r="DR132" s="56" t="n">
        <f aca="false">DR128+($E130+$E131)*DR14</f>
        <v>0</v>
      </c>
      <c r="DS132" s="56" t="n">
        <f aca="false">DS128+($E130+$E131)*DS14</f>
        <v>0</v>
      </c>
      <c r="DT132" s="56" t="n">
        <f aca="false">DT128+($E130+$E131)*DT14</f>
        <v>0</v>
      </c>
      <c r="DU132" s="56" t="n">
        <f aca="false">DU128+($E130+$E131)*DU14</f>
        <v>0</v>
      </c>
      <c r="DV132" s="56" t="n">
        <f aca="false">DV128+($E130+$E131)*DV14</f>
        <v>0</v>
      </c>
      <c r="DW132" s="56" t="n">
        <f aca="false">DW128+($E130+$E131)*DW14</f>
        <v>0</v>
      </c>
      <c r="DX132" s="56" t="n">
        <f aca="false">DX128+($E130+$E131)*DX14</f>
        <v>0</v>
      </c>
      <c r="DY132" s="56" t="n">
        <f aca="false">DY128+($E130+$E131)*DY14</f>
        <v>0</v>
      </c>
      <c r="DZ132" s="56" t="n">
        <f aca="false">DZ128+($E130+$E131)*DZ14</f>
        <v>0</v>
      </c>
      <c r="EA132" s="56" t="n">
        <f aca="false">EA128+($E130+$E131)*EA14</f>
        <v>0</v>
      </c>
      <c r="EB132" s="56" t="n">
        <f aca="false">EB128+($E130+$E131)*EB14</f>
        <v>0</v>
      </c>
      <c r="EC132" s="56" t="n">
        <f aca="false">EC128+($E130+$E131)*EC14</f>
        <v>0</v>
      </c>
      <c r="ED132" s="56" t="n">
        <f aca="false">ED128+($E130+$E131)*ED14</f>
        <v>0</v>
      </c>
      <c r="EE132" s="56" t="n">
        <f aca="false">EE128+($E130+$E131)*EE14</f>
        <v>0</v>
      </c>
      <c r="EF132" s="56" t="n">
        <f aca="false">EF128+($E130+$E131)*EF14</f>
        <v>0</v>
      </c>
      <c r="EG132" s="56" t="n">
        <f aca="false">EG128+($E130+$E131)*EG14</f>
        <v>0</v>
      </c>
      <c r="EH132" s="56" t="n">
        <f aca="false">EH128+($E130+$E131)*EH14</f>
        <v>0</v>
      </c>
      <c r="EI132" s="56" t="n">
        <f aca="false">EI128+($E130+$E131)*EI14</f>
        <v>0</v>
      </c>
      <c r="EJ132" s="56" t="n">
        <f aca="false">EJ128+($E130+$E131)*EJ14</f>
        <v>0</v>
      </c>
      <c r="EK132" s="56" t="n">
        <f aca="false">EK128+($E130+$E131)*EK14</f>
        <v>0</v>
      </c>
      <c r="EL132" s="56" t="n">
        <f aca="false">EL128+($E130+$E131)*EL14</f>
        <v>0</v>
      </c>
      <c r="EM132" s="56" t="n">
        <f aca="false">EM128+($E130+$E131)*EM14</f>
        <v>0</v>
      </c>
      <c r="EN132" s="56" t="n">
        <f aca="false">EN128+($E130+$E131)*EN14</f>
        <v>0</v>
      </c>
      <c r="EO132" s="56" t="n">
        <f aca="false">EO128+($E130+$E131)*EO14</f>
        <v>0</v>
      </c>
    </row>
    <row r="133" customFormat="false" ht="15" hidden="false" customHeight="false" outlineLevel="0" collapsed="false">
      <c r="C133" s="25" t="s">
        <v>84</v>
      </c>
      <c r="D133" s="11" t="s">
        <v>27</v>
      </c>
      <c r="E133" s="33" t="n">
        <f aca="false">XIRR($J132:$EO132,$J$4:$EO$4)</f>
        <v>0.431605205102548</v>
      </c>
    </row>
    <row r="134" customFormat="false" ht="15" hidden="false" customHeight="false" outlineLevel="0" collapsed="false">
      <c r="C134" s="25" t="s">
        <v>85</v>
      </c>
      <c r="D134" s="11" t="s">
        <v>13</v>
      </c>
      <c r="E134" s="59" t="n">
        <f aca="false">($E130+$E131)/-$I128</f>
        <v>1.75852383469303</v>
      </c>
    </row>
    <row r="135" customFormat="false" ht="15" hidden="false" customHeight="false" outlineLevel="0" collapsed="false">
      <c r="C135" s="25" t="s">
        <v>86</v>
      </c>
      <c r="D135" s="11" t="s">
        <v>33</v>
      </c>
      <c r="E135" s="56" t="n">
        <f aca="false">XNPV(In_Discount_Rate,$J132:$EO132,$J$4:$EO$4)</f>
        <v>19848.0948232429</v>
      </c>
    </row>
    <row r="136" customFormat="false" ht="15" hidden="false" customHeight="false" outlineLevel="0" collapsed="false">
      <c r="A136" s="60"/>
      <c r="B136" s="60"/>
      <c r="C136" s="60" t="s">
        <v>482</v>
      </c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  <c r="AK136" s="60"/>
      <c r="AL136" s="60"/>
      <c r="AM136" s="60"/>
      <c r="AN136" s="60"/>
      <c r="AO136" s="60"/>
      <c r="AP136" s="60"/>
      <c r="AQ136" s="60"/>
      <c r="AR136" s="60"/>
      <c r="AS136" s="60"/>
      <c r="AT136" s="60"/>
      <c r="AU136" s="60"/>
      <c r="AV136" s="60"/>
      <c r="AW136" s="60"/>
      <c r="AX136" s="60"/>
      <c r="AY136" s="60"/>
      <c r="AZ136" s="60"/>
      <c r="BA136" s="60"/>
      <c r="BB136" s="60"/>
      <c r="BC136" s="60"/>
      <c r="BD136" s="60"/>
      <c r="BE136" s="60"/>
      <c r="BF136" s="60"/>
      <c r="BG136" s="60"/>
      <c r="BH136" s="60"/>
      <c r="BI136" s="60"/>
      <c r="BJ136" s="60"/>
      <c r="BK136" s="60"/>
      <c r="BL136" s="60"/>
      <c r="BM136" s="60"/>
      <c r="BN136" s="60"/>
      <c r="BO136" s="60"/>
      <c r="BP136" s="60"/>
      <c r="BQ136" s="60"/>
      <c r="BR136" s="60"/>
      <c r="BS136" s="60"/>
      <c r="BT136" s="60"/>
      <c r="BU136" s="60"/>
      <c r="BV136" s="60"/>
      <c r="BW136" s="60"/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60"/>
      <c r="CU136" s="60"/>
      <c r="CV136" s="60"/>
      <c r="CW136" s="60"/>
      <c r="CX136" s="60"/>
      <c r="CY136" s="60"/>
      <c r="CZ136" s="60"/>
      <c r="DA136" s="60"/>
      <c r="DB136" s="60"/>
      <c r="DC136" s="60"/>
      <c r="DD136" s="60"/>
      <c r="DE136" s="60"/>
      <c r="DF136" s="60"/>
      <c r="DG136" s="60"/>
      <c r="DH136" s="60"/>
      <c r="DI136" s="60"/>
      <c r="DJ136" s="60"/>
      <c r="DK136" s="60"/>
      <c r="DL136" s="60"/>
      <c r="DM136" s="60"/>
      <c r="DN136" s="60"/>
      <c r="DO136" s="60"/>
      <c r="DP136" s="60"/>
      <c r="DQ136" s="60"/>
      <c r="DR136" s="60"/>
      <c r="DS136" s="60"/>
      <c r="DT136" s="60"/>
      <c r="DU136" s="60"/>
      <c r="DV136" s="60"/>
      <c r="DW136" s="60"/>
      <c r="DX136" s="60"/>
      <c r="DY136" s="60"/>
      <c r="DZ136" s="60"/>
      <c r="EA136" s="60"/>
      <c r="EB136" s="60"/>
      <c r="EC136" s="60"/>
      <c r="ED136" s="60"/>
      <c r="EE136" s="60"/>
      <c r="EF136" s="60"/>
      <c r="EG136" s="60"/>
      <c r="EH136" s="60"/>
      <c r="EI136" s="60"/>
      <c r="EJ136" s="60"/>
      <c r="EK136" s="60"/>
      <c r="EL136" s="60"/>
      <c r="EM136" s="60"/>
      <c r="EN136" s="60"/>
      <c r="EO136" s="60"/>
    </row>
    <row r="137" customFormat="false" ht="15" hidden="false" customHeight="false" outlineLevel="0" collapsed="false">
      <c r="C137" s="0" t="s">
        <v>483</v>
      </c>
      <c r="D137" s="11" t="s">
        <v>33</v>
      </c>
      <c r="I137" s="47" t="n">
        <f aca="false">SUM(J137:EO137)</f>
        <v>151943.240536892</v>
      </c>
      <c r="J137" s="47" t="n">
        <f aca="false">(J80+J56+J59+J110)*(J$4&gt;In_COD)-($E129+$I59)*J14</f>
        <v>-0</v>
      </c>
      <c r="K137" s="47" t="n">
        <f aca="false">(K80+K56+K59+K110)*(K$4&gt;In_COD)-($E129+$I59)*K14</f>
        <v>-0</v>
      </c>
      <c r="L137" s="47" t="n">
        <f aca="false">(L80+L56+L59+L110)*(L$4&gt;In_COD)-($E129+$I59)*L14</f>
        <v>-0</v>
      </c>
      <c r="M137" s="47" t="n">
        <f aca="false">(M80+M56+M59+M110)*(M$4&gt;In_COD)-($E129+$I59)*M14</f>
        <v>-0</v>
      </c>
      <c r="N137" s="47" t="n">
        <f aca="false">(N80+N56+N59+N110)*(N$4&gt;In_COD)-($E129+$I59)*N14</f>
        <v>-0</v>
      </c>
      <c r="O137" s="47" t="n">
        <f aca="false">(O80+O56+O59+O110)*(O$4&gt;In_COD)-($E129+$I59)*O14</f>
        <v>-0</v>
      </c>
      <c r="P137" s="47" t="n">
        <f aca="false">(P80+P56+P59+P110)*(P$4&gt;In_COD)-($E129+$I59)*P14</f>
        <v>-0</v>
      </c>
      <c r="Q137" s="47" t="n">
        <f aca="false">(Q80+Q56+Q59+Q110)*(Q$4&gt;In_COD)-($E129+$I59)*Q14</f>
        <v>-0</v>
      </c>
      <c r="R137" s="47" t="n">
        <f aca="false">(R80+R56+R59+R110)*(R$4&gt;In_COD)-($E129+$I59)*R14</f>
        <v>-0</v>
      </c>
      <c r="S137" s="47" t="n">
        <f aca="false">(S80+S56+S59+S110)*(S$4&gt;In_COD)-($E129+$I59)*S14</f>
        <v>-0</v>
      </c>
      <c r="T137" s="47" t="n">
        <f aca="false">(T80+T56+T59+T110)*(T$4&gt;In_COD)-($E129+$I59)*T14</f>
        <v>-0</v>
      </c>
      <c r="U137" s="47" t="n">
        <f aca="false">(U80+U56+U59+U110)*(U$4&gt;In_COD)-($E129+$I59)*U14</f>
        <v>-0</v>
      </c>
      <c r="V137" s="47" t="n">
        <f aca="false">(V80+V56+V59+V110)*(V$4&gt;In_COD)-($E129+$I59)*V14</f>
        <v>-0</v>
      </c>
      <c r="W137" s="47" t="n">
        <f aca="false">(W80+W56+W59+W110)*(W$4&gt;In_COD)-($E129+$I59)*W14</f>
        <v>-0</v>
      </c>
      <c r="X137" s="47" t="n">
        <f aca="false">(X80+X56+X59+X110)*(X$4&gt;In_COD)-($E129+$I59)*X14</f>
        <v>-0</v>
      </c>
      <c r="Y137" s="47" t="n">
        <f aca="false">(Y80+Y56+Y59+Y110)*(Y$4&gt;In_COD)-($E129+$I59)*Y14</f>
        <v>-114975</v>
      </c>
      <c r="Z137" s="47" t="n">
        <f aca="false">(Z80+Z56+Z59+Z110)*(Z$4&gt;In_COD)-($E129+$I59)*Z14</f>
        <v>2300.94659077018</v>
      </c>
      <c r="AA137" s="47" t="n">
        <f aca="false">(AA80+AA56+AA59+AA110)*(AA$4&gt;In_COD)-($E129+$I59)*AA14</f>
        <v>2266.07898831382</v>
      </c>
      <c r="AB137" s="47" t="n">
        <f aca="false">(AB80+AB56+AB59+AB110)*(AB$4&gt;In_COD)-($E129+$I59)*AB14</f>
        <v>2290.47375381228</v>
      </c>
      <c r="AC137" s="47" t="n">
        <f aca="false">(AC80+AC56+AC59+AC110)*(AC$4&gt;In_COD)-($E129+$I59)*AC14</f>
        <v>2314.85517366584</v>
      </c>
      <c r="AD137" s="47" t="n">
        <f aca="false">(AD80+AD56+AD59+AD110)*(AD$4&gt;In_COD)-($E129+$I59)*AD14</f>
        <v>2297.20744160619</v>
      </c>
      <c r="AE137" s="47" t="n">
        <f aca="false">(AE80+AE56+AE59+AE110)*(AE$4&gt;In_COD)-($E129+$I59)*AE14</f>
        <v>2233.47530061397</v>
      </c>
      <c r="AF137" s="47" t="n">
        <f aca="false">(AF80+AF56+AF59+AF110)*(AF$4&gt;In_COD)-($E129+$I59)*AF14</f>
        <v>2232.77258418713</v>
      </c>
      <c r="AG137" s="47" t="n">
        <f aca="false">(AG80+AG56+AG59+AG110)*(AG$4&gt;In_COD)-($E129+$I59)*AG14</f>
        <v>2255.76962630366</v>
      </c>
      <c r="AH137" s="47" t="n">
        <f aca="false">(AH80+AH56+AH59+AH110)*(AH$4&gt;In_COD)-($E129+$I59)*AH14</f>
        <v>2247.78411286816</v>
      </c>
      <c r="AI137" s="47" t="n">
        <f aca="false">(AI80+AI56+AI59+AI110)*(AI$4&gt;In_COD)-($E129+$I59)*AI14</f>
        <v>2213.00380481103</v>
      </c>
      <c r="AJ137" s="47" t="n">
        <f aca="false">(AJ80+AJ56+AJ59+AJ110)*(AJ$4&gt;In_COD)-($E129+$I59)*AJ14</f>
        <v>2264.23837624495</v>
      </c>
      <c r="AK137" s="47" t="n">
        <f aca="false">(AK80+AK56+AK59+AK110)*(AK$4&gt;In_COD)-($E129+$I59)*AK14</f>
        <v>2287.55350478145</v>
      </c>
      <c r="AL137" s="47" t="n">
        <f aca="false">(AL80+AL56+AL59+AL110)*(AL$4&gt;In_COD)-($E129+$I59)*AL14</f>
        <v>2279.46149827444</v>
      </c>
      <c r="AM137" s="47" t="n">
        <f aca="false">(AM80+AM56+AM59+AM110)*(AM$4&gt;In_COD)-($E129+$I59)*AM14</f>
        <v>2243.73855139543</v>
      </c>
      <c r="AN137" s="47" t="n">
        <f aca="false">(AN80+AN56+AN59+AN110)*(AN$4&gt;In_COD)-($E129+$I59)*AN14</f>
        <v>2267.10540728229</v>
      </c>
      <c r="AO137" s="47" t="n">
        <f aca="false">(AO80+AO56+AO59+AO110)*(AO$4&gt;In_COD)-($E129+$I59)*AO14</f>
        <v>2290.44515239606</v>
      </c>
      <c r="AP137" s="47" t="n">
        <f aca="false">(AP80+AP56+AP59+AP110)*(AP$4&gt;In_COD)-($E129+$I59)*AP14</f>
        <v>2282.26507751399</v>
      </c>
      <c r="AQ137" s="47" t="n">
        <f aca="false">(AQ80+AQ56+AQ59+AQ110)*(AQ$4&gt;In_COD)-($E129+$I59)*AQ14</f>
        <v>2246.2353180101</v>
      </c>
      <c r="AR137" s="47" t="n">
        <f aca="false">(AR80+AR56+AR59+AR110)*(AR$4&gt;In_COD)-($E129+$I59)*AR14</f>
        <v>2269.62351048866</v>
      </c>
      <c r="AS137" s="47" t="n">
        <f aca="false">(AS80+AS56+AS59+AS110)*(AS$4&gt;In_COD)-($E129+$I59)*AS14</f>
        <v>2292.98404062629</v>
      </c>
      <c r="AT137" s="47" t="n">
        <f aca="false">(AT80+AT56+AT59+AT110)*(AT$4&gt;In_COD)-($E129+$I59)*AT14</f>
        <v>2284.71387467698</v>
      </c>
      <c r="AU137" s="47" t="n">
        <f aca="false">(AU80+AU56+AU59+AU110)*(AU$4&gt;In_COD)-($E129+$I59)*AU14</f>
        <v>2272.65134037039</v>
      </c>
      <c r="AV137" s="47" t="n">
        <f aca="false">(AV80+AV56+AV59+AV110)*(AV$4&gt;In_COD)-($E129+$I59)*AV14</f>
        <v>2271.76061041019</v>
      </c>
      <c r="AW137" s="47" t="n">
        <f aca="false">(AW80+AW56+AW59+AW110)*(AW$4&gt;In_COD)-($E129+$I59)*AW14</f>
        <v>2295.13772672721</v>
      </c>
      <c r="AX137" s="47" t="n">
        <f aca="false">(AX80+AX56+AX59+AX110)*(AX$4&gt;In_COD)-($E129+$I59)*AX14</f>
        <v>2286.77515094655</v>
      </c>
      <c r="AY137" s="47" t="n">
        <f aca="false">(AY80+AY56+AY59+AY110)*(AY$4&gt;In_COD)-($E129+$I59)*AY14</f>
        <v>2250.11858294073</v>
      </c>
      <c r="AZ137" s="47" t="n">
        <f aca="false">(AZ80+AZ56+AZ59+AZ110)*(AZ$4&gt;In_COD)-($E129+$I59)*AZ14</f>
        <v>2273.53716953257</v>
      </c>
      <c r="BA137" s="47" t="n">
        <f aca="false">(BA80+BA56+BA59+BA110)*(BA$4&gt;In_COD)-($E129+$I59)*BA14</f>
        <v>2296.92692399183</v>
      </c>
      <c r="BB137" s="47" t="n">
        <f aca="false">(BB80+BB56+BB59+BB110)*(BB$4&gt;In_COD)-($E129+$I59)*BB14</f>
        <v>2288.46995095386</v>
      </c>
      <c r="BC137" s="47" t="n">
        <f aca="false">(BC80+BC56+BC59+BC110)*(BC$4&gt;In_COD)-($E129+$I59)*BC14</f>
        <v>2251.49335409803</v>
      </c>
      <c r="BD137" s="47" t="n">
        <f aca="false">(BD80+BD56+BD59+BD110)*(BD$4&gt;In_COD)-($E129+$I59)*BD14</f>
        <v>2274.92087904559</v>
      </c>
      <c r="BE137" s="47" t="n">
        <f aca="false">(BE80+BE56+BE59+BE110)*(BE$4&gt;In_COD)-($E129+$I59)*BE14</f>
        <v>2298.31895410973</v>
      </c>
      <c r="BF137" s="47" t="n">
        <f aca="false">(BF80+BF56+BF59+BF110)*(BF$4&gt;In_COD)-($E129+$I59)*BF14</f>
        <v>2289.76530221851</v>
      </c>
      <c r="BG137" s="47" t="n">
        <f aca="false">(BG80+BG56+BG59+BG110)*(BG$4&gt;In_COD)-($E129+$I59)*BG14</f>
        <v>2252.46402732536</v>
      </c>
      <c r="BH137" s="47" t="n">
        <f aca="false">(BH80+BH56+BH59+BH110)*(BH$4&gt;In_COD)-($E129+$I59)*BH14</f>
        <v>2275.8960230801</v>
      </c>
      <c r="BI137" s="47" t="n">
        <f aca="false">(BI80+BI56+BI59+BI110)*(BI$4&gt;In_COD)-($E129+$I59)*BI14</f>
        <v>2299.29792711829</v>
      </c>
      <c r="BJ137" s="47" t="n">
        <f aca="false">(BJ80+BJ56+BJ59+BJ110)*(BJ$4&gt;In_COD)-($E129+$I59)*BJ14</f>
        <v>2290.64522045887</v>
      </c>
      <c r="BK137" s="47" t="n">
        <f aca="false">(BK80+BK56+BK59+BK110)*(BK$4&gt;In_COD)-($E129+$I59)*BK14</f>
        <v>2277.51941353069</v>
      </c>
      <c r="BL137" s="47" t="n">
        <f aca="false">(BL80+BL56+BL59+BL110)*(BL$4&gt;In_COD)-($E129+$I59)*BL14</f>
        <v>2276.42816711554</v>
      </c>
      <c r="BM137" s="47" t="n">
        <f aca="false">(BM80+BM56+BM59+BM110)*(BM$4&gt;In_COD)-($E129+$I59)*BM14</f>
        <v>2299.82901456091</v>
      </c>
      <c r="BN137" s="47" t="n">
        <f aca="false">(BN80+BN56+BN59+BN110)*(BN$4&gt;In_COD)-($E129+$I59)*BN14</f>
        <v>2291.07456267137</v>
      </c>
      <c r="BO137" s="47" t="n">
        <f aca="false">(BO80+BO56+BO59+BO110)*(BO$4&gt;In_COD)-($E129+$I59)*BO14</f>
        <v>2253.10923468877</v>
      </c>
      <c r="BP137" s="47" t="n">
        <f aca="false">(BP80+BP56+BP59+BP110)*(BP$4&gt;In_COD)-($E129+$I59)*BP14</f>
        <v>2276.53582369782</v>
      </c>
      <c r="BQ137" s="47" t="n">
        <f aca="false">(BQ80+BQ56+BQ59+BQ110)*(BQ$4&gt;In_COD)-($E129+$I59)*BQ14</f>
        <v>2299.93095798453</v>
      </c>
      <c r="BR137" s="47" t="n">
        <f aca="false">(BR80+BR56+BR59+BR110)*(BR$4&gt;In_COD)-($E129+$I59)*BR14</f>
        <v>2291.07238837319</v>
      </c>
      <c r="BS137" s="47" t="n">
        <f aca="false">(BS80+BS56+BS59+BS110)*(BS$4&gt;In_COD)-($E129+$I59)*BS14</f>
        <v>2252.76761453019</v>
      </c>
      <c r="BT137" s="47" t="n">
        <f aca="false">(BT80+BT56+BT59+BT110)*(BT$4&gt;In_COD)-($E129+$I59)*BT14</f>
        <v>2276.18415682848</v>
      </c>
      <c r="BU137" s="47" t="n">
        <f aca="false">(BU80+BU56+BU59+BU110)*(BU$4&gt;In_COD)-($E129+$I59)*BU14</f>
        <v>2299.56852332383</v>
      </c>
      <c r="BV137" s="47" t="n">
        <f aca="false">(BV80+BV56+BV59+BV110)*(BV$4&gt;In_COD)-($E129+$I59)*BV14</f>
        <v>2290.60314933821</v>
      </c>
      <c r="BW137" s="47" t="n">
        <f aca="false">(BW80+BW56+BW59+BW110)*(BW$4&gt;In_COD)-($E129+$I59)*BW14</f>
        <v>2251.95372205123</v>
      </c>
      <c r="BX137" s="47" t="n">
        <f aca="false">(BX80+BX56+BX59+BX110)*(BX$4&gt;In_COD)-($E129+$I59)*BX14</f>
        <v>2275.3549900142</v>
      </c>
      <c r="BY137" s="47" t="n">
        <f aca="false">(BY80+BY56+BY59+BY110)*(BY$4&gt;In_COD)-($E129+$I59)*BY14</f>
        <v>2298.72333223695</v>
      </c>
      <c r="BZ137" s="47" t="n">
        <f aca="false">(BZ80+BZ56+BZ59+BZ110)*(BZ$4&gt;In_COD)-($E129+$I59)*BZ14</f>
        <v>2289.64835395796</v>
      </c>
      <c r="CA137" s="47" t="n">
        <f aca="false">(CA80+CA56+CA59+CA110)*(CA$4&gt;In_COD)-($E129+$I59)*CA14</f>
        <v>2275.34138298266</v>
      </c>
      <c r="CB137" s="47" t="n">
        <f aca="false">(CB80+CB56+CB59+CB110)*(CB$4&gt;In_COD)-($E129+$I59)*CB14</f>
        <v>2274.01119179652</v>
      </c>
      <c r="CC137" s="47" t="n">
        <f aca="false">(CC80+CC56+CC59+CC110)*(CC$4&gt;In_COD)-($E129+$I59)*CC14</f>
        <v>2297.35782882481</v>
      </c>
      <c r="CD137" s="47" t="n">
        <f aca="false">(CD80+CD56+CD59+CD110)*(CD$4&gt;In_COD)-($E129+$I59)*CD14</f>
        <v>2288.17011028439</v>
      </c>
      <c r="CE137" s="47" t="n">
        <f aca="false">(CE80+CE56+CE59+CE110)*(CE$4&gt;In_COD)-($E129+$I59)*CE14</f>
        <v>2248.81491269389</v>
      </c>
      <c r="CF137" s="47" t="n">
        <f aca="false">(CF80+CF56+CF59+CF110)*(CF$4&gt;In_COD)-($E129+$I59)*CF14</f>
        <v>2272.16888597195</v>
      </c>
      <c r="CG137" s="47" t="n">
        <f aca="false">(CG80+CG56+CG59+CG110)*(CG$4&gt;In_COD)-($E129+$I59)*CG14</f>
        <v>2295.48833903467</v>
      </c>
      <c r="CH137" s="47" t="n">
        <f aca="false">(CH80+CH56+CH59+CH110)*(CH$4&gt;In_COD)-($E129+$I59)*CH14</f>
        <v>2286.18504466368</v>
      </c>
      <c r="CI137" s="47" t="n">
        <f aca="false">(CI80+CI56+CI59+CI110)*(CI$4&gt;In_COD)-($E129+$I59)*CI14</f>
        <v>2246.46861373046</v>
      </c>
      <c r="CJ137" s="47" t="n">
        <f aca="false">(CJ80+CJ56+CJ59+CJ110)*(CJ$4&gt;In_COD)-($E129+$I59)*CJ14</f>
        <v>2269.79033830776</v>
      </c>
      <c r="CK137" s="47" t="n">
        <f aca="false">(CK80+CK56+CK59+CK110)*(CK$4&gt;In_COD)-($E129+$I59)*CK14</f>
        <v>2293.07669775624</v>
      </c>
      <c r="CL137" s="47" t="n">
        <f aca="false">(CL80+CL56+CL59+CL110)*(CL$4&gt;In_COD)-($E129+$I59)*CL14</f>
        <v>2283.65465446152</v>
      </c>
      <c r="CM137" s="47" t="n">
        <f aca="false">(CM80+CM56+CM59+CM110)*(CM$4&gt;In_COD)-($E129+$I59)*CM14</f>
        <v>2243.57112957722</v>
      </c>
      <c r="CN137" s="47" t="n">
        <f aca="false">(CN80+CN56+CN59+CN110)*(CN$4&gt;In_COD)-($E129+$I59)*CN14</f>
        <v>2266.85449604117</v>
      </c>
      <c r="CO137" s="47" t="n">
        <f aca="false">(CO80+CO56+CO59+CO110)*(CO$4&gt;In_COD)-($E129+$I59)*CO14</f>
        <v>2290.10161785745</v>
      </c>
      <c r="CP137" s="47" t="n">
        <f aca="false">(CP80+CP56+CP59+CP110)*(CP$4&gt;In_COD)-($E129+$I59)*CP14</f>
        <v>2280.55751645417</v>
      </c>
      <c r="CQ137" s="47" t="n">
        <f aca="false">(CQ80+CQ56+CQ59+CQ110)*(CQ$4&gt;In_COD)-($E129+$I59)*CQ14</f>
        <v>2264.93619137034</v>
      </c>
      <c r="CR137" s="47" t="n">
        <f aca="false">(CR80+CR56+CR59+CR110)*(CR$4&gt;In_COD)-($E129+$I59)*CR14</f>
        <v>2263.32113043559</v>
      </c>
      <c r="CS137" s="47" t="n">
        <f aca="false">(CS80+CS56+CS59+CS110)*(CS$4&gt;In_COD)-($E129+$I59)*CS14</f>
        <v>2286.52241107377</v>
      </c>
      <c r="CT137" s="47" t="n">
        <f aca="false">(CT80+CT56+CT59+CT110)*(CT$4&gt;In_COD)-($E129+$I59)*CT14</f>
        <v>2276.85258115707</v>
      </c>
      <c r="CU137" s="47" t="n">
        <f aca="false">(CU80+CU56+CU59+CU110)*(CU$4&gt;In_COD)-($E129+$I59)*CU14</f>
        <v>2237.7017294597</v>
      </c>
      <c r="CV137" s="47" t="n">
        <f aca="false">(CV80+CV56+CV59+CV110)*(CV$4&gt;In_COD)-($E129+$I59)*CV14</f>
        <v>2262.56508200925</v>
      </c>
      <c r="CW137" s="47" t="n">
        <f aca="false">(CW80+CW56+CW59+CW110)*(CW$4&gt;In_COD)-($E129+$I59)*CW14</f>
        <v>2287.42843455881</v>
      </c>
      <c r="CX137" s="47" t="n">
        <f aca="false">(CX80+CX56+CX59+CX110)*(CX$4&gt;In_COD)-($E129+$I59)*CX14</f>
        <v>2279.38239570403</v>
      </c>
      <c r="CY137" s="47" t="n">
        <f aca="false">(CY80+CY56+CY59+CY110)*(CY$4&gt;In_COD)-($E129+$I59)*CY14</f>
        <v>2239.92792695099</v>
      </c>
      <c r="CZ137" s="47" t="n">
        <f aca="false">(CZ80+CZ56+CZ59+CZ110)*(CZ$4&gt;In_COD)-($E129+$I59)*CZ14</f>
        <v>2264.81601502822</v>
      </c>
      <c r="DA137" s="47" t="n">
        <f aca="false">(DA80+DA56+DA59+DA110)*(DA$4&gt;In_COD)-($E129+$I59)*DA14</f>
        <v>2289.70410310546</v>
      </c>
      <c r="DB137" s="47" t="n">
        <f aca="false">(DB80+DB56+DB59+DB110)*(DB$4&gt;In_COD)-($E129+$I59)*DB14</f>
        <v>2127.75796595667</v>
      </c>
      <c r="DC137" s="47" t="n">
        <f aca="false">(DC80+DC56+DC59+DC110)*(DC$4&gt;In_COD)-($E129+$I59)*DC14</f>
        <v>2091.34156892558</v>
      </c>
      <c r="DD137" s="47" t="n">
        <f aca="false">(DD80+DD56+DD59+DD110)*(DD$4&gt;In_COD)-($E129+$I59)*DD14</f>
        <v>2114.5786974692</v>
      </c>
      <c r="DE137" s="47" t="n">
        <f aca="false">(DE80+DE56+DE59+DE110)*(DE$4&gt;In_COD)-($E129+$I59)*DE14</f>
        <v>2137.81582601281</v>
      </c>
      <c r="DF137" s="47" t="n">
        <f aca="false">(DF80+DF56+DF59+DF110)*(DF$4&gt;In_COD)-($E129+$I59)*DF14</f>
        <v>2129.67377475099</v>
      </c>
      <c r="DG137" s="47" t="n">
        <f aca="false">(DG80+DG56+DG59+DG110)*(DG$4&gt;In_COD)-($E129+$I59)*DG14</f>
        <v>2116.20284972323</v>
      </c>
      <c r="DH137" s="47" t="n">
        <f aca="false">(DH80+DH56+DH59+DH110)*(DH$4&gt;In_COD)-($E129+$I59)*DH14</f>
        <v>2116.20284972323</v>
      </c>
      <c r="DI137" s="47" t="n">
        <f aca="false">(DI80+DI56+DI59+DI110)*(DI$4&gt;In_COD)-($E129+$I59)*DI14</f>
        <v>2139.45782609381</v>
      </c>
      <c r="DJ137" s="47" t="n">
        <f aca="false">(DJ80+DJ56+DJ59+DJ110)*(DJ$4&gt;In_COD)-($E129+$I59)*DJ14</f>
        <v>2131.26763373715</v>
      </c>
      <c r="DK137" s="47" t="n">
        <f aca="false">(DK80+DK56+DK59+DK110)*(DK$4&gt;In_COD)-($E129+$I59)*DK14</f>
        <v>2094.22922134031</v>
      </c>
      <c r="DL137" s="47" t="n">
        <f aca="false">(DL80+DL56+DL59+DL110)*(DL$4&gt;In_COD)-($E129+$I59)*DL14</f>
        <v>2117.49843491076</v>
      </c>
      <c r="DM137" s="47" t="n">
        <f aca="false">(DM80+DM56+DM59+DM110)*(DM$4&gt;In_COD)-($E129+$I59)*DM14</f>
        <v>2140.76764848121</v>
      </c>
      <c r="DN137" s="47" t="n">
        <f aca="false">(DN80+DN56+DN59+DN110)*(DN$4&gt;In_COD)-($E129+$I59)*DN14</f>
        <v>2132.52923118543</v>
      </c>
      <c r="DO137" s="47" t="n">
        <f aca="false">(DO80+DO56+DO59+DO110)*(DO$4&gt;In_COD)-($E129+$I59)*DO14</f>
        <v>2095.17525809415</v>
      </c>
      <c r="DP137" s="47" t="n">
        <f aca="false">(DP80+DP56+DP59+DP110)*(DP$4&gt;In_COD)-($E129+$I59)*DP14</f>
        <v>2118.45498318408</v>
      </c>
      <c r="DQ137" s="47" t="n">
        <f aca="false">(DQ80+DQ56+DQ59+DQ110)*(DQ$4&gt;In_COD)-($E129+$I59)*DQ14</f>
        <v>2141.73470827402</v>
      </c>
      <c r="DR137" s="47" t="n">
        <f aca="false">(DR80+DR56+DR59+DR110)*(DR$4&gt;In_COD)-($E129+$I59)*DR14</f>
        <v>2133.4479869401</v>
      </c>
      <c r="DS137" s="47" t="n">
        <f aca="false">(DS80+DS56+DS59+DS110)*(DS$4&gt;In_COD)-($E129+$I59)*DS14</f>
        <v>2095.77535956</v>
      </c>
      <c r="DT137" s="47" t="n">
        <f aca="false">(DT80+DT56+DT59+DT110)*(DT$4&gt;In_COD)-($E129+$I59)*DT14</f>
        <v>2119.061752444</v>
      </c>
      <c r="DU137" s="47" t="n">
        <f aca="false">(DU80+DU56+DU59+DU110)*(DU$4&gt;In_COD)-($E129+$I59)*DU14</f>
        <v>2142.348145328</v>
      </c>
      <c r="DV137" s="47" t="n">
        <f aca="false">(DV80+DV56+DV59+DV110)*(DV$4&gt;In_COD)-($E129+$I59)*DV14</f>
        <v>2134.01304575269</v>
      </c>
      <c r="DW137" s="47" t="n">
        <f aca="false">(DW80+DW56+DW59+DW110)*(DW$4&gt;In_COD)-($E129+$I59)*DW14</f>
        <v>2119.30772157993</v>
      </c>
      <c r="DX137" s="47" t="n">
        <f aca="false">(DX80+DX56+DX59+DX110)*(DX$4&gt;In_COD)-($E129+$I59)*DX14</f>
        <v>2119.30772157993</v>
      </c>
      <c r="DY137" s="47" t="n">
        <f aca="false">(DY80+DY56+DY59+DY110)*(DY$4&gt;In_COD)-($E129+$I59)*DY14</f>
        <v>2142.59681742147</v>
      </c>
      <c r="DZ137" s="47" t="n">
        <f aca="false">(DZ80+DZ56+DZ59+DZ110)*(DZ$4&gt;In_COD)-($E129+$I59)*DZ14</f>
        <v>2134.2132704514</v>
      </c>
      <c r="EA137" s="47" t="n">
        <f aca="false">(EA80+EA56+EA59+EA110)*(EA$4&gt;In_COD)-($E129+$I59)*EA14</f>
        <v>2095.89387383467</v>
      </c>
      <c r="EB137" s="47" t="n">
        <f aca="false">(EB80+EB56+EB59+EB110)*(EB$4&gt;In_COD)-($E129+$I59)*EB14</f>
        <v>2119.18158354395</v>
      </c>
      <c r="EC137" s="47" t="n">
        <f aca="false">(EC80+EC56+EC59+EC110)*(EC$4&gt;In_COD)-($E129+$I59)*EC14</f>
        <v>2142.46929325322</v>
      </c>
      <c r="ED137" s="47" t="n">
        <f aca="false">(ED80+ED56+ED59+ED110)*(ED$4&gt;In_COD)-($E129+$I59)*ED14</f>
        <v>2134.03723494271</v>
      </c>
      <c r="EE137" s="47" t="n">
        <f aca="false">(EE80+EE56+EE59+EE110)*(EE$4&gt;In_COD)-($E129+$I59)*EE14</f>
        <v>2095.38963124086</v>
      </c>
      <c r="EF137" s="47" t="n">
        <f aca="false">(EF80+EF56+EF59+EF110)*(EF$4&gt;In_COD)-($E129+$I59)*EF14</f>
        <v>2118.67173825464</v>
      </c>
      <c r="EG137" s="47" t="n">
        <f aca="false">(EG80+EG56+EG59+EG110)*(EG$4&gt;In_COD)-($E129+$I59)*EG14</f>
        <v>2141.95384526843</v>
      </c>
      <c r="EH137" s="47" t="n">
        <f aca="false">(EH80+EH56+EH59+EH110)*(EH$4&gt;In_COD)-($E129+$I59)*EH14</f>
        <v>2133.47321704111</v>
      </c>
      <c r="EI137" s="47" t="n">
        <f aca="false">(EI80+EI56+EI59+EI110)*(EI$4&gt;In_COD)-($E129+$I59)*EI14</f>
        <v>2094.49412834513</v>
      </c>
      <c r="EJ137" s="47" t="n">
        <f aca="false">(EJ80+EJ56+EJ59+EJ110)*(EJ$4&gt;In_COD)-($E129+$I59)*EJ14</f>
        <v>2117.76628532674</v>
      </c>
      <c r="EK137" s="47" t="n">
        <f aca="false">(EK80+EK56+EK59+EK110)*(EK$4&gt;In_COD)-($E129+$I59)*EK14</f>
        <v>2141.03844230835</v>
      </c>
      <c r="EL137" s="47" t="n">
        <f aca="false">(EL80+EL56+EL59+EL110)*(EL$4&gt;In_COD)-($E129+$I59)*EL14</f>
        <v>2132.50919112262</v>
      </c>
      <c r="EM137" s="47" t="n">
        <f aca="false">(EM80+EM56+EM59+EM110)*(EM$4&gt;In_COD)-($E129+$I59)*EM14</f>
        <v>2116.45301662203</v>
      </c>
      <c r="EN137" s="47" t="n">
        <f aca="false">(EN80+EN56+EN59+EN110)*(EN$4&gt;In_COD)-($E129+$I59)*EN14</f>
        <v>2116.45301662203</v>
      </c>
      <c r="EO137" s="47" t="n">
        <f aca="false">(EO80+EO56+EO59+EO110)*(EO$4&gt;In_COD)-($E129+$I59)*EO14</f>
        <v>2139.71074207941</v>
      </c>
    </row>
    <row r="138" customFormat="false" ht="15" hidden="false" customHeight="false" outlineLevel="0" collapsed="false">
      <c r="C138" s="25" t="s">
        <v>124</v>
      </c>
      <c r="D138" s="11" t="s">
        <v>27</v>
      </c>
      <c r="E138" s="33" t="n">
        <f aca="false">XIRR(INDEX($J137:$EO137,$E15):$EO137,INDEX($J$4:$EO$4,$E15):$EO$4)</f>
        <v>0.0696894448393206</v>
      </c>
    </row>
    <row r="139" customFormat="false" ht="15" hidden="false" customHeight="false" outlineLevel="0" collapsed="false">
      <c r="C139" s="0" t="s">
        <v>484</v>
      </c>
      <c r="D139" s="11" t="s">
        <v>33</v>
      </c>
      <c r="I139" s="47" t="n">
        <f aca="false">SUM(J139:EO139)</f>
        <v>129732.791267353</v>
      </c>
      <c r="J139" s="47" t="n">
        <f aca="false">J137+J91+J99+$E96*J14</f>
        <v>0</v>
      </c>
      <c r="K139" s="47" t="n">
        <f aca="false">K137+K91+K99+$E96*K14</f>
        <v>0</v>
      </c>
      <c r="L139" s="47" t="n">
        <f aca="false">L137+L91+L99+$E96*L14</f>
        <v>0</v>
      </c>
      <c r="M139" s="47" t="n">
        <f aca="false">M137+M91+M99+$E96*M14</f>
        <v>0</v>
      </c>
      <c r="N139" s="47" t="n">
        <f aca="false">N137+N91+N99+$E96*N14</f>
        <v>0</v>
      </c>
      <c r="O139" s="47" t="n">
        <f aca="false">O137+O91+O99+$E96*O14</f>
        <v>0</v>
      </c>
      <c r="P139" s="47" t="n">
        <f aca="false">P137+P91+P99+$E96*P14</f>
        <v>0</v>
      </c>
      <c r="Q139" s="47" t="n">
        <f aca="false">Q137+Q91+Q99+$E96*Q14</f>
        <v>0</v>
      </c>
      <c r="R139" s="47" t="n">
        <f aca="false">R137+R91+R99+$E96*R14</f>
        <v>0</v>
      </c>
      <c r="S139" s="47" t="n">
        <f aca="false">S137+S91+S99+$E96*S14</f>
        <v>0</v>
      </c>
      <c r="T139" s="47" t="n">
        <f aca="false">T137+T91+T99+$E96*T14</f>
        <v>0</v>
      </c>
      <c r="U139" s="47" t="n">
        <f aca="false">U137+U91+U99+$E96*U14</f>
        <v>0</v>
      </c>
      <c r="V139" s="47" t="n">
        <f aca="false">V137+V91+V99+$E96*V14</f>
        <v>0</v>
      </c>
      <c r="W139" s="47" t="n">
        <f aca="false">W137+W91+W99+$E96*W14</f>
        <v>0</v>
      </c>
      <c r="X139" s="47" t="n">
        <f aca="false">X137+X91+X99+$E96*X14</f>
        <v>0</v>
      </c>
      <c r="Y139" s="47" t="n">
        <f aca="false">Y137+Y91+Y99+$E96*Y14</f>
        <v>-73405.5136473732</v>
      </c>
      <c r="Z139" s="47" t="n">
        <f aca="false">Z137+Z91+Z99+$E96*Z14</f>
        <v>1392.55914281462</v>
      </c>
      <c r="AA139" s="47" t="n">
        <f aca="false">AA137+AA91+AA99+$E96*AA14</f>
        <v>1371.4568717826</v>
      </c>
      <c r="AB139" s="47" t="n">
        <f aca="false">AB137+AB91+AB99+$E96*AB14</f>
        <v>1386.22086233673</v>
      </c>
      <c r="AC139" s="47" t="n">
        <f aca="false">AC137+AC91+AC99+$E96*AC14</f>
        <v>1400.97677595422</v>
      </c>
      <c r="AD139" s="47" t="n">
        <f aca="false">AD137+AD91+AD99+$E96*AD14</f>
        <v>1390.29616705687</v>
      </c>
      <c r="AE139" s="47" t="n">
        <f aca="false">AE137+AE91+AE99+$E96*AE14</f>
        <v>1351.72474780454</v>
      </c>
      <c r="AF139" s="47" t="n">
        <f aca="false">AF137+AF91+AF99+$E96*AF14</f>
        <v>1351.29945580127</v>
      </c>
      <c r="AG139" s="47" t="n">
        <f aca="false">AG137+AG91+AG99+$E96*AG14</f>
        <v>1365.21752820917</v>
      </c>
      <c r="AH139" s="47" t="n">
        <f aca="false">AH137+AH91+AH99+$E96*AH14</f>
        <v>1360.38460432068</v>
      </c>
      <c r="AI139" s="47" t="n">
        <f aca="false">AI137+AI91+AI99+$E96*AI14</f>
        <v>1339.33516485557</v>
      </c>
      <c r="AJ139" s="47" t="n">
        <f aca="false">AJ137+AJ91+AJ99+$E96*AJ14</f>
        <v>1370.34291234727</v>
      </c>
      <c r="AK139" s="47" t="n">
        <f aca="false">AK137+AK91+AK99+$E96*AK14</f>
        <v>1384.45349428761</v>
      </c>
      <c r="AL139" s="47" t="n">
        <f aca="false">AL137+AL91+AL99+$E96*AL14</f>
        <v>1379.55611957659</v>
      </c>
      <c r="AM139" s="47" t="n">
        <f aca="false">AM137+AM91+AM99+$E96*AM14</f>
        <v>1357.93618433594</v>
      </c>
      <c r="AN139" s="47" t="n">
        <f aca="false">AN137+AN91+AN99+$E96*AN14</f>
        <v>1372.0780722592</v>
      </c>
      <c r="AO139" s="47" t="n">
        <f aca="false">AO137+AO91+AO99+$E96*AO14</f>
        <v>1386.20355243312</v>
      </c>
      <c r="AP139" s="47" t="n">
        <f aca="false">AP137+AP91+AP99+$E96*AP14</f>
        <v>1381.25287773618</v>
      </c>
      <c r="AQ139" s="47" t="n">
        <f aca="false">AQ137+AQ91+AQ99+$E96*AQ14</f>
        <v>1359.44725599259</v>
      </c>
      <c r="AR139" s="47" t="n">
        <f aca="false">AR137+AR91+AR99+$E96*AR14</f>
        <v>1373.60205706472</v>
      </c>
      <c r="AS139" s="47" t="n">
        <f aca="false">AS137+AS91+AS99+$E96*AS14</f>
        <v>1387.74011657234</v>
      </c>
      <c r="AT139" s="47" t="n">
        <f aca="false">AT137+AT91+AT99+$E96*AT14</f>
        <v>1382.7349177331</v>
      </c>
      <c r="AU139" s="47" t="n">
        <f aca="false">AU137+AU91+AU99+$E96*AU14</f>
        <v>1375.43453427287</v>
      </c>
      <c r="AV139" s="47" t="n">
        <f aca="false">AV137+AV91+AV99+$E96*AV14</f>
        <v>1374.89545433298</v>
      </c>
      <c r="AW139" s="47" t="n">
        <f aca="false">AW137+AW91+AW99+$E96*AW14</f>
        <v>1389.04355198571</v>
      </c>
      <c r="AX139" s="47" t="n">
        <f aca="false">AX137+AX91+AX99+$E96*AX14</f>
        <v>1383.98242566164</v>
      </c>
      <c r="AY139" s="47" t="n">
        <f aca="false">AY137+AY91+AY99+$E96*AY14</f>
        <v>1361.79745225746</v>
      </c>
      <c r="AZ139" s="47" t="n">
        <f aca="false">AZ137+AZ91+AZ99+$E96*AZ14</f>
        <v>1375.9706481939</v>
      </c>
      <c r="BA139" s="47" t="n">
        <f aca="false">BA137+BA91+BA99+$E96*BA14</f>
        <v>1390.12639459459</v>
      </c>
      <c r="BB139" s="47" t="n">
        <f aca="false">BB137+BB91+BB99+$E96*BB14</f>
        <v>1385.00813797282</v>
      </c>
      <c r="BC139" s="47" t="n">
        <f aca="false">BC137+BC91+BC99+$E96*BC14</f>
        <v>1362.62947945537</v>
      </c>
      <c r="BD139" s="47" t="n">
        <f aca="false">BD137+BD91+BD99+$E96*BD14</f>
        <v>1376.80808498674</v>
      </c>
      <c r="BE139" s="47" t="n">
        <f aca="false">BE137+BE91+BE99+$E96*BE14</f>
        <v>1390.96886711248</v>
      </c>
      <c r="BF139" s="47" t="n">
        <f aca="false">BF137+BF91+BF99+$E96*BF14</f>
        <v>1385.7920993451</v>
      </c>
      <c r="BG139" s="47" t="n">
        <f aca="false">BG137+BG91+BG99+$E96*BG14</f>
        <v>1363.21694197315</v>
      </c>
      <c r="BH139" s="47" t="n">
        <f aca="false">BH137+BH91+BH99+$E96*BH14</f>
        <v>1377.39825328806</v>
      </c>
      <c r="BI139" s="47" t="n">
        <f aca="false">BI137+BI91+BI99+$E96*BI14</f>
        <v>1391.5613527526</v>
      </c>
      <c r="BJ139" s="47" t="n">
        <f aca="false">BJ137+BJ91+BJ99+$E96*BJ14</f>
        <v>1386.32463590877</v>
      </c>
      <c r="BK139" s="47" t="n">
        <f aca="false">BK137+BK91+BK99+$E96*BK14</f>
        <v>1378.38074772033</v>
      </c>
      <c r="BL139" s="47" t="n">
        <f aca="false">BL137+BL91+BL99+$E96*BL14</f>
        <v>1377.72031293294</v>
      </c>
      <c r="BM139" s="47" t="n">
        <f aca="false">BM137+BM91+BM99+$E96*BM14</f>
        <v>1391.88277293544</v>
      </c>
      <c r="BN139" s="47" t="n">
        <f aca="false">BN137+BN91+BN99+$E96*BN14</f>
        <v>1386.58447871688</v>
      </c>
      <c r="BO139" s="47" t="n">
        <f aca="false">BO137+BO91+BO99+$E96*BO14</f>
        <v>1363.60742883481</v>
      </c>
      <c r="BP139" s="47" t="n">
        <f aca="false">BP137+BP91+BP99+$E96*BP14</f>
        <v>1377.78546792549</v>
      </c>
      <c r="BQ139" s="47" t="n">
        <f aca="false">BQ137+BQ91+BQ99+$E96*BQ14</f>
        <v>1391.94447025915</v>
      </c>
      <c r="BR139" s="47" t="n">
        <f aca="false">BR137+BR91+BR99+$E96*BR14</f>
        <v>1386.58316280682</v>
      </c>
      <c r="BS139" s="47" t="n">
        <f aca="false">BS137+BS91+BS99+$E96*BS14</f>
        <v>1363.40067641514</v>
      </c>
      <c r="BT139" s="47" t="n">
        <f aca="false">BT137+BT91+BT99+$E96*BT14</f>
        <v>1377.57263512178</v>
      </c>
      <c r="BU139" s="47" t="n">
        <f aca="false">BU137+BU91+BU99+$E96*BU14</f>
        <v>1391.72512066519</v>
      </c>
      <c r="BV139" s="47" t="n">
        <f aca="false">BV137+BV91+BV99+$E96*BV14</f>
        <v>1386.29917398633</v>
      </c>
      <c r="BW139" s="47" t="n">
        <f aca="false">BW137+BW91+BW99+$E96*BW14</f>
        <v>1362.90809939601</v>
      </c>
      <c r="BX139" s="47" t="n">
        <f aca="false">BX137+BX91+BX99+$E96*BX14</f>
        <v>1377.07081390055</v>
      </c>
      <c r="BY139" s="47" t="n">
        <f aca="false">BY137+BY91+BY99+$E96*BY14</f>
        <v>1391.21360137126</v>
      </c>
      <c r="BZ139" s="47" t="n">
        <f aca="false">BZ137+BZ91+BZ99+$E96*BZ14</f>
        <v>1385.72132092287</v>
      </c>
      <c r="CA139" s="47" t="n">
        <f aca="false">CA137+CA91+CA99+$E96*CA14</f>
        <v>1377.06257876972</v>
      </c>
      <c r="CB139" s="47" t="n">
        <f aca="false">CB137+CB91+CB99+$E96*CB14</f>
        <v>1376.25753187928</v>
      </c>
      <c r="CC139" s="47" t="n">
        <f aca="false">CC137+CC91+CC99+$E96*CC14</f>
        <v>1390.38718311853</v>
      </c>
      <c r="CD139" s="47" t="n">
        <f aca="false">CD137+CD91+CD99+$E96*CD14</f>
        <v>1384.82667097696</v>
      </c>
      <c r="CE139" s="47" t="n">
        <f aca="false">CE137+CE91+CE99+$E96*CE14</f>
        <v>1361.00845614234</v>
      </c>
      <c r="CF139" s="47" t="n">
        <f aca="false">CF137+CF91+CF99+$E96*CF14</f>
        <v>1375.14254736368</v>
      </c>
      <c r="CG139" s="47" t="n">
        <f aca="false">CG137+CG91+CG99+$E96*CG14</f>
        <v>1389.25574655664</v>
      </c>
      <c r="CH139" s="47" t="n">
        <f aca="false">CH137+CH91+CH99+$E96*CH14</f>
        <v>1383.62528660307</v>
      </c>
      <c r="CI139" s="47" t="n">
        <f aca="false">CI137+CI91+CI99+$E96*CI14</f>
        <v>1359.58844922584</v>
      </c>
      <c r="CJ139" s="47" t="n">
        <f aca="false">CJ137+CJ91+CJ99+$E96*CJ14</f>
        <v>1373.70302316535</v>
      </c>
      <c r="CK139" s="47" t="n">
        <f aca="false">CK137+CK91+CK99+$E96*CK14</f>
        <v>1387.7961937252</v>
      </c>
      <c r="CL139" s="47" t="n">
        <f aca="false">CL137+CL91+CL99+$E96*CL14</f>
        <v>1382.09386556742</v>
      </c>
      <c r="CM139" s="47" t="n">
        <f aca="false">CM137+CM91+CM99+$E96*CM14</f>
        <v>1357.83485874049</v>
      </c>
      <c r="CN139" s="47" t="n">
        <f aca="false">CN137+CN91+CN99+$E96*CN14</f>
        <v>1371.92621791194</v>
      </c>
      <c r="CO139" s="47" t="n">
        <f aca="false">CO137+CO91+CO99+$E96*CO14</f>
        <v>1385.99564140887</v>
      </c>
      <c r="CP139" s="47" t="n">
        <f aca="false">CP137+CP91+CP99+$E96*CP14</f>
        <v>1380.21944229046</v>
      </c>
      <c r="CQ139" s="47" t="n">
        <f aca="false">CQ137+CQ91+CQ99+$E96*CQ14</f>
        <v>1370.76523802703</v>
      </c>
      <c r="CR139" s="47" t="n">
        <f aca="false">CR137+CR91+CR99+$E96*CR14</f>
        <v>1369.78778471284</v>
      </c>
      <c r="CS139" s="47" t="n">
        <f aca="false">CS137+CS91+CS99+$E96*CS14</f>
        <v>2292.21691256105</v>
      </c>
      <c r="CT139" s="47" t="n">
        <f aca="false">CT137+CT91+CT99+$E96*CT14</f>
        <v>2276.85258115707</v>
      </c>
      <c r="CU139" s="47" t="n">
        <f aca="false">CU137+CU91+CU99+$E96*CU14</f>
        <v>2237.7017294597</v>
      </c>
      <c r="CV139" s="47" t="n">
        <f aca="false">CV137+CV91+CV99+$E96*CV14</f>
        <v>2262.56508200925</v>
      </c>
      <c r="CW139" s="47" t="n">
        <f aca="false">CW137+CW91+CW99+$E96*CW14</f>
        <v>2287.42843455881</v>
      </c>
      <c r="CX139" s="47" t="n">
        <f aca="false">CX137+CX91+CX99+$E96*CX14</f>
        <v>2279.38239570403</v>
      </c>
      <c r="CY139" s="47" t="n">
        <f aca="false">CY137+CY91+CY99+$E96*CY14</f>
        <v>2239.92792695099</v>
      </c>
      <c r="CZ139" s="47" t="n">
        <f aca="false">CZ137+CZ91+CZ99+$E96*CZ14</f>
        <v>2264.81601502822</v>
      </c>
      <c r="DA139" s="47" t="n">
        <f aca="false">DA137+DA91+DA99+$E96*DA14</f>
        <v>2289.70410310546</v>
      </c>
      <c r="DB139" s="47" t="n">
        <f aca="false">DB137+DB91+DB99+$E96*DB14</f>
        <v>2127.75796595667</v>
      </c>
      <c r="DC139" s="47" t="n">
        <f aca="false">DC137+DC91+DC99+$E96*DC14</f>
        <v>2091.34156892558</v>
      </c>
      <c r="DD139" s="47" t="n">
        <f aca="false">DD137+DD91+DD99+$E96*DD14</f>
        <v>2114.5786974692</v>
      </c>
      <c r="DE139" s="47" t="n">
        <f aca="false">DE137+DE91+DE99+$E96*DE14</f>
        <v>2137.81582601281</v>
      </c>
      <c r="DF139" s="47" t="n">
        <f aca="false">DF137+DF91+DF99+$E96*DF14</f>
        <v>2129.67377475099</v>
      </c>
      <c r="DG139" s="47" t="n">
        <f aca="false">DG137+DG91+DG99+$E96*DG14</f>
        <v>2116.20284972323</v>
      </c>
      <c r="DH139" s="47" t="n">
        <f aca="false">DH137+DH91+DH99+$E96*DH14</f>
        <v>2116.20284972323</v>
      </c>
      <c r="DI139" s="47" t="n">
        <f aca="false">DI137+DI91+DI99+$E96*DI14</f>
        <v>2139.45782609381</v>
      </c>
      <c r="DJ139" s="47" t="n">
        <f aca="false">DJ137+DJ91+DJ99+$E96*DJ14</f>
        <v>2131.26763373715</v>
      </c>
      <c r="DK139" s="47" t="n">
        <f aca="false">DK137+DK91+DK99+$E96*DK14</f>
        <v>2094.22922134031</v>
      </c>
      <c r="DL139" s="47" t="n">
        <f aca="false">DL137+DL91+DL99+$E96*DL14</f>
        <v>2117.49843491076</v>
      </c>
      <c r="DM139" s="47" t="n">
        <f aca="false">DM137+DM91+DM99+$E96*DM14</f>
        <v>2140.76764848121</v>
      </c>
      <c r="DN139" s="47" t="n">
        <f aca="false">DN137+DN91+DN99+$E96*DN14</f>
        <v>2132.52923118543</v>
      </c>
      <c r="DO139" s="47" t="n">
        <f aca="false">DO137+DO91+DO99+$E96*DO14</f>
        <v>2095.17525809415</v>
      </c>
      <c r="DP139" s="47" t="n">
        <f aca="false">DP137+DP91+DP99+$E96*DP14</f>
        <v>2118.45498318408</v>
      </c>
      <c r="DQ139" s="47" t="n">
        <f aca="false">DQ137+DQ91+DQ99+$E96*DQ14</f>
        <v>2141.73470827402</v>
      </c>
      <c r="DR139" s="47" t="n">
        <f aca="false">DR137+DR91+DR99+$E96*DR14</f>
        <v>2133.4479869401</v>
      </c>
      <c r="DS139" s="47" t="n">
        <f aca="false">DS137+DS91+DS99+$E96*DS14</f>
        <v>2095.77535956</v>
      </c>
      <c r="DT139" s="47" t="n">
        <f aca="false">DT137+DT91+DT99+$E96*DT14</f>
        <v>2119.061752444</v>
      </c>
      <c r="DU139" s="47" t="n">
        <f aca="false">DU137+DU91+DU99+$E96*DU14</f>
        <v>2142.348145328</v>
      </c>
      <c r="DV139" s="47" t="n">
        <f aca="false">DV137+DV91+DV99+$E96*DV14</f>
        <v>2134.01304575269</v>
      </c>
      <c r="DW139" s="47" t="n">
        <f aca="false">DW137+DW91+DW99+$E96*DW14</f>
        <v>2119.30772157993</v>
      </c>
      <c r="DX139" s="47" t="n">
        <f aca="false">DX137+DX91+DX99+$E96*DX14</f>
        <v>2119.30772157993</v>
      </c>
      <c r="DY139" s="47" t="n">
        <f aca="false">DY137+DY91+DY99+$E96*DY14</f>
        <v>2142.59681742147</v>
      </c>
      <c r="DZ139" s="47" t="n">
        <f aca="false">DZ137+DZ91+DZ99+$E96*DZ14</f>
        <v>2134.2132704514</v>
      </c>
      <c r="EA139" s="47" t="n">
        <f aca="false">EA137+EA91+EA99+$E96*EA14</f>
        <v>2095.89387383467</v>
      </c>
      <c r="EB139" s="47" t="n">
        <f aca="false">EB137+EB91+EB99+$E96*EB14</f>
        <v>2119.18158354395</v>
      </c>
      <c r="EC139" s="47" t="n">
        <f aca="false">EC137+EC91+EC99+$E96*EC14</f>
        <v>2142.46929325322</v>
      </c>
      <c r="ED139" s="47" t="n">
        <f aca="false">ED137+ED91+ED99+$E96*ED14</f>
        <v>2134.03723494271</v>
      </c>
      <c r="EE139" s="47" t="n">
        <f aca="false">EE137+EE91+EE99+$E96*EE14</f>
        <v>2095.38963124086</v>
      </c>
      <c r="EF139" s="47" t="n">
        <f aca="false">EF137+EF91+EF99+$E96*EF14</f>
        <v>2118.67173825464</v>
      </c>
      <c r="EG139" s="47" t="n">
        <f aca="false">EG137+EG91+EG99+$E96*EG14</f>
        <v>2141.95384526843</v>
      </c>
      <c r="EH139" s="47" t="n">
        <f aca="false">EH137+EH91+EH99+$E96*EH14</f>
        <v>2133.47321704111</v>
      </c>
      <c r="EI139" s="47" t="n">
        <f aca="false">EI137+EI91+EI99+$E96*EI14</f>
        <v>2094.49412834513</v>
      </c>
      <c r="EJ139" s="47" t="n">
        <f aca="false">EJ137+EJ91+EJ99+$E96*EJ14</f>
        <v>2117.76628532674</v>
      </c>
      <c r="EK139" s="47" t="n">
        <f aca="false">EK137+EK91+EK99+$E96*EK14</f>
        <v>2141.03844230835</v>
      </c>
      <c r="EL139" s="47" t="n">
        <f aca="false">EL137+EL91+EL99+$E96*EL14</f>
        <v>2132.50919112262</v>
      </c>
      <c r="EM139" s="47" t="n">
        <f aca="false">EM137+EM91+EM99+$E96*EM14</f>
        <v>2116.45301662203</v>
      </c>
      <c r="EN139" s="47" t="n">
        <f aca="false">EN137+EN91+EN99+$E96*EN14</f>
        <v>2116.45301662203</v>
      </c>
      <c r="EO139" s="47" t="n">
        <f aca="false">EO137+EO91+EO99+$E96*EO14</f>
        <v>2139.71074207941</v>
      </c>
    </row>
    <row r="140" customFormat="false" ht="15" hidden="false" customHeight="false" outlineLevel="0" collapsed="false">
      <c r="C140" s="25" t="s">
        <v>485</v>
      </c>
      <c r="D140" s="11" t="s">
        <v>27</v>
      </c>
      <c r="E140" s="33" t="n">
        <f aca="false">XIRR(INDEX($J139:$EO139,$E15):$EO139,INDEX($J$4:$EO$4,$E15):$EO$4)</f>
        <v>0.0754971888634899</v>
      </c>
    </row>
    <row r="142" customFormat="false" ht="15" hidden="false" customHeight="false" outlineLevel="0" collapsed="false">
      <c r="A142" s="9" t="s">
        <v>13</v>
      </c>
      <c r="B142" s="9"/>
      <c r="C142" s="9" t="s">
        <v>486</v>
      </c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9"/>
      <c r="DP142" s="9"/>
      <c r="DQ142" s="9"/>
      <c r="DR142" s="9"/>
      <c r="DS142" s="9"/>
      <c r="DT142" s="9"/>
      <c r="DU142" s="9"/>
      <c r="DV142" s="9"/>
      <c r="DW142" s="9"/>
      <c r="DX142" s="9"/>
      <c r="DY142" s="9"/>
      <c r="DZ142" s="9"/>
      <c r="EA142" s="9"/>
      <c r="EB142" s="9"/>
      <c r="EC142" s="9"/>
      <c r="ED142" s="9"/>
      <c r="EE142" s="9"/>
      <c r="EF142" s="9"/>
      <c r="EG142" s="9"/>
      <c r="EH142" s="9"/>
      <c r="EI142" s="9"/>
      <c r="EJ142" s="9"/>
      <c r="EK142" s="9"/>
      <c r="EL142" s="9"/>
      <c r="EM142" s="9"/>
      <c r="EN142" s="9"/>
      <c r="EO142" s="9"/>
    </row>
    <row r="143" customFormat="false" ht="15" hidden="false" customHeight="false" outlineLevel="0" collapsed="false">
      <c r="C143" s="0" t="s">
        <v>487</v>
      </c>
      <c r="D143" s="11" t="s">
        <v>33</v>
      </c>
      <c r="I143" s="47" t="n">
        <f aca="false">SUM(J143:EO143)</f>
        <v>186542.075634911</v>
      </c>
      <c r="J143" s="47" t="n">
        <f aca="false">J60+J67+J80+J59+J110</f>
        <v>-4662.80993807469</v>
      </c>
      <c r="K143" s="47" t="n">
        <f aca="false">K60+K67+K80+K59+K110</f>
        <v>-706.535577057768</v>
      </c>
      <c r="L143" s="47" t="n">
        <f aca="false">L60+L67+L80+L59+L110</f>
        <v>-104.360496659404</v>
      </c>
      <c r="M143" s="47" t="n">
        <f aca="false">M60+M67+M80+M59+M110</f>
        <v>-105.507315304013</v>
      </c>
      <c r="N143" s="47" t="n">
        <f aca="false">N60+N67+N80+N59+N110</f>
        <v>-105.507315304013</v>
      </c>
      <c r="O143" s="47" t="n">
        <f aca="false">O60+O67+O80+O59+O110</f>
        <v>-104.360496659404</v>
      </c>
      <c r="P143" s="47" t="n">
        <f aca="false">P60+P67+P80+P59+P110</f>
        <v>-104.360496659404</v>
      </c>
      <c r="Q143" s="47" t="n">
        <f aca="false">Q60+Q67+Q80+Q59+Q110</f>
        <v>-105.507315304013</v>
      </c>
      <c r="R143" s="47" t="n">
        <f aca="false">R60+R67+R80+R59+R110</f>
        <v>-8029.46084763546</v>
      </c>
      <c r="S143" s="47" t="n">
        <f aca="false">S60+S67+S80+S59+S110</f>
        <v>-16010.74701985</v>
      </c>
      <c r="T143" s="47" t="n">
        <f aca="false">T60+T67+T80+T59+T110</f>
        <v>-7943.21191215576</v>
      </c>
      <c r="U143" s="47" t="n">
        <f aca="false">U60+U67+U80+U59+U110</f>
        <v>-8030.49995514649</v>
      </c>
      <c r="V143" s="47" t="n">
        <f aca="false">V60+V67+V80+V59+V110</f>
        <v>-8030.49995514649</v>
      </c>
      <c r="W143" s="47" t="n">
        <f aca="false">W60+W67+W80+W59+W110</f>
        <v>-7856.96580033778</v>
      </c>
      <c r="X143" s="47" t="n">
        <f aca="false">X60+X67+X80+X59+X110</f>
        <v>-7944.26542034153</v>
      </c>
      <c r="Y143" s="47" t="n">
        <f aca="false">Y60+Y67+Y80+Y59+Y110</f>
        <v>-10531.5650403453</v>
      </c>
      <c r="Z143" s="47" t="n">
        <f aca="false">Z60+Z67+Z80+Z59+Z110</f>
        <v>2300.94659077018</v>
      </c>
      <c r="AA143" s="47" t="n">
        <f aca="false">AA60+AA67+AA80+AA59+AA110</f>
        <v>2266.07898831382</v>
      </c>
      <c r="AB143" s="47" t="n">
        <f aca="false">AB60+AB67+AB80+AB59+AB110</f>
        <v>2290.47375381228</v>
      </c>
      <c r="AC143" s="47" t="n">
        <f aca="false">AC60+AC67+AC80+AC59+AC110</f>
        <v>2314.85517366584</v>
      </c>
      <c r="AD143" s="47" t="n">
        <f aca="false">AD60+AD67+AD80+AD59+AD110</f>
        <v>2297.20744160619</v>
      </c>
      <c r="AE143" s="47" t="n">
        <f aca="false">AE60+AE67+AE80+AE59+AE110</f>
        <v>2233.47530061397</v>
      </c>
      <c r="AF143" s="47" t="n">
        <f aca="false">AF60+AF67+AF80+AF59+AF110</f>
        <v>2232.77258418713</v>
      </c>
      <c r="AG143" s="47" t="n">
        <f aca="false">AG60+AG67+AG80+AG59+AG110</f>
        <v>2255.76962630366</v>
      </c>
      <c r="AH143" s="47" t="n">
        <f aca="false">AH60+AH67+AH80+AH59+AH110</f>
        <v>2247.78411286816</v>
      </c>
      <c r="AI143" s="47" t="n">
        <f aca="false">AI60+AI67+AI80+AI59+AI110</f>
        <v>2213.00380481103</v>
      </c>
      <c r="AJ143" s="47" t="n">
        <f aca="false">AJ60+AJ67+AJ80+AJ59+AJ110</f>
        <v>2264.23837624495</v>
      </c>
      <c r="AK143" s="47" t="n">
        <f aca="false">AK60+AK67+AK80+AK59+AK110</f>
        <v>2287.55350478145</v>
      </c>
      <c r="AL143" s="47" t="n">
        <f aca="false">AL60+AL67+AL80+AL59+AL110</f>
        <v>2279.46149827444</v>
      </c>
      <c r="AM143" s="47" t="n">
        <f aca="false">AM60+AM67+AM80+AM59+AM110</f>
        <v>2243.73855139543</v>
      </c>
      <c r="AN143" s="47" t="n">
        <f aca="false">AN60+AN67+AN80+AN59+AN110</f>
        <v>2267.10540728229</v>
      </c>
      <c r="AO143" s="47" t="n">
        <f aca="false">AO60+AO67+AO80+AO59+AO110</f>
        <v>2290.44515239606</v>
      </c>
      <c r="AP143" s="47" t="n">
        <f aca="false">AP60+AP67+AP80+AP59+AP110</f>
        <v>2282.26507751399</v>
      </c>
      <c r="AQ143" s="47" t="n">
        <f aca="false">AQ60+AQ67+AQ80+AQ59+AQ110</f>
        <v>2246.2353180101</v>
      </c>
      <c r="AR143" s="47" t="n">
        <f aca="false">AR60+AR67+AR80+AR59+AR110</f>
        <v>2269.62351048866</v>
      </c>
      <c r="AS143" s="47" t="n">
        <f aca="false">AS60+AS67+AS80+AS59+AS110</f>
        <v>2292.98404062629</v>
      </c>
      <c r="AT143" s="47" t="n">
        <f aca="false">AT60+AT67+AT80+AT59+AT110</f>
        <v>2284.71387467698</v>
      </c>
      <c r="AU143" s="47" t="n">
        <f aca="false">AU60+AU67+AU80+AU59+AU110</f>
        <v>2272.65134037039</v>
      </c>
      <c r="AV143" s="47" t="n">
        <f aca="false">AV60+AV67+AV80+AV59+AV110</f>
        <v>2271.76061041019</v>
      </c>
      <c r="AW143" s="47" t="n">
        <f aca="false">AW60+AW67+AW80+AW59+AW110</f>
        <v>2295.13772672721</v>
      </c>
      <c r="AX143" s="47" t="n">
        <f aca="false">AX60+AX67+AX80+AX59+AX110</f>
        <v>2286.77515094655</v>
      </c>
      <c r="AY143" s="47" t="n">
        <f aca="false">AY60+AY67+AY80+AY59+AY110</f>
        <v>2250.11858294073</v>
      </c>
      <c r="AZ143" s="47" t="n">
        <f aca="false">AZ60+AZ67+AZ80+AZ59+AZ110</f>
        <v>2273.53716953257</v>
      </c>
      <c r="BA143" s="47" t="n">
        <f aca="false">BA60+BA67+BA80+BA59+BA110</f>
        <v>2296.92692399183</v>
      </c>
      <c r="BB143" s="47" t="n">
        <f aca="false">BB60+BB67+BB80+BB59+BB110</f>
        <v>2288.46995095386</v>
      </c>
      <c r="BC143" s="47" t="n">
        <f aca="false">BC60+BC67+BC80+BC59+BC110</f>
        <v>2251.49335409803</v>
      </c>
      <c r="BD143" s="47" t="n">
        <f aca="false">BD60+BD67+BD80+BD59+BD110</f>
        <v>2274.92087904559</v>
      </c>
      <c r="BE143" s="47" t="n">
        <f aca="false">BE60+BE67+BE80+BE59+BE110</f>
        <v>2298.31895410973</v>
      </c>
      <c r="BF143" s="47" t="n">
        <f aca="false">BF60+BF67+BF80+BF59+BF110</f>
        <v>2289.76530221851</v>
      </c>
      <c r="BG143" s="47" t="n">
        <f aca="false">BG60+BG67+BG80+BG59+BG110</f>
        <v>2252.46402732536</v>
      </c>
      <c r="BH143" s="47" t="n">
        <f aca="false">BH60+BH67+BH80+BH59+BH110</f>
        <v>2275.8960230801</v>
      </c>
      <c r="BI143" s="47" t="n">
        <f aca="false">BI60+BI67+BI80+BI59+BI110</f>
        <v>2299.29792711829</v>
      </c>
      <c r="BJ143" s="47" t="n">
        <f aca="false">BJ60+BJ67+BJ80+BJ59+BJ110</f>
        <v>2290.64522045887</v>
      </c>
      <c r="BK143" s="47" t="n">
        <f aca="false">BK60+BK67+BK80+BK59+BK110</f>
        <v>2277.51941353069</v>
      </c>
      <c r="BL143" s="47" t="n">
        <f aca="false">BL60+BL67+BL80+BL59+BL110</f>
        <v>2276.42816711554</v>
      </c>
      <c r="BM143" s="47" t="n">
        <f aca="false">BM60+BM67+BM80+BM59+BM110</f>
        <v>2299.82901456091</v>
      </c>
      <c r="BN143" s="47" t="n">
        <f aca="false">BN60+BN67+BN80+BN59+BN110</f>
        <v>2291.07456267137</v>
      </c>
      <c r="BO143" s="47" t="n">
        <f aca="false">BO60+BO67+BO80+BO59+BO110</f>
        <v>2253.10923468877</v>
      </c>
      <c r="BP143" s="47" t="n">
        <f aca="false">BP60+BP67+BP80+BP59+BP110</f>
        <v>2276.53582369782</v>
      </c>
      <c r="BQ143" s="47" t="n">
        <f aca="false">BQ60+BQ67+BQ80+BQ59+BQ110</f>
        <v>2299.93095798453</v>
      </c>
      <c r="BR143" s="47" t="n">
        <f aca="false">BR60+BR67+BR80+BR59+BR110</f>
        <v>2291.07238837319</v>
      </c>
      <c r="BS143" s="47" t="n">
        <f aca="false">BS60+BS67+BS80+BS59+BS110</f>
        <v>2252.76761453019</v>
      </c>
      <c r="BT143" s="47" t="n">
        <f aca="false">BT60+BT67+BT80+BT59+BT110</f>
        <v>2276.18415682848</v>
      </c>
      <c r="BU143" s="47" t="n">
        <f aca="false">BU60+BU67+BU80+BU59+BU110</f>
        <v>2299.56852332383</v>
      </c>
      <c r="BV143" s="47" t="n">
        <f aca="false">BV60+BV67+BV80+BV59+BV110</f>
        <v>2290.60314933821</v>
      </c>
      <c r="BW143" s="47" t="n">
        <f aca="false">BW60+BW67+BW80+BW59+BW110</f>
        <v>2251.95372205123</v>
      </c>
      <c r="BX143" s="47" t="n">
        <f aca="false">BX60+BX67+BX80+BX59+BX110</f>
        <v>2275.3549900142</v>
      </c>
      <c r="BY143" s="47" t="n">
        <f aca="false">BY60+BY67+BY80+BY59+BY110</f>
        <v>2298.72333223695</v>
      </c>
      <c r="BZ143" s="47" t="n">
        <f aca="false">BZ60+BZ67+BZ80+BZ59+BZ110</f>
        <v>2289.64835395796</v>
      </c>
      <c r="CA143" s="47" t="n">
        <f aca="false">CA60+CA67+CA80+CA59+CA110</f>
        <v>2275.34138298266</v>
      </c>
      <c r="CB143" s="47" t="n">
        <f aca="false">CB60+CB67+CB80+CB59+CB110</f>
        <v>2274.01119179652</v>
      </c>
      <c r="CC143" s="47" t="n">
        <f aca="false">CC60+CC67+CC80+CC59+CC110</f>
        <v>2297.35782882481</v>
      </c>
      <c r="CD143" s="47" t="n">
        <f aca="false">CD60+CD67+CD80+CD59+CD110</f>
        <v>2288.17011028439</v>
      </c>
      <c r="CE143" s="47" t="n">
        <f aca="false">CE60+CE67+CE80+CE59+CE110</f>
        <v>2248.81491269389</v>
      </c>
      <c r="CF143" s="47" t="n">
        <f aca="false">CF60+CF67+CF80+CF59+CF110</f>
        <v>2272.16888597195</v>
      </c>
      <c r="CG143" s="47" t="n">
        <f aca="false">CG60+CG67+CG80+CG59+CG110</f>
        <v>2295.48833903467</v>
      </c>
      <c r="CH143" s="47" t="n">
        <f aca="false">CH60+CH67+CH80+CH59+CH110</f>
        <v>2286.18504466368</v>
      </c>
      <c r="CI143" s="47" t="n">
        <f aca="false">CI60+CI67+CI80+CI59+CI110</f>
        <v>2246.46861373046</v>
      </c>
      <c r="CJ143" s="47" t="n">
        <f aca="false">CJ60+CJ67+CJ80+CJ59+CJ110</f>
        <v>2269.79033830776</v>
      </c>
      <c r="CK143" s="47" t="n">
        <f aca="false">CK60+CK67+CK80+CK59+CK110</f>
        <v>2293.07669775624</v>
      </c>
      <c r="CL143" s="47" t="n">
        <f aca="false">CL60+CL67+CL80+CL59+CL110</f>
        <v>2283.65465446152</v>
      </c>
      <c r="CM143" s="47" t="n">
        <f aca="false">CM60+CM67+CM80+CM59+CM110</f>
        <v>2243.57112957722</v>
      </c>
      <c r="CN143" s="47" t="n">
        <f aca="false">CN60+CN67+CN80+CN59+CN110</f>
        <v>2266.85449604117</v>
      </c>
      <c r="CO143" s="47" t="n">
        <f aca="false">CO60+CO67+CO80+CO59+CO110</f>
        <v>2290.10161785745</v>
      </c>
      <c r="CP143" s="47" t="n">
        <f aca="false">CP60+CP67+CP80+CP59+CP110</f>
        <v>2280.55751645417</v>
      </c>
      <c r="CQ143" s="47" t="n">
        <f aca="false">CQ60+CQ67+CQ80+CQ59+CQ110</f>
        <v>2264.93619137034</v>
      </c>
      <c r="CR143" s="47" t="n">
        <f aca="false">CR60+CR67+CR80+CR59+CR110</f>
        <v>2263.32113043559</v>
      </c>
      <c r="CS143" s="47" t="n">
        <f aca="false">CS60+CS67+CS80+CS59+CS110</f>
        <v>2286.52241107377</v>
      </c>
      <c r="CT143" s="47" t="n">
        <f aca="false">CT60+CT67+CT80+CT59+CT110</f>
        <v>2276.85258115707</v>
      </c>
      <c r="CU143" s="47" t="n">
        <f aca="false">CU60+CU67+CU80+CU59+CU110</f>
        <v>2237.7017294597</v>
      </c>
      <c r="CV143" s="47" t="n">
        <f aca="false">CV60+CV67+CV80+CV59+CV110</f>
        <v>2262.56508200925</v>
      </c>
      <c r="CW143" s="47" t="n">
        <f aca="false">CW60+CW67+CW80+CW59+CW110</f>
        <v>2287.42843455881</v>
      </c>
      <c r="CX143" s="47" t="n">
        <f aca="false">CX60+CX67+CX80+CX59+CX110</f>
        <v>2279.38239570403</v>
      </c>
      <c r="CY143" s="47" t="n">
        <f aca="false">CY60+CY67+CY80+CY59+CY110</f>
        <v>2239.92792695099</v>
      </c>
      <c r="CZ143" s="47" t="n">
        <f aca="false">CZ60+CZ67+CZ80+CZ59+CZ110</f>
        <v>2264.81601502822</v>
      </c>
      <c r="DA143" s="47" t="n">
        <f aca="false">DA60+DA67+DA80+DA59+DA110</f>
        <v>2289.70410310546</v>
      </c>
      <c r="DB143" s="47" t="n">
        <f aca="false">DB60+DB67+DB80+DB59+DB110</f>
        <v>2127.75796595667</v>
      </c>
      <c r="DC143" s="47" t="n">
        <f aca="false">DC60+DC67+DC80+DC59+DC110</f>
        <v>2091.34156892558</v>
      </c>
      <c r="DD143" s="47" t="n">
        <f aca="false">DD60+DD67+DD80+DD59+DD110</f>
        <v>2114.5786974692</v>
      </c>
      <c r="DE143" s="47" t="n">
        <f aca="false">DE60+DE67+DE80+DE59+DE110</f>
        <v>2137.81582601281</v>
      </c>
      <c r="DF143" s="47" t="n">
        <f aca="false">DF60+DF67+DF80+DF59+DF110</f>
        <v>2129.67377475099</v>
      </c>
      <c r="DG143" s="47" t="n">
        <f aca="false">DG60+DG67+DG80+DG59+DG110</f>
        <v>2116.20284972323</v>
      </c>
      <c r="DH143" s="47" t="n">
        <f aca="false">DH60+DH67+DH80+DH59+DH110</f>
        <v>2116.20284972323</v>
      </c>
      <c r="DI143" s="47" t="n">
        <f aca="false">DI60+DI67+DI80+DI59+DI110</f>
        <v>2139.45782609381</v>
      </c>
      <c r="DJ143" s="47" t="n">
        <f aca="false">DJ60+DJ67+DJ80+DJ59+DJ110</f>
        <v>2131.26763373715</v>
      </c>
      <c r="DK143" s="47" t="n">
        <f aca="false">DK60+DK67+DK80+DK59+DK110</f>
        <v>2094.22922134031</v>
      </c>
      <c r="DL143" s="47" t="n">
        <f aca="false">DL60+DL67+DL80+DL59+DL110</f>
        <v>2117.49843491076</v>
      </c>
      <c r="DM143" s="47" t="n">
        <f aca="false">DM60+DM67+DM80+DM59+DM110</f>
        <v>2140.76764848121</v>
      </c>
      <c r="DN143" s="47" t="n">
        <f aca="false">DN60+DN67+DN80+DN59+DN110</f>
        <v>2132.52923118543</v>
      </c>
      <c r="DO143" s="47" t="n">
        <f aca="false">DO60+DO67+DO80+DO59+DO110</f>
        <v>2095.17525809415</v>
      </c>
      <c r="DP143" s="47" t="n">
        <f aca="false">DP60+DP67+DP80+DP59+DP110</f>
        <v>2118.45498318408</v>
      </c>
      <c r="DQ143" s="47" t="n">
        <f aca="false">DQ60+DQ67+DQ80+DQ59+DQ110</f>
        <v>2141.73470827402</v>
      </c>
      <c r="DR143" s="47" t="n">
        <f aca="false">DR60+DR67+DR80+DR59+DR110</f>
        <v>2133.4479869401</v>
      </c>
      <c r="DS143" s="47" t="n">
        <f aca="false">DS60+DS67+DS80+DS59+DS110</f>
        <v>2095.77535956</v>
      </c>
      <c r="DT143" s="47" t="n">
        <f aca="false">DT60+DT67+DT80+DT59+DT110</f>
        <v>2119.061752444</v>
      </c>
      <c r="DU143" s="47" t="n">
        <f aca="false">DU60+DU67+DU80+DU59+DU110</f>
        <v>2142.348145328</v>
      </c>
      <c r="DV143" s="47" t="n">
        <f aca="false">DV60+DV67+DV80+DV59+DV110</f>
        <v>2134.01304575269</v>
      </c>
      <c r="DW143" s="47" t="n">
        <f aca="false">DW60+DW67+DW80+DW59+DW110</f>
        <v>2119.30772157993</v>
      </c>
      <c r="DX143" s="47" t="n">
        <f aca="false">DX60+DX67+DX80+DX59+DX110</f>
        <v>2119.30772157993</v>
      </c>
      <c r="DY143" s="47" t="n">
        <f aca="false">DY60+DY67+DY80+DY59+DY110</f>
        <v>2142.59681742147</v>
      </c>
      <c r="DZ143" s="47" t="n">
        <f aca="false">DZ60+DZ67+DZ80+DZ59+DZ110</f>
        <v>2134.2132704514</v>
      </c>
      <c r="EA143" s="47" t="n">
        <f aca="false">EA60+EA67+EA80+EA59+EA110</f>
        <v>2095.89387383467</v>
      </c>
      <c r="EB143" s="47" t="n">
        <f aca="false">EB60+EB67+EB80+EB59+EB110</f>
        <v>2119.18158354395</v>
      </c>
      <c r="EC143" s="47" t="n">
        <f aca="false">EC60+EC67+EC80+EC59+EC110</f>
        <v>2142.46929325322</v>
      </c>
      <c r="ED143" s="47" t="n">
        <f aca="false">ED60+ED67+ED80+ED59+ED110</f>
        <v>2134.03723494271</v>
      </c>
      <c r="EE143" s="47" t="n">
        <f aca="false">EE60+EE67+EE80+EE59+EE110</f>
        <v>2095.38963124086</v>
      </c>
      <c r="EF143" s="47" t="n">
        <f aca="false">EF60+EF67+EF80+EF59+EF110</f>
        <v>2118.67173825464</v>
      </c>
      <c r="EG143" s="47" t="n">
        <f aca="false">EG60+EG67+EG80+EG59+EG110</f>
        <v>2141.95384526843</v>
      </c>
      <c r="EH143" s="47" t="n">
        <f aca="false">EH60+EH67+EH80+EH59+EH110</f>
        <v>2133.47321704111</v>
      </c>
      <c r="EI143" s="47" t="n">
        <f aca="false">EI60+EI67+EI80+EI59+EI110</f>
        <v>2094.49412834513</v>
      </c>
      <c r="EJ143" s="47" t="n">
        <f aca="false">EJ60+EJ67+EJ80+EJ59+EJ110</f>
        <v>2117.76628532674</v>
      </c>
      <c r="EK143" s="47" t="n">
        <f aca="false">EK60+EK67+EK80+EK59+EK110</f>
        <v>2141.03844230835</v>
      </c>
      <c r="EL143" s="47" t="n">
        <f aca="false">EL60+EL67+EL80+EL59+EL110</f>
        <v>2132.50919112262</v>
      </c>
      <c r="EM143" s="47" t="n">
        <f aca="false">EM60+EM67+EM80+EM59+EM110</f>
        <v>2116.45301662203</v>
      </c>
      <c r="EN143" s="47" t="n">
        <f aca="false">EN60+EN67+EN80+EN59+EN110</f>
        <v>2116.45301662203</v>
      </c>
      <c r="EO143" s="47" t="n">
        <f aca="false">EO60+EO67+EO80+EO59+EO110</f>
        <v>2139.71074207941</v>
      </c>
    </row>
    <row r="144" customFormat="false" ht="15" hidden="false" customHeight="false" outlineLevel="0" collapsed="false">
      <c r="C144" s="25" t="s">
        <v>91</v>
      </c>
      <c r="D144" s="11" t="s">
        <v>27</v>
      </c>
      <c r="E144" s="33" t="n">
        <f aca="false">XIRR($J143:$EO143,$J$4:$EO$4)</f>
        <v>0.0981897026920006</v>
      </c>
    </row>
    <row r="145" customFormat="false" ht="15" hidden="false" customHeight="false" outlineLevel="0" collapsed="false">
      <c r="C145" s="25" t="s">
        <v>488</v>
      </c>
      <c r="D145" s="11" t="s">
        <v>33</v>
      </c>
      <c r="I145" s="56" t="n">
        <f aca="false">SUM(J145:EO145)</f>
        <v>161288.120273567</v>
      </c>
      <c r="J145" s="56" t="n">
        <f aca="false">J60+J67+J93+J97+J98+J80+J91+J99+J59+J110</f>
        <v>-4662.80993807469</v>
      </c>
      <c r="K145" s="56" t="n">
        <f aca="false">K60+K67+K93+K97+K98+K80+K91+K99+K59+K110</f>
        <v>-706.535577057768</v>
      </c>
      <c r="L145" s="56" t="n">
        <f aca="false">L60+L67+L93+L97+L98+L80+L91+L99+L59+L110</f>
        <v>-104.360496659404</v>
      </c>
      <c r="M145" s="56" t="n">
        <f aca="false">M60+M67+M93+M97+M98+M80+M91+M99+M59+M110</f>
        <v>-105.507315304013</v>
      </c>
      <c r="N145" s="56" t="n">
        <f aca="false">N60+N67+N93+N97+N98+N80+N91+N99+N59+N110</f>
        <v>-105.507315304013</v>
      </c>
      <c r="O145" s="56" t="n">
        <f aca="false">O60+O67+O93+O97+O98+O80+O91+O99+O59+O110</f>
        <v>-104.360496659404</v>
      </c>
      <c r="P145" s="56" t="n">
        <f aca="false">P60+P67+P93+P97+P98+P80+P91+P99+P59+P110</f>
        <v>-104.360496659404</v>
      </c>
      <c r="Q145" s="56" t="n">
        <f aca="false">Q60+Q67+Q93+Q97+Q98+Q80+Q91+Q99+Q59+Q110</f>
        <v>-105.507315304013</v>
      </c>
      <c r="R145" s="56" t="n">
        <f aca="false">R60+R67+R93+R97+R98+R80+R91+R99+R59+R110</f>
        <v>-4489.95849315338</v>
      </c>
      <c r="S145" s="56" t="n">
        <f aca="false">S60+S67+S93+S97+S98+S80+S91+S99+S59+S110</f>
        <v>-7326.12620687268</v>
      </c>
      <c r="T145" s="56" t="n">
        <f aca="false">T60+T67+T93+T97+T98+T80+T91+T99+T59+T110</f>
        <v>-3677.41596133854</v>
      </c>
      <c r="U145" s="56" t="n">
        <f aca="false">U60+U67+U93+U97+U98+U80+U91+U99+U59+U110</f>
        <v>-3708.01055317332</v>
      </c>
      <c r="V145" s="56" t="n">
        <f aca="false">V60+V67+V93+V97+V98+V80+V91+V99+V59+V110</f>
        <v>-3698.08610617388</v>
      </c>
      <c r="W145" s="56" t="n">
        <f aca="false">W60+W67+W93+W97+W98+W80+W91+W99+W59+W110</f>
        <v>-3609.02616297382</v>
      </c>
      <c r="X145" s="56" t="n">
        <f aca="false">X60+X67+X93+X97+X98+X80+X91+X99+X59+X110</f>
        <v>-3639.52328484964</v>
      </c>
      <c r="Y145" s="56" t="n">
        <f aca="false">Y60+Y67+Y93+Y97+Y98+Y80+Y91+Y99+Y59+Y110</f>
        <v>-5703.08892160165</v>
      </c>
      <c r="Z145" s="56" t="n">
        <f aca="false">Z60+Z67+Z93+Z97+Z98+Z80+Z91+Z99+Z59+Z110</f>
        <v>1392.55914281462</v>
      </c>
      <c r="AA145" s="56" t="n">
        <f aca="false">AA60+AA67+AA93+AA97+AA98+AA80+AA91+AA99+AA59+AA110</f>
        <v>1371.4568717826</v>
      </c>
      <c r="AB145" s="56" t="n">
        <f aca="false">AB60+AB67+AB93+AB97+AB98+AB80+AB91+AB99+AB59+AB110</f>
        <v>1386.22086233673</v>
      </c>
      <c r="AC145" s="56" t="n">
        <f aca="false">AC60+AC67+AC93+AC97+AC98+AC80+AC91+AC99+AC59+AC110</f>
        <v>1400.97677595422</v>
      </c>
      <c r="AD145" s="56" t="n">
        <f aca="false">AD60+AD67+AD93+AD97+AD98+AD80+AD91+AD99+AD59+AD110</f>
        <v>1390.29616705687</v>
      </c>
      <c r="AE145" s="56" t="n">
        <f aca="false">AE60+AE67+AE93+AE97+AE98+AE80+AE91+AE99+AE59+AE110</f>
        <v>1351.72474780454</v>
      </c>
      <c r="AF145" s="56" t="n">
        <f aca="false">AF60+AF67+AF93+AF97+AF98+AF80+AF91+AF99+AF59+AF110</f>
        <v>1351.29945580127</v>
      </c>
      <c r="AG145" s="56" t="n">
        <f aca="false">AG60+AG67+AG93+AG97+AG98+AG80+AG91+AG99+AG59+AG110</f>
        <v>1365.21752820917</v>
      </c>
      <c r="AH145" s="56" t="n">
        <f aca="false">AH60+AH67+AH93+AH97+AH98+AH80+AH91+AH99+AH59+AH110</f>
        <v>1360.38460432068</v>
      </c>
      <c r="AI145" s="56" t="n">
        <f aca="false">AI60+AI67+AI93+AI97+AI98+AI80+AI91+AI99+AI59+AI110</f>
        <v>1339.33516485557</v>
      </c>
      <c r="AJ145" s="56" t="n">
        <f aca="false">AJ60+AJ67+AJ93+AJ97+AJ98+AJ80+AJ91+AJ99+AJ59+AJ110</f>
        <v>1370.34291234727</v>
      </c>
      <c r="AK145" s="56" t="n">
        <f aca="false">AK60+AK67+AK93+AK97+AK98+AK80+AK91+AK99+AK59+AK110</f>
        <v>1384.45349428761</v>
      </c>
      <c r="AL145" s="56" t="n">
        <f aca="false">AL60+AL67+AL93+AL97+AL98+AL80+AL91+AL99+AL59+AL110</f>
        <v>1379.55611957659</v>
      </c>
      <c r="AM145" s="56" t="n">
        <f aca="false">AM60+AM67+AM93+AM97+AM98+AM80+AM91+AM99+AM59+AM110</f>
        <v>1357.93618433594</v>
      </c>
      <c r="AN145" s="56" t="n">
        <f aca="false">AN60+AN67+AN93+AN97+AN98+AN80+AN91+AN99+AN59+AN110</f>
        <v>1372.0780722592</v>
      </c>
      <c r="AO145" s="56" t="n">
        <f aca="false">AO60+AO67+AO93+AO97+AO98+AO80+AO91+AO99+AO59+AO110</f>
        <v>1386.20355243312</v>
      </c>
      <c r="AP145" s="56" t="n">
        <f aca="false">AP60+AP67+AP93+AP97+AP98+AP80+AP91+AP99+AP59+AP110</f>
        <v>1381.25287773618</v>
      </c>
      <c r="AQ145" s="56" t="n">
        <f aca="false">AQ60+AQ67+AQ93+AQ97+AQ98+AQ80+AQ91+AQ99+AQ59+AQ110</f>
        <v>1359.44725599259</v>
      </c>
      <c r="AR145" s="56" t="n">
        <f aca="false">AR60+AR67+AR93+AR97+AR98+AR80+AR91+AR99+AR59+AR110</f>
        <v>1373.60205706472</v>
      </c>
      <c r="AS145" s="56" t="n">
        <f aca="false">AS60+AS67+AS93+AS97+AS98+AS80+AS91+AS99+AS59+AS110</f>
        <v>1387.74011657234</v>
      </c>
      <c r="AT145" s="56" t="n">
        <f aca="false">AT60+AT67+AT93+AT97+AT98+AT80+AT91+AT99+AT59+AT110</f>
        <v>1382.7349177331</v>
      </c>
      <c r="AU145" s="56" t="n">
        <f aca="false">AU60+AU67+AU93+AU97+AU98+AU80+AU91+AU99+AU59+AU110</f>
        <v>1375.43453427287</v>
      </c>
      <c r="AV145" s="56" t="n">
        <f aca="false">AV60+AV67+AV93+AV97+AV98+AV80+AV91+AV99+AV59+AV110</f>
        <v>1374.89545433298</v>
      </c>
      <c r="AW145" s="56" t="n">
        <f aca="false">AW60+AW67+AW93+AW97+AW98+AW80+AW91+AW99+AW59+AW110</f>
        <v>1389.04355198571</v>
      </c>
      <c r="AX145" s="56" t="n">
        <f aca="false">AX60+AX67+AX93+AX97+AX98+AX80+AX91+AX99+AX59+AX110</f>
        <v>1383.98242566164</v>
      </c>
      <c r="AY145" s="56" t="n">
        <f aca="false">AY60+AY67+AY93+AY97+AY98+AY80+AY91+AY99+AY59+AY110</f>
        <v>1361.79745225746</v>
      </c>
      <c r="AZ145" s="56" t="n">
        <f aca="false">AZ60+AZ67+AZ93+AZ97+AZ98+AZ80+AZ91+AZ99+AZ59+AZ110</f>
        <v>1375.9706481939</v>
      </c>
      <c r="BA145" s="56" t="n">
        <f aca="false">BA60+BA67+BA93+BA97+BA98+BA80+BA91+BA99+BA59+BA110</f>
        <v>1390.12639459459</v>
      </c>
      <c r="BB145" s="56" t="n">
        <f aca="false">BB60+BB67+BB93+BB97+BB98+BB80+BB91+BB99+BB59+BB110</f>
        <v>1385.00813797282</v>
      </c>
      <c r="BC145" s="56" t="n">
        <f aca="false">BC60+BC67+BC93+BC97+BC98+BC80+BC91+BC99+BC59+BC110</f>
        <v>1362.62947945537</v>
      </c>
      <c r="BD145" s="56" t="n">
        <f aca="false">BD60+BD67+BD93+BD97+BD98+BD80+BD91+BD99+BD59+BD110</f>
        <v>1376.80808498674</v>
      </c>
      <c r="BE145" s="56" t="n">
        <f aca="false">BE60+BE67+BE93+BE97+BE98+BE80+BE91+BE99+BE59+BE110</f>
        <v>1390.96886711248</v>
      </c>
      <c r="BF145" s="56" t="n">
        <f aca="false">BF60+BF67+BF93+BF97+BF98+BF80+BF91+BF99+BF59+BF110</f>
        <v>1385.7920993451</v>
      </c>
      <c r="BG145" s="56" t="n">
        <f aca="false">BG60+BG67+BG93+BG97+BG98+BG80+BG91+BG99+BG59+BG110</f>
        <v>1363.21694197315</v>
      </c>
      <c r="BH145" s="56" t="n">
        <f aca="false">BH60+BH67+BH93+BH97+BH98+BH80+BH91+BH99+BH59+BH110</f>
        <v>1377.39825328806</v>
      </c>
      <c r="BI145" s="56" t="n">
        <f aca="false">BI60+BI67+BI93+BI97+BI98+BI80+BI91+BI99+BI59+BI110</f>
        <v>1391.5613527526</v>
      </c>
      <c r="BJ145" s="56" t="n">
        <f aca="false">BJ60+BJ67+BJ93+BJ97+BJ98+BJ80+BJ91+BJ99+BJ59+BJ110</f>
        <v>1386.32463590877</v>
      </c>
      <c r="BK145" s="56" t="n">
        <f aca="false">BK60+BK67+BK93+BK97+BK98+BK80+BK91+BK99+BK59+BK110</f>
        <v>1378.38074772033</v>
      </c>
      <c r="BL145" s="56" t="n">
        <f aca="false">BL60+BL67+BL93+BL97+BL98+BL80+BL91+BL99+BL59+BL110</f>
        <v>1377.72031293294</v>
      </c>
      <c r="BM145" s="56" t="n">
        <f aca="false">BM60+BM67+BM93+BM97+BM98+BM80+BM91+BM99+BM59+BM110</f>
        <v>1391.88277293544</v>
      </c>
      <c r="BN145" s="56" t="n">
        <f aca="false">BN60+BN67+BN93+BN97+BN98+BN80+BN91+BN99+BN59+BN110</f>
        <v>1386.58447871688</v>
      </c>
      <c r="BO145" s="56" t="n">
        <f aca="false">BO60+BO67+BO93+BO97+BO98+BO80+BO91+BO99+BO59+BO110</f>
        <v>1363.60742883481</v>
      </c>
      <c r="BP145" s="56" t="n">
        <f aca="false">BP60+BP67+BP93+BP97+BP98+BP80+BP91+BP99+BP59+BP110</f>
        <v>1377.78546792549</v>
      </c>
      <c r="BQ145" s="56" t="n">
        <f aca="false">BQ60+BQ67+BQ93+BQ97+BQ98+BQ80+BQ91+BQ99+BQ59+BQ110</f>
        <v>1391.94447025915</v>
      </c>
      <c r="BR145" s="56" t="n">
        <f aca="false">BR60+BR67+BR93+BR97+BR98+BR80+BR91+BR99+BR59+BR110</f>
        <v>1386.58316280682</v>
      </c>
      <c r="BS145" s="56" t="n">
        <f aca="false">BS60+BS67+BS93+BS97+BS98+BS80+BS91+BS99+BS59+BS110</f>
        <v>1363.40067641514</v>
      </c>
      <c r="BT145" s="56" t="n">
        <f aca="false">BT60+BT67+BT93+BT97+BT98+BT80+BT91+BT99+BT59+BT110</f>
        <v>1377.57263512178</v>
      </c>
      <c r="BU145" s="56" t="n">
        <f aca="false">BU60+BU67+BU93+BU97+BU98+BU80+BU91+BU99+BU59+BU110</f>
        <v>1391.72512066519</v>
      </c>
      <c r="BV145" s="56" t="n">
        <f aca="false">BV60+BV67+BV93+BV97+BV98+BV80+BV91+BV99+BV59+BV110</f>
        <v>1386.29917398633</v>
      </c>
      <c r="BW145" s="56" t="n">
        <f aca="false">BW60+BW67+BW93+BW97+BW98+BW80+BW91+BW99+BW59+BW110</f>
        <v>1362.90809939601</v>
      </c>
      <c r="BX145" s="56" t="n">
        <f aca="false">BX60+BX67+BX93+BX97+BX98+BX80+BX91+BX99+BX59+BX110</f>
        <v>1377.07081390055</v>
      </c>
      <c r="BY145" s="56" t="n">
        <f aca="false">BY60+BY67+BY93+BY97+BY98+BY80+BY91+BY99+BY59+BY110</f>
        <v>1391.21360137126</v>
      </c>
      <c r="BZ145" s="56" t="n">
        <f aca="false">BZ60+BZ67+BZ93+BZ97+BZ98+BZ80+BZ91+BZ99+BZ59+BZ110</f>
        <v>1385.72132092287</v>
      </c>
      <c r="CA145" s="56" t="n">
        <f aca="false">CA60+CA67+CA93+CA97+CA98+CA80+CA91+CA99+CA59+CA110</f>
        <v>1377.06257876972</v>
      </c>
      <c r="CB145" s="56" t="n">
        <f aca="false">CB60+CB67+CB93+CB97+CB98+CB80+CB91+CB99+CB59+CB110</f>
        <v>1376.25753187928</v>
      </c>
      <c r="CC145" s="56" t="n">
        <f aca="false">CC60+CC67+CC93+CC97+CC98+CC80+CC91+CC99+CC59+CC110</f>
        <v>1390.38718311853</v>
      </c>
      <c r="CD145" s="56" t="n">
        <f aca="false">CD60+CD67+CD93+CD97+CD98+CD80+CD91+CD99+CD59+CD110</f>
        <v>1384.82667097696</v>
      </c>
      <c r="CE145" s="56" t="n">
        <f aca="false">CE60+CE67+CE93+CE97+CE98+CE80+CE91+CE99+CE59+CE110</f>
        <v>1361.00845614234</v>
      </c>
      <c r="CF145" s="56" t="n">
        <f aca="false">CF60+CF67+CF93+CF97+CF98+CF80+CF91+CF99+CF59+CF110</f>
        <v>1375.14254736368</v>
      </c>
      <c r="CG145" s="56" t="n">
        <f aca="false">CG60+CG67+CG93+CG97+CG98+CG80+CG91+CG99+CG59+CG110</f>
        <v>1389.25574655664</v>
      </c>
      <c r="CH145" s="56" t="n">
        <f aca="false">CH60+CH67+CH93+CH97+CH98+CH80+CH91+CH99+CH59+CH110</f>
        <v>1383.62528660307</v>
      </c>
      <c r="CI145" s="56" t="n">
        <f aca="false">CI60+CI67+CI93+CI97+CI98+CI80+CI91+CI99+CI59+CI110</f>
        <v>1359.58844922584</v>
      </c>
      <c r="CJ145" s="56" t="n">
        <f aca="false">CJ60+CJ67+CJ93+CJ97+CJ98+CJ80+CJ91+CJ99+CJ59+CJ110</f>
        <v>1373.70302316535</v>
      </c>
      <c r="CK145" s="56" t="n">
        <f aca="false">CK60+CK67+CK93+CK97+CK98+CK80+CK91+CK99+CK59+CK110</f>
        <v>1387.7961937252</v>
      </c>
      <c r="CL145" s="56" t="n">
        <f aca="false">CL60+CL67+CL93+CL97+CL98+CL80+CL91+CL99+CL59+CL110</f>
        <v>1382.09386556742</v>
      </c>
      <c r="CM145" s="56" t="n">
        <f aca="false">CM60+CM67+CM93+CM97+CM98+CM80+CM91+CM99+CM59+CM110</f>
        <v>1357.83485874049</v>
      </c>
      <c r="CN145" s="56" t="n">
        <f aca="false">CN60+CN67+CN93+CN97+CN98+CN80+CN91+CN99+CN59+CN110</f>
        <v>1371.92621791194</v>
      </c>
      <c r="CO145" s="56" t="n">
        <f aca="false">CO60+CO67+CO93+CO97+CO98+CO80+CO91+CO99+CO59+CO110</f>
        <v>1385.99564140887</v>
      </c>
      <c r="CP145" s="56" t="n">
        <f aca="false">CP60+CP67+CP93+CP97+CP98+CP80+CP91+CP99+CP59+CP110</f>
        <v>1380.21944229046</v>
      </c>
      <c r="CQ145" s="56" t="n">
        <f aca="false">CQ60+CQ67+CQ93+CQ97+CQ98+CQ80+CQ91+CQ99+CQ59+CQ110</f>
        <v>1370.76523802703</v>
      </c>
      <c r="CR145" s="56" t="n">
        <f aca="false">CR60+CR67+CR93+CR97+CR98+CR80+CR91+CR99+CR59+CR110</f>
        <v>1369.78778471284</v>
      </c>
      <c r="CS145" s="56" t="n">
        <f aca="false">CS60+CS67+CS93+CS97+CS98+CS80+CS91+CS99+CS59+CS110</f>
        <v>2292.21691256105</v>
      </c>
      <c r="CT145" s="56" t="n">
        <f aca="false">CT60+CT67+CT93+CT97+CT98+CT80+CT91+CT99+CT59+CT110</f>
        <v>2276.85258115707</v>
      </c>
      <c r="CU145" s="56" t="n">
        <f aca="false">CU60+CU67+CU93+CU97+CU98+CU80+CU91+CU99+CU59+CU110</f>
        <v>2237.7017294597</v>
      </c>
      <c r="CV145" s="56" t="n">
        <f aca="false">CV60+CV67+CV93+CV97+CV98+CV80+CV91+CV99+CV59+CV110</f>
        <v>2262.56508200925</v>
      </c>
      <c r="CW145" s="56" t="n">
        <f aca="false">CW60+CW67+CW93+CW97+CW98+CW80+CW91+CW99+CW59+CW110</f>
        <v>2287.42843455881</v>
      </c>
      <c r="CX145" s="56" t="n">
        <f aca="false">CX60+CX67+CX93+CX97+CX98+CX80+CX91+CX99+CX59+CX110</f>
        <v>2279.38239570403</v>
      </c>
      <c r="CY145" s="56" t="n">
        <f aca="false">CY60+CY67+CY93+CY97+CY98+CY80+CY91+CY99+CY59+CY110</f>
        <v>2239.92792695099</v>
      </c>
      <c r="CZ145" s="56" t="n">
        <f aca="false">CZ60+CZ67+CZ93+CZ97+CZ98+CZ80+CZ91+CZ99+CZ59+CZ110</f>
        <v>2264.81601502822</v>
      </c>
      <c r="DA145" s="56" t="n">
        <f aca="false">DA60+DA67+DA93+DA97+DA98+DA80+DA91+DA99+DA59+DA110</f>
        <v>2289.70410310546</v>
      </c>
      <c r="DB145" s="56" t="n">
        <f aca="false">DB60+DB67+DB93+DB97+DB98+DB80+DB91+DB99+DB59+DB110</f>
        <v>2127.75796595667</v>
      </c>
      <c r="DC145" s="56" t="n">
        <f aca="false">DC60+DC67+DC93+DC97+DC98+DC80+DC91+DC99+DC59+DC110</f>
        <v>2091.34156892558</v>
      </c>
      <c r="DD145" s="56" t="n">
        <f aca="false">DD60+DD67+DD93+DD97+DD98+DD80+DD91+DD99+DD59+DD110</f>
        <v>2114.5786974692</v>
      </c>
      <c r="DE145" s="56" t="n">
        <f aca="false">DE60+DE67+DE93+DE97+DE98+DE80+DE91+DE99+DE59+DE110</f>
        <v>2137.81582601281</v>
      </c>
      <c r="DF145" s="56" t="n">
        <f aca="false">DF60+DF67+DF93+DF97+DF98+DF80+DF91+DF99+DF59+DF110</f>
        <v>2129.67377475099</v>
      </c>
      <c r="DG145" s="56" t="n">
        <f aca="false">DG60+DG67+DG93+DG97+DG98+DG80+DG91+DG99+DG59+DG110</f>
        <v>2116.20284972323</v>
      </c>
      <c r="DH145" s="56" t="n">
        <f aca="false">DH60+DH67+DH93+DH97+DH98+DH80+DH91+DH99+DH59+DH110</f>
        <v>2116.20284972323</v>
      </c>
      <c r="DI145" s="56" t="n">
        <f aca="false">DI60+DI67+DI93+DI97+DI98+DI80+DI91+DI99+DI59+DI110</f>
        <v>2139.45782609381</v>
      </c>
      <c r="DJ145" s="56" t="n">
        <f aca="false">DJ60+DJ67+DJ93+DJ97+DJ98+DJ80+DJ91+DJ99+DJ59+DJ110</f>
        <v>2131.26763373715</v>
      </c>
      <c r="DK145" s="56" t="n">
        <f aca="false">DK60+DK67+DK93+DK97+DK98+DK80+DK91+DK99+DK59+DK110</f>
        <v>2094.22922134031</v>
      </c>
      <c r="DL145" s="56" t="n">
        <f aca="false">DL60+DL67+DL93+DL97+DL98+DL80+DL91+DL99+DL59+DL110</f>
        <v>2117.49843491076</v>
      </c>
      <c r="DM145" s="56" t="n">
        <f aca="false">DM60+DM67+DM93+DM97+DM98+DM80+DM91+DM99+DM59+DM110</f>
        <v>2140.76764848121</v>
      </c>
      <c r="DN145" s="56" t="n">
        <f aca="false">DN60+DN67+DN93+DN97+DN98+DN80+DN91+DN99+DN59+DN110</f>
        <v>2132.52923118543</v>
      </c>
      <c r="DO145" s="56" t="n">
        <f aca="false">DO60+DO67+DO93+DO97+DO98+DO80+DO91+DO99+DO59+DO110</f>
        <v>2095.17525809415</v>
      </c>
      <c r="DP145" s="56" t="n">
        <f aca="false">DP60+DP67+DP93+DP97+DP98+DP80+DP91+DP99+DP59+DP110</f>
        <v>2118.45498318408</v>
      </c>
      <c r="DQ145" s="56" t="n">
        <f aca="false">DQ60+DQ67+DQ93+DQ97+DQ98+DQ80+DQ91+DQ99+DQ59+DQ110</f>
        <v>2141.73470827402</v>
      </c>
      <c r="DR145" s="56" t="n">
        <f aca="false">DR60+DR67+DR93+DR97+DR98+DR80+DR91+DR99+DR59+DR110</f>
        <v>2133.4479869401</v>
      </c>
      <c r="DS145" s="56" t="n">
        <f aca="false">DS60+DS67+DS93+DS97+DS98+DS80+DS91+DS99+DS59+DS110</f>
        <v>2095.77535956</v>
      </c>
      <c r="DT145" s="56" t="n">
        <f aca="false">DT60+DT67+DT93+DT97+DT98+DT80+DT91+DT99+DT59+DT110</f>
        <v>2119.061752444</v>
      </c>
      <c r="DU145" s="56" t="n">
        <f aca="false">DU60+DU67+DU93+DU97+DU98+DU80+DU91+DU99+DU59+DU110</f>
        <v>2142.348145328</v>
      </c>
      <c r="DV145" s="56" t="n">
        <f aca="false">DV60+DV67+DV93+DV97+DV98+DV80+DV91+DV99+DV59+DV110</f>
        <v>2134.01304575269</v>
      </c>
      <c r="DW145" s="56" t="n">
        <f aca="false">DW60+DW67+DW93+DW97+DW98+DW80+DW91+DW99+DW59+DW110</f>
        <v>2119.30772157993</v>
      </c>
      <c r="DX145" s="56" t="n">
        <f aca="false">DX60+DX67+DX93+DX97+DX98+DX80+DX91+DX99+DX59+DX110</f>
        <v>2119.30772157993</v>
      </c>
      <c r="DY145" s="56" t="n">
        <f aca="false">DY60+DY67+DY93+DY97+DY98+DY80+DY91+DY99+DY59+DY110</f>
        <v>2142.59681742147</v>
      </c>
      <c r="DZ145" s="56" t="n">
        <f aca="false">DZ60+DZ67+DZ93+DZ97+DZ98+DZ80+DZ91+DZ99+DZ59+DZ110</f>
        <v>2134.2132704514</v>
      </c>
      <c r="EA145" s="56" t="n">
        <f aca="false">EA60+EA67+EA93+EA97+EA98+EA80+EA91+EA99+EA59+EA110</f>
        <v>2095.89387383467</v>
      </c>
      <c r="EB145" s="56" t="n">
        <f aca="false">EB60+EB67+EB93+EB97+EB98+EB80+EB91+EB99+EB59+EB110</f>
        <v>2119.18158354395</v>
      </c>
      <c r="EC145" s="56" t="n">
        <f aca="false">EC60+EC67+EC93+EC97+EC98+EC80+EC91+EC99+EC59+EC110</f>
        <v>2142.46929325322</v>
      </c>
      <c r="ED145" s="56" t="n">
        <f aca="false">ED60+ED67+ED93+ED97+ED98+ED80+ED91+ED99+ED59+ED110</f>
        <v>2134.03723494271</v>
      </c>
      <c r="EE145" s="56" t="n">
        <f aca="false">EE60+EE67+EE93+EE97+EE98+EE80+EE91+EE99+EE59+EE110</f>
        <v>2095.38963124086</v>
      </c>
      <c r="EF145" s="56" t="n">
        <f aca="false">EF60+EF67+EF93+EF97+EF98+EF80+EF91+EF99+EF59+EF110</f>
        <v>2118.67173825464</v>
      </c>
      <c r="EG145" s="56" t="n">
        <f aca="false">EG60+EG67+EG93+EG97+EG98+EG80+EG91+EG99+EG59+EG110</f>
        <v>2141.95384526843</v>
      </c>
      <c r="EH145" s="56" t="n">
        <f aca="false">EH60+EH67+EH93+EH97+EH98+EH80+EH91+EH99+EH59+EH110</f>
        <v>2133.47321704111</v>
      </c>
      <c r="EI145" s="56" t="n">
        <f aca="false">EI60+EI67+EI93+EI97+EI98+EI80+EI91+EI99+EI59+EI110</f>
        <v>2094.49412834513</v>
      </c>
      <c r="EJ145" s="56" t="n">
        <f aca="false">EJ60+EJ67+EJ93+EJ97+EJ98+EJ80+EJ91+EJ99+EJ59+EJ110</f>
        <v>2117.76628532674</v>
      </c>
      <c r="EK145" s="56" t="n">
        <f aca="false">EK60+EK67+EK93+EK97+EK98+EK80+EK91+EK99+EK59+EK110</f>
        <v>2141.03844230835</v>
      </c>
      <c r="EL145" s="56" t="n">
        <f aca="false">EL60+EL67+EL93+EL97+EL98+EL80+EL91+EL99+EL59+EL110</f>
        <v>2132.50919112262</v>
      </c>
      <c r="EM145" s="56" t="n">
        <f aca="false">EM60+EM67+EM93+EM97+EM98+EM80+EM91+EM99+EM59+EM110</f>
        <v>2116.45301662203</v>
      </c>
      <c r="EN145" s="56" t="n">
        <f aca="false">EN60+EN67+EN93+EN97+EN98+EN80+EN91+EN99+EN59+EN110</f>
        <v>2116.45301662203</v>
      </c>
      <c r="EO145" s="56" t="n">
        <f aca="false">EO60+EO67+EO93+EO97+EO98+EO80+EO91+EO99+EO59+EO110</f>
        <v>2139.71074207941</v>
      </c>
    </row>
    <row r="146" customFormat="false" ht="15" hidden="false" customHeight="false" outlineLevel="0" collapsed="false">
      <c r="C146" s="25" t="s">
        <v>88</v>
      </c>
      <c r="D146" s="11" t="s">
        <v>27</v>
      </c>
      <c r="E146" s="33" t="n">
        <f aca="false">XIRR($J145:$EO145,$J$4:$EO$4)</f>
        <v>0.120333275856178</v>
      </c>
    </row>
    <row r="147" customFormat="false" ht="15" hidden="false" customHeight="false" outlineLevel="0" collapsed="false">
      <c r="C147" s="25" t="s">
        <v>89</v>
      </c>
      <c r="D147" s="11" t="s">
        <v>13</v>
      </c>
      <c r="E147" s="59" t="n">
        <f aca="false">SUMIF($J145:$EO145,"&gt;0")/-SUMIF($J145:$EO145,"&lt;0")</f>
        <v>4.85394047019186</v>
      </c>
    </row>
    <row r="148" customFormat="false" ht="15" hidden="false" customHeight="false" outlineLevel="0" collapsed="false">
      <c r="C148" s="25" t="s">
        <v>90</v>
      </c>
      <c r="D148" s="11" t="s">
        <v>33</v>
      </c>
      <c r="E148" s="56" t="n">
        <f aca="false">XNPV(In_Discount_Rate,$J145:$EO145,$J$4:$EO$4)</f>
        <v>17723.4335623605</v>
      </c>
    </row>
    <row r="150" customFormat="false" ht="15" hidden="false" customHeight="false" outlineLevel="0" collapsed="false">
      <c r="C150" s="41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383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489</v>
      </c>
      <c r="F9" s="8" t="s">
        <v>490</v>
      </c>
    </row>
    <row r="11" customFormat="false" ht="15" hidden="false" customHeight="false" outlineLevel="0" collapsed="false">
      <c r="A11" s="9" t="s">
        <v>13</v>
      </c>
      <c r="B11" s="9"/>
      <c r="C11" s="9" t="s">
        <v>491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492</v>
      </c>
      <c r="D12" s="11" t="s">
        <v>43</v>
      </c>
      <c r="E12" s="27" t="str">
        <f aca="false">IF(F12=0,"OK","CHECK")</f>
        <v>OK</v>
      </c>
      <c r="F12" s="49" t="n">
        <f aca="false">N(Tax_1_Delta&gt;Tolerance)</f>
        <v>0</v>
      </c>
    </row>
    <row r="13" customFormat="false" ht="15" hidden="false" customHeight="false" outlineLevel="0" collapsed="false">
      <c r="C13" s="0" t="s">
        <v>493</v>
      </c>
      <c r="D13" s="11" t="s">
        <v>43</v>
      </c>
      <c r="E13" s="27" t="str">
        <f aca="false">IF(F13=0,"OK","CHECK")</f>
        <v>OK</v>
      </c>
      <c r="F13" s="49" t="n">
        <f aca="false">N(Tax_2_Delta&gt;Tolerance)</f>
        <v>0</v>
      </c>
    </row>
    <row r="14" customFormat="false" ht="15" hidden="false" customHeight="false" outlineLevel="0" collapsed="false">
      <c r="C14" s="0" t="s">
        <v>494</v>
      </c>
      <c r="D14" s="11" t="s">
        <v>43</v>
      </c>
      <c r="E14" s="27" t="str">
        <f aca="false">IF(F14=0,"OK","CHECK")</f>
        <v>OK</v>
      </c>
      <c r="F14" s="49" t="n">
        <f aca="false">N(Calc_1!$E42+Calc_1!$F42&gt;0)</f>
        <v>0</v>
      </c>
    </row>
    <row r="15" customFormat="false" ht="15" hidden="false" customHeight="false" outlineLevel="0" collapsed="false">
      <c r="C15" s="0" t="s">
        <v>495</v>
      </c>
      <c r="D15" s="11" t="s">
        <v>43</v>
      </c>
      <c r="E15" s="27" t="str">
        <f aca="false">IF(F15=0,"OK","CHECK")</f>
        <v>OK</v>
      </c>
      <c r="F15" s="49" t="n">
        <f aca="false">N(Calc_2!$E42+Calc_2!$F42&gt;0)</f>
        <v>0</v>
      </c>
    </row>
    <row r="16" customFormat="false" ht="15" hidden="false" customHeight="false" outlineLevel="0" collapsed="false">
      <c r="C16" s="0" t="s">
        <v>496</v>
      </c>
      <c r="D16" s="11" t="s">
        <v>43</v>
      </c>
      <c r="E16" s="27" t="str">
        <f aca="false">IF(F16=0,"OK","CHECK")</f>
        <v>OK</v>
      </c>
      <c r="F16" s="49" t="n">
        <f aca="false">N(COUNTIF(Calc_1!$J$4:$EO$4,In_COD)=0)</f>
        <v>0</v>
      </c>
    </row>
    <row r="17" customFormat="false" ht="15" hidden="false" customHeight="false" outlineLevel="0" collapsed="false">
      <c r="C17" s="0" t="s">
        <v>497</v>
      </c>
      <c r="D17" s="11" t="s">
        <v>43</v>
      </c>
      <c r="E17" s="27" t="str">
        <f aca="false">IF(F17=0,"OK","CHECK")</f>
        <v>OK</v>
      </c>
      <c r="F17" s="49" t="n">
        <f aca="false">N(COUNTIF(Calc_2!$J$4:$EO$4,In_COD)=0)</f>
        <v>0</v>
      </c>
    </row>
    <row r="18" customFormat="false" ht="15" hidden="false" customHeight="false" outlineLevel="0" collapsed="false">
      <c r="C18" s="0" t="s">
        <v>498</v>
      </c>
      <c r="D18" s="11" t="s">
        <v>43</v>
      </c>
      <c r="E18" s="27" t="str">
        <f aca="false">IF(F18=0,"OK","CHECK")</f>
        <v>OK</v>
      </c>
      <c r="F18" s="49" t="n">
        <f aca="false">N(Calc_1!$F87&gt;1+Tolerance)</f>
        <v>0</v>
      </c>
    </row>
    <row r="19" customFormat="false" ht="15" hidden="false" customHeight="false" outlineLevel="0" collapsed="false">
      <c r="C19" s="0" t="s">
        <v>499</v>
      </c>
      <c r="D19" s="11" t="s">
        <v>43</v>
      </c>
      <c r="E19" s="27" t="str">
        <f aca="false">IF(F19=0,"OK","CHECK")</f>
        <v>OK</v>
      </c>
      <c r="F19" s="49" t="n">
        <f aca="false">N(Calc_2!$F87&gt;1+Tolerance)</f>
        <v>0</v>
      </c>
    </row>
    <row r="20" customFormat="false" ht="15" hidden="false" customHeight="false" outlineLevel="0" collapsed="false">
      <c r="C20" s="0" t="s">
        <v>500</v>
      </c>
      <c r="D20" s="11" t="s">
        <v>43</v>
      </c>
      <c r="E20" s="27" t="str">
        <f aca="false">IF(F20=0,"OK","CHECK")</f>
        <v>OK</v>
      </c>
      <c r="F20" s="49" t="n">
        <f aca="false">SUM(J20:EO20)</f>
        <v>0</v>
      </c>
      <c r="J20" s="49" t="n">
        <f aca="false">N((Calc_1!J$4&gt;=Calc_1!$F18)*ABS(Calc_1!J96)&gt;Tolerance)</f>
        <v>0</v>
      </c>
      <c r="K20" s="49" t="n">
        <f aca="false">N((Calc_1!K$4&gt;=Calc_1!$F18)*ABS(Calc_1!K96)&gt;Tolerance)</f>
        <v>0</v>
      </c>
      <c r="L20" s="49" t="n">
        <f aca="false">N((Calc_1!L$4&gt;=Calc_1!$F18)*ABS(Calc_1!L96)&gt;Tolerance)</f>
        <v>0</v>
      </c>
      <c r="M20" s="49" t="n">
        <f aca="false">N((Calc_1!M$4&gt;=Calc_1!$F18)*ABS(Calc_1!M96)&gt;Tolerance)</f>
        <v>0</v>
      </c>
      <c r="N20" s="49" t="n">
        <f aca="false">N((Calc_1!N$4&gt;=Calc_1!$F18)*ABS(Calc_1!N96)&gt;Tolerance)</f>
        <v>0</v>
      </c>
      <c r="O20" s="49" t="n">
        <f aca="false">N((Calc_1!O$4&gt;=Calc_1!$F18)*ABS(Calc_1!O96)&gt;Tolerance)</f>
        <v>0</v>
      </c>
      <c r="P20" s="49" t="n">
        <f aca="false">N((Calc_1!P$4&gt;=Calc_1!$F18)*ABS(Calc_1!P96)&gt;Tolerance)</f>
        <v>0</v>
      </c>
      <c r="Q20" s="49" t="n">
        <f aca="false">N((Calc_1!Q$4&gt;=Calc_1!$F18)*ABS(Calc_1!Q96)&gt;Tolerance)</f>
        <v>0</v>
      </c>
      <c r="R20" s="49" t="n">
        <f aca="false">N((Calc_1!R$4&gt;=Calc_1!$F18)*ABS(Calc_1!R96)&gt;Tolerance)</f>
        <v>0</v>
      </c>
      <c r="S20" s="49" t="n">
        <f aca="false">N((Calc_1!S$4&gt;=Calc_1!$F18)*ABS(Calc_1!S96)&gt;Tolerance)</f>
        <v>0</v>
      </c>
      <c r="T20" s="49" t="n">
        <f aca="false">N((Calc_1!T$4&gt;=Calc_1!$F18)*ABS(Calc_1!T96)&gt;Tolerance)</f>
        <v>0</v>
      </c>
      <c r="U20" s="49" t="n">
        <f aca="false">N((Calc_1!U$4&gt;=Calc_1!$F18)*ABS(Calc_1!U96)&gt;Tolerance)</f>
        <v>0</v>
      </c>
      <c r="V20" s="49" t="n">
        <f aca="false">N((Calc_1!V$4&gt;=Calc_1!$F18)*ABS(Calc_1!V96)&gt;Tolerance)</f>
        <v>0</v>
      </c>
      <c r="W20" s="49" t="n">
        <f aca="false">N((Calc_1!W$4&gt;=Calc_1!$F18)*ABS(Calc_1!W96)&gt;Tolerance)</f>
        <v>0</v>
      </c>
      <c r="X20" s="49" t="n">
        <f aca="false">N((Calc_1!X$4&gt;=Calc_1!$F18)*ABS(Calc_1!X96)&gt;Tolerance)</f>
        <v>0</v>
      </c>
      <c r="Y20" s="49" t="n">
        <f aca="false">N((Calc_1!Y$4&gt;=Calc_1!$F18)*ABS(Calc_1!Y96)&gt;Tolerance)</f>
        <v>0</v>
      </c>
      <c r="Z20" s="49" t="n">
        <f aca="false">N((Calc_1!Z$4&gt;=Calc_1!$F18)*ABS(Calc_1!Z96)&gt;Tolerance)</f>
        <v>0</v>
      </c>
      <c r="AA20" s="49" t="n">
        <f aca="false">N((Calc_1!AA$4&gt;=Calc_1!$F18)*ABS(Calc_1!AA96)&gt;Tolerance)</f>
        <v>0</v>
      </c>
      <c r="AB20" s="49" t="n">
        <f aca="false">N((Calc_1!AB$4&gt;=Calc_1!$F18)*ABS(Calc_1!AB96)&gt;Tolerance)</f>
        <v>0</v>
      </c>
      <c r="AC20" s="49" t="n">
        <f aca="false">N((Calc_1!AC$4&gt;=Calc_1!$F18)*ABS(Calc_1!AC96)&gt;Tolerance)</f>
        <v>0</v>
      </c>
      <c r="AD20" s="49" t="n">
        <f aca="false">N((Calc_1!AD$4&gt;=Calc_1!$F18)*ABS(Calc_1!AD96)&gt;Tolerance)</f>
        <v>0</v>
      </c>
      <c r="AE20" s="49" t="n">
        <f aca="false">N((Calc_1!AE$4&gt;=Calc_1!$F18)*ABS(Calc_1!AE96)&gt;Tolerance)</f>
        <v>0</v>
      </c>
      <c r="AF20" s="49" t="n">
        <f aca="false">N((Calc_1!AF$4&gt;=Calc_1!$F18)*ABS(Calc_1!AF96)&gt;Tolerance)</f>
        <v>0</v>
      </c>
      <c r="AG20" s="49" t="n">
        <f aca="false">N((Calc_1!AG$4&gt;=Calc_1!$F18)*ABS(Calc_1!AG96)&gt;Tolerance)</f>
        <v>0</v>
      </c>
      <c r="AH20" s="49" t="n">
        <f aca="false">N((Calc_1!AH$4&gt;=Calc_1!$F18)*ABS(Calc_1!AH96)&gt;Tolerance)</f>
        <v>0</v>
      </c>
      <c r="AI20" s="49" t="n">
        <f aca="false">N((Calc_1!AI$4&gt;=Calc_1!$F18)*ABS(Calc_1!AI96)&gt;Tolerance)</f>
        <v>0</v>
      </c>
      <c r="AJ20" s="49" t="n">
        <f aca="false">N((Calc_1!AJ$4&gt;=Calc_1!$F18)*ABS(Calc_1!AJ96)&gt;Tolerance)</f>
        <v>0</v>
      </c>
      <c r="AK20" s="49" t="n">
        <f aca="false">N((Calc_1!AK$4&gt;=Calc_1!$F18)*ABS(Calc_1!AK96)&gt;Tolerance)</f>
        <v>0</v>
      </c>
      <c r="AL20" s="49" t="n">
        <f aca="false">N((Calc_1!AL$4&gt;=Calc_1!$F18)*ABS(Calc_1!AL96)&gt;Tolerance)</f>
        <v>0</v>
      </c>
      <c r="AM20" s="49" t="n">
        <f aca="false">N((Calc_1!AM$4&gt;=Calc_1!$F18)*ABS(Calc_1!AM96)&gt;Tolerance)</f>
        <v>0</v>
      </c>
      <c r="AN20" s="49" t="n">
        <f aca="false">N((Calc_1!AN$4&gt;=Calc_1!$F18)*ABS(Calc_1!AN96)&gt;Tolerance)</f>
        <v>0</v>
      </c>
      <c r="AO20" s="49" t="n">
        <f aca="false">N((Calc_1!AO$4&gt;=Calc_1!$F18)*ABS(Calc_1!AO96)&gt;Tolerance)</f>
        <v>0</v>
      </c>
      <c r="AP20" s="49" t="n">
        <f aca="false">N((Calc_1!AP$4&gt;=Calc_1!$F18)*ABS(Calc_1!AP96)&gt;Tolerance)</f>
        <v>0</v>
      </c>
      <c r="AQ20" s="49" t="n">
        <f aca="false">N((Calc_1!AQ$4&gt;=Calc_1!$F18)*ABS(Calc_1!AQ96)&gt;Tolerance)</f>
        <v>0</v>
      </c>
      <c r="AR20" s="49" t="n">
        <f aca="false">N((Calc_1!AR$4&gt;=Calc_1!$F18)*ABS(Calc_1!AR96)&gt;Tolerance)</f>
        <v>0</v>
      </c>
      <c r="AS20" s="49" t="n">
        <f aca="false">N((Calc_1!AS$4&gt;=Calc_1!$F18)*ABS(Calc_1!AS96)&gt;Tolerance)</f>
        <v>0</v>
      </c>
      <c r="AT20" s="49" t="n">
        <f aca="false">N((Calc_1!AT$4&gt;=Calc_1!$F18)*ABS(Calc_1!AT96)&gt;Tolerance)</f>
        <v>0</v>
      </c>
      <c r="AU20" s="49" t="n">
        <f aca="false">N((Calc_1!AU$4&gt;=Calc_1!$F18)*ABS(Calc_1!AU96)&gt;Tolerance)</f>
        <v>0</v>
      </c>
      <c r="AV20" s="49" t="n">
        <f aca="false">N((Calc_1!AV$4&gt;=Calc_1!$F18)*ABS(Calc_1!AV96)&gt;Tolerance)</f>
        <v>0</v>
      </c>
      <c r="AW20" s="49" t="n">
        <f aca="false">N((Calc_1!AW$4&gt;=Calc_1!$F18)*ABS(Calc_1!AW96)&gt;Tolerance)</f>
        <v>0</v>
      </c>
      <c r="AX20" s="49" t="n">
        <f aca="false">N((Calc_1!AX$4&gt;=Calc_1!$F18)*ABS(Calc_1!AX96)&gt;Tolerance)</f>
        <v>0</v>
      </c>
      <c r="AY20" s="49" t="n">
        <f aca="false">N((Calc_1!AY$4&gt;=Calc_1!$F18)*ABS(Calc_1!AY96)&gt;Tolerance)</f>
        <v>0</v>
      </c>
      <c r="AZ20" s="49" t="n">
        <f aca="false">N((Calc_1!AZ$4&gt;=Calc_1!$F18)*ABS(Calc_1!AZ96)&gt;Tolerance)</f>
        <v>0</v>
      </c>
      <c r="BA20" s="49" t="n">
        <f aca="false">N((Calc_1!BA$4&gt;=Calc_1!$F18)*ABS(Calc_1!BA96)&gt;Tolerance)</f>
        <v>0</v>
      </c>
      <c r="BB20" s="49" t="n">
        <f aca="false">N((Calc_1!BB$4&gt;=Calc_1!$F18)*ABS(Calc_1!BB96)&gt;Tolerance)</f>
        <v>0</v>
      </c>
      <c r="BC20" s="49" t="n">
        <f aca="false">N((Calc_1!BC$4&gt;=Calc_1!$F18)*ABS(Calc_1!BC96)&gt;Tolerance)</f>
        <v>0</v>
      </c>
      <c r="BD20" s="49" t="n">
        <f aca="false">N((Calc_1!BD$4&gt;=Calc_1!$F18)*ABS(Calc_1!BD96)&gt;Tolerance)</f>
        <v>0</v>
      </c>
      <c r="BE20" s="49" t="n">
        <f aca="false">N((Calc_1!BE$4&gt;=Calc_1!$F18)*ABS(Calc_1!BE96)&gt;Tolerance)</f>
        <v>0</v>
      </c>
      <c r="BF20" s="49" t="n">
        <f aca="false">N((Calc_1!BF$4&gt;=Calc_1!$F18)*ABS(Calc_1!BF96)&gt;Tolerance)</f>
        <v>0</v>
      </c>
      <c r="BG20" s="49" t="n">
        <f aca="false">N((Calc_1!BG$4&gt;=Calc_1!$F18)*ABS(Calc_1!BG96)&gt;Tolerance)</f>
        <v>0</v>
      </c>
      <c r="BH20" s="49" t="n">
        <f aca="false">N((Calc_1!BH$4&gt;=Calc_1!$F18)*ABS(Calc_1!BH96)&gt;Tolerance)</f>
        <v>0</v>
      </c>
      <c r="BI20" s="49" t="n">
        <f aca="false">N((Calc_1!BI$4&gt;=Calc_1!$F18)*ABS(Calc_1!BI96)&gt;Tolerance)</f>
        <v>0</v>
      </c>
      <c r="BJ20" s="49" t="n">
        <f aca="false">N((Calc_1!BJ$4&gt;=Calc_1!$F18)*ABS(Calc_1!BJ96)&gt;Tolerance)</f>
        <v>0</v>
      </c>
      <c r="BK20" s="49" t="n">
        <f aca="false">N((Calc_1!BK$4&gt;=Calc_1!$F18)*ABS(Calc_1!BK96)&gt;Tolerance)</f>
        <v>0</v>
      </c>
      <c r="BL20" s="49" t="n">
        <f aca="false">N((Calc_1!BL$4&gt;=Calc_1!$F18)*ABS(Calc_1!BL96)&gt;Tolerance)</f>
        <v>0</v>
      </c>
      <c r="BM20" s="49" t="n">
        <f aca="false">N((Calc_1!BM$4&gt;=Calc_1!$F18)*ABS(Calc_1!BM96)&gt;Tolerance)</f>
        <v>0</v>
      </c>
      <c r="BN20" s="49" t="n">
        <f aca="false">N((Calc_1!BN$4&gt;=Calc_1!$F18)*ABS(Calc_1!BN96)&gt;Tolerance)</f>
        <v>0</v>
      </c>
      <c r="BO20" s="49" t="n">
        <f aca="false">N((Calc_1!BO$4&gt;=Calc_1!$F18)*ABS(Calc_1!BO96)&gt;Tolerance)</f>
        <v>0</v>
      </c>
      <c r="BP20" s="49" t="n">
        <f aca="false">N((Calc_1!BP$4&gt;=Calc_1!$F18)*ABS(Calc_1!BP96)&gt;Tolerance)</f>
        <v>0</v>
      </c>
      <c r="BQ20" s="49" t="n">
        <f aca="false">N((Calc_1!BQ$4&gt;=Calc_1!$F18)*ABS(Calc_1!BQ96)&gt;Tolerance)</f>
        <v>0</v>
      </c>
      <c r="BR20" s="49" t="n">
        <f aca="false">N((Calc_1!BR$4&gt;=Calc_1!$F18)*ABS(Calc_1!BR96)&gt;Tolerance)</f>
        <v>0</v>
      </c>
      <c r="BS20" s="49" t="n">
        <f aca="false">N((Calc_1!BS$4&gt;=Calc_1!$F18)*ABS(Calc_1!BS96)&gt;Tolerance)</f>
        <v>0</v>
      </c>
      <c r="BT20" s="49" t="n">
        <f aca="false">N((Calc_1!BT$4&gt;=Calc_1!$F18)*ABS(Calc_1!BT96)&gt;Tolerance)</f>
        <v>0</v>
      </c>
      <c r="BU20" s="49" t="n">
        <f aca="false">N((Calc_1!BU$4&gt;=Calc_1!$F18)*ABS(Calc_1!BU96)&gt;Tolerance)</f>
        <v>0</v>
      </c>
      <c r="BV20" s="49" t="n">
        <f aca="false">N((Calc_1!BV$4&gt;=Calc_1!$F18)*ABS(Calc_1!BV96)&gt;Tolerance)</f>
        <v>0</v>
      </c>
      <c r="BW20" s="49" t="n">
        <f aca="false">N((Calc_1!BW$4&gt;=Calc_1!$F18)*ABS(Calc_1!BW96)&gt;Tolerance)</f>
        <v>0</v>
      </c>
      <c r="BX20" s="49" t="n">
        <f aca="false">N((Calc_1!BX$4&gt;=Calc_1!$F18)*ABS(Calc_1!BX96)&gt;Tolerance)</f>
        <v>0</v>
      </c>
      <c r="BY20" s="49" t="n">
        <f aca="false">N((Calc_1!BY$4&gt;=Calc_1!$F18)*ABS(Calc_1!BY96)&gt;Tolerance)</f>
        <v>0</v>
      </c>
      <c r="BZ20" s="49" t="n">
        <f aca="false">N((Calc_1!BZ$4&gt;=Calc_1!$F18)*ABS(Calc_1!BZ96)&gt;Tolerance)</f>
        <v>0</v>
      </c>
      <c r="CA20" s="49" t="n">
        <f aca="false">N((Calc_1!CA$4&gt;=Calc_1!$F18)*ABS(Calc_1!CA96)&gt;Tolerance)</f>
        <v>0</v>
      </c>
      <c r="CB20" s="49" t="n">
        <f aca="false">N((Calc_1!CB$4&gt;=Calc_1!$F18)*ABS(Calc_1!CB96)&gt;Tolerance)</f>
        <v>0</v>
      </c>
      <c r="CC20" s="49" t="n">
        <f aca="false">N((Calc_1!CC$4&gt;=Calc_1!$F18)*ABS(Calc_1!CC96)&gt;Tolerance)</f>
        <v>0</v>
      </c>
      <c r="CD20" s="49" t="n">
        <f aca="false">N((Calc_1!CD$4&gt;=Calc_1!$F18)*ABS(Calc_1!CD96)&gt;Tolerance)</f>
        <v>0</v>
      </c>
      <c r="CE20" s="49" t="n">
        <f aca="false">N((Calc_1!CE$4&gt;=Calc_1!$F18)*ABS(Calc_1!CE96)&gt;Tolerance)</f>
        <v>0</v>
      </c>
      <c r="CF20" s="49" t="n">
        <f aca="false">N((Calc_1!CF$4&gt;=Calc_1!$F18)*ABS(Calc_1!CF96)&gt;Tolerance)</f>
        <v>0</v>
      </c>
      <c r="CG20" s="49" t="n">
        <f aca="false">N((Calc_1!CG$4&gt;=Calc_1!$F18)*ABS(Calc_1!CG96)&gt;Tolerance)</f>
        <v>0</v>
      </c>
      <c r="CH20" s="49" t="n">
        <f aca="false">N((Calc_1!CH$4&gt;=Calc_1!$F18)*ABS(Calc_1!CH96)&gt;Tolerance)</f>
        <v>0</v>
      </c>
      <c r="CI20" s="49" t="n">
        <f aca="false">N((Calc_1!CI$4&gt;=Calc_1!$F18)*ABS(Calc_1!CI96)&gt;Tolerance)</f>
        <v>0</v>
      </c>
      <c r="CJ20" s="49" t="n">
        <f aca="false">N((Calc_1!CJ$4&gt;=Calc_1!$F18)*ABS(Calc_1!CJ96)&gt;Tolerance)</f>
        <v>0</v>
      </c>
      <c r="CK20" s="49" t="n">
        <f aca="false">N((Calc_1!CK$4&gt;=Calc_1!$F18)*ABS(Calc_1!CK96)&gt;Tolerance)</f>
        <v>0</v>
      </c>
      <c r="CL20" s="49" t="n">
        <f aca="false">N((Calc_1!CL$4&gt;=Calc_1!$F18)*ABS(Calc_1!CL96)&gt;Tolerance)</f>
        <v>0</v>
      </c>
      <c r="CM20" s="49" t="n">
        <f aca="false">N((Calc_1!CM$4&gt;=Calc_1!$F18)*ABS(Calc_1!CM96)&gt;Tolerance)</f>
        <v>0</v>
      </c>
      <c r="CN20" s="49" t="n">
        <f aca="false">N((Calc_1!CN$4&gt;=Calc_1!$F18)*ABS(Calc_1!CN96)&gt;Tolerance)</f>
        <v>0</v>
      </c>
      <c r="CO20" s="49" t="n">
        <f aca="false">N((Calc_1!CO$4&gt;=Calc_1!$F18)*ABS(Calc_1!CO96)&gt;Tolerance)</f>
        <v>0</v>
      </c>
      <c r="CP20" s="49" t="n">
        <f aca="false">N((Calc_1!CP$4&gt;=Calc_1!$F18)*ABS(Calc_1!CP96)&gt;Tolerance)</f>
        <v>0</v>
      </c>
      <c r="CQ20" s="49" t="n">
        <f aca="false">N((Calc_1!CQ$4&gt;=Calc_1!$F18)*ABS(Calc_1!CQ96)&gt;Tolerance)</f>
        <v>0</v>
      </c>
      <c r="CR20" s="49" t="n">
        <f aca="false">N((Calc_1!CR$4&gt;=Calc_1!$F18)*ABS(Calc_1!CR96)&gt;Tolerance)</f>
        <v>0</v>
      </c>
      <c r="CS20" s="49" t="n">
        <f aca="false">N((Calc_1!CS$4&gt;=Calc_1!$F18)*ABS(Calc_1!CS96)&gt;Tolerance)</f>
        <v>0</v>
      </c>
      <c r="CT20" s="49" t="n">
        <f aca="false">N((Calc_1!CT$4&gt;=Calc_1!$F18)*ABS(Calc_1!CT96)&gt;Tolerance)</f>
        <v>0</v>
      </c>
      <c r="CU20" s="49" t="n">
        <f aca="false">N((Calc_1!CU$4&gt;=Calc_1!$F18)*ABS(Calc_1!CU96)&gt;Tolerance)</f>
        <v>0</v>
      </c>
      <c r="CV20" s="49" t="n">
        <f aca="false">N((Calc_1!CV$4&gt;=Calc_1!$F18)*ABS(Calc_1!CV96)&gt;Tolerance)</f>
        <v>0</v>
      </c>
      <c r="CW20" s="49" t="n">
        <f aca="false">N((Calc_1!CW$4&gt;=Calc_1!$F18)*ABS(Calc_1!CW96)&gt;Tolerance)</f>
        <v>0</v>
      </c>
      <c r="CX20" s="49" t="n">
        <f aca="false">N((Calc_1!CX$4&gt;=Calc_1!$F18)*ABS(Calc_1!CX96)&gt;Tolerance)</f>
        <v>0</v>
      </c>
      <c r="CY20" s="49" t="n">
        <f aca="false">N((Calc_1!CY$4&gt;=Calc_1!$F18)*ABS(Calc_1!CY96)&gt;Tolerance)</f>
        <v>0</v>
      </c>
      <c r="CZ20" s="49" t="n">
        <f aca="false">N((Calc_1!CZ$4&gt;=Calc_1!$F18)*ABS(Calc_1!CZ96)&gt;Tolerance)</f>
        <v>0</v>
      </c>
      <c r="DA20" s="49" t="n">
        <f aca="false">N((Calc_1!DA$4&gt;=Calc_1!$F18)*ABS(Calc_1!DA96)&gt;Tolerance)</f>
        <v>0</v>
      </c>
      <c r="DB20" s="49" t="n">
        <f aca="false">N((Calc_1!DB$4&gt;=Calc_1!$F18)*ABS(Calc_1!DB96)&gt;Tolerance)</f>
        <v>0</v>
      </c>
      <c r="DC20" s="49" t="n">
        <f aca="false">N((Calc_1!DC$4&gt;=Calc_1!$F18)*ABS(Calc_1!DC96)&gt;Tolerance)</f>
        <v>0</v>
      </c>
      <c r="DD20" s="49" t="n">
        <f aca="false">N((Calc_1!DD$4&gt;=Calc_1!$F18)*ABS(Calc_1!DD96)&gt;Tolerance)</f>
        <v>0</v>
      </c>
      <c r="DE20" s="49" t="n">
        <f aca="false">N((Calc_1!DE$4&gt;=Calc_1!$F18)*ABS(Calc_1!DE96)&gt;Tolerance)</f>
        <v>0</v>
      </c>
      <c r="DF20" s="49" t="n">
        <f aca="false">N((Calc_1!DF$4&gt;=Calc_1!$F18)*ABS(Calc_1!DF96)&gt;Tolerance)</f>
        <v>0</v>
      </c>
      <c r="DG20" s="49" t="n">
        <f aca="false">N((Calc_1!DG$4&gt;=Calc_1!$F18)*ABS(Calc_1!DG96)&gt;Tolerance)</f>
        <v>0</v>
      </c>
      <c r="DH20" s="49" t="n">
        <f aca="false">N((Calc_1!DH$4&gt;=Calc_1!$F18)*ABS(Calc_1!DH96)&gt;Tolerance)</f>
        <v>0</v>
      </c>
      <c r="DI20" s="49" t="n">
        <f aca="false">N((Calc_1!DI$4&gt;=Calc_1!$F18)*ABS(Calc_1!DI96)&gt;Tolerance)</f>
        <v>0</v>
      </c>
      <c r="DJ20" s="49" t="n">
        <f aca="false">N((Calc_1!DJ$4&gt;=Calc_1!$F18)*ABS(Calc_1!DJ96)&gt;Tolerance)</f>
        <v>0</v>
      </c>
      <c r="DK20" s="49" t="n">
        <f aca="false">N((Calc_1!DK$4&gt;=Calc_1!$F18)*ABS(Calc_1!DK96)&gt;Tolerance)</f>
        <v>0</v>
      </c>
      <c r="DL20" s="49" t="n">
        <f aca="false">N((Calc_1!DL$4&gt;=Calc_1!$F18)*ABS(Calc_1!DL96)&gt;Tolerance)</f>
        <v>0</v>
      </c>
      <c r="DM20" s="49" t="n">
        <f aca="false">N((Calc_1!DM$4&gt;=Calc_1!$F18)*ABS(Calc_1!DM96)&gt;Tolerance)</f>
        <v>0</v>
      </c>
      <c r="DN20" s="49" t="n">
        <f aca="false">N((Calc_1!DN$4&gt;=Calc_1!$F18)*ABS(Calc_1!DN96)&gt;Tolerance)</f>
        <v>0</v>
      </c>
      <c r="DO20" s="49" t="n">
        <f aca="false">N((Calc_1!DO$4&gt;=Calc_1!$F18)*ABS(Calc_1!DO96)&gt;Tolerance)</f>
        <v>0</v>
      </c>
      <c r="DP20" s="49" t="n">
        <f aca="false">N((Calc_1!DP$4&gt;=Calc_1!$F18)*ABS(Calc_1!DP96)&gt;Tolerance)</f>
        <v>0</v>
      </c>
      <c r="DQ20" s="49" t="n">
        <f aca="false">N((Calc_1!DQ$4&gt;=Calc_1!$F18)*ABS(Calc_1!DQ96)&gt;Tolerance)</f>
        <v>0</v>
      </c>
      <c r="DR20" s="49" t="n">
        <f aca="false">N((Calc_1!DR$4&gt;=Calc_1!$F18)*ABS(Calc_1!DR96)&gt;Tolerance)</f>
        <v>0</v>
      </c>
      <c r="DS20" s="49" t="n">
        <f aca="false">N((Calc_1!DS$4&gt;=Calc_1!$F18)*ABS(Calc_1!DS96)&gt;Tolerance)</f>
        <v>0</v>
      </c>
      <c r="DT20" s="49" t="n">
        <f aca="false">N((Calc_1!DT$4&gt;=Calc_1!$F18)*ABS(Calc_1!DT96)&gt;Tolerance)</f>
        <v>0</v>
      </c>
      <c r="DU20" s="49" t="n">
        <f aca="false">N((Calc_1!DU$4&gt;=Calc_1!$F18)*ABS(Calc_1!DU96)&gt;Tolerance)</f>
        <v>0</v>
      </c>
      <c r="DV20" s="49" t="n">
        <f aca="false">N((Calc_1!DV$4&gt;=Calc_1!$F18)*ABS(Calc_1!DV96)&gt;Tolerance)</f>
        <v>0</v>
      </c>
      <c r="DW20" s="49" t="n">
        <f aca="false">N((Calc_1!DW$4&gt;=Calc_1!$F18)*ABS(Calc_1!DW96)&gt;Tolerance)</f>
        <v>0</v>
      </c>
      <c r="DX20" s="49" t="n">
        <f aca="false">N((Calc_1!DX$4&gt;=Calc_1!$F18)*ABS(Calc_1!DX96)&gt;Tolerance)</f>
        <v>0</v>
      </c>
      <c r="DY20" s="49" t="n">
        <f aca="false">N((Calc_1!DY$4&gt;=Calc_1!$F18)*ABS(Calc_1!DY96)&gt;Tolerance)</f>
        <v>0</v>
      </c>
      <c r="DZ20" s="49" t="n">
        <f aca="false">N((Calc_1!DZ$4&gt;=Calc_1!$F18)*ABS(Calc_1!DZ96)&gt;Tolerance)</f>
        <v>0</v>
      </c>
      <c r="EA20" s="49" t="n">
        <f aca="false">N((Calc_1!EA$4&gt;=Calc_1!$F18)*ABS(Calc_1!EA96)&gt;Tolerance)</f>
        <v>0</v>
      </c>
      <c r="EB20" s="49" t="n">
        <f aca="false">N((Calc_1!EB$4&gt;=Calc_1!$F18)*ABS(Calc_1!EB96)&gt;Tolerance)</f>
        <v>0</v>
      </c>
      <c r="EC20" s="49" t="n">
        <f aca="false">N((Calc_1!EC$4&gt;=Calc_1!$F18)*ABS(Calc_1!EC96)&gt;Tolerance)</f>
        <v>0</v>
      </c>
      <c r="ED20" s="49" t="n">
        <f aca="false">N((Calc_1!ED$4&gt;=Calc_1!$F18)*ABS(Calc_1!ED96)&gt;Tolerance)</f>
        <v>0</v>
      </c>
      <c r="EE20" s="49" t="n">
        <f aca="false">N((Calc_1!EE$4&gt;=Calc_1!$F18)*ABS(Calc_1!EE96)&gt;Tolerance)</f>
        <v>0</v>
      </c>
      <c r="EF20" s="49" t="n">
        <f aca="false">N((Calc_1!EF$4&gt;=Calc_1!$F18)*ABS(Calc_1!EF96)&gt;Tolerance)</f>
        <v>0</v>
      </c>
      <c r="EG20" s="49" t="n">
        <f aca="false">N((Calc_1!EG$4&gt;=Calc_1!$F18)*ABS(Calc_1!EG96)&gt;Tolerance)</f>
        <v>0</v>
      </c>
      <c r="EH20" s="49" t="n">
        <f aca="false">N((Calc_1!EH$4&gt;=Calc_1!$F18)*ABS(Calc_1!EH96)&gt;Tolerance)</f>
        <v>0</v>
      </c>
      <c r="EI20" s="49" t="n">
        <f aca="false">N((Calc_1!EI$4&gt;=Calc_1!$F18)*ABS(Calc_1!EI96)&gt;Tolerance)</f>
        <v>0</v>
      </c>
      <c r="EJ20" s="49" t="n">
        <f aca="false">N((Calc_1!EJ$4&gt;=Calc_1!$F18)*ABS(Calc_1!EJ96)&gt;Tolerance)</f>
        <v>0</v>
      </c>
      <c r="EK20" s="49" t="n">
        <f aca="false">N((Calc_1!EK$4&gt;=Calc_1!$F18)*ABS(Calc_1!EK96)&gt;Tolerance)</f>
        <v>0</v>
      </c>
      <c r="EL20" s="49" t="n">
        <f aca="false">N((Calc_1!EL$4&gt;=Calc_1!$F18)*ABS(Calc_1!EL96)&gt;Tolerance)</f>
        <v>0</v>
      </c>
      <c r="EM20" s="49" t="n">
        <f aca="false">N((Calc_1!EM$4&gt;=Calc_1!$F18)*ABS(Calc_1!EM96)&gt;Tolerance)</f>
        <v>0</v>
      </c>
      <c r="EN20" s="49" t="n">
        <f aca="false">N((Calc_1!EN$4&gt;=Calc_1!$F18)*ABS(Calc_1!EN96)&gt;Tolerance)</f>
        <v>0</v>
      </c>
      <c r="EO20" s="49" t="n">
        <f aca="false">N((Calc_1!EO$4&gt;=Calc_1!$F18)*ABS(Calc_1!EO96)&gt;Tolerance)</f>
        <v>0</v>
      </c>
    </row>
    <row r="21" customFormat="false" ht="15" hidden="false" customHeight="false" outlineLevel="0" collapsed="false">
      <c r="C21" s="0" t="s">
        <v>501</v>
      </c>
      <c r="D21" s="11" t="s">
        <v>43</v>
      </c>
      <c r="E21" s="27" t="str">
        <f aca="false">IF(F21=0,"OK","CHECK")</f>
        <v>OK</v>
      </c>
      <c r="F21" s="49" t="n">
        <f aca="false">SUM(J21:EO21)</f>
        <v>0</v>
      </c>
      <c r="J21" s="49" t="n">
        <f aca="false">N((Calc_2!J$4&gt;=Calc_2!$F18)*ABS(Calc_2!J96)&gt;Tolerance)</f>
        <v>0</v>
      </c>
      <c r="K21" s="49" t="n">
        <f aca="false">N((Calc_2!K$4&gt;=Calc_2!$F18)*ABS(Calc_2!K96)&gt;Tolerance)</f>
        <v>0</v>
      </c>
      <c r="L21" s="49" t="n">
        <f aca="false">N((Calc_2!L$4&gt;=Calc_2!$F18)*ABS(Calc_2!L96)&gt;Tolerance)</f>
        <v>0</v>
      </c>
      <c r="M21" s="49" t="n">
        <f aca="false">N((Calc_2!M$4&gt;=Calc_2!$F18)*ABS(Calc_2!M96)&gt;Tolerance)</f>
        <v>0</v>
      </c>
      <c r="N21" s="49" t="n">
        <f aca="false">N((Calc_2!N$4&gt;=Calc_2!$F18)*ABS(Calc_2!N96)&gt;Tolerance)</f>
        <v>0</v>
      </c>
      <c r="O21" s="49" t="n">
        <f aca="false">N((Calc_2!O$4&gt;=Calc_2!$F18)*ABS(Calc_2!O96)&gt;Tolerance)</f>
        <v>0</v>
      </c>
      <c r="P21" s="49" t="n">
        <f aca="false">N((Calc_2!P$4&gt;=Calc_2!$F18)*ABS(Calc_2!P96)&gt;Tolerance)</f>
        <v>0</v>
      </c>
      <c r="Q21" s="49" t="n">
        <f aca="false">N((Calc_2!Q$4&gt;=Calc_2!$F18)*ABS(Calc_2!Q96)&gt;Tolerance)</f>
        <v>0</v>
      </c>
      <c r="R21" s="49" t="n">
        <f aca="false">N((Calc_2!R$4&gt;=Calc_2!$F18)*ABS(Calc_2!R96)&gt;Tolerance)</f>
        <v>0</v>
      </c>
      <c r="S21" s="49" t="n">
        <f aca="false">N((Calc_2!S$4&gt;=Calc_2!$F18)*ABS(Calc_2!S96)&gt;Tolerance)</f>
        <v>0</v>
      </c>
      <c r="T21" s="49" t="n">
        <f aca="false">N((Calc_2!T$4&gt;=Calc_2!$F18)*ABS(Calc_2!T96)&gt;Tolerance)</f>
        <v>0</v>
      </c>
      <c r="U21" s="49" t="n">
        <f aca="false">N((Calc_2!U$4&gt;=Calc_2!$F18)*ABS(Calc_2!U96)&gt;Tolerance)</f>
        <v>0</v>
      </c>
      <c r="V21" s="49" t="n">
        <f aca="false">N((Calc_2!V$4&gt;=Calc_2!$F18)*ABS(Calc_2!V96)&gt;Tolerance)</f>
        <v>0</v>
      </c>
      <c r="W21" s="49" t="n">
        <f aca="false">N((Calc_2!W$4&gt;=Calc_2!$F18)*ABS(Calc_2!W96)&gt;Tolerance)</f>
        <v>0</v>
      </c>
      <c r="X21" s="49" t="n">
        <f aca="false">N((Calc_2!X$4&gt;=Calc_2!$F18)*ABS(Calc_2!X96)&gt;Tolerance)</f>
        <v>0</v>
      </c>
      <c r="Y21" s="49" t="n">
        <f aca="false">N((Calc_2!Y$4&gt;=Calc_2!$F18)*ABS(Calc_2!Y96)&gt;Tolerance)</f>
        <v>0</v>
      </c>
      <c r="Z21" s="49" t="n">
        <f aca="false">N((Calc_2!Z$4&gt;=Calc_2!$F18)*ABS(Calc_2!Z96)&gt;Tolerance)</f>
        <v>0</v>
      </c>
      <c r="AA21" s="49" t="n">
        <f aca="false">N((Calc_2!AA$4&gt;=Calc_2!$F18)*ABS(Calc_2!AA96)&gt;Tolerance)</f>
        <v>0</v>
      </c>
      <c r="AB21" s="49" t="n">
        <f aca="false">N((Calc_2!AB$4&gt;=Calc_2!$F18)*ABS(Calc_2!AB96)&gt;Tolerance)</f>
        <v>0</v>
      </c>
      <c r="AC21" s="49" t="n">
        <f aca="false">N((Calc_2!AC$4&gt;=Calc_2!$F18)*ABS(Calc_2!AC96)&gt;Tolerance)</f>
        <v>0</v>
      </c>
      <c r="AD21" s="49" t="n">
        <f aca="false">N((Calc_2!AD$4&gt;=Calc_2!$F18)*ABS(Calc_2!AD96)&gt;Tolerance)</f>
        <v>0</v>
      </c>
      <c r="AE21" s="49" t="n">
        <f aca="false">N((Calc_2!AE$4&gt;=Calc_2!$F18)*ABS(Calc_2!AE96)&gt;Tolerance)</f>
        <v>0</v>
      </c>
      <c r="AF21" s="49" t="n">
        <f aca="false">N((Calc_2!AF$4&gt;=Calc_2!$F18)*ABS(Calc_2!AF96)&gt;Tolerance)</f>
        <v>0</v>
      </c>
      <c r="AG21" s="49" t="n">
        <f aca="false">N((Calc_2!AG$4&gt;=Calc_2!$F18)*ABS(Calc_2!AG96)&gt;Tolerance)</f>
        <v>0</v>
      </c>
      <c r="AH21" s="49" t="n">
        <f aca="false">N((Calc_2!AH$4&gt;=Calc_2!$F18)*ABS(Calc_2!AH96)&gt;Tolerance)</f>
        <v>0</v>
      </c>
      <c r="AI21" s="49" t="n">
        <f aca="false">N((Calc_2!AI$4&gt;=Calc_2!$F18)*ABS(Calc_2!AI96)&gt;Tolerance)</f>
        <v>0</v>
      </c>
      <c r="AJ21" s="49" t="n">
        <f aca="false">N((Calc_2!AJ$4&gt;=Calc_2!$F18)*ABS(Calc_2!AJ96)&gt;Tolerance)</f>
        <v>0</v>
      </c>
      <c r="AK21" s="49" t="n">
        <f aca="false">N((Calc_2!AK$4&gt;=Calc_2!$F18)*ABS(Calc_2!AK96)&gt;Tolerance)</f>
        <v>0</v>
      </c>
      <c r="AL21" s="49" t="n">
        <f aca="false">N((Calc_2!AL$4&gt;=Calc_2!$F18)*ABS(Calc_2!AL96)&gt;Tolerance)</f>
        <v>0</v>
      </c>
      <c r="AM21" s="49" t="n">
        <f aca="false">N((Calc_2!AM$4&gt;=Calc_2!$F18)*ABS(Calc_2!AM96)&gt;Tolerance)</f>
        <v>0</v>
      </c>
      <c r="AN21" s="49" t="n">
        <f aca="false">N((Calc_2!AN$4&gt;=Calc_2!$F18)*ABS(Calc_2!AN96)&gt;Tolerance)</f>
        <v>0</v>
      </c>
      <c r="AO21" s="49" t="n">
        <f aca="false">N((Calc_2!AO$4&gt;=Calc_2!$F18)*ABS(Calc_2!AO96)&gt;Tolerance)</f>
        <v>0</v>
      </c>
      <c r="AP21" s="49" t="n">
        <f aca="false">N((Calc_2!AP$4&gt;=Calc_2!$F18)*ABS(Calc_2!AP96)&gt;Tolerance)</f>
        <v>0</v>
      </c>
      <c r="AQ21" s="49" t="n">
        <f aca="false">N((Calc_2!AQ$4&gt;=Calc_2!$F18)*ABS(Calc_2!AQ96)&gt;Tolerance)</f>
        <v>0</v>
      </c>
      <c r="AR21" s="49" t="n">
        <f aca="false">N((Calc_2!AR$4&gt;=Calc_2!$F18)*ABS(Calc_2!AR96)&gt;Tolerance)</f>
        <v>0</v>
      </c>
      <c r="AS21" s="49" t="n">
        <f aca="false">N((Calc_2!AS$4&gt;=Calc_2!$F18)*ABS(Calc_2!AS96)&gt;Tolerance)</f>
        <v>0</v>
      </c>
      <c r="AT21" s="49" t="n">
        <f aca="false">N((Calc_2!AT$4&gt;=Calc_2!$F18)*ABS(Calc_2!AT96)&gt;Tolerance)</f>
        <v>0</v>
      </c>
      <c r="AU21" s="49" t="n">
        <f aca="false">N((Calc_2!AU$4&gt;=Calc_2!$F18)*ABS(Calc_2!AU96)&gt;Tolerance)</f>
        <v>0</v>
      </c>
      <c r="AV21" s="49" t="n">
        <f aca="false">N((Calc_2!AV$4&gt;=Calc_2!$F18)*ABS(Calc_2!AV96)&gt;Tolerance)</f>
        <v>0</v>
      </c>
      <c r="AW21" s="49" t="n">
        <f aca="false">N((Calc_2!AW$4&gt;=Calc_2!$F18)*ABS(Calc_2!AW96)&gt;Tolerance)</f>
        <v>0</v>
      </c>
      <c r="AX21" s="49" t="n">
        <f aca="false">N((Calc_2!AX$4&gt;=Calc_2!$F18)*ABS(Calc_2!AX96)&gt;Tolerance)</f>
        <v>0</v>
      </c>
      <c r="AY21" s="49" t="n">
        <f aca="false">N((Calc_2!AY$4&gt;=Calc_2!$F18)*ABS(Calc_2!AY96)&gt;Tolerance)</f>
        <v>0</v>
      </c>
      <c r="AZ21" s="49" t="n">
        <f aca="false">N((Calc_2!AZ$4&gt;=Calc_2!$F18)*ABS(Calc_2!AZ96)&gt;Tolerance)</f>
        <v>0</v>
      </c>
      <c r="BA21" s="49" t="n">
        <f aca="false">N((Calc_2!BA$4&gt;=Calc_2!$F18)*ABS(Calc_2!BA96)&gt;Tolerance)</f>
        <v>0</v>
      </c>
      <c r="BB21" s="49" t="n">
        <f aca="false">N((Calc_2!BB$4&gt;=Calc_2!$F18)*ABS(Calc_2!BB96)&gt;Tolerance)</f>
        <v>0</v>
      </c>
      <c r="BC21" s="49" t="n">
        <f aca="false">N((Calc_2!BC$4&gt;=Calc_2!$F18)*ABS(Calc_2!BC96)&gt;Tolerance)</f>
        <v>0</v>
      </c>
      <c r="BD21" s="49" t="n">
        <f aca="false">N((Calc_2!BD$4&gt;=Calc_2!$F18)*ABS(Calc_2!BD96)&gt;Tolerance)</f>
        <v>0</v>
      </c>
      <c r="BE21" s="49" t="n">
        <f aca="false">N((Calc_2!BE$4&gt;=Calc_2!$F18)*ABS(Calc_2!BE96)&gt;Tolerance)</f>
        <v>0</v>
      </c>
      <c r="BF21" s="49" t="n">
        <f aca="false">N((Calc_2!BF$4&gt;=Calc_2!$F18)*ABS(Calc_2!BF96)&gt;Tolerance)</f>
        <v>0</v>
      </c>
      <c r="BG21" s="49" t="n">
        <f aca="false">N((Calc_2!BG$4&gt;=Calc_2!$F18)*ABS(Calc_2!BG96)&gt;Tolerance)</f>
        <v>0</v>
      </c>
      <c r="BH21" s="49" t="n">
        <f aca="false">N((Calc_2!BH$4&gt;=Calc_2!$F18)*ABS(Calc_2!BH96)&gt;Tolerance)</f>
        <v>0</v>
      </c>
      <c r="BI21" s="49" t="n">
        <f aca="false">N((Calc_2!BI$4&gt;=Calc_2!$F18)*ABS(Calc_2!BI96)&gt;Tolerance)</f>
        <v>0</v>
      </c>
      <c r="BJ21" s="49" t="n">
        <f aca="false">N((Calc_2!BJ$4&gt;=Calc_2!$F18)*ABS(Calc_2!BJ96)&gt;Tolerance)</f>
        <v>0</v>
      </c>
      <c r="BK21" s="49" t="n">
        <f aca="false">N((Calc_2!BK$4&gt;=Calc_2!$F18)*ABS(Calc_2!BK96)&gt;Tolerance)</f>
        <v>0</v>
      </c>
      <c r="BL21" s="49" t="n">
        <f aca="false">N((Calc_2!BL$4&gt;=Calc_2!$F18)*ABS(Calc_2!BL96)&gt;Tolerance)</f>
        <v>0</v>
      </c>
      <c r="BM21" s="49" t="n">
        <f aca="false">N((Calc_2!BM$4&gt;=Calc_2!$F18)*ABS(Calc_2!BM96)&gt;Tolerance)</f>
        <v>0</v>
      </c>
      <c r="BN21" s="49" t="n">
        <f aca="false">N((Calc_2!BN$4&gt;=Calc_2!$F18)*ABS(Calc_2!BN96)&gt;Tolerance)</f>
        <v>0</v>
      </c>
      <c r="BO21" s="49" t="n">
        <f aca="false">N((Calc_2!BO$4&gt;=Calc_2!$F18)*ABS(Calc_2!BO96)&gt;Tolerance)</f>
        <v>0</v>
      </c>
      <c r="BP21" s="49" t="n">
        <f aca="false">N((Calc_2!BP$4&gt;=Calc_2!$F18)*ABS(Calc_2!BP96)&gt;Tolerance)</f>
        <v>0</v>
      </c>
      <c r="BQ21" s="49" t="n">
        <f aca="false">N((Calc_2!BQ$4&gt;=Calc_2!$F18)*ABS(Calc_2!BQ96)&gt;Tolerance)</f>
        <v>0</v>
      </c>
      <c r="BR21" s="49" t="n">
        <f aca="false">N((Calc_2!BR$4&gt;=Calc_2!$F18)*ABS(Calc_2!BR96)&gt;Tolerance)</f>
        <v>0</v>
      </c>
      <c r="BS21" s="49" t="n">
        <f aca="false">N((Calc_2!BS$4&gt;=Calc_2!$F18)*ABS(Calc_2!BS96)&gt;Tolerance)</f>
        <v>0</v>
      </c>
      <c r="BT21" s="49" t="n">
        <f aca="false">N((Calc_2!BT$4&gt;=Calc_2!$F18)*ABS(Calc_2!BT96)&gt;Tolerance)</f>
        <v>0</v>
      </c>
      <c r="BU21" s="49" t="n">
        <f aca="false">N((Calc_2!BU$4&gt;=Calc_2!$F18)*ABS(Calc_2!BU96)&gt;Tolerance)</f>
        <v>0</v>
      </c>
      <c r="BV21" s="49" t="n">
        <f aca="false">N((Calc_2!BV$4&gt;=Calc_2!$F18)*ABS(Calc_2!BV96)&gt;Tolerance)</f>
        <v>0</v>
      </c>
      <c r="BW21" s="49" t="n">
        <f aca="false">N((Calc_2!BW$4&gt;=Calc_2!$F18)*ABS(Calc_2!BW96)&gt;Tolerance)</f>
        <v>0</v>
      </c>
      <c r="BX21" s="49" t="n">
        <f aca="false">N((Calc_2!BX$4&gt;=Calc_2!$F18)*ABS(Calc_2!BX96)&gt;Tolerance)</f>
        <v>0</v>
      </c>
      <c r="BY21" s="49" t="n">
        <f aca="false">N((Calc_2!BY$4&gt;=Calc_2!$F18)*ABS(Calc_2!BY96)&gt;Tolerance)</f>
        <v>0</v>
      </c>
      <c r="BZ21" s="49" t="n">
        <f aca="false">N((Calc_2!BZ$4&gt;=Calc_2!$F18)*ABS(Calc_2!BZ96)&gt;Tolerance)</f>
        <v>0</v>
      </c>
      <c r="CA21" s="49" t="n">
        <f aca="false">N((Calc_2!CA$4&gt;=Calc_2!$F18)*ABS(Calc_2!CA96)&gt;Tolerance)</f>
        <v>0</v>
      </c>
      <c r="CB21" s="49" t="n">
        <f aca="false">N((Calc_2!CB$4&gt;=Calc_2!$F18)*ABS(Calc_2!CB96)&gt;Tolerance)</f>
        <v>0</v>
      </c>
      <c r="CC21" s="49" t="n">
        <f aca="false">N((Calc_2!CC$4&gt;=Calc_2!$F18)*ABS(Calc_2!CC96)&gt;Tolerance)</f>
        <v>0</v>
      </c>
      <c r="CD21" s="49" t="n">
        <f aca="false">N((Calc_2!CD$4&gt;=Calc_2!$F18)*ABS(Calc_2!CD96)&gt;Tolerance)</f>
        <v>0</v>
      </c>
      <c r="CE21" s="49" t="n">
        <f aca="false">N((Calc_2!CE$4&gt;=Calc_2!$F18)*ABS(Calc_2!CE96)&gt;Tolerance)</f>
        <v>0</v>
      </c>
      <c r="CF21" s="49" t="n">
        <f aca="false">N((Calc_2!CF$4&gt;=Calc_2!$F18)*ABS(Calc_2!CF96)&gt;Tolerance)</f>
        <v>0</v>
      </c>
      <c r="CG21" s="49" t="n">
        <f aca="false">N((Calc_2!CG$4&gt;=Calc_2!$F18)*ABS(Calc_2!CG96)&gt;Tolerance)</f>
        <v>0</v>
      </c>
      <c r="CH21" s="49" t="n">
        <f aca="false">N((Calc_2!CH$4&gt;=Calc_2!$F18)*ABS(Calc_2!CH96)&gt;Tolerance)</f>
        <v>0</v>
      </c>
      <c r="CI21" s="49" t="n">
        <f aca="false">N((Calc_2!CI$4&gt;=Calc_2!$F18)*ABS(Calc_2!CI96)&gt;Tolerance)</f>
        <v>0</v>
      </c>
      <c r="CJ21" s="49" t="n">
        <f aca="false">N((Calc_2!CJ$4&gt;=Calc_2!$F18)*ABS(Calc_2!CJ96)&gt;Tolerance)</f>
        <v>0</v>
      </c>
      <c r="CK21" s="49" t="n">
        <f aca="false">N((Calc_2!CK$4&gt;=Calc_2!$F18)*ABS(Calc_2!CK96)&gt;Tolerance)</f>
        <v>0</v>
      </c>
      <c r="CL21" s="49" t="n">
        <f aca="false">N((Calc_2!CL$4&gt;=Calc_2!$F18)*ABS(Calc_2!CL96)&gt;Tolerance)</f>
        <v>0</v>
      </c>
      <c r="CM21" s="49" t="n">
        <f aca="false">N((Calc_2!CM$4&gt;=Calc_2!$F18)*ABS(Calc_2!CM96)&gt;Tolerance)</f>
        <v>0</v>
      </c>
      <c r="CN21" s="49" t="n">
        <f aca="false">N((Calc_2!CN$4&gt;=Calc_2!$F18)*ABS(Calc_2!CN96)&gt;Tolerance)</f>
        <v>0</v>
      </c>
      <c r="CO21" s="49" t="n">
        <f aca="false">N((Calc_2!CO$4&gt;=Calc_2!$F18)*ABS(Calc_2!CO96)&gt;Tolerance)</f>
        <v>0</v>
      </c>
      <c r="CP21" s="49" t="n">
        <f aca="false">N((Calc_2!CP$4&gt;=Calc_2!$F18)*ABS(Calc_2!CP96)&gt;Tolerance)</f>
        <v>0</v>
      </c>
      <c r="CQ21" s="49" t="n">
        <f aca="false">N((Calc_2!CQ$4&gt;=Calc_2!$F18)*ABS(Calc_2!CQ96)&gt;Tolerance)</f>
        <v>0</v>
      </c>
      <c r="CR21" s="49" t="n">
        <f aca="false">N((Calc_2!CR$4&gt;=Calc_2!$F18)*ABS(Calc_2!CR96)&gt;Tolerance)</f>
        <v>0</v>
      </c>
      <c r="CS21" s="49" t="n">
        <f aca="false">N((Calc_2!CS$4&gt;=Calc_2!$F18)*ABS(Calc_2!CS96)&gt;Tolerance)</f>
        <v>0</v>
      </c>
      <c r="CT21" s="49" t="n">
        <f aca="false">N((Calc_2!CT$4&gt;=Calc_2!$F18)*ABS(Calc_2!CT96)&gt;Tolerance)</f>
        <v>0</v>
      </c>
      <c r="CU21" s="49" t="n">
        <f aca="false">N((Calc_2!CU$4&gt;=Calc_2!$F18)*ABS(Calc_2!CU96)&gt;Tolerance)</f>
        <v>0</v>
      </c>
      <c r="CV21" s="49" t="n">
        <f aca="false">N((Calc_2!CV$4&gt;=Calc_2!$F18)*ABS(Calc_2!CV96)&gt;Tolerance)</f>
        <v>0</v>
      </c>
      <c r="CW21" s="49" t="n">
        <f aca="false">N((Calc_2!CW$4&gt;=Calc_2!$F18)*ABS(Calc_2!CW96)&gt;Tolerance)</f>
        <v>0</v>
      </c>
      <c r="CX21" s="49" t="n">
        <f aca="false">N((Calc_2!CX$4&gt;=Calc_2!$F18)*ABS(Calc_2!CX96)&gt;Tolerance)</f>
        <v>0</v>
      </c>
      <c r="CY21" s="49" t="n">
        <f aca="false">N((Calc_2!CY$4&gt;=Calc_2!$F18)*ABS(Calc_2!CY96)&gt;Tolerance)</f>
        <v>0</v>
      </c>
      <c r="CZ21" s="49" t="n">
        <f aca="false">N((Calc_2!CZ$4&gt;=Calc_2!$F18)*ABS(Calc_2!CZ96)&gt;Tolerance)</f>
        <v>0</v>
      </c>
      <c r="DA21" s="49" t="n">
        <f aca="false">N((Calc_2!DA$4&gt;=Calc_2!$F18)*ABS(Calc_2!DA96)&gt;Tolerance)</f>
        <v>0</v>
      </c>
      <c r="DB21" s="49" t="n">
        <f aca="false">N((Calc_2!DB$4&gt;=Calc_2!$F18)*ABS(Calc_2!DB96)&gt;Tolerance)</f>
        <v>0</v>
      </c>
      <c r="DC21" s="49" t="n">
        <f aca="false">N((Calc_2!DC$4&gt;=Calc_2!$F18)*ABS(Calc_2!DC96)&gt;Tolerance)</f>
        <v>0</v>
      </c>
      <c r="DD21" s="49" t="n">
        <f aca="false">N((Calc_2!DD$4&gt;=Calc_2!$F18)*ABS(Calc_2!DD96)&gt;Tolerance)</f>
        <v>0</v>
      </c>
      <c r="DE21" s="49" t="n">
        <f aca="false">N((Calc_2!DE$4&gt;=Calc_2!$F18)*ABS(Calc_2!DE96)&gt;Tolerance)</f>
        <v>0</v>
      </c>
      <c r="DF21" s="49" t="n">
        <f aca="false">N((Calc_2!DF$4&gt;=Calc_2!$F18)*ABS(Calc_2!DF96)&gt;Tolerance)</f>
        <v>0</v>
      </c>
      <c r="DG21" s="49" t="n">
        <f aca="false">N((Calc_2!DG$4&gt;=Calc_2!$F18)*ABS(Calc_2!DG96)&gt;Tolerance)</f>
        <v>0</v>
      </c>
      <c r="DH21" s="49" t="n">
        <f aca="false">N((Calc_2!DH$4&gt;=Calc_2!$F18)*ABS(Calc_2!DH96)&gt;Tolerance)</f>
        <v>0</v>
      </c>
      <c r="DI21" s="49" t="n">
        <f aca="false">N((Calc_2!DI$4&gt;=Calc_2!$F18)*ABS(Calc_2!DI96)&gt;Tolerance)</f>
        <v>0</v>
      </c>
      <c r="DJ21" s="49" t="n">
        <f aca="false">N((Calc_2!DJ$4&gt;=Calc_2!$F18)*ABS(Calc_2!DJ96)&gt;Tolerance)</f>
        <v>0</v>
      </c>
      <c r="DK21" s="49" t="n">
        <f aca="false">N((Calc_2!DK$4&gt;=Calc_2!$F18)*ABS(Calc_2!DK96)&gt;Tolerance)</f>
        <v>0</v>
      </c>
      <c r="DL21" s="49" t="n">
        <f aca="false">N((Calc_2!DL$4&gt;=Calc_2!$F18)*ABS(Calc_2!DL96)&gt;Tolerance)</f>
        <v>0</v>
      </c>
      <c r="DM21" s="49" t="n">
        <f aca="false">N((Calc_2!DM$4&gt;=Calc_2!$F18)*ABS(Calc_2!DM96)&gt;Tolerance)</f>
        <v>0</v>
      </c>
      <c r="DN21" s="49" t="n">
        <f aca="false">N((Calc_2!DN$4&gt;=Calc_2!$F18)*ABS(Calc_2!DN96)&gt;Tolerance)</f>
        <v>0</v>
      </c>
      <c r="DO21" s="49" t="n">
        <f aca="false">N((Calc_2!DO$4&gt;=Calc_2!$F18)*ABS(Calc_2!DO96)&gt;Tolerance)</f>
        <v>0</v>
      </c>
      <c r="DP21" s="49" t="n">
        <f aca="false">N((Calc_2!DP$4&gt;=Calc_2!$F18)*ABS(Calc_2!DP96)&gt;Tolerance)</f>
        <v>0</v>
      </c>
      <c r="DQ21" s="49" t="n">
        <f aca="false">N((Calc_2!DQ$4&gt;=Calc_2!$F18)*ABS(Calc_2!DQ96)&gt;Tolerance)</f>
        <v>0</v>
      </c>
      <c r="DR21" s="49" t="n">
        <f aca="false">N((Calc_2!DR$4&gt;=Calc_2!$F18)*ABS(Calc_2!DR96)&gt;Tolerance)</f>
        <v>0</v>
      </c>
      <c r="DS21" s="49" t="n">
        <f aca="false">N((Calc_2!DS$4&gt;=Calc_2!$F18)*ABS(Calc_2!DS96)&gt;Tolerance)</f>
        <v>0</v>
      </c>
      <c r="DT21" s="49" t="n">
        <f aca="false">N((Calc_2!DT$4&gt;=Calc_2!$F18)*ABS(Calc_2!DT96)&gt;Tolerance)</f>
        <v>0</v>
      </c>
      <c r="DU21" s="49" t="n">
        <f aca="false">N((Calc_2!DU$4&gt;=Calc_2!$F18)*ABS(Calc_2!DU96)&gt;Tolerance)</f>
        <v>0</v>
      </c>
      <c r="DV21" s="49" t="n">
        <f aca="false">N((Calc_2!DV$4&gt;=Calc_2!$F18)*ABS(Calc_2!DV96)&gt;Tolerance)</f>
        <v>0</v>
      </c>
      <c r="DW21" s="49" t="n">
        <f aca="false">N((Calc_2!DW$4&gt;=Calc_2!$F18)*ABS(Calc_2!DW96)&gt;Tolerance)</f>
        <v>0</v>
      </c>
      <c r="DX21" s="49" t="n">
        <f aca="false">N((Calc_2!DX$4&gt;=Calc_2!$F18)*ABS(Calc_2!DX96)&gt;Tolerance)</f>
        <v>0</v>
      </c>
      <c r="DY21" s="49" t="n">
        <f aca="false">N((Calc_2!DY$4&gt;=Calc_2!$F18)*ABS(Calc_2!DY96)&gt;Tolerance)</f>
        <v>0</v>
      </c>
      <c r="DZ21" s="49" t="n">
        <f aca="false">N((Calc_2!DZ$4&gt;=Calc_2!$F18)*ABS(Calc_2!DZ96)&gt;Tolerance)</f>
        <v>0</v>
      </c>
      <c r="EA21" s="49" t="n">
        <f aca="false">N((Calc_2!EA$4&gt;=Calc_2!$F18)*ABS(Calc_2!EA96)&gt;Tolerance)</f>
        <v>0</v>
      </c>
      <c r="EB21" s="49" t="n">
        <f aca="false">N((Calc_2!EB$4&gt;=Calc_2!$F18)*ABS(Calc_2!EB96)&gt;Tolerance)</f>
        <v>0</v>
      </c>
      <c r="EC21" s="49" t="n">
        <f aca="false">N((Calc_2!EC$4&gt;=Calc_2!$F18)*ABS(Calc_2!EC96)&gt;Tolerance)</f>
        <v>0</v>
      </c>
      <c r="ED21" s="49" t="n">
        <f aca="false">N((Calc_2!ED$4&gt;=Calc_2!$F18)*ABS(Calc_2!ED96)&gt;Tolerance)</f>
        <v>0</v>
      </c>
      <c r="EE21" s="49" t="n">
        <f aca="false">N((Calc_2!EE$4&gt;=Calc_2!$F18)*ABS(Calc_2!EE96)&gt;Tolerance)</f>
        <v>0</v>
      </c>
      <c r="EF21" s="49" t="n">
        <f aca="false">N((Calc_2!EF$4&gt;=Calc_2!$F18)*ABS(Calc_2!EF96)&gt;Tolerance)</f>
        <v>0</v>
      </c>
      <c r="EG21" s="49" t="n">
        <f aca="false">N((Calc_2!EG$4&gt;=Calc_2!$F18)*ABS(Calc_2!EG96)&gt;Tolerance)</f>
        <v>0</v>
      </c>
      <c r="EH21" s="49" t="n">
        <f aca="false">N((Calc_2!EH$4&gt;=Calc_2!$F18)*ABS(Calc_2!EH96)&gt;Tolerance)</f>
        <v>0</v>
      </c>
      <c r="EI21" s="49" t="n">
        <f aca="false">N((Calc_2!EI$4&gt;=Calc_2!$F18)*ABS(Calc_2!EI96)&gt;Tolerance)</f>
        <v>0</v>
      </c>
      <c r="EJ21" s="49" t="n">
        <f aca="false">N((Calc_2!EJ$4&gt;=Calc_2!$F18)*ABS(Calc_2!EJ96)&gt;Tolerance)</f>
        <v>0</v>
      </c>
      <c r="EK21" s="49" t="n">
        <f aca="false">N((Calc_2!EK$4&gt;=Calc_2!$F18)*ABS(Calc_2!EK96)&gt;Tolerance)</f>
        <v>0</v>
      </c>
      <c r="EL21" s="49" t="n">
        <f aca="false">N((Calc_2!EL$4&gt;=Calc_2!$F18)*ABS(Calc_2!EL96)&gt;Tolerance)</f>
        <v>0</v>
      </c>
      <c r="EM21" s="49" t="n">
        <f aca="false">N((Calc_2!EM$4&gt;=Calc_2!$F18)*ABS(Calc_2!EM96)&gt;Tolerance)</f>
        <v>0</v>
      </c>
      <c r="EN21" s="49" t="n">
        <f aca="false">N((Calc_2!EN$4&gt;=Calc_2!$F18)*ABS(Calc_2!EN96)&gt;Tolerance)</f>
        <v>0</v>
      </c>
      <c r="EO21" s="49" t="n">
        <f aca="false">N((Calc_2!EO$4&gt;=Calc_2!$F18)*ABS(Calc_2!EO96)&gt;Tolerance)</f>
        <v>0</v>
      </c>
    </row>
    <row r="22" customFormat="false" ht="15" hidden="false" customHeight="false" outlineLevel="0" collapsed="false">
      <c r="C22" s="0" t="s">
        <v>502</v>
      </c>
      <c r="D22" s="11" t="s">
        <v>43</v>
      </c>
      <c r="E22" s="27" t="str">
        <f aca="false">IF(F22=0,"OK","CHECK")</f>
        <v>OK</v>
      </c>
      <c r="F22" s="49" t="n">
        <f aca="false">N(Calc_1!$E100&lt;In_DSCR-Tolerance)</f>
        <v>0</v>
      </c>
    </row>
    <row r="23" customFormat="false" ht="15" hidden="false" customHeight="false" outlineLevel="0" collapsed="false">
      <c r="C23" s="0" t="s">
        <v>503</v>
      </c>
      <c r="D23" s="11" t="s">
        <v>43</v>
      </c>
      <c r="E23" s="27" t="str">
        <f aca="false">IF(F23=0,"OK","CHECK")</f>
        <v>OK</v>
      </c>
      <c r="F23" s="49" t="n">
        <f aca="false">N(Calc_2!$E100&lt;In_DSCR-Tolerance)</f>
        <v>0</v>
      </c>
    </row>
    <row r="24" customFormat="false" ht="15" hidden="false" customHeight="false" outlineLevel="0" collapsed="false">
      <c r="C24" s="0" t="s">
        <v>504</v>
      </c>
      <c r="D24" s="11" t="s">
        <v>43</v>
      </c>
      <c r="E24" s="27" t="str">
        <f aca="false">IF(F24=0,"OK","CHECK")</f>
        <v>OK</v>
      </c>
      <c r="F24" s="49" t="n">
        <f aca="false">N(ABS(Calc_1!$E121+Calc_1!$I128-Calc_1!$E96)&gt;Tolerance)</f>
        <v>0</v>
      </c>
    </row>
    <row r="25" customFormat="false" ht="15" hidden="false" customHeight="false" outlineLevel="0" collapsed="false">
      <c r="C25" s="0" t="s">
        <v>505</v>
      </c>
      <c r="D25" s="11" t="s">
        <v>43</v>
      </c>
      <c r="E25" s="27" t="str">
        <f aca="false">IF(F25=0,"OK","CHECK")</f>
        <v>OK</v>
      </c>
      <c r="F25" s="49" t="n">
        <f aca="false">N(ABS(Calc_2!$E121+Calc_2!$I128-Calc_2!$E96)&gt;Tolerance)</f>
        <v>0</v>
      </c>
    </row>
    <row r="26" customFormat="false" ht="15" hidden="false" customHeight="false" outlineLevel="0" collapsed="false">
      <c r="C26" s="0" t="s">
        <v>506</v>
      </c>
      <c r="D26" s="11" t="s">
        <v>43</v>
      </c>
      <c r="E26" s="27" t="str">
        <f aca="false">IF(F26=0,"OK","CHECK")</f>
        <v>OK</v>
      </c>
      <c r="F26" s="49" t="n">
        <f aca="false">N(ISERROR(Calc_1!$E133))+N(ISERROR(Calc_1!$E146))+N(ISERROR(Calc_1!$E144))+N(ISERROR(Calc_1!$E140))</f>
        <v>0</v>
      </c>
    </row>
    <row r="27" customFormat="false" ht="15" hidden="false" customHeight="false" outlineLevel="0" collapsed="false">
      <c r="C27" s="0" t="s">
        <v>507</v>
      </c>
      <c r="D27" s="11" t="s">
        <v>43</v>
      </c>
      <c r="E27" s="27" t="str">
        <f aca="false">IF(F27=0,"OK","CHECK")</f>
        <v>OK</v>
      </c>
      <c r="F27" s="49" t="n">
        <f aca="false">N(ISERROR(Calc_2!$E133))+N(ISERROR(Calc_2!$E146))+N(ISERROR(Calc_2!$E144))+N(ISERROR(Calc_2!$E140))</f>
        <v>0</v>
      </c>
    </row>
    <row r="28" customFormat="false" ht="15" hidden="false" customHeight="false" outlineLevel="0" collapsed="false">
      <c r="C28" s="0" t="s">
        <v>508</v>
      </c>
      <c r="D28" s="11" t="s">
        <v>43</v>
      </c>
      <c r="E28" s="27" t="str">
        <f aca="false">IF(F28=0,"OK","CHECK")</f>
        <v>OK</v>
      </c>
      <c r="F28" s="49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509</v>
      </c>
      <c r="F30" s="61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2" t="str">
        <f aca="false">IF(F32=0,"OK","CHECK")</f>
        <v>OK</v>
      </c>
      <c r="F32" s="61" t="n">
        <f aca="false">SUMPRODUCT(ABS(F12:F28))</f>
        <v>0</v>
      </c>
    </row>
    <row r="34" customFormat="false" ht="15" hidden="false" customHeight="false" outlineLevel="0" collapsed="false">
      <c r="C34" s="41" t="s">
        <v>169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2026-10-14T18:21:55Z</dcterms:created>
  <dc:creator>openpyxl</dc:creator>
  <dc:description/>
  <dc:language>en-US</dc:language>
  <cp:lastModifiedBy/>
  <dcterms:modified xsi:type="dcterms:W3CDTF">2026-10-14T18:22:01Z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