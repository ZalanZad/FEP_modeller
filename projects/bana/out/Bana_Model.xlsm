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Dashboard!$H$121:$V$121</definedName>
    <definedName function="false" hidden="false" name="Buyer_IRR_L_2_Stored" vbProcedure="false">Dashboard!$H$122:$V$122</definedName>
    <definedName function="false" hidden="false" name="Buyer_IRR_U_1_Stored" vbProcedure="false">Dashboard!$H$119:$V$119</definedName>
    <definedName function="false" hidden="false" name="Buyer_IRR_U_2_Stored" vbProcedure="false">Dashboard!$H$120:$V$120</definedName>
    <definedName function="false" hidden="false" name="Checks_1_Stored" vbProcedure="false">Dashboard!$H$125:$V$125</definedName>
    <definedName function="false" hidden="false" name="Checks_2_Stored" vbProcedure="false">Dashboard!$H$126:$V$126</definedName>
    <definedName function="false" hidden="false" name="COD_IRR_1_Stored" vbProcedure="false">Dashboard!$H$107:$V$107</definedName>
    <definedName function="false" hidden="false" name="COD_IRR_2_Stored" vbProcedure="false">Dashboard!$H$108:$V$108</definedName>
    <definedName function="false" hidden="false" name="COD_MOIC_1_Stored" vbProcedure="false">Dashboard!$H$109:$V$109</definedName>
    <definedName function="false" hidden="false" name="COD_MOIC_2_Stored" vbProcedure="false">Dashboard!$H$110:$V$110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Dashboard!$H$115:$V$115</definedName>
    <definedName function="false" hidden="false" name="Debt_COD_2_Stored" vbProcedure="false">Dashboard!$H$116:$V$116</definedName>
    <definedName function="false" hidden="false" name="Equity_COD_1_Stored" vbProcedure="false">Dashboard!$H$117:$V$117</definedName>
    <definedName function="false" hidden="false" name="Equity_COD_2_Stored" vbProcedure="false">Dashboard!$H$118:$V$118</definedName>
    <definedName function="false" hidden="false" name="GoalSeek_Topics" vbProcedure="false">Inputs!$F$111</definedName>
    <definedName function="false" hidden="false" name="HTM_IRR_1_Stored" vbProcedure="false">Dashboard!$H$111:$V$111</definedName>
    <definedName function="false" hidden="false" name="HTM_IRR_2_Stored" vbProcedure="false">Dashboard!$H$112:$V$112</definedName>
    <definedName function="false" hidden="false" name="HTM_MOIC_1_Stored" vbProcedure="false">Dashboard!$H$113:$V$113</definedName>
    <definedName function="false" hidden="false" name="HTM_MOIC_2_Stored" vbProcedure="false">Dashboard!$H$114:$V$114</definedName>
    <definedName function="false" hidden="false" name="In_Admin" vbProcedure="false">Inputs!$F$89</definedName>
    <definedName function="false" hidden="false" name="In_Award_Date" vbProcedure="false">Inputs!$F$22</definedName>
    <definedName function="false" hidden="false" name="In_Bench_BESS" vbProcedure="false">Inputs!$F$61</definedName>
    <definedName function="false" hidden="false" name="In_Bench_Wind" vbProcedure="false">Inputs!$F$62</definedName>
    <definedName function="false" hidden="false" name="In_BESS_Built" vbProcedure="false">Inputs!$F$56</definedName>
    <definedName function="false" hidden="false" name="In_BESS_Capex" vbProcedure="false">Inputs!$F$78</definedName>
    <definedName function="false" hidden="false" name="In_BESS_Set" vbProcedure="false">Inputs!$F$54</definedName>
    <definedName function="false" hidden="false" name="In_Bid_Date" vbProcedure="false">Inputs!$F$21</definedName>
    <definedName function="false" hidden="false" name="In_Bid_Rate" vbProcedure="false">Inputs!$F$64</definedName>
    <definedName function="false" hidden="false" name="In_Bottleneck_Loss" vbProcedure="false">Inputs!$F$55</definedName>
    <definedName function="false" hidden="false" name="In_Capex_Contingency" vbProcedure="false">Inputs!$F$77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Inputs!$F$106</definedName>
    <definedName function="false" hidden="false" name="In_Curtailment" vbProcedure="false">Inputs!$F$82</definedName>
    <definedName function="false" hidden="false" name="In_DD" vbProcedure="false">Inputs!$F$35</definedName>
    <definedName function="false" hidden="false" name="In_Debt_Per_MW" vbProcedure="false">Inputs!$F$97</definedName>
    <definedName function="false" hidden="false" name="In_Debt_Rate" vbProcedure="false">Inputs!$F$104</definedName>
    <definedName function="false" hidden="false" name="In_Debt_Tenor" vbProcedure="false">Inputs!$F$103</definedName>
    <definedName function="false" hidden="false" name="In_Decision_Date" vbProcedure="false">Inputs!$F$23</definedName>
    <definedName function="false" hidden="false" name="In_Degradation" vbProcedure="false">Inputs!$F$83</definedName>
    <definedName function="false" hidden="false" name="In_Deliver" vbProcedure="false">Inputs!$F$53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Inputs!$F$67</definedName>
    <definedName function="false" hidden="false" name="In_Discount_Rate" vbProcedure="false">Inputs!$F$40</definedName>
    <definedName function="false" hidden="false" name="In_DSCR" vbProcedure="false">Inputs!$F$102</definedName>
    <definedName function="false" hidden="false" name="In_DSCR_Max_High" vbProcedure="false">Inputs!$F$101</definedName>
    <definedName function="false" hidden="false" name="In_DSCR_Max_Low" vbProcedure="false">Inputs!$F$100</definedName>
    <definedName function="false" hidden="false" name="In_DSRA_Months" vbProcedure="false">Inputs!$F$107</definedName>
    <definedName function="false" hidden="false" name="In_Fixed_Opex" vbProcedure="false">Inputs!$F$87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Inputs!$F$69</definedName>
    <definedName function="false" hidden="false" name="In_HCSSZ_Date" vbProcedure="false">Inputs!$F$27</definedName>
    <definedName function="false" hidden="false" name="In_HIPA" vbProcedure="false">Inputs!$F$93</definedName>
    <definedName function="false" hidden="false" name="In_Indirect_Fee" vbProcedure="false">Inputs!$F$68</definedName>
    <definedName function="false" hidden="false" name="In_Innovation" vbProcedure="false">Inputs!$F$94</definedName>
    <definedName function="false" hidden="false" name="In_Lease" vbProcedure="false">Inputs!$F$88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Inputs!$F$92</definedName>
    <definedName function="false" hidden="false" name="In_Min_Hours" vbProcedure="false">Inputs!$F$57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Inputs!$F$90</definedName>
    <definedName function="false" hidden="false" name="In_Opex_Esc" vbProcedure="false">Inputs!$F$91</definedName>
    <definedName function="false" hidden="false" name="In_Other_Wind" vbProcedure="false">Inputs!$F$74</definedName>
    <definedName function="false" hidden="false" name="In_Overbuild_Built" vbProcedure="false">Inputs!$F$52</definedName>
    <definedName function="false" hidden="false" name="In_P50_Hours" vbProcedure="false">Inputs!$F$81</definedName>
    <definedName function="false" hidden="false" name="In_Part_Fee" vbProcedure="false">Inputs!$F$63</definedName>
    <definedName function="false" hidden="false" name="In_PB_Days" vbProcedure="false">Inputs!$F$24</definedName>
    <definedName function="false" hidden="false" name="In_PB_Rate" vbProcedure="false">Inputs!$F$65</definedName>
    <definedName function="false" hidden="false" name="In_PB_Release" vbProcedure="false">Inputs!$F$30</definedName>
    <definedName function="false" hidden="false" name="In_PPA_Esc" vbProcedure="false">Inputs!$F$85</definedName>
    <definedName function="false" hidden="false" name="In_PPA_Price" vbProcedure="false">Inputs!$F$84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Inputs!$F$60</definedName>
    <definedName function="false" hidden="false" name="In_Sanction_Regime" vbProcedure="false">Inputs!$F$59</definedName>
    <definedName function="false" hidden="false" name="In_Substation" vbProcedure="false">Inputs!$F$75</definedName>
    <definedName function="false" hidden="false" name="In_Substation_CN" vbProcedure="false">Inputs!$F$76</definedName>
    <definedName function="false" hidden="false" name="In_Sweep" vbProcedure="false">Inputs!$F$99</definedName>
    <definedName function="false" hidden="false" name="In_Tolerance_Cap" vbProcedure="false">Inputs!$F$58</definedName>
    <definedName function="false" hidden="false" name="In_TSO_Security" vbProcedure="false">Inputs!$F$66</definedName>
    <definedName function="false" hidden="false" name="In_Turbine" vbProcedure="false">Inputs!$F$72</definedName>
    <definedName function="false" hidden="false" name="In_Turbine_CN" vbProcedure="false">Inputs!$F$73</definedName>
    <definedName function="false" hidden="false" name="In_Upfront_Fee" vbProcedure="false">Inputs!$F$105</definedName>
    <definedName function="false" hidden="false" name="In_Var_Opex" vbProcedure="false">Inputs!$F$86</definedName>
    <definedName function="false" hidden="false" name="Live_Results" vbProcedure="false">Dashboard!$E$101:$E$126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Dashboard!$H$123:$V$123</definedName>
    <definedName function="false" hidden="false" name="Min_DSCR_2_Stored" vbProcedure="false">Dashboard!$H$124:$V$124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Dashboard!$H$103:$V$103</definedName>
    <definedName function="false" hidden="false" name="MVA_At_Risk_2_Stored" vbProcedure="false">Dashboard!$H$104:$V$104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Dashboard!$E$77</definedName>
    <definedName function="false" hidden="false" name="Out_Buyer_IRR_L_2" vbProcedure="false">Dashboard!$F$77</definedName>
    <definedName function="false" hidden="false" name="Out_Buyer_IRR_U_1" vbProcedure="false">Dashboard!$E$76</definedName>
    <definedName function="false" hidden="false" name="Out_Buyer_IRR_U_2" vbProcedure="false">Dashboard!$F$76</definedName>
    <definedName function="false" hidden="false" name="Out_Capacity_Used_1" vbProcedure="false">Dashboard!$E$82</definedName>
    <definedName function="false" hidden="false" name="Out_Capacity_Used_2" vbProcedure="false">Dashboard!$F$82</definedName>
    <definedName function="false" hidden="false" name="Out_Checks_1" vbProcedure="false">Dashboard!$E$98</definedName>
    <definedName function="false" hidden="false" name="Out_Checks_2" vbProcedure="false">Dashboard!$F$98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Dashboard!$E$73</definedName>
    <definedName function="false" hidden="false" name="Out_COD_Price_2" vbProcedure="false">Dashboard!$F$73</definedName>
    <definedName function="false" hidden="false" name="Out_COD_Proceeds_1" vbProcedure="false">Dashboard!$E$74</definedName>
    <definedName function="false" hidden="false" name="Out_COD_Proceeds_2" vbProcedure="false">Dashboard!$F$74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Dashboard!$E$75</definedName>
    <definedName function="false" hidden="false" name="Out_COD_Tax_2" vbProcedure="false">Dashboard!$F$75</definedName>
    <definedName function="false" hidden="false" name="Out_Debt_Capacity_1" vbProcedure="false">Dashboard!$E$80</definedName>
    <definedName function="false" hidden="false" name="Out_Debt_Capacity_2" vbProcedure="false">Dashboard!$F$80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Dashboard!$E$87</definedName>
    <definedName function="false" hidden="false" name="Out_Debt_Max_High_2" vbProcedure="false">Dashboard!$F$87</definedName>
    <definedName function="false" hidden="false" name="Out_Debt_Max_High_Pct_1" vbProcedure="false">Dashboard!$E$88</definedName>
    <definedName function="false" hidden="false" name="Out_Debt_Max_High_Pct_2" vbProcedure="false">Dashboard!$F$88</definedName>
    <definedName function="false" hidden="false" name="Out_Debt_Max_Low_1" vbProcedure="false">Dashboard!$E$84</definedName>
    <definedName function="false" hidden="false" name="Out_Debt_Max_Low_2" vbProcedure="false">Dashboard!$F$84</definedName>
    <definedName function="false" hidden="false" name="Out_Debt_Max_Low_Pct_1" vbProcedure="false">Dashboard!$E$85</definedName>
    <definedName function="false" hidden="false" name="Out_Debt_Max_Low_Pct_2" vbProcedure="false">Dashboard!$F$85</definedName>
    <definedName function="false" hidden="false" name="Out_Debt_Share_1" vbProcedure="false">Dashboard!$E$81</definedName>
    <definedName function="false" hidden="false" name="Out_Debt_Share_2" vbProcedure="false">Dashboard!$F$81</definedName>
    <definedName function="false" hidden="false" name="Out_DSCR_Max_High_1" vbProcedure="false">Dashboard!$E$86</definedName>
    <definedName function="false" hidden="false" name="Out_DSCR_Max_High_2" vbProcedure="false">Dashboard!$F$86</definedName>
    <definedName function="false" hidden="false" name="Out_DSCR_Max_Low_1" vbProcedure="false">Dashboard!$E$83</definedName>
    <definedName function="false" hidden="false" name="Out_DSCR_Max_Low_2" vbProcedure="false">Dashboard!$F$83</definedName>
    <definedName function="false" hidden="false" name="Out_DSRA_1" vbProcedure="false">Dashboard!$E$89</definedName>
    <definedName function="false" hidden="false" name="Out_DSRA_2" vbProcedure="false">Dashboard!$F$89</definedName>
    <definedName function="false" hidden="false" name="Out_EBITDA_Life_1" vbProcedure="false">Dashboard!$E$95</definedName>
    <definedName function="false" hidden="false" name="Out_EBITDA_Life_2" vbProcedure="false">Dashboard!$F$95</definedName>
    <definedName function="false" hidden="false" name="Out_EBITDA_Year1_1" vbProcedure="false">Dashboard!$E$93</definedName>
    <definedName function="false" hidden="false" name="Out_EBITDA_Year1_2" vbProcedure="false">Dashboard!$F$93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Dashboard!$E$91</definedName>
    <definedName function="false" hidden="false" name="Out_Gen_Year1_2" vbProcedure="false">Dashboard!$F$91</definedName>
    <definedName function="false" hidden="false" name="Out_Guarantee_Fees_COD_1" vbProcedure="false">Dashboard!$E$70</definedName>
    <definedName function="false" hidden="false" name="Out_Guarantee_Fees_COD_2" vbProcedure="false">Dashboard!$F$70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Dashboard!$E$90</definedName>
    <definedName function="false" hidden="false" name="Out_Min_DSCR_2" vbProcedure="false">Dashboard!$F$90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Dashboard!$E$94</definedName>
    <definedName function="false" hidden="false" name="Out_Revenue_Life_2" vbProcedure="false">Dashboard!$F$94</definedName>
    <definedName function="false" hidden="false" name="Out_Revenue_Year1_1" vbProcedure="false">Dashboard!$E$92</definedName>
    <definedName function="false" hidden="false" name="Out_Revenue_Year1_2" vbProcedure="false">Dashboard!$F$92</definedName>
    <definedName function="false" hidden="false" name="Out_Sec_bid_1" vbProcedure="false">Dashboard!$E$65</definedName>
    <definedName function="false" hidden="false" name="Out_Sec_bid_2" vbProcedure="false">Dashboard!$F$65</definedName>
    <definedName function="false" hidden="false" name="Out_Sec_direct_1" vbProcedure="false">Dashboard!$E$68</definedName>
    <definedName function="false" hidden="false" name="Out_Sec_direct_2" vbProcedure="false">Dashboard!$F$68</definedName>
    <definedName function="false" hidden="false" name="Out_Sec_fee_1" vbProcedure="false">Dashboard!$E$64</definedName>
    <definedName function="false" hidden="false" name="Out_Sec_fee_2" vbProcedure="false">Dashboard!$F$64</definedName>
    <definedName function="false" hidden="false" name="Out_Sec_indirect_1" vbProcedure="false">Dashboard!$E$69</definedName>
    <definedName function="false" hidden="false" name="Out_Sec_indirect_2" vbProcedure="false">Dashboard!$F$69</definedName>
    <definedName function="false" hidden="false" name="Out_Sec_pb_1" vbProcedure="false">Dashboard!$E$66</definedName>
    <definedName function="false" hidden="false" name="Out_Sec_pb_2" vbProcedure="false">Dashboard!$F$66</definedName>
    <definedName function="false" hidden="false" name="Out_Sec_tso_1" vbProcedure="false">Dashboard!$E$67</definedName>
    <definedName function="false" hidden="false" name="Out_Sec_tso_2" vbProcedure="false">Dashboard!$F$67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Dashboard!$E$96</definedName>
    <definedName function="false" hidden="false" name="Out_Tax_Life_2" vbProcedure="false">Dashboard!$F$96</definedName>
    <definedName function="false" hidden="false" name="Out_Tax_Losses_Lapsed_1" vbProcedure="false">Dashboard!$E$97</definedName>
    <definedName function="false" hidden="false" name="Out_Tax_Losses_Lapsed_2" vbProcedure="false">Dashboard!$F$97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Dashboard!$H$105:$V$105</definedName>
    <definedName function="false" hidden="false" name="PB_Call_Applied_2_Stored" vbProcedure="false">Dashboard!$H$106:$V$106</definedName>
    <definedName function="false" hidden="false" name="Points_1_Stored" vbProcedure="false">Dashboard!$H$101:$V$101</definedName>
    <definedName function="false" hidden="false" name="Points_2_Stored" vbProcedure="false">Dashboard!$H$102:$V$102</definedName>
    <definedName function="false" hidden="false" name="Points_Decimals" vbProcedure="false">Inputs!$F$50</definedName>
    <definedName function="false" hidden="false" name="Scenario_Name" vbProcedure="false">Dashboard!$Z$12</definedName>
    <definedName function="false" hidden="false" name="Scenario_Names" vbProcedure="false">Inputs!$H$7:$V$7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Inputs!$F$110</definedName>
    <definedName function="false" hidden="false" name="Stored_Results" vbProcedure="false">Dashboard!$H$101:$V$126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<sst xmlns="http://schemas.openxmlformats.org/spreadsheetml/2006/main" count="1264" uniqueCount="536">
  <si>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</si>
  <si>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</si>
  <si>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</si>
  <si>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</si>
  <si>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</si>
  <si>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</si>
  <si>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</si>
  <si>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</si>
  <si>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</si>
  <si>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</si>
  <si>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</si>
  <si>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</si>
  <si>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</si>
  <si>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</si>
  <si>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</si>
  <si>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</si>
  <si>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</si>
  <si>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</si>
  <si>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</si>
  <si>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</si>
  <si>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</si>
  <si>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</si>
  <si>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</si>
  <si>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</si>
  <si>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</si>
  <si>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</si>
  <si>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</si>
  <si>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</si>
  <si>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</si>
  <si>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</si>
  <si>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</si>
  <si>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</si>
  <si>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</si>
  <si>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</si>
  <si>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</si>
  <si>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</si>
  <si>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</si>
  <si>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</si>
  <si>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</si>
  <si>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</si>
  <si>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</si>
  <si>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</si>
  <si>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</si>
  <si>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</si>
  <si>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</si>
  <si>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</si>
  <si>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</si>
  <si>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</si>
  <si>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</si>
  <si>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</si>
  <si>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</si>
  <si>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</si>
  <si>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</si>
  <si>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</si>
  <si>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</si>
  <si>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</si>
  <si>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</si>
  <si>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</si>
  <si>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</si>
  <si>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</si>
  <si>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</si>
  <si>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</si>
  <si>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</si>
  <si>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</si>
  <si>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</si>
  <si>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</si>
  <si>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</si>
  <si>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</si>
  <si>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</si>
  <si>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</si>
  <si>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</si>
  <si>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</si>
  <si>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</si>
  <si>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</si>
  <si>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</si>
  <si>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</si>
  <si>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</si>
  <si>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</si>
  <si>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</si>
  <si>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</si>
  <si>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</si>
  <si>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</si>
  <si>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</si>
  <si>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</si>
  <si>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</si>
  <si>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</si>
  <si>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</si>
  <si>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</si>
  <si>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</si>
  <si>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</si>
  <si>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</si>
  <si>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</si>
  <si>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</si>
  <si>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</si>
  <si>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</si>
  <si>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</si>
  <si>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</si>
  <si>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</si>
  <si>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</si>
  <si>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</si>
  <si>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</si>
  <si>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</si>
  <si>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</si>
  <si>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</si>
  <si>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</si>
  <si>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</si>
  <si>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</si>
  <si>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</si>
  <si>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</si>
  <si>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</si>
  <si>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</si>
  <si>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</si>
  <si>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</si>
  <si>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</si>
  <si>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</si>
  <si>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</si>
  <si>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</si>
  <si>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</si>
  <si>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</si>
  <si>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</si>
  <si>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</si>
  <si>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</si>
  <si>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</si>
  <si>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</si>
  <si>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</si>
  <si>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</si>
  <si>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</si>
  <si>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</si>
  <si>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</si>
  <si>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</si>
  <si>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</si>
  <si>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</si>
  <si>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</si>
  <si>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</si>
  <si>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</si>
  <si>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</si>
  <si>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</si>
  <si>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</si>
  <si>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</si>
  <si>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</si>
  <si>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</si>
  <si>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</si>
  <si>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</si>
  <si>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</si>
  <si>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</si>
  <si>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</si>
  <si>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</si>
  <si>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</si>
  <si>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</si>
  <si>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</si>
  <si>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</si>
  <si>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</si>
  <si>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</si>
  <si>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</si>
  <si>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</si>
  <si>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</si>
  <si>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</si>
  <si>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</si>
  <si>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</si>
  <si>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</si>
  <si>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</si>
  <si>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</si>
  <si>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</si>
  <si>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</si>
  <si>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</si>
  <si>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</si>
  <si>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</si>
  <si>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</si>
  <si>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</si>
  <si>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</si>
  <si>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</si>
  <si>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</si>
  <si>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</si>
  <si>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</si>
  <si>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</si>
  <si>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</si>
  <si>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</si>
  <si>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</si>
  <si>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</si>
  <si>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</si>
  <si>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</si>
  <si>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</si>
  <si>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</si>
  <si>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</si>
  <si>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</si>
  <si>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</si>
  <si>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</si>
  <si>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</si>
  <si>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</si>
  <si>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</si>
  <si>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</si>
  <si>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</si>
  <si>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</si>
  <si>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</si>
  <si>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UniCredit terms</t>
  </si>
  <si>
    <t xml:space="preserve">BESS 100 MWh</t>
  </si>
  <si>
    <t xml:space="preserve">Promise all, deliver nothing</t>
  </si>
  <si>
    <t xml:space="preserve">Full cash sweep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</si>
  <si>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</si>
  <si>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</si>
  <si>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</si>
  <si>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</si>
  <si>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</si>
  <si>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</si>
  <si>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</si>
  <si>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</si>
  <si>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</si>
  <si>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</si>
  <si>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</si>
  <si>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</si>
  <si>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</si>
  <si>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</si>
  <si>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</si>
  <si>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</si>
  <si>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</si>
  <si>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</si>
  <si>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</si>
  <si>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</si>
  <si>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</si>
  <si>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</si>
  <si>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</si>
  <si>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</si>
  <si>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</si>
  <si>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</si>
  <si>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</si>
  <si>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</si>
  <si>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</si>
  <si>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</si>
  <si>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</si>
  <si>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</si>
  <si>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</si>
  <si>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</si>
  <si>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</si>
  <si>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</si>
  <si>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</si>
  <si>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</si>
  <si>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</si>
  <si>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</si>
  <si>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</si>
  <si>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</si>
  <si>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</si>
  <si>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</si>
  <si>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</si>
  <si>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</si>
  <si>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</si>
  <si>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</si>
  <si>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</si>
  <si>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</si>
  <si>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</si>
  <si>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</si>
  <si>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</si>
  <si>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</si>
  <si>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</si>
  <si>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</si>
  <si>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</si>
  <si>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</si>
  <si>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</si>
  <si>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</si>
  <si>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</si>
  <si>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</si>
  <si>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</si>
  <si>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</si>
  <si>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</si>
  <si>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</si>
  <si>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</si>
  <si>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</si>
  <si>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</si>
  <si>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</si>
  <si>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</si>
  <si>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</si>
  <si>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</si>
  <si>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</si>
  <si>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</si>
  <si>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</si>
  <si>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</si>
  <si>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</si>
  <si>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</si>
  <si>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</si>
  <si>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</si>
  <si>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</si>
  <si>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</si>
  <si>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</si>
  <si>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</si>
  <si>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</si>
  <si>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</si>
  <si>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</si>
  <si>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</si>
  <si>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</si>
  <si>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</si>
  <si>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</si>
  <si>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</si>
  <si>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</si>
  <si>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</si>
  <si>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</si>
  <si>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</si>
  <si>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</si>
  <si>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</si>
  <si>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</si>
  <si>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</si>
  <si>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</si>
  <si>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</si>
  <si>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</si>
  <si>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</si>
  <si>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</si>
  <si>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</si>
  <si>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</si>
  <si>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</si>
  <si>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</si>
  <si>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</si>
  <si>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</si>
  <si>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</si>
  <si>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</si>
  <si>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</si>
  <si>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</si>
  <si>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</si>
  <si>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</si>
  <si>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</si>
  <si>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</si>
  <si>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</si>
  <si>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</si>
  <si>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</si>
  <si>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</si>
  <si>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</si>
  <si>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</si>
  <si>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</si>
  <si>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</si>
  <si>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</si>
  <si>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</si>
  <si>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</si>
  <si>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</si>
  <si>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</si>
  <si>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</si>
  <si>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</si>
  <si>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</si>
  <si>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</si>
  <si>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</si>
  <si>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</si>
  <si>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</si>
  <si>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</si>
  <si>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</si>
  <si>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</si>
  <si>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</si>
  <si>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</si>
  <si>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</si>
  <si>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</si>
  <si>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</si>
  <si>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</si>
  <si>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</si>
  <si>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</si>
  <si>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</si>
  <si>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</si>
  <si>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per built wind MW (bank indication)</t>
  </si>
  <si>
    <t xml:space="preserve">Raiffeisen: 0.9 M€/MW ±10 %</t>
  </si>
  <si>
    <t xml:space="preserve">Maximum debt share of construction cost (LTC)</t>
  </si>
  <si>
    <t xml:space="preserve">Info cap; Raiffeisen ~48-58 %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</si>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</sst>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2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2" min="8" style="0" width="12"/>
    <col collapsed="false" customWidth="true" hidden="false" outlineLevel="0" max="23" min="23" style="0" width="3"/>
    <col collapsed="false" customWidth="true" hidden="false" outlineLevel="0" max="24" min="24" style="0" width="34"/>
    <col collapsed="false" customWidth="true" hidden="false" outlineLevel="0" max="25" min="25" style="0" width="10"/>
    <col collapsed="false" customWidth="true" hidden="false" outlineLevel="0" max="26" min="26" style="0" width="1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46309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X9" s="7" t="s">
        <v>11</v>
      </c>
      <c r="Y9" s="7" t="s">
        <v>8</v>
      </c>
      <c r="Z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X11" s="9" t="s">
        <v>5</v>
      </c>
      <c r="Y11" s="9"/>
      <c r="Z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X12" s="13" t="s">
        <v>5</v>
      </c>
      <c r="Y12" s="11" t="s">
        <v>21</v>
      </c>
      <c r="Z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X14" s="9" t="s">
        <v>29</v>
      </c>
      <c r="Y14" s="9"/>
      <c r="Z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X15" s="13" t="s">
        <v>32</v>
      </c>
      <c r="Y15" s="11" t="s">
        <v>33</v>
      </c>
      <c r="Z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X16" s="13" t="s">
        <v>37</v>
      </c>
      <c r="Y16" s="11" t="s">
        <v>38</v>
      </c>
      <c r="Z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X17" s="13" t="s">
        <v>41</v>
      </c>
      <c r="Y17" s="11" t="s">
        <v>27</v>
      </c>
      <c r="Z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X18" s="13" t="s">
        <v>45</v>
      </c>
      <c r="Y18" s="11" t="s">
        <v>43</v>
      </c>
      <c r="Z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X19" s="13" t="s">
        <v>47</v>
      </c>
      <c r="Y19" s="11" t="s">
        <v>19</v>
      </c>
      <c r="Z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X20" s="13" t="s">
        <v>49</v>
      </c>
      <c r="Y20" s="11" t="s">
        <v>19</v>
      </c>
      <c r="Z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X21" s="13" t="s">
        <v>51</v>
      </c>
      <c r="Y21" s="11" t="s">
        <v>19</v>
      </c>
      <c r="Z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X22" s="13" t="s">
        <v>54</v>
      </c>
      <c r="Y22" s="11" t="s">
        <v>19</v>
      </c>
      <c r="Z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X23" s="13" t="s">
        <v>56</v>
      </c>
      <c r="Y23" s="11" t="s">
        <v>57</v>
      </c>
      <c r="Z23" s="18" t="n">
        <f aca="false">In_P50_Hours</f>
        <v>2600</v>
      </c>
    </row>
    <row r="24" customFormat="false" ht="15" hidden="false" customHeight="false" outlineLevel="0" collapsed="false">
      <c r="X24" s="0" t="s">
        <v>58</v>
      </c>
      <c r="Y24" s="11" t="s">
        <v>24</v>
      </c>
      <c r="Z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X25" s="13" t="s">
        <v>60</v>
      </c>
      <c r="Y25" s="11" t="s">
        <v>27</v>
      </c>
      <c r="Z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X26" s="13" t="s">
        <v>63</v>
      </c>
      <c r="Y26" s="11" t="s">
        <v>13</v>
      </c>
      <c r="Z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X27" s="13" t="s">
        <v>65</v>
      </c>
      <c r="Y27" s="11" t="s">
        <v>66</v>
      </c>
      <c r="Z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X28" s="13" t="s">
        <v>68</v>
      </c>
      <c r="Y28" s="11" t="s">
        <v>27</v>
      </c>
      <c r="Z28" s="22" t="n">
        <f aca="false">In_Gearing</f>
        <v>0.7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X29" s="13" t="s">
        <v>71</v>
      </c>
      <c r="Y29" s="11" t="s">
        <v>27</v>
      </c>
      <c r="Z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X30" s="13" t="s">
        <v>73</v>
      </c>
      <c r="Y30" s="11" t="s">
        <v>43</v>
      </c>
      <c r="Z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X31" s="13" t="s">
        <v>75</v>
      </c>
      <c r="Y31" s="11" t="s">
        <v>27</v>
      </c>
      <c r="Z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X32" s="13" t="s">
        <v>78</v>
      </c>
      <c r="Y32" s="11" t="s">
        <v>79</v>
      </c>
      <c r="Z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20.8885902677913</v>
      </c>
      <c r="F39" s="32" t="n">
        <f aca="false">Calc_2!$I139/Thousand</f>
        <v>28.9538137248486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0.248075895436541</v>
      </c>
      <c r="F40" s="33" t="n">
        <f aca="false">Calc_2!$E140</f>
        <v>0.430590128449621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1.33026008442252</v>
      </c>
      <c r="F41" s="29" t="n">
        <f aca="false">Calc_2!$E141</f>
        <v>1.80379956128269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11.0244284137116</v>
      </c>
      <c r="F42" s="32" t="n">
        <f aca="false">Calc_2!$E142/Thousand</f>
        <v>18.5404291372498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137.254470722004</v>
      </c>
      <c r="F43" s="32" t="n">
        <f aca="false">Calc_2!$I152/Thousand</f>
        <v>160.398035660502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0.0740585134078263</v>
      </c>
      <c r="F44" s="33" t="n">
        <f aca="false">Calc_2!$E153</f>
        <v>0.118465201099218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3.130403587176</v>
      </c>
      <c r="F45" s="29" t="n">
        <f aca="false">Calc_2!$E154</f>
        <v>5.31191565866826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-3.72609993839986</v>
      </c>
      <c r="F46" s="32" t="n">
        <f aca="false">Calc_2!$E155/Thousand</f>
        <v>16.6125621146329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0.0696595033736404</v>
      </c>
      <c r="F47" s="22" t="n">
        <f aca="false">Calc_2!$E151</f>
        <v>0.0963433191717315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3.5252448302272</v>
      </c>
      <c r="F55" s="32" t="n">
        <f aca="false">Calc_2!$E126/Thousand</f>
        <v>3.54502137316999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112.748909732209</v>
      </c>
      <c r="F57" s="26" t="n">
        <f aca="false">Calc_2!$E128/Thousand</f>
        <v>85.5211862751514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49.5</v>
      </c>
      <c r="F58" s="32" t="n">
        <f aca="false">Calc_2!$E103/Thousand</f>
        <v>49.5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63.2489097322087</v>
      </c>
      <c r="F59" s="26" t="n">
        <f aca="false">Calc_2!$E129/Thousand</f>
        <v>36.0211862751514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64.4265112714834</v>
      </c>
      <c r="F60" s="32" t="n">
        <f aca="false">Calc_2!$F129/Thousand</f>
        <v>37.1987878144262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0.439028635554597</v>
      </c>
      <c r="F61" s="22" t="n">
        <f aca="false">Calc_2!$E130</f>
        <v>0.578803945033471</v>
      </c>
    </row>
    <row r="63" customFormat="false" ht="15" hidden="false" customHeight="false" outlineLevel="0" collapsed="false">
      <c r="A63" s="9" t="s">
        <v>13</v>
      </c>
      <c r="B63" s="9"/>
      <c r="C63" s="9" t="s">
        <v>108</v>
      </c>
      <c r="D63" s="9"/>
      <c r="E63" s="10" t="s">
        <v>9</v>
      </c>
      <c r="F63" s="10" t="s">
        <v>10</v>
      </c>
      <c r="G63" s="9"/>
      <c r="H63" s="10" t="s">
        <v>109</v>
      </c>
      <c r="I63" s="10" t="s">
        <v>110</v>
      </c>
      <c r="J63" s="10" t="s">
        <v>111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</row>
    <row r="64" customFormat="false" ht="15" hidden="false" customHeight="false" outlineLevel="0" collapsed="false">
      <c r="C64" s="0" t="s">
        <v>112</v>
      </c>
      <c r="D64" s="11" t="s">
        <v>82</v>
      </c>
      <c r="E64" s="34" t="n">
        <f aca="false">Calc_1!$E52/Thousand</f>
        <v>0.00821917808219178</v>
      </c>
      <c r="F64" s="34" t="n">
        <f aca="false">Calc_2!$E52/Thousand</f>
        <v>0.00821917808219178</v>
      </c>
      <c r="H64" s="13" t="s">
        <v>113</v>
      </c>
      <c r="I64" s="20" t="n">
        <f aca="false">In_Bid_Date</f>
        <v>46325</v>
      </c>
      <c r="J64" s="35" t="s">
        <v>114</v>
      </c>
    </row>
    <row r="65" customFormat="false" ht="15" hidden="false" customHeight="false" outlineLevel="0" collapsed="false">
      <c r="C65" s="0" t="s">
        <v>115</v>
      </c>
      <c r="D65" s="11" t="s">
        <v>82</v>
      </c>
      <c r="E65" s="34" t="n">
        <f aca="false">Calc_1!$E53/Thousand</f>
        <v>0.443287671232877</v>
      </c>
      <c r="F65" s="34" t="n">
        <f aca="false">Calc_2!$E53/Thousand</f>
        <v>0.443287671232877</v>
      </c>
      <c r="H65" s="13" t="s">
        <v>116</v>
      </c>
      <c r="I65" s="20" t="n">
        <f aca="false">In_Bid_Date</f>
        <v>46325</v>
      </c>
      <c r="J65" s="20" t="n">
        <f aca="false">Calc_1!$F$54</f>
        <v>46433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Calc_1!$E54/Thousand</f>
        <v>2.21643835616438</v>
      </c>
      <c r="F66" s="34" t="n">
        <f aca="false">Calc_2!$E54/Thousand</f>
        <v>2.21643835616438</v>
      </c>
      <c r="H66" s="13" t="s">
        <v>116</v>
      </c>
      <c r="I66" s="20" t="n">
        <f aca="false">Calc_1!$F$54</f>
        <v>46433</v>
      </c>
      <c r="J66" s="20" t="n">
        <f aca="false">In_PB_Release</f>
        <v>48669</v>
      </c>
    </row>
    <row r="67" customFormat="false" ht="15" hidden="false" customHeight="false" outlineLevel="0" collapsed="false">
      <c r="C67" s="0" t="s">
        <v>118</v>
      </c>
      <c r="D67" s="11" t="s">
        <v>82</v>
      </c>
      <c r="E67" s="34" t="n">
        <f aca="false">Calc_1!$E55/Thousand</f>
        <v>0.616438356164384</v>
      </c>
      <c r="F67" s="34" t="n">
        <f aca="false">Calc_2!$E55/Thousand</f>
        <v>0.616438356164384</v>
      </c>
      <c r="H67" s="13" t="s">
        <v>113</v>
      </c>
      <c r="I67" s="20" t="n">
        <f aca="false">Calc_1!$F$54</f>
        <v>46433</v>
      </c>
      <c r="J67" s="35" t="s">
        <v>119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Calc_1!$E56/Thousand</f>
        <v>1.26027397260274</v>
      </c>
      <c r="F68" s="34" t="n">
        <f aca="false">Calc_2!$E56/Thousand</f>
        <v>1.26027397260274</v>
      </c>
      <c r="H68" s="13" t="s">
        <v>113</v>
      </c>
      <c r="I68" s="20" t="n">
        <f aca="false">In_HCSSZ_Date</f>
        <v>47126</v>
      </c>
      <c r="J68" s="35" t="s">
        <v>114</v>
      </c>
    </row>
    <row r="69" customFormat="false" ht="15" hidden="false" customHeight="false" outlineLevel="0" collapsed="false">
      <c r="C69" s="0" t="s">
        <v>121</v>
      </c>
      <c r="D69" s="11" t="s">
        <v>82</v>
      </c>
      <c r="E69" s="34" t="n">
        <f aca="false">Calc_1!$E57/Thousand</f>
        <v>6.89454917808219</v>
      </c>
      <c r="F69" s="34" t="n">
        <f aca="false">Calc_2!$E57/Thousand</f>
        <v>6.89454917808219</v>
      </c>
      <c r="H69" s="13" t="s">
        <v>113</v>
      </c>
      <c r="I69" s="20" t="n">
        <f aca="false">In_HCSSZ_Date</f>
        <v>47126</v>
      </c>
      <c r="J69" s="35" t="s">
        <v>114</v>
      </c>
    </row>
    <row r="70" customFormat="false" ht="15" hidden="false" customHeight="false" outlineLevel="0" collapsed="false">
      <c r="C70" s="0" t="s">
        <v>122</v>
      </c>
      <c r="D70" s="11" t="s">
        <v>82</v>
      </c>
      <c r="E70" s="34" t="n">
        <f aca="false">(-Calc_1!$E59)/Thousand</f>
        <v>0.490264019515857</v>
      </c>
      <c r="F70" s="34" t="n">
        <f aca="false">(-Calc_2!$E59)/Thousand</f>
        <v>0.490264019515857</v>
      </c>
    </row>
    <row r="72" customFormat="false" ht="15" hidden="false" customHeight="false" outlineLevel="0" collapsed="false">
      <c r="A72" s="9" t="s">
        <v>13</v>
      </c>
      <c r="B72" s="9"/>
      <c r="C72" s="9" t="s">
        <v>123</v>
      </c>
      <c r="D72" s="9"/>
      <c r="E72" s="10" t="s">
        <v>9</v>
      </c>
      <c r="F72" s="10" t="s">
        <v>10</v>
      </c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</row>
    <row r="73" customFormat="false" ht="15" hidden="false" customHeight="false" outlineLevel="0" collapsed="false">
      <c r="C73" s="0" t="s">
        <v>124</v>
      </c>
      <c r="D73" s="11" t="s">
        <v>82</v>
      </c>
      <c r="E73" s="32" t="n">
        <f aca="false">Calc_1!$E136/Thousand</f>
        <v>134.1375</v>
      </c>
      <c r="F73" s="32" t="n">
        <f aca="false">Calc_2!$E136/Thousand</f>
        <v>114.975</v>
      </c>
    </row>
    <row r="74" customFormat="false" ht="15" hidden="false" customHeight="false" outlineLevel="0" collapsed="false">
      <c r="C74" s="0" t="s">
        <v>125</v>
      </c>
      <c r="D74" s="11" t="s">
        <v>82</v>
      </c>
      <c r="E74" s="32" t="n">
        <f aca="false">Calc_1!$E137/Thousand</f>
        <v>84.1375</v>
      </c>
      <c r="F74" s="32" t="n">
        <f aca="false">Calc_2!$E137/Thousand</f>
        <v>64.975</v>
      </c>
    </row>
    <row r="75" customFormat="false" ht="15" hidden="false" customHeight="false" outlineLevel="0" collapsed="false">
      <c r="C75" s="0" t="s">
        <v>126</v>
      </c>
      <c r="D75" s="11" t="s">
        <v>82</v>
      </c>
      <c r="E75" s="32" t="n">
        <f aca="false">Calc_1!$E138/Thousand</f>
        <v>-0</v>
      </c>
      <c r="F75" s="32" t="n">
        <f aca="false">Calc_2!$E138/Thousand</f>
        <v>-0</v>
      </c>
    </row>
    <row r="76" customFormat="false" ht="15" hidden="false" customHeight="false" outlineLevel="0" collapsed="false">
      <c r="C76" s="25" t="s">
        <v>127</v>
      </c>
      <c r="D76" s="11" t="s">
        <v>27</v>
      </c>
      <c r="E76" s="33" t="n">
        <f aca="false">Calc_1!$E145</f>
        <v>0.0562961227328924</v>
      </c>
      <c r="F76" s="33" t="n">
        <f aca="false">Calc_2!$E145</f>
        <v>0.0698829968732872</v>
      </c>
    </row>
    <row r="77" customFormat="false" ht="15" hidden="false" customHeight="false" outlineLevel="0" collapsed="false">
      <c r="C77" s="0" t="s">
        <v>128</v>
      </c>
      <c r="D77" s="11" t="s">
        <v>27</v>
      </c>
      <c r="E77" s="22" t="n">
        <f aca="false">Calc_1!$E147</f>
        <v>0.0572094471619621</v>
      </c>
      <c r="F77" s="22" t="n">
        <f aca="false">Calc_2!$E147</f>
        <v>0.0757916899883517</v>
      </c>
    </row>
    <row r="79" customFormat="false" ht="15" hidden="false" customHeight="false" outlineLevel="0" collapsed="false">
      <c r="A79" s="9" t="s">
        <v>13</v>
      </c>
      <c r="B79" s="9"/>
      <c r="C79" s="9" t="s">
        <v>129</v>
      </c>
      <c r="D79" s="9"/>
      <c r="E79" s="10" t="s">
        <v>9</v>
      </c>
      <c r="F79" s="10" t="s">
        <v>10</v>
      </c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</row>
    <row r="80" customFormat="false" ht="15" hidden="false" customHeight="false" outlineLevel="0" collapsed="false">
      <c r="C80" s="0" t="s">
        <v>130</v>
      </c>
      <c r="D80" s="11" t="s">
        <v>82</v>
      </c>
      <c r="E80" s="32" t="n">
        <f aca="false">Calc_1!$E88/Thousand</f>
        <v>80.0843388281759</v>
      </c>
      <c r="F80" s="32" t="n">
        <f aca="false">Calc_2!$E88/Thousand</f>
        <v>77.9839921058252</v>
      </c>
    </row>
    <row r="81" customFormat="false" ht="15" hidden="false" customHeight="false" outlineLevel="0" collapsed="false">
      <c r="C81" s="0" t="s">
        <v>131</v>
      </c>
      <c r="D81" s="11" t="s">
        <v>27</v>
      </c>
      <c r="E81" s="22" t="n">
        <f aca="false">Calc_1!$E90</f>
        <v>0.461007037155847</v>
      </c>
      <c r="F81" s="22" t="n">
        <f aca="false">Calc_2!$E90</f>
        <v>0.627342649123279</v>
      </c>
    </row>
    <row r="82" customFormat="false" ht="15" hidden="false" customHeight="false" outlineLevel="0" collapsed="false">
      <c r="C82" s="0" t="s">
        <v>132</v>
      </c>
      <c r="D82" s="11" t="s">
        <v>27</v>
      </c>
      <c r="E82" s="22" t="n">
        <f aca="false">Calc_1!$F90</f>
        <v>0.618098378837892</v>
      </c>
      <c r="F82" s="22" t="n">
        <f aca="false">Calc_2!$F90</f>
        <v>0.634745653092854</v>
      </c>
    </row>
    <row r="83" customFormat="false" ht="15" hidden="false" customHeight="false" outlineLevel="0" collapsed="false">
      <c r="C83" s="0" t="s">
        <v>133</v>
      </c>
      <c r="D83" s="11" t="s">
        <v>13</v>
      </c>
      <c r="E83" s="29" t="n">
        <f aca="false">In_DSCR_Max_Low</f>
        <v>1.1</v>
      </c>
      <c r="F83" s="29" t="n">
        <f aca="false">In_DSCR_Max_Low</f>
        <v>1.1</v>
      </c>
    </row>
    <row r="84" customFormat="false" ht="15" hidden="false" customHeight="false" outlineLevel="0" collapsed="false">
      <c r="C84" s="0" t="s">
        <v>134</v>
      </c>
      <c r="D84" s="11" t="s">
        <v>82</v>
      </c>
      <c r="E84" s="32" t="n">
        <f aca="false">Calc_1!$E131/Thousand</f>
        <v>87.364733267101</v>
      </c>
      <c r="F84" s="32" t="n">
        <f aca="false">Calc_2!$E131/Thousand</f>
        <v>85.0734459336275</v>
      </c>
    </row>
    <row r="85" customFormat="false" ht="15" hidden="false" customHeight="false" outlineLevel="0" collapsed="false">
      <c r="C85" s="0" t="s">
        <v>135</v>
      </c>
      <c r="D85" s="11" t="s">
        <v>27</v>
      </c>
      <c r="E85" s="22" t="n">
        <f aca="false">Calc_1!$E132</f>
        <v>0.774861002865589</v>
      </c>
      <c r="F85" s="22" t="n">
        <f aca="false">Calc_2!$E132</f>
        <v>0.994764568161118</v>
      </c>
    </row>
    <row r="86" customFormat="false" ht="15" hidden="false" customHeight="false" outlineLevel="0" collapsed="false">
      <c r="C86" s="0" t="s">
        <v>136</v>
      </c>
      <c r="D86" s="11" t="s">
        <v>13</v>
      </c>
      <c r="E86" s="29" t="n">
        <f aca="false">In_DSCR_Max_High</f>
        <v>1.2</v>
      </c>
      <c r="F86" s="29" t="n">
        <f aca="false">In_DSCR_Max_High</f>
        <v>1.2</v>
      </c>
    </row>
    <row r="87" customFormat="false" ht="15" hidden="false" customHeight="false" outlineLevel="0" collapsed="false">
      <c r="C87" s="0" t="s">
        <v>137</v>
      </c>
      <c r="D87" s="11" t="s">
        <v>82</v>
      </c>
      <c r="E87" s="32" t="n">
        <f aca="false">Calc_1!$F131/Thousand</f>
        <v>80.0843388281759</v>
      </c>
      <c r="F87" s="32" t="n">
        <f aca="false">Calc_2!$F131/Thousand</f>
        <v>77.9839921058252</v>
      </c>
    </row>
    <row r="88" customFormat="false" ht="15" hidden="false" customHeight="false" outlineLevel="0" collapsed="false">
      <c r="C88" s="0" t="s">
        <v>138</v>
      </c>
      <c r="D88" s="11" t="s">
        <v>27</v>
      </c>
      <c r="E88" s="22" t="n">
        <f aca="false">Calc_1!$F132</f>
        <v>0.71028925262679</v>
      </c>
      <c r="F88" s="22" t="n">
        <f aca="false">Calc_2!$F132</f>
        <v>0.911867520814358</v>
      </c>
    </row>
    <row r="89" customFormat="false" ht="15" hidden="false" customHeight="false" outlineLevel="0" collapsed="false">
      <c r="C89" s="0" t="s">
        <v>139</v>
      </c>
      <c r="D89" s="11" t="s">
        <v>82</v>
      </c>
      <c r="E89" s="32" t="n">
        <f aca="false">Calc_1!$E106/Thousand</f>
        <v>1.17760153927476</v>
      </c>
      <c r="F89" s="32" t="n">
        <f aca="false">Calc_2!$E106/Thousand</f>
        <v>1.17760153927476</v>
      </c>
    </row>
    <row r="90" customFormat="false" ht="15" hidden="false" customHeight="false" outlineLevel="0" collapsed="false">
      <c r="C90" s="0" t="s">
        <v>140</v>
      </c>
      <c r="D90" s="11" t="s">
        <v>13</v>
      </c>
      <c r="E90" s="29" t="n">
        <f aca="false">Calc_1!$E107</f>
        <v>1.94143851704669</v>
      </c>
      <c r="F90" s="29" t="n">
        <f aca="false">Calc_2!$E107</f>
        <v>1.89052102074728</v>
      </c>
    </row>
    <row r="91" customFormat="false" ht="15" hidden="false" customHeight="false" outlineLevel="0" collapsed="false">
      <c r="C91" s="0" t="s">
        <v>141</v>
      </c>
      <c r="D91" s="11" t="s">
        <v>142</v>
      </c>
      <c r="E91" s="36" t="n">
        <f aca="false">Calc_1!$E75/Thousand</f>
        <v>139.3975128</v>
      </c>
      <c r="F91" s="36" t="n">
        <f aca="false">Calc_2!$E75/Thousand</f>
        <v>139.3975128</v>
      </c>
    </row>
    <row r="92" customFormat="false" ht="15" hidden="false" customHeight="false" outlineLevel="0" collapsed="false">
      <c r="C92" s="0" t="s">
        <v>143</v>
      </c>
      <c r="D92" s="11" t="s">
        <v>82</v>
      </c>
      <c r="E92" s="32" t="n">
        <f aca="false">Calc_1!$E76/Thousand</f>
        <v>12.67123391352</v>
      </c>
      <c r="F92" s="32" t="n">
        <f aca="false">Calc_2!$E76/Thousand</f>
        <v>12.67123391352</v>
      </c>
    </row>
    <row r="93" customFormat="false" ht="15" hidden="false" customHeight="false" outlineLevel="0" collapsed="false">
      <c r="C93" s="0" t="s">
        <v>144</v>
      </c>
      <c r="D93" s="11" t="s">
        <v>82</v>
      </c>
      <c r="E93" s="32" t="n">
        <f aca="false">Calc_1!$E83/Thousand</f>
        <v>9.55688408374485</v>
      </c>
      <c r="F93" s="32" t="n">
        <f aca="false">Calc_2!$E83/Thousand</f>
        <v>9.55688408374485</v>
      </c>
    </row>
    <row r="94" customFormat="false" ht="15" hidden="false" customHeight="false" outlineLevel="0" collapsed="false">
      <c r="C94" s="0" t="s">
        <v>145</v>
      </c>
      <c r="D94" s="11" t="s">
        <v>82</v>
      </c>
      <c r="E94" s="32" t="n">
        <f aca="false">Calc_1!$I76/Thousand</f>
        <v>420.752711777652</v>
      </c>
      <c r="F94" s="32" t="n">
        <f aca="false">Calc_2!$I76/Thousand</f>
        <v>420.752711777652</v>
      </c>
    </row>
    <row r="95" customFormat="false" ht="15" hidden="false" customHeight="false" outlineLevel="0" collapsed="false">
      <c r="C95" s="0" t="s">
        <v>146</v>
      </c>
      <c r="D95" s="11" t="s">
        <v>82</v>
      </c>
      <c r="E95" s="32" t="n">
        <f aca="false">Calc_1!$I83/Thousand</f>
        <v>295.37332772584</v>
      </c>
      <c r="F95" s="32" t="n">
        <f aca="false">Calc_2!$I83/Thousand</f>
        <v>295.37332772584</v>
      </c>
    </row>
    <row r="96" customFormat="false" ht="15" hidden="false" customHeight="false" outlineLevel="0" collapsed="false">
      <c r="C96" s="0" t="s">
        <v>147</v>
      </c>
      <c r="D96" s="11" t="s">
        <v>82</v>
      </c>
      <c r="E96" s="32" t="n">
        <f aca="false">(SUM(Calc_1!$J117:$EO117))/Thousand</f>
        <v>-24.2213771862359</v>
      </c>
      <c r="F96" s="32" t="n">
        <f aca="false">(SUM(Calc_2!$J117:$EO117))/Thousand</f>
        <v>-28.3055357047945</v>
      </c>
    </row>
    <row r="97" customFormat="false" ht="15" hidden="false" customHeight="false" outlineLevel="0" collapsed="false">
      <c r="C97" s="0" t="s">
        <v>148</v>
      </c>
      <c r="D97" s="11" t="s">
        <v>82</v>
      </c>
      <c r="E97" s="32" t="n">
        <f aca="false">(-Calc_1!$I115)/Thousand</f>
        <v>-0</v>
      </c>
      <c r="F97" s="32" t="n">
        <f aca="false">(-Calc_2!$I115)/Thousand</f>
        <v>-0</v>
      </c>
    </row>
    <row r="98" customFormat="false" ht="15" hidden="false" customHeight="false" outlineLevel="0" collapsed="false">
      <c r="C98" s="0" t="s">
        <v>149</v>
      </c>
      <c r="D98" s="11" t="s">
        <v>150</v>
      </c>
      <c r="E98" s="30" t="n">
        <f aca="false">Model_Checks</f>
        <v>0</v>
      </c>
      <c r="F98" s="30" t="n">
        <f aca="false">Model_Checks</f>
        <v>0</v>
      </c>
    </row>
    <row r="100" customFormat="false" ht="15" hidden="false" customHeight="false" outlineLevel="0" collapsed="false">
      <c r="A100" s="9" t="s">
        <v>13</v>
      </c>
      <c r="B100" s="9"/>
      <c r="C100" s="9" t="s">
        <v>151</v>
      </c>
      <c r="D100" s="9"/>
      <c r="E100" s="10" t="s">
        <v>12</v>
      </c>
      <c r="F100" s="10"/>
      <c r="G100" s="9"/>
      <c r="H100" s="10" t="str">
        <f aca="false">Inputs!H$7</f>
        <v>Base</v>
      </c>
      <c r="I100" s="10" t="str">
        <f aca="false">Inputs!I$7</f>
        <v>COD price −10%</v>
      </c>
      <c r="J100" s="10" t="str">
        <f aca="false">Inputs!J$7</f>
        <v>COD price +10%</v>
      </c>
      <c r="K100" s="10" t="str">
        <f aca="false">Inputs!K$7</f>
        <v>Turbine +10%</v>
      </c>
      <c r="L100" s="10" t="str">
        <f aca="false">Inputs!L$7</f>
        <v>Yield −10%</v>
      </c>
      <c r="M100" s="10" t="str">
        <f aca="false">Inputs!M$7</f>
        <v>PPA +10%</v>
      </c>
      <c r="N100" s="10" t="str">
        <f aca="false">Inputs!N$7</f>
        <v>Full PB call</v>
      </c>
      <c r="O100" s="10" t="str">
        <f aca="false">Inputs!O$7</f>
        <v>Rate +1 pp</v>
      </c>
      <c r="P100" s="10" t="str">
        <f aca="false">Inputs!P$7</f>
        <v>Tenor 10 years</v>
      </c>
      <c r="Q100" s="10" t="str">
        <f aca="false">Inputs!Q$7</f>
        <v>Robin Hood 31%</v>
      </c>
      <c r="R100" s="10" t="str">
        <f aca="false">Inputs!R$7</f>
        <v>CIT 9%</v>
      </c>
      <c r="S100" s="10" t="str">
        <f aca="false">Inputs!S$7</f>
        <v>UniCredit terms</v>
      </c>
      <c r="T100" s="10" t="str">
        <f aca="false">Inputs!T$7</f>
        <v>BESS 100 MWh</v>
      </c>
      <c r="U100" s="10" t="str">
        <f aca="false">Inputs!U$7</f>
        <v>Promise all, deliver nothing</v>
      </c>
      <c r="V100" s="10" t="str">
        <f aca="false">Inputs!V$7</f>
        <v>Full cash sweep</v>
      </c>
    </row>
    <row r="101" customFormat="false" ht="15" hidden="false" customHeight="false" outlineLevel="0" collapsed="false">
      <c r="C101" s="0" t="s">
        <v>152</v>
      </c>
      <c r="D101" s="11" t="s">
        <v>53</v>
      </c>
      <c r="E101" s="14" t="n">
        <f aca="false">Calc_1!$E43</f>
        <v>59.5</v>
      </c>
      <c r="H101" s="37" t="n">
        <v>59.5</v>
      </c>
      <c r="I101" s="37" t="n">
        <v>59.5</v>
      </c>
      <c r="J101" s="37" t="n">
        <v>59.5</v>
      </c>
      <c r="K101" s="37" t="n">
        <v>59.5</v>
      </c>
      <c r="L101" s="37" t="n">
        <v>59.5</v>
      </c>
      <c r="M101" s="37" t="n">
        <v>59.5</v>
      </c>
      <c r="N101" s="37" t="n">
        <v>59.5</v>
      </c>
      <c r="O101" s="37" t="n">
        <v>59.5</v>
      </c>
      <c r="P101" s="37" t="n">
        <v>59.5</v>
      </c>
      <c r="Q101" s="37" t="n">
        <v>59.5</v>
      </c>
      <c r="R101" s="37" t="n">
        <v>59.5</v>
      </c>
      <c r="S101" s="37" t="n">
        <v>59.5</v>
      </c>
      <c r="T101" s="37" t="n">
        <v>65.5</v>
      </c>
      <c r="U101" s="37" t="n">
        <v>59.5</v>
      </c>
      <c r="V101" s="37" t="n">
        <v>59.5</v>
      </c>
    </row>
    <row r="102" customFormat="false" ht="15" hidden="false" customHeight="false" outlineLevel="0" collapsed="false">
      <c r="C102" s="0" t="s">
        <v>153</v>
      </c>
      <c r="D102" s="11" t="s">
        <v>53</v>
      </c>
      <c r="E102" s="14" t="n">
        <f aca="false">Calc_2!$E43</f>
        <v>47.5</v>
      </c>
      <c r="H102" s="37" t="n">
        <v>47.5</v>
      </c>
      <c r="I102" s="37" t="n">
        <v>47.5</v>
      </c>
      <c r="J102" s="37" t="n">
        <v>47.5</v>
      </c>
      <c r="K102" s="37" t="n">
        <v>47.5</v>
      </c>
      <c r="L102" s="37" t="n">
        <v>47.5</v>
      </c>
      <c r="M102" s="37" t="n">
        <v>47.5</v>
      </c>
      <c r="N102" s="37" t="n">
        <v>47.5</v>
      </c>
      <c r="O102" s="37" t="n">
        <v>47.5</v>
      </c>
      <c r="P102" s="37" t="n">
        <v>47.5</v>
      </c>
      <c r="Q102" s="37" t="n">
        <v>47.5</v>
      </c>
      <c r="R102" s="37" t="n">
        <v>47.5</v>
      </c>
      <c r="S102" s="37" t="n">
        <v>47.5</v>
      </c>
      <c r="T102" s="37" t="n">
        <v>53.5</v>
      </c>
      <c r="U102" s="37" t="n">
        <v>47.5</v>
      </c>
      <c r="V102" s="37" t="n">
        <v>47.5</v>
      </c>
    </row>
    <row r="103" customFormat="false" ht="15" hidden="false" customHeight="false" outlineLevel="0" collapsed="false">
      <c r="C103" s="0" t="s">
        <v>154</v>
      </c>
      <c r="D103" s="11" t="s">
        <v>77</v>
      </c>
      <c r="E103" s="28" t="n">
        <f aca="false">Calc_1!$E31</f>
        <v>0</v>
      </c>
      <c r="H103" s="38" t="n">
        <v>0</v>
      </c>
      <c r="I103" s="38" t="n">
        <v>0</v>
      </c>
      <c r="J103" s="38" t="n">
        <v>0</v>
      </c>
      <c r="K103" s="38" t="n">
        <v>0</v>
      </c>
      <c r="L103" s="38" t="n">
        <v>0</v>
      </c>
      <c r="M103" s="38" t="n">
        <v>0</v>
      </c>
      <c r="N103" s="38" t="n">
        <v>0</v>
      </c>
      <c r="O103" s="38" t="n">
        <v>0</v>
      </c>
      <c r="P103" s="38" t="n">
        <v>0</v>
      </c>
      <c r="Q103" s="38" t="n">
        <v>0</v>
      </c>
      <c r="R103" s="38" t="n">
        <v>0</v>
      </c>
      <c r="S103" s="38" t="n">
        <v>0</v>
      </c>
      <c r="T103" s="38" t="n">
        <v>0</v>
      </c>
      <c r="U103" s="38" t="n">
        <v>0</v>
      </c>
      <c r="V103" s="38" t="n">
        <v>0</v>
      </c>
    </row>
    <row r="104" customFormat="false" ht="15" hidden="false" customHeight="false" outlineLevel="0" collapsed="false">
      <c r="C104" s="0" t="s">
        <v>155</v>
      </c>
      <c r="D104" s="11" t="s">
        <v>77</v>
      </c>
      <c r="E104" s="28" t="n">
        <f aca="false">Calc_2!$E31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</row>
    <row r="105" customFormat="false" ht="15" hidden="false" customHeight="false" outlineLevel="0" collapsed="false">
      <c r="C105" s="0" t="s">
        <v>156</v>
      </c>
      <c r="D105" s="11" t="s">
        <v>82</v>
      </c>
      <c r="E105" s="32" t="n">
        <f aca="false">(-Calc_1!$I62)/Thousand</f>
        <v>-0</v>
      </c>
      <c r="H105" s="37" t="n">
        <v>0</v>
      </c>
      <c r="I105" s="37" t="n">
        <v>0</v>
      </c>
      <c r="J105" s="37" t="n">
        <v>0</v>
      </c>
      <c r="K105" s="37" t="n">
        <v>0</v>
      </c>
      <c r="L105" s="37" t="n">
        <v>0</v>
      </c>
      <c r="M105" s="37" t="n">
        <v>0</v>
      </c>
      <c r="N105" s="37" t="n">
        <v>2.21643835616438</v>
      </c>
      <c r="O105" s="37" t="n">
        <v>0</v>
      </c>
      <c r="P105" s="37" t="n">
        <v>0</v>
      </c>
      <c r="Q105" s="37" t="n">
        <v>0</v>
      </c>
      <c r="R105" s="37" t="n">
        <v>0</v>
      </c>
      <c r="S105" s="37" t="n">
        <v>0</v>
      </c>
      <c r="T105" s="37" t="n">
        <v>0</v>
      </c>
      <c r="U105" s="37" t="n">
        <v>2.21643835616438</v>
      </c>
      <c r="V105" s="37" t="n">
        <v>0</v>
      </c>
    </row>
    <row r="106" customFormat="false" ht="15" hidden="false" customHeight="false" outlineLevel="0" collapsed="false">
      <c r="C106" s="0" t="s">
        <v>157</v>
      </c>
      <c r="D106" s="11" t="s">
        <v>82</v>
      </c>
      <c r="E106" s="32" t="n">
        <f aca="false">(-Calc_2!$I62)/Thousand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0</v>
      </c>
      <c r="U106" s="37" t="n">
        <v>2.21643835616438</v>
      </c>
      <c r="V106" s="37" t="n">
        <v>0</v>
      </c>
    </row>
    <row r="107" customFormat="false" ht="15" hidden="false" customHeight="false" outlineLevel="0" collapsed="false">
      <c r="C107" s="0" t="s">
        <v>158</v>
      </c>
      <c r="D107" s="11" t="s">
        <v>27</v>
      </c>
      <c r="E107" s="22" t="n">
        <f aca="false">Calc_1!$E140</f>
        <v>0.248075895436541</v>
      </c>
      <c r="H107" s="39" t="n">
        <v>0.248075895436541</v>
      </c>
      <c r="I107" s="39" t="n">
        <v>0.0960567323467009</v>
      </c>
      <c r="J107" s="39" t="n">
        <v>0.379536532995649</v>
      </c>
      <c r="K107" s="39" t="n">
        <v>0.178766673619431</v>
      </c>
      <c r="L107" s="39" t="n">
        <v>0.248075895436541</v>
      </c>
      <c r="M107" s="39" t="n">
        <v>0.248075895436541</v>
      </c>
      <c r="N107" s="39" t="n">
        <v>0.224529030227288</v>
      </c>
      <c r="O107" s="39" t="n">
        <v>0.242604968779591</v>
      </c>
      <c r="P107" s="39" t="n">
        <v>0.248075895436541</v>
      </c>
      <c r="Q107" s="39" t="n">
        <v>0.248075895436541</v>
      </c>
      <c r="R107" s="39" t="n">
        <v>0.248075895436541</v>
      </c>
      <c r="S107" s="39" t="n">
        <v>0.248075895436541</v>
      </c>
      <c r="T107" s="39" t="n">
        <v>0.169838605385035</v>
      </c>
      <c r="U107" s="39" t="n">
        <v>0.449164219098652</v>
      </c>
      <c r="V107" s="39" t="n">
        <v>0.248075895436541</v>
      </c>
    </row>
    <row r="108" customFormat="false" ht="15" hidden="false" customHeight="false" outlineLevel="0" collapsed="false">
      <c r="C108" s="0" t="s">
        <v>159</v>
      </c>
      <c r="D108" s="11" t="s">
        <v>27</v>
      </c>
      <c r="E108" s="22" t="n">
        <f aca="false">Calc_2!$E140</f>
        <v>0.430590128449621</v>
      </c>
      <c r="H108" s="39" t="n">
        <v>0.430590128449621</v>
      </c>
      <c r="I108" s="39" t="n">
        <v>0.287411191448247</v>
      </c>
      <c r="J108" s="39" t="n">
        <v>0.55149792903843</v>
      </c>
      <c r="K108" s="39" t="n">
        <v>0.384535533917833</v>
      </c>
      <c r="L108" s="39" t="n">
        <v>0.430590128449621</v>
      </c>
      <c r="M108" s="39" t="n">
        <v>0.430590128449621</v>
      </c>
      <c r="N108" s="39" t="n">
        <v>0.40497777844814</v>
      </c>
      <c r="O108" s="39" t="n">
        <v>0.423692083147379</v>
      </c>
      <c r="P108" s="39" t="n">
        <v>0.430590128449621</v>
      </c>
      <c r="Q108" s="39" t="n">
        <v>0.430590128449621</v>
      </c>
      <c r="R108" s="39" t="n">
        <v>0.430590128449621</v>
      </c>
      <c r="S108" s="39" t="n">
        <v>0.430590128449621</v>
      </c>
      <c r="T108" s="39" t="n">
        <v>0.331642736465738</v>
      </c>
      <c r="U108" s="39" t="n">
        <v>0.449164219098652</v>
      </c>
      <c r="V108" s="39" t="n">
        <v>0.430590128449621</v>
      </c>
    </row>
    <row r="109" customFormat="false" ht="15" hidden="false" customHeight="false" outlineLevel="0" collapsed="false">
      <c r="C109" s="0" t="s">
        <v>160</v>
      </c>
      <c r="D109" s="11" t="s">
        <v>13</v>
      </c>
      <c r="E109" s="29" t="n">
        <f aca="false">Calc_1!$E141</f>
        <v>1.33026008442252</v>
      </c>
      <c r="H109" s="40" t="n">
        <v>1.33026008442252</v>
      </c>
      <c r="I109" s="40" t="n">
        <v>1.11818132991445</v>
      </c>
      <c r="J109" s="40" t="n">
        <v>1.54233883893058</v>
      </c>
      <c r="K109" s="40" t="n">
        <v>1.22413188281728</v>
      </c>
      <c r="L109" s="40" t="n">
        <v>1.33026008442252</v>
      </c>
      <c r="M109" s="40" t="n">
        <v>1.33026008442252</v>
      </c>
      <c r="N109" s="40" t="n">
        <v>1.29521697671444</v>
      </c>
      <c r="O109" s="40" t="n">
        <v>1.32140236483316</v>
      </c>
      <c r="P109" s="40" t="n">
        <v>1.33026008442252</v>
      </c>
      <c r="Q109" s="40" t="n">
        <v>1.33026008442252</v>
      </c>
      <c r="R109" s="40" t="n">
        <v>1.33026008442252</v>
      </c>
      <c r="S109" s="40" t="n">
        <v>1.33026008442252</v>
      </c>
      <c r="T109" s="40" t="n">
        <v>1.2118723849892</v>
      </c>
      <c r="U109" s="40" t="n">
        <v>1.95852582185113</v>
      </c>
      <c r="V109" s="40" t="n">
        <v>1.33026008442252</v>
      </c>
    </row>
    <row r="110" customFormat="false" ht="15" hidden="false" customHeight="false" outlineLevel="0" collapsed="false">
      <c r="C110" s="0" t="s">
        <v>161</v>
      </c>
      <c r="D110" s="11" t="s">
        <v>13</v>
      </c>
      <c r="E110" s="29" t="n">
        <f aca="false">Calc_2!$E141</f>
        <v>1.80379956128269</v>
      </c>
      <c r="H110" s="40" t="n">
        <v>1.80379956128269</v>
      </c>
      <c r="I110" s="40" t="n">
        <v>1.48461240536352</v>
      </c>
      <c r="J110" s="40" t="n">
        <v>2.12298671720185</v>
      </c>
      <c r="K110" s="40" t="n">
        <v>1.67005349532546</v>
      </c>
      <c r="L110" s="40" t="n">
        <v>1.80379956128269</v>
      </c>
      <c r="M110" s="40" t="n">
        <v>1.80379956128269</v>
      </c>
      <c r="N110" s="40" t="n">
        <v>1.74226804093702</v>
      </c>
      <c r="O110" s="40" t="n">
        <v>1.78258889791626</v>
      </c>
      <c r="P110" s="40" t="n">
        <v>1.80379956128269</v>
      </c>
      <c r="Q110" s="40" t="n">
        <v>1.80379956128269</v>
      </c>
      <c r="R110" s="40" t="n">
        <v>1.80379956128269</v>
      </c>
      <c r="S110" s="40" t="n">
        <v>1.80379956128269</v>
      </c>
      <c r="T110" s="40" t="n">
        <v>1.53978316134311</v>
      </c>
      <c r="U110" s="40" t="n">
        <v>1.95852582185113</v>
      </c>
      <c r="V110" s="40" t="n">
        <v>1.80379956128269</v>
      </c>
    </row>
    <row r="111" customFormat="false" ht="15" hidden="false" customHeight="false" outlineLevel="0" collapsed="false">
      <c r="C111" s="0" t="s">
        <v>162</v>
      </c>
      <c r="D111" s="11" t="s">
        <v>27</v>
      </c>
      <c r="E111" s="22" t="n">
        <f aca="false">Calc_1!$E153</f>
        <v>0.0740585134078263</v>
      </c>
      <c r="H111" s="39" t="n">
        <v>0.0740585134078263</v>
      </c>
      <c r="I111" s="39" t="n">
        <v>0.0740585134078263</v>
      </c>
      <c r="J111" s="39" t="n">
        <v>0.0740585134078263</v>
      </c>
      <c r="K111" s="39" t="n">
        <v>0.0682004491468102</v>
      </c>
      <c r="L111" s="39" t="n">
        <v>0.0593650212572594</v>
      </c>
      <c r="M111" s="39" t="n">
        <v>0.0893416424789257</v>
      </c>
      <c r="N111" s="39" t="n">
        <v>0.0716631002014391</v>
      </c>
      <c r="O111" s="39" t="n">
        <v>0.070738434385586</v>
      </c>
      <c r="P111" s="39" t="n">
        <v>0.0715084121207986</v>
      </c>
      <c r="Q111" s="39" t="n">
        <v>0.0556701340401207</v>
      </c>
      <c r="R111" s="39" t="n">
        <v>0.0770294058342759</v>
      </c>
      <c r="S111" s="39" t="n">
        <v>0.072524854012716</v>
      </c>
      <c r="T111" s="39" t="n">
        <v>0.0673677804399101</v>
      </c>
      <c r="U111" s="39" t="n">
        <v>0.129255973775779</v>
      </c>
      <c r="V111" s="39" t="n">
        <v>0.0696866922154781</v>
      </c>
    </row>
    <row r="112" customFormat="false" ht="15" hidden="false" customHeight="false" outlineLevel="0" collapsed="false">
      <c r="C112" s="0" t="s">
        <v>163</v>
      </c>
      <c r="D112" s="11" t="s">
        <v>27</v>
      </c>
      <c r="E112" s="22" t="n">
        <f aca="false">Calc_2!$E153</f>
        <v>0.118465201099218</v>
      </c>
      <c r="H112" s="39" t="n">
        <v>0.118465201099218</v>
      </c>
      <c r="I112" s="39" t="n">
        <v>0.118465201099218</v>
      </c>
      <c r="J112" s="39" t="n">
        <v>0.118465201099218</v>
      </c>
      <c r="K112" s="39" t="n">
        <v>0.111857706203215</v>
      </c>
      <c r="L112" s="39" t="n">
        <v>0.0986048068299355</v>
      </c>
      <c r="M112" s="39" t="n">
        <v>0.139657143018352</v>
      </c>
      <c r="N112" s="39" t="n">
        <v>0.113784117718572</v>
      </c>
      <c r="O112" s="39" t="n">
        <v>0.113056997649923</v>
      </c>
      <c r="P112" s="39" t="n">
        <v>0.109705297652446</v>
      </c>
      <c r="Q112" s="39" t="n">
        <v>0.0892001298973217</v>
      </c>
      <c r="R112" s="39" t="n">
        <v>0.123246802128408</v>
      </c>
      <c r="S112" s="39" t="n">
        <v>0.11323890789288</v>
      </c>
      <c r="T112" s="39" t="n">
        <v>0.104892388699799</v>
      </c>
      <c r="U112" s="39" t="n">
        <v>0.129255973775779</v>
      </c>
      <c r="V112" s="39" t="n">
        <v>0.10372140364497</v>
      </c>
    </row>
    <row r="113" customFormat="false" ht="15" hidden="false" customHeight="false" outlineLevel="0" collapsed="false">
      <c r="C113" s="0" t="s">
        <v>164</v>
      </c>
      <c r="D113" s="11" t="s">
        <v>13</v>
      </c>
      <c r="E113" s="29" t="n">
        <f aca="false">Calc_1!$E154</f>
        <v>3.130403587176</v>
      </c>
      <c r="H113" s="40" t="n">
        <v>3.130403587176</v>
      </c>
      <c r="I113" s="40" t="n">
        <v>3.130403587176</v>
      </c>
      <c r="J113" s="40" t="n">
        <v>3.130403587176</v>
      </c>
      <c r="K113" s="40" t="n">
        <v>2.89634123799537</v>
      </c>
      <c r="L113" s="40" t="n">
        <v>2.64241682511351</v>
      </c>
      <c r="M113" s="40" t="n">
        <v>3.67216591577656</v>
      </c>
      <c r="N113" s="40" t="n">
        <v>3.06098427085044</v>
      </c>
      <c r="O113" s="40" t="n">
        <v>3.04491552253293</v>
      </c>
      <c r="P113" s="40" t="n">
        <v>3.21487861817944</v>
      </c>
      <c r="Q113" s="40" t="n">
        <v>2.34298293605763</v>
      </c>
      <c r="R113" s="40" t="n">
        <v>3.28078501685902</v>
      </c>
      <c r="S113" s="40" t="n">
        <v>3.18339381920054</v>
      </c>
      <c r="T113" s="40" t="n">
        <v>2.86721150615099</v>
      </c>
      <c r="U113" s="40" t="n">
        <v>5.98061529952772</v>
      </c>
      <c r="V113" s="40" t="n">
        <v>3.29804733398676</v>
      </c>
    </row>
    <row r="114" customFormat="false" ht="15" hidden="false" customHeight="false" outlineLevel="0" collapsed="false">
      <c r="C114" s="0" t="s">
        <v>165</v>
      </c>
      <c r="D114" s="11" t="s">
        <v>13</v>
      </c>
      <c r="E114" s="29" t="n">
        <f aca="false">Calc_2!$E154</f>
        <v>5.31191565866826</v>
      </c>
      <c r="H114" s="40" t="n">
        <v>5.31191565866826</v>
      </c>
      <c r="I114" s="40" t="n">
        <v>5.31191565866826</v>
      </c>
      <c r="J114" s="40" t="n">
        <v>5.31191565866826</v>
      </c>
      <c r="K114" s="40" t="n">
        <v>4.94042023343938</v>
      </c>
      <c r="L114" s="40" t="n">
        <v>4.47244328292997</v>
      </c>
      <c r="M114" s="40" t="n">
        <v>6.25022195359846</v>
      </c>
      <c r="N114" s="40" t="n">
        <v>5.12806649270853</v>
      </c>
      <c r="O114" s="40" t="n">
        <v>5.13680859801795</v>
      </c>
      <c r="P114" s="40" t="n">
        <v>5.43420815565506</v>
      </c>
      <c r="Q114" s="40" t="n">
        <v>3.72127436968707</v>
      </c>
      <c r="R114" s="40" t="n">
        <v>5.61628617575072</v>
      </c>
      <c r="S114" s="40" t="n">
        <v>5.39181734305561</v>
      </c>
      <c r="T114" s="40" t="n">
        <v>4.57447732474697</v>
      </c>
      <c r="U114" s="40" t="n">
        <v>5.98061529952772</v>
      </c>
      <c r="V114" s="40" t="n">
        <v>5.59734704307907</v>
      </c>
    </row>
    <row r="115" customFormat="false" ht="15" hidden="false" customHeight="false" outlineLevel="0" collapsed="false">
      <c r="C115" s="0" t="s">
        <v>166</v>
      </c>
      <c r="D115" s="11" t="s">
        <v>82</v>
      </c>
      <c r="E115" s="32" t="n">
        <f aca="false">Calc_1!$E103/Thousand</f>
        <v>49.5</v>
      </c>
      <c r="H115" s="37" t="n">
        <v>49.5</v>
      </c>
      <c r="I115" s="37" t="n">
        <v>49.5</v>
      </c>
      <c r="J115" s="37" t="n">
        <v>49.5</v>
      </c>
      <c r="K115" s="37" t="n">
        <v>49.5</v>
      </c>
      <c r="L115" s="37" t="n">
        <v>49.5</v>
      </c>
      <c r="M115" s="37" t="n">
        <v>49.5</v>
      </c>
      <c r="N115" s="37" t="n">
        <v>49.5</v>
      </c>
      <c r="O115" s="37" t="n">
        <v>49.5</v>
      </c>
      <c r="P115" s="37" t="n">
        <v>49.5</v>
      </c>
      <c r="Q115" s="37" t="n">
        <v>49.5</v>
      </c>
      <c r="R115" s="37" t="n">
        <v>49.5</v>
      </c>
      <c r="S115" s="37" t="n">
        <v>49.5</v>
      </c>
      <c r="T115" s="37" t="n">
        <v>49.5</v>
      </c>
      <c r="U115" s="37" t="n">
        <v>45</v>
      </c>
      <c r="V115" s="37" t="n">
        <v>49.5</v>
      </c>
    </row>
    <row r="116" customFormat="false" ht="15" hidden="false" customHeight="false" outlineLevel="0" collapsed="false">
      <c r="C116" s="0" t="s">
        <v>167</v>
      </c>
      <c r="D116" s="11" t="s">
        <v>82</v>
      </c>
      <c r="E116" s="32" t="n">
        <f aca="false">Calc_2!$E103/Thousand</f>
        <v>49.5</v>
      </c>
      <c r="H116" s="37" t="n">
        <v>49.5</v>
      </c>
      <c r="I116" s="37" t="n">
        <v>49.5</v>
      </c>
      <c r="J116" s="37" t="n">
        <v>49.5</v>
      </c>
      <c r="K116" s="37" t="n">
        <v>49.5</v>
      </c>
      <c r="L116" s="37" t="n">
        <v>49.5</v>
      </c>
      <c r="M116" s="37" t="n">
        <v>49.5</v>
      </c>
      <c r="N116" s="37" t="n">
        <v>49.5</v>
      </c>
      <c r="O116" s="37" t="n">
        <v>49.5</v>
      </c>
      <c r="P116" s="37" t="n">
        <v>49.5</v>
      </c>
      <c r="Q116" s="37" t="n">
        <v>49.5</v>
      </c>
      <c r="R116" s="37" t="n">
        <v>49.5</v>
      </c>
      <c r="S116" s="37" t="n">
        <v>49.5</v>
      </c>
      <c r="T116" s="37" t="n">
        <v>49.5</v>
      </c>
      <c r="U116" s="37" t="n">
        <v>45</v>
      </c>
      <c r="V116" s="37" t="n">
        <v>49.5</v>
      </c>
    </row>
    <row r="117" customFormat="false" ht="15" hidden="false" customHeight="false" outlineLevel="0" collapsed="false">
      <c r="C117" s="0" t="s">
        <v>168</v>
      </c>
      <c r="D117" s="11" t="s">
        <v>82</v>
      </c>
      <c r="E117" s="32" t="n">
        <f aca="false">Calc_1!$E129/Thousand</f>
        <v>63.2489097322087</v>
      </c>
      <c r="H117" s="37" t="n">
        <v>63.2489097322087</v>
      </c>
      <c r="I117" s="37" t="n">
        <v>63.2489097322087</v>
      </c>
      <c r="J117" s="37" t="n">
        <v>63.2489097322087</v>
      </c>
      <c r="K117" s="37" t="n">
        <v>68.7323818462775</v>
      </c>
      <c r="L117" s="37" t="n">
        <v>63.2489097322087</v>
      </c>
      <c r="M117" s="37" t="n">
        <v>63.2489097322087</v>
      </c>
      <c r="N117" s="37" t="n">
        <v>63.2489097322087</v>
      </c>
      <c r="O117" s="37" t="n">
        <v>63.6728843834206</v>
      </c>
      <c r="P117" s="37" t="n">
        <v>63.2489097322087</v>
      </c>
      <c r="Q117" s="37" t="n">
        <v>63.2489097322087</v>
      </c>
      <c r="R117" s="37" t="n">
        <v>63.2489097322087</v>
      </c>
      <c r="S117" s="37" t="n">
        <v>63.2489097322087</v>
      </c>
      <c r="T117" s="37" t="n">
        <v>69.4276897816676</v>
      </c>
      <c r="U117" s="37" t="n">
        <v>29.2483055391597</v>
      </c>
      <c r="V117" s="37" t="n">
        <v>63.2489097322087</v>
      </c>
    </row>
    <row r="118" customFormat="false" ht="15" hidden="false" customHeight="false" outlineLevel="0" collapsed="false">
      <c r="C118" s="0" t="s">
        <v>169</v>
      </c>
      <c r="D118" s="11" t="s">
        <v>82</v>
      </c>
      <c r="E118" s="32" t="n">
        <f aca="false">Calc_2!$E129/Thousand</f>
        <v>36.0211862751514</v>
      </c>
      <c r="H118" s="37" t="n">
        <v>36.0211862751514</v>
      </c>
      <c r="I118" s="37" t="n">
        <v>36.0211862751514</v>
      </c>
      <c r="J118" s="37" t="n">
        <v>36.0211862751514</v>
      </c>
      <c r="K118" s="37" t="n">
        <v>38.9059393497678</v>
      </c>
      <c r="L118" s="37" t="n">
        <v>36.0211862751514</v>
      </c>
      <c r="M118" s="37" t="n">
        <v>36.0211862751514</v>
      </c>
      <c r="N118" s="37" t="n">
        <v>36.0211862751514</v>
      </c>
      <c r="O118" s="37" t="n">
        <v>36.4497950570387</v>
      </c>
      <c r="P118" s="37" t="n">
        <v>36.0211862751514</v>
      </c>
      <c r="Q118" s="37" t="n">
        <v>36.0211862751514</v>
      </c>
      <c r="R118" s="37" t="n">
        <v>36.0211862751514</v>
      </c>
      <c r="S118" s="37" t="n">
        <v>36.0211862751514</v>
      </c>
      <c r="T118" s="37" t="n">
        <v>42.1975000319683</v>
      </c>
      <c r="U118" s="37" t="n">
        <v>29.2483055391597</v>
      </c>
      <c r="V118" s="37" t="n">
        <v>36.0211862751514</v>
      </c>
    </row>
    <row r="119" customFormat="false" ht="15" hidden="false" customHeight="false" outlineLevel="0" collapsed="false">
      <c r="C119" s="0" t="s">
        <v>170</v>
      </c>
      <c r="D119" s="11" t="s">
        <v>27</v>
      </c>
      <c r="E119" s="22" t="n">
        <f aca="false">Calc_1!$E145</f>
        <v>0.0562961227328924</v>
      </c>
      <c r="H119" s="39" t="n">
        <v>0.0562961227328924</v>
      </c>
      <c r="I119" s="39" t="n">
        <v>0.0667857638807504</v>
      </c>
      <c r="J119" s="39" t="n">
        <v>0.0473832371968899</v>
      </c>
      <c r="K119" s="39" t="n">
        <v>0.056636930283023</v>
      </c>
      <c r="L119" s="39" t="n">
        <v>0.0451789595772149</v>
      </c>
      <c r="M119" s="39" t="n">
        <v>0.067846570241022</v>
      </c>
      <c r="N119" s="39" t="n">
        <v>0.0563390194200723</v>
      </c>
      <c r="O119" s="39" t="n">
        <v>0.0566571537286839</v>
      </c>
      <c r="P119" s="39" t="n">
        <v>0.0557952164582265</v>
      </c>
      <c r="Q119" s="39" t="n">
        <v>0.0413609046898816</v>
      </c>
      <c r="R119" s="39" t="n">
        <v>0.0587547948642159</v>
      </c>
      <c r="S119" s="39" t="n">
        <v>0.0560024442582997</v>
      </c>
      <c r="T119" s="39" t="n">
        <v>0.0565903126383442</v>
      </c>
      <c r="U119" s="39" t="n">
        <v>0.0734997500785467</v>
      </c>
      <c r="V119" s="39" t="n">
        <v>0.0553823928256928</v>
      </c>
    </row>
    <row r="120" customFormat="false" ht="15" hidden="false" customHeight="false" outlineLevel="0" collapsed="false">
      <c r="C120" s="0" t="s">
        <v>171</v>
      </c>
      <c r="D120" s="11" t="s">
        <v>27</v>
      </c>
      <c r="E120" s="22" t="n">
        <f aca="false">Calc_2!$E145</f>
        <v>0.0698829968732872</v>
      </c>
      <c r="H120" s="39" t="n">
        <v>0.0698829968732872</v>
      </c>
      <c r="I120" s="39" t="n">
        <v>0.0813213114574836</v>
      </c>
      <c r="J120" s="39" t="n">
        <v>0.0602160296319145</v>
      </c>
      <c r="K120" s="39" t="n">
        <v>0.0700964039944031</v>
      </c>
      <c r="L120" s="39" t="n">
        <v>0.0578383220587189</v>
      </c>
      <c r="M120" s="39" t="n">
        <v>0.0826142231497845</v>
      </c>
      <c r="N120" s="39" t="n">
        <v>0.0699499207149638</v>
      </c>
      <c r="O120" s="39" t="n">
        <v>0.0703662372045241</v>
      </c>
      <c r="P120" s="39" t="n">
        <v>0.0693105900107367</v>
      </c>
      <c r="Q120" s="39" t="n">
        <v>0.0499018562507525</v>
      </c>
      <c r="R120" s="39" t="n">
        <v>0.0732031257640695</v>
      </c>
      <c r="S120" s="39" t="n">
        <v>0.0695501946335197</v>
      </c>
      <c r="T120" s="39" t="n">
        <v>0.070260730433115</v>
      </c>
      <c r="U120" s="39" t="n">
        <v>0.0734997500785467</v>
      </c>
      <c r="V120" s="39" t="n">
        <v>0.0688431565355214</v>
      </c>
    </row>
    <row r="121" customFormat="false" ht="15" hidden="false" customHeight="false" outlineLevel="0" collapsed="false">
      <c r="C121" s="0" t="s">
        <v>172</v>
      </c>
      <c r="D121" s="11" t="s">
        <v>27</v>
      </c>
      <c r="E121" s="22" t="n">
        <f aca="false">Calc_1!$E147</f>
        <v>0.0572094471619621</v>
      </c>
      <c r="H121" s="39" t="n">
        <v>0.0572094471619621</v>
      </c>
      <c r="I121" s="39" t="n">
        <v>0.0712733434056177</v>
      </c>
      <c r="J121" s="39" t="n">
        <v>0.0460791709086351</v>
      </c>
      <c r="K121" s="39" t="n">
        <v>0.0576450083990026</v>
      </c>
      <c r="L121" s="39" t="n">
        <v>0.0431277715443733</v>
      </c>
      <c r="M121" s="39" t="n">
        <v>0.0720279803213696</v>
      </c>
      <c r="N121" s="39" t="n">
        <v>0.0572655420806427</v>
      </c>
      <c r="O121" s="39" t="n">
        <v>0.0546891303153138</v>
      </c>
      <c r="P121" s="39" t="n">
        <v>0.0561350577802016</v>
      </c>
      <c r="Q121" s="39" t="n">
        <v>0.0380137968206791</v>
      </c>
      <c r="R121" s="39" t="n">
        <v>0.0603225730764963</v>
      </c>
      <c r="S121" s="39" t="n">
        <v>0.0565588695286041</v>
      </c>
      <c r="T121" s="39" t="n">
        <v>0.0575847133245499</v>
      </c>
      <c r="U121" s="39" t="n">
        <v>0.0807398982812387</v>
      </c>
      <c r="V121" s="39" t="n">
        <v>0.0553757219792907</v>
      </c>
    </row>
    <row r="122" customFormat="false" ht="15" hidden="false" customHeight="false" outlineLevel="0" collapsed="false">
      <c r="C122" s="0" t="s">
        <v>173</v>
      </c>
      <c r="D122" s="11" t="s">
        <v>27</v>
      </c>
      <c r="E122" s="22" t="n">
        <f aca="false">Calc_2!$E147</f>
        <v>0.0757916899883517</v>
      </c>
      <c r="H122" s="39" t="n">
        <v>0.0757916899883517</v>
      </c>
      <c r="I122" s="39" t="n">
        <v>0.0933990418900064</v>
      </c>
      <c r="J122" s="39" t="n">
        <v>0.0623692697134978</v>
      </c>
      <c r="K122" s="39" t="n">
        <v>0.0760880058991273</v>
      </c>
      <c r="L122" s="39" t="n">
        <v>0.0594833114368884</v>
      </c>
      <c r="M122" s="39" t="n">
        <v>0.0934068831455154</v>
      </c>
      <c r="N122" s="39" t="n">
        <v>0.0758965867571579</v>
      </c>
      <c r="O122" s="39" t="n">
        <v>0.0726493723992949</v>
      </c>
      <c r="P122" s="39" t="n">
        <v>0.0727579546203511</v>
      </c>
      <c r="Q122" s="39" t="n">
        <v>0.0488154530619781</v>
      </c>
      <c r="R122" s="39" t="n">
        <v>0.080248780033829</v>
      </c>
      <c r="S122" s="39" t="n">
        <v>0.0739584527792631</v>
      </c>
      <c r="T122" s="39" t="n">
        <v>0.0763127106529969</v>
      </c>
      <c r="U122" s="39" t="n">
        <v>0.0807398982812387</v>
      </c>
      <c r="V122" s="39" t="n">
        <v>0.0707247999980913</v>
      </c>
    </row>
    <row r="123" customFormat="false" ht="15" hidden="false" customHeight="false" outlineLevel="0" collapsed="false">
      <c r="C123" s="0" t="s">
        <v>174</v>
      </c>
      <c r="D123" s="11" t="s">
        <v>13</v>
      </c>
      <c r="E123" s="29" t="n">
        <f aca="false">Calc_1!$E107</f>
        <v>1.94143851704669</v>
      </c>
      <c r="H123" s="40" t="n">
        <v>1.94143851704669</v>
      </c>
      <c r="I123" s="40" t="n">
        <v>1.94143851704669</v>
      </c>
      <c r="J123" s="40" t="n">
        <v>1.94143851704669</v>
      </c>
      <c r="K123" s="40" t="n">
        <v>1.95004289408903</v>
      </c>
      <c r="L123" s="40" t="n">
        <v>1.72392160338652</v>
      </c>
      <c r="M123" s="40" t="n">
        <v>2.1565891905875</v>
      </c>
      <c r="N123" s="40" t="n">
        <v>1.94143851704669</v>
      </c>
      <c r="O123" s="40" t="n">
        <v>1.82088539158087</v>
      </c>
      <c r="P123" s="40" t="n">
        <v>1.43929214216058</v>
      </c>
      <c r="Q123" s="40" t="n">
        <v>1.66864784943016</v>
      </c>
      <c r="R123" s="40" t="n">
        <v>1.96158434450089</v>
      </c>
      <c r="S123" s="40" t="n">
        <v>1.65194549435265</v>
      </c>
      <c r="T123" s="40" t="n">
        <v>1.94777868118952</v>
      </c>
      <c r="U123" s="40" t="n">
        <v>1.96264794542234</v>
      </c>
      <c r="V123" s="40" t="n">
        <v>1.92442104995032</v>
      </c>
    </row>
    <row r="124" customFormat="false" ht="15" hidden="false" customHeight="false" outlineLevel="0" collapsed="false">
      <c r="C124" s="0" t="s">
        <v>175</v>
      </c>
      <c r="D124" s="11" t="s">
        <v>13</v>
      </c>
      <c r="E124" s="29" t="n">
        <f aca="false">Calc_2!$E107</f>
        <v>1.89052102074728</v>
      </c>
      <c r="H124" s="40" t="n">
        <v>1.89052102074728</v>
      </c>
      <c r="I124" s="40" t="n">
        <v>1.89052102074728</v>
      </c>
      <c r="J124" s="40" t="n">
        <v>1.89052102074728</v>
      </c>
      <c r="K124" s="40" t="n">
        <v>1.8950471528747</v>
      </c>
      <c r="L124" s="40" t="n">
        <v>1.6811994798851</v>
      </c>
      <c r="M124" s="40" t="n">
        <v>2.11386706708607</v>
      </c>
      <c r="N124" s="40" t="n">
        <v>1.89052102074728</v>
      </c>
      <c r="O124" s="40" t="n">
        <v>1.7808678276339</v>
      </c>
      <c r="P124" s="40" t="n">
        <v>1.40442022398132</v>
      </c>
      <c r="Q124" s="40" t="n">
        <v>1.53763333735912</v>
      </c>
      <c r="R124" s="40" t="n">
        <v>1.92928511349184</v>
      </c>
      <c r="S124" s="40" t="n">
        <v>1.61345512176832</v>
      </c>
      <c r="T124" s="40" t="n">
        <v>1.89114931677075</v>
      </c>
      <c r="U124" s="40" t="n">
        <v>1.96264794542234</v>
      </c>
      <c r="V124" s="40" t="n">
        <v>1.86581404584131</v>
      </c>
    </row>
    <row r="125" customFormat="false" ht="15" hidden="false" customHeight="false" outlineLevel="0" collapsed="false">
      <c r="C125" s="0" t="s">
        <v>176</v>
      </c>
      <c r="D125" s="11" t="s">
        <v>150</v>
      </c>
      <c r="E125" s="30" t="n">
        <f aca="false">Model_Checks</f>
        <v>0</v>
      </c>
      <c r="H125" s="41" t="n">
        <v>0</v>
      </c>
      <c r="I125" s="41" t="n">
        <v>0</v>
      </c>
      <c r="J125" s="41" t="n">
        <v>0</v>
      </c>
      <c r="K125" s="41" t="n">
        <v>0</v>
      </c>
      <c r="L125" s="41" t="n">
        <v>0</v>
      </c>
      <c r="M125" s="41" t="n">
        <v>0</v>
      </c>
      <c r="N125" s="41" t="n">
        <v>0</v>
      </c>
      <c r="O125" s="41" t="n">
        <v>0</v>
      </c>
      <c r="P125" s="41" t="n">
        <v>0</v>
      </c>
      <c r="Q125" s="41" t="n">
        <v>0</v>
      </c>
      <c r="R125" s="41" t="n">
        <v>0</v>
      </c>
      <c r="S125" s="41" t="n">
        <v>0</v>
      </c>
      <c r="T125" s="41" t="n">
        <v>0</v>
      </c>
      <c r="U125" s="41" t="n">
        <v>0</v>
      </c>
      <c r="V125" s="41" t="n">
        <v>0</v>
      </c>
    </row>
    <row r="126" customFormat="false" ht="15" hidden="false" customHeight="false" outlineLevel="0" collapsed="false">
      <c r="C126" s="0" t="s">
        <v>177</v>
      </c>
      <c r="D126" s="11" t="s">
        <v>150</v>
      </c>
      <c r="E126" s="30" t="n">
        <f aca="false">Model_Checks</f>
        <v>0</v>
      </c>
      <c r="H126" s="41" t="n">
        <v>0</v>
      </c>
      <c r="I126" s="41" t="n">
        <v>0</v>
      </c>
      <c r="J126" s="41" t="n">
        <v>0</v>
      </c>
      <c r="K126" s="41" t="n">
        <v>0</v>
      </c>
      <c r="L126" s="41" t="n">
        <v>0</v>
      </c>
      <c r="M126" s="41" t="n">
        <v>0</v>
      </c>
      <c r="N126" s="41" t="n">
        <v>0</v>
      </c>
      <c r="O126" s="41" t="n">
        <v>0</v>
      </c>
      <c r="P126" s="41" t="n">
        <v>0</v>
      </c>
      <c r="Q126" s="41" t="n">
        <v>0</v>
      </c>
      <c r="R126" s="41" t="n">
        <v>0</v>
      </c>
      <c r="S126" s="41" t="n">
        <v>0</v>
      </c>
      <c r="T126" s="41" t="n">
        <v>0</v>
      </c>
      <c r="U126" s="41" t="n">
        <v>0</v>
      </c>
      <c r="V126" s="41" t="n">
        <v>0</v>
      </c>
    </row>
    <row r="128" customFormat="false" ht="15" hidden="false" customHeight="false" outlineLevel="0" collapsed="false">
      <c r="C128" s="42" t="s">
        <v>178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Z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X11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3" min="8" style="0" width="12"/>
    <col collapsed="false" customWidth="true" hidden="false" outlineLevel="0" max="24" min="24" style="0" width="2"/>
    <col collapsed="false" customWidth="false" hidden="true" outlineLevel="1" max="16384" min="25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4" customFormat="false" ht="15" hidden="false" customHeight="false" outlineLevel="0" collapsed="false">
      <c r="B4" s="0" t="s">
        <v>179</v>
      </c>
      <c r="D4" s="0" t="s">
        <v>180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181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182</v>
      </c>
      <c r="C7" s="7" t="s">
        <v>8</v>
      </c>
      <c r="D7" s="7" t="s">
        <v>183</v>
      </c>
      <c r="F7" s="8" t="s">
        <v>12</v>
      </c>
      <c r="H7" s="45" t="s">
        <v>22</v>
      </c>
      <c r="I7" s="45" t="s">
        <v>184</v>
      </c>
      <c r="J7" s="45" t="s">
        <v>185</v>
      </c>
      <c r="K7" s="45" t="s">
        <v>186</v>
      </c>
      <c r="L7" s="45" t="s">
        <v>187</v>
      </c>
      <c r="M7" s="45" t="s">
        <v>188</v>
      </c>
      <c r="N7" s="45" t="s">
        <v>189</v>
      </c>
      <c r="O7" s="45" t="s">
        <v>190</v>
      </c>
      <c r="P7" s="45" t="s">
        <v>191</v>
      </c>
      <c r="Q7" s="45" t="s">
        <v>192</v>
      </c>
      <c r="R7" s="45" t="s">
        <v>193</v>
      </c>
      <c r="S7" s="45" t="s">
        <v>194</v>
      </c>
      <c r="T7" s="45" t="s">
        <v>195</v>
      </c>
      <c r="U7" s="45" t="s">
        <v>196</v>
      </c>
      <c r="V7" s="45" t="s">
        <v>197</v>
      </c>
      <c r="W7" s="8"/>
    </row>
    <row r="10" customFormat="false" ht="15" hidden="false" customHeight="false" outlineLevel="0" collapsed="false">
      <c r="A10" s="9" t="s">
        <v>13</v>
      </c>
      <c r="B10" s="9"/>
      <c r="C10" s="9" t="s">
        <v>198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customFormat="false" ht="15" hidden="false" customHeight="false" outlineLevel="0" collapsed="false">
      <c r="B11" s="0" t="s">
        <v>199</v>
      </c>
      <c r="C11" s="11" t="s">
        <v>150</v>
      </c>
      <c r="D11" s="13" t="s">
        <v>200</v>
      </c>
      <c r="F11" s="45" t="n">
        <v>1000</v>
      </c>
    </row>
    <row r="12" customFormat="false" ht="15" hidden="false" customHeight="false" outlineLevel="0" collapsed="false">
      <c r="B12" s="0" t="s">
        <v>201</v>
      </c>
      <c r="C12" s="11" t="s">
        <v>150</v>
      </c>
      <c r="D12" s="13" t="s">
        <v>200</v>
      </c>
      <c r="F12" s="45" t="n">
        <v>1000000</v>
      </c>
    </row>
    <row r="13" customFormat="false" ht="15" hidden="false" customHeight="false" outlineLevel="0" collapsed="false">
      <c r="B13" s="0" t="s">
        <v>202</v>
      </c>
      <c r="C13" s="11" t="s">
        <v>203</v>
      </c>
      <c r="D13" s="13" t="s">
        <v>204</v>
      </c>
      <c r="F13" s="45" t="n">
        <v>365</v>
      </c>
    </row>
    <row r="14" customFormat="false" ht="15" hidden="false" customHeight="false" outlineLevel="0" collapsed="false">
      <c r="B14" s="0" t="s">
        <v>205</v>
      </c>
      <c r="C14" s="11" t="s">
        <v>206</v>
      </c>
      <c r="F14" s="45" t="n">
        <v>12</v>
      </c>
    </row>
    <row r="15" customFormat="false" ht="15" hidden="false" customHeight="false" outlineLevel="0" collapsed="false">
      <c r="B15" s="0" t="s">
        <v>207</v>
      </c>
      <c r="C15" s="11" t="s">
        <v>206</v>
      </c>
      <c r="D15" s="13" t="s">
        <v>208</v>
      </c>
      <c r="F15" s="45" t="n">
        <v>3</v>
      </c>
    </row>
    <row r="16" customFormat="false" ht="15" hidden="false" customHeight="false" outlineLevel="0" collapsed="false">
      <c r="B16" s="0" t="s">
        <v>209</v>
      </c>
      <c r="C16" s="11" t="s">
        <v>150</v>
      </c>
      <c r="D16" s="13" t="s">
        <v>210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211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customFormat="false" ht="15" hidden="false" customHeight="false" outlineLevel="0" collapsed="false">
      <c r="B19" s="0" t="s">
        <v>212</v>
      </c>
      <c r="C19" s="11" t="s">
        <v>38</v>
      </c>
      <c r="D19" s="13" t="s">
        <v>213</v>
      </c>
      <c r="F19" s="46" t="n">
        <f aca="false">IF(INDEX($H19:$W19,1,Scenario_Selected)="",$H19,INDEX($H19:$W19,1,Scenario_Selected))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5" hidden="false" customHeight="false" outlineLevel="0" collapsed="false">
      <c r="B20" s="0" t="s">
        <v>214</v>
      </c>
      <c r="C20" s="11" t="s">
        <v>27</v>
      </c>
      <c r="D20" s="13" t="s">
        <v>215</v>
      </c>
      <c r="F20" s="45" t="n">
        <v>0.1</v>
      </c>
    </row>
    <row r="21" customFormat="false" ht="15" hidden="false" customHeight="false" outlineLevel="0" collapsed="false">
      <c r="B21" s="0" t="s">
        <v>216</v>
      </c>
      <c r="C21" s="11" t="s">
        <v>38</v>
      </c>
      <c r="D21" s="13" t="s">
        <v>217</v>
      </c>
      <c r="F21" s="46" t="n">
        <f aca="false">IF(INDEX($H21:$W21,1,Scenario_Selected)="",$H21,INDEX($H21:$W21,1,Scenario_Selected))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customFormat="false" ht="15" hidden="false" customHeight="false" outlineLevel="0" collapsed="false">
      <c r="B22" s="0" t="s">
        <v>218</v>
      </c>
      <c r="C22" s="11" t="s">
        <v>38</v>
      </c>
      <c r="D22" s="13" t="s">
        <v>219</v>
      </c>
      <c r="F22" s="46" t="n">
        <f aca="false">IF(INDEX($H22:$W22,1,Scenario_Selected)="",$H22,INDEX($H22:$W22,1,Scenario_Selected))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customFormat="false" ht="15" hidden="false" customHeight="false" outlineLevel="0" collapsed="false">
      <c r="B23" s="0" t="s">
        <v>220</v>
      </c>
      <c r="C23" s="11" t="s">
        <v>38</v>
      </c>
      <c r="D23" s="13" t="s">
        <v>221</v>
      </c>
      <c r="F23" s="46" t="n">
        <f aca="false">IF(INDEX($H23:$W23,1,Scenario_Selected)="",$H23,INDEX($H23:$W23,1,Scenario_Selected))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customFormat="false" ht="15" hidden="false" customHeight="false" outlineLevel="0" collapsed="false">
      <c r="B24" s="0" t="s">
        <v>222</v>
      </c>
      <c r="C24" s="11" t="s">
        <v>203</v>
      </c>
      <c r="D24" s="13" t="s">
        <v>223</v>
      </c>
      <c r="F24" s="44" t="n">
        <f aca="false">IF(INDEX($H24:$W24,1,Scenario_Selected)="",$H24,INDEX($H24:$W24,1,Scenario_Selected))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customFormat="false" ht="15" hidden="false" customHeight="false" outlineLevel="0" collapsed="false">
      <c r="B25" s="0" t="s">
        <v>224</v>
      </c>
      <c r="C25" s="11" t="s">
        <v>38</v>
      </c>
      <c r="D25" s="13" t="s">
        <v>225</v>
      </c>
      <c r="F25" s="46" t="n">
        <f aca="false">IF(INDEX($H25:$W25,1,Scenario_Selected)="",$H25,INDEX($H25:$W25,1,Scenario_Selected))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customFormat="false" ht="15" hidden="false" customHeight="false" outlineLevel="0" collapsed="false">
      <c r="B26" s="0" t="s">
        <v>226</v>
      </c>
      <c r="C26" s="11" t="s">
        <v>38</v>
      </c>
      <c r="D26" s="13" t="s">
        <v>227</v>
      </c>
      <c r="F26" s="46" t="n">
        <f aca="false">IF(INDEX($H26:$W26,1,Scenario_Selected)="",$H26,INDEX($H26:$W26,1,Scenario_Selected))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customFormat="false" ht="15" hidden="false" customHeight="false" outlineLevel="0" collapsed="false">
      <c r="B27" s="0" t="s">
        <v>228</v>
      </c>
      <c r="C27" s="11" t="s">
        <v>38</v>
      </c>
      <c r="D27" s="13" t="s">
        <v>229</v>
      </c>
      <c r="F27" s="46" t="n">
        <f aca="false">IF(INDEX($H27:$W27,1,Scenario_Selected)="",$H27,INDEX($H27:$W27,1,Scenario_Selected))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customFormat="false" ht="15" hidden="false" customHeight="false" outlineLevel="0" collapsed="false">
      <c r="B28" s="0" t="s">
        <v>230</v>
      </c>
      <c r="C28" s="11" t="s">
        <v>38</v>
      </c>
      <c r="D28" s="13" t="s">
        <v>231</v>
      </c>
      <c r="F28" s="46" t="n">
        <f aca="false">IF(INDEX($H28:$W28,1,Scenario_Selected)="",$H28,INDEX($H28:$W28,1,Scenario_Selected))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customFormat="false" ht="15" hidden="false" customHeight="false" outlineLevel="0" collapsed="false">
      <c r="B29" s="0" t="s">
        <v>232</v>
      </c>
      <c r="C29" s="11" t="s">
        <v>66</v>
      </c>
      <c r="D29" s="13" t="s">
        <v>233</v>
      </c>
      <c r="F29" s="44" t="n">
        <f aca="false">IF(INDEX($H29:$W29,1,Scenario_Selected)="",$H29,INDEX($H29:$W29,1,Scenario_Selected))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customFormat="false" ht="15" hidden="false" customHeight="false" outlineLevel="0" collapsed="false">
      <c r="B30" s="0" t="s">
        <v>234</v>
      </c>
      <c r="C30" s="11" t="s">
        <v>38</v>
      </c>
      <c r="D30" s="13" t="s">
        <v>235</v>
      </c>
      <c r="F30" s="46" t="n">
        <f aca="false">IF(INDEX($H30:$W30,1,Scenario_Selected)="",$H30,INDEX($H30:$W30,1,Scenario_Selected))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2" customFormat="false" ht="15" hidden="false" customHeight="false" outlineLevel="0" collapsed="false">
      <c r="A32" s="9" t="s">
        <v>13</v>
      </c>
      <c r="B32" s="9"/>
      <c r="C32" s="9" t="s">
        <v>236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customFormat="false" ht="15" hidden="false" customHeight="false" outlineLevel="0" collapsed="false">
      <c r="B33" s="0" t="s">
        <v>237</v>
      </c>
      <c r="C33" s="11" t="s">
        <v>79</v>
      </c>
      <c r="D33" s="13" t="s">
        <v>238</v>
      </c>
      <c r="F33" s="48" t="n">
        <f aca="false">IF(INDEX($H33:$W33,1,Scenario_Selected)="",$H33,INDEX($H33:$W33,1,Scenario_Selected))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customFormat="false" ht="15" hidden="false" customHeight="false" outlineLevel="0" collapsed="false">
      <c r="B34" s="0" t="s">
        <v>239</v>
      </c>
      <c r="C34" s="11" t="s">
        <v>33</v>
      </c>
      <c r="D34" s="13" t="s">
        <v>240</v>
      </c>
      <c r="F34" s="48" t="n">
        <f aca="false">IF(INDEX($H34:$W34,1,Scenario_Selected)="",$H34,INDEX($H34:$W34,1,Scenario_Selected))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customFormat="false" ht="15" hidden="false" customHeight="false" outlineLevel="0" collapsed="false">
      <c r="B35" s="0" t="s">
        <v>241</v>
      </c>
      <c r="C35" s="11" t="s">
        <v>33</v>
      </c>
      <c r="D35" s="13" t="s">
        <v>242</v>
      </c>
      <c r="F35" s="48" t="n">
        <f aca="false">IF(INDEX($H35:$W35,1,Scenario_Selected)="",$H35,INDEX($H35:$W35,1,Scenario_Selected))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customFormat="false" ht="15" hidden="false" customHeight="false" outlineLevel="0" collapsed="false">
      <c r="B36" s="0" t="s">
        <v>243</v>
      </c>
      <c r="C36" s="11" t="s">
        <v>33</v>
      </c>
      <c r="D36" s="13" t="s">
        <v>244</v>
      </c>
      <c r="F36" s="48" t="n">
        <f aca="false">IF(INDEX($H36:$W36,1,Scenario_Selected)="",$H36,INDEX($H36:$W36,1,Scenario_Selected))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customFormat="false" ht="15" hidden="false" customHeight="false" outlineLevel="0" collapsed="false">
      <c r="B37" s="0" t="s">
        <v>245</v>
      </c>
      <c r="C37" s="11" t="s">
        <v>19</v>
      </c>
      <c r="D37" s="13" t="s">
        <v>246</v>
      </c>
      <c r="F37" s="48" t="n">
        <f aca="false">IF(INDEX($H37:$W37,1,Scenario_Selected)="",$H37,INDEX($H37:$W37,1,Scenario_Selected))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customFormat="false" ht="15" hidden="false" customHeight="false" outlineLevel="0" collapsed="false">
      <c r="B38" s="0" t="s">
        <v>247</v>
      </c>
      <c r="C38" s="11" t="s">
        <v>19</v>
      </c>
      <c r="D38" s="13" t="s">
        <v>248</v>
      </c>
      <c r="F38" s="48" t="n">
        <f aca="false">IF(INDEX($H38:$W38,1,Scenario_Selected)="",$H38,INDEX($H38:$W38,1,Scenario_Selected))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customFormat="false" ht="15" hidden="false" customHeight="false" outlineLevel="0" collapsed="false">
      <c r="B39" s="0" t="s">
        <v>249</v>
      </c>
      <c r="C39" s="11" t="s">
        <v>33</v>
      </c>
      <c r="D39" s="13" t="s">
        <v>250</v>
      </c>
      <c r="F39" s="48" t="n">
        <f aca="false">IF(INDEX($H39:$W39,1,Scenario_Selected)="",$H39,INDEX($H39:$W39,1,Scenario_Selected))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customFormat="false" ht="15" hidden="false" customHeight="false" outlineLevel="0" collapsed="false">
      <c r="B40" s="0" t="s">
        <v>251</v>
      </c>
      <c r="C40" s="11" t="s">
        <v>27</v>
      </c>
      <c r="D40" s="13" t="s">
        <v>252</v>
      </c>
      <c r="F40" s="49" t="n">
        <f aca="false">IF(INDEX($H40:$W40,1,Scenario_Selected)="",$H40,INDEX($H40:$W40,1,Scenario_Selected))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</row>
    <row r="41" customFormat="false" ht="15" hidden="false" customHeight="false" outlineLevel="0" collapsed="false">
      <c r="B41" s="0" t="s">
        <v>253</v>
      </c>
      <c r="C41" s="11" t="s">
        <v>27</v>
      </c>
      <c r="D41" s="13" t="s">
        <v>254</v>
      </c>
      <c r="F41" s="49" t="n">
        <f aca="false">IF(INDEX($H41:$W41,1,Scenario_Selected)="",$H41,INDEX($H41:$W41,1,Scenario_Selected))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</row>
    <row r="42" customFormat="false" ht="15" hidden="false" customHeight="false" outlineLevel="0" collapsed="false">
      <c r="B42" s="0" t="s">
        <v>255</v>
      </c>
      <c r="C42" s="11" t="s">
        <v>43</v>
      </c>
      <c r="D42" s="13" t="s">
        <v>256</v>
      </c>
      <c r="F42" s="50" t="n">
        <f aca="false">IF(INDEX($H42:$W42,1,Scenario_Selected)="",$H42,INDEX($H42:$W42,1,Scenario_Selected))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</row>
    <row r="43" customFormat="false" ht="15" hidden="false" customHeight="false" outlineLevel="0" collapsed="false">
      <c r="B43" s="0" t="s">
        <v>257</v>
      </c>
      <c r="C43" s="11" t="s">
        <v>27</v>
      </c>
      <c r="D43" s="13" t="s">
        <v>258</v>
      </c>
      <c r="F43" s="49" t="n">
        <f aca="false">IF(INDEX($H43:$W43,1,Scenario_Selected)="",$H43,INDEX($H43:$W43,1,Scenario_Selected))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</row>
    <row r="44" customFormat="false" ht="15" hidden="false" customHeight="false" outlineLevel="0" collapsed="false">
      <c r="B44" s="0" t="s">
        <v>259</v>
      </c>
      <c r="C44" s="11" t="s">
        <v>43</v>
      </c>
      <c r="D44" s="13" t="s">
        <v>260</v>
      </c>
      <c r="F44" s="50" t="n">
        <f aca="false">IF(INDEX($H44:$W44,1,Scenario_Selected)="",$H44,INDEX($H44:$W44,1,Scenario_Selected))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</row>
    <row r="45" customFormat="false" ht="15" hidden="false" customHeight="false" outlineLevel="0" collapsed="false">
      <c r="B45" s="0" t="s">
        <v>261</v>
      </c>
      <c r="C45" s="11" t="s">
        <v>66</v>
      </c>
      <c r="D45" s="13" t="s">
        <v>262</v>
      </c>
      <c r="F45" s="44" t="n">
        <f aca="false">IF(INDEX($H45:$W45,1,Scenario_Selected)="",$H45,INDEX($H45:$W45,1,Scenario_Selected))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customFormat="false" ht="15" hidden="false" customHeight="false" outlineLevel="0" collapsed="false">
      <c r="B46" s="0" t="s">
        <v>263</v>
      </c>
      <c r="C46" s="11" t="s">
        <v>27</v>
      </c>
      <c r="D46" s="13" t="s">
        <v>264</v>
      </c>
      <c r="F46" s="49" t="n">
        <f aca="false">IF(INDEX($H46:$W46,1,Scenario_Selected)="",$H46,INDEX($H46:$W46,1,Scenario_Selected))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</row>
    <row r="47" customFormat="false" ht="15" hidden="false" customHeight="false" outlineLevel="0" collapsed="false">
      <c r="B47" s="0" t="s">
        <v>265</v>
      </c>
      <c r="C47" s="11" t="s">
        <v>66</v>
      </c>
      <c r="D47" s="13" t="s">
        <v>266</v>
      </c>
      <c r="F47" s="44" t="n">
        <f aca="false">IF(INDEX($H47:$W47,1,Scenario_Selected)="",$H47,INDEX($H47:$W47,1,Scenario_Selected))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9" customFormat="false" ht="15" hidden="false" customHeight="false" outlineLevel="0" collapsed="false">
      <c r="A49" s="9" t="s">
        <v>13</v>
      </c>
      <c r="B49" s="9"/>
      <c r="C49" s="9" t="s">
        <v>267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customFormat="false" ht="15" hidden="false" customHeight="false" outlineLevel="0" collapsed="false">
      <c r="B50" s="0" t="s">
        <v>268</v>
      </c>
      <c r="C50" s="11" t="s">
        <v>150</v>
      </c>
      <c r="D50" s="13" t="s">
        <v>269</v>
      </c>
      <c r="F50" s="45" t="n">
        <v>2</v>
      </c>
    </row>
    <row r="51" customFormat="false" ht="15" hidden="false" customHeight="false" outlineLevel="0" collapsed="false">
      <c r="B51" s="0" t="s">
        <v>270</v>
      </c>
      <c r="C51" s="11" t="s">
        <v>77</v>
      </c>
      <c r="D51" s="13" t="s">
        <v>271</v>
      </c>
      <c r="F51" s="48" t="n">
        <f aca="false">IF(INDEX($H51:$W51,1,Scenario_Selected)="",$H51,INDEX($H51:$W51,1,Scenario_Selected))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customFormat="false" ht="15" hidden="false" customHeight="false" outlineLevel="0" collapsed="false">
      <c r="B52" s="0" t="s">
        <v>272</v>
      </c>
      <c r="C52" s="11" t="s">
        <v>27</v>
      </c>
      <c r="D52" s="13" t="s">
        <v>215</v>
      </c>
      <c r="F52" s="49" t="n">
        <f aca="false">IF(INDEX($H52:$W52,1,Scenario_Selected)="",$H52,INDEX($H52:$W52,1,Scenario_Selected))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 t="n">
        <v>0</v>
      </c>
      <c r="V52" s="17"/>
    </row>
    <row r="53" customFormat="false" ht="15" hidden="false" customHeight="false" outlineLevel="0" collapsed="false">
      <c r="B53" s="0" t="s">
        <v>273</v>
      </c>
      <c r="C53" s="11" t="s">
        <v>43</v>
      </c>
      <c r="D53" s="13" t="s">
        <v>274</v>
      </c>
      <c r="F53" s="50" t="n">
        <f aca="false">IF(INDEX($H53:$W53,1,Scenario_Selected)="",$H53,INDEX($H53:$W53,1,Scenario_Selected))</f>
        <v>1</v>
      </c>
      <c r="H53" s="23" t="n">
        <v>1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 t="n">
        <v>0</v>
      </c>
      <c r="V53" s="23"/>
    </row>
    <row r="54" customFormat="false" ht="15" hidden="false" customHeight="false" outlineLevel="0" collapsed="false">
      <c r="B54" s="0" t="s">
        <v>275</v>
      </c>
      <c r="C54" s="11" t="s">
        <v>27</v>
      </c>
      <c r="D54" s="13" t="s">
        <v>276</v>
      </c>
      <c r="F54" s="49" t="n">
        <f aca="false">IF(INDEX($H54:$W54,1,Scenario_Selected)="",$H54,INDEX($H54:$W54,1,Scenario_Selected))</f>
        <v>0</v>
      </c>
      <c r="H54" s="17" t="n">
        <v>0</v>
      </c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 t="n">
        <v>0.5</v>
      </c>
      <c r="U54" s="17"/>
      <c r="V54" s="17"/>
    </row>
    <row r="55" customFormat="false" ht="15" hidden="false" customHeight="false" outlineLevel="0" collapsed="false">
      <c r="B55" s="0" t="s">
        <v>277</v>
      </c>
      <c r="C55" s="11" t="s">
        <v>27</v>
      </c>
      <c r="D55" s="13" t="s">
        <v>278</v>
      </c>
      <c r="F55" s="49" t="n">
        <f aca="false">IF(INDEX($H55:$W55,1,Scenario_Selected)="",$H55,INDEX($H55:$W55,1,Scenario_Selected))</f>
        <v>0.05</v>
      </c>
      <c r="H55" s="17" t="n">
        <v>0.05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</row>
    <row r="56" customFormat="false" ht="15" hidden="false" customHeight="false" outlineLevel="0" collapsed="false">
      <c r="B56" s="0" t="s">
        <v>279</v>
      </c>
      <c r="C56" s="11" t="s">
        <v>43</v>
      </c>
      <c r="D56" s="13" t="s">
        <v>215</v>
      </c>
      <c r="F56" s="50" t="n">
        <f aca="false">IF(INDEX($H56:$W56,1,Scenario_Selected)="",$H56,INDEX($H56:$W56,1,Scenario_Selected))</f>
        <v>1</v>
      </c>
      <c r="H56" s="23" t="n">
        <v>1</v>
      </c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 t="n">
        <v>0</v>
      </c>
      <c r="V56" s="23"/>
    </row>
    <row r="57" customFormat="false" ht="15" hidden="false" customHeight="false" outlineLevel="0" collapsed="false">
      <c r="B57" s="0" t="s">
        <v>280</v>
      </c>
      <c r="C57" s="11" t="s">
        <v>35</v>
      </c>
      <c r="D57" s="13" t="s">
        <v>281</v>
      </c>
      <c r="F57" s="36" t="n">
        <f aca="false">IF(INDEX($H57:$W57,1,Scenario_Selected)="",$H57,INDEX($H57:$W57,1,Scenario_Selected))</f>
        <v>4</v>
      </c>
      <c r="H57" s="19" t="n">
        <v>4</v>
      </c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</row>
    <row r="58" customFormat="false" ht="15" hidden="false" customHeight="false" outlineLevel="0" collapsed="false">
      <c r="B58" s="0" t="s">
        <v>282</v>
      </c>
      <c r="C58" s="11" t="s">
        <v>27</v>
      </c>
      <c r="D58" s="13" t="s">
        <v>283</v>
      </c>
      <c r="F58" s="49" t="n">
        <f aca="false">IF(INDEX($H58:$W58,1,Scenario_Selected)="",$H58,INDEX($H58:$W58,1,Scenario_Selected))</f>
        <v>0.1</v>
      </c>
      <c r="H58" s="17" t="n">
        <v>0.1</v>
      </c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</row>
    <row r="59" customFormat="false" ht="15" hidden="false" customHeight="false" outlineLevel="0" collapsed="false">
      <c r="B59" s="0" t="s">
        <v>284</v>
      </c>
      <c r="C59" s="11" t="s">
        <v>43</v>
      </c>
      <c r="D59" s="13" t="s">
        <v>285</v>
      </c>
      <c r="F59" s="50" t="n">
        <f aca="false">IF(INDEX($H59:$W59,1,Scenario_Selected)="",$H59,INDEX($H59:$W59,1,Scenario_Selected))</f>
        <v>1</v>
      </c>
      <c r="H59" s="23" t="n">
        <v>1</v>
      </c>
      <c r="I59" s="23"/>
      <c r="J59" s="23"/>
      <c r="K59" s="23"/>
      <c r="L59" s="23"/>
      <c r="M59" s="23"/>
      <c r="N59" s="23" t="n">
        <v>2</v>
      </c>
      <c r="O59" s="23"/>
      <c r="P59" s="23"/>
      <c r="Q59" s="23"/>
      <c r="R59" s="23"/>
      <c r="S59" s="23"/>
      <c r="T59" s="23"/>
      <c r="U59" s="23" t="n">
        <v>2</v>
      </c>
      <c r="V59" s="23"/>
    </row>
    <row r="60" customFormat="false" ht="15" hidden="false" customHeight="false" outlineLevel="0" collapsed="false">
      <c r="B60" s="0" t="s">
        <v>286</v>
      </c>
      <c r="C60" s="11" t="s">
        <v>206</v>
      </c>
      <c r="D60" s="13" t="s">
        <v>287</v>
      </c>
      <c r="F60" s="44" t="n">
        <f aca="false">IF(INDEX($H60:$W60,1,Scenario_Selected)="",$H60,INDEX($H60:$W60,1,Scenario_Selected))</f>
        <v>6</v>
      </c>
      <c r="H60" s="47" t="n">
        <v>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customFormat="false" ht="15" hidden="false" customHeight="false" outlineLevel="0" collapsed="false">
      <c r="B61" s="0" t="s">
        <v>288</v>
      </c>
      <c r="C61" s="11" t="s">
        <v>289</v>
      </c>
      <c r="D61" s="13" t="s">
        <v>290</v>
      </c>
      <c r="F61" s="48" t="n">
        <f aca="false">IF(INDEX($H61:$W61,1,Scenario_Selected)="",$H61,INDEX($H61:$W61,1,Scenario_Selected))</f>
        <v>200</v>
      </c>
      <c r="H61" s="12" t="n">
        <v>200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customFormat="false" ht="15" hidden="false" customHeight="false" outlineLevel="0" collapsed="false">
      <c r="B62" s="0" t="s">
        <v>291</v>
      </c>
      <c r="C62" s="11" t="s">
        <v>292</v>
      </c>
      <c r="D62" s="13" t="s">
        <v>290</v>
      </c>
      <c r="F62" s="48" t="n">
        <f aca="false">IF(INDEX($H62:$W62,1,Scenario_Selected)="",$H62,INDEX($H62:$W62,1,Scenario_Selected))</f>
        <v>406</v>
      </c>
      <c r="H62" s="12" t="n">
        <v>406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customFormat="false" ht="15" hidden="false" customHeight="false" outlineLevel="0" collapsed="false">
      <c r="B63" s="0" t="s">
        <v>293</v>
      </c>
      <c r="C63" s="11" t="s">
        <v>294</v>
      </c>
      <c r="D63" s="13" t="s">
        <v>295</v>
      </c>
      <c r="F63" s="36" t="n">
        <f aca="false">IF(INDEX($H63:$W63,1,Scenario_Selected)="",$H63,INDEX($H63:$W63,1,Scenario_Selected))</f>
        <v>3</v>
      </c>
      <c r="H63" s="19" t="n">
        <v>3</v>
      </c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</row>
    <row r="64" customFormat="false" ht="15" hidden="false" customHeight="false" outlineLevel="0" collapsed="false">
      <c r="B64" s="0" t="s">
        <v>296</v>
      </c>
      <c r="C64" s="11" t="s">
        <v>27</v>
      </c>
      <c r="D64" s="13" t="s">
        <v>297</v>
      </c>
      <c r="F64" s="51" t="n">
        <f aca="false">IF(INDEX($H64:$W64,1,Scenario_Selected)="",$H64,INDEX($H64:$W64,1,Scenario_Selected))</f>
        <v>0.005</v>
      </c>
      <c r="H64" s="52" t="n">
        <v>0.005</v>
      </c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</row>
    <row r="65" customFormat="false" ht="15" hidden="false" customHeight="false" outlineLevel="0" collapsed="false">
      <c r="B65" s="0" t="s">
        <v>298</v>
      </c>
      <c r="C65" s="11" t="s">
        <v>27</v>
      </c>
      <c r="D65" s="13" t="s">
        <v>299</v>
      </c>
      <c r="F65" s="51" t="n">
        <f aca="false">IF(INDEX($H65:$W65,1,Scenario_Selected)="",$H65,INDEX($H65:$W65,1,Scenario_Selected))</f>
        <v>0.025</v>
      </c>
      <c r="H65" s="52" t="n">
        <v>0.025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</row>
    <row r="66" customFormat="false" ht="15" hidden="false" customHeight="false" outlineLevel="0" collapsed="false">
      <c r="B66" s="0" t="s">
        <v>300</v>
      </c>
      <c r="C66" s="11" t="s">
        <v>301</v>
      </c>
      <c r="D66" s="13" t="s">
        <v>302</v>
      </c>
      <c r="F66" s="36" t="n">
        <f aca="false">IF(INDEX($H66:$W66,1,Scenario_Selected)="",$H66,INDEX($H66:$W66,1,Scenario_Selected))</f>
        <v>4.5</v>
      </c>
      <c r="H66" s="19" t="n">
        <v>4.5</v>
      </c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</row>
    <row r="67" customFormat="false" ht="15" hidden="false" customHeight="false" outlineLevel="0" collapsed="false">
      <c r="B67" s="0" t="s">
        <v>303</v>
      </c>
      <c r="C67" s="11" t="s">
        <v>294</v>
      </c>
      <c r="D67" s="13" t="s">
        <v>304</v>
      </c>
      <c r="F67" s="36" t="n">
        <f aca="false">IF(INDEX($H67:$W67,1,Scenario_Selected)="",$H67,INDEX($H67:$W67,1,Scenario_Selected))</f>
        <v>460</v>
      </c>
      <c r="H67" s="19" t="n">
        <v>460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</row>
    <row r="68" customFormat="false" ht="15" hidden="false" customHeight="false" outlineLevel="0" collapsed="false">
      <c r="B68" s="0" t="s">
        <v>305</v>
      </c>
      <c r="C68" s="11" t="s">
        <v>301</v>
      </c>
      <c r="D68" s="13" t="s">
        <v>306</v>
      </c>
      <c r="F68" s="32" t="n">
        <f aca="false">IF(INDEX($H68:$W68,1,Scenario_Selected)="",$H68,INDEX($H68:$W68,1,Scenario_Selected))</f>
        <v>54.830209</v>
      </c>
      <c r="H68" s="16" t="n">
        <v>54.830209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</row>
    <row r="69" customFormat="false" ht="15" hidden="false" customHeight="false" outlineLevel="0" collapsed="false">
      <c r="B69" s="0" t="s">
        <v>307</v>
      </c>
      <c r="C69" s="11" t="s">
        <v>27</v>
      </c>
      <c r="D69" s="13" t="s">
        <v>308</v>
      </c>
      <c r="F69" s="49" t="n">
        <f aca="false">IF(INDEX($H69:$W69,1,Scenario_Selected)="",$H69,INDEX($H69:$W69,1,Scenario_Selected))</f>
        <v>0.06</v>
      </c>
      <c r="H69" s="17" t="n">
        <v>0.06</v>
      </c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</row>
    <row r="71" customFormat="false" ht="15" hidden="false" customHeight="false" outlineLevel="0" collapsed="false">
      <c r="A71" s="9" t="s">
        <v>13</v>
      </c>
      <c r="B71" s="9"/>
      <c r="C71" s="9" t="s">
        <v>309</v>
      </c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customFormat="false" ht="15" hidden="false" customHeight="false" outlineLevel="0" collapsed="false">
      <c r="B72" s="0" t="s">
        <v>310</v>
      </c>
      <c r="C72" s="11" t="s">
        <v>19</v>
      </c>
      <c r="D72" s="13" t="s">
        <v>311</v>
      </c>
      <c r="F72" s="48" t="n">
        <f aca="false">IF(INDEX($H72:$W72,1,Scenario_Selected)="",$H72,INDEX($H72:$W72,1,Scenario_Selected))</f>
        <v>950</v>
      </c>
      <c r="H72" s="12" t="n">
        <v>950</v>
      </c>
      <c r="I72" s="12"/>
      <c r="J72" s="12"/>
      <c r="K72" s="12" t="n">
        <f aca="false">H72*(1+Sens_Step)</f>
        <v>1045</v>
      </c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customFormat="false" ht="15" hidden="false" customHeight="false" outlineLevel="0" collapsed="false">
      <c r="B73" s="0" t="s">
        <v>312</v>
      </c>
      <c r="C73" s="11" t="s">
        <v>19</v>
      </c>
      <c r="D73" s="13" t="s">
        <v>313</v>
      </c>
      <c r="F73" s="48" t="n">
        <f aca="false">IF(INDEX($H73:$W73,1,Scenario_Selected)="",$H73,INDEX($H73:$W73,1,Scenario_Selected))</f>
        <v>500</v>
      </c>
      <c r="H73" s="12" t="n">
        <v>500</v>
      </c>
      <c r="I73" s="12"/>
      <c r="J73" s="12"/>
      <c r="K73" s="12" t="n">
        <f aca="false">H73*(1+Sens_Step)</f>
        <v>550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customFormat="false" ht="15" hidden="false" customHeight="false" outlineLevel="0" collapsed="false">
      <c r="B74" s="0" t="s">
        <v>314</v>
      </c>
      <c r="C74" s="11" t="s">
        <v>19</v>
      </c>
      <c r="D74" s="13" t="s">
        <v>315</v>
      </c>
      <c r="F74" s="48" t="n">
        <f aca="false">IF(INDEX($H74:$W74,1,Scenario_Selected)="",$H74,INDEX($H74:$W74,1,Scenario_Selected))</f>
        <v>355</v>
      </c>
      <c r="H74" s="12" t="n">
        <v>355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customFormat="false" ht="15" hidden="false" customHeight="false" outlineLevel="0" collapsed="false">
      <c r="B75" s="0" t="s">
        <v>316</v>
      </c>
      <c r="C75" s="11" t="s">
        <v>33</v>
      </c>
      <c r="D75" s="13" t="s">
        <v>317</v>
      </c>
      <c r="F75" s="48" t="n">
        <f aca="false">IF(INDEX($H75:$W75,1,Scenario_Selected)="",$H75,INDEX($H75:$W75,1,Scenario_Selected))</f>
        <v>12000</v>
      </c>
      <c r="H75" s="12" t="n">
        <v>12000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customFormat="false" ht="15" hidden="false" customHeight="false" outlineLevel="0" collapsed="false">
      <c r="B76" s="0" t="s">
        <v>318</v>
      </c>
      <c r="C76" s="11" t="s">
        <v>33</v>
      </c>
      <c r="D76" s="13" t="s">
        <v>319</v>
      </c>
      <c r="F76" s="48" t="n">
        <f aca="false">IF(INDEX($H76:$W76,1,Scenario_Selected)="",$H76,INDEX($H76:$W76,1,Scenario_Selected))</f>
        <v>10800</v>
      </c>
      <c r="H76" s="12" t="n">
        <v>10800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customFormat="false" ht="15" hidden="false" customHeight="false" outlineLevel="0" collapsed="false">
      <c r="B77" s="0" t="s">
        <v>320</v>
      </c>
      <c r="C77" s="11" t="s">
        <v>27</v>
      </c>
      <c r="D77" s="13" t="s">
        <v>321</v>
      </c>
      <c r="F77" s="49" t="n">
        <f aca="false">IF(INDEX($H77:$W77,1,Scenario_Selected)="",$H77,INDEX($H77:$W77,1,Scenario_Selected))</f>
        <v>0.05</v>
      </c>
      <c r="H77" s="17" t="n">
        <v>0.05</v>
      </c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</row>
    <row r="78" customFormat="false" ht="15" hidden="false" customHeight="false" outlineLevel="0" collapsed="false">
      <c r="B78" s="0" t="s">
        <v>322</v>
      </c>
      <c r="C78" s="11" t="s">
        <v>323</v>
      </c>
      <c r="D78" s="13" t="s">
        <v>274</v>
      </c>
      <c r="F78" s="48" t="n">
        <f aca="false">IF(INDEX($H78:$W78,1,Scenario_Selected)="",$H78,INDEX($H78:$W78,1,Scenario_Selected))</f>
        <v>100</v>
      </c>
      <c r="H78" s="12" t="n">
        <v>100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80" customFormat="false" ht="15" hidden="false" customHeight="false" outlineLevel="0" collapsed="false">
      <c r="A80" s="9" t="s">
        <v>13</v>
      </c>
      <c r="B80" s="9"/>
      <c r="C80" s="9" t="s">
        <v>324</v>
      </c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customFormat="false" ht="15" hidden="false" customHeight="false" outlineLevel="0" collapsed="false">
      <c r="B81" s="0" t="s">
        <v>56</v>
      </c>
      <c r="C81" s="11" t="s">
        <v>57</v>
      </c>
      <c r="D81" s="13" t="s">
        <v>215</v>
      </c>
      <c r="F81" s="48" t="n">
        <f aca="false">IF(INDEX($H81:$W81,1,Scenario_Selected)="",$H81,INDEX($H81:$W81,1,Scenario_Selected))</f>
        <v>2600</v>
      </c>
      <c r="H81" s="12" t="n">
        <v>2600</v>
      </c>
      <c r="I81" s="12"/>
      <c r="J81" s="12"/>
      <c r="K81" s="12"/>
      <c r="L81" s="12" t="n">
        <f aca="false">H81*(1-Sens_Step)</f>
        <v>2340</v>
      </c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customFormat="false" ht="15" hidden="false" customHeight="false" outlineLevel="0" collapsed="false">
      <c r="B82" s="0" t="s">
        <v>325</v>
      </c>
      <c r="C82" s="11" t="s">
        <v>27</v>
      </c>
      <c r="D82" s="13" t="s">
        <v>326</v>
      </c>
      <c r="F82" s="49" t="n">
        <f aca="false">IF(INDEX($H82:$W82,1,Scenario_Selected)="",$H82,INDEX($H82:$W82,1,Scenario_Selected))</f>
        <v>0.02</v>
      </c>
      <c r="H82" s="17" t="n">
        <v>0.02</v>
      </c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</row>
    <row r="83" customFormat="false" ht="15" hidden="false" customHeight="false" outlineLevel="0" collapsed="false">
      <c r="B83" s="0" t="s">
        <v>327</v>
      </c>
      <c r="C83" s="11" t="s">
        <v>27</v>
      </c>
      <c r="D83" s="13" t="s">
        <v>328</v>
      </c>
      <c r="F83" s="51" t="n">
        <f aca="false">IF(INDEX($H83:$W83,1,Scenario_Selected)="",$H83,INDEX($H83:$W83,1,Scenario_Selected))</f>
        <v>0.003</v>
      </c>
      <c r="H83" s="52" t="n">
        <v>0.003</v>
      </c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</row>
    <row r="84" customFormat="false" ht="15" hidden="false" customHeight="false" outlineLevel="0" collapsed="false">
      <c r="B84" s="0" t="s">
        <v>329</v>
      </c>
      <c r="C84" s="11" t="s">
        <v>24</v>
      </c>
      <c r="D84" s="13" t="s">
        <v>215</v>
      </c>
      <c r="F84" s="36" t="n">
        <f aca="false">IF(INDEX($H84:$W84,1,Scenario_Selected)="",$H84,INDEX($H84:$W84,1,Scenario_Selected))</f>
        <v>90</v>
      </c>
      <c r="H84" s="19" t="n">
        <v>90</v>
      </c>
      <c r="I84" s="19"/>
      <c r="J84" s="19"/>
      <c r="K84" s="19"/>
      <c r="L84" s="19"/>
      <c r="M84" s="19" t="n">
        <v>99</v>
      </c>
      <c r="N84" s="19"/>
      <c r="O84" s="19"/>
      <c r="P84" s="19"/>
      <c r="Q84" s="19"/>
      <c r="R84" s="19"/>
      <c r="S84" s="19"/>
      <c r="T84" s="19"/>
      <c r="U84" s="19"/>
      <c r="V84" s="19"/>
    </row>
    <row r="85" customFormat="false" ht="15" hidden="false" customHeight="false" outlineLevel="0" collapsed="false">
      <c r="B85" s="0" t="s">
        <v>330</v>
      </c>
      <c r="C85" s="11" t="s">
        <v>27</v>
      </c>
      <c r="D85" s="13" t="s">
        <v>331</v>
      </c>
      <c r="F85" s="49" t="n">
        <f aca="false">IF(INDEX($H85:$W85,1,Scenario_Selected)="",$H85,INDEX($H85:$W85,1,Scenario_Selected))</f>
        <v>0.01</v>
      </c>
      <c r="H85" s="17" t="n">
        <v>0.01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</row>
    <row r="86" customFormat="false" ht="15" hidden="false" customHeight="false" outlineLevel="0" collapsed="false">
      <c r="B86" s="0" t="s">
        <v>332</v>
      </c>
      <c r="C86" s="11" t="s">
        <v>24</v>
      </c>
      <c r="D86" s="13" t="s">
        <v>333</v>
      </c>
      <c r="F86" s="36" t="n">
        <f aca="false">IF(INDEX($H86:$W86,1,Scenario_Selected)="",$H86,INDEX($H86:$W86,1,Scenario_Selected))</f>
        <v>5</v>
      </c>
      <c r="H86" s="19" t="n">
        <v>5</v>
      </c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</row>
    <row r="87" customFormat="false" ht="15" hidden="false" customHeight="false" outlineLevel="0" collapsed="false">
      <c r="B87" s="0" t="s">
        <v>334</v>
      </c>
      <c r="C87" s="11" t="s">
        <v>19</v>
      </c>
      <c r="D87" s="13" t="s">
        <v>335</v>
      </c>
      <c r="F87" s="48" t="n">
        <f aca="false">IF(INDEX($H87:$W87,1,Scenario_Selected)="",$H87,INDEX($H87:$W87,1,Scenario_Selected))</f>
        <v>22</v>
      </c>
      <c r="H87" s="12" t="n">
        <v>22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customFormat="false" ht="15" hidden="false" customHeight="false" outlineLevel="0" collapsed="false">
      <c r="B88" s="0" t="s">
        <v>336</v>
      </c>
      <c r="C88" s="11" t="s">
        <v>19</v>
      </c>
      <c r="D88" s="13" t="s">
        <v>337</v>
      </c>
      <c r="F88" s="48" t="n">
        <f aca="false">IF(INDEX($H88:$W88,1,Scenario_Selected)="",$H88,INDEX($H88:$W88,1,Scenario_Selected))</f>
        <v>3</v>
      </c>
      <c r="H88" s="12" t="n">
        <v>3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customFormat="false" ht="15" hidden="false" customHeight="false" outlineLevel="0" collapsed="false">
      <c r="B89" s="0" t="s">
        <v>338</v>
      </c>
      <c r="C89" s="11" t="s">
        <v>33</v>
      </c>
      <c r="D89" s="13" t="s">
        <v>339</v>
      </c>
      <c r="F89" s="48" t="n">
        <f aca="false">IF(INDEX($H89:$W89,1,Scenario_Selected)="",$H89,INDEX($H89:$W89,1,Scenario_Selected))</f>
        <v>150</v>
      </c>
      <c r="H89" s="12" t="n">
        <v>150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customFormat="false" ht="15" hidden="false" customHeight="false" outlineLevel="0" collapsed="false">
      <c r="B90" s="0" t="s">
        <v>340</v>
      </c>
      <c r="C90" s="11" t="s">
        <v>27</v>
      </c>
      <c r="D90" s="13" t="s">
        <v>341</v>
      </c>
      <c r="F90" s="49" t="n">
        <f aca="false">IF(INDEX($H90:$W90,1,Scenario_Selected)="",$H90,INDEX($H90:$W90,1,Scenario_Selected))</f>
        <v>0.05</v>
      </c>
      <c r="H90" s="17" t="n">
        <v>0.05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</row>
    <row r="91" customFormat="false" ht="15" hidden="false" customHeight="false" outlineLevel="0" collapsed="false">
      <c r="B91" s="0" t="s">
        <v>342</v>
      </c>
      <c r="C91" s="11" t="s">
        <v>27</v>
      </c>
      <c r="D91" s="13" t="s">
        <v>343</v>
      </c>
      <c r="F91" s="49" t="n">
        <f aca="false">IF(INDEX($H91:$W91,1,Scenario_Selected)="",$H91,INDEX($H91:$W91,1,Scenario_Selected))</f>
        <v>0.025</v>
      </c>
      <c r="H91" s="17" t="n">
        <v>0.025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</row>
    <row r="92" customFormat="false" ht="15" hidden="false" customHeight="false" outlineLevel="0" collapsed="false">
      <c r="B92" s="0" t="s">
        <v>344</v>
      </c>
      <c r="C92" s="11" t="s">
        <v>27</v>
      </c>
      <c r="D92" s="13" t="s">
        <v>345</v>
      </c>
      <c r="F92" s="51" t="n">
        <f aca="false">IF(INDEX($H92:$W92,1,Scenario_Selected)="",$H92,INDEX($H92:$W92,1,Scenario_Selected))</f>
        <v>0.001</v>
      </c>
      <c r="H92" s="52" t="n">
        <v>0.001</v>
      </c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</row>
    <row r="93" customFormat="false" ht="15" hidden="false" customHeight="false" outlineLevel="0" collapsed="false">
      <c r="B93" s="0" t="s">
        <v>346</v>
      </c>
      <c r="C93" s="11" t="s">
        <v>27</v>
      </c>
      <c r="D93" s="13" t="s">
        <v>347</v>
      </c>
      <c r="F93" s="49" t="n">
        <f aca="false">IF(INDEX($H93:$W93,1,Scenario_Selected)="",$H93,INDEX($H93:$W93,1,Scenario_Selected))</f>
        <v>0.02</v>
      </c>
      <c r="H93" s="17" t="n">
        <v>0.02</v>
      </c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</row>
    <row r="94" customFormat="false" ht="15" hidden="false" customHeight="false" outlineLevel="0" collapsed="false">
      <c r="B94" s="0" t="s">
        <v>348</v>
      </c>
      <c r="C94" s="11" t="s">
        <v>27</v>
      </c>
      <c r="D94" s="13" t="s">
        <v>349</v>
      </c>
      <c r="F94" s="51" t="n">
        <f aca="false">IF(INDEX($H94:$W94,1,Scenario_Selected)="",$H94,INDEX($H94:$W94,1,Scenario_Selected))</f>
        <v>0.003</v>
      </c>
      <c r="H94" s="52" t="n">
        <v>0.003</v>
      </c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</row>
    <row r="96" customFormat="false" ht="15" hidden="false" customHeight="false" outlineLevel="0" collapsed="false">
      <c r="A96" s="9" t="s">
        <v>13</v>
      </c>
      <c r="B96" s="9"/>
      <c r="C96" s="9" t="s">
        <v>350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customFormat="false" ht="15" hidden="false" customHeight="false" outlineLevel="0" collapsed="false">
      <c r="B97" s="0" t="s">
        <v>351</v>
      </c>
      <c r="C97" s="11" t="s">
        <v>19</v>
      </c>
      <c r="D97" s="13" t="s">
        <v>352</v>
      </c>
      <c r="F97" s="48" t="n">
        <f aca="false">IF(INDEX($H97:$W97,1,Scenario_Selected)="",$H97,INDEX($H97:$W97,1,Scenario_Selected))</f>
        <v>900</v>
      </c>
      <c r="H97" s="12" t="n">
        <v>900</v>
      </c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customFormat="false" ht="15" hidden="false" customHeight="false" outlineLevel="0" collapsed="false">
      <c r="B98" s="0" t="s">
        <v>353</v>
      </c>
      <c r="C98" s="11" t="s">
        <v>27</v>
      </c>
      <c r="D98" s="13" t="s">
        <v>354</v>
      </c>
      <c r="F98" s="49" t="n">
        <f aca="false">IF(INDEX($H98:$W98,1,Scenario_Selected)="",$H98,INDEX($H98:$W98,1,Scenario_Selected))</f>
        <v>0.7</v>
      </c>
      <c r="H98" s="17" t="n">
        <v>0.7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</row>
    <row r="99" customFormat="false" ht="15" hidden="false" customHeight="false" outlineLevel="0" collapsed="false">
      <c r="B99" s="0" t="s">
        <v>355</v>
      </c>
      <c r="C99" s="11" t="s">
        <v>27</v>
      </c>
      <c r="D99" s="13" t="s">
        <v>356</v>
      </c>
      <c r="F99" s="49" t="n">
        <f aca="false">IF(INDEX($H99:$W99,1,Scenario_Selected)="",$H99,INDEX($H99:$W99,1,Scenario_Selected))</f>
        <v>0</v>
      </c>
      <c r="H99" s="17" t="n">
        <v>0</v>
      </c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 t="n">
        <v>1</v>
      </c>
    </row>
    <row r="100" customFormat="false" ht="15" hidden="false" customHeight="false" outlineLevel="0" collapsed="false">
      <c r="B100" s="0" t="s">
        <v>133</v>
      </c>
      <c r="C100" s="11" t="s">
        <v>13</v>
      </c>
      <c r="D100" s="13" t="s">
        <v>357</v>
      </c>
      <c r="F100" s="53" t="n">
        <f aca="false">IF(INDEX($H100:$W100,1,Scenario_Selected)="",$H100,INDEX($H100:$W100,1,Scenario_Selected))</f>
        <v>1.1</v>
      </c>
      <c r="H100" s="21" t="n">
        <v>1.1</v>
      </c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</row>
    <row r="101" customFormat="false" ht="15" hidden="false" customHeight="false" outlineLevel="0" collapsed="false">
      <c r="B101" s="0" t="s">
        <v>136</v>
      </c>
      <c r="C101" s="11" t="s">
        <v>13</v>
      </c>
      <c r="D101" s="13" t="s">
        <v>357</v>
      </c>
      <c r="F101" s="53" t="n">
        <f aca="false">IF(INDEX($H101:$W101,1,Scenario_Selected)="",$H101,INDEX($H101:$W101,1,Scenario_Selected))</f>
        <v>1.2</v>
      </c>
      <c r="H101" s="21" t="n">
        <v>1.2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</row>
    <row r="102" customFormat="false" ht="15" hidden="false" customHeight="false" outlineLevel="0" collapsed="false">
      <c r="B102" s="0" t="s">
        <v>358</v>
      </c>
      <c r="C102" s="11" t="s">
        <v>13</v>
      </c>
      <c r="D102" s="13" t="s">
        <v>359</v>
      </c>
      <c r="F102" s="53" t="n">
        <f aca="false">IF(INDEX($H102:$W102,1,Scenario_Selected)="",$H102,INDEX($H102:$W102,1,Scenario_Selected))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 t="n">
        <v>1.3</v>
      </c>
      <c r="T102" s="21"/>
      <c r="U102" s="21"/>
      <c r="V102" s="21"/>
    </row>
    <row r="103" customFormat="false" ht="15" hidden="false" customHeight="false" outlineLevel="0" collapsed="false">
      <c r="B103" s="0" t="s">
        <v>360</v>
      </c>
      <c r="C103" s="11" t="s">
        <v>66</v>
      </c>
      <c r="D103" s="13" t="s">
        <v>361</v>
      </c>
      <c r="F103" s="44" t="n">
        <f aca="false">IF(INDEX($H103:$W103,1,Scenario_Selected)="",$H103,INDEX($H103:$W103,1,Scenario_Selected))</f>
        <v>15</v>
      </c>
      <c r="H103" s="47" t="n">
        <v>15</v>
      </c>
      <c r="I103" s="47"/>
      <c r="J103" s="47"/>
      <c r="K103" s="47"/>
      <c r="L103" s="47"/>
      <c r="M103" s="47"/>
      <c r="N103" s="47"/>
      <c r="O103" s="47"/>
      <c r="P103" s="47" t="n">
        <v>10</v>
      </c>
      <c r="Q103" s="47"/>
      <c r="R103" s="47"/>
      <c r="S103" s="47" t="n">
        <v>12</v>
      </c>
      <c r="T103" s="47"/>
      <c r="U103" s="47"/>
      <c r="V103" s="47"/>
    </row>
    <row r="104" customFormat="false" ht="15" hidden="false" customHeight="false" outlineLevel="0" collapsed="false">
      <c r="B104" s="0" t="s">
        <v>362</v>
      </c>
      <c r="C104" s="11" t="s">
        <v>27</v>
      </c>
      <c r="D104" s="13" t="s">
        <v>363</v>
      </c>
      <c r="F104" s="49" t="n">
        <f aca="false">IF(INDEX($H104:$W104,1,Scenario_Selected)="",$H104,INDEX($H104:$W104,1,Scenario_Selected))</f>
        <v>0.05</v>
      </c>
      <c r="H104" s="17" t="n">
        <v>0.05</v>
      </c>
      <c r="I104" s="17"/>
      <c r="J104" s="17"/>
      <c r="K104" s="17"/>
      <c r="L104" s="17"/>
      <c r="M104" s="17"/>
      <c r="N104" s="17"/>
      <c r="O104" s="17" t="n">
        <v>0.06</v>
      </c>
      <c r="P104" s="17"/>
      <c r="Q104" s="17"/>
      <c r="R104" s="17"/>
      <c r="S104" s="17"/>
      <c r="T104" s="17"/>
      <c r="U104" s="17"/>
      <c r="V104" s="17"/>
    </row>
    <row r="105" customFormat="false" ht="15" hidden="false" customHeight="false" outlineLevel="0" collapsed="false">
      <c r="B105" s="0" t="s">
        <v>364</v>
      </c>
      <c r="C105" s="11" t="s">
        <v>27</v>
      </c>
      <c r="D105" s="13" t="s">
        <v>365</v>
      </c>
      <c r="F105" s="51" t="n">
        <f aca="false">IF(INDEX($H105:$W105,1,Scenario_Selected)="",$H105,INDEX($H105:$W105,1,Scenario_Selected))</f>
        <v>0.0175</v>
      </c>
      <c r="H105" s="52" t="n">
        <v>0.0175</v>
      </c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</row>
    <row r="106" customFormat="false" ht="15" hidden="false" customHeight="false" outlineLevel="0" collapsed="false">
      <c r="B106" s="0" t="s">
        <v>366</v>
      </c>
      <c r="C106" s="11" t="s">
        <v>27</v>
      </c>
      <c r="D106" s="13" t="s">
        <v>367</v>
      </c>
      <c r="F106" s="51" t="n">
        <f aca="false">IF(INDEX($H106:$W106,1,Scenario_Selected)="",$H106,INDEX($H106:$W106,1,Scenario_Selected))</f>
        <v>0.009</v>
      </c>
      <c r="H106" s="52" t="n">
        <v>0.009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</row>
    <row r="107" customFormat="false" ht="15" hidden="false" customHeight="false" outlineLevel="0" collapsed="false">
      <c r="B107" s="0" t="s">
        <v>368</v>
      </c>
      <c r="C107" s="11" t="s">
        <v>206</v>
      </c>
      <c r="D107" s="13" t="s">
        <v>369</v>
      </c>
      <c r="F107" s="44" t="n">
        <f aca="false">IF(INDEX($H107:$W107,1,Scenario_Selected)="",$H107,INDEX($H107:$W107,1,Scenario_Selected))</f>
        <v>6</v>
      </c>
      <c r="H107" s="47" t="n">
        <v>6</v>
      </c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9" customFormat="false" ht="15" hidden="false" customHeight="false" outlineLevel="0" collapsed="false">
      <c r="A109" s="9" t="s">
        <v>13</v>
      </c>
      <c r="B109" s="9"/>
      <c r="C109" s="9" t="s">
        <v>370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customFormat="false" ht="15" hidden="false" customHeight="false" outlineLevel="0" collapsed="false">
      <c r="B110" s="0" t="s">
        <v>371</v>
      </c>
      <c r="C110" s="11" t="s">
        <v>21</v>
      </c>
      <c r="D110" s="13" t="s">
        <v>372</v>
      </c>
      <c r="F110" s="3" t="s">
        <v>373</v>
      </c>
    </row>
    <row r="111" customFormat="false" ht="15" hidden="false" customHeight="false" outlineLevel="0" collapsed="false">
      <c r="B111" s="0" t="s">
        <v>374</v>
      </c>
      <c r="C111" s="11" t="s">
        <v>21</v>
      </c>
      <c r="D111" s="13" t="s">
        <v>375</v>
      </c>
      <c r="F111" s="3"/>
    </row>
    <row r="113" customFormat="false" ht="15" hidden="false" customHeight="false" outlineLevel="0" collapsed="false">
      <c r="C113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376</v>
      </c>
      <c r="D5" s="9"/>
      <c r="E5" s="9" t="s">
        <v>377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378</v>
      </c>
      <c r="F6" s="8" t="s">
        <v>379</v>
      </c>
      <c r="J6" s="8" t="s">
        <v>380</v>
      </c>
    </row>
    <row r="7" customFormat="false" ht="15" hidden="false" customHeight="false" outlineLevel="0" collapsed="false">
      <c r="C7" s="0" t="s">
        <v>381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382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383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384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385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386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387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388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389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390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391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392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393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394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395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396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397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398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399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400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401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402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403</v>
      </c>
      <c r="D5" s="11" t="s">
        <v>203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404</v>
      </c>
      <c r="D6" s="11" t="s">
        <v>405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406</v>
      </c>
      <c r="D7" s="11" t="s">
        <v>407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408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410</v>
      </c>
      <c r="D12" s="11" t="s">
        <v>405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411</v>
      </c>
      <c r="D13" s="11" t="s">
        <v>405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412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324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413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414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415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416</v>
      </c>
      <c r="D20" s="11" t="s">
        <v>405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417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418</v>
      </c>
      <c r="D22" s="11" t="s">
        <v>405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419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420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421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422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423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424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425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426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427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428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429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430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431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432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433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434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435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436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437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438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439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241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440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441</v>
      </c>
      <c r="D51" s="11" t="s">
        <v>294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442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443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444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445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446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447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448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449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450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451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452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453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454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455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456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457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458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459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324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460</v>
      </c>
      <c r="D73" s="11" t="s">
        <v>405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461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462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463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464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465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466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467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340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468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469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470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-26.2442780644279</v>
      </c>
      <c r="AA86" s="58" t="n">
        <v>-26.3759569726434</v>
      </c>
      <c r="AB86" s="58" t="n">
        <v>-27.7092991505735</v>
      </c>
      <c r="AC86" s="58" t="n">
        <v>-29.0492722329979</v>
      </c>
      <c r="AD86" s="58" t="n">
        <v>-28.957534670077</v>
      </c>
      <c r="AE86" s="58" t="n">
        <v>-29.9022429148392</v>
      </c>
      <c r="AF86" s="58" t="n">
        <v>-30.4597403674658</v>
      </c>
      <c r="AG86" s="58" t="n">
        <v>-31.8332456827592</v>
      </c>
      <c r="AH86" s="58" t="n">
        <v>-31.7651833068601</v>
      </c>
      <c r="AI86" s="58" t="n">
        <v>-31.9059999075431</v>
      </c>
      <c r="AJ86" s="58" t="n">
        <v>-40.0225791103471</v>
      </c>
      <c r="AK86" s="58" t="n">
        <v>-74.4584051435515</v>
      </c>
      <c r="AL86" s="58" t="n">
        <v>-74.3724268051436</v>
      </c>
      <c r="AM86" s="58" t="n">
        <v>-74.5574991177988</v>
      </c>
      <c r="AN86" s="58" t="n">
        <v>-77.4854179374257</v>
      </c>
      <c r="AO86" s="58" t="n">
        <v>-80.4287304617494</v>
      </c>
      <c r="AP86" s="58" t="n">
        <v>-80.3958388092316</v>
      </c>
      <c r="AQ86" s="58" t="n">
        <v>-80.5962422291403</v>
      </c>
      <c r="AR86" s="58" t="n">
        <v>-83.598229194201</v>
      </c>
      <c r="AS86" s="58" t="n">
        <v>-86.6163941014305</v>
      </c>
      <c r="AT86" s="58" t="n">
        <v>-86.6396809833894</v>
      </c>
      <c r="AU86" s="58" t="n">
        <v>-88.5768705267662</v>
      </c>
      <c r="AV86" s="58" t="n">
        <v>-89.9370411574267</v>
      </c>
      <c r="AW86" s="58" t="n">
        <v>-93.0329331623456</v>
      </c>
      <c r="AX86" s="58" t="n">
        <v>-93.1156497200521</v>
      </c>
      <c r="AY86" s="58" t="n">
        <v>-93.355077964374</v>
      </c>
      <c r="AZ86" s="58" t="n">
        <v>-96.5138552829583</v>
      </c>
      <c r="BA86" s="58" t="n">
        <v>-99.6905009138139</v>
      </c>
      <c r="BB86" s="58" t="n">
        <v>-99.8360656905084</v>
      </c>
      <c r="BC86" s="58" t="n">
        <v>-100.099506314929</v>
      </c>
      <c r="BD86" s="58" t="n">
        <v>-103.341313345752</v>
      </c>
      <c r="BE86" s="58" t="n">
        <v>-106.601898996036</v>
      </c>
      <c r="BF86" s="58" t="n">
        <v>-106.813906458895</v>
      </c>
      <c r="BG86" s="58" t="n">
        <v>-107.104585786082</v>
      </c>
      <c r="BH86" s="58" t="n">
        <v>-110.432730882987</v>
      </c>
      <c r="BI86" s="58" t="n">
        <v>-113.780611282447</v>
      </c>
      <c r="BJ86" s="58" t="n">
        <v>-114.062840778242</v>
      </c>
      <c r="BK86" s="58" t="n">
        <v>-116.142874426328</v>
      </c>
      <c r="BL86" s="58" t="n">
        <v>-117.802132361764</v>
      </c>
      <c r="BM86" s="58" t="n">
        <v>-121.240839488235</v>
      </c>
      <c r="BN86" s="58" t="n">
        <v>-121.597264654769</v>
      </c>
      <c r="BO86" s="58" t="n">
        <v>-121.952833072392</v>
      </c>
      <c r="BP86" s="58" t="n">
        <v>-125.464288159763</v>
      </c>
      <c r="BQ86" s="58" t="n">
        <v>-128.99754061451</v>
      </c>
      <c r="BR86" s="58" t="n">
        <v>-129.432339271037</v>
      </c>
      <c r="BS86" s="58" t="n">
        <v>-129.825948422925</v>
      </c>
      <c r="BT86" s="58" t="n">
        <v>-133.434753451745</v>
      </c>
      <c r="BU86" s="58" t="n">
        <v>-137.066466322164</v>
      </c>
      <c r="BV86" s="58" t="n">
        <v>-137.584030863181</v>
      </c>
      <c r="BW86" s="58" t="n">
        <v>-138.019688754053</v>
      </c>
      <c r="BX86" s="58" t="n">
        <v>-141.729909099514</v>
      </c>
      <c r="BY86" s="58" t="n">
        <v>-145.464204334283</v>
      </c>
      <c r="BZ86" s="58" t="n">
        <v>-146.069152652321</v>
      </c>
      <c r="CA86" s="58" t="n">
        <v>-148.342893235609</v>
      </c>
      <c r="CB86" s="58" t="n">
        <v>-150.367004647989</v>
      </c>
      <c r="CC86" s="58" t="n">
        <v>-154.208221971007</v>
      </c>
      <c r="CD86" s="58" t="n">
        <v>-154.905408935367</v>
      </c>
      <c r="CE86" s="58" t="n">
        <v>-155.438085525006</v>
      </c>
      <c r="CF86" s="58" t="n">
        <v>-159.364203535213</v>
      </c>
      <c r="CG86" s="58" t="n">
        <v>-163.316911926047</v>
      </c>
      <c r="CH86" s="58" t="n">
        <v>-164.111441445785</v>
      </c>
      <c r="CI86" s="58" t="n">
        <v>-162.491563010113</v>
      </c>
      <c r="CJ86" s="58" t="n">
        <v>-164.297024821337</v>
      </c>
      <c r="CK86" s="58" t="n">
        <v>-166.10248663256</v>
      </c>
      <c r="CL86" s="58" t="n">
        <v>-164.707882025239</v>
      </c>
      <c r="CM86" s="58" t="n">
        <v>-163.035929013149</v>
      </c>
      <c r="CN86" s="58" t="n">
        <v>-164.847439335518</v>
      </c>
      <c r="CO86" s="58" t="n">
        <v>-166.658949657886</v>
      </c>
      <c r="CP86" s="58" t="n">
        <v>-165.255935217963</v>
      </c>
      <c r="CQ86" s="58" t="n">
        <v>-165.348428649366</v>
      </c>
      <c r="CR86" s="58" t="n">
        <v>-165.348428649366</v>
      </c>
      <c r="CS86" s="58" t="n">
        <v>-167.165444348809</v>
      </c>
      <c r="CT86" s="58" t="n">
        <v>-165.754001470199</v>
      </c>
      <c r="CU86" s="58" t="n">
        <v>-163.976408355418</v>
      </c>
      <c r="CV86" s="58" t="n">
        <v>-165.798368448256</v>
      </c>
      <c r="CW86" s="58" t="n">
        <v>-167.620328541094</v>
      </c>
      <c r="CX86" s="58" t="n">
        <v>-166.200439331427</v>
      </c>
      <c r="CY86" s="58" t="n">
        <v>-164.369266736234</v>
      </c>
      <c r="CZ86" s="58" t="n">
        <v>-166.195591922192</v>
      </c>
      <c r="DA86" s="58" t="n">
        <v>-168.02191710815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471</v>
      </c>
      <c r="D87" s="11" t="s">
        <v>33</v>
      </c>
      <c r="I87" s="48" t="n">
        <f aca="false">SUM(J87:EO87)</f>
        <v>271159.472810698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2335.05033254372</v>
      </c>
      <c r="AA87" s="48" t="n">
        <f aca="false">(AA83+AA59+AA86)*(AA$4&gt;In_COD)</f>
        <v>2299.41436071246</v>
      </c>
      <c r="AB87" s="48" t="n">
        <f aca="false">(AB83+AB59+AB86)*(AB$4&gt;In_COD)</f>
        <v>2323.92313317548</v>
      </c>
      <c r="AC87" s="48" t="n">
        <f aca="false">(AC83+AC59+AC86)*(AC$4&gt;In_COD)</f>
        <v>2348.425274734</v>
      </c>
      <c r="AD87" s="48" t="n">
        <f aca="false">(AD83+AD59+AD86)*(AD$4&gt;In_COD)</f>
        <v>2340.04295072676</v>
      </c>
      <c r="AE87" s="48" t="n">
        <f aca="false">(AE83+AE59+AE86)*(AE$4&gt;In_COD)</f>
        <v>2329.21563844265</v>
      </c>
      <c r="AF87" s="48" t="n">
        <f aca="false">(AF83+AF59+AF86)*(AF$4&gt;In_COD)</f>
        <v>2328.65814099003</v>
      </c>
      <c r="AG87" s="48" t="n">
        <f aca="false">(AG83+AG59+AG86)*(AG$4&gt;In_COD)</f>
        <v>2353.20900799734</v>
      </c>
      <c r="AH87" s="48" t="n">
        <f aca="false">(AH83+AH59+AH86)*(AH$4&gt;In_COD)</f>
        <v>2344.74927872233</v>
      </c>
      <c r="AI87" s="48" t="n">
        <f aca="false">(AI83+AI59+AI86)*(AI$4&gt;In_COD)</f>
        <v>2308.4961023672</v>
      </c>
      <c r="AJ87" s="48" t="n">
        <f aca="false">(AJ83+AJ59+AJ86)*(AJ$4&gt;In_COD)</f>
        <v>2359.53947980212</v>
      </c>
      <c r="AK87" s="48" t="n">
        <f aca="false">(AK83+AK59+AK86)*(AK$4&gt;In_COD)</f>
        <v>2351.47246760312</v>
      </c>
      <c r="AL87" s="48" t="n">
        <f aca="false">(AL83+AL59+AL86)*(AL$4&gt;In_COD)</f>
        <v>2342.97674530338</v>
      </c>
      <c r="AM87" s="48" t="n">
        <f aca="false">(AM83+AM59+AM86)*(AM$4&gt;In_COD)</f>
        <v>2305.64250283825</v>
      </c>
      <c r="AN87" s="48" t="n">
        <f aca="false">(AN83+AN59+AN86)*(AN$4&gt;In_COD)</f>
        <v>2329.16125070702</v>
      </c>
      <c r="AO87" s="48" t="n">
        <f aca="false">(AO83+AO59+AO86)*(AO$4&gt;In_COD)</f>
        <v>2352.6646048711</v>
      </c>
      <c r="AP87" s="48" t="n">
        <f aca="false">(AP83+AP59+AP86)*(AP$4&gt;In_COD)</f>
        <v>2344.06171079721</v>
      </c>
      <c r="AQ87" s="48" t="n">
        <f aca="false">(AQ83+AQ59+AQ86)*(AQ$4&gt;In_COD)</f>
        <v>2306.4012483249</v>
      </c>
      <c r="AR87" s="48" t="n">
        <f aca="false">(AR83+AR59+AR86)*(AR$4&gt;In_COD)</f>
        <v>2329.92145569932</v>
      </c>
      <c r="AS87" s="48" t="n">
        <f aca="false">(AS83+AS59+AS86)*(AS$4&gt;In_COD)</f>
        <v>2353.42548513158</v>
      </c>
      <c r="AT87" s="48" t="n">
        <f aca="false">(AT83+AT59+AT86)*(AT$4&gt;In_COD)</f>
        <v>2344.71215424851</v>
      </c>
      <c r="AU87" s="48" t="n">
        <f aca="false">(AU83+AU59+AU86)*(AU$4&gt;In_COD)</f>
        <v>2331.59652192748</v>
      </c>
      <c r="AV87" s="48" t="n">
        <f aca="false">(AV83+AV59+AV86)*(AV$4&gt;In_COD)</f>
        <v>2330.23635129681</v>
      </c>
      <c r="AW87" s="48" t="n">
        <f aca="false">(AW83+AW59+AW86)*(AW$4&gt;In_COD)</f>
        <v>2353.73577129689</v>
      </c>
      <c r="AX87" s="48" t="n">
        <f aca="false">(AX83+AX59+AX86)*(AX$4&gt;In_COD)</f>
        <v>2344.9085823033</v>
      </c>
      <c r="AY87" s="48" t="n">
        <f aca="false">(AY83+AY59+AY86)*(AY$4&gt;In_COD)</f>
        <v>2306.5788597903</v>
      </c>
      <c r="AZ87" s="48" t="n">
        <f aca="false">(AZ83+AZ59+AZ86)*(AZ$4&gt;In_COD)</f>
        <v>2330.08601511344</v>
      </c>
      <c r="BA87" s="48" t="n">
        <f aca="false">(BA83+BA59+BA86)*(BA$4&gt;In_COD)</f>
        <v>2353.5753021243</v>
      </c>
      <c r="BB87" s="48" t="n">
        <f aca="false">(BB83+BB59+BB86)*(BB$4&gt;In_COD)</f>
        <v>2344.63066945793</v>
      </c>
      <c r="BC87" s="48" t="n">
        <f aca="false">(BC83+BC59+BC86)*(BC$4&gt;In_COD)</f>
        <v>2305.95751372368</v>
      </c>
      <c r="BD87" s="48" t="n">
        <f aca="false">(BD83+BD59+BD86)*(BD$4&gt;In_COD)</f>
        <v>2329.44967358217</v>
      </c>
      <c r="BE87" s="48" t="n">
        <f aca="false">(BE83+BE59+BE86)*(BE$4&gt;In_COD)</f>
        <v>2352.92305482121</v>
      </c>
      <c r="BF87" s="48" t="n">
        <f aca="false">(BF83+BF59+BF86)*(BF$4&gt;In_COD)</f>
        <v>2343.85722025432</v>
      </c>
      <c r="BG87" s="48" t="n">
        <f aca="false">(BG83+BG59+BG86)*(BG$4&gt;In_COD)</f>
        <v>2304.83448533295</v>
      </c>
      <c r="BH87" s="48" t="n">
        <f aca="false">(BH83+BH59+BH86)*(BH$4&gt;In_COD)</f>
        <v>2328.30566324847</v>
      </c>
      <c r="BI87" s="48" t="n">
        <f aca="false">(BI83+BI59+BI86)*(BI$4&gt;In_COD)</f>
        <v>2351.75710586145</v>
      </c>
      <c r="BJ87" s="48" t="n">
        <f aca="false">(BJ83+BJ59+BJ86)*(BJ$4&gt;In_COD)</f>
        <v>2342.56612966558</v>
      </c>
      <c r="BK87" s="48" t="n">
        <f aca="false">(BK83+BK59+BK86)*(BK$4&gt;In_COD)</f>
        <v>2328.29064814514</v>
      </c>
      <c r="BL87" s="48" t="n">
        <f aca="false">(BL83+BL59+BL86)*(BL$4&gt;In_COD)</f>
        <v>2326.63139020971</v>
      </c>
      <c r="BM87" s="48" t="n">
        <f aca="false">(BM83+BM59+BM86)*(BM$4&gt;In_COD)</f>
        <v>2350.05458992468</v>
      </c>
      <c r="BN87" s="48" t="n">
        <f aca="false">(BN83+BN59+BN86)*(BN$4&gt;In_COD)</f>
        <v>2340.73434158255</v>
      </c>
      <c r="BO87" s="48" t="n">
        <f aca="false">(BO83+BO59+BO86)*(BO$4&gt;In_COD)</f>
        <v>2300.99312098471</v>
      </c>
      <c r="BP87" s="48" t="n">
        <f aca="false">(BP83+BP59+BP86)*(BP$4&gt;In_COD)</f>
        <v>2324.40328760908</v>
      </c>
      <c r="BQ87" s="48" t="n">
        <f aca="false">(BQ83+BQ59+BQ86)*(BQ$4&gt;In_COD)</f>
        <v>2347.79165686608</v>
      </c>
      <c r="BR87" s="48" t="n">
        <f aca="false">(BR83+BR59+BR86)*(BR$4&gt;In_COD)</f>
        <v>2338.33780530757</v>
      </c>
      <c r="BS87" s="48" t="n">
        <f aca="false">(BS83+BS59+BS86)*(BS$4&gt;In_COD)</f>
        <v>2298.22720771513</v>
      </c>
      <c r="BT87" s="48" t="n">
        <f aca="false">(BT83+BT59+BT86)*(BT$4&gt;In_COD)</f>
        <v>2321.59677108785</v>
      </c>
      <c r="BU87" s="48" t="n">
        <f aca="false">(BU83+BU59+BU86)*(BU$4&gt;In_COD)</f>
        <v>2344.94342661896</v>
      </c>
      <c r="BV87" s="48" t="n">
        <f aca="false">(BV83+BV59+BV86)*(BV$4&gt;In_COD)</f>
        <v>2335.35142995684</v>
      </c>
      <c r="BW87" s="48" t="n">
        <f aca="false">(BW83+BW59+BW86)*(BW$4&gt;In_COD)</f>
        <v>2294.86436737233</v>
      </c>
      <c r="BX87" s="48" t="n">
        <f aca="false">(BX83+BX59+BX86)*(BX$4&gt;In_COD)</f>
        <v>2318.18619209494</v>
      </c>
      <c r="BY87" s="48" t="n">
        <f aca="false">(BY83+BY59+BY86)*(BY$4&gt;In_COD)</f>
        <v>2341.48394192824</v>
      </c>
      <c r="BZ87" s="48" t="n">
        <f aca="false">(BZ83+BZ59+BZ86)*(BZ$4&gt;In_COD)</f>
        <v>2331.74903666808</v>
      </c>
      <c r="CA87" s="48" t="n">
        <f aca="false">(CA83+CA59+CA86)*(CA$4&gt;In_COD)</f>
        <v>2316.16890036023</v>
      </c>
      <c r="CB87" s="48" t="n">
        <f aca="false">(CB83+CB59+CB86)*(CB$4&gt;In_COD)</f>
        <v>2314.14478894785</v>
      </c>
      <c r="CC87" s="48" t="n">
        <f aca="false">(CC83+CC59+CC86)*(CC$4&gt;In_COD)</f>
        <v>2337.38611880721</v>
      </c>
      <c r="CD87" s="48" t="n">
        <f aca="false">(CD83+CD59+CD86)*(CD$4&gt;In_COD)</f>
        <v>2327.50330850459</v>
      </c>
      <c r="CE87" s="48" t="n">
        <f aca="false">(CE83+CE59+CE86)*(CE$4&gt;In_COD)</f>
        <v>2286.24098608149</v>
      </c>
      <c r="CF87" s="48" t="n">
        <f aca="false">(CF83+CF59+CF86)*(CF$4&gt;In_COD)</f>
        <v>2309.44463553358</v>
      </c>
      <c r="CG87" s="48" t="n">
        <f aca="false">(CG83+CG59+CG86)*(CG$4&gt;In_COD)</f>
        <v>2332.62169460504</v>
      </c>
      <c r="CH87" s="48" t="n">
        <f aca="false">(CH83+CH59+CH86)*(CH$4&gt;In_COD)</f>
        <v>2322.58573794189</v>
      </c>
      <c r="CI87" s="48" t="n">
        <f aca="false">(CI83+CI59+CI86)*(CI$4&gt;In_COD)</f>
        <v>2283.1320593481</v>
      </c>
      <c r="CJ87" s="48" t="n">
        <f aca="false">(CJ83+CJ59+CJ86)*(CJ$4&gt;In_COD)</f>
        <v>2308.50019334086</v>
      </c>
      <c r="CK87" s="48" t="n">
        <f aca="false">(CK83+CK59+CK86)*(CK$4&gt;In_COD)</f>
        <v>2333.86832733361</v>
      </c>
      <c r="CL87" s="48" t="n">
        <f aca="false">(CL83+CL59+CL86)*(CL$4&gt;In_COD)</f>
        <v>2325.96556789213</v>
      </c>
      <c r="CM87" s="48" t="n">
        <f aca="false">(CM83+CM59+CM86)*(CM$4&gt;In_COD)</f>
        <v>2286.21680003197</v>
      </c>
      <c r="CN87" s="48" t="n">
        <f aca="false">(CN83+CN59+CN86)*(CN$4&gt;In_COD)</f>
        <v>2311.61920892122</v>
      </c>
      <c r="CO87" s="48" t="n">
        <f aca="false">(CO83+CO59+CO86)*(CO$4&gt;In_COD)</f>
        <v>2337.02161781046</v>
      </c>
      <c r="CP87" s="48" t="n">
        <f aca="false">(CP83+CP59+CP86)*(CP$4&gt;In_COD)</f>
        <v>2329.07120265089</v>
      </c>
      <c r="CQ87" s="48" t="n">
        <f aca="false">(CQ83+CQ59+CQ86)*(CQ$4&gt;In_COD)</f>
        <v>2314.45814836636</v>
      </c>
      <c r="CR87" s="48" t="n">
        <f aca="false">(CR83+CR59+CR86)*(CR$4&gt;In_COD)</f>
        <v>2314.45814836636</v>
      </c>
      <c r="CS87" s="48" t="n">
        <f aca="false">(CS83+CS59+CS86)*(CS$4&gt;In_COD)</f>
        <v>2339.89175439236</v>
      </c>
      <c r="CT87" s="48" t="n">
        <f aca="false">(CT83+CT59+CT86)*(CT$4&gt;In_COD)</f>
        <v>2331.89357808024</v>
      </c>
      <c r="CU87" s="48" t="n">
        <f aca="false">(CU83+CU59+CU86)*(CU$4&gt;In_COD)</f>
        <v>2291.54618297149</v>
      </c>
      <c r="CV87" s="48" t="n">
        <f aca="false">(CV83+CV59+CV86)*(CV$4&gt;In_COD)</f>
        <v>2317.00780722673</v>
      </c>
      <c r="CW87" s="48" t="n">
        <f aca="false">(CW83+CW59+CW86)*(CW$4&gt;In_COD)</f>
        <v>2342.46943148197</v>
      </c>
      <c r="CX87" s="48" t="n">
        <f aca="false">(CX83+CX59+CX86)*(CX$4&gt;In_COD)</f>
        <v>2334.42339262719</v>
      </c>
      <c r="CY87" s="48" t="n">
        <f aca="false">(CY83+CY59+CY86)*(CY$4&gt;In_COD)</f>
        <v>2293.77238046278</v>
      </c>
      <c r="CZ87" s="48" t="n">
        <f aca="false">(CZ83+CZ59+CZ86)*(CZ$4&gt;In_COD)</f>
        <v>2319.2587402457</v>
      </c>
      <c r="DA87" s="48" t="n">
        <f aca="false">(DA83+DA59+DA86)*(DA$4&gt;In_COD)</f>
        <v>2344.74510002862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472</v>
      </c>
      <c r="D88" s="11" t="s">
        <v>33</v>
      </c>
      <c r="E88" s="48" t="n">
        <f aca="false">PV($F22,In_Debt_Tenor*Months_In_Year/Months_Per_Period,-$F88)</f>
        <v>80084.3388281759</v>
      </c>
      <c r="F88" s="48" t="n">
        <f aca="false">MIN($J88:$EO88)</f>
        <v>1905.20082173457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1945.87527711976</v>
      </c>
      <c r="AA88" s="48" t="n">
        <f aca="false">IF(AA18=1,AA87/In_DSCR,"")</f>
        <v>1916.17863392705</v>
      </c>
      <c r="AB88" s="48" t="n">
        <f aca="false">IF(AB18=1,AB87/In_DSCR,"")</f>
        <v>1936.60261097956</v>
      </c>
      <c r="AC88" s="48" t="n">
        <f aca="false">IF(AC18=1,AC87/In_DSCR,"")</f>
        <v>1957.02106227833</v>
      </c>
      <c r="AD88" s="48" t="n">
        <f aca="false">IF(AD18=1,AD87/In_DSCR,"")</f>
        <v>1950.0357922723</v>
      </c>
      <c r="AE88" s="48" t="n">
        <f aca="false">IF(AE18=1,AE87/In_DSCR,"")</f>
        <v>1941.01303203554</v>
      </c>
      <c r="AF88" s="48" t="n">
        <f aca="false">IF(AF18=1,AF87/In_DSCR,"")</f>
        <v>1940.54845082502</v>
      </c>
      <c r="AG88" s="48" t="n">
        <f aca="false">IF(AG18=1,AG87/In_DSCR,"")</f>
        <v>1961.00750666445</v>
      </c>
      <c r="AH88" s="48" t="n">
        <f aca="false">IF(AH18=1,AH87/In_DSCR,"")</f>
        <v>1953.95773226861</v>
      </c>
      <c r="AI88" s="48" t="n">
        <f aca="false">IF(AI18=1,AI87/In_DSCR,"")</f>
        <v>1923.74675197266</v>
      </c>
      <c r="AJ88" s="48" t="n">
        <f aca="false">IF(AJ18=1,AJ87/In_DSCR,"")</f>
        <v>1966.2828998351</v>
      </c>
      <c r="AK88" s="48" t="n">
        <f aca="false">IF(AK18=1,AK87/In_DSCR,"")</f>
        <v>1959.56038966927</v>
      </c>
      <c r="AL88" s="48" t="n">
        <f aca="false">IF(AL18=1,AL87/In_DSCR,"")</f>
        <v>1952.48062108615</v>
      </c>
      <c r="AM88" s="48" t="n">
        <f aca="false">IF(AM18=1,AM87/In_DSCR,"")</f>
        <v>1921.36875236521</v>
      </c>
      <c r="AN88" s="48" t="n">
        <f aca="false">IF(AN18=1,AN87/In_DSCR,"")</f>
        <v>1940.96770892252</v>
      </c>
      <c r="AO88" s="48" t="n">
        <f aca="false">IF(AO18=1,AO87/In_DSCR,"")</f>
        <v>1960.55383739258</v>
      </c>
      <c r="AP88" s="48" t="n">
        <f aca="false">IF(AP18=1,AP87/In_DSCR,"")</f>
        <v>1953.38475899768</v>
      </c>
      <c r="AQ88" s="48" t="n">
        <f aca="false">IF(AQ18=1,AQ87/In_DSCR,"")</f>
        <v>1922.00104027075</v>
      </c>
      <c r="AR88" s="48" t="n">
        <f aca="false">IF(AR18=1,AR87/In_DSCR,"")</f>
        <v>1941.60121308277</v>
      </c>
      <c r="AS88" s="48" t="n">
        <f aca="false">IF(AS18=1,AS87/In_DSCR,"")</f>
        <v>1961.18790427632</v>
      </c>
      <c r="AT88" s="48" t="n">
        <f aca="false">IF(AT18=1,AT87/In_DSCR,"")</f>
        <v>1953.92679520709</v>
      </c>
      <c r="AU88" s="48" t="n">
        <f aca="false">IF(AU18=1,AU87/In_DSCR,"")</f>
        <v>1942.99710160623</v>
      </c>
      <c r="AV88" s="48" t="n">
        <f aca="false">IF(AV18=1,AV87/In_DSCR,"")</f>
        <v>1941.86362608068</v>
      </c>
      <c r="AW88" s="48" t="n">
        <f aca="false">IF(AW18=1,AW87/In_DSCR,"")</f>
        <v>1961.44647608074</v>
      </c>
      <c r="AX88" s="48" t="n">
        <f aca="false">IF(AX18=1,AX87/In_DSCR,"")</f>
        <v>1954.09048525275</v>
      </c>
      <c r="AY88" s="48" t="n">
        <f aca="false">IF(AY18=1,AY87/In_DSCR,"")</f>
        <v>1922.14904982525</v>
      </c>
      <c r="AZ88" s="48" t="n">
        <f aca="false">IF(AZ18=1,AZ87/In_DSCR,"")</f>
        <v>1941.73834592786</v>
      </c>
      <c r="BA88" s="48" t="n">
        <f aca="false">IF(BA18=1,BA87/In_DSCR,"")</f>
        <v>1961.31275177025</v>
      </c>
      <c r="BB88" s="48" t="n">
        <f aca="false">IF(BB18=1,BB87/In_DSCR,"")</f>
        <v>1953.85889121494</v>
      </c>
      <c r="BC88" s="48" t="n">
        <f aca="false">IF(BC18=1,BC87/In_DSCR,"")</f>
        <v>1921.6312614364</v>
      </c>
      <c r="BD88" s="48" t="n">
        <f aca="false">IF(BD18=1,BD87/In_DSCR,"")</f>
        <v>1941.20806131848</v>
      </c>
      <c r="BE88" s="48" t="n">
        <f aca="false">IF(BE18=1,BE87/In_DSCR,"")</f>
        <v>1960.76921235101</v>
      </c>
      <c r="BF88" s="48" t="n">
        <f aca="false">IF(BF18=1,BF87/In_DSCR,"")</f>
        <v>1953.21435021194</v>
      </c>
      <c r="BG88" s="48" t="n">
        <f aca="false">IF(BG18=1,BG87/In_DSCR,"")</f>
        <v>1920.69540444412</v>
      </c>
      <c r="BH88" s="48" t="n">
        <f aca="false">IF(BH18=1,BH87/In_DSCR,"")</f>
        <v>1940.25471937373</v>
      </c>
      <c r="BI88" s="48" t="n">
        <f aca="false">IF(BI18=1,BI87/In_DSCR,"")</f>
        <v>1959.79758821787</v>
      </c>
      <c r="BJ88" s="48" t="n">
        <f aca="false">IF(BJ18=1,BJ87/In_DSCR,"")</f>
        <v>1952.13844138798</v>
      </c>
      <c r="BK88" s="48" t="n">
        <f aca="false">IF(BK18=1,BK87/In_DSCR,"")</f>
        <v>1940.24220678762</v>
      </c>
      <c r="BL88" s="48" t="n">
        <f aca="false">IF(BL18=1,BL87/In_DSCR,"")</f>
        <v>1938.85949184142</v>
      </c>
      <c r="BM88" s="48" t="n">
        <f aca="false">IF(BM18=1,BM87/In_DSCR,"")</f>
        <v>1958.37882493724</v>
      </c>
      <c r="BN88" s="48" t="n">
        <f aca="false">IF(BN18=1,BN87/In_DSCR,"")</f>
        <v>1950.6119513188</v>
      </c>
      <c r="BO88" s="48" t="n">
        <f aca="false">IF(BO18=1,BO87/In_DSCR,"")</f>
        <v>1917.49426748725</v>
      </c>
      <c r="BP88" s="48" t="n">
        <f aca="false">IF(BP18=1,BP87/In_DSCR,"")</f>
        <v>1937.00273967423</v>
      </c>
      <c r="BQ88" s="48" t="n">
        <f aca="false">IF(BQ18=1,BQ87/In_DSCR,"")</f>
        <v>1956.4930473884</v>
      </c>
      <c r="BR88" s="48" t="n">
        <f aca="false">IF(BR18=1,BR87/In_DSCR,"")</f>
        <v>1948.61483775631</v>
      </c>
      <c r="BS88" s="48" t="n">
        <f aca="false">IF(BS18=1,BS87/In_DSCR,"")</f>
        <v>1915.18933976261</v>
      </c>
      <c r="BT88" s="48" t="n">
        <f aca="false">IF(BT18=1,BT87/In_DSCR,"")</f>
        <v>1934.66397590654</v>
      </c>
      <c r="BU88" s="48" t="n">
        <f aca="false">IF(BU18=1,BU87/In_DSCR,"")</f>
        <v>1954.11952218247</v>
      </c>
      <c r="BV88" s="48" t="n">
        <f aca="false">IF(BV18=1,BV87/In_DSCR,"")</f>
        <v>1946.1261916307</v>
      </c>
      <c r="BW88" s="48" t="n">
        <f aca="false">IF(BW18=1,BW87/In_DSCR,"")</f>
        <v>1912.38697281027</v>
      </c>
      <c r="BX88" s="48" t="n">
        <f aca="false">IF(BX18=1,BX87/In_DSCR,"")</f>
        <v>1931.82182674578</v>
      </c>
      <c r="BY88" s="48" t="n">
        <f aca="false">IF(BY18=1,BY87/In_DSCR,"")</f>
        <v>1951.23661827353</v>
      </c>
      <c r="BZ88" s="48" t="n">
        <f aca="false">IF(BZ18=1,BZ87/In_DSCR,"")</f>
        <v>1943.1241972234</v>
      </c>
      <c r="CA88" s="48" t="n">
        <f aca="false">IF(CA18=1,CA87/In_DSCR,"")</f>
        <v>1930.14075030019</v>
      </c>
      <c r="CB88" s="48" t="n">
        <f aca="false">IF(CB18=1,CB87/In_DSCR,"")</f>
        <v>1928.45399078988</v>
      </c>
      <c r="CC88" s="48" t="n">
        <f aca="false">IF(CC18=1,CC87/In_DSCR,"")</f>
        <v>1947.82176567267</v>
      </c>
      <c r="CD88" s="48" t="n">
        <f aca="false">IF(CD18=1,CD87/In_DSCR,"")</f>
        <v>1939.58609042049</v>
      </c>
      <c r="CE88" s="48" t="n">
        <f aca="false">IF(CE18=1,CE87/In_DSCR,"")</f>
        <v>1905.20082173457</v>
      </c>
      <c r="CF88" s="48" t="n">
        <f aca="false">IF(CF18=1,CF87/In_DSCR,"")</f>
        <v>1924.53719627798</v>
      </c>
      <c r="CG88" s="48" t="n">
        <f aca="false">IF(CG18=1,CG87/In_DSCR,"")</f>
        <v>1943.85141217086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473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474</v>
      </c>
      <c r="D90" s="11" t="s">
        <v>27</v>
      </c>
      <c r="E90" s="33" t="n">
        <f aca="false">MIN(In_Gearing,$E88/-$E70,$E89/-$E70)</f>
        <v>0.461007037155847</v>
      </c>
      <c r="F90" s="33" t="n">
        <f aca="false">$E90*-$E70/$E88</f>
        <v>0.618098378837892</v>
      </c>
    </row>
    <row r="91" customFormat="false" ht="15" hidden="false" customHeight="false" outlineLevel="0" collapsed="false">
      <c r="C91" s="0" t="s">
        <v>475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350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476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-314.379405511809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-281.602254139767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-247.580531283694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-98.0754526718329</v>
      </c>
      <c r="CB94" s="48" t="n">
        <f aca="false">-CA103*$F22*(CB$4&gt;In_COD)</f>
        <v>-84.5813765892963</v>
      </c>
      <c r="CC94" s="48" t="n">
        <f aca="false">-CB103*$F22*(CC$4&gt;In_COD)</f>
        <v>-70.918624555728</v>
      </c>
      <c r="CD94" s="48" t="n">
        <f aca="false">-CC103*$F22*(CD$4&gt;In_COD)</f>
        <v>-57.0850881217402</v>
      </c>
      <c r="CE94" s="48" t="n">
        <f aca="false">-CD103*$F22*(CE$4&gt;In_COD)</f>
        <v>-43.0786324823275</v>
      </c>
      <c r="CF94" s="48" t="n">
        <f aca="false">-CE103*$F22*(CF$4&gt;In_COD)</f>
        <v>-28.8970961474221</v>
      </c>
      <c r="CG94" s="48" t="n">
        <f aca="false">-CF103*$F22*(CG$4&gt;In_COD)</f>
        <v>-14.5382906083304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477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-698.887101695855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-791.329478478814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-821.376815180194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-884.937565565423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-941.646270590952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-1163.06324866643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478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479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480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481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5343.04945755914</v>
      </c>
      <c r="T99" s="18" t="n">
        <f aca="false">S103</f>
        <v>14396.1646434876</v>
      </c>
      <c r="U99" s="18" t="n">
        <f aca="false">T103</f>
        <v>19861.0895345516</v>
      </c>
      <c r="V99" s="18" t="n">
        <f aca="false">U103</f>
        <v>25452.4026112927</v>
      </c>
      <c r="W99" s="18" t="n">
        <f aca="false">V103</f>
        <v>31113.607101493</v>
      </c>
      <c r="X99" s="18" t="n">
        <f aca="false">W103</f>
        <v>36729.4233987434</v>
      </c>
      <c r="Y99" s="18" t="n">
        <f aca="false">X103</f>
        <v>42473.5140242482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36890.6447141493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28497.9779275651</v>
      </c>
      <c r="BF99" s="18" t="n">
        <f aca="false">BE103</f>
        <v>27676.6011123849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20724.9817698472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11005.3056942192</v>
      </c>
      <c r="BY99" s="18" t="n">
        <f aca="false">BX103</f>
        <v>9965.27047612213</v>
      </c>
      <c r="BZ99" s="18" t="n">
        <f aca="false">BY103</f>
        <v>8912.2348177989</v>
      </c>
      <c r="CA99" s="18" t="n">
        <f aca="false">BZ103</f>
        <v>7846.03621374663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3446.2905985862</v>
      </c>
      <c r="CF99" s="18" t="n">
        <f aca="false">CE103</f>
        <v>2311.76769179377</v>
      </c>
      <c r="CG99" s="18" t="n">
        <f aca="false">CF103</f>
        <v>1163.06324866643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482</v>
      </c>
      <c r="D100" s="11" t="s">
        <v>33</v>
      </c>
      <c r="I100" s="48" t="n">
        <f aca="false">SUM(J100:EO100)</f>
        <v>47307.8843653578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5343.04945755914</v>
      </c>
      <c r="S100" s="48" t="n">
        <f aca="false">-$E90*S70</f>
        <v>8986.32706770894</v>
      </c>
      <c r="T100" s="48" t="n">
        <f aca="false">-$E90*T70</f>
        <v>5284.97283302046</v>
      </c>
      <c r="U100" s="48" t="n">
        <f aca="false">-$E90*U70</f>
        <v>5343.04945755914</v>
      </c>
      <c r="V100" s="48" t="n">
        <f aca="false">-$E90*V70</f>
        <v>5343.04945755914</v>
      </c>
      <c r="W100" s="48" t="n">
        <f aca="false">-$E90*W70</f>
        <v>5226.89620848177</v>
      </c>
      <c r="X100" s="48" t="n">
        <f aca="false">-$E90*X70</f>
        <v>5284.97283302046</v>
      </c>
      <c r="Y100" s="48" t="n">
        <f aca="false">-$E90*Y70</f>
        <v>6495.56705044876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483</v>
      </c>
      <c r="D101" s="11" t="s">
        <v>33</v>
      </c>
      <c r="I101" s="48" t="n">
        <f aca="false">SUM(J101:EO101)</f>
        <v>2192.1156346422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66.7881182194893</v>
      </c>
      <c r="T101" s="48" t="n">
        <f aca="false">T99*$F22*(T$4&lt;=In_COD)</f>
        <v>179.952058043595</v>
      </c>
      <c r="U101" s="48" t="n">
        <f aca="false">U99*$F22*(U$4&lt;=In_COD)</f>
        <v>248.263619181895</v>
      </c>
      <c r="V101" s="48" t="n">
        <f aca="false">V99*$F22*(V$4&lt;=In_COD)</f>
        <v>318.155032641158</v>
      </c>
      <c r="W101" s="48" t="n">
        <f aca="false">W99*$F22*(W$4&lt;=In_COD)</f>
        <v>388.920088768662</v>
      </c>
      <c r="X101" s="48" t="n">
        <f aca="false">X99*$F22*(X$4&lt;=In_COD)</f>
        <v>459.117792484293</v>
      </c>
      <c r="Y101" s="48" t="n">
        <f aca="false">Y99*$F22*(Y$4&lt;=In_COD)</f>
        <v>530.918925303102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484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-698.887101695855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-791.329478478814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-821.376815180194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-884.937565565423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-941.646270590952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-1163.06324866643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485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5343.04945755914</v>
      </c>
      <c r="S103" s="57" t="n">
        <f aca="false">SUM(S99:S102)</f>
        <v>14396.1646434876</v>
      </c>
      <c r="T103" s="57" t="n">
        <f aca="false">SUM(T99:T102)</f>
        <v>19861.0895345516</v>
      </c>
      <c r="U103" s="57" t="n">
        <f aca="false">SUM(U99:U102)</f>
        <v>25452.4026112927</v>
      </c>
      <c r="V103" s="57" t="n">
        <f aca="false">SUM(V99:V102)</f>
        <v>31113.607101493</v>
      </c>
      <c r="W103" s="57" t="n">
        <f aca="false">SUM(W99:W102)</f>
        <v>36729.4233987434</v>
      </c>
      <c r="X103" s="57" t="n">
        <f aca="false">SUM(X99:X102)</f>
        <v>42473.5140242482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36890.6447141493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28497.9779275651</v>
      </c>
      <c r="BE103" s="57" t="n">
        <f aca="false">SUM(BE99:BE102)</f>
        <v>27676.6011123849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20724.9817698472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11005.3056942192</v>
      </c>
      <c r="BX103" s="57" t="n">
        <f aca="false">SUM(BX99:BX102)</f>
        <v>9965.27047612213</v>
      </c>
      <c r="BY103" s="57" t="n">
        <f aca="false">SUM(BY99:BY102)</f>
        <v>8912.2348177989</v>
      </c>
      <c r="BZ103" s="57" t="n">
        <f aca="false">SUM(BZ99:BZ102)</f>
        <v>7846.03621374663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3446.2905985862</v>
      </c>
      <c r="CE103" s="57" t="n">
        <f aca="false">SUM(CE99:CE102)</f>
        <v>2311.76769179377</v>
      </c>
      <c r="CF103" s="57" t="n">
        <f aca="false">SUM(CF99:CF102)</f>
        <v>1163.06324866643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486</v>
      </c>
      <c r="D104" s="11" t="s">
        <v>33</v>
      </c>
      <c r="I104" s="48" t="n">
        <f aca="false">SUM(J104:EO104)</f>
        <v>-866.250000000001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-866.250000000001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487</v>
      </c>
      <c r="D105" s="11" t="s">
        <v>33</v>
      </c>
      <c r="I105" s="48" t="n">
        <f aca="false">SUM(J105:EO105)</f>
        <v>-466.879195585007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-107.317611656209</v>
      </c>
      <c r="S105" s="48" t="n">
        <f aca="false">-In_Commitment_Fee*($I100-SUM($J100:S100)+S100)*S$6*(S12&gt;0)</f>
        <v>-93.1274418501834</v>
      </c>
      <c r="T105" s="48" t="n">
        <f aca="false">-In_Commitment_Fee*($I100-SUM($J100:T100)+T100)*T$6*(T12&gt;0)</f>
        <v>-73.9983504685849</v>
      </c>
      <c r="U105" s="48" t="n">
        <f aca="false">-In_Commitment_Fee*($I100-SUM($J100:U100)+U100)*U$6*(U12&gt;0)</f>
        <v>-62.82259448179</v>
      </c>
      <c r="V105" s="48" t="n">
        <f aca="false">-In_Commitment_Fee*($I100-SUM($J100:V100)+V100)*V$6*(V12&gt;0)</f>
        <v>-50.7019233835463</v>
      </c>
      <c r="W105" s="48" t="n">
        <f aca="false">-In_Commitment_Fee*($I100-SUM($J100:W100)+W100)*W$6*(W12&gt;0)</f>
        <v>-37.7425294095351</v>
      </c>
      <c r="X105" s="48" t="n">
        <f aca="false">-In_Commitment_Fee*($I100-SUM($J100:X100)+X100)*X$6*(X12&gt;0)</f>
        <v>-26.4335949714008</v>
      </c>
      <c r="Y105" s="48" t="n">
        <f aca="false">-In_Commitment_Fee*($I100-SUM($J100:Y100)+Y100)*Y$6*(Y12&gt;0)</f>
        <v>-14.7351493637577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488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489</v>
      </c>
      <c r="D107" s="11" t="s">
        <v>13</v>
      </c>
      <c r="E107" s="53" t="n">
        <f aca="false">MIN($J107:$EO107)</f>
        <v>1.94143851704669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1.98288661713349</v>
      </c>
      <c r="AA107" s="53" t="n">
        <f aca="false">IF(AA96&lt;0,AA87/-AA96,"")</f>
        <v>1.95262513169657</v>
      </c>
      <c r="AB107" s="53" t="n">
        <f aca="false">IF(AB96&lt;0,AB87/-AB96,"")</f>
        <v>1.97343758110803</v>
      </c>
      <c r="AC107" s="53" t="n">
        <f aca="false">IF(AC96&lt;0,AC87/-AC96,"")</f>
        <v>1.99424439966366</v>
      </c>
      <c r="AD107" s="53" t="n">
        <f aca="false">IF(AD96&lt;0,AD87/-AD96,"")</f>
        <v>1.98712626697814</v>
      </c>
      <c r="AE107" s="53" t="n">
        <f aca="false">IF(AE96&lt;0,AE87/-AE96,"")</f>
        <v>1.97793189016816</v>
      </c>
      <c r="AF107" s="53" t="n">
        <f aca="false">IF(AF96&lt;0,AF87/-AF96,"")</f>
        <v>1.97745847243386</v>
      </c>
      <c r="AG107" s="53" t="n">
        <f aca="false">IF(AG96&lt;0,AG87/-AG96,"")</f>
        <v>1.99830666784505</v>
      </c>
      <c r="AH107" s="53" t="n">
        <f aca="false">IF(AH96&lt;0,AH87/-AH96,"")</f>
        <v>1.99112280386996</v>
      </c>
      <c r="AI107" s="53" t="n">
        <f aca="false">IF(AI96&lt;0,AI87/-AI96,"")</f>
        <v>1.9603371984287</v>
      </c>
      <c r="AJ107" s="53" t="n">
        <f aca="false">IF(AJ96&lt;0,AJ87/-AJ96,"")</f>
        <v>2.00368240114163</v>
      </c>
      <c r="AK107" s="53" t="n">
        <f aca="false">IF(AK96&lt;0,AK87/-AK96,"")</f>
        <v>1.99683202609544</v>
      </c>
      <c r="AL107" s="53" t="n">
        <f aca="false">IF(AL96&lt;0,AL87/-AL96,"")</f>
        <v>1.98961759743142</v>
      </c>
      <c r="AM107" s="53" t="n">
        <f aca="false">IF(AM96&lt;0,AM87/-AM96,"")</f>
        <v>1.95791396830052</v>
      </c>
      <c r="AN107" s="53" t="n">
        <f aca="false">IF(AN96&lt;0,AN87/-AN96,"")</f>
        <v>1.97788570499107</v>
      </c>
      <c r="AO107" s="53" t="n">
        <f aca="false">IF(AO96&lt;0,AO87/-AO96,"")</f>
        <v>1.99784436959892</v>
      </c>
      <c r="AP107" s="53" t="n">
        <f aca="false">IF(AP96&lt;0,AP87/-AP96,"")</f>
        <v>1.99053893241413</v>
      </c>
      <c r="AQ107" s="53" t="n">
        <f aca="false">IF(AQ96&lt;0,AQ87/-AQ96,"")</f>
        <v>1.95855828257946</v>
      </c>
      <c r="AR107" s="53" t="n">
        <f aca="false">IF(AR96&lt;0,AR87/-AR96,"")</f>
        <v>1.97853125865837</v>
      </c>
      <c r="AS107" s="53" t="n">
        <f aca="false">IF(AS96&lt;0,AS87/-AS96,"")</f>
        <v>1.99849049669294</v>
      </c>
      <c r="AT107" s="53" t="n">
        <f aca="false">IF(AT96&lt;0,AT87/-AT96,"")</f>
        <v>1.99109127837293</v>
      </c>
      <c r="AU107" s="53" t="n">
        <f aca="false">IF(AU96&lt;0,AU87/-AU96,"")</f>
        <v>1.97995369754987</v>
      </c>
      <c r="AV107" s="53" t="n">
        <f aca="false">IF(AV96&lt;0,AV87/-AV96,"")</f>
        <v>1.97879866285834</v>
      </c>
      <c r="AW107" s="53" t="n">
        <f aca="false">IF(AW96&lt;0,AW87/-AW96,"")</f>
        <v>1.99875398663836</v>
      </c>
      <c r="AX107" s="53" t="n">
        <f aca="false">IF(AX96&lt;0,AX87/-AX96,"")</f>
        <v>1.99125808186991</v>
      </c>
      <c r="AY107" s="53" t="n">
        <f aca="false">IF(AY96&lt;0,AY87/-AY96,"")</f>
        <v>1.95870910733595</v>
      </c>
      <c r="AZ107" s="53" t="n">
        <f aca="false">IF(AZ96&lt;0,AZ87/-AZ96,"")</f>
        <v>1.97867099982601</v>
      </c>
      <c r="BA107" s="53" t="n">
        <f aca="false">IF(BA96&lt;0,BA87/-BA96,"")</f>
        <v>1.99861771883704</v>
      </c>
      <c r="BB107" s="53" t="n">
        <f aca="false">IF(BB96&lt;0,BB87/-BB96,"")</f>
        <v>1.99102208281921</v>
      </c>
      <c r="BC107" s="53" t="n">
        <f aca="false">IF(BC96&lt;0,BC87/-BC96,"")</f>
        <v>1.95818147040113</v>
      </c>
      <c r="BD107" s="53" t="n">
        <f aca="false">IF(BD96&lt;0,BD87/-BD96,"")</f>
        <v>1.97813062898746</v>
      </c>
      <c r="BE107" s="53" t="n">
        <f aca="false">IF(BE96&lt;0,BE87/-BE96,"")</f>
        <v>1.99806384107674</v>
      </c>
      <c r="BF107" s="53" t="n">
        <f aca="false">IF(BF96&lt;0,BF87/-BF96,"")</f>
        <v>1.9903652823839</v>
      </c>
      <c r="BG107" s="53" t="n">
        <f aca="false">IF(BG96&lt;0,BG87/-BG96,"")</f>
        <v>1.95722781302783</v>
      </c>
      <c r="BH107" s="53" t="n">
        <f aca="false">IF(BH96&lt;0,BH87/-BH96,"")</f>
        <v>1.97715915409077</v>
      </c>
      <c r="BI107" s="53" t="n">
        <f aca="false">IF(BI96&lt;0,BI87/-BI96,"")</f>
        <v>1.99707373625701</v>
      </c>
      <c r="BJ107" s="53" t="n">
        <f aca="false">IF(BJ96&lt;0,BJ87/-BJ96,"")</f>
        <v>1.98926890933608</v>
      </c>
      <c r="BK107" s="53" t="n">
        <f aca="false">IF(BK96&lt;0,BK87/-BK96,"")</f>
        <v>1.97714640351018</v>
      </c>
      <c r="BL107" s="53" t="n">
        <f aca="false">IF(BL96&lt;0,BL87/-BL96,"")</f>
        <v>1.97573738876275</v>
      </c>
      <c r="BM107" s="53" t="n">
        <f aca="false">IF(BM96&lt;0,BM87/-BM96,"")</f>
        <v>1.99562798752114</v>
      </c>
      <c r="BN107" s="53" t="n">
        <f aca="false">IF(BN96&lt;0,BN87/-BN96,"")</f>
        <v>1.98771338480428</v>
      </c>
      <c r="BO107" s="53" t="n">
        <f aca="false">IF(BO96&lt;0,BO87/-BO96,"")</f>
        <v>1.95396578914274</v>
      </c>
      <c r="BP107" s="53" t="n">
        <f aca="false">IF(BP96&lt;0,BP87/-BP96,"")</f>
        <v>1.97384532041338</v>
      </c>
      <c r="BQ107" s="53" t="n">
        <f aca="false">IF(BQ96&lt;0,BQ87/-BQ96,"")</f>
        <v>1.99370634171555</v>
      </c>
      <c r="BR107" s="53" t="n">
        <f aca="false">IF(BR96&lt;0,BR87/-BR96,"")</f>
        <v>1.98567828532873</v>
      </c>
      <c r="BS107" s="53" t="n">
        <f aca="false">IF(BS96&lt;0,BS87/-BS96,"")</f>
        <v>1.95161702075435</v>
      </c>
      <c r="BT107" s="53" t="n">
        <f aca="false">IF(BT96&lt;0,BT87/-BT96,"")</f>
        <v>1.97146207240663</v>
      </c>
      <c r="BU107" s="53" t="n">
        <f aca="false">IF(BU96&lt;0,BU87/-BU96,"")</f>
        <v>1.99128767109385</v>
      </c>
      <c r="BV107" s="53" t="n">
        <f aca="false">IF(BV96&lt;0,BV87/-BV96,"")</f>
        <v>1.98314230414059</v>
      </c>
      <c r="BW107" s="53" t="n">
        <f aca="false">IF(BW96&lt;0,BW87/-BW96,"")</f>
        <v>1.94876135164162</v>
      </c>
      <c r="BX107" s="53" t="n">
        <f aca="false">IF(BX96&lt;0,BX87/-BX96,"")</f>
        <v>1.96856586441168</v>
      </c>
      <c r="BY107" s="53" t="n">
        <f aca="false">IF(BY96&lt;0,BY87/-BY96,"")</f>
        <v>1.98834993317882</v>
      </c>
      <c r="BZ107" s="53" t="n">
        <f aca="false">IF(BZ96&lt;0,BZ87/-BZ96,"")</f>
        <v>1.98008321057742</v>
      </c>
      <c r="CA107" s="53" t="n">
        <f aca="false">IF(CA96&lt;0,CA87/-CA96,"")</f>
        <v>1.96685281320766</v>
      </c>
      <c r="CB107" s="53" t="n">
        <f aca="false">IF(CB96&lt;0,CB87/-CB96,"")</f>
        <v>1.96513397084471</v>
      </c>
      <c r="CC107" s="53" t="n">
        <f aca="false">IF(CC96&lt;0,CC87/-CC96,"")</f>
        <v>1.98487012869117</v>
      </c>
      <c r="CD107" s="53" t="n">
        <f aca="false">IF(CD96&lt;0,CD87/-CD96,"")</f>
        <v>1.97647780754262</v>
      </c>
      <c r="CE107" s="53" t="n">
        <f aca="false">IF(CE96&lt;0,CE87/-CE96,"")</f>
        <v>1.94143851704669</v>
      </c>
      <c r="CF107" s="53" t="n">
        <f aca="false">IF(CF96&lt;0,CF87/-CF96,"")</f>
        <v>1.96114267730652</v>
      </c>
      <c r="CG107" s="53" t="n">
        <f aca="false">IF(CG96&lt;0,CG87/-CG96,"")</f>
        <v>1.98082425744927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490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491</v>
      </c>
      <c r="D110" s="11" t="s">
        <v>33</v>
      </c>
      <c r="E110" s="48" t="n">
        <f aca="false">$I101-($I68+$I58+$I69+$I55+$I48+$I49+$I50)</f>
        <v>110577.127141492</v>
      </c>
      <c r="I110" s="48" t="n">
        <f aca="false">SUM(J110:EO110)</f>
        <v>-110577.127141492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-1392.62090308244</v>
      </c>
      <c r="AA110" s="48" t="n">
        <f aca="false">-$E110*AA20</f>
        <v>-1362.34653562413</v>
      </c>
      <c r="AB110" s="48" t="n">
        <f aca="false">-$E110*AB20</f>
        <v>-1377.48371935328</v>
      </c>
      <c r="AC110" s="48" t="n">
        <f aca="false">-$E110*AC20</f>
        <v>-1392.62090308244</v>
      </c>
      <c r="AD110" s="48" t="n">
        <f aca="false">-$E110*AD20</f>
        <v>-1392.62090308244</v>
      </c>
      <c r="AE110" s="48" t="n">
        <f aca="false">-$E110*AE20</f>
        <v>-1377.48371935328</v>
      </c>
      <c r="AF110" s="48" t="n">
        <f aca="false">-$E110*AF20</f>
        <v>-1377.48371935328</v>
      </c>
      <c r="AG110" s="48" t="n">
        <f aca="false">-$E110*AG20</f>
        <v>-1392.62090308244</v>
      </c>
      <c r="AH110" s="48" t="n">
        <f aca="false">-$E110*AH20</f>
        <v>-1392.62090308244</v>
      </c>
      <c r="AI110" s="48" t="n">
        <f aca="false">-$E110*AI20</f>
        <v>-1362.34653562413</v>
      </c>
      <c r="AJ110" s="48" t="n">
        <f aca="false">-$E110*AJ20</f>
        <v>-1377.48371935328</v>
      </c>
      <c r="AK110" s="48" t="n">
        <f aca="false">-$E110*AK20</f>
        <v>-1392.62090308244</v>
      </c>
      <c r="AL110" s="48" t="n">
        <f aca="false">-$E110*AL20</f>
        <v>-1392.62090308244</v>
      </c>
      <c r="AM110" s="48" t="n">
        <f aca="false">-$E110*AM20</f>
        <v>-1362.34653562413</v>
      </c>
      <c r="AN110" s="48" t="n">
        <f aca="false">-$E110*AN20</f>
        <v>-1377.48371935328</v>
      </c>
      <c r="AO110" s="48" t="n">
        <f aca="false">-$E110*AO20</f>
        <v>-1392.62090308244</v>
      </c>
      <c r="AP110" s="48" t="n">
        <f aca="false">-$E110*AP20</f>
        <v>-1392.62090308244</v>
      </c>
      <c r="AQ110" s="48" t="n">
        <f aca="false">-$E110*AQ20</f>
        <v>-1362.34653562413</v>
      </c>
      <c r="AR110" s="48" t="n">
        <f aca="false">-$E110*AR20</f>
        <v>-1377.48371935328</v>
      </c>
      <c r="AS110" s="48" t="n">
        <f aca="false">-$E110*AS20</f>
        <v>-1392.62090308244</v>
      </c>
      <c r="AT110" s="48" t="n">
        <f aca="false">-$E110*AT20</f>
        <v>-1392.62090308244</v>
      </c>
      <c r="AU110" s="48" t="n">
        <f aca="false">-$E110*AU20</f>
        <v>-1377.48371935328</v>
      </c>
      <c r="AV110" s="48" t="n">
        <f aca="false">-$E110*AV20</f>
        <v>-1377.48371935328</v>
      </c>
      <c r="AW110" s="48" t="n">
        <f aca="false">-$E110*AW20</f>
        <v>-1392.62090308244</v>
      </c>
      <c r="AX110" s="48" t="n">
        <f aca="false">-$E110*AX20</f>
        <v>-1392.62090308244</v>
      </c>
      <c r="AY110" s="48" t="n">
        <f aca="false">-$E110*AY20</f>
        <v>-1362.34653562413</v>
      </c>
      <c r="AZ110" s="48" t="n">
        <f aca="false">-$E110*AZ20</f>
        <v>-1377.48371935328</v>
      </c>
      <c r="BA110" s="48" t="n">
        <f aca="false">-$E110*BA20</f>
        <v>-1392.62090308244</v>
      </c>
      <c r="BB110" s="48" t="n">
        <f aca="false">-$E110*BB20</f>
        <v>-1392.62090308244</v>
      </c>
      <c r="BC110" s="48" t="n">
        <f aca="false">-$E110*BC20</f>
        <v>-1362.34653562413</v>
      </c>
      <c r="BD110" s="48" t="n">
        <f aca="false">-$E110*BD20</f>
        <v>-1377.48371935328</v>
      </c>
      <c r="BE110" s="48" t="n">
        <f aca="false">-$E110*BE20</f>
        <v>-1392.62090308244</v>
      </c>
      <c r="BF110" s="48" t="n">
        <f aca="false">-$E110*BF20</f>
        <v>-1392.62090308244</v>
      </c>
      <c r="BG110" s="48" t="n">
        <f aca="false">-$E110*BG20</f>
        <v>-1362.34653562413</v>
      </c>
      <c r="BH110" s="48" t="n">
        <f aca="false">-$E110*BH20</f>
        <v>-1377.48371935328</v>
      </c>
      <c r="BI110" s="48" t="n">
        <f aca="false">-$E110*BI20</f>
        <v>-1392.62090308244</v>
      </c>
      <c r="BJ110" s="48" t="n">
        <f aca="false">-$E110*BJ20</f>
        <v>-1392.62090308244</v>
      </c>
      <c r="BK110" s="48" t="n">
        <f aca="false">-$E110*BK20</f>
        <v>-1377.48371935328</v>
      </c>
      <c r="BL110" s="48" t="n">
        <f aca="false">-$E110*BL20</f>
        <v>-1377.48371935328</v>
      </c>
      <c r="BM110" s="48" t="n">
        <f aca="false">-$E110*BM20</f>
        <v>-1392.62090308244</v>
      </c>
      <c r="BN110" s="48" t="n">
        <f aca="false">-$E110*BN20</f>
        <v>-1392.62090308244</v>
      </c>
      <c r="BO110" s="48" t="n">
        <f aca="false">-$E110*BO20</f>
        <v>-1362.34653562413</v>
      </c>
      <c r="BP110" s="48" t="n">
        <f aca="false">-$E110*BP20</f>
        <v>-1377.48371935328</v>
      </c>
      <c r="BQ110" s="48" t="n">
        <f aca="false">-$E110*BQ20</f>
        <v>-1392.62090308244</v>
      </c>
      <c r="BR110" s="48" t="n">
        <f aca="false">-$E110*BR20</f>
        <v>-1392.62090308244</v>
      </c>
      <c r="BS110" s="48" t="n">
        <f aca="false">-$E110*BS20</f>
        <v>-1362.34653562413</v>
      </c>
      <c r="BT110" s="48" t="n">
        <f aca="false">-$E110*BT20</f>
        <v>-1377.48371935328</v>
      </c>
      <c r="BU110" s="48" t="n">
        <f aca="false">-$E110*BU20</f>
        <v>-1392.62090308244</v>
      </c>
      <c r="BV110" s="48" t="n">
        <f aca="false">-$E110*BV20</f>
        <v>-1392.62090308244</v>
      </c>
      <c r="BW110" s="48" t="n">
        <f aca="false">-$E110*BW20</f>
        <v>-1362.34653562413</v>
      </c>
      <c r="BX110" s="48" t="n">
        <f aca="false">-$E110*BX20</f>
        <v>-1377.48371935328</v>
      </c>
      <c r="BY110" s="48" t="n">
        <f aca="false">-$E110*BY20</f>
        <v>-1392.62090308244</v>
      </c>
      <c r="BZ110" s="48" t="n">
        <f aca="false">-$E110*BZ20</f>
        <v>-1392.62090308244</v>
      </c>
      <c r="CA110" s="48" t="n">
        <f aca="false">-$E110*CA20</f>
        <v>-1377.48371935328</v>
      </c>
      <c r="CB110" s="48" t="n">
        <f aca="false">-$E110*CB20</f>
        <v>-1377.48371935328</v>
      </c>
      <c r="CC110" s="48" t="n">
        <f aca="false">-$E110*CC20</f>
        <v>-1392.62090308244</v>
      </c>
      <c r="CD110" s="48" t="n">
        <f aca="false">-$E110*CD20</f>
        <v>-1392.62090308244</v>
      </c>
      <c r="CE110" s="48" t="n">
        <f aca="false">-$E110*CE20</f>
        <v>-1362.34653562413</v>
      </c>
      <c r="CF110" s="48" t="n">
        <f aca="false">-$E110*CF20</f>
        <v>-1377.48371935328</v>
      </c>
      <c r="CG110" s="48" t="n">
        <f aca="false">-$E110*CG20</f>
        <v>-1392.62090308244</v>
      </c>
      <c r="CH110" s="48" t="n">
        <f aca="false">-$E110*CH20</f>
        <v>-1392.62090308244</v>
      </c>
      <c r="CI110" s="48" t="n">
        <f aca="false">-$E110*CI20</f>
        <v>-1362.34653562413</v>
      </c>
      <c r="CJ110" s="48" t="n">
        <f aca="false">-$E110*CJ20</f>
        <v>-1377.48371935328</v>
      </c>
      <c r="CK110" s="48" t="n">
        <f aca="false">-$E110*CK20</f>
        <v>-1392.62090308244</v>
      </c>
      <c r="CL110" s="48" t="n">
        <f aca="false">-$E110*CL20</f>
        <v>-1392.62090308244</v>
      </c>
      <c r="CM110" s="48" t="n">
        <f aca="false">-$E110*CM20</f>
        <v>-1362.34653562413</v>
      </c>
      <c r="CN110" s="48" t="n">
        <f aca="false">-$E110*CN20</f>
        <v>-1377.48371935328</v>
      </c>
      <c r="CO110" s="48" t="n">
        <f aca="false">-$E110*CO20</f>
        <v>-1392.62090308244</v>
      </c>
      <c r="CP110" s="48" t="n">
        <f aca="false">-$E110*CP20</f>
        <v>-1392.62090308244</v>
      </c>
      <c r="CQ110" s="48" t="n">
        <f aca="false">-$E110*CQ20</f>
        <v>-1377.48371935328</v>
      </c>
      <c r="CR110" s="48" t="n">
        <f aca="false">-$E110*CR20</f>
        <v>-1377.48371935328</v>
      </c>
      <c r="CS110" s="48" t="n">
        <f aca="false">-$E110*CS20</f>
        <v>-1392.62090308244</v>
      </c>
      <c r="CT110" s="48" t="n">
        <f aca="false">-$E110*CT20</f>
        <v>-1392.62090308244</v>
      </c>
      <c r="CU110" s="48" t="n">
        <f aca="false">-$E110*CU20</f>
        <v>-1362.34653562413</v>
      </c>
      <c r="CV110" s="48" t="n">
        <f aca="false">-$E110*CV20</f>
        <v>-1377.48371935328</v>
      </c>
      <c r="CW110" s="48" t="n">
        <f aca="false">-$E110*CW20</f>
        <v>-1392.62090308244</v>
      </c>
      <c r="CX110" s="48" t="n">
        <f aca="false">-$E110*CX20</f>
        <v>-1392.62090308244</v>
      </c>
      <c r="CY110" s="48" t="n">
        <f aca="false">-$E110*CY20</f>
        <v>-1362.34653562413</v>
      </c>
      <c r="CZ110" s="48" t="n">
        <f aca="false">-$E110*CZ20</f>
        <v>-1377.48371935328</v>
      </c>
      <c r="DA110" s="48" t="n">
        <f aca="false">-$E110*DA20</f>
        <v>-1392.62090308244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492</v>
      </c>
      <c r="D111" s="11" t="s">
        <v>33</v>
      </c>
      <c r="I111" s="48" t="n">
        <f aca="false">SUM(J111:EO111)</f>
        <v>161475.847908239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-1048.6517469629</v>
      </c>
      <c r="S111" s="48" t="n">
        <f aca="false">S83+S110+S94+S104+S105+S52+S59</f>
        <v>-167.595831563167</v>
      </c>
      <c r="T111" s="48" t="n">
        <f aca="false">T83+T110+T94+T104+T105+T52+T59</f>
        <v>-149.294166733935</v>
      </c>
      <c r="U111" s="48" t="n">
        <f aca="false">U83+U110+U94+U104+U105+U52+U59</f>
        <v>-138.945837299506</v>
      </c>
      <c r="V111" s="48" t="n">
        <f aca="false">V83+V110+V94+V104+V105+V52+V59</f>
        <v>-126.825166201263</v>
      </c>
      <c r="W111" s="48" t="n">
        <f aca="false">W83+W110+W94+W104+W105+W52+W59</f>
        <v>-113.252850295255</v>
      </c>
      <c r="X111" s="48" t="n">
        <f aca="false">X83+X110+X94+X104+X105+X52+X59</f>
        <v>-102.782919422517</v>
      </c>
      <c r="Y111" s="48" t="n">
        <f aca="false">Y83+Y110+Y94+Y104+Y105+Y52+Y59</f>
        <v>-91.9234773802712</v>
      </c>
      <c r="Z111" s="48" t="n">
        <f aca="false">Z83+Z110+Z94+Z104+Z105+Z52+Z59</f>
        <v>349.923707525705</v>
      </c>
      <c r="AA111" s="48" t="n">
        <f aca="false">AA83+AA110+AA94+AA104+AA105+AA52+AA59</f>
        <v>351.679426301912</v>
      </c>
      <c r="AB111" s="48" t="n">
        <f aca="false">AB83+AB110+AB94+AB104+AB105+AB52+AB59</f>
        <v>369.457322007646</v>
      </c>
      <c r="AC111" s="48" t="n">
        <f aca="false">AC83+AC110+AC94+AC104+AC105+AC52+AC59</f>
        <v>387.323629773306</v>
      </c>
      <c r="AD111" s="48" t="n">
        <f aca="false">AD83+AD110+AD94+AD104+AD105+AD52+AD59</f>
        <v>386.100462267694</v>
      </c>
      <c r="AE111" s="48" t="n">
        <f aca="false">AE83+AE110+AE94+AE104+AE105+AE52+AE59</f>
        <v>398.696572197855</v>
      </c>
      <c r="AF111" s="48" t="n">
        <f aca="false">AF83+AF110+AF94+AF104+AF105+AF52+AF59</f>
        <v>406.12987156621</v>
      </c>
      <c r="AG111" s="48" t="n">
        <f aca="false">AG83+AG110+AG94+AG104+AG105+AG52+AG59</f>
        <v>424.443275770123</v>
      </c>
      <c r="AH111" s="48" t="n">
        <f aca="false">AH83+AH110+AH94+AH104+AH105+AH52+AH59</f>
        <v>423.535777424801</v>
      </c>
      <c r="AI111" s="48" t="n">
        <f aca="false">AI83+AI110+AI94+AI104+AI105+AI52+AI59</f>
        <v>425.413332100575</v>
      </c>
      <c r="AJ111" s="48" t="n">
        <f aca="false">AJ83+AJ110+AJ94+AJ104+AJ105+AJ52+AJ59</f>
        <v>477.248096318208</v>
      </c>
      <c r="AK111" s="48" t="n">
        <f aca="false">AK83+AK110+AK94+AK104+AK105+AK52+AK59</f>
        <v>496.389367623677</v>
      </c>
      <c r="AL111" s="48" t="n">
        <f aca="false">AL83+AL110+AL94+AL104+AL105+AL52+AL59</f>
        <v>495.816178700958</v>
      </c>
      <c r="AM111" s="48" t="n">
        <f aca="false">AM83+AM110+AM94+AM104+AM105+AM52+AM59</f>
        <v>497.049994118659</v>
      </c>
      <c r="AN111" s="48" t="n">
        <f aca="false">AN83+AN110+AN94+AN104+AN105+AN52+AN59</f>
        <v>516.569452916171</v>
      </c>
      <c r="AO111" s="48" t="n">
        <f aca="false">AO83+AO110+AO94+AO104+AO105+AO52+AO59</f>
        <v>536.191536411662</v>
      </c>
      <c r="AP111" s="48" t="n">
        <f aca="false">AP83+AP110+AP94+AP104+AP105+AP52+AP59</f>
        <v>535.972258728211</v>
      </c>
      <c r="AQ111" s="48" t="n">
        <f aca="false">AQ83+AQ110+AQ94+AQ104+AQ105+AQ52+AQ59</f>
        <v>537.308281527602</v>
      </c>
      <c r="AR111" s="48" t="n">
        <f aca="false">AR83+AR110+AR94+AR104+AR105+AR52+AR59</f>
        <v>557.32152796134</v>
      </c>
      <c r="AS111" s="48" t="n">
        <f aca="false">AS83+AS110+AS94+AS104+AS105+AS52+AS59</f>
        <v>577.44262734287</v>
      </c>
      <c r="AT111" s="48" t="n">
        <f aca="false">AT83+AT110+AT94+AT104+AT105+AT52+AT59</f>
        <v>577.597873222596</v>
      </c>
      <c r="AU111" s="48" t="n">
        <f aca="false">AU83+AU110+AU94+AU104+AU105+AU52+AU59</f>
        <v>590.512470178441</v>
      </c>
      <c r="AV111" s="48" t="n">
        <f aca="false">AV83+AV110+AV94+AV104+AV105+AV52+AV59</f>
        <v>599.580274382844</v>
      </c>
      <c r="AW111" s="48" t="n">
        <f aca="false">AW83+AW110+AW94+AW104+AW105+AW52+AW59</f>
        <v>620.219554415637</v>
      </c>
      <c r="AX111" s="48" t="n">
        <f aca="false">AX83+AX110+AX94+AX104+AX105+AX52+AX59</f>
        <v>620.770998133681</v>
      </c>
      <c r="AY111" s="48" t="n">
        <f aca="false">AY83+AY110+AY94+AY104+AY105+AY52+AY59</f>
        <v>622.36718642916</v>
      </c>
      <c r="AZ111" s="48" t="n">
        <f aca="false">AZ83+AZ110+AZ94+AZ104+AZ105+AZ52+AZ59</f>
        <v>643.425701886389</v>
      </c>
      <c r="BA111" s="48" t="n">
        <f aca="false">BA83+BA110+BA94+BA104+BA105+BA52+BA59</f>
        <v>664.603339425426</v>
      </c>
      <c r="BB111" s="48" t="n">
        <f aca="false">BB83+BB110+BB94+BB104+BB105+BB52+BB59</f>
        <v>665.573771270056</v>
      </c>
      <c r="BC111" s="48" t="n">
        <f aca="false">BC83+BC110+BC94+BC104+BC105+BC52+BC59</f>
        <v>667.330042099525</v>
      </c>
      <c r="BD111" s="48" t="n">
        <f aca="false">BD83+BD110+BD94+BD104+BD105+BD52+BD59</f>
        <v>688.942088971683</v>
      </c>
      <c r="BE111" s="48" t="n">
        <f aca="false">BE83+BE110+BE94+BE104+BE105+BE52+BE59</f>
        <v>710.679326640241</v>
      </c>
      <c r="BF111" s="48" t="n">
        <f aca="false">BF83+BF110+BF94+BF104+BF105+BF52+BF59</f>
        <v>712.092709725967</v>
      </c>
      <c r="BG111" s="48" t="n">
        <f aca="false">BG83+BG110+BG94+BG104+BG105+BG52+BG59</f>
        <v>714.030571907216</v>
      </c>
      <c r="BH111" s="48" t="n">
        <f aca="false">BH83+BH110+BH94+BH104+BH105+BH52+BH59</f>
        <v>736.21820588658</v>
      </c>
      <c r="BI111" s="48" t="n">
        <f aca="false">BI83+BI110+BI94+BI104+BI105+BI52+BI59</f>
        <v>758.537408549647</v>
      </c>
      <c r="BJ111" s="48" t="n">
        <f aca="false">BJ83+BJ110+BJ94+BJ104+BJ105+BJ52+BJ59</f>
        <v>760.418938521612</v>
      </c>
      <c r="BK111" s="48" t="n">
        <f aca="false">BK83+BK110+BK94+BK104+BK105+BK52+BK59</f>
        <v>774.285829508856</v>
      </c>
      <c r="BL111" s="48" t="n">
        <f aca="false">BL83+BL110+BL94+BL104+BL105+BL52+BL59</f>
        <v>785.347549078424</v>
      </c>
      <c r="BM111" s="48" t="n">
        <f aca="false">BM83+BM110+BM94+BM104+BM105+BM52+BM59</f>
        <v>808.272263254899</v>
      </c>
      <c r="BN111" s="48" t="n">
        <f aca="false">BN83+BN110+BN94+BN104+BN105+BN52+BN59</f>
        <v>810.648431031794</v>
      </c>
      <c r="BO111" s="48" t="n">
        <f aca="false">BO83+BO110+BO94+BO104+BO105+BO52+BO59</f>
        <v>813.018887149277</v>
      </c>
      <c r="BP111" s="48" t="n">
        <f aca="false">BP83+BP110+BP94+BP104+BP105+BP52+BP59</f>
        <v>836.428587731755</v>
      </c>
      <c r="BQ111" s="48" t="n">
        <f aca="false">BQ83+BQ110+BQ94+BQ104+BQ105+BQ52+BQ59</f>
        <v>859.983604096731</v>
      </c>
      <c r="BR111" s="48" t="n">
        <f aca="false">BR83+BR110+BR94+BR104+BR105+BR52+BR59</f>
        <v>862.882261806916</v>
      </c>
      <c r="BS111" s="48" t="n">
        <f aca="false">BS83+BS110+BS94+BS104+BS105+BS52+BS59</f>
        <v>865.506322819501</v>
      </c>
      <c r="BT111" s="48" t="n">
        <f aca="false">BT83+BT110+BT94+BT104+BT105+BT52+BT59</f>
        <v>889.565023011633</v>
      </c>
      <c r="BU111" s="48" t="n">
        <f aca="false">BU83+BU110+BU94+BU104+BU105+BU52+BU59</f>
        <v>913.776442147761</v>
      </c>
      <c r="BV111" s="48" t="n">
        <f aca="false">BV83+BV110+BV94+BV104+BV105+BV52+BV59</f>
        <v>917.226872421206</v>
      </c>
      <c r="BW111" s="48" t="n">
        <f aca="false">BW83+BW110+BW94+BW104+BW105+BW52+BW59</f>
        <v>920.131258360354</v>
      </c>
      <c r="BX111" s="48" t="n">
        <f aca="false">BX83+BX110+BX94+BX104+BX105+BX52+BX59</f>
        <v>944.86606066343</v>
      </c>
      <c r="BY111" s="48" t="n">
        <f aca="false">BY83+BY110+BY94+BY104+BY105+BY52+BY59</f>
        <v>969.761362228556</v>
      </c>
      <c r="BZ111" s="48" t="n">
        <f aca="false">BZ83+BZ110+BZ94+BZ104+BZ105+BZ52+BZ59</f>
        <v>973.794351015474</v>
      </c>
      <c r="CA111" s="48" t="n">
        <f aca="false">CA83+CA110+CA94+CA104+CA105+CA52+CA59</f>
        <v>988.952621570724</v>
      </c>
      <c r="CB111" s="48" t="n">
        <f aca="false">CB83+CB110+CB94+CB104+CB105+CB52+CB59</f>
        <v>1002.44669765326</v>
      </c>
      <c r="CC111" s="48" t="n">
        <f aca="false">CC83+CC110+CC94+CC104+CC105+CC52+CC59</f>
        <v>1028.05481314004</v>
      </c>
      <c r="CD111" s="48" t="n">
        <f aca="false">CD83+CD110+CD94+CD104+CD105+CD52+CD59</f>
        <v>1032.70272623578</v>
      </c>
      <c r="CE111" s="48" t="n">
        <f aca="false">CE83+CE110+CE94+CE104+CE105+CE52+CE59</f>
        <v>1036.25390350004</v>
      </c>
      <c r="CF111" s="48" t="n">
        <f aca="false">CF83+CF110+CF94+CF104+CF105+CF52+CF59</f>
        <v>1062.42802356808</v>
      </c>
      <c r="CG111" s="48" t="n">
        <f aca="false">CG83+CG110+CG94+CG104+CG105+CG52+CG59</f>
        <v>1088.77941284031</v>
      </c>
      <c r="CH111" s="48" t="n">
        <f aca="false">CH83+CH110+CH94+CH104+CH105+CH52+CH59</f>
        <v>1094.07627630523</v>
      </c>
      <c r="CI111" s="48" t="n">
        <f aca="false">CI83+CI110+CI94+CI104+CI105+CI52+CI59</f>
        <v>1083.27708673409</v>
      </c>
      <c r="CJ111" s="48" t="n">
        <f aca="false">CJ83+CJ110+CJ94+CJ104+CJ105+CJ52+CJ59</f>
        <v>1095.31349880891</v>
      </c>
      <c r="CK111" s="48" t="n">
        <f aca="false">CK83+CK110+CK94+CK104+CK105+CK52+CK59</f>
        <v>1107.34991088373</v>
      </c>
      <c r="CL111" s="48" t="n">
        <f aca="false">CL83+CL110+CL94+CL104+CL105+CL52+CL59</f>
        <v>1098.05254683492</v>
      </c>
      <c r="CM111" s="48" t="n">
        <f aca="false">CM83+CM110+CM94+CM104+CM105+CM52+CM59</f>
        <v>1086.906193421</v>
      </c>
      <c r="CN111" s="48" t="n">
        <f aca="false">CN83+CN110+CN94+CN104+CN105+CN52+CN59</f>
        <v>1098.98292890345</v>
      </c>
      <c r="CO111" s="48" t="n">
        <f aca="false">CO83+CO110+CO94+CO104+CO105+CO52+CO59</f>
        <v>1111.05966438591</v>
      </c>
      <c r="CP111" s="48" t="n">
        <f aca="false">CP83+CP110+CP94+CP104+CP105+CP52+CP59</f>
        <v>1101.70623478642</v>
      </c>
      <c r="CQ111" s="48" t="n">
        <f aca="false">CQ83+CQ110+CQ94+CQ104+CQ105+CQ52+CQ59</f>
        <v>1102.32285766244</v>
      </c>
      <c r="CR111" s="48" t="n">
        <f aca="false">CR83+CR110+CR94+CR104+CR105+CR52+CR59</f>
        <v>1102.32285766244</v>
      </c>
      <c r="CS111" s="48" t="n">
        <f aca="false">CS83+CS110+CS94+CS104+CS105+CS52+CS59</f>
        <v>1114.43629565873</v>
      </c>
      <c r="CT111" s="48" t="n">
        <f aca="false">CT83+CT110+CT94+CT104+CT105+CT52+CT59</f>
        <v>1105.02667646799</v>
      </c>
      <c r="CU111" s="48" t="n">
        <f aca="false">CU83+CU110+CU94+CU104+CU105+CU52+CU59</f>
        <v>1093.17605570278</v>
      </c>
      <c r="CV111" s="48" t="n">
        <f aca="false">CV83+CV110+CV94+CV104+CV105+CV52+CV59</f>
        <v>1105.32245632171</v>
      </c>
      <c r="CW111" s="48" t="n">
        <f aca="false">CW83+CW110+CW94+CW104+CW105+CW52+CW59</f>
        <v>1117.46885694062</v>
      </c>
      <c r="CX111" s="48" t="n">
        <f aca="false">CX83+CX110+CX94+CX104+CX105+CX52+CX59</f>
        <v>1108.00292887618</v>
      </c>
      <c r="CY111" s="48" t="n">
        <f aca="false">CY83+CY110+CY94+CY104+CY105+CY52+CY59</f>
        <v>1095.79511157489</v>
      </c>
      <c r="CZ111" s="48" t="n">
        <f aca="false">CZ83+CZ110+CZ94+CZ104+CZ105+CZ52+CZ59</f>
        <v>1107.97061281461</v>
      </c>
      <c r="DA111" s="48" t="n">
        <f aca="false">DA83+DA110+DA94+DA104+DA105+DA52+DA59</f>
        <v>1120.14611405433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493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1281.16234182123</v>
      </c>
      <c r="T112" s="18" t="n">
        <f aca="false">S116</f>
        <v>1448.75817338439</v>
      </c>
      <c r="U112" s="18" t="n">
        <f aca="false">T116</f>
        <v>1598.05234011833</v>
      </c>
      <c r="V112" s="18" t="n">
        <f aca="false">U116</f>
        <v>1736.99817741783</v>
      </c>
      <c r="W112" s="18" t="n">
        <f aca="false">V116</f>
        <v>1863.8233436191</v>
      </c>
      <c r="X112" s="18" t="n">
        <f aca="false">W116</f>
        <v>1977.07619391435</v>
      </c>
      <c r="Y112" s="18" t="n">
        <f aca="false">X116</f>
        <v>2079.85911333687</v>
      </c>
      <c r="Z112" s="18" t="n">
        <f aca="false">Y116</f>
        <v>2171.78259071714</v>
      </c>
      <c r="AA112" s="18" t="n">
        <f aca="false">Z116</f>
        <v>1996.82073695429</v>
      </c>
      <c r="AB112" s="18" t="n">
        <f aca="false">AA116</f>
        <v>1820.98102380333</v>
      </c>
      <c r="AC112" s="18" t="n">
        <f aca="false">AB116</f>
        <v>1636.25236279951</v>
      </c>
      <c r="AD112" s="18" t="n">
        <f aca="false">AC116</f>
        <v>1442.59054791286</v>
      </c>
      <c r="AE112" s="18" t="n">
        <f aca="false">AD116</f>
        <v>1249.54031677901</v>
      </c>
      <c r="AF112" s="18" t="n">
        <f aca="false">AE116</f>
        <v>1050.19203068008</v>
      </c>
      <c r="AG112" s="18" t="n">
        <f aca="false">AF116</f>
        <v>847.127094896977</v>
      </c>
      <c r="AH112" s="18" t="n">
        <f aca="false">AG116</f>
        <v>634.905457011915</v>
      </c>
      <c r="AI112" s="18" t="n">
        <f aca="false">AH116</f>
        <v>423.137568299515</v>
      </c>
      <c r="AJ112" s="18" t="n">
        <f aca="false">AI116</f>
        <v>210.430902249227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494</v>
      </c>
      <c r="D113" s="11" t="s">
        <v>33</v>
      </c>
      <c r="I113" s="48" t="n">
        <f aca="false">SUM(J113:EO113)</f>
        <v>2171.78259071714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1048.6517469629</v>
      </c>
      <c r="S113" s="48" t="n">
        <f aca="false">MAX(0,-S111)</f>
        <v>167.595831563167</v>
      </c>
      <c r="T113" s="48" t="n">
        <f aca="false">MAX(0,-T111)</f>
        <v>149.294166733935</v>
      </c>
      <c r="U113" s="48" t="n">
        <f aca="false">MAX(0,-U111)</f>
        <v>138.945837299506</v>
      </c>
      <c r="V113" s="48" t="n">
        <f aca="false">MAX(0,-V111)</f>
        <v>126.825166201263</v>
      </c>
      <c r="W113" s="48" t="n">
        <f aca="false">MAX(0,-W111)</f>
        <v>113.252850295255</v>
      </c>
      <c r="X113" s="48" t="n">
        <f aca="false">MAX(0,-X111)</f>
        <v>102.782919422517</v>
      </c>
      <c r="Y113" s="48" t="n">
        <f aca="false">MAX(0,-Y111)</f>
        <v>91.9234773802712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495</v>
      </c>
      <c r="D114" s="11" t="s">
        <v>33</v>
      </c>
      <c r="I114" s="48" t="n">
        <f aca="false">SUM(J114:EO114)</f>
        <v>-2171.78259071714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-174.961853762852</v>
      </c>
      <c r="AA114" s="48" t="n">
        <f aca="false">-MIN(AA112,In_Loss_Cap*MAX(0,AA111))</f>
        <v>-175.839713150956</v>
      </c>
      <c r="AB114" s="48" t="n">
        <f aca="false">-MIN(AB112,In_Loss_Cap*MAX(0,AB111))</f>
        <v>-184.728661003823</v>
      </c>
      <c r="AC114" s="48" t="n">
        <f aca="false">-MIN(AC112,In_Loss_Cap*MAX(0,AC111))</f>
        <v>-193.661814886653</v>
      </c>
      <c r="AD114" s="48" t="n">
        <f aca="false">-MIN(AD112,In_Loss_Cap*MAX(0,AD111))</f>
        <v>-193.050231133847</v>
      </c>
      <c r="AE114" s="48" t="n">
        <f aca="false">-MIN(AE112,In_Loss_Cap*MAX(0,AE111))</f>
        <v>-199.348286098928</v>
      </c>
      <c r="AF114" s="48" t="n">
        <f aca="false">-MIN(AF112,In_Loss_Cap*MAX(0,AF111))</f>
        <v>-203.064935783105</v>
      </c>
      <c r="AG114" s="48" t="n">
        <f aca="false">-MIN(AG112,In_Loss_Cap*MAX(0,AG111))</f>
        <v>-212.221637885061</v>
      </c>
      <c r="AH114" s="48" t="n">
        <f aca="false">-MIN(AH112,In_Loss_Cap*MAX(0,AH111))</f>
        <v>-211.767888712401</v>
      </c>
      <c r="AI114" s="48" t="n">
        <f aca="false">-MIN(AI112,In_Loss_Cap*MAX(0,AI111))</f>
        <v>-212.706666050288</v>
      </c>
      <c r="AJ114" s="48" t="n">
        <f aca="false">-MIN(AJ112,In_Loss_Cap*MAX(0,AJ111))</f>
        <v>-210.430902249227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496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497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1281.16234182123</v>
      </c>
      <c r="S116" s="48" t="n">
        <f aca="false">SUM(S112:S115)</f>
        <v>1448.75817338439</v>
      </c>
      <c r="T116" s="48" t="n">
        <f aca="false">SUM(T112:T115)</f>
        <v>1598.05234011833</v>
      </c>
      <c r="U116" s="48" t="n">
        <f aca="false">SUM(U112:U115)</f>
        <v>1736.99817741783</v>
      </c>
      <c r="V116" s="48" t="n">
        <f aca="false">SUM(V112:V115)</f>
        <v>1863.8233436191</v>
      </c>
      <c r="W116" s="48" t="n">
        <f aca="false">SUM(W112:W115)</f>
        <v>1977.07619391435</v>
      </c>
      <c r="X116" s="48" t="n">
        <f aca="false">SUM(X112:X115)</f>
        <v>2079.85911333687</v>
      </c>
      <c r="Y116" s="48" t="n">
        <f aca="false">SUM(Y112:Y115)</f>
        <v>2171.78259071714</v>
      </c>
      <c r="Z116" s="48" t="n">
        <f aca="false">SUM(Z112:Z115)</f>
        <v>1996.82073695429</v>
      </c>
      <c r="AA116" s="48" t="n">
        <f aca="false">SUM(AA112:AA115)</f>
        <v>1820.98102380333</v>
      </c>
      <c r="AB116" s="48" t="n">
        <f aca="false">SUM(AB112:AB115)</f>
        <v>1636.25236279951</v>
      </c>
      <c r="AC116" s="48" t="n">
        <f aca="false">SUM(AC112:AC115)</f>
        <v>1442.59054791286</v>
      </c>
      <c r="AD116" s="48" t="n">
        <f aca="false">SUM(AD112:AD115)</f>
        <v>1249.54031677901</v>
      </c>
      <c r="AE116" s="48" t="n">
        <f aca="false">SUM(AE112:AE115)</f>
        <v>1050.19203068008</v>
      </c>
      <c r="AF116" s="48" t="n">
        <f aca="false">SUM(AF112:AF115)</f>
        <v>847.127094896977</v>
      </c>
      <c r="AG116" s="48" t="n">
        <f aca="false">SUM(AG112:AG115)</f>
        <v>634.905457011915</v>
      </c>
      <c r="AH116" s="48" t="n">
        <f aca="false">SUM(AH112:AH115)</f>
        <v>423.137568299515</v>
      </c>
      <c r="AI116" s="48" t="n">
        <f aca="false">SUM(AI112:AI115)</f>
        <v>210.430902249227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498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-26.2442780644279</v>
      </c>
      <c r="AA117" s="48" t="n">
        <f aca="false">-In_CIT*(MAX(0,AA111)+AA114)-In_RH_On*In_RH_Rate*MAX(0,AA111)</f>
        <v>-26.3759569726434</v>
      </c>
      <c r="AB117" s="48" t="n">
        <f aca="false">-In_CIT*(MAX(0,AB111)+AB114)-In_RH_On*In_RH_Rate*MAX(0,AB111)</f>
        <v>-27.7092991505735</v>
      </c>
      <c r="AC117" s="48" t="n">
        <f aca="false">-In_CIT*(MAX(0,AC111)+AC114)-In_RH_On*In_RH_Rate*MAX(0,AC111)</f>
        <v>-29.0492722329979</v>
      </c>
      <c r="AD117" s="48" t="n">
        <f aca="false">-In_CIT*(MAX(0,AD111)+AD114)-In_RH_On*In_RH_Rate*MAX(0,AD111)</f>
        <v>-28.957534670077</v>
      </c>
      <c r="AE117" s="48" t="n">
        <f aca="false">-In_CIT*(MAX(0,AE111)+AE114)-In_RH_On*In_RH_Rate*MAX(0,AE111)</f>
        <v>-29.9022429148392</v>
      </c>
      <c r="AF117" s="48" t="n">
        <f aca="false">-In_CIT*(MAX(0,AF111)+AF114)-In_RH_On*In_RH_Rate*MAX(0,AF111)</f>
        <v>-30.4597403674658</v>
      </c>
      <c r="AG117" s="48" t="n">
        <f aca="false">-In_CIT*(MAX(0,AG111)+AG114)-In_RH_On*In_RH_Rate*MAX(0,AG111)</f>
        <v>-31.8332456827592</v>
      </c>
      <c r="AH117" s="48" t="n">
        <f aca="false">-In_CIT*(MAX(0,AH111)+AH114)-In_RH_On*In_RH_Rate*MAX(0,AH111)</f>
        <v>-31.7651833068601</v>
      </c>
      <c r="AI117" s="48" t="n">
        <f aca="false">-In_CIT*(MAX(0,AI111)+AI114)-In_RH_On*In_RH_Rate*MAX(0,AI111)</f>
        <v>-31.9059999075431</v>
      </c>
      <c r="AJ117" s="48" t="n">
        <f aca="false">-In_CIT*(MAX(0,AJ111)+AJ114)-In_RH_On*In_RH_Rate*MAX(0,AJ111)</f>
        <v>-40.0225791103471</v>
      </c>
      <c r="AK117" s="48" t="n">
        <f aca="false">-In_CIT*(MAX(0,AK111)+AK114)-In_RH_On*In_RH_Rate*MAX(0,AK111)</f>
        <v>-74.4584051435515</v>
      </c>
      <c r="AL117" s="48" t="n">
        <f aca="false">-In_CIT*(MAX(0,AL111)+AL114)-In_RH_On*In_RH_Rate*MAX(0,AL111)</f>
        <v>-74.3724268051436</v>
      </c>
      <c r="AM117" s="48" t="n">
        <f aca="false">-In_CIT*(MAX(0,AM111)+AM114)-In_RH_On*In_RH_Rate*MAX(0,AM111)</f>
        <v>-74.5574991177988</v>
      </c>
      <c r="AN117" s="48" t="n">
        <f aca="false">-In_CIT*(MAX(0,AN111)+AN114)-In_RH_On*In_RH_Rate*MAX(0,AN111)</f>
        <v>-77.4854179374257</v>
      </c>
      <c r="AO117" s="48" t="n">
        <f aca="false">-In_CIT*(MAX(0,AO111)+AO114)-In_RH_On*In_RH_Rate*MAX(0,AO111)</f>
        <v>-80.4287304617494</v>
      </c>
      <c r="AP117" s="48" t="n">
        <f aca="false">-In_CIT*(MAX(0,AP111)+AP114)-In_RH_On*In_RH_Rate*MAX(0,AP111)</f>
        <v>-80.3958388092316</v>
      </c>
      <c r="AQ117" s="48" t="n">
        <f aca="false">-In_CIT*(MAX(0,AQ111)+AQ114)-In_RH_On*In_RH_Rate*MAX(0,AQ111)</f>
        <v>-80.5962422291403</v>
      </c>
      <c r="AR117" s="48" t="n">
        <f aca="false">-In_CIT*(MAX(0,AR111)+AR114)-In_RH_On*In_RH_Rate*MAX(0,AR111)</f>
        <v>-83.598229194201</v>
      </c>
      <c r="AS117" s="48" t="n">
        <f aca="false">-In_CIT*(MAX(0,AS111)+AS114)-In_RH_On*In_RH_Rate*MAX(0,AS111)</f>
        <v>-86.6163941014305</v>
      </c>
      <c r="AT117" s="48" t="n">
        <f aca="false">-In_CIT*(MAX(0,AT111)+AT114)-In_RH_On*In_RH_Rate*MAX(0,AT111)</f>
        <v>-86.6396809833894</v>
      </c>
      <c r="AU117" s="48" t="n">
        <f aca="false">-In_CIT*(MAX(0,AU111)+AU114)-In_RH_On*In_RH_Rate*MAX(0,AU111)</f>
        <v>-88.5768705267662</v>
      </c>
      <c r="AV117" s="48" t="n">
        <f aca="false">-In_CIT*(MAX(0,AV111)+AV114)-In_RH_On*In_RH_Rate*MAX(0,AV111)</f>
        <v>-89.9370411574267</v>
      </c>
      <c r="AW117" s="48" t="n">
        <f aca="false">-In_CIT*(MAX(0,AW111)+AW114)-In_RH_On*In_RH_Rate*MAX(0,AW111)</f>
        <v>-93.0329331623456</v>
      </c>
      <c r="AX117" s="48" t="n">
        <f aca="false">-In_CIT*(MAX(0,AX111)+AX114)-In_RH_On*In_RH_Rate*MAX(0,AX111)</f>
        <v>-93.1156497200521</v>
      </c>
      <c r="AY117" s="48" t="n">
        <f aca="false">-In_CIT*(MAX(0,AY111)+AY114)-In_RH_On*In_RH_Rate*MAX(0,AY111)</f>
        <v>-93.355077964374</v>
      </c>
      <c r="AZ117" s="48" t="n">
        <f aca="false">-In_CIT*(MAX(0,AZ111)+AZ114)-In_RH_On*In_RH_Rate*MAX(0,AZ111)</f>
        <v>-96.5138552829583</v>
      </c>
      <c r="BA117" s="48" t="n">
        <f aca="false">-In_CIT*(MAX(0,BA111)+BA114)-In_RH_On*In_RH_Rate*MAX(0,BA111)</f>
        <v>-99.6905009138139</v>
      </c>
      <c r="BB117" s="48" t="n">
        <f aca="false">-In_CIT*(MAX(0,BB111)+BB114)-In_RH_On*In_RH_Rate*MAX(0,BB111)</f>
        <v>-99.8360656905084</v>
      </c>
      <c r="BC117" s="48" t="n">
        <f aca="false">-In_CIT*(MAX(0,BC111)+BC114)-In_RH_On*In_RH_Rate*MAX(0,BC111)</f>
        <v>-100.099506314929</v>
      </c>
      <c r="BD117" s="48" t="n">
        <f aca="false">-In_CIT*(MAX(0,BD111)+BD114)-In_RH_On*In_RH_Rate*MAX(0,BD111)</f>
        <v>-103.341313345752</v>
      </c>
      <c r="BE117" s="48" t="n">
        <f aca="false">-In_CIT*(MAX(0,BE111)+BE114)-In_RH_On*In_RH_Rate*MAX(0,BE111)</f>
        <v>-106.601898996036</v>
      </c>
      <c r="BF117" s="48" t="n">
        <f aca="false">-In_CIT*(MAX(0,BF111)+BF114)-In_RH_On*In_RH_Rate*MAX(0,BF111)</f>
        <v>-106.813906458895</v>
      </c>
      <c r="BG117" s="48" t="n">
        <f aca="false">-In_CIT*(MAX(0,BG111)+BG114)-In_RH_On*In_RH_Rate*MAX(0,BG111)</f>
        <v>-107.104585786082</v>
      </c>
      <c r="BH117" s="48" t="n">
        <f aca="false">-In_CIT*(MAX(0,BH111)+BH114)-In_RH_On*In_RH_Rate*MAX(0,BH111)</f>
        <v>-110.432730882987</v>
      </c>
      <c r="BI117" s="48" t="n">
        <f aca="false">-In_CIT*(MAX(0,BI111)+BI114)-In_RH_On*In_RH_Rate*MAX(0,BI111)</f>
        <v>-113.780611282447</v>
      </c>
      <c r="BJ117" s="48" t="n">
        <f aca="false">-In_CIT*(MAX(0,BJ111)+BJ114)-In_RH_On*In_RH_Rate*MAX(0,BJ111)</f>
        <v>-114.062840778242</v>
      </c>
      <c r="BK117" s="48" t="n">
        <f aca="false">-In_CIT*(MAX(0,BK111)+BK114)-In_RH_On*In_RH_Rate*MAX(0,BK111)</f>
        <v>-116.142874426328</v>
      </c>
      <c r="BL117" s="48" t="n">
        <f aca="false">-In_CIT*(MAX(0,BL111)+BL114)-In_RH_On*In_RH_Rate*MAX(0,BL111)</f>
        <v>-117.802132361764</v>
      </c>
      <c r="BM117" s="48" t="n">
        <f aca="false">-In_CIT*(MAX(0,BM111)+BM114)-In_RH_On*In_RH_Rate*MAX(0,BM111)</f>
        <v>-121.240839488235</v>
      </c>
      <c r="BN117" s="48" t="n">
        <f aca="false">-In_CIT*(MAX(0,BN111)+BN114)-In_RH_On*In_RH_Rate*MAX(0,BN111)</f>
        <v>-121.597264654769</v>
      </c>
      <c r="BO117" s="48" t="n">
        <f aca="false">-In_CIT*(MAX(0,BO111)+BO114)-In_RH_On*In_RH_Rate*MAX(0,BO111)</f>
        <v>-121.952833072392</v>
      </c>
      <c r="BP117" s="48" t="n">
        <f aca="false">-In_CIT*(MAX(0,BP111)+BP114)-In_RH_On*In_RH_Rate*MAX(0,BP111)</f>
        <v>-125.464288159763</v>
      </c>
      <c r="BQ117" s="48" t="n">
        <f aca="false">-In_CIT*(MAX(0,BQ111)+BQ114)-In_RH_On*In_RH_Rate*MAX(0,BQ111)</f>
        <v>-128.99754061451</v>
      </c>
      <c r="BR117" s="48" t="n">
        <f aca="false">-In_CIT*(MAX(0,BR111)+BR114)-In_RH_On*In_RH_Rate*MAX(0,BR111)</f>
        <v>-129.432339271037</v>
      </c>
      <c r="BS117" s="48" t="n">
        <f aca="false">-In_CIT*(MAX(0,BS111)+BS114)-In_RH_On*In_RH_Rate*MAX(0,BS111)</f>
        <v>-129.825948422925</v>
      </c>
      <c r="BT117" s="48" t="n">
        <f aca="false">-In_CIT*(MAX(0,BT111)+BT114)-In_RH_On*In_RH_Rate*MAX(0,BT111)</f>
        <v>-133.434753451745</v>
      </c>
      <c r="BU117" s="48" t="n">
        <f aca="false">-In_CIT*(MAX(0,BU111)+BU114)-In_RH_On*In_RH_Rate*MAX(0,BU111)</f>
        <v>-137.066466322164</v>
      </c>
      <c r="BV117" s="48" t="n">
        <f aca="false">-In_CIT*(MAX(0,BV111)+BV114)-In_RH_On*In_RH_Rate*MAX(0,BV111)</f>
        <v>-137.584030863181</v>
      </c>
      <c r="BW117" s="48" t="n">
        <f aca="false">-In_CIT*(MAX(0,BW111)+BW114)-In_RH_On*In_RH_Rate*MAX(0,BW111)</f>
        <v>-138.019688754053</v>
      </c>
      <c r="BX117" s="48" t="n">
        <f aca="false">-In_CIT*(MAX(0,BX111)+BX114)-In_RH_On*In_RH_Rate*MAX(0,BX111)</f>
        <v>-141.729909099514</v>
      </c>
      <c r="BY117" s="48" t="n">
        <f aca="false">-In_CIT*(MAX(0,BY111)+BY114)-In_RH_On*In_RH_Rate*MAX(0,BY111)</f>
        <v>-145.464204334283</v>
      </c>
      <c r="BZ117" s="48" t="n">
        <f aca="false">-In_CIT*(MAX(0,BZ111)+BZ114)-In_RH_On*In_RH_Rate*MAX(0,BZ111)</f>
        <v>-146.069152652321</v>
      </c>
      <c r="CA117" s="48" t="n">
        <f aca="false">-In_CIT*(MAX(0,CA111)+CA114)-In_RH_On*In_RH_Rate*MAX(0,CA111)</f>
        <v>-148.342893235609</v>
      </c>
      <c r="CB117" s="48" t="n">
        <f aca="false">-In_CIT*(MAX(0,CB111)+CB114)-In_RH_On*In_RH_Rate*MAX(0,CB111)</f>
        <v>-150.367004647989</v>
      </c>
      <c r="CC117" s="48" t="n">
        <f aca="false">-In_CIT*(MAX(0,CC111)+CC114)-In_RH_On*In_RH_Rate*MAX(0,CC111)</f>
        <v>-154.208221971007</v>
      </c>
      <c r="CD117" s="48" t="n">
        <f aca="false">-In_CIT*(MAX(0,CD111)+CD114)-In_RH_On*In_RH_Rate*MAX(0,CD111)</f>
        <v>-154.905408935367</v>
      </c>
      <c r="CE117" s="48" t="n">
        <f aca="false">-In_CIT*(MAX(0,CE111)+CE114)-In_RH_On*In_RH_Rate*MAX(0,CE111)</f>
        <v>-155.438085525006</v>
      </c>
      <c r="CF117" s="48" t="n">
        <f aca="false">-In_CIT*(MAX(0,CF111)+CF114)-In_RH_On*In_RH_Rate*MAX(0,CF111)</f>
        <v>-159.364203535213</v>
      </c>
      <c r="CG117" s="48" t="n">
        <f aca="false">-In_CIT*(MAX(0,CG111)+CG114)-In_RH_On*In_RH_Rate*MAX(0,CG111)</f>
        <v>-163.316911926047</v>
      </c>
      <c r="CH117" s="48" t="n">
        <f aca="false">-In_CIT*(MAX(0,CH111)+CH114)-In_RH_On*In_RH_Rate*MAX(0,CH111)</f>
        <v>-164.111441445785</v>
      </c>
      <c r="CI117" s="48" t="n">
        <f aca="false">-In_CIT*(MAX(0,CI111)+CI114)-In_RH_On*In_RH_Rate*MAX(0,CI111)</f>
        <v>-162.491563010113</v>
      </c>
      <c r="CJ117" s="48" t="n">
        <f aca="false">-In_CIT*(MAX(0,CJ111)+CJ114)-In_RH_On*In_RH_Rate*MAX(0,CJ111)</f>
        <v>-164.297024821337</v>
      </c>
      <c r="CK117" s="48" t="n">
        <f aca="false">-In_CIT*(MAX(0,CK111)+CK114)-In_RH_On*In_RH_Rate*MAX(0,CK111)</f>
        <v>-166.10248663256</v>
      </c>
      <c r="CL117" s="48" t="n">
        <f aca="false">-In_CIT*(MAX(0,CL111)+CL114)-In_RH_On*In_RH_Rate*MAX(0,CL111)</f>
        <v>-164.707882025239</v>
      </c>
      <c r="CM117" s="48" t="n">
        <f aca="false">-In_CIT*(MAX(0,CM111)+CM114)-In_RH_On*In_RH_Rate*MAX(0,CM111)</f>
        <v>-163.035929013149</v>
      </c>
      <c r="CN117" s="48" t="n">
        <f aca="false">-In_CIT*(MAX(0,CN111)+CN114)-In_RH_On*In_RH_Rate*MAX(0,CN111)</f>
        <v>-164.847439335518</v>
      </c>
      <c r="CO117" s="48" t="n">
        <f aca="false">-In_CIT*(MAX(0,CO111)+CO114)-In_RH_On*In_RH_Rate*MAX(0,CO111)</f>
        <v>-166.658949657886</v>
      </c>
      <c r="CP117" s="48" t="n">
        <f aca="false">-In_CIT*(MAX(0,CP111)+CP114)-In_RH_On*In_RH_Rate*MAX(0,CP111)</f>
        <v>-165.255935217963</v>
      </c>
      <c r="CQ117" s="48" t="n">
        <f aca="false">-In_CIT*(MAX(0,CQ111)+CQ114)-In_RH_On*In_RH_Rate*MAX(0,CQ111)</f>
        <v>-165.348428649366</v>
      </c>
      <c r="CR117" s="48" t="n">
        <f aca="false">-In_CIT*(MAX(0,CR111)+CR114)-In_RH_On*In_RH_Rate*MAX(0,CR111)</f>
        <v>-165.348428649366</v>
      </c>
      <c r="CS117" s="48" t="n">
        <f aca="false">-In_CIT*(MAX(0,CS111)+CS114)-In_RH_On*In_RH_Rate*MAX(0,CS111)</f>
        <v>-167.165444348809</v>
      </c>
      <c r="CT117" s="48" t="n">
        <f aca="false">-In_CIT*(MAX(0,CT111)+CT114)-In_RH_On*In_RH_Rate*MAX(0,CT111)</f>
        <v>-165.754001470199</v>
      </c>
      <c r="CU117" s="48" t="n">
        <f aca="false">-In_CIT*(MAX(0,CU111)+CU114)-In_RH_On*In_RH_Rate*MAX(0,CU111)</f>
        <v>-163.976408355418</v>
      </c>
      <c r="CV117" s="48" t="n">
        <f aca="false">-In_CIT*(MAX(0,CV111)+CV114)-In_RH_On*In_RH_Rate*MAX(0,CV111)</f>
        <v>-165.798368448256</v>
      </c>
      <c r="CW117" s="48" t="n">
        <f aca="false">-In_CIT*(MAX(0,CW111)+CW114)-In_RH_On*In_RH_Rate*MAX(0,CW111)</f>
        <v>-167.620328541094</v>
      </c>
      <c r="CX117" s="48" t="n">
        <f aca="false">-In_CIT*(MAX(0,CX111)+CX114)-In_RH_On*In_RH_Rate*MAX(0,CX111)</f>
        <v>-166.200439331427</v>
      </c>
      <c r="CY117" s="48" t="n">
        <f aca="false">-In_CIT*(MAX(0,CY111)+CY114)-In_RH_On*In_RH_Rate*MAX(0,CY111)</f>
        <v>-164.369266736234</v>
      </c>
      <c r="CZ117" s="48" t="n">
        <f aca="false">-In_CIT*(MAX(0,CZ111)+CZ114)-In_RH_On*In_RH_Rate*MAX(0,CZ111)</f>
        <v>-166.195591922192</v>
      </c>
      <c r="DA117" s="48" t="n">
        <f aca="false">-In_CIT*(MAX(0,DA111)+DA114)-In_RH_On*In_RH_Rate*MAX(0,DA111)</f>
        <v>-168.02191710815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499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500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3525.2448302272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112748.909732209</v>
      </c>
    </row>
    <row r="129" customFormat="false" ht="15" hidden="false" customHeight="false" outlineLevel="0" collapsed="false">
      <c r="C129" s="0" t="s">
        <v>501</v>
      </c>
      <c r="D129" s="11" t="s">
        <v>33</v>
      </c>
      <c r="E129" s="48" t="n">
        <f aca="false">$E128-$E103</f>
        <v>63248.9097322087</v>
      </c>
      <c r="F129" s="48" t="n">
        <f aca="false">$E129+$E106</f>
        <v>64426.5112714834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0.439028635554597</v>
      </c>
    </row>
    <row r="131" customFormat="false" ht="15" hidden="false" customHeight="false" outlineLevel="0" collapsed="false">
      <c r="C131" s="0" t="s">
        <v>502</v>
      </c>
      <c r="D131" s="11" t="s">
        <v>33</v>
      </c>
      <c r="E131" s="48" t="n">
        <f aca="false">$E88*In_DSCR/In_DSCR_Max_Low</f>
        <v>87364.733267101</v>
      </c>
      <c r="F131" s="48" t="n">
        <f aca="false">$E88*In_DSCR/In_DSCR_Max_High</f>
        <v>80084.3388281759</v>
      </c>
    </row>
    <row r="132" customFormat="false" ht="15" hidden="false" customHeight="false" outlineLevel="0" collapsed="false">
      <c r="C132" s="0" t="s">
        <v>503</v>
      </c>
      <c r="D132" s="11" t="s">
        <v>27</v>
      </c>
      <c r="E132" s="49" t="n">
        <f aca="false">$E131/$E128</f>
        <v>0.774861002865589</v>
      </c>
      <c r="F132" s="49" t="n">
        <f aca="false">$F131/$E128</f>
        <v>0.71028925262679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504</v>
      </c>
      <c r="D135" s="11" t="s">
        <v>33</v>
      </c>
      <c r="I135" s="48" t="n">
        <f aca="false">SUM(J135:EO135)</f>
        <v>-63248.9097322087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-7295.55434419828</v>
      </c>
      <c r="S135" s="48" t="n">
        <f aca="false">(S63+S70+S100+S104+S105+S83)*(S$4&lt;=In_COD)</f>
        <v>-10674.0884898816</v>
      </c>
      <c r="T135" s="48" t="n">
        <f aca="false">(T63+T70+T100+T104+T105+T83)*(T$4&lt;=In_COD)</f>
        <v>-6328.29564878197</v>
      </c>
      <c r="U135" s="48" t="n">
        <f aca="false">(U63+U70+U100+U104+U105+U83)*(U$4&lt;=In_COD)</f>
        <v>-6385.84843453489</v>
      </c>
      <c r="V135" s="48" t="n">
        <f aca="false">(V63+V70+V100+V104+V105+V83)*(V$4&lt;=In_COD)</f>
        <v>-6373.72776343664</v>
      </c>
      <c r="W135" s="48" t="n">
        <f aca="false">(W63+W70+W100+W104+W105+W83)*(W$4&lt;=In_COD)</f>
        <v>-6224.35321715595</v>
      </c>
      <c r="X135" s="48" t="n">
        <f aca="false">(X63+X70+X100+X104+X105+X83)*(X$4&lt;=In_COD)</f>
        <v>-6281.78440147055</v>
      </c>
      <c r="Y135" s="48" t="n">
        <f aca="false">(Y63+Y70+Y100+Y104+Y105+Y83)*(Y$4&lt;=In_COD)</f>
        <v>-7686.30848172603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505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506</v>
      </c>
      <c r="D137" s="11" t="s">
        <v>33</v>
      </c>
      <c r="E137" s="48" t="n">
        <f aca="false">$E136+$I62-$E103-In_Sale_Costs</f>
        <v>84137.5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507</v>
      </c>
      <c r="D139" s="11" t="s">
        <v>33</v>
      </c>
      <c r="I139" s="57" t="n">
        <f aca="false">SUM(J139:EO139)</f>
        <v>20888.5902677913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-7295.55434419828</v>
      </c>
      <c r="S139" s="57" t="n">
        <f aca="false">S135+($E137+$E138)*S14</f>
        <v>-10674.0884898816</v>
      </c>
      <c r="T139" s="57" t="n">
        <f aca="false">T135+($E137+$E138)*T14</f>
        <v>-6328.29564878197</v>
      </c>
      <c r="U139" s="57" t="n">
        <f aca="false">U135+($E137+$E138)*U14</f>
        <v>-6385.84843453489</v>
      </c>
      <c r="V139" s="57" t="n">
        <f aca="false">V135+($E137+$E138)*V14</f>
        <v>-6373.72776343664</v>
      </c>
      <c r="W139" s="57" t="n">
        <f aca="false">W135+($E137+$E138)*W14</f>
        <v>-6224.35321715595</v>
      </c>
      <c r="X139" s="57" t="n">
        <f aca="false">X135+($E137+$E138)*X14</f>
        <v>-6281.78440147055</v>
      </c>
      <c r="Y139" s="57" t="n">
        <f aca="false">Y135+($E137+$E138)*Y14</f>
        <v>76451.191518274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0.248075895436541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1.33026008442252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11024.4284137116</v>
      </c>
    </row>
    <row r="143" customFormat="false" ht="15" hidden="false" customHeight="false" outlineLevel="0" collapsed="false">
      <c r="A143" s="61"/>
      <c r="B143" s="61"/>
      <c r="C143" s="61" t="s">
        <v>508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509</v>
      </c>
      <c r="D144" s="11" t="s">
        <v>33</v>
      </c>
      <c r="I144" s="48" t="n">
        <f aca="false">SUM(J144:EO144)</f>
        <v>137021.972810698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2335.05033254372</v>
      </c>
      <c r="AA144" s="48" t="n">
        <f aca="false">(AA83+AA59+AA62+AA117)*(AA$4&gt;In_COD)-($E136+$I62)*AA14</f>
        <v>2299.41436071246</v>
      </c>
      <c r="AB144" s="48" t="n">
        <f aca="false">(AB83+AB59+AB62+AB117)*(AB$4&gt;In_COD)-($E136+$I62)*AB14</f>
        <v>2323.92313317548</v>
      </c>
      <c r="AC144" s="48" t="n">
        <f aca="false">(AC83+AC59+AC62+AC117)*(AC$4&gt;In_COD)-($E136+$I62)*AC14</f>
        <v>2348.425274734</v>
      </c>
      <c r="AD144" s="48" t="n">
        <f aca="false">(AD83+AD59+AD62+AD117)*(AD$4&gt;In_COD)-($E136+$I62)*AD14</f>
        <v>2340.04295072676</v>
      </c>
      <c r="AE144" s="48" t="n">
        <f aca="false">(AE83+AE59+AE62+AE117)*(AE$4&gt;In_COD)-($E136+$I62)*AE14</f>
        <v>2329.21563844265</v>
      </c>
      <c r="AF144" s="48" t="n">
        <f aca="false">(AF83+AF59+AF62+AF117)*(AF$4&gt;In_COD)-($E136+$I62)*AF14</f>
        <v>2328.65814099003</v>
      </c>
      <c r="AG144" s="48" t="n">
        <f aca="false">(AG83+AG59+AG62+AG117)*(AG$4&gt;In_COD)-($E136+$I62)*AG14</f>
        <v>2353.20900799734</v>
      </c>
      <c r="AH144" s="48" t="n">
        <f aca="false">(AH83+AH59+AH62+AH117)*(AH$4&gt;In_COD)-($E136+$I62)*AH14</f>
        <v>2344.74927872233</v>
      </c>
      <c r="AI144" s="48" t="n">
        <f aca="false">(AI83+AI59+AI62+AI117)*(AI$4&gt;In_COD)-($E136+$I62)*AI14</f>
        <v>2308.4961023672</v>
      </c>
      <c r="AJ144" s="48" t="n">
        <f aca="false">(AJ83+AJ59+AJ62+AJ117)*(AJ$4&gt;In_COD)-($E136+$I62)*AJ14</f>
        <v>2359.53947980212</v>
      </c>
      <c r="AK144" s="48" t="n">
        <f aca="false">(AK83+AK59+AK62+AK117)*(AK$4&gt;In_COD)-($E136+$I62)*AK14</f>
        <v>2351.47246760312</v>
      </c>
      <c r="AL144" s="48" t="n">
        <f aca="false">(AL83+AL59+AL62+AL117)*(AL$4&gt;In_COD)-($E136+$I62)*AL14</f>
        <v>2342.97674530338</v>
      </c>
      <c r="AM144" s="48" t="n">
        <f aca="false">(AM83+AM59+AM62+AM117)*(AM$4&gt;In_COD)-($E136+$I62)*AM14</f>
        <v>2305.64250283825</v>
      </c>
      <c r="AN144" s="48" t="n">
        <f aca="false">(AN83+AN59+AN62+AN117)*(AN$4&gt;In_COD)-($E136+$I62)*AN14</f>
        <v>2329.16125070702</v>
      </c>
      <c r="AO144" s="48" t="n">
        <f aca="false">(AO83+AO59+AO62+AO117)*(AO$4&gt;In_COD)-($E136+$I62)*AO14</f>
        <v>2352.6646048711</v>
      </c>
      <c r="AP144" s="48" t="n">
        <f aca="false">(AP83+AP59+AP62+AP117)*(AP$4&gt;In_COD)-($E136+$I62)*AP14</f>
        <v>2344.06171079721</v>
      </c>
      <c r="AQ144" s="48" t="n">
        <f aca="false">(AQ83+AQ59+AQ62+AQ117)*(AQ$4&gt;In_COD)-($E136+$I62)*AQ14</f>
        <v>2306.4012483249</v>
      </c>
      <c r="AR144" s="48" t="n">
        <f aca="false">(AR83+AR59+AR62+AR117)*(AR$4&gt;In_COD)-($E136+$I62)*AR14</f>
        <v>2329.92145569932</v>
      </c>
      <c r="AS144" s="48" t="n">
        <f aca="false">(AS83+AS59+AS62+AS117)*(AS$4&gt;In_COD)-($E136+$I62)*AS14</f>
        <v>2353.42548513158</v>
      </c>
      <c r="AT144" s="48" t="n">
        <f aca="false">(AT83+AT59+AT62+AT117)*(AT$4&gt;In_COD)-($E136+$I62)*AT14</f>
        <v>2344.71215424851</v>
      </c>
      <c r="AU144" s="48" t="n">
        <f aca="false">(AU83+AU59+AU62+AU117)*(AU$4&gt;In_COD)-($E136+$I62)*AU14</f>
        <v>2331.59652192748</v>
      </c>
      <c r="AV144" s="48" t="n">
        <f aca="false">(AV83+AV59+AV62+AV117)*(AV$4&gt;In_COD)-($E136+$I62)*AV14</f>
        <v>2330.23635129681</v>
      </c>
      <c r="AW144" s="48" t="n">
        <f aca="false">(AW83+AW59+AW62+AW117)*(AW$4&gt;In_COD)-($E136+$I62)*AW14</f>
        <v>2353.73577129689</v>
      </c>
      <c r="AX144" s="48" t="n">
        <f aca="false">(AX83+AX59+AX62+AX117)*(AX$4&gt;In_COD)-($E136+$I62)*AX14</f>
        <v>2344.9085823033</v>
      </c>
      <c r="AY144" s="48" t="n">
        <f aca="false">(AY83+AY59+AY62+AY117)*(AY$4&gt;In_COD)-($E136+$I62)*AY14</f>
        <v>2306.5788597903</v>
      </c>
      <c r="AZ144" s="48" t="n">
        <f aca="false">(AZ83+AZ59+AZ62+AZ117)*(AZ$4&gt;In_COD)-($E136+$I62)*AZ14</f>
        <v>2330.08601511344</v>
      </c>
      <c r="BA144" s="48" t="n">
        <f aca="false">(BA83+BA59+BA62+BA117)*(BA$4&gt;In_COD)-($E136+$I62)*BA14</f>
        <v>2353.5753021243</v>
      </c>
      <c r="BB144" s="48" t="n">
        <f aca="false">(BB83+BB59+BB62+BB117)*(BB$4&gt;In_COD)-($E136+$I62)*BB14</f>
        <v>2344.63066945793</v>
      </c>
      <c r="BC144" s="48" t="n">
        <f aca="false">(BC83+BC59+BC62+BC117)*(BC$4&gt;In_COD)-($E136+$I62)*BC14</f>
        <v>2305.95751372368</v>
      </c>
      <c r="BD144" s="48" t="n">
        <f aca="false">(BD83+BD59+BD62+BD117)*(BD$4&gt;In_COD)-($E136+$I62)*BD14</f>
        <v>2329.44967358217</v>
      </c>
      <c r="BE144" s="48" t="n">
        <f aca="false">(BE83+BE59+BE62+BE117)*(BE$4&gt;In_COD)-($E136+$I62)*BE14</f>
        <v>2352.92305482121</v>
      </c>
      <c r="BF144" s="48" t="n">
        <f aca="false">(BF83+BF59+BF62+BF117)*(BF$4&gt;In_COD)-($E136+$I62)*BF14</f>
        <v>2343.85722025432</v>
      </c>
      <c r="BG144" s="48" t="n">
        <f aca="false">(BG83+BG59+BG62+BG117)*(BG$4&gt;In_COD)-($E136+$I62)*BG14</f>
        <v>2304.83448533295</v>
      </c>
      <c r="BH144" s="48" t="n">
        <f aca="false">(BH83+BH59+BH62+BH117)*(BH$4&gt;In_COD)-($E136+$I62)*BH14</f>
        <v>2328.30566324847</v>
      </c>
      <c r="BI144" s="48" t="n">
        <f aca="false">(BI83+BI59+BI62+BI117)*(BI$4&gt;In_COD)-($E136+$I62)*BI14</f>
        <v>2351.75710586145</v>
      </c>
      <c r="BJ144" s="48" t="n">
        <f aca="false">(BJ83+BJ59+BJ62+BJ117)*(BJ$4&gt;In_COD)-($E136+$I62)*BJ14</f>
        <v>2342.56612966558</v>
      </c>
      <c r="BK144" s="48" t="n">
        <f aca="false">(BK83+BK59+BK62+BK117)*(BK$4&gt;In_COD)-($E136+$I62)*BK14</f>
        <v>2328.29064814514</v>
      </c>
      <c r="BL144" s="48" t="n">
        <f aca="false">(BL83+BL59+BL62+BL117)*(BL$4&gt;In_COD)-($E136+$I62)*BL14</f>
        <v>2326.63139020971</v>
      </c>
      <c r="BM144" s="48" t="n">
        <f aca="false">(BM83+BM59+BM62+BM117)*(BM$4&gt;In_COD)-($E136+$I62)*BM14</f>
        <v>2350.05458992468</v>
      </c>
      <c r="BN144" s="48" t="n">
        <f aca="false">(BN83+BN59+BN62+BN117)*(BN$4&gt;In_COD)-($E136+$I62)*BN14</f>
        <v>2340.73434158255</v>
      </c>
      <c r="BO144" s="48" t="n">
        <f aca="false">(BO83+BO59+BO62+BO117)*(BO$4&gt;In_COD)-($E136+$I62)*BO14</f>
        <v>2300.99312098471</v>
      </c>
      <c r="BP144" s="48" t="n">
        <f aca="false">(BP83+BP59+BP62+BP117)*(BP$4&gt;In_COD)-($E136+$I62)*BP14</f>
        <v>2324.40328760908</v>
      </c>
      <c r="BQ144" s="48" t="n">
        <f aca="false">(BQ83+BQ59+BQ62+BQ117)*(BQ$4&gt;In_COD)-($E136+$I62)*BQ14</f>
        <v>2347.79165686608</v>
      </c>
      <c r="BR144" s="48" t="n">
        <f aca="false">(BR83+BR59+BR62+BR117)*(BR$4&gt;In_COD)-($E136+$I62)*BR14</f>
        <v>2338.33780530757</v>
      </c>
      <c r="BS144" s="48" t="n">
        <f aca="false">(BS83+BS59+BS62+BS117)*(BS$4&gt;In_COD)-($E136+$I62)*BS14</f>
        <v>2298.22720771513</v>
      </c>
      <c r="BT144" s="48" t="n">
        <f aca="false">(BT83+BT59+BT62+BT117)*(BT$4&gt;In_COD)-($E136+$I62)*BT14</f>
        <v>2321.59677108785</v>
      </c>
      <c r="BU144" s="48" t="n">
        <f aca="false">(BU83+BU59+BU62+BU117)*(BU$4&gt;In_COD)-($E136+$I62)*BU14</f>
        <v>2344.94342661896</v>
      </c>
      <c r="BV144" s="48" t="n">
        <f aca="false">(BV83+BV59+BV62+BV117)*(BV$4&gt;In_COD)-($E136+$I62)*BV14</f>
        <v>2335.35142995684</v>
      </c>
      <c r="BW144" s="48" t="n">
        <f aca="false">(BW83+BW59+BW62+BW117)*(BW$4&gt;In_COD)-($E136+$I62)*BW14</f>
        <v>2294.86436737233</v>
      </c>
      <c r="BX144" s="48" t="n">
        <f aca="false">(BX83+BX59+BX62+BX117)*(BX$4&gt;In_COD)-($E136+$I62)*BX14</f>
        <v>2318.18619209494</v>
      </c>
      <c r="BY144" s="48" t="n">
        <f aca="false">(BY83+BY59+BY62+BY117)*(BY$4&gt;In_COD)-($E136+$I62)*BY14</f>
        <v>2341.48394192824</v>
      </c>
      <c r="BZ144" s="48" t="n">
        <f aca="false">(BZ83+BZ59+BZ62+BZ117)*(BZ$4&gt;In_COD)-($E136+$I62)*BZ14</f>
        <v>2331.74903666808</v>
      </c>
      <c r="CA144" s="48" t="n">
        <f aca="false">(CA83+CA59+CA62+CA117)*(CA$4&gt;In_COD)-($E136+$I62)*CA14</f>
        <v>2316.16890036023</v>
      </c>
      <c r="CB144" s="48" t="n">
        <f aca="false">(CB83+CB59+CB62+CB117)*(CB$4&gt;In_COD)-($E136+$I62)*CB14</f>
        <v>2314.14478894785</v>
      </c>
      <c r="CC144" s="48" t="n">
        <f aca="false">(CC83+CC59+CC62+CC117)*(CC$4&gt;In_COD)-($E136+$I62)*CC14</f>
        <v>2337.38611880721</v>
      </c>
      <c r="CD144" s="48" t="n">
        <f aca="false">(CD83+CD59+CD62+CD117)*(CD$4&gt;In_COD)-($E136+$I62)*CD14</f>
        <v>2327.50330850459</v>
      </c>
      <c r="CE144" s="48" t="n">
        <f aca="false">(CE83+CE59+CE62+CE117)*(CE$4&gt;In_COD)-($E136+$I62)*CE14</f>
        <v>2286.24098608149</v>
      </c>
      <c r="CF144" s="48" t="n">
        <f aca="false">(CF83+CF59+CF62+CF117)*(CF$4&gt;In_COD)-($E136+$I62)*CF14</f>
        <v>2309.44463553358</v>
      </c>
      <c r="CG144" s="48" t="n">
        <f aca="false">(CG83+CG59+CG62+CG117)*(CG$4&gt;In_COD)-($E136+$I62)*CG14</f>
        <v>2332.62169460504</v>
      </c>
      <c r="CH144" s="48" t="n">
        <f aca="false">(CH83+CH59+CH62+CH117)*(CH$4&gt;In_COD)-($E136+$I62)*CH14</f>
        <v>2322.58573794189</v>
      </c>
      <c r="CI144" s="48" t="n">
        <f aca="false">(CI83+CI59+CI62+CI117)*(CI$4&gt;In_COD)-($E136+$I62)*CI14</f>
        <v>2283.1320593481</v>
      </c>
      <c r="CJ144" s="48" t="n">
        <f aca="false">(CJ83+CJ59+CJ62+CJ117)*(CJ$4&gt;In_COD)-($E136+$I62)*CJ14</f>
        <v>2308.50019334086</v>
      </c>
      <c r="CK144" s="48" t="n">
        <f aca="false">(CK83+CK59+CK62+CK117)*(CK$4&gt;In_COD)-($E136+$I62)*CK14</f>
        <v>2333.86832733361</v>
      </c>
      <c r="CL144" s="48" t="n">
        <f aca="false">(CL83+CL59+CL62+CL117)*(CL$4&gt;In_COD)-($E136+$I62)*CL14</f>
        <v>2325.96556789213</v>
      </c>
      <c r="CM144" s="48" t="n">
        <f aca="false">(CM83+CM59+CM62+CM117)*(CM$4&gt;In_COD)-($E136+$I62)*CM14</f>
        <v>2286.21680003197</v>
      </c>
      <c r="CN144" s="48" t="n">
        <f aca="false">(CN83+CN59+CN62+CN117)*(CN$4&gt;In_COD)-($E136+$I62)*CN14</f>
        <v>2311.61920892122</v>
      </c>
      <c r="CO144" s="48" t="n">
        <f aca="false">(CO83+CO59+CO62+CO117)*(CO$4&gt;In_COD)-($E136+$I62)*CO14</f>
        <v>2337.02161781046</v>
      </c>
      <c r="CP144" s="48" t="n">
        <f aca="false">(CP83+CP59+CP62+CP117)*(CP$4&gt;In_COD)-($E136+$I62)*CP14</f>
        <v>2329.07120265089</v>
      </c>
      <c r="CQ144" s="48" t="n">
        <f aca="false">(CQ83+CQ59+CQ62+CQ117)*(CQ$4&gt;In_COD)-($E136+$I62)*CQ14</f>
        <v>2314.45814836636</v>
      </c>
      <c r="CR144" s="48" t="n">
        <f aca="false">(CR83+CR59+CR62+CR117)*(CR$4&gt;In_COD)-($E136+$I62)*CR14</f>
        <v>2314.45814836636</v>
      </c>
      <c r="CS144" s="48" t="n">
        <f aca="false">(CS83+CS59+CS62+CS117)*(CS$4&gt;In_COD)-($E136+$I62)*CS14</f>
        <v>2339.89175439236</v>
      </c>
      <c r="CT144" s="48" t="n">
        <f aca="false">(CT83+CT59+CT62+CT117)*(CT$4&gt;In_COD)-($E136+$I62)*CT14</f>
        <v>2331.89357808024</v>
      </c>
      <c r="CU144" s="48" t="n">
        <f aca="false">(CU83+CU59+CU62+CU117)*(CU$4&gt;In_COD)-($E136+$I62)*CU14</f>
        <v>2291.54618297149</v>
      </c>
      <c r="CV144" s="48" t="n">
        <f aca="false">(CV83+CV59+CV62+CV117)*(CV$4&gt;In_COD)-($E136+$I62)*CV14</f>
        <v>2317.00780722673</v>
      </c>
      <c r="CW144" s="48" t="n">
        <f aca="false">(CW83+CW59+CW62+CW117)*(CW$4&gt;In_COD)-($E136+$I62)*CW14</f>
        <v>2342.46943148197</v>
      </c>
      <c r="CX144" s="48" t="n">
        <f aca="false">(CX83+CX59+CX62+CX117)*(CX$4&gt;In_COD)-($E136+$I62)*CX14</f>
        <v>2334.42339262719</v>
      </c>
      <c r="CY144" s="48" t="n">
        <f aca="false">(CY83+CY59+CY62+CY117)*(CY$4&gt;In_COD)-($E136+$I62)*CY14</f>
        <v>2293.77238046278</v>
      </c>
      <c r="CZ144" s="48" t="n">
        <f aca="false">(CZ83+CZ59+CZ62+CZ117)*(CZ$4&gt;In_COD)-($E136+$I62)*CZ14</f>
        <v>2319.2587402457</v>
      </c>
      <c r="DA144" s="48" t="n">
        <f aca="false">(DA83+DA59+DA62+DA117)*(DA$4&gt;In_COD)-($E136+$I62)*DA14</f>
        <v>2344.74510002862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0.0562961227328924</v>
      </c>
    </row>
    <row r="146" customFormat="false" ht="15" hidden="false" customHeight="false" outlineLevel="0" collapsed="false">
      <c r="C146" s="0" t="s">
        <v>510</v>
      </c>
      <c r="D146" s="11" t="s">
        <v>33</v>
      </c>
      <c r="I146" s="48" t="n">
        <f aca="false">SUM(J146:EO146)</f>
        <v>115865.880454212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-85815.1015392748</v>
      </c>
      <c r="Z146" s="48" t="n">
        <f aca="false">Z144+Z98+Z106+$E103*Z14</f>
        <v>1157.44879326896</v>
      </c>
      <c r="AA146" s="48" t="n">
        <f aca="false">AA144+AA98+AA106+$E103*AA14</f>
        <v>1121.8128214377</v>
      </c>
      <c r="AB146" s="48" t="n">
        <f aca="false">AB144+AB98+AB106+$E103*AB14</f>
        <v>1146.32159390072</v>
      </c>
      <c r="AC146" s="48" t="n">
        <f aca="false">AC144+AC98+AC106+$E103*AC14</f>
        <v>1170.82373545924</v>
      </c>
      <c r="AD146" s="48" t="n">
        <f aca="false">AD144+AD98+AD106+$E103*AD14</f>
        <v>1162.441411452</v>
      </c>
      <c r="AE146" s="48" t="n">
        <f aca="false">AE144+AE98+AE106+$E103*AE14</f>
        <v>1151.6140991679</v>
      </c>
      <c r="AF146" s="48" t="n">
        <f aca="false">AF144+AF98+AF106+$E103*AF14</f>
        <v>1151.05660171527</v>
      </c>
      <c r="AG146" s="48" t="n">
        <f aca="false">AG144+AG98+AG106+$E103*AG14</f>
        <v>1175.60746872259</v>
      </c>
      <c r="AH146" s="48" t="n">
        <f aca="false">AH144+AH98+AH106+$E103*AH14</f>
        <v>1167.14773944757</v>
      </c>
      <c r="AI146" s="48" t="n">
        <f aca="false">AI144+AI98+AI106+$E103*AI14</f>
        <v>1130.89456309244</v>
      </c>
      <c r="AJ146" s="48" t="n">
        <f aca="false">AJ144+AJ98+AJ106+$E103*AJ14</f>
        <v>1181.93794052737</v>
      </c>
      <c r="AK146" s="48" t="n">
        <f aca="false">AK144+AK98+AK106+$E103*AK14</f>
        <v>1173.87092832837</v>
      </c>
      <c r="AL146" s="48" t="n">
        <f aca="false">AL144+AL98+AL106+$E103*AL14</f>
        <v>1165.37520602863</v>
      </c>
      <c r="AM146" s="48" t="n">
        <f aca="false">AM144+AM98+AM106+$E103*AM14</f>
        <v>1128.04096356349</v>
      </c>
      <c r="AN146" s="48" t="n">
        <f aca="false">AN144+AN98+AN106+$E103*AN14</f>
        <v>1151.55971143226</v>
      </c>
      <c r="AO146" s="48" t="n">
        <f aca="false">AO144+AO98+AO106+$E103*AO14</f>
        <v>1175.06306559634</v>
      </c>
      <c r="AP146" s="48" t="n">
        <f aca="false">AP144+AP98+AP106+$E103*AP14</f>
        <v>1166.46017152246</v>
      </c>
      <c r="AQ146" s="48" t="n">
        <f aca="false">AQ144+AQ98+AQ106+$E103*AQ14</f>
        <v>1128.79970905014</v>
      </c>
      <c r="AR146" s="48" t="n">
        <f aca="false">AR144+AR98+AR106+$E103*AR14</f>
        <v>1152.31991642457</v>
      </c>
      <c r="AS146" s="48" t="n">
        <f aca="false">AS144+AS98+AS106+$E103*AS14</f>
        <v>1175.82394585683</v>
      </c>
      <c r="AT146" s="48" t="n">
        <f aca="false">AT144+AT98+AT106+$E103*AT14</f>
        <v>1167.11061497375</v>
      </c>
      <c r="AU146" s="48" t="n">
        <f aca="false">AU144+AU98+AU106+$E103*AU14</f>
        <v>1153.99498265272</v>
      </c>
      <c r="AV146" s="48" t="n">
        <f aca="false">AV144+AV98+AV106+$E103*AV14</f>
        <v>1152.63481202206</v>
      </c>
      <c r="AW146" s="48" t="n">
        <f aca="false">AW144+AW98+AW106+$E103*AW14</f>
        <v>1176.13423202213</v>
      </c>
      <c r="AX146" s="48" t="n">
        <f aca="false">AX144+AX98+AX106+$E103*AX14</f>
        <v>1167.30704302855</v>
      </c>
      <c r="AY146" s="48" t="n">
        <f aca="false">AY144+AY98+AY106+$E103*AY14</f>
        <v>1128.97732051555</v>
      </c>
      <c r="AZ146" s="48" t="n">
        <f aca="false">AZ144+AZ98+AZ106+$E103*AZ14</f>
        <v>1152.48447583868</v>
      </c>
      <c r="BA146" s="48" t="n">
        <f aca="false">BA144+BA98+BA106+$E103*BA14</f>
        <v>1175.97376284954</v>
      </c>
      <c r="BB146" s="48" t="n">
        <f aca="false">BB144+BB98+BB106+$E103*BB14</f>
        <v>1167.02913018317</v>
      </c>
      <c r="BC146" s="48" t="n">
        <f aca="false">BC144+BC98+BC106+$E103*BC14</f>
        <v>1128.35597444892</v>
      </c>
      <c r="BD146" s="48" t="n">
        <f aca="false">BD144+BD98+BD106+$E103*BD14</f>
        <v>1151.84813430742</v>
      </c>
      <c r="BE146" s="48" t="n">
        <f aca="false">BE144+BE98+BE106+$E103*BE14</f>
        <v>1175.32151554645</v>
      </c>
      <c r="BF146" s="48" t="n">
        <f aca="false">BF144+BF98+BF106+$E103*BF14</f>
        <v>1166.25568097956</v>
      </c>
      <c r="BG146" s="48" t="n">
        <f aca="false">BG144+BG98+BG106+$E103*BG14</f>
        <v>1127.23294605819</v>
      </c>
      <c r="BH146" s="48" t="n">
        <f aca="false">BH144+BH98+BH106+$E103*BH14</f>
        <v>1150.70412397372</v>
      </c>
      <c r="BI146" s="48" t="n">
        <f aca="false">BI144+BI98+BI106+$E103*BI14</f>
        <v>1174.15556658669</v>
      </c>
      <c r="BJ146" s="48" t="n">
        <f aca="false">BJ144+BJ98+BJ106+$E103*BJ14</f>
        <v>1164.96459039082</v>
      </c>
      <c r="BK146" s="48" t="n">
        <f aca="false">BK144+BK98+BK106+$E103*BK14</f>
        <v>1150.68910887039</v>
      </c>
      <c r="BL146" s="48" t="n">
        <f aca="false">BL144+BL98+BL106+$E103*BL14</f>
        <v>1149.02985093495</v>
      </c>
      <c r="BM146" s="48" t="n">
        <f aca="false">BM144+BM98+BM106+$E103*BM14</f>
        <v>1172.45305064993</v>
      </c>
      <c r="BN146" s="48" t="n">
        <f aca="false">BN144+BN98+BN106+$E103*BN14</f>
        <v>1163.1328023078</v>
      </c>
      <c r="BO146" s="48" t="n">
        <f aca="false">BO144+BO98+BO106+$E103*BO14</f>
        <v>1123.39158170995</v>
      </c>
      <c r="BP146" s="48" t="n">
        <f aca="false">BP144+BP98+BP106+$E103*BP14</f>
        <v>1146.80174833432</v>
      </c>
      <c r="BQ146" s="48" t="n">
        <f aca="false">BQ144+BQ98+BQ106+$E103*BQ14</f>
        <v>1170.19011759132</v>
      </c>
      <c r="BR146" s="48" t="n">
        <f aca="false">BR144+BR98+BR106+$E103*BR14</f>
        <v>1160.73626603281</v>
      </c>
      <c r="BS146" s="48" t="n">
        <f aca="false">BS144+BS98+BS106+$E103*BS14</f>
        <v>1120.62566844038</v>
      </c>
      <c r="BT146" s="48" t="n">
        <f aca="false">BT144+BT98+BT106+$E103*BT14</f>
        <v>1143.99523181309</v>
      </c>
      <c r="BU146" s="48" t="n">
        <f aca="false">BU144+BU98+BU106+$E103*BU14</f>
        <v>1167.34188734421</v>
      </c>
      <c r="BV146" s="48" t="n">
        <f aca="false">BV144+BV98+BV106+$E103*BV14</f>
        <v>1157.74989068209</v>
      </c>
      <c r="BW146" s="48" t="n">
        <f aca="false">BW144+BW98+BW106+$E103*BW14</f>
        <v>1117.26282809757</v>
      </c>
      <c r="BX146" s="48" t="n">
        <f aca="false">BX144+BX98+BX106+$E103*BX14</f>
        <v>1140.58465282018</v>
      </c>
      <c r="BY146" s="48" t="n">
        <f aca="false">BY144+BY98+BY106+$E103*BY14</f>
        <v>1163.88240265348</v>
      </c>
      <c r="BZ146" s="48" t="n">
        <f aca="false">BZ144+BZ98+BZ106+$E103*BZ14</f>
        <v>1154.14749739332</v>
      </c>
      <c r="CA146" s="48" t="n">
        <f aca="false">CA144+CA98+CA106+$E103*CA14</f>
        <v>1138.56736108547</v>
      </c>
      <c r="CB146" s="48" t="n">
        <f aca="false">CB144+CB98+CB106+$E103*CB14</f>
        <v>1136.54324967309</v>
      </c>
      <c r="CC146" s="48" t="n">
        <f aca="false">CC144+CC98+CC106+$E103*CC14</f>
        <v>1159.78457953245</v>
      </c>
      <c r="CD146" s="48" t="n">
        <f aca="false">CD144+CD98+CD106+$E103*CD14</f>
        <v>1149.90176922983</v>
      </c>
      <c r="CE146" s="48" t="n">
        <f aca="false">CE144+CE98+CE106+$E103*CE14</f>
        <v>1108.63944680673</v>
      </c>
      <c r="CF146" s="48" t="n">
        <f aca="false">CF144+CF98+CF106+$E103*CF14</f>
        <v>1131.84309625882</v>
      </c>
      <c r="CG146" s="48" t="n">
        <f aca="false">CG144+CG98+CG106+$E103*CG14</f>
        <v>2332.62169460504</v>
      </c>
      <c r="CH146" s="48" t="n">
        <f aca="false">CH144+CH98+CH106+$E103*CH14</f>
        <v>2322.58573794189</v>
      </c>
      <c r="CI146" s="48" t="n">
        <f aca="false">CI144+CI98+CI106+$E103*CI14</f>
        <v>2283.1320593481</v>
      </c>
      <c r="CJ146" s="48" t="n">
        <f aca="false">CJ144+CJ98+CJ106+$E103*CJ14</f>
        <v>2308.50019334086</v>
      </c>
      <c r="CK146" s="48" t="n">
        <f aca="false">CK144+CK98+CK106+$E103*CK14</f>
        <v>2333.86832733361</v>
      </c>
      <c r="CL146" s="48" t="n">
        <f aca="false">CL144+CL98+CL106+$E103*CL14</f>
        <v>2325.96556789213</v>
      </c>
      <c r="CM146" s="48" t="n">
        <f aca="false">CM144+CM98+CM106+$E103*CM14</f>
        <v>2286.21680003197</v>
      </c>
      <c r="CN146" s="48" t="n">
        <f aca="false">CN144+CN98+CN106+$E103*CN14</f>
        <v>2311.61920892122</v>
      </c>
      <c r="CO146" s="48" t="n">
        <f aca="false">CO144+CO98+CO106+$E103*CO14</f>
        <v>2337.02161781046</v>
      </c>
      <c r="CP146" s="48" t="n">
        <f aca="false">CP144+CP98+CP106+$E103*CP14</f>
        <v>2329.07120265089</v>
      </c>
      <c r="CQ146" s="48" t="n">
        <f aca="false">CQ144+CQ98+CQ106+$E103*CQ14</f>
        <v>2314.45814836636</v>
      </c>
      <c r="CR146" s="48" t="n">
        <f aca="false">CR144+CR98+CR106+$E103*CR14</f>
        <v>2314.45814836636</v>
      </c>
      <c r="CS146" s="48" t="n">
        <f aca="false">CS144+CS98+CS106+$E103*CS14</f>
        <v>2339.89175439236</v>
      </c>
      <c r="CT146" s="48" t="n">
        <f aca="false">CT144+CT98+CT106+$E103*CT14</f>
        <v>2331.89357808024</v>
      </c>
      <c r="CU146" s="48" t="n">
        <f aca="false">CU144+CU98+CU106+$E103*CU14</f>
        <v>2291.54618297149</v>
      </c>
      <c r="CV146" s="48" t="n">
        <f aca="false">CV144+CV98+CV106+$E103*CV14</f>
        <v>2317.00780722673</v>
      </c>
      <c r="CW146" s="48" t="n">
        <f aca="false">CW144+CW98+CW106+$E103*CW14</f>
        <v>2342.46943148197</v>
      </c>
      <c r="CX146" s="48" t="n">
        <f aca="false">CX144+CX98+CX106+$E103*CX14</f>
        <v>2334.42339262719</v>
      </c>
      <c r="CY146" s="48" t="n">
        <f aca="false">CY144+CY98+CY106+$E103*CY14</f>
        <v>2293.77238046278</v>
      </c>
      <c r="CZ146" s="48" t="n">
        <f aca="false">CZ144+CZ98+CZ106+$E103*CZ14</f>
        <v>2319.2587402457</v>
      </c>
      <c r="DA146" s="48" t="n">
        <f aca="false">DA144+DA98+DA106+$E103*DA14</f>
        <v>2344.74510002862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511</v>
      </c>
      <c r="D147" s="11" t="s">
        <v>27</v>
      </c>
      <c r="E147" s="33" t="n">
        <f aca="false">XIRR(INDEX($J146:$EO146,$E15):$EO146,INDEX($J$4:$EO$4,$E15):$EO$4)</f>
        <v>0.0572094471619621</v>
      </c>
    </row>
    <row r="149" customFormat="false" ht="15" hidden="false" customHeight="false" outlineLevel="0" collapsed="false">
      <c r="A149" s="9" t="s">
        <v>13</v>
      </c>
      <c r="B149" s="9"/>
      <c r="C149" s="9" t="s">
        <v>512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513</v>
      </c>
      <c r="D150" s="11" t="s">
        <v>33</v>
      </c>
      <c r="I150" s="48" t="n">
        <f aca="false">SUM(J150:EO150)</f>
        <v>161935.807908716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2335.05033254372</v>
      </c>
      <c r="AA150" s="48" t="n">
        <f aca="false">AA63+AA70+AA83+AA62+AA117</f>
        <v>2299.41436071246</v>
      </c>
      <c r="AB150" s="48" t="n">
        <f aca="false">AB63+AB70+AB83+AB62+AB117</f>
        <v>2323.92313317548</v>
      </c>
      <c r="AC150" s="48" t="n">
        <f aca="false">AC63+AC70+AC83+AC62+AC117</f>
        <v>2348.425274734</v>
      </c>
      <c r="AD150" s="48" t="n">
        <f aca="false">AD63+AD70+AD83+AD62+AD117</f>
        <v>2340.04295072676</v>
      </c>
      <c r="AE150" s="48" t="n">
        <f aca="false">AE63+AE70+AE83+AE62+AE117</f>
        <v>2329.21563844265</v>
      </c>
      <c r="AF150" s="48" t="n">
        <f aca="false">AF63+AF70+AF83+AF62+AF117</f>
        <v>2328.65814099003</v>
      </c>
      <c r="AG150" s="48" t="n">
        <f aca="false">AG63+AG70+AG83+AG62+AG117</f>
        <v>2353.20900799734</v>
      </c>
      <c r="AH150" s="48" t="n">
        <f aca="false">AH63+AH70+AH83+AH62+AH117</f>
        <v>2344.74927872233</v>
      </c>
      <c r="AI150" s="48" t="n">
        <f aca="false">AI63+AI70+AI83+AI62+AI117</f>
        <v>2308.4961023672</v>
      </c>
      <c r="AJ150" s="48" t="n">
        <f aca="false">AJ63+AJ70+AJ83+AJ62+AJ117</f>
        <v>2359.53947980212</v>
      </c>
      <c r="AK150" s="48" t="n">
        <f aca="false">AK63+AK70+AK83+AK62+AK117</f>
        <v>2351.47246760312</v>
      </c>
      <c r="AL150" s="48" t="n">
        <f aca="false">AL63+AL70+AL83+AL62+AL117</f>
        <v>2342.97674530338</v>
      </c>
      <c r="AM150" s="48" t="n">
        <f aca="false">AM63+AM70+AM83+AM62+AM117</f>
        <v>2305.64250283825</v>
      </c>
      <c r="AN150" s="48" t="n">
        <f aca="false">AN63+AN70+AN83+AN62+AN117</f>
        <v>2329.16125070702</v>
      </c>
      <c r="AO150" s="48" t="n">
        <f aca="false">AO63+AO70+AO83+AO62+AO117</f>
        <v>2352.6646048711</v>
      </c>
      <c r="AP150" s="48" t="n">
        <f aca="false">AP63+AP70+AP83+AP62+AP117</f>
        <v>2344.06171079721</v>
      </c>
      <c r="AQ150" s="48" t="n">
        <f aca="false">AQ63+AQ70+AQ83+AQ62+AQ117</f>
        <v>2306.4012483249</v>
      </c>
      <c r="AR150" s="48" t="n">
        <f aca="false">AR63+AR70+AR83+AR62+AR117</f>
        <v>2329.92145569932</v>
      </c>
      <c r="AS150" s="48" t="n">
        <f aca="false">AS63+AS70+AS83+AS62+AS117</f>
        <v>2353.42548513158</v>
      </c>
      <c r="AT150" s="48" t="n">
        <f aca="false">AT63+AT70+AT83+AT62+AT117</f>
        <v>2344.71215424851</v>
      </c>
      <c r="AU150" s="48" t="n">
        <f aca="false">AU63+AU70+AU83+AU62+AU117</f>
        <v>2331.59652192748</v>
      </c>
      <c r="AV150" s="48" t="n">
        <f aca="false">AV63+AV70+AV83+AV62+AV117</f>
        <v>2330.23635129681</v>
      </c>
      <c r="AW150" s="48" t="n">
        <f aca="false">AW63+AW70+AW83+AW62+AW117</f>
        <v>2353.73577129689</v>
      </c>
      <c r="AX150" s="48" t="n">
        <f aca="false">AX63+AX70+AX83+AX62+AX117</f>
        <v>2344.9085823033</v>
      </c>
      <c r="AY150" s="48" t="n">
        <f aca="false">AY63+AY70+AY83+AY62+AY117</f>
        <v>2306.5788597903</v>
      </c>
      <c r="AZ150" s="48" t="n">
        <f aca="false">AZ63+AZ70+AZ83+AZ62+AZ117</f>
        <v>2330.08601511344</v>
      </c>
      <c r="BA150" s="48" t="n">
        <f aca="false">BA63+BA70+BA83+BA62+BA117</f>
        <v>2353.5753021243</v>
      </c>
      <c r="BB150" s="48" t="n">
        <f aca="false">BB63+BB70+BB83+BB62+BB117</f>
        <v>2344.63066945793</v>
      </c>
      <c r="BC150" s="48" t="n">
        <f aca="false">BC63+BC70+BC83+BC62+BC117</f>
        <v>2305.95751372368</v>
      </c>
      <c r="BD150" s="48" t="n">
        <f aca="false">BD63+BD70+BD83+BD62+BD117</f>
        <v>2329.44967358217</v>
      </c>
      <c r="BE150" s="48" t="n">
        <f aca="false">BE63+BE70+BE83+BE62+BE117</f>
        <v>2352.92305482121</v>
      </c>
      <c r="BF150" s="48" t="n">
        <f aca="false">BF63+BF70+BF83+BF62+BF117</f>
        <v>2343.85722025432</v>
      </c>
      <c r="BG150" s="48" t="n">
        <f aca="false">BG63+BG70+BG83+BG62+BG117</f>
        <v>2304.83448533295</v>
      </c>
      <c r="BH150" s="48" t="n">
        <f aca="false">BH63+BH70+BH83+BH62+BH117</f>
        <v>2328.30566324847</v>
      </c>
      <c r="BI150" s="48" t="n">
        <f aca="false">BI63+BI70+BI83+BI62+BI117</f>
        <v>2351.75710586145</v>
      </c>
      <c r="BJ150" s="48" t="n">
        <f aca="false">BJ63+BJ70+BJ83+BJ62+BJ117</f>
        <v>2342.56612966558</v>
      </c>
      <c r="BK150" s="48" t="n">
        <f aca="false">BK63+BK70+BK83+BK62+BK117</f>
        <v>2328.29064814514</v>
      </c>
      <c r="BL150" s="48" t="n">
        <f aca="false">BL63+BL70+BL83+BL62+BL117</f>
        <v>2326.63139020971</v>
      </c>
      <c r="BM150" s="48" t="n">
        <f aca="false">BM63+BM70+BM83+BM62+BM117</f>
        <v>2350.05458992468</v>
      </c>
      <c r="BN150" s="48" t="n">
        <f aca="false">BN63+BN70+BN83+BN62+BN117</f>
        <v>2340.73434158255</v>
      </c>
      <c r="BO150" s="48" t="n">
        <f aca="false">BO63+BO70+BO83+BO62+BO117</f>
        <v>2300.99312098471</v>
      </c>
      <c r="BP150" s="48" t="n">
        <f aca="false">BP63+BP70+BP83+BP62+BP117</f>
        <v>2324.40328760908</v>
      </c>
      <c r="BQ150" s="48" t="n">
        <f aca="false">BQ63+BQ70+BQ83+BQ62+BQ117</f>
        <v>2347.79165686608</v>
      </c>
      <c r="BR150" s="48" t="n">
        <f aca="false">BR63+BR70+BR83+BR62+BR117</f>
        <v>2338.33780530757</v>
      </c>
      <c r="BS150" s="48" t="n">
        <f aca="false">BS63+BS70+BS83+BS62+BS117</f>
        <v>2298.22720771513</v>
      </c>
      <c r="BT150" s="48" t="n">
        <f aca="false">BT63+BT70+BT83+BT62+BT117</f>
        <v>2321.59677108785</v>
      </c>
      <c r="BU150" s="48" t="n">
        <f aca="false">BU63+BU70+BU83+BU62+BU117</f>
        <v>2344.94342661896</v>
      </c>
      <c r="BV150" s="48" t="n">
        <f aca="false">BV63+BV70+BV83+BV62+BV117</f>
        <v>2335.35142995684</v>
      </c>
      <c r="BW150" s="48" t="n">
        <f aca="false">BW63+BW70+BW83+BW62+BW117</f>
        <v>2294.86436737233</v>
      </c>
      <c r="BX150" s="48" t="n">
        <f aca="false">BX63+BX70+BX83+BX62+BX117</f>
        <v>2318.18619209494</v>
      </c>
      <c r="BY150" s="48" t="n">
        <f aca="false">BY63+BY70+BY83+BY62+BY117</f>
        <v>2341.48394192824</v>
      </c>
      <c r="BZ150" s="48" t="n">
        <f aca="false">BZ63+BZ70+BZ83+BZ62+BZ117</f>
        <v>2331.74903666808</v>
      </c>
      <c r="CA150" s="48" t="n">
        <f aca="false">CA63+CA70+CA83+CA62+CA117</f>
        <v>2316.16890036023</v>
      </c>
      <c r="CB150" s="48" t="n">
        <f aca="false">CB63+CB70+CB83+CB62+CB117</f>
        <v>2314.14478894785</v>
      </c>
      <c r="CC150" s="48" t="n">
        <f aca="false">CC63+CC70+CC83+CC62+CC117</f>
        <v>2337.38611880721</v>
      </c>
      <c r="CD150" s="48" t="n">
        <f aca="false">CD63+CD70+CD83+CD62+CD117</f>
        <v>2327.50330850459</v>
      </c>
      <c r="CE150" s="48" t="n">
        <f aca="false">CE63+CE70+CE83+CE62+CE117</f>
        <v>2286.24098608149</v>
      </c>
      <c r="CF150" s="48" t="n">
        <f aca="false">CF63+CF70+CF83+CF62+CF117</f>
        <v>2309.44463553358</v>
      </c>
      <c r="CG150" s="48" t="n">
        <f aca="false">CG63+CG70+CG83+CG62+CG117</f>
        <v>2332.62169460504</v>
      </c>
      <c r="CH150" s="48" t="n">
        <f aca="false">CH63+CH70+CH83+CH62+CH117</f>
        <v>2322.58573794189</v>
      </c>
      <c r="CI150" s="48" t="n">
        <f aca="false">CI63+CI70+CI83+CI62+CI117</f>
        <v>2283.1320593481</v>
      </c>
      <c r="CJ150" s="48" t="n">
        <f aca="false">CJ63+CJ70+CJ83+CJ62+CJ117</f>
        <v>2308.50019334086</v>
      </c>
      <c r="CK150" s="48" t="n">
        <f aca="false">CK63+CK70+CK83+CK62+CK117</f>
        <v>2333.86832733361</v>
      </c>
      <c r="CL150" s="48" t="n">
        <f aca="false">CL63+CL70+CL83+CL62+CL117</f>
        <v>2325.96556789213</v>
      </c>
      <c r="CM150" s="48" t="n">
        <f aca="false">CM63+CM70+CM83+CM62+CM117</f>
        <v>2286.21680003197</v>
      </c>
      <c r="CN150" s="48" t="n">
        <f aca="false">CN63+CN70+CN83+CN62+CN117</f>
        <v>2311.61920892122</v>
      </c>
      <c r="CO150" s="48" t="n">
        <f aca="false">CO63+CO70+CO83+CO62+CO117</f>
        <v>2337.02161781046</v>
      </c>
      <c r="CP150" s="48" t="n">
        <f aca="false">CP63+CP70+CP83+CP62+CP117</f>
        <v>2329.07120265089</v>
      </c>
      <c r="CQ150" s="48" t="n">
        <f aca="false">CQ63+CQ70+CQ83+CQ62+CQ117</f>
        <v>2314.45814836636</v>
      </c>
      <c r="CR150" s="48" t="n">
        <f aca="false">CR63+CR70+CR83+CR62+CR117</f>
        <v>2314.45814836636</v>
      </c>
      <c r="CS150" s="48" t="n">
        <f aca="false">CS63+CS70+CS83+CS62+CS117</f>
        <v>2339.89175439236</v>
      </c>
      <c r="CT150" s="48" t="n">
        <f aca="false">CT63+CT70+CT83+CT62+CT117</f>
        <v>2331.89357808024</v>
      </c>
      <c r="CU150" s="48" t="n">
        <f aca="false">CU63+CU70+CU83+CU62+CU117</f>
        <v>2291.54618297149</v>
      </c>
      <c r="CV150" s="48" t="n">
        <f aca="false">CV63+CV70+CV83+CV62+CV117</f>
        <v>2317.00780722673</v>
      </c>
      <c r="CW150" s="48" t="n">
        <f aca="false">CW63+CW70+CW83+CW62+CW117</f>
        <v>2342.46943148197</v>
      </c>
      <c r="CX150" s="48" t="n">
        <f aca="false">CX63+CX70+CX83+CX62+CX117</f>
        <v>2334.42339262719</v>
      </c>
      <c r="CY150" s="48" t="n">
        <f aca="false">CY63+CY70+CY83+CY62+CY117</f>
        <v>2293.77238046278</v>
      </c>
      <c r="CZ150" s="48" t="n">
        <f aca="false">CZ63+CZ70+CZ83+CZ62+CZ117</f>
        <v>2319.2587402457</v>
      </c>
      <c r="DA150" s="48" t="n">
        <f aca="false">DA63+DA70+DA83+DA62+DA117</f>
        <v>2344.74510002862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0.0696595033736404</v>
      </c>
    </row>
    <row r="152" customFormat="false" ht="15" hidden="false" customHeight="false" outlineLevel="0" collapsed="false">
      <c r="C152" s="25" t="s">
        <v>514</v>
      </c>
      <c r="D152" s="11" t="s">
        <v>33</v>
      </c>
      <c r="I152" s="57" t="n">
        <f aca="false">SUM(J152:EO152)</f>
        <v>137254.470722004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-7295.55434419828</v>
      </c>
      <c r="S152" s="57" t="n">
        <f aca="false">S63+S70+S100+S104+S105+S83+S98+S106+S62+S117</f>
        <v>-10674.0884898816</v>
      </c>
      <c r="T152" s="57" t="n">
        <f aca="false">T63+T70+T100+T104+T105+T83+T98+T106+T62+T117</f>
        <v>-6328.29564878197</v>
      </c>
      <c r="U152" s="57" t="n">
        <f aca="false">U63+U70+U100+U104+U105+U83+U98+U106+U62+U117</f>
        <v>-6385.84843453489</v>
      </c>
      <c r="V152" s="57" t="n">
        <f aca="false">V63+V70+V100+V104+V105+V83+V98+V106+V62+V117</f>
        <v>-6373.72776343664</v>
      </c>
      <c r="W152" s="57" t="n">
        <f aca="false">W63+W70+W100+W104+W105+W83+W98+W106+W62+W117</f>
        <v>-6224.35321715595</v>
      </c>
      <c r="X152" s="57" t="n">
        <f aca="false">X63+X70+X100+X104+X105+X83+X98+X106+X62+X117</f>
        <v>-6281.78440147055</v>
      </c>
      <c r="Y152" s="57" t="n">
        <f aca="false">Y63+Y70+Y100+Y104+Y105+Y83+Y98+Y106+Y62+Y117</f>
        <v>-8863.91002100079</v>
      </c>
      <c r="Z152" s="57" t="n">
        <f aca="false">Z63+Z70+Z100+Z104+Z105+Z83+Z98+Z106+Z62+Z117</f>
        <v>1157.44879326896</v>
      </c>
      <c r="AA152" s="57" t="n">
        <f aca="false">AA63+AA70+AA100+AA104+AA105+AA83+AA98+AA106+AA62+AA117</f>
        <v>1121.8128214377</v>
      </c>
      <c r="AB152" s="57" t="n">
        <f aca="false">AB63+AB70+AB100+AB104+AB105+AB83+AB98+AB106+AB62+AB117</f>
        <v>1146.32159390072</v>
      </c>
      <c r="AC152" s="57" t="n">
        <f aca="false">AC63+AC70+AC100+AC104+AC105+AC83+AC98+AC106+AC62+AC117</f>
        <v>1170.82373545924</v>
      </c>
      <c r="AD152" s="57" t="n">
        <f aca="false">AD63+AD70+AD100+AD104+AD105+AD83+AD98+AD106+AD62+AD117</f>
        <v>1162.441411452</v>
      </c>
      <c r="AE152" s="57" t="n">
        <f aca="false">AE63+AE70+AE100+AE104+AE105+AE83+AE98+AE106+AE62+AE117</f>
        <v>1151.6140991679</v>
      </c>
      <c r="AF152" s="57" t="n">
        <f aca="false">AF63+AF70+AF100+AF104+AF105+AF83+AF98+AF106+AF62+AF117</f>
        <v>1151.05660171527</v>
      </c>
      <c r="AG152" s="57" t="n">
        <f aca="false">AG63+AG70+AG100+AG104+AG105+AG83+AG98+AG106+AG62+AG117</f>
        <v>1175.60746872259</v>
      </c>
      <c r="AH152" s="57" t="n">
        <f aca="false">AH63+AH70+AH100+AH104+AH105+AH83+AH98+AH106+AH62+AH117</f>
        <v>1167.14773944757</v>
      </c>
      <c r="AI152" s="57" t="n">
        <f aca="false">AI63+AI70+AI100+AI104+AI105+AI83+AI98+AI106+AI62+AI117</f>
        <v>1130.89456309244</v>
      </c>
      <c r="AJ152" s="57" t="n">
        <f aca="false">AJ63+AJ70+AJ100+AJ104+AJ105+AJ83+AJ98+AJ106+AJ62+AJ117</f>
        <v>1181.93794052737</v>
      </c>
      <c r="AK152" s="57" t="n">
        <f aca="false">AK63+AK70+AK100+AK104+AK105+AK83+AK98+AK106+AK62+AK117</f>
        <v>1173.87092832837</v>
      </c>
      <c r="AL152" s="57" t="n">
        <f aca="false">AL63+AL70+AL100+AL104+AL105+AL83+AL98+AL106+AL62+AL117</f>
        <v>1165.37520602863</v>
      </c>
      <c r="AM152" s="57" t="n">
        <f aca="false">AM63+AM70+AM100+AM104+AM105+AM83+AM98+AM106+AM62+AM117</f>
        <v>1128.04096356349</v>
      </c>
      <c r="AN152" s="57" t="n">
        <f aca="false">AN63+AN70+AN100+AN104+AN105+AN83+AN98+AN106+AN62+AN117</f>
        <v>1151.55971143226</v>
      </c>
      <c r="AO152" s="57" t="n">
        <f aca="false">AO63+AO70+AO100+AO104+AO105+AO83+AO98+AO106+AO62+AO117</f>
        <v>1175.06306559634</v>
      </c>
      <c r="AP152" s="57" t="n">
        <f aca="false">AP63+AP70+AP100+AP104+AP105+AP83+AP98+AP106+AP62+AP117</f>
        <v>1166.46017152246</v>
      </c>
      <c r="AQ152" s="57" t="n">
        <f aca="false">AQ63+AQ70+AQ100+AQ104+AQ105+AQ83+AQ98+AQ106+AQ62+AQ117</f>
        <v>1128.79970905014</v>
      </c>
      <c r="AR152" s="57" t="n">
        <f aca="false">AR63+AR70+AR100+AR104+AR105+AR83+AR98+AR106+AR62+AR117</f>
        <v>1152.31991642457</v>
      </c>
      <c r="AS152" s="57" t="n">
        <f aca="false">AS63+AS70+AS100+AS104+AS105+AS83+AS98+AS106+AS62+AS117</f>
        <v>1175.82394585683</v>
      </c>
      <c r="AT152" s="57" t="n">
        <f aca="false">AT63+AT70+AT100+AT104+AT105+AT83+AT98+AT106+AT62+AT117</f>
        <v>1167.11061497375</v>
      </c>
      <c r="AU152" s="57" t="n">
        <f aca="false">AU63+AU70+AU100+AU104+AU105+AU83+AU98+AU106+AU62+AU117</f>
        <v>1153.99498265272</v>
      </c>
      <c r="AV152" s="57" t="n">
        <f aca="false">AV63+AV70+AV100+AV104+AV105+AV83+AV98+AV106+AV62+AV117</f>
        <v>1152.63481202206</v>
      </c>
      <c r="AW152" s="57" t="n">
        <f aca="false">AW63+AW70+AW100+AW104+AW105+AW83+AW98+AW106+AW62+AW117</f>
        <v>1176.13423202213</v>
      </c>
      <c r="AX152" s="57" t="n">
        <f aca="false">AX63+AX70+AX100+AX104+AX105+AX83+AX98+AX106+AX62+AX117</f>
        <v>1167.30704302855</v>
      </c>
      <c r="AY152" s="57" t="n">
        <f aca="false">AY63+AY70+AY100+AY104+AY105+AY83+AY98+AY106+AY62+AY117</f>
        <v>1128.97732051555</v>
      </c>
      <c r="AZ152" s="57" t="n">
        <f aca="false">AZ63+AZ70+AZ100+AZ104+AZ105+AZ83+AZ98+AZ106+AZ62+AZ117</f>
        <v>1152.48447583868</v>
      </c>
      <c r="BA152" s="57" t="n">
        <f aca="false">BA63+BA70+BA100+BA104+BA105+BA83+BA98+BA106+BA62+BA117</f>
        <v>1175.97376284954</v>
      </c>
      <c r="BB152" s="57" t="n">
        <f aca="false">BB63+BB70+BB100+BB104+BB105+BB83+BB98+BB106+BB62+BB117</f>
        <v>1167.02913018317</v>
      </c>
      <c r="BC152" s="57" t="n">
        <f aca="false">BC63+BC70+BC100+BC104+BC105+BC83+BC98+BC106+BC62+BC117</f>
        <v>1128.35597444892</v>
      </c>
      <c r="BD152" s="57" t="n">
        <f aca="false">BD63+BD70+BD100+BD104+BD105+BD83+BD98+BD106+BD62+BD117</f>
        <v>1151.84813430742</v>
      </c>
      <c r="BE152" s="57" t="n">
        <f aca="false">BE63+BE70+BE100+BE104+BE105+BE83+BE98+BE106+BE62+BE117</f>
        <v>1175.32151554645</v>
      </c>
      <c r="BF152" s="57" t="n">
        <f aca="false">BF63+BF70+BF100+BF104+BF105+BF83+BF98+BF106+BF62+BF117</f>
        <v>1166.25568097956</v>
      </c>
      <c r="BG152" s="57" t="n">
        <f aca="false">BG63+BG70+BG100+BG104+BG105+BG83+BG98+BG106+BG62+BG117</f>
        <v>1127.23294605819</v>
      </c>
      <c r="BH152" s="57" t="n">
        <f aca="false">BH63+BH70+BH100+BH104+BH105+BH83+BH98+BH106+BH62+BH117</f>
        <v>1150.70412397372</v>
      </c>
      <c r="BI152" s="57" t="n">
        <f aca="false">BI63+BI70+BI100+BI104+BI105+BI83+BI98+BI106+BI62+BI117</f>
        <v>1174.15556658669</v>
      </c>
      <c r="BJ152" s="57" t="n">
        <f aca="false">BJ63+BJ70+BJ100+BJ104+BJ105+BJ83+BJ98+BJ106+BJ62+BJ117</f>
        <v>1164.96459039082</v>
      </c>
      <c r="BK152" s="57" t="n">
        <f aca="false">BK63+BK70+BK100+BK104+BK105+BK83+BK98+BK106+BK62+BK117</f>
        <v>1150.68910887039</v>
      </c>
      <c r="BL152" s="57" t="n">
        <f aca="false">BL63+BL70+BL100+BL104+BL105+BL83+BL98+BL106+BL62+BL117</f>
        <v>1149.02985093495</v>
      </c>
      <c r="BM152" s="57" t="n">
        <f aca="false">BM63+BM70+BM100+BM104+BM105+BM83+BM98+BM106+BM62+BM117</f>
        <v>1172.45305064993</v>
      </c>
      <c r="BN152" s="57" t="n">
        <f aca="false">BN63+BN70+BN100+BN104+BN105+BN83+BN98+BN106+BN62+BN117</f>
        <v>1163.1328023078</v>
      </c>
      <c r="BO152" s="57" t="n">
        <f aca="false">BO63+BO70+BO100+BO104+BO105+BO83+BO98+BO106+BO62+BO117</f>
        <v>1123.39158170995</v>
      </c>
      <c r="BP152" s="57" t="n">
        <f aca="false">BP63+BP70+BP100+BP104+BP105+BP83+BP98+BP106+BP62+BP117</f>
        <v>1146.80174833432</v>
      </c>
      <c r="BQ152" s="57" t="n">
        <f aca="false">BQ63+BQ70+BQ100+BQ104+BQ105+BQ83+BQ98+BQ106+BQ62+BQ117</f>
        <v>1170.19011759132</v>
      </c>
      <c r="BR152" s="57" t="n">
        <f aca="false">BR63+BR70+BR100+BR104+BR105+BR83+BR98+BR106+BR62+BR117</f>
        <v>1160.73626603281</v>
      </c>
      <c r="BS152" s="57" t="n">
        <f aca="false">BS63+BS70+BS100+BS104+BS105+BS83+BS98+BS106+BS62+BS117</f>
        <v>1120.62566844038</v>
      </c>
      <c r="BT152" s="57" t="n">
        <f aca="false">BT63+BT70+BT100+BT104+BT105+BT83+BT98+BT106+BT62+BT117</f>
        <v>1143.99523181309</v>
      </c>
      <c r="BU152" s="57" t="n">
        <f aca="false">BU63+BU70+BU100+BU104+BU105+BU83+BU98+BU106+BU62+BU117</f>
        <v>1167.34188734421</v>
      </c>
      <c r="BV152" s="57" t="n">
        <f aca="false">BV63+BV70+BV100+BV104+BV105+BV83+BV98+BV106+BV62+BV117</f>
        <v>1157.74989068209</v>
      </c>
      <c r="BW152" s="57" t="n">
        <f aca="false">BW63+BW70+BW100+BW104+BW105+BW83+BW98+BW106+BW62+BW117</f>
        <v>1117.26282809757</v>
      </c>
      <c r="BX152" s="57" t="n">
        <f aca="false">BX63+BX70+BX100+BX104+BX105+BX83+BX98+BX106+BX62+BX117</f>
        <v>1140.58465282018</v>
      </c>
      <c r="BY152" s="57" t="n">
        <f aca="false">BY63+BY70+BY100+BY104+BY105+BY83+BY98+BY106+BY62+BY117</f>
        <v>1163.88240265348</v>
      </c>
      <c r="BZ152" s="57" t="n">
        <f aca="false">BZ63+BZ70+BZ100+BZ104+BZ105+BZ83+BZ98+BZ106+BZ62+BZ117</f>
        <v>1154.14749739332</v>
      </c>
      <c r="CA152" s="57" t="n">
        <f aca="false">CA63+CA70+CA100+CA104+CA105+CA83+CA98+CA106+CA62+CA117</f>
        <v>1138.56736108547</v>
      </c>
      <c r="CB152" s="57" t="n">
        <f aca="false">CB63+CB70+CB100+CB104+CB105+CB83+CB98+CB106+CB62+CB117</f>
        <v>1136.54324967309</v>
      </c>
      <c r="CC152" s="57" t="n">
        <f aca="false">CC63+CC70+CC100+CC104+CC105+CC83+CC98+CC106+CC62+CC117</f>
        <v>1159.78457953245</v>
      </c>
      <c r="CD152" s="57" t="n">
        <f aca="false">CD63+CD70+CD100+CD104+CD105+CD83+CD98+CD106+CD62+CD117</f>
        <v>1149.90176922983</v>
      </c>
      <c r="CE152" s="57" t="n">
        <f aca="false">CE63+CE70+CE100+CE104+CE105+CE83+CE98+CE106+CE62+CE117</f>
        <v>1108.63944680673</v>
      </c>
      <c r="CF152" s="57" t="n">
        <f aca="false">CF63+CF70+CF100+CF104+CF105+CF83+CF98+CF106+CF62+CF117</f>
        <v>1131.84309625882</v>
      </c>
      <c r="CG152" s="57" t="n">
        <f aca="false">CG63+CG70+CG100+CG104+CG105+CG83+CG98+CG106+CG62+CG117</f>
        <v>2332.62169460504</v>
      </c>
      <c r="CH152" s="57" t="n">
        <f aca="false">CH63+CH70+CH100+CH104+CH105+CH83+CH98+CH106+CH62+CH117</f>
        <v>2322.58573794189</v>
      </c>
      <c r="CI152" s="57" t="n">
        <f aca="false">CI63+CI70+CI100+CI104+CI105+CI83+CI98+CI106+CI62+CI117</f>
        <v>2283.1320593481</v>
      </c>
      <c r="CJ152" s="57" t="n">
        <f aca="false">CJ63+CJ70+CJ100+CJ104+CJ105+CJ83+CJ98+CJ106+CJ62+CJ117</f>
        <v>2308.50019334086</v>
      </c>
      <c r="CK152" s="57" t="n">
        <f aca="false">CK63+CK70+CK100+CK104+CK105+CK83+CK98+CK106+CK62+CK117</f>
        <v>2333.86832733361</v>
      </c>
      <c r="CL152" s="57" t="n">
        <f aca="false">CL63+CL70+CL100+CL104+CL105+CL83+CL98+CL106+CL62+CL117</f>
        <v>2325.96556789213</v>
      </c>
      <c r="CM152" s="57" t="n">
        <f aca="false">CM63+CM70+CM100+CM104+CM105+CM83+CM98+CM106+CM62+CM117</f>
        <v>2286.21680003197</v>
      </c>
      <c r="CN152" s="57" t="n">
        <f aca="false">CN63+CN70+CN100+CN104+CN105+CN83+CN98+CN106+CN62+CN117</f>
        <v>2311.61920892122</v>
      </c>
      <c r="CO152" s="57" t="n">
        <f aca="false">CO63+CO70+CO100+CO104+CO105+CO83+CO98+CO106+CO62+CO117</f>
        <v>2337.02161781046</v>
      </c>
      <c r="CP152" s="57" t="n">
        <f aca="false">CP63+CP70+CP100+CP104+CP105+CP83+CP98+CP106+CP62+CP117</f>
        <v>2329.07120265089</v>
      </c>
      <c r="CQ152" s="57" t="n">
        <f aca="false">CQ63+CQ70+CQ100+CQ104+CQ105+CQ83+CQ98+CQ106+CQ62+CQ117</f>
        <v>2314.45814836636</v>
      </c>
      <c r="CR152" s="57" t="n">
        <f aca="false">CR63+CR70+CR100+CR104+CR105+CR83+CR98+CR106+CR62+CR117</f>
        <v>2314.45814836636</v>
      </c>
      <c r="CS152" s="57" t="n">
        <f aca="false">CS63+CS70+CS100+CS104+CS105+CS83+CS98+CS106+CS62+CS117</f>
        <v>2339.89175439236</v>
      </c>
      <c r="CT152" s="57" t="n">
        <f aca="false">CT63+CT70+CT100+CT104+CT105+CT83+CT98+CT106+CT62+CT117</f>
        <v>2331.89357808024</v>
      </c>
      <c r="CU152" s="57" t="n">
        <f aca="false">CU63+CU70+CU100+CU104+CU105+CU83+CU98+CU106+CU62+CU117</f>
        <v>2291.54618297149</v>
      </c>
      <c r="CV152" s="57" t="n">
        <f aca="false">CV63+CV70+CV100+CV104+CV105+CV83+CV98+CV106+CV62+CV117</f>
        <v>2317.00780722673</v>
      </c>
      <c r="CW152" s="57" t="n">
        <f aca="false">CW63+CW70+CW100+CW104+CW105+CW83+CW98+CW106+CW62+CW117</f>
        <v>2342.46943148197</v>
      </c>
      <c r="CX152" s="57" t="n">
        <f aca="false">CX63+CX70+CX100+CX104+CX105+CX83+CX98+CX106+CX62+CX117</f>
        <v>2334.42339262719</v>
      </c>
      <c r="CY152" s="57" t="n">
        <f aca="false">CY63+CY70+CY100+CY104+CY105+CY83+CY98+CY106+CY62+CY117</f>
        <v>2293.77238046278</v>
      </c>
      <c r="CZ152" s="57" t="n">
        <f aca="false">CZ63+CZ70+CZ100+CZ104+CZ105+CZ83+CZ98+CZ106+CZ62+CZ117</f>
        <v>2319.2587402457</v>
      </c>
      <c r="DA152" s="57" t="n">
        <f aca="false">DA63+DA70+DA100+DA104+DA105+DA83+DA98+DA106+DA62+DA117</f>
        <v>2344.74510002862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0.0740585134078263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3.130403587176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-3726.09993839986</v>
      </c>
    </row>
    <row r="157" customFormat="false" ht="15" hidden="false" customHeight="false" outlineLevel="0" collapsed="false">
      <c r="C15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400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401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402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403</v>
      </c>
      <c r="D5" s="11" t="s">
        <v>203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404</v>
      </c>
      <c r="D6" s="11" t="s">
        <v>405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406</v>
      </c>
      <c r="D7" s="11" t="s">
        <v>407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408</v>
      </c>
      <c r="D8" s="11" t="s">
        <v>150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409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410</v>
      </c>
      <c r="D12" s="11" t="s">
        <v>405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411</v>
      </c>
      <c r="D13" s="11" t="s">
        <v>405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412</v>
      </c>
      <c r="D15" s="11" t="s">
        <v>150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324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413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414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415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416</v>
      </c>
      <c r="D20" s="11" t="s">
        <v>405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417</v>
      </c>
      <c r="D21" s="11" t="s">
        <v>150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418</v>
      </c>
      <c r="D22" s="11" t="s">
        <v>405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419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420</v>
      </c>
      <c r="D25" s="11" t="s">
        <v>62</v>
      </c>
      <c r="E25" s="36" t="n">
        <f aca="false">In_MVA*(1+INDEX(Dash_Overbuild,1,$A$1))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421</v>
      </c>
      <c r="D26" s="11" t="s">
        <v>27</v>
      </c>
      <c r="E26" s="49" t="n">
        <f aca="false">IF(In_BESS_Set&gt;0,In_BESS_Set,INDEX(Dash_BESS,1,$A$1))</f>
        <v>0.2</v>
      </c>
    </row>
    <row r="27" customFormat="false" ht="15" hidden="false" customHeight="false" outlineLevel="0" collapsed="false">
      <c r="C27" s="0" t="s">
        <v>422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423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424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425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426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427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428</v>
      </c>
      <c r="D34" s="11" t="s">
        <v>19</v>
      </c>
      <c r="E34" s="32" t="n">
        <f aca="false">INDEX(Dash_Municipal,1,$A$1)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429</v>
      </c>
      <c r="D35" s="11" t="s">
        <v>24</v>
      </c>
      <c r="E35" s="32" t="n">
        <f aca="false">INDEX(Dash_Community,1,$A$1)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430</v>
      </c>
      <c r="D36" s="11" t="s">
        <v>27</v>
      </c>
      <c r="E36" s="49" t="n">
        <f aca="false">INDEX(Dash_Overbuild,1,$A$1)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431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432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433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434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435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436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437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438</v>
      </c>
      <c r="D45" s="11" t="s">
        <v>150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439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241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440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441</v>
      </c>
      <c r="D51" s="11" t="s">
        <v>294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442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443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444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445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446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447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448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449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450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451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452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453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454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455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456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457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458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459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324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460</v>
      </c>
      <c r="D73" s="11" t="s">
        <v>405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461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462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463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464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465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466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467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340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468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469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470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-51.9580932447942</v>
      </c>
      <c r="AA86" s="58" t="n">
        <v>-51.5307761708278</v>
      </c>
      <c r="AB86" s="58" t="n">
        <v>-53.1436163398488</v>
      </c>
      <c r="AC86" s="58" t="n">
        <v>-54.7630874133642</v>
      </c>
      <c r="AD86" s="58" t="n">
        <v>-54.6713498504433</v>
      </c>
      <c r="AE86" s="58" t="n">
        <v>-55.3365601041145</v>
      </c>
      <c r="AF86" s="58" t="n">
        <v>-108.117078349286</v>
      </c>
      <c r="AG86" s="58" t="n">
        <v>-115.094121726251</v>
      </c>
      <c r="AH86" s="58" t="n">
        <v>-114.957996974453</v>
      </c>
      <c r="AI86" s="58" t="n">
        <v>-114.121638211455</v>
      </c>
      <c r="AJ86" s="58" t="n">
        <v>-122.455848826282</v>
      </c>
      <c r="AK86" s="58" t="n">
        <v>-125.886035504284</v>
      </c>
      <c r="AL86" s="58" t="n">
        <v>-125.800057165876</v>
      </c>
      <c r="AM86" s="58" t="n">
        <v>-124.867137514168</v>
      </c>
      <c r="AN86" s="58" t="n">
        <v>-128.354052315976</v>
      </c>
      <c r="AO86" s="58" t="n">
        <v>-131.856360822482</v>
      </c>
      <c r="AP86" s="58" t="n">
        <v>-131.823469169964</v>
      </c>
      <c r="AQ86" s="58" t="n">
        <v>-130.905880625509</v>
      </c>
      <c r="AR86" s="58" t="n">
        <v>-134.466863572752</v>
      </c>
      <c r="AS86" s="58" t="n">
        <v>-138.044024462163</v>
      </c>
      <c r="AT86" s="58" t="n">
        <v>-138.067311344122</v>
      </c>
      <c r="AU86" s="58" t="n">
        <v>-139.445504905317</v>
      </c>
      <c r="AV86" s="58" t="n">
        <v>-140.805675535977</v>
      </c>
      <c r="AW86" s="58" t="n">
        <v>-144.460563523078</v>
      </c>
      <c r="AX86" s="58" t="n">
        <v>-144.543280080785</v>
      </c>
      <c r="AY86" s="58" t="n">
        <v>-143.664716360743</v>
      </c>
      <c r="AZ86" s="58" t="n">
        <v>-147.382489661509</v>
      </c>
      <c r="BA86" s="58" t="n">
        <v>-151.118131274546</v>
      </c>
      <c r="BB86" s="58" t="n">
        <v>-151.263696051241</v>
      </c>
      <c r="BC86" s="58" t="n">
        <v>-150.409144711298</v>
      </c>
      <c r="BD86" s="58" t="n">
        <v>-154.209947724303</v>
      </c>
      <c r="BE86" s="58" t="n">
        <v>-158.029529356769</v>
      </c>
      <c r="BF86" s="58" t="n">
        <v>-158.241536819628</v>
      </c>
      <c r="BG86" s="58" t="n">
        <v>-157.414224182451</v>
      </c>
      <c r="BH86" s="58" t="n">
        <v>-161.301365261538</v>
      </c>
      <c r="BI86" s="58" t="n">
        <v>-165.20824164318</v>
      </c>
      <c r="BJ86" s="58" t="n">
        <v>-165.490471138974</v>
      </c>
      <c r="BK86" s="58" t="n">
        <v>-167.011508804879</v>
      </c>
      <c r="BL86" s="58" t="n">
        <v>-168.670766740314</v>
      </c>
      <c r="BM86" s="58" t="n">
        <v>-172.668469848968</v>
      </c>
      <c r="BN86" s="58" t="n">
        <v>-173.024895015502</v>
      </c>
      <c r="BO86" s="58" t="n">
        <v>-172.26247146876</v>
      </c>
      <c r="BP86" s="58" t="n">
        <v>-176.332922538314</v>
      </c>
      <c r="BQ86" s="58" t="n">
        <v>-180.425170975242</v>
      </c>
      <c r="BR86" s="58" t="n">
        <v>-180.85996963177</v>
      </c>
      <c r="BS86" s="58" t="n">
        <v>-180.135586819294</v>
      </c>
      <c r="BT86" s="58" t="n">
        <v>-184.303387830296</v>
      </c>
      <c r="BU86" s="58" t="n">
        <v>-188.494096682897</v>
      </c>
      <c r="BV86" s="58" t="n">
        <v>-189.011661223913</v>
      </c>
      <c r="BW86" s="58" t="n">
        <v>-188.329327150422</v>
      </c>
      <c r="BX86" s="58" t="n">
        <v>-192.598543478065</v>
      </c>
      <c r="BY86" s="58" t="n">
        <v>-196.891834695016</v>
      </c>
      <c r="BZ86" s="58" t="n">
        <v>-197.496783013054</v>
      </c>
      <c r="CA86" s="58" t="n">
        <v>-199.211527614159</v>
      </c>
      <c r="CB86" s="58" t="n">
        <v>-201.23563902654</v>
      </c>
      <c r="CC86" s="58" t="n">
        <v>-205.635852331739</v>
      </c>
      <c r="CD86" s="58" t="n">
        <v>-206.333039296099</v>
      </c>
      <c r="CE86" s="58" t="n">
        <v>-205.747723921375</v>
      </c>
      <c r="CF86" s="58" t="n">
        <v>-210.232837913763</v>
      </c>
      <c r="CG86" s="58" t="n">
        <v>-214.74454228678</v>
      </c>
      <c r="CH86" s="58" t="n">
        <v>-215.539071806518</v>
      </c>
      <c r="CI86" s="58" t="n">
        <v>-212.801201406482</v>
      </c>
      <c r="CJ86" s="58" t="n">
        <v>-215.165659199887</v>
      </c>
      <c r="CK86" s="58" t="n">
        <v>-217.530116993293</v>
      </c>
      <c r="CL86" s="58" t="n">
        <v>-216.135512385971</v>
      </c>
      <c r="CM86" s="58" t="n">
        <v>-213.345567409518</v>
      </c>
      <c r="CN86" s="58" t="n">
        <v>-215.716073714068</v>
      </c>
      <c r="CO86" s="58" t="n">
        <v>-218.086580018619</v>
      </c>
      <c r="CP86" s="58" t="n">
        <v>-216.683565578695</v>
      </c>
      <c r="CQ86" s="58" t="n">
        <v>-216.217063027917</v>
      </c>
      <c r="CR86" s="58" t="n">
        <v>-216.217063027917</v>
      </c>
      <c r="CS86" s="58" t="n">
        <v>-218.593074709542</v>
      </c>
      <c r="CT86" s="58" t="n">
        <v>-217.181631830932</v>
      </c>
      <c r="CU86" s="58" t="n">
        <v>-214.286046751786</v>
      </c>
      <c r="CV86" s="58" t="n">
        <v>-216.667002826806</v>
      </c>
      <c r="CW86" s="58" t="n">
        <v>-219.047958901826</v>
      </c>
      <c r="CX86" s="58" t="n">
        <v>-217.62806969216</v>
      </c>
      <c r="CY86" s="58" t="n">
        <v>-214.678905132602</v>
      </c>
      <c r="CZ86" s="58" t="n">
        <v>-217.064226300742</v>
      </c>
      <c r="DA86" s="58" t="n">
        <v>-219.449547468883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471</v>
      </c>
      <c r="D87" s="11" t="s">
        <v>33</v>
      </c>
      <c r="I87" s="48" t="n">
        <f aca="false">SUM(J87:EO87)</f>
        <v>267075.314292139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2309.33651736335</v>
      </c>
      <c r="AA87" s="48" t="n">
        <f aca="false">(AA83+AA59+AA86)*(AA$4&gt;In_COD)</f>
        <v>2274.25954151428</v>
      </c>
      <c r="AB87" s="48" t="n">
        <f aca="false">(AB83+AB59+AB86)*(AB$4&gt;In_COD)</f>
        <v>2298.4888159862</v>
      </c>
      <c r="AC87" s="48" t="n">
        <f aca="false">(AC83+AC59+AC86)*(AC$4&gt;In_COD)</f>
        <v>2322.71145955363</v>
      </c>
      <c r="AD87" s="48" t="n">
        <f aca="false">(AD83+AD59+AD86)*(AD$4&gt;In_COD)</f>
        <v>2314.3291355464</v>
      </c>
      <c r="AE87" s="48" t="n">
        <f aca="false">(AE83+AE59+AE86)*(AE$4&gt;In_COD)</f>
        <v>2303.78132125338</v>
      </c>
      <c r="AF87" s="48" t="n">
        <f aca="false">(AF83+AF59+AF86)*(AF$4&gt;In_COD)</f>
        <v>2251.00080300821</v>
      </c>
      <c r="AG87" s="48" t="n">
        <f aca="false">(AG83+AG59+AG86)*(AG$4&gt;In_COD)</f>
        <v>2269.94813195385</v>
      </c>
      <c r="AH87" s="48" t="n">
        <f aca="false">(AH83+AH59+AH86)*(AH$4&gt;In_COD)</f>
        <v>2261.55646505474</v>
      </c>
      <c r="AI87" s="48" t="n">
        <f aca="false">(AI83+AI59+AI86)*(AI$4&gt;In_COD)</f>
        <v>2226.28046406329</v>
      </c>
      <c r="AJ87" s="48" t="n">
        <f aca="false">(AJ83+AJ59+AJ86)*(AJ$4&gt;In_COD)</f>
        <v>2277.10621008619</v>
      </c>
      <c r="AK87" s="48" t="n">
        <f aca="false">(AK83+AK59+AK86)*(AK$4&gt;In_COD)</f>
        <v>2300.04483724239</v>
      </c>
      <c r="AL87" s="48" t="n">
        <f aca="false">(AL83+AL59+AL86)*(AL$4&gt;In_COD)</f>
        <v>2291.54911494265</v>
      </c>
      <c r="AM87" s="48" t="n">
        <f aca="false">(AM83+AM59+AM86)*(AM$4&gt;In_COD)</f>
        <v>2255.33286444188</v>
      </c>
      <c r="AN87" s="48" t="n">
        <f aca="false">(AN83+AN59+AN86)*(AN$4&gt;In_COD)</f>
        <v>2278.29261632847</v>
      </c>
      <c r="AO87" s="48" t="n">
        <f aca="false">(AO83+AO59+AO86)*(AO$4&gt;In_COD)</f>
        <v>2301.23697451037</v>
      </c>
      <c r="AP87" s="48" t="n">
        <f aca="false">(AP83+AP59+AP86)*(AP$4&gt;In_COD)</f>
        <v>2292.63408043648</v>
      </c>
      <c r="AQ87" s="48" t="n">
        <f aca="false">(AQ83+AQ59+AQ86)*(AQ$4&gt;In_COD)</f>
        <v>2256.09160992853</v>
      </c>
      <c r="AR87" s="48" t="n">
        <f aca="false">(AR83+AR59+AR86)*(AR$4&gt;In_COD)</f>
        <v>2279.05282132077</v>
      </c>
      <c r="AS87" s="48" t="n">
        <f aca="false">(AS83+AS59+AS86)*(AS$4&gt;In_COD)</f>
        <v>2301.99785477085</v>
      </c>
      <c r="AT87" s="48" t="n">
        <f aca="false">(AT83+AT59+AT86)*(AT$4&gt;In_COD)</f>
        <v>2293.28452388778</v>
      </c>
      <c r="AU87" s="48" t="n">
        <f aca="false">(AU83+AU59+AU86)*(AU$4&gt;In_COD)</f>
        <v>2280.72788754892</v>
      </c>
      <c r="AV87" s="48" t="n">
        <f aca="false">(AV83+AV59+AV86)*(AV$4&gt;In_COD)</f>
        <v>2279.36771691826</v>
      </c>
      <c r="AW87" s="48" t="n">
        <f aca="false">(AW83+AW59+AW86)*(AW$4&gt;In_COD)</f>
        <v>2302.30814093616</v>
      </c>
      <c r="AX87" s="48" t="n">
        <f aca="false">(AX83+AX59+AX86)*(AX$4&gt;In_COD)</f>
        <v>2293.48095194257</v>
      </c>
      <c r="AY87" s="48" t="n">
        <f aca="false">(AY83+AY59+AY86)*(AY$4&gt;In_COD)</f>
        <v>2256.26922139394</v>
      </c>
      <c r="AZ87" s="48" t="n">
        <f aca="false">(AZ83+AZ59+AZ86)*(AZ$4&gt;In_COD)</f>
        <v>2279.21738073489</v>
      </c>
      <c r="BA87" s="48" t="n">
        <f aca="false">(BA83+BA59+BA86)*(BA$4&gt;In_COD)</f>
        <v>2302.14767176357</v>
      </c>
      <c r="BB87" s="48" t="n">
        <f aca="false">(BB83+BB59+BB86)*(BB$4&gt;In_COD)</f>
        <v>2293.2030390972</v>
      </c>
      <c r="BC87" s="48" t="n">
        <f aca="false">(BC83+BC59+BC86)*(BC$4&gt;In_COD)</f>
        <v>2255.64787532731</v>
      </c>
      <c r="BD87" s="48" t="n">
        <f aca="false">(BD83+BD59+BD86)*(BD$4&gt;In_COD)</f>
        <v>2278.58103920362</v>
      </c>
      <c r="BE87" s="48" t="n">
        <f aca="false">(BE83+BE59+BE86)*(BE$4&gt;In_COD)</f>
        <v>2301.49542446047</v>
      </c>
      <c r="BF87" s="48" t="n">
        <f aca="false">(BF83+BF59+BF86)*(BF$4&gt;In_COD)</f>
        <v>2292.42958989359</v>
      </c>
      <c r="BG87" s="48" t="n">
        <f aca="false">(BG83+BG59+BG86)*(BG$4&gt;In_COD)</f>
        <v>2254.52484693658</v>
      </c>
      <c r="BH87" s="48" t="n">
        <f aca="false">(BH83+BH59+BH86)*(BH$4&gt;In_COD)</f>
        <v>2277.43702886992</v>
      </c>
      <c r="BI87" s="48" t="n">
        <f aca="false">(BI83+BI59+BI86)*(BI$4&gt;In_COD)</f>
        <v>2300.32947550072</v>
      </c>
      <c r="BJ87" s="48" t="n">
        <f aca="false">(BJ83+BJ59+BJ86)*(BJ$4&gt;In_COD)</f>
        <v>2291.13849930485</v>
      </c>
      <c r="BK87" s="48" t="n">
        <f aca="false">(BK83+BK59+BK86)*(BK$4&gt;In_COD)</f>
        <v>2277.42201376659</v>
      </c>
      <c r="BL87" s="48" t="n">
        <f aca="false">(BL83+BL59+BL86)*(BL$4&gt;In_COD)</f>
        <v>2275.76275583116</v>
      </c>
      <c r="BM87" s="48" t="n">
        <f aca="false">(BM83+BM59+BM86)*(BM$4&gt;In_COD)</f>
        <v>2298.62695956395</v>
      </c>
      <c r="BN87" s="48" t="n">
        <f aca="false">(BN83+BN59+BN86)*(BN$4&gt;In_COD)</f>
        <v>2289.30671122182</v>
      </c>
      <c r="BO87" s="48" t="n">
        <f aca="false">(BO83+BO59+BO86)*(BO$4&gt;In_COD)</f>
        <v>2250.68348258834</v>
      </c>
      <c r="BP87" s="48" t="n">
        <f aca="false">(BP83+BP59+BP86)*(BP$4&gt;In_COD)</f>
        <v>2273.53465323053</v>
      </c>
      <c r="BQ87" s="48" t="n">
        <f aca="false">(BQ83+BQ59+BQ86)*(BQ$4&gt;In_COD)</f>
        <v>2296.36402650535</v>
      </c>
      <c r="BR87" s="48" t="n">
        <f aca="false">(BR83+BR59+BR86)*(BR$4&gt;In_COD)</f>
        <v>2286.91017494684</v>
      </c>
      <c r="BS87" s="48" t="n">
        <f aca="false">(BS83+BS59+BS86)*(BS$4&gt;In_COD)</f>
        <v>2247.91756931877</v>
      </c>
      <c r="BT87" s="48" t="n">
        <f aca="false">(BT83+BT59+BT86)*(BT$4&gt;In_COD)</f>
        <v>2270.7281367093</v>
      </c>
      <c r="BU87" s="48" t="n">
        <f aca="false">(BU83+BU59+BU86)*(BU$4&gt;In_COD)</f>
        <v>2293.51579625823</v>
      </c>
      <c r="BV87" s="48" t="n">
        <f aca="false">(BV83+BV59+BV86)*(BV$4&gt;In_COD)</f>
        <v>2283.92379959611</v>
      </c>
      <c r="BW87" s="48" t="n">
        <f aca="false">(BW83+BW59+BW86)*(BW$4&gt;In_COD)</f>
        <v>2244.55472897596</v>
      </c>
      <c r="BX87" s="48" t="n">
        <f aca="false">(BX83+BX59+BX86)*(BX$4&gt;In_COD)</f>
        <v>2267.31755771639</v>
      </c>
      <c r="BY87" s="48" t="n">
        <f aca="false">(BY83+BY59+BY86)*(BY$4&gt;In_COD)</f>
        <v>2290.05631156751</v>
      </c>
      <c r="BZ87" s="48" t="n">
        <f aca="false">(BZ83+BZ59+BZ86)*(BZ$4&gt;In_COD)</f>
        <v>2280.32140630735</v>
      </c>
      <c r="CA87" s="48" t="n">
        <f aca="false">(CA83+CA59+CA86)*(CA$4&gt;In_COD)</f>
        <v>2265.30026598168</v>
      </c>
      <c r="CB87" s="48" t="n">
        <f aca="false">(CB83+CB59+CB86)*(CB$4&gt;In_COD)</f>
        <v>2263.2761545693</v>
      </c>
      <c r="CC87" s="48" t="n">
        <f aca="false">(CC83+CC59+CC86)*(CC$4&gt;In_COD)</f>
        <v>2285.95848844647</v>
      </c>
      <c r="CD87" s="48" t="n">
        <f aca="false">(CD83+CD59+CD86)*(CD$4&gt;In_COD)</f>
        <v>2276.07567814386</v>
      </c>
      <c r="CE87" s="48" t="n">
        <f aca="false">(CE83+CE59+CE86)*(CE$4&gt;In_COD)</f>
        <v>2235.93134768512</v>
      </c>
      <c r="CF87" s="48" t="n">
        <f aca="false">(CF83+CF59+CF86)*(CF$4&gt;In_COD)</f>
        <v>2258.57600115503</v>
      </c>
      <c r="CG87" s="48" t="n">
        <f aca="false">(CG83+CG59+CG86)*(CG$4&gt;In_COD)</f>
        <v>2281.1940642443</v>
      </c>
      <c r="CH87" s="48" t="n">
        <f aca="false">(CH83+CH59+CH86)*(CH$4&gt;In_COD)</f>
        <v>2271.15810758116</v>
      </c>
      <c r="CI87" s="48" t="n">
        <f aca="false">(CI83+CI59+CI86)*(CI$4&gt;In_COD)</f>
        <v>2232.82242095173</v>
      </c>
      <c r="CJ87" s="48" t="n">
        <f aca="false">(CJ83+CJ59+CJ86)*(CJ$4&gt;In_COD)</f>
        <v>2257.63155896231</v>
      </c>
      <c r="CK87" s="48" t="n">
        <f aca="false">(CK83+CK59+CK86)*(CK$4&gt;In_COD)</f>
        <v>2282.44069697288</v>
      </c>
      <c r="CL87" s="48" t="n">
        <f aca="false">(CL83+CL59+CL86)*(CL$4&gt;In_COD)</f>
        <v>2274.53793753139</v>
      </c>
      <c r="CM87" s="48" t="n">
        <f aca="false">(CM83+CM59+CM86)*(CM$4&gt;In_COD)</f>
        <v>2235.9071616356</v>
      </c>
      <c r="CN87" s="48" t="n">
        <f aca="false">(CN83+CN59+CN86)*(CN$4&gt;In_COD)</f>
        <v>2260.75057454267</v>
      </c>
      <c r="CO87" s="48" t="n">
        <f aca="false">(CO83+CO59+CO86)*(CO$4&gt;In_COD)</f>
        <v>2285.59398744973</v>
      </c>
      <c r="CP87" s="48" t="n">
        <f aca="false">(CP83+CP59+CP86)*(CP$4&gt;In_COD)</f>
        <v>2277.64357229016</v>
      </c>
      <c r="CQ87" s="48" t="n">
        <f aca="false">(CQ83+CQ59+CQ86)*(CQ$4&gt;In_COD)</f>
        <v>2263.58951398781</v>
      </c>
      <c r="CR87" s="48" t="n">
        <f aca="false">(CR83+CR59+CR86)*(CR$4&gt;In_COD)</f>
        <v>2263.58951398781</v>
      </c>
      <c r="CS87" s="48" t="n">
        <f aca="false">(CS83+CS59+CS86)*(CS$4&gt;In_COD)</f>
        <v>2288.46412403163</v>
      </c>
      <c r="CT87" s="48" t="n">
        <f aca="false">(CT83+CT59+CT86)*(CT$4&gt;In_COD)</f>
        <v>2280.4659477195</v>
      </c>
      <c r="CU87" s="48" t="n">
        <f aca="false">(CU83+CU59+CU86)*(CU$4&gt;In_COD)</f>
        <v>2241.23654457512</v>
      </c>
      <c r="CV87" s="48" t="n">
        <f aca="false">(CV83+CV59+CV86)*(CV$4&gt;In_COD)</f>
        <v>2266.13917284818</v>
      </c>
      <c r="CW87" s="48" t="n">
        <f aca="false">(CW83+CW59+CW86)*(CW$4&gt;In_COD)</f>
        <v>2291.04180112124</v>
      </c>
      <c r="CX87" s="48" t="n">
        <f aca="false">(CX83+CX59+CX86)*(CX$4&gt;In_COD)</f>
        <v>2282.99576226646</v>
      </c>
      <c r="CY87" s="48" t="n">
        <f aca="false">(CY83+CY59+CY86)*(CY$4&gt;In_COD)</f>
        <v>2243.46274206641</v>
      </c>
      <c r="CZ87" s="48" t="n">
        <f aca="false">(CZ83+CZ59+CZ86)*(CZ$4&gt;In_COD)</f>
        <v>2268.39010586715</v>
      </c>
      <c r="DA87" s="48" t="n">
        <f aca="false">(DA83+DA59+DA86)*(DA$4&gt;In_COD)</f>
        <v>2293.31746966789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472</v>
      </c>
      <c r="D88" s="11" t="s">
        <v>33</v>
      </c>
      <c r="E88" s="48" t="n">
        <f aca="false">PV($F22,In_Debt_Tenor*Months_In_Year/Months_Per_Period,-$F88)</f>
        <v>77983.9921058252</v>
      </c>
      <c r="F88" s="48" t="n">
        <f aca="false">MIN($J88:$EO88)</f>
        <v>1855.23372005274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1924.44709780279</v>
      </c>
      <c r="AA88" s="48" t="n">
        <f aca="false">IF(AA18=1,AA87/In_DSCR,"")</f>
        <v>1895.21628459523</v>
      </c>
      <c r="AB88" s="48" t="n">
        <f aca="false">IF(AB18=1,AB87/In_DSCR,"")</f>
        <v>1915.40734665517</v>
      </c>
      <c r="AC88" s="48" t="n">
        <f aca="false">IF(AC18=1,AC87/In_DSCR,"")</f>
        <v>1935.59288296136</v>
      </c>
      <c r="AD88" s="48" t="n">
        <f aca="false">IF(AD18=1,AD87/In_DSCR,"")</f>
        <v>1928.60761295533</v>
      </c>
      <c r="AE88" s="48" t="n">
        <f aca="false">IF(AE18=1,AE87/In_DSCR,"")</f>
        <v>1919.81776771115</v>
      </c>
      <c r="AF88" s="48" t="n">
        <f aca="false">IF(AF18=1,AF87/In_DSCR,"")</f>
        <v>1875.83400250684</v>
      </c>
      <c r="AG88" s="48" t="n">
        <f aca="false">IF(AG18=1,AG87/In_DSCR,"")</f>
        <v>1891.62344329488</v>
      </c>
      <c r="AH88" s="48" t="n">
        <f aca="false">IF(AH18=1,AH87/In_DSCR,"")</f>
        <v>1884.63038754561</v>
      </c>
      <c r="AI88" s="48" t="n">
        <f aca="false">IF(AI18=1,AI87/In_DSCR,"")</f>
        <v>1855.23372005274</v>
      </c>
      <c r="AJ88" s="48" t="n">
        <f aca="false">IF(AJ18=1,AJ87/In_DSCR,"")</f>
        <v>1897.58850840516</v>
      </c>
      <c r="AK88" s="48" t="n">
        <f aca="false">IF(AK18=1,AK87/In_DSCR,"")</f>
        <v>1916.70403103533</v>
      </c>
      <c r="AL88" s="48" t="n">
        <f aca="false">IF(AL18=1,AL87/In_DSCR,"")</f>
        <v>1909.62426245221</v>
      </c>
      <c r="AM88" s="48" t="n">
        <f aca="false">IF(AM18=1,AM87/In_DSCR,"")</f>
        <v>1879.44405370156</v>
      </c>
      <c r="AN88" s="48" t="n">
        <f aca="false">IF(AN18=1,AN87/In_DSCR,"")</f>
        <v>1898.57718027372</v>
      </c>
      <c r="AO88" s="48" t="n">
        <f aca="false">IF(AO18=1,AO87/In_DSCR,"")</f>
        <v>1917.69747875864</v>
      </c>
      <c r="AP88" s="48" t="n">
        <f aca="false">IF(AP18=1,AP87/In_DSCR,"")</f>
        <v>1910.52840036373</v>
      </c>
      <c r="AQ88" s="48" t="n">
        <f aca="false">IF(AQ18=1,AQ87/In_DSCR,"")</f>
        <v>1880.07634160711</v>
      </c>
      <c r="AR88" s="48" t="n">
        <f aca="false">IF(AR18=1,AR87/In_DSCR,"")</f>
        <v>1899.21068443398</v>
      </c>
      <c r="AS88" s="48" t="n">
        <f aca="false">IF(AS18=1,AS87/In_DSCR,"")</f>
        <v>1918.33154564238</v>
      </c>
      <c r="AT88" s="48" t="n">
        <f aca="false">IF(AT18=1,AT87/In_DSCR,"")</f>
        <v>1911.07043657315</v>
      </c>
      <c r="AU88" s="48" t="n">
        <f aca="false">IF(AU18=1,AU87/In_DSCR,"")</f>
        <v>1900.60657295744</v>
      </c>
      <c r="AV88" s="48" t="n">
        <f aca="false">IF(AV18=1,AV87/In_DSCR,"")</f>
        <v>1899.47309743189</v>
      </c>
      <c r="AW88" s="48" t="n">
        <f aca="false">IF(AW18=1,AW87/In_DSCR,"")</f>
        <v>1918.5901174468</v>
      </c>
      <c r="AX88" s="48" t="n">
        <f aca="false">IF(AX18=1,AX87/In_DSCR,"")</f>
        <v>1911.23412661881</v>
      </c>
      <c r="AY88" s="48" t="n">
        <f aca="false">IF(AY18=1,AY87/In_DSCR,"")</f>
        <v>1880.22435116161</v>
      </c>
      <c r="AZ88" s="48" t="n">
        <f aca="false">IF(AZ18=1,AZ87/In_DSCR,"")</f>
        <v>1899.34781727907</v>
      </c>
      <c r="BA88" s="48" t="n">
        <f aca="false">IF(BA18=1,BA87/In_DSCR,"")</f>
        <v>1918.45639313631</v>
      </c>
      <c r="BB88" s="48" t="n">
        <f aca="false">IF(BB18=1,BB87/In_DSCR,"")</f>
        <v>1911.002532581</v>
      </c>
      <c r="BC88" s="48" t="n">
        <f aca="false">IF(BC18=1,BC87/In_DSCR,"")</f>
        <v>1879.70656277276</v>
      </c>
      <c r="BD88" s="48" t="n">
        <f aca="false">IF(BD18=1,BD87/In_DSCR,"")</f>
        <v>1898.81753266969</v>
      </c>
      <c r="BE88" s="48" t="n">
        <f aca="false">IF(BE18=1,BE87/In_DSCR,"")</f>
        <v>1917.91285371706</v>
      </c>
      <c r="BF88" s="48" t="n">
        <f aca="false">IF(BF18=1,BF87/In_DSCR,"")</f>
        <v>1910.35799157799</v>
      </c>
      <c r="BG88" s="48" t="n">
        <f aca="false">IF(BG18=1,BG87/In_DSCR,"")</f>
        <v>1878.77070578048</v>
      </c>
      <c r="BH88" s="48" t="n">
        <f aca="false">IF(BH18=1,BH87/In_DSCR,"")</f>
        <v>1897.86419072494</v>
      </c>
      <c r="BI88" s="48" t="n">
        <f aca="false">IF(BI18=1,BI87/In_DSCR,"")</f>
        <v>1916.94122958393</v>
      </c>
      <c r="BJ88" s="48" t="n">
        <f aca="false">IF(BJ18=1,BJ87/In_DSCR,"")</f>
        <v>1909.28208275404</v>
      </c>
      <c r="BK88" s="48" t="n">
        <f aca="false">IF(BK18=1,BK87/In_DSCR,"")</f>
        <v>1897.85167813883</v>
      </c>
      <c r="BL88" s="48" t="n">
        <f aca="false">IF(BL18=1,BL87/In_DSCR,"")</f>
        <v>1896.46896319263</v>
      </c>
      <c r="BM88" s="48" t="n">
        <f aca="false">IF(BM18=1,BM87/In_DSCR,"")</f>
        <v>1915.52246630329</v>
      </c>
      <c r="BN88" s="48" t="n">
        <f aca="false">IF(BN18=1,BN87/In_DSCR,"")</f>
        <v>1907.75559268485</v>
      </c>
      <c r="BO88" s="48" t="n">
        <f aca="false">IF(BO18=1,BO87/In_DSCR,"")</f>
        <v>1875.56956882361</v>
      </c>
      <c r="BP88" s="48" t="n">
        <f aca="false">IF(BP18=1,BP87/In_DSCR,"")</f>
        <v>1894.61221102544</v>
      </c>
      <c r="BQ88" s="48" t="n">
        <f aca="false">IF(BQ18=1,BQ87/In_DSCR,"")</f>
        <v>1913.63668875446</v>
      </c>
      <c r="BR88" s="48" t="n">
        <f aca="false">IF(BR18=1,BR87/In_DSCR,"")</f>
        <v>1905.75847912236</v>
      </c>
      <c r="BS88" s="48" t="n">
        <f aca="false">IF(BS18=1,BS87/In_DSCR,"")</f>
        <v>1873.26464109897</v>
      </c>
      <c r="BT88" s="48" t="n">
        <f aca="false">IF(BT18=1,BT87/In_DSCR,"")</f>
        <v>1892.27344725775</v>
      </c>
      <c r="BU88" s="48" t="n">
        <f aca="false">IF(BU18=1,BU87/In_DSCR,"")</f>
        <v>1911.26316354853</v>
      </c>
      <c r="BV88" s="48" t="n">
        <f aca="false">IF(BV18=1,BV87/In_DSCR,"")</f>
        <v>1903.26983299676</v>
      </c>
      <c r="BW88" s="48" t="n">
        <f aca="false">IF(BW18=1,BW87/In_DSCR,"")</f>
        <v>1870.46227414663</v>
      </c>
      <c r="BX88" s="48" t="n">
        <f aca="false">IF(BX18=1,BX87/In_DSCR,"")</f>
        <v>1889.43129809699</v>
      </c>
      <c r="BY88" s="48" t="n">
        <f aca="false">IF(BY18=1,BY87/In_DSCR,"")</f>
        <v>1908.38025963959</v>
      </c>
      <c r="BZ88" s="48" t="n">
        <f aca="false">IF(BZ18=1,BZ87/In_DSCR,"")</f>
        <v>1900.26783858946</v>
      </c>
      <c r="CA88" s="48" t="n">
        <f aca="false">IF(CA18=1,CA87/In_DSCR,"")</f>
        <v>1887.7502216514</v>
      </c>
      <c r="CB88" s="48" t="n">
        <f aca="false">IF(CB18=1,CB87/In_DSCR,"")</f>
        <v>1886.06346214108</v>
      </c>
      <c r="CC88" s="48" t="n">
        <f aca="false">IF(CC18=1,CC87/In_DSCR,"")</f>
        <v>1904.96540703873</v>
      </c>
      <c r="CD88" s="48" t="n">
        <f aca="false">IF(CD18=1,CD87/In_DSCR,"")</f>
        <v>1896.72973178655</v>
      </c>
      <c r="CE88" s="48" t="n">
        <f aca="false">IF(CE18=1,CE87/In_DSCR,"")</f>
        <v>1863.27612307093</v>
      </c>
      <c r="CF88" s="48" t="n">
        <f aca="false">IF(CF18=1,CF87/In_DSCR,"")</f>
        <v>1882.14666762919</v>
      </c>
      <c r="CG88" s="48" t="n">
        <f aca="false">IF(CG18=1,CG87/In_DSCR,"")</f>
        <v>1900.99505353692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473</v>
      </c>
      <c r="D89" s="11" t="s">
        <v>33</v>
      </c>
      <c r="E89" s="48" t="n">
        <f aca="false">In_Debt_Per_MW*$F25</f>
        <v>49500</v>
      </c>
    </row>
    <row r="90" customFormat="false" ht="15" hidden="false" customHeight="false" outlineLevel="0" collapsed="false">
      <c r="C90" s="25" t="s">
        <v>474</v>
      </c>
      <c r="D90" s="11" t="s">
        <v>27</v>
      </c>
      <c r="E90" s="33" t="n">
        <f aca="false">MIN(In_Gearing,$E88/-$E70,$E89/-$E70)</f>
        <v>0.627342649123279</v>
      </c>
      <c r="F90" s="33" t="n">
        <f aca="false">$E90*-$E70/$E88</f>
        <v>0.634745653092854</v>
      </c>
    </row>
    <row r="91" customFormat="false" ht="15" hidden="false" customHeight="false" outlineLevel="0" collapsed="false">
      <c r="C91" s="0" t="s">
        <v>475</v>
      </c>
      <c r="D91" s="11" t="s">
        <v>33</v>
      </c>
      <c r="E91" s="48" t="n">
        <f aca="false">$E90*-$E70</f>
        <v>49500</v>
      </c>
      <c r="F91" s="48" t="n">
        <f aca="false">PMT($F22,In_Debt_Tenor*Months_In_Year/Months_Per_Period,-$E91)</f>
        <v>1177.60153927476</v>
      </c>
    </row>
    <row r="93" customFormat="false" ht="15" hidden="false" customHeight="false" outlineLevel="0" collapsed="false">
      <c r="A93" s="9" t="s">
        <v>13</v>
      </c>
      <c r="B93" s="9"/>
      <c r="C93" s="9" t="s">
        <v>350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476</v>
      </c>
      <c r="D94" s="11" t="s">
        <v>33</v>
      </c>
      <c r="I94" s="48" t="n">
        <f aca="false">SUM(J94:EO94)</f>
        <v>-21156.0923564854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-618.75</v>
      </c>
      <c r="AA94" s="48" t="n">
        <f aca="false">-Z103*$F22*(AA$4&gt;In_COD)</f>
        <v>-611.764355759066</v>
      </c>
      <c r="AB94" s="48" t="n">
        <f aca="false">-AA103*$F22*(AB$4&gt;In_COD)</f>
        <v>-604.69139096512</v>
      </c>
      <c r="AC94" s="48" t="n">
        <f aca="false">-AB103*$F22*(AC$4&gt;In_COD)</f>
        <v>-597.530014111249</v>
      </c>
      <c r="AD94" s="48" t="n">
        <f aca="false">-AC103*$F22*(AD$4&gt;In_COD)</f>
        <v>-590.279120046705</v>
      </c>
      <c r="AE94" s="48" t="n">
        <f aca="false">-AD103*$F22*(AE$4&gt;In_COD)</f>
        <v>-582.937589806355</v>
      </c>
      <c r="AF94" s="48" t="n">
        <f aca="false">-AE103*$F22*(AF$4&gt;In_COD)</f>
        <v>-575.504290438</v>
      </c>
      <c r="AG94" s="48" t="n">
        <f aca="false">-AF103*$F22*(AG$4&gt;In_COD)</f>
        <v>-567.97807482754</v>
      </c>
      <c r="AH94" s="48" t="n">
        <f aca="false">-AG103*$F22*(AH$4&gt;In_COD)</f>
        <v>-560.35778152195</v>
      </c>
      <c r="AI94" s="48" t="n">
        <f aca="false">-AH103*$F22*(AI$4&gt;In_COD)</f>
        <v>-552.64223455004</v>
      </c>
      <c r="AJ94" s="48" t="n">
        <f aca="false">-AI103*$F22*(AJ$4&gt;In_COD)</f>
        <v>-544.830243240981</v>
      </c>
      <c r="AK94" s="48" t="n">
        <f aca="false">-AJ103*$F22*(AK$4&gt;In_COD)</f>
        <v>-536.920602040559</v>
      </c>
      <c r="AL94" s="48" t="n">
        <f aca="false">-AK103*$F22*(AL$4&gt;In_COD)</f>
        <v>-528.912090325131</v>
      </c>
      <c r="AM94" s="48" t="n">
        <f aca="false">-AL103*$F22*(AM$4&gt;In_COD)</f>
        <v>-520.803472213261</v>
      </c>
      <c r="AN94" s="48" t="n">
        <f aca="false">-AM103*$F22*(AN$4&gt;In_COD)</f>
        <v>-512.593496374992</v>
      </c>
      <c r="AO94" s="48" t="n">
        <f aca="false">-AN103*$F22*(AO$4&gt;In_COD)</f>
        <v>-504.280895838745</v>
      </c>
      <c r="AP94" s="48" t="n">
        <f aca="false">-AO103*$F22*(AP$4&gt;In_COD)</f>
        <v>-495.864387795795</v>
      </c>
      <c r="AQ94" s="48" t="n">
        <f aca="false">-AP103*$F22*(AQ$4&gt;In_COD)</f>
        <v>-487.342673402308</v>
      </c>
      <c r="AR94" s="48" t="n">
        <f aca="false">-AQ103*$F22*(AR$4&gt;In_COD)</f>
        <v>-478.714437578902</v>
      </c>
      <c r="AS94" s="48" t="n">
        <f aca="false">-AR103*$F22*(AS$4&gt;In_COD)</f>
        <v>-469.978348807704</v>
      </c>
      <c r="AT94" s="48" t="n">
        <f aca="false">-AS103*$F22*(AT$4&gt;In_COD)</f>
        <v>-461.133058926866</v>
      </c>
      <c r="AU94" s="48" t="n">
        <f aca="false">-AT103*$F22*(AU$4&gt;In_COD)</f>
        <v>-452.177202922517</v>
      </c>
      <c r="AV94" s="48" t="n">
        <f aca="false">-AU103*$F22*(AV$4&gt;In_COD)</f>
        <v>-443.109398718114</v>
      </c>
      <c r="AW94" s="48" t="n">
        <f aca="false">-AV103*$F22*(AW$4&gt;In_COD)</f>
        <v>-433.928246961156</v>
      </c>
      <c r="AX94" s="48" t="n">
        <f aca="false">-AW103*$F22*(AX$4&gt;In_COD)</f>
        <v>-424.632330807236</v>
      </c>
      <c r="AY94" s="48" t="n">
        <f aca="false">-AX103*$F22*(AY$4&gt;In_COD)</f>
        <v>-415.220215701392</v>
      </c>
      <c r="AZ94" s="48" t="n">
        <f aca="false">-AY103*$F22*(AZ$4&gt;In_COD)</f>
        <v>-405.690449156725</v>
      </c>
      <c r="BA94" s="48" t="n">
        <f aca="false">-AZ103*$F22*(BA$4&gt;In_COD)</f>
        <v>-396.04156053025</v>
      </c>
      <c r="BB94" s="48" t="n">
        <f aca="false">-BA103*$F22*(BB$4&gt;In_COD)</f>
        <v>-386.272060795943</v>
      </c>
      <c r="BC94" s="48" t="n">
        <f aca="false">-BB103*$F22*(BC$4&gt;In_COD)</f>
        <v>-376.380442314958</v>
      </c>
      <c r="BD94" s="48" t="n">
        <f aca="false">-BC103*$F22*(BD$4&gt;In_COD)</f>
        <v>-366.365178602961</v>
      </c>
      <c r="BE94" s="48" t="n">
        <f aca="false">-BD103*$F22*(BE$4&gt;In_COD)</f>
        <v>-356.224724094563</v>
      </c>
      <c r="BF94" s="48" t="n">
        <f aca="false">-BE103*$F22*(BF$4&gt;In_COD)</f>
        <v>-345.957513904811</v>
      </c>
      <c r="BG94" s="48" t="n">
        <f aca="false">-BF103*$F22*(BG$4&gt;In_COD)</f>
        <v>-335.561963587686</v>
      </c>
      <c r="BH94" s="48" t="n">
        <f aca="false">-BG103*$F22*(BH$4&gt;In_COD)</f>
        <v>-325.036468891598</v>
      </c>
      <c r="BI94" s="48" t="n">
        <f aca="false">-BH103*$F22*(BI$4&gt;In_COD)</f>
        <v>-314.379405511808</v>
      </c>
      <c r="BJ94" s="48" t="n">
        <f aca="false">-BI103*$F22*(BJ$4&gt;In_COD)</f>
        <v>-303.589128839772</v>
      </c>
      <c r="BK94" s="48" t="n">
        <f aca="false">-BJ103*$F22*(BK$4&gt;In_COD)</f>
        <v>-292.663973709334</v>
      </c>
      <c r="BL94" s="48" t="n">
        <f aca="false">-BK103*$F22*(BL$4&gt;In_COD)</f>
        <v>-281.602254139766</v>
      </c>
      <c r="BM94" s="48" t="n">
        <f aca="false">-BL103*$F22*(BM$4&gt;In_COD)</f>
        <v>-270.402263075579</v>
      </c>
      <c r="BN94" s="48" t="n">
        <f aca="false">-BM103*$F22*(BN$4&gt;In_COD)</f>
        <v>-259.062272123089</v>
      </c>
      <c r="BO94" s="48" t="n">
        <f aca="false">-BN103*$F22*(BO$4&gt;In_COD)</f>
        <v>-247.580531283693</v>
      </c>
      <c r="BP94" s="48" t="n">
        <f aca="false">-BO103*$F22*(BP$4&gt;In_COD)</f>
        <v>-235.955268683805</v>
      </c>
      <c r="BQ94" s="48" t="n">
        <f aca="false">-BP103*$F22*(BQ$4&gt;In_COD)</f>
        <v>-224.184690301418</v>
      </c>
      <c r="BR94" s="48" t="n">
        <f aca="false">-BQ103*$F22*(BR$4&gt;In_COD)</f>
        <v>-212.266979689252</v>
      </c>
      <c r="BS94" s="48" t="n">
        <f aca="false">-BR103*$F22*(BS$4&gt;In_COD)</f>
        <v>-200.200297694433</v>
      </c>
      <c r="BT94" s="48" t="n">
        <f aca="false">-BS103*$F22*(BT$4&gt;In_COD)</f>
        <v>-187.982782174679</v>
      </c>
      <c r="BU94" s="48" t="n">
        <f aca="false">-BT103*$F22*(BU$4&gt;In_COD)</f>
        <v>-175.612547710928</v>
      </c>
      <c r="BV94" s="48" t="n">
        <f aca="false">-BU103*$F22*(BV$4&gt;In_COD)</f>
        <v>-163.08768531638</v>
      </c>
      <c r="BW94" s="48" t="n">
        <f aca="false">-BV103*$F22*(BW$4&gt;In_COD)</f>
        <v>-150.4062621419</v>
      </c>
      <c r="BX94" s="48" t="n">
        <f aca="false">-BW103*$F22*(BX$4&gt;In_COD)</f>
        <v>-137.566321177739</v>
      </c>
      <c r="BY94" s="48" t="n">
        <f aca="false">-BX103*$F22*(BY$4&gt;In_COD)</f>
        <v>-124.565880951527</v>
      </c>
      <c r="BZ94" s="48" t="n">
        <f aca="false">-BY103*$F22*(BZ$4&gt;In_COD)</f>
        <v>-111.402935222486</v>
      </c>
      <c r="CA94" s="48" t="n">
        <f aca="false">-BZ103*$F22*(CA$4&gt;In_COD)</f>
        <v>-98.0754526718328</v>
      </c>
      <c r="CB94" s="48" t="n">
        <f aca="false">-CA103*$F22*(CB$4&gt;In_COD)</f>
        <v>-84.5813765892962</v>
      </c>
      <c r="CC94" s="48" t="n">
        <f aca="false">-CB103*$F22*(CC$4&gt;In_COD)</f>
        <v>-70.918624555728</v>
      </c>
      <c r="CD94" s="48" t="n">
        <f aca="false">-CC103*$F22*(CD$4&gt;In_COD)</f>
        <v>-57.0850881217401</v>
      </c>
      <c r="CE94" s="48" t="n">
        <f aca="false">-CD103*$F22*(CE$4&gt;In_COD)</f>
        <v>-43.0786324823274</v>
      </c>
      <c r="CF94" s="48" t="n">
        <f aca="false">-CE103*$F22*(CF$4&gt;In_COD)</f>
        <v>-28.897096147422</v>
      </c>
      <c r="CG94" s="48" t="n">
        <f aca="false">-CF103*$F22*(CG$4&gt;In_COD)</f>
        <v>-14.5382906083303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477</v>
      </c>
      <c r="D95" s="11" t="s">
        <v>33</v>
      </c>
      <c r="I95" s="48" t="n">
        <f aca="false">SUM(J95:EO95)</f>
        <v>-49500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-558.851539274757</v>
      </c>
      <c r="AA95" s="48" t="n">
        <f aca="false">-MIN(Z103,$F91+AA94)*AA18</f>
        <v>-565.837183515692</v>
      </c>
      <c r="AB95" s="48" t="n">
        <f aca="false">-MIN(AA103,$F91+AB94)*AB18</f>
        <v>-572.910148309638</v>
      </c>
      <c r="AC95" s="48" t="n">
        <f aca="false">-MIN(AB103,$F91+AC94)*AC18</f>
        <v>-580.071525163509</v>
      </c>
      <c r="AD95" s="48" t="n">
        <f aca="false">-MIN(AC103,$F91+AD94)*AD18</f>
        <v>-587.322419228052</v>
      </c>
      <c r="AE95" s="48" t="n">
        <f aca="false">-MIN(AD103,$F91+AE94)*AE18</f>
        <v>-594.663949468403</v>
      </c>
      <c r="AF95" s="48" t="n">
        <f aca="false">-MIN(AE103,$F91+AF94)*AF18</f>
        <v>-602.097248836758</v>
      </c>
      <c r="AG95" s="48" t="n">
        <f aca="false">-MIN(AF103,$F91+AG94)*AG18</f>
        <v>-609.623464447218</v>
      </c>
      <c r="AH95" s="48" t="n">
        <f aca="false">-MIN(AG103,$F91+AH94)*AH18</f>
        <v>-617.243757752808</v>
      </c>
      <c r="AI95" s="48" t="n">
        <f aca="false">-MIN(AH103,$F91+AI94)*AI18</f>
        <v>-624.959304724718</v>
      </c>
      <c r="AJ95" s="48" t="n">
        <f aca="false">-MIN(AI103,$F91+AJ94)*AJ18</f>
        <v>-632.771296033777</v>
      </c>
      <c r="AK95" s="48" t="n">
        <f aca="false">-MIN(AJ103,$F91+AK94)*AK18</f>
        <v>-640.680937234199</v>
      </c>
      <c r="AL95" s="48" t="n">
        <f aca="false">-MIN(AK103,$F91+AL94)*AL18</f>
        <v>-648.689448949627</v>
      </c>
      <c r="AM95" s="48" t="n">
        <f aca="false">-MIN(AL103,$F91+AM94)*AM18</f>
        <v>-656.798067061497</v>
      </c>
      <c r="AN95" s="48" t="n">
        <f aca="false">-MIN(AM103,$F91+AN94)*AN18</f>
        <v>-665.008042899766</v>
      </c>
      <c r="AO95" s="48" t="n">
        <f aca="false">-MIN(AN103,$F91+AO94)*AO18</f>
        <v>-673.320643436013</v>
      </c>
      <c r="AP95" s="48" t="n">
        <f aca="false">-MIN(AO103,$F91+AP94)*AP18</f>
        <v>-681.737151478963</v>
      </c>
      <c r="AQ95" s="48" t="n">
        <f aca="false">-MIN(AP103,$F91+AQ94)*AQ18</f>
        <v>-690.25886587245</v>
      </c>
      <c r="AR95" s="48" t="n">
        <f aca="false">-MIN(AQ103,$F91+AR94)*AR18</f>
        <v>-698.887101695856</v>
      </c>
      <c r="AS95" s="48" t="n">
        <f aca="false">-MIN(AR103,$F91+AS94)*AS18</f>
        <v>-707.623190467054</v>
      </c>
      <c r="AT95" s="48" t="n">
        <f aca="false">-MIN(AS103,$F91+AT94)*AT18</f>
        <v>-716.468480347892</v>
      </c>
      <c r="AU95" s="48" t="n">
        <f aca="false">-MIN(AT103,$F91+AU94)*AU18</f>
        <v>-725.424336352241</v>
      </c>
      <c r="AV95" s="48" t="n">
        <f aca="false">-MIN(AU103,$F91+AV94)*AV18</f>
        <v>-734.492140556644</v>
      </c>
      <c r="AW95" s="48" t="n">
        <f aca="false">-MIN(AV103,$F91+AW94)*AW18</f>
        <v>-743.673292313602</v>
      </c>
      <c r="AX95" s="48" t="n">
        <f aca="false">-MIN(AW103,$F91+AX94)*AX18</f>
        <v>-752.969208467522</v>
      </c>
      <c r="AY95" s="48" t="n">
        <f aca="false">-MIN(AX103,$F91+AY94)*AY18</f>
        <v>-762.381323573366</v>
      </c>
      <c r="AZ95" s="48" t="n">
        <f aca="false">-MIN(AY103,$F91+AZ94)*AZ18</f>
        <v>-771.911090118033</v>
      </c>
      <c r="BA95" s="48" t="n">
        <f aca="false">-MIN(AZ103,$F91+BA94)*BA18</f>
        <v>-781.559978744508</v>
      </c>
      <c r="BB95" s="48" t="n">
        <f aca="false">-MIN(BA103,$F91+BB94)*BB18</f>
        <v>-791.329478478815</v>
      </c>
      <c r="BC95" s="48" t="n">
        <f aca="false">-MIN(BB103,$F91+BC94)*BC18</f>
        <v>-801.2210969598</v>
      </c>
      <c r="BD95" s="48" t="n">
        <f aca="false">-MIN(BC103,$F91+BD94)*BD18</f>
        <v>-811.236360671797</v>
      </c>
      <c r="BE95" s="48" t="n">
        <f aca="false">-MIN(BD103,$F91+BE94)*BE18</f>
        <v>-821.376815180195</v>
      </c>
      <c r="BF95" s="48" t="n">
        <f aca="false">-MIN(BE103,$F91+BF94)*BF18</f>
        <v>-831.644025369947</v>
      </c>
      <c r="BG95" s="48" t="n">
        <f aca="false">-MIN(BF103,$F91+BG94)*BG18</f>
        <v>-842.039575687071</v>
      </c>
      <c r="BH95" s="48" t="n">
        <f aca="false">-MIN(BG103,$F91+BH94)*BH18</f>
        <v>-852.56507038316</v>
      </c>
      <c r="BI95" s="48" t="n">
        <f aca="false">-MIN(BH103,$F91+BI94)*BI18</f>
        <v>-863.222133762949</v>
      </c>
      <c r="BJ95" s="48" t="n">
        <f aca="false">-MIN(BI103,$F91+BJ94)*BJ18</f>
        <v>-874.012410434986</v>
      </c>
      <c r="BK95" s="48" t="n">
        <f aca="false">-MIN(BJ103,$F91+BK94)*BK18</f>
        <v>-884.937565565424</v>
      </c>
      <c r="BL95" s="48" t="n">
        <f aca="false">-MIN(BK103,$F91+BL94)*BL18</f>
        <v>-895.999285134991</v>
      </c>
      <c r="BM95" s="48" t="n">
        <f aca="false">-MIN(BL103,$F91+BM94)*BM18</f>
        <v>-907.199276199179</v>
      </c>
      <c r="BN95" s="48" t="n">
        <f aca="false">-MIN(BM103,$F91+BN94)*BN18</f>
        <v>-918.539267151668</v>
      </c>
      <c r="BO95" s="48" t="n">
        <f aca="false">-MIN(BN103,$F91+BO94)*BO18</f>
        <v>-930.021007991064</v>
      </c>
      <c r="BP95" s="48" t="n">
        <f aca="false">-MIN(BO103,$F91+BP94)*BP18</f>
        <v>-941.646270590953</v>
      </c>
      <c r="BQ95" s="48" t="n">
        <f aca="false">-MIN(BP103,$F91+BQ94)*BQ18</f>
        <v>-953.416848973339</v>
      </c>
      <c r="BR95" s="48" t="n">
        <f aca="false">-MIN(BQ103,$F91+BR94)*BR18</f>
        <v>-965.334559585506</v>
      </c>
      <c r="BS95" s="48" t="n">
        <f aca="false">-MIN(BR103,$F91+BS94)*BS18</f>
        <v>-977.401241580325</v>
      </c>
      <c r="BT95" s="48" t="n">
        <f aca="false">-MIN(BS103,$F91+BT94)*BT18</f>
        <v>-989.618757100079</v>
      </c>
      <c r="BU95" s="48" t="n">
        <f aca="false">-MIN(BT103,$F91+BU94)*BU18</f>
        <v>-1001.98899156383</v>
      </c>
      <c r="BV95" s="48" t="n">
        <f aca="false">-MIN(BU103,$F91+BV94)*BV18</f>
        <v>-1014.51385395838</v>
      </c>
      <c r="BW95" s="48" t="n">
        <f aca="false">-MIN(BV103,$F91+BW94)*BW18</f>
        <v>-1027.19527713286</v>
      </c>
      <c r="BX95" s="48" t="n">
        <f aca="false">-MIN(BW103,$F91+BX94)*BX18</f>
        <v>-1040.03521809702</v>
      </c>
      <c r="BY95" s="48" t="n">
        <f aca="false">-MIN(BX103,$F91+BY94)*BY18</f>
        <v>-1053.03565832323</v>
      </c>
      <c r="BZ95" s="48" t="n">
        <f aca="false">-MIN(BY103,$F91+BZ94)*BZ18</f>
        <v>-1066.19860405227</v>
      </c>
      <c r="CA95" s="48" t="n">
        <f aca="false">-MIN(BZ103,$F91+CA94)*CA18</f>
        <v>-1079.52608660292</v>
      </c>
      <c r="CB95" s="48" t="n">
        <f aca="false">-MIN(CA103,$F91+CB94)*CB18</f>
        <v>-1093.02016268546</v>
      </c>
      <c r="CC95" s="48" t="n">
        <f aca="false">-MIN(CB103,$F91+CC94)*CC18</f>
        <v>-1106.68291471903</v>
      </c>
      <c r="CD95" s="48" t="n">
        <f aca="false">-MIN(CC103,$F91+CD94)*CD18</f>
        <v>-1120.51645115302</v>
      </c>
      <c r="CE95" s="48" t="n">
        <f aca="false">-MIN(CD103,$F91+CE94)*CE18</f>
        <v>-1134.52290679243</v>
      </c>
      <c r="CF95" s="48" t="n">
        <f aca="false">-MIN(CE103,$F91+CF94)*CF18</f>
        <v>-1148.70444312734</v>
      </c>
      <c r="CG95" s="48" t="n">
        <f aca="false">-MIN(CF103,$F91+CG94)*CG18</f>
        <v>-1163.06324866642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478</v>
      </c>
      <c r="D96" s="11" t="s">
        <v>33</v>
      </c>
      <c r="I96" s="48" t="n">
        <f aca="false">SUM(J96:EO96)</f>
        <v>-70656.0923564855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-1177.60153927476</v>
      </c>
      <c r="AA96" s="48" t="n">
        <f aca="false">AA94+AA95</f>
        <v>-1177.60153927476</v>
      </c>
      <c r="AB96" s="48" t="n">
        <f aca="false">AB94+AB95</f>
        <v>-1177.60153927476</v>
      </c>
      <c r="AC96" s="48" t="n">
        <f aca="false">AC94+AC95</f>
        <v>-1177.60153927476</v>
      </c>
      <c r="AD96" s="48" t="n">
        <f aca="false">AD94+AD95</f>
        <v>-1177.60153927476</v>
      </c>
      <c r="AE96" s="48" t="n">
        <f aca="false">AE94+AE95</f>
        <v>-1177.60153927476</v>
      </c>
      <c r="AF96" s="48" t="n">
        <f aca="false">AF94+AF95</f>
        <v>-1177.60153927476</v>
      </c>
      <c r="AG96" s="48" t="n">
        <f aca="false">AG94+AG95</f>
        <v>-1177.60153927476</v>
      </c>
      <c r="AH96" s="48" t="n">
        <f aca="false">AH94+AH95</f>
        <v>-1177.60153927476</v>
      </c>
      <c r="AI96" s="48" t="n">
        <f aca="false">AI94+AI95</f>
        <v>-1177.60153927476</v>
      </c>
      <c r="AJ96" s="48" t="n">
        <f aca="false">AJ94+AJ95</f>
        <v>-1177.60153927476</v>
      </c>
      <c r="AK96" s="48" t="n">
        <f aca="false">AK94+AK95</f>
        <v>-1177.60153927476</v>
      </c>
      <c r="AL96" s="48" t="n">
        <f aca="false">AL94+AL95</f>
        <v>-1177.60153927476</v>
      </c>
      <c r="AM96" s="48" t="n">
        <f aca="false">AM94+AM95</f>
        <v>-1177.60153927476</v>
      </c>
      <c r="AN96" s="48" t="n">
        <f aca="false">AN94+AN95</f>
        <v>-1177.60153927476</v>
      </c>
      <c r="AO96" s="48" t="n">
        <f aca="false">AO94+AO95</f>
        <v>-1177.60153927476</v>
      </c>
      <c r="AP96" s="48" t="n">
        <f aca="false">AP94+AP95</f>
        <v>-1177.60153927476</v>
      </c>
      <c r="AQ96" s="48" t="n">
        <f aca="false">AQ94+AQ95</f>
        <v>-1177.60153927476</v>
      </c>
      <c r="AR96" s="48" t="n">
        <f aca="false">AR94+AR95</f>
        <v>-1177.60153927476</v>
      </c>
      <c r="AS96" s="48" t="n">
        <f aca="false">AS94+AS95</f>
        <v>-1177.60153927476</v>
      </c>
      <c r="AT96" s="48" t="n">
        <f aca="false">AT94+AT95</f>
        <v>-1177.60153927476</v>
      </c>
      <c r="AU96" s="48" t="n">
        <f aca="false">AU94+AU95</f>
        <v>-1177.60153927476</v>
      </c>
      <c r="AV96" s="48" t="n">
        <f aca="false">AV94+AV95</f>
        <v>-1177.60153927476</v>
      </c>
      <c r="AW96" s="48" t="n">
        <f aca="false">AW94+AW95</f>
        <v>-1177.60153927476</v>
      </c>
      <c r="AX96" s="48" t="n">
        <f aca="false">AX94+AX95</f>
        <v>-1177.60153927476</v>
      </c>
      <c r="AY96" s="48" t="n">
        <f aca="false">AY94+AY95</f>
        <v>-1177.60153927476</v>
      </c>
      <c r="AZ96" s="48" t="n">
        <f aca="false">AZ94+AZ95</f>
        <v>-1177.60153927476</v>
      </c>
      <c r="BA96" s="48" t="n">
        <f aca="false">BA94+BA95</f>
        <v>-1177.60153927476</v>
      </c>
      <c r="BB96" s="48" t="n">
        <f aca="false">BB94+BB95</f>
        <v>-1177.60153927476</v>
      </c>
      <c r="BC96" s="48" t="n">
        <f aca="false">BC94+BC95</f>
        <v>-1177.60153927476</v>
      </c>
      <c r="BD96" s="48" t="n">
        <f aca="false">BD94+BD95</f>
        <v>-1177.60153927476</v>
      </c>
      <c r="BE96" s="48" t="n">
        <f aca="false">BE94+BE95</f>
        <v>-1177.60153927476</v>
      </c>
      <c r="BF96" s="48" t="n">
        <f aca="false">BF94+BF95</f>
        <v>-1177.60153927476</v>
      </c>
      <c r="BG96" s="48" t="n">
        <f aca="false">BG94+BG95</f>
        <v>-1177.60153927476</v>
      </c>
      <c r="BH96" s="48" t="n">
        <f aca="false">BH94+BH95</f>
        <v>-1177.60153927476</v>
      </c>
      <c r="BI96" s="48" t="n">
        <f aca="false">BI94+BI95</f>
        <v>-1177.60153927476</v>
      </c>
      <c r="BJ96" s="48" t="n">
        <f aca="false">BJ94+BJ95</f>
        <v>-1177.60153927476</v>
      </c>
      <c r="BK96" s="48" t="n">
        <f aca="false">BK94+BK95</f>
        <v>-1177.60153927476</v>
      </c>
      <c r="BL96" s="48" t="n">
        <f aca="false">BL94+BL95</f>
        <v>-1177.60153927476</v>
      </c>
      <c r="BM96" s="48" t="n">
        <f aca="false">BM94+BM95</f>
        <v>-1177.60153927476</v>
      </c>
      <c r="BN96" s="48" t="n">
        <f aca="false">BN94+BN95</f>
        <v>-1177.60153927476</v>
      </c>
      <c r="BO96" s="48" t="n">
        <f aca="false">BO94+BO95</f>
        <v>-1177.60153927476</v>
      </c>
      <c r="BP96" s="48" t="n">
        <f aca="false">BP94+BP95</f>
        <v>-1177.60153927476</v>
      </c>
      <c r="BQ96" s="48" t="n">
        <f aca="false">BQ94+BQ95</f>
        <v>-1177.60153927476</v>
      </c>
      <c r="BR96" s="48" t="n">
        <f aca="false">BR94+BR95</f>
        <v>-1177.60153927476</v>
      </c>
      <c r="BS96" s="48" t="n">
        <f aca="false">BS94+BS95</f>
        <v>-1177.60153927476</v>
      </c>
      <c r="BT96" s="48" t="n">
        <f aca="false">BT94+BT95</f>
        <v>-1177.60153927476</v>
      </c>
      <c r="BU96" s="48" t="n">
        <f aca="false">BU94+BU95</f>
        <v>-1177.60153927476</v>
      </c>
      <c r="BV96" s="48" t="n">
        <f aca="false">BV94+BV95</f>
        <v>-1177.60153927476</v>
      </c>
      <c r="BW96" s="48" t="n">
        <f aca="false">BW94+BW95</f>
        <v>-1177.60153927476</v>
      </c>
      <c r="BX96" s="48" t="n">
        <f aca="false">BX94+BX95</f>
        <v>-1177.60153927476</v>
      </c>
      <c r="BY96" s="48" t="n">
        <f aca="false">BY94+BY95</f>
        <v>-1177.60153927476</v>
      </c>
      <c r="BZ96" s="48" t="n">
        <f aca="false">BZ94+BZ95</f>
        <v>-1177.60153927476</v>
      </c>
      <c r="CA96" s="48" t="n">
        <f aca="false">CA94+CA95</f>
        <v>-1177.60153927476</v>
      </c>
      <c r="CB96" s="48" t="n">
        <f aca="false">CB94+CB95</f>
        <v>-1177.60153927476</v>
      </c>
      <c r="CC96" s="48" t="n">
        <f aca="false">CC94+CC95</f>
        <v>-1177.60153927476</v>
      </c>
      <c r="CD96" s="48" t="n">
        <f aca="false">CD94+CD95</f>
        <v>-1177.60153927476</v>
      </c>
      <c r="CE96" s="48" t="n">
        <f aca="false">CE94+CE95</f>
        <v>-1177.60153927476</v>
      </c>
      <c r="CF96" s="48" t="n">
        <f aca="false">CF94+CF95</f>
        <v>-1177.60153927476</v>
      </c>
      <c r="CG96" s="48" t="n">
        <f aca="false">CG94+CG95</f>
        <v>-1177.60153927475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479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480</v>
      </c>
      <c r="D98" s="11" t="s">
        <v>33</v>
      </c>
      <c r="I98" s="48" t="n">
        <f aca="false">SUM(J98:EO98)</f>
        <v>-70656.0923564855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-1177.60153927476</v>
      </c>
      <c r="AA98" s="48" t="n">
        <f aca="false">AA96+AA97</f>
        <v>-1177.60153927476</v>
      </c>
      <c r="AB98" s="48" t="n">
        <f aca="false">AB96+AB97</f>
        <v>-1177.60153927476</v>
      </c>
      <c r="AC98" s="48" t="n">
        <f aca="false">AC96+AC97</f>
        <v>-1177.60153927476</v>
      </c>
      <c r="AD98" s="48" t="n">
        <f aca="false">AD96+AD97</f>
        <v>-1177.60153927476</v>
      </c>
      <c r="AE98" s="48" t="n">
        <f aca="false">AE96+AE97</f>
        <v>-1177.60153927476</v>
      </c>
      <c r="AF98" s="48" t="n">
        <f aca="false">AF96+AF97</f>
        <v>-1177.60153927476</v>
      </c>
      <c r="AG98" s="48" t="n">
        <f aca="false">AG96+AG97</f>
        <v>-1177.60153927476</v>
      </c>
      <c r="AH98" s="48" t="n">
        <f aca="false">AH96+AH97</f>
        <v>-1177.60153927476</v>
      </c>
      <c r="AI98" s="48" t="n">
        <f aca="false">AI96+AI97</f>
        <v>-1177.60153927476</v>
      </c>
      <c r="AJ98" s="48" t="n">
        <f aca="false">AJ96+AJ97</f>
        <v>-1177.60153927476</v>
      </c>
      <c r="AK98" s="48" t="n">
        <f aca="false">AK96+AK97</f>
        <v>-1177.60153927476</v>
      </c>
      <c r="AL98" s="48" t="n">
        <f aca="false">AL96+AL97</f>
        <v>-1177.60153927476</v>
      </c>
      <c r="AM98" s="48" t="n">
        <f aca="false">AM96+AM97</f>
        <v>-1177.60153927476</v>
      </c>
      <c r="AN98" s="48" t="n">
        <f aca="false">AN96+AN97</f>
        <v>-1177.60153927476</v>
      </c>
      <c r="AO98" s="48" t="n">
        <f aca="false">AO96+AO97</f>
        <v>-1177.60153927476</v>
      </c>
      <c r="AP98" s="48" t="n">
        <f aca="false">AP96+AP97</f>
        <v>-1177.60153927476</v>
      </c>
      <c r="AQ98" s="48" t="n">
        <f aca="false">AQ96+AQ97</f>
        <v>-1177.60153927476</v>
      </c>
      <c r="AR98" s="48" t="n">
        <f aca="false">AR96+AR97</f>
        <v>-1177.60153927476</v>
      </c>
      <c r="AS98" s="48" t="n">
        <f aca="false">AS96+AS97</f>
        <v>-1177.60153927476</v>
      </c>
      <c r="AT98" s="48" t="n">
        <f aca="false">AT96+AT97</f>
        <v>-1177.60153927476</v>
      </c>
      <c r="AU98" s="48" t="n">
        <f aca="false">AU96+AU97</f>
        <v>-1177.60153927476</v>
      </c>
      <c r="AV98" s="48" t="n">
        <f aca="false">AV96+AV97</f>
        <v>-1177.60153927476</v>
      </c>
      <c r="AW98" s="48" t="n">
        <f aca="false">AW96+AW97</f>
        <v>-1177.60153927476</v>
      </c>
      <c r="AX98" s="48" t="n">
        <f aca="false">AX96+AX97</f>
        <v>-1177.60153927476</v>
      </c>
      <c r="AY98" s="48" t="n">
        <f aca="false">AY96+AY97</f>
        <v>-1177.60153927476</v>
      </c>
      <c r="AZ98" s="48" t="n">
        <f aca="false">AZ96+AZ97</f>
        <v>-1177.60153927476</v>
      </c>
      <c r="BA98" s="48" t="n">
        <f aca="false">BA96+BA97</f>
        <v>-1177.60153927476</v>
      </c>
      <c r="BB98" s="48" t="n">
        <f aca="false">BB96+BB97</f>
        <v>-1177.60153927476</v>
      </c>
      <c r="BC98" s="48" t="n">
        <f aca="false">BC96+BC97</f>
        <v>-1177.60153927476</v>
      </c>
      <c r="BD98" s="48" t="n">
        <f aca="false">BD96+BD97</f>
        <v>-1177.60153927476</v>
      </c>
      <c r="BE98" s="48" t="n">
        <f aca="false">BE96+BE97</f>
        <v>-1177.60153927476</v>
      </c>
      <c r="BF98" s="48" t="n">
        <f aca="false">BF96+BF97</f>
        <v>-1177.60153927476</v>
      </c>
      <c r="BG98" s="48" t="n">
        <f aca="false">BG96+BG97</f>
        <v>-1177.60153927476</v>
      </c>
      <c r="BH98" s="48" t="n">
        <f aca="false">BH96+BH97</f>
        <v>-1177.60153927476</v>
      </c>
      <c r="BI98" s="48" t="n">
        <f aca="false">BI96+BI97</f>
        <v>-1177.60153927476</v>
      </c>
      <c r="BJ98" s="48" t="n">
        <f aca="false">BJ96+BJ97</f>
        <v>-1177.60153927476</v>
      </c>
      <c r="BK98" s="48" t="n">
        <f aca="false">BK96+BK97</f>
        <v>-1177.60153927476</v>
      </c>
      <c r="BL98" s="48" t="n">
        <f aca="false">BL96+BL97</f>
        <v>-1177.60153927476</v>
      </c>
      <c r="BM98" s="48" t="n">
        <f aca="false">BM96+BM97</f>
        <v>-1177.60153927476</v>
      </c>
      <c r="BN98" s="48" t="n">
        <f aca="false">BN96+BN97</f>
        <v>-1177.60153927476</v>
      </c>
      <c r="BO98" s="48" t="n">
        <f aca="false">BO96+BO97</f>
        <v>-1177.60153927476</v>
      </c>
      <c r="BP98" s="48" t="n">
        <f aca="false">BP96+BP97</f>
        <v>-1177.60153927476</v>
      </c>
      <c r="BQ98" s="48" t="n">
        <f aca="false">BQ96+BQ97</f>
        <v>-1177.60153927476</v>
      </c>
      <c r="BR98" s="48" t="n">
        <f aca="false">BR96+BR97</f>
        <v>-1177.60153927476</v>
      </c>
      <c r="BS98" s="48" t="n">
        <f aca="false">BS96+BS97</f>
        <v>-1177.60153927476</v>
      </c>
      <c r="BT98" s="48" t="n">
        <f aca="false">BT96+BT97</f>
        <v>-1177.60153927476</v>
      </c>
      <c r="BU98" s="48" t="n">
        <f aca="false">BU96+BU97</f>
        <v>-1177.60153927476</v>
      </c>
      <c r="BV98" s="48" t="n">
        <f aca="false">BV96+BV97</f>
        <v>-1177.60153927476</v>
      </c>
      <c r="BW98" s="48" t="n">
        <f aca="false">BW96+BW97</f>
        <v>-1177.60153927476</v>
      </c>
      <c r="BX98" s="48" t="n">
        <f aca="false">BX96+BX97</f>
        <v>-1177.60153927476</v>
      </c>
      <c r="BY98" s="48" t="n">
        <f aca="false">BY96+BY97</f>
        <v>-1177.60153927476</v>
      </c>
      <c r="BZ98" s="48" t="n">
        <f aca="false">BZ96+BZ97</f>
        <v>-1177.60153927476</v>
      </c>
      <c r="CA98" s="48" t="n">
        <f aca="false">CA96+CA97</f>
        <v>-1177.60153927476</v>
      </c>
      <c r="CB98" s="48" t="n">
        <f aca="false">CB96+CB97</f>
        <v>-1177.60153927476</v>
      </c>
      <c r="CC98" s="48" t="n">
        <f aca="false">CC96+CC97</f>
        <v>-1177.60153927476</v>
      </c>
      <c r="CD98" s="48" t="n">
        <f aca="false">CD96+CD97</f>
        <v>-1177.60153927476</v>
      </c>
      <c r="CE98" s="48" t="n">
        <f aca="false">CE96+CE97</f>
        <v>-1177.60153927476</v>
      </c>
      <c r="CF98" s="48" t="n">
        <f aca="false">CF96+CF97</f>
        <v>-1177.60153927476</v>
      </c>
      <c r="CG98" s="48" t="n">
        <f aca="false">CG96+CG97</f>
        <v>-1177.60153927475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481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5116.61953685185</v>
      </c>
      <c r="T99" s="18" t="n">
        <f aca="false">S103</f>
        <v>15301.8343169001</v>
      </c>
      <c r="U99" s="18" t="n">
        <f aca="false">T103</f>
        <v>20554.1113529648</v>
      </c>
      <c r="V99" s="18" t="n">
        <f aca="false">U103</f>
        <v>25927.6572817287</v>
      </c>
      <c r="W99" s="18" t="n">
        <f aca="false">V103</f>
        <v>31368.3725346022</v>
      </c>
      <c r="X99" s="18" t="n">
        <f aca="false">W103</f>
        <v>36765.8658686398</v>
      </c>
      <c r="Y99" s="18" t="n">
        <f aca="false">X103</f>
        <v>42286.4432991012</v>
      </c>
      <c r="Z99" s="18" t="n">
        <f aca="false">Y103</f>
        <v>49500</v>
      </c>
      <c r="AA99" s="18" t="n">
        <f aca="false">Z103</f>
        <v>48941.1484607253</v>
      </c>
      <c r="AB99" s="18" t="n">
        <f aca="false">AA103</f>
        <v>48375.3112772096</v>
      </c>
      <c r="AC99" s="18" t="n">
        <f aca="false">AB103</f>
        <v>47802.4011288999</v>
      </c>
      <c r="AD99" s="18" t="n">
        <f aca="false">AC103</f>
        <v>47222.3296037364</v>
      </c>
      <c r="AE99" s="18" t="n">
        <f aca="false">AD103</f>
        <v>46635.0071845084</v>
      </c>
      <c r="AF99" s="18" t="n">
        <f aca="false">AE103</f>
        <v>46040.34323504</v>
      </c>
      <c r="AG99" s="18" t="n">
        <f aca="false">AF103</f>
        <v>45438.2459862032</v>
      </c>
      <c r="AH99" s="18" t="n">
        <f aca="false">AG103</f>
        <v>44828.622521756</v>
      </c>
      <c r="AI99" s="18" t="n">
        <f aca="false">AH103</f>
        <v>44211.3787640032</v>
      </c>
      <c r="AJ99" s="18" t="n">
        <f aca="false">AI103</f>
        <v>43586.4194592785</v>
      </c>
      <c r="AK99" s="18" t="n">
        <f aca="false">AJ103</f>
        <v>42953.6481632447</v>
      </c>
      <c r="AL99" s="18" t="n">
        <f aca="false">AK103</f>
        <v>42312.9672260105</v>
      </c>
      <c r="AM99" s="18" t="n">
        <f aca="false">AL103</f>
        <v>41664.2777770609</v>
      </c>
      <c r="AN99" s="18" t="n">
        <f aca="false">AM103</f>
        <v>41007.4797099994</v>
      </c>
      <c r="AO99" s="18" t="n">
        <f aca="false">AN103</f>
        <v>40342.4716670996</v>
      </c>
      <c r="AP99" s="18" t="n">
        <f aca="false">AO103</f>
        <v>39669.1510236636</v>
      </c>
      <c r="AQ99" s="18" t="n">
        <f aca="false">AP103</f>
        <v>38987.4138721846</v>
      </c>
      <c r="AR99" s="18" t="n">
        <f aca="false">AQ103</f>
        <v>38297.1550063122</v>
      </c>
      <c r="AS99" s="18" t="n">
        <f aca="false">AR103</f>
        <v>37598.2679046163</v>
      </c>
      <c r="AT99" s="18" t="n">
        <f aca="false">AS103</f>
        <v>36890.6447141492</v>
      </c>
      <c r="AU99" s="18" t="n">
        <f aca="false">AT103</f>
        <v>36174.1762338014</v>
      </c>
      <c r="AV99" s="18" t="n">
        <f aca="false">AU103</f>
        <v>35448.7518974491</v>
      </c>
      <c r="AW99" s="18" t="n">
        <f aca="false">AV103</f>
        <v>34714.2597568925</v>
      </c>
      <c r="AX99" s="18" t="n">
        <f aca="false">AW103</f>
        <v>33970.5864645789</v>
      </c>
      <c r="AY99" s="18" t="n">
        <f aca="false">AX103</f>
        <v>33217.6172561114</v>
      </c>
      <c r="AZ99" s="18" t="n">
        <f aca="false">AY103</f>
        <v>32455.235932538</v>
      </c>
      <c r="BA99" s="18" t="n">
        <f aca="false">AZ103</f>
        <v>31683.32484242</v>
      </c>
      <c r="BB99" s="18" t="n">
        <f aca="false">BA103</f>
        <v>30901.7648636755</v>
      </c>
      <c r="BC99" s="18" t="n">
        <f aca="false">BB103</f>
        <v>30110.4353851966</v>
      </c>
      <c r="BD99" s="18" t="n">
        <f aca="false">BC103</f>
        <v>29309.2142882368</v>
      </c>
      <c r="BE99" s="18" t="n">
        <f aca="false">BD103</f>
        <v>28497.977927565</v>
      </c>
      <c r="BF99" s="18" t="n">
        <f aca="false">BE103</f>
        <v>27676.6011123848</v>
      </c>
      <c r="BG99" s="18" t="n">
        <f aca="false">BF103</f>
        <v>26844.9570870149</v>
      </c>
      <c r="BH99" s="18" t="n">
        <f aca="false">BG103</f>
        <v>26002.9175113278</v>
      </c>
      <c r="BI99" s="18" t="n">
        <f aca="false">BH103</f>
        <v>25150.3524409447</v>
      </c>
      <c r="BJ99" s="18" t="n">
        <f aca="false">BI103</f>
        <v>24287.1303071817</v>
      </c>
      <c r="BK99" s="18" t="n">
        <f aca="false">BJ103</f>
        <v>23413.1178967467</v>
      </c>
      <c r="BL99" s="18" t="n">
        <f aca="false">BK103</f>
        <v>22528.1803311813</v>
      </c>
      <c r="BM99" s="18" t="n">
        <f aca="false">BL103</f>
        <v>21632.1810460463</v>
      </c>
      <c r="BN99" s="18" t="n">
        <f aca="false">BM103</f>
        <v>20724.9817698471</v>
      </c>
      <c r="BO99" s="18" t="n">
        <f aca="false">BN103</f>
        <v>19806.4425026955</v>
      </c>
      <c r="BP99" s="18" t="n">
        <f aca="false">BO103</f>
        <v>18876.4214947044</v>
      </c>
      <c r="BQ99" s="18" t="n">
        <f aca="false">BP103</f>
        <v>17934.7752241135</v>
      </c>
      <c r="BR99" s="18" t="n">
        <f aca="false">BQ103</f>
        <v>16981.3583751401</v>
      </c>
      <c r="BS99" s="18" t="n">
        <f aca="false">BR103</f>
        <v>16016.0238155546</v>
      </c>
      <c r="BT99" s="18" t="n">
        <f aca="false">BS103</f>
        <v>15038.6225739743</v>
      </c>
      <c r="BU99" s="18" t="n">
        <f aca="false">BT103</f>
        <v>14049.0038168742</v>
      </c>
      <c r="BV99" s="18" t="n">
        <f aca="false">BU103</f>
        <v>13047.0148253104</v>
      </c>
      <c r="BW99" s="18" t="n">
        <f aca="false">BV103</f>
        <v>12032.500971352</v>
      </c>
      <c r="BX99" s="18" t="n">
        <f aca="false">BW103</f>
        <v>11005.3056942191</v>
      </c>
      <c r="BY99" s="18" t="n">
        <f aca="false">BX103</f>
        <v>9965.27047612213</v>
      </c>
      <c r="BZ99" s="18" t="n">
        <f aca="false">BY103</f>
        <v>8912.23481779889</v>
      </c>
      <c r="CA99" s="18" t="n">
        <f aca="false">BZ103</f>
        <v>7846.03621374662</v>
      </c>
      <c r="CB99" s="18" t="n">
        <f aca="false">CA103</f>
        <v>6766.5101271437</v>
      </c>
      <c r="CC99" s="18" t="n">
        <f aca="false">CB103</f>
        <v>5673.48996445824</v>
      </c>
      <c r="CD99" s="18" t="n">
        <f aca="false">CC103</f>
        <v>4566.80704973921</v>
      </c>
      <c r="CE99" s="18" t="n">
        <f aca="false">CD103</f>
        <v>3446.29059858619</v>
      </c>
      <c r="CF99" s="18" t="n">
        <f aca="false">CE103</f>
        <v>2311.76769179376</v>
      </c>
      <c r="CG99" s="18" t="n">
        <f aca="false">CF103</f>
        <v>1163.06324866642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482</v>
      </c>
      <c r="D100" s="11" t="s">
        <v>33</v>
      </c>
      <c r="I100" s="48" t="n">
        <f aca="false">SUM(J100:EO100)</f>
        <v>47283.4886976152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5116.61953685185</v>
      </c>
      <c r="S100" s="48" t="n">
        <f aca="false">-$E90*S70</f>
        <v>10121.2570358376</v>
      </c>
      <c r="T100" s="48" t="n">
        <f aca="false">-$E90*T70</f>
        <v>5061.00410710346</v>
      </c>
      <c r="U100" s="48" t="n">
        <f aca="false">-$E90*U70</f>
        <v>5116.61953685185</v>
      </c>
      <c r="V100" s="48" t="n">
        <f aca="false">-$E90*V70</f>
        <v>5116.61953685185</v>
      </c>
      <c r="W100" s="48" t="n">
        <f aca="false">-$E90*W70</f>
        <v>5005.38867735507</v>
      </c>
      <c r="X100" s="48" t="n">
        <f aca="false">-$E90*X70</f>
        <v>5061.00410710346</v>
      </c>
      <c r="Y100" s="48" t="n">
        <f aca="false">-$E90*Y70</f>
        <v>6684.97615966005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483</v>
      </c>
      <c r="D101" s="11" t="s">
        <v>33</v>
      </c>
      <c r="I101" s="48" t="n">
        <f aca="false">SUM(J101:EO101)</f>
        <v>2216.51130238486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63.9577442106481</v>
      </c>
      <c r="T101" s="48" t="n">
        <f aca="false">T99*$F22*(T$4&lt;=In_COD)</f>
        <v>191.272928961251</v>
      </c>
      <c r="U101" s="48" t="n">
        <f aca="false">U99*$F22*(U$4&lt;=In_COD)</f>
        <v>256.92639191206</v>
      </c>
      <c r="V101" s="48" t="n">
        <f aca="false">V99*$F22*(V$4&lt;=In_COD)</f>
        <v>324.095716021609</v>
      </c>
      <c r="W101" s="48" t="n">
        <f aca="false">W99*$F22*(W$4&lt;=In_COD)</f>
        <v>392.104656682527</v>
      </c>
      <c r="X101" s="48" t="n">
        <f aca="false">X99*$F22*(X$4&lt;=In_COD)</f>
        <v>459.573323357997</v>
      </c>
      <c r="Y101" s="48" t="n">
        <f aca="false">Y99*$F22*(Y$4&lt;=In_COD)</f>
        <v>528.580541238765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484</v>
      </c>
      <c r="D102" s="11" t="s">
        <v>33</v>
      </c>
      <c r="I102" s="48" t="n">
        <f aca="false">SUM(J102:EO102)</f>
        <v>-49500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-558.851539274757</v>
      </c>
      <c r="AA102" s="48" t="n">
        <f aca="false">AA95+AA97</f>
        <v>-565.837183515692</v>
      </c>
      <c r="AB102" s="48" t="n">
        <f aca="false">AB95+AB97</f>
        <v>-572.910148309638</v>
      </c>
      <c r="AC102" s="48" t="n">
        <f aca="false">AC95+AC97</f>
        <v>-580.071525163509</v>
      </c>
      <c r="AD102" s="48" t="n">
        <f aca="false">AD95+AD97</f>
        <v>-587.322419228052</v>
      </c>
      <c r="AE102" s="48" t="n">
        <f aca="false">AE95+AE97</f>
        <v>-594.663949468403</v>
      </c>
      <c r="AF102" s="48" t="n">
        <f aca="false">AF95+AF97</f>
        <v>-602.097248836758</v>
      </c>
      <c r="AG102" s="48" t="n">
        <f aca="false">AG95+AG97</f>
        <v>-609.623464447218</v>
      </c>
      <c r="AH102" s="48" t="n">
        <f aca="false">AH95+AH97</f>
        <v>-617.243757752808</v>
      </c>
      <c r="AI102" s="48" t="n">
        <f aca="false">AI95+AI97</f>
        <v>-624.959304724718</v>
      </c>
      <c r="AJ102" s="48" t="n">
        <f aca="false">AJ95+AJ97</f>
        <v>-632.771296033777</v>
      </c>
      <c r="AK102" s="48" t="n">
        <f aca="false">AK95+AK97</f>
        <v>-640.680937234199</v>
      </c>
      <c r="AL102" s="48" t="n">
        <f aca="false">AL95+AL97</f>
        <v>-648.689448949627</v>
      </c>
      <c r="AM102" s="48" t="n">
        <f aca="false">AM95+AM97</f>
        <v>-656.798067061497</v>
      </c>
      <c r="AN102" s="48" t="n">
        <f aca="false">AN95+AN97</f>
        <v>-665.008042899766</v>
      </c>
      <c r="AO102" s="48" t="n">
        <f aca="false">AO95+AO97</f>
        <v>-673.320643436013</v>
      </c>
      <c r="AP102" s="48" t="n">
        <f aca="false">AP95+AP97</f>
        <v>-681.737151478963</v>
      </c>
      <c r="AQ102" s="48" t="n">
        <f aca="false">AQ95+AQ97</f>
        <v>-690.25886587245</v>
      </c>
      <c r="AR102" s="48" t="n">
        <f aca="false">AR95+AR97</f>
        <v>-698.887101695856</v>
      </c>
      <c r="AS102" s="48" t="n">
        <f aca="false">AS95+AS97</f>
        <v>-707.623190467054</v>
      </c>
      <c r="AT102" s="48" t="n">
        <f aca="false">AT95+AT97</f>
        <v>-716.468480347892</v>
      </c>
      <c r="AU102" s="48" t="n">
        <f aca="false">AU95+AU97</f>
        <v>-725.424336352241</v>
      </c>
      <c r="AV102" s="48" t="n">
        <f aca="false">AV95+AV97</f>
        <v>-734.492140556644</v>
      </c>
      <c r="AW102" s="48" t="n">
        <f aca="false">AW95+AW97</f>
        <v>-743.673292313602</v>
      </c>
      <c r="AX102" s="48" t="n">
        <f aca="false">AX95+AX97</f>
        <v>-752.969208467522</v>
      </c>
      <c r="AY102" s="48" t="n">
        <f aca="false">AY95+AY97</f>
        <v>-762.381323573366</v>
      </c>
      <c r="AZ102" s="48" t="n">
        <f aca="false">AZ95+AZ97</f>
        <v>-771.911090118033</v>
      </c>
      <c r="BA102" s="48" t="n">
        <f aca="false">BA95+BA97</f>
        <v>-781.559978744508</v>
      </c>
      <c r="BB102" s="48" t="n">
        <f aca="false">BB95+BB97</f>
        <v>-791.329478478815</v>
      </c>
      <c r="BC102" s="48" t="n">
        <f aca="false">BC95+BC97</f>
        <v>-801.2210969598</v>
      </c>
      <c r="BD102" s="48" t="n">
        <f aca="false">BD95+BD97</f>
        <v>-811.236360671797</v>
      </c>
      <c r="BE102" s="48" t="n">
        <f aca="false">BE95+BE97</f>
        <v>-821.376815180195</v>
      </c>
      <c r="BF102" s="48" t="n">
        <f aca="false">BF95+BF97</f>
        <v>-831.644025369947</v>
      </c>
      <c r="BG102" s="48" t="n">
        <f aca="false">BG95+BG97</f>
        <v>-842.039575687071</v>
      </c>
      <c r="BH102" s="48" t="n">
        <f aca="false">BH95+BH97</f>
        <v>-852.56507038316</v>
      </c>
      <c r="BI102" s="48" t="n">
        <f aca="false">BI95+BI97</f>
        <v>-863.222133762949</v>
      </c>
      <c r="BJ102" s="48" t="n">
        <f aca="false">BJ95+BJ97</f>
        <v>-874.012410434986</v>
      </c>
      <c r="BK102" s="48" t="n">
        <f aca="false">BK95+BK97</f>
        <v>-884.937565565424</v>
      </c>
      <c r="BL102" s="48" t="n">
        <f aca="false">BL95+BL97</f>
        <v>-895.999285134991</v>
      </c>
      <c r="BM102" s="48" t="n">
        <f aca="false">BM95+BM97</f>
        <v>-907.199276199179</v>
      </c>
      <c r="BN102" s="48" t="n">
        <f aca="false">BN95+BN97</f>
        <v>-918.539267151668</v>
      </c>
      <c r="BO102" s="48" t="n">
        <f aca="false">BO95+BO97</f>
        <v>-930.021007991064</v>
      </c>
      <c r="BP102" s="48" t="n">
        <f aca="false">BP95+BP97</f>
        <v>-941.646270590953</v>
      </c>
      <c r="BQ102" s="48" t="n">
        <f aca="false">BQ95+BQ97</f>
        <v>-953.416848973339</v>
      </c>
      <c r="BR102" s="48" t="n">
        <f aca="false">BR95+BR97</f>
        <v>-965.334559585506</v>
      </c>
      <c r="BS102" s="48" t="n">
        <f aca="false">BS95+BS97</f>
        <v>-977.401241580325</v>
      </c>
      <c r="BT102" s="48" t="n">
        <f aca="false">BT95+BT97</f>
        <v>-989.618757100079</v>
      </c>
      <c r="BU102" s="48" t="n">
        <f aca="false">BU95+BU97</f>
        <v>-1001.98899156383</v>
      </c>
      <c r="BV102" s="48" t="n">
        <f aca="false">BV95+BV97</f>
        <v>-1014.51385395838</v>
      </c>
      <c r="BW102" s="48" t="n">
        <f aca="false">BW95+BW97</f>
        <v>-1027.19527713286</v>
      </c>
      <c r="BX102" s="48" t="n">
        <f aca="false">BX95+BX97</f>
        <v>-1040.03521809702</v>
      </c>
      <c r="BY102" s="48" t="n">
        <f aca="false">BY95+BY97</f>
        <v>-1053.03565832323</v>
      </c>
      <c r="BZ102" s="48" t="n">
        <f aca="false">BZ95+BZ97</f>
        <v>-1066.19860405227</v>
      </c>
      <c r="CA102" s="48" t="n">
        <f aca="false">CA95+CA97</f>
        <v>-1079.52608660292</v>
      </c>
      <c r="CB102" s="48" t="n">
        <f aca="false">CB95+CB97</f>
        <v>-1093.02016268546</v>
      </c>
      <c r="CC102" s="48" t="n">
        <f aca="false">CC95+CC97</f>
        <v>-1106.68291471903</v>
      </c>
      <c r="CD102" s="48" t="n">
        <f aca="false">CD95+CD97</f>
        <v>-1120.51645115302</v>
      </c>
      <c r="CE102" s="48" t="n">
        <f aca="false">CE95+CE97</f>
        <v>-1134.52290679243</v>
      </c>
      <c r="CF102" s="48" t="n">
        <f aca="false">CF95+CF97</f>
        <v>-1148.70444312734</v>
      </c>
      <c r="CG102" s="48" t="n">
        <f aca="false">CG95+CG97</f>
        <v>-1163.06324866642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485</v>
      </c>
      <c r="D103" s="11" t="s">
        <v>33</v>
      </c>
      <c r="E103" s="57" t="n">
        <f aca="false">SUMIF($J$4:$EO$4,In_COD,$J103:$EO103)</f>
        <v>49500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5116.61953685185</v>
      </c>
      <c r="S103" s="57" t="n">
        <f aca="false">SUM(S99:S102)</f>
        <v>15301.8343169001</v>
      </c>
      <c r="T103" s="57" t="n">
        <f aca="false">SUM(T99:T102)</f>
        <v>20554.1113529648</v>
      </c>
      <c r="U103" s="57" t="n">
        <f aca="false">SUM(U99:U102)</f>
        <v>25927.6572817287</v>
      </c>
      <c r="V103" s="57" t="n">
        <f aca="false">SUM(V99:V102)</f>
        <v>31368.3725346022</v>
      </c>
      <c r="W103" s="57" t="n">
        <f aca="false">SUM(W99:W102)</f>
        <v>36765.8658686398</v>
      </c>
      <c r="X103" s="57" t="n">
        <f aca="false">SUM(X99:X102)</f>
        <v>42286.4432991012</v>
      </c>
      <c r="Y103" s="57" t="n">
        <f aca="false">SUM(Y99:Y102)</f>
        <v>49500</v>
      </c>
      <c r="Z103" s="57" t="n">
        <f aca="false">SUM(Z99:Z102)</f>
        <v>48941.1484607253</v>
      </c>
      <c r="AA103" s="57" t="n">
        <f aca="false">SUM(AA99:AA102)</f>
        <v>48375.3112772096</v>
      </c>
      <c r="AB103" s="57" t="n">
        <f aca="false">SUM(AB99:AB102)</f>
        <v>47802.4011288999</v>
      </c>
      <c r="AC103" s="57" t="n">
        <f aca="false">SUM(AC99:AC102)</f>
        <v>47222.3296037364</v>
      </c>
      <c r="AD103" s="57" t="n">
        <f aca="false">SUM(AD99:AD102)</f>
        <v>46635.0071845084</v>
      </c>
      <c r="AE103" s="57" t="n">
        <f aca="false">SUM(AE99:AE102)</f>
        <v>46040.34323504</v>
      </c>
      <c r="AF103" s="57" t="n">
        <f aca="false">SUM(AF99:AF102)</f>
        <v>45438.2459862032</v>
      </c>
      <c r="AG103" s="57" t="n">
        <f aca="false">SUM(AG99:AG102)</f>
        <v>44828.622521756</v>
      </c>
      <c r="AH103" s="57" t="n">
        <f aca="false">SUM(AH99:AH102)</f>
        <v>44211.3787640032</v>
      </c>
      <c r="AI103" s="57" t="n">
        <f aca="false">SUM(AI99:AI102)</f>
        <v>43586.4194592785</v>
      </c>
      <c r="AJ103" s="57" t="n">
        <f aca="false">SUM(AJ99:AJ102)</f>
        <v>42953.6481632447</v>
      </c>
      <c r="AK103" s="57" t="n">
        <f aca="false">SUM(AK99:AK102)</f>
        <v>42312.9672260105</v>
      </c>
      <c r="AL103" s="57" t="n">
        <f aca="false">SUM(AL99:AL102)</f>
        <v>41664.2777770609</v>
      </c>
      <c r="AM103" s="57" t="n">
        <f aca="false">SUM(AM99:AM102)</f>
        <v>41007.4797099994</v>
      </c>
      <c r="AN103" s="57" t="n">
        <f aca="false">SUM(AN99:AN102)</f>
        <v>40342.4716670996</v>
      </c>
      <c r="AO103" s="57" t="n">
        <f aca="false">SUM(AO99:AO102)</f>
        <v>39669.1510236636</v>
      </c>
      <c r="AP103" s="57" t="n">
        <f aca="false">SUM(AP99:AP102)</f>
        <v>38987.4138721846</v>
      </c>
      <c r="AQ103" s="57" t="n">
        <f aca="false">SUM(AQ99:AQ102)</f>
        <v>38297.1550063122</v>
      </c>
      <c r="AR103" s="57" t="n">
        <f aca="false">SUM(AR99:AR102)</f>
        <v>37598.2679046163</v>
      </c>
      <c r="AS103" s="57" t="n">
        <f aca="false">SUM(AS99:AS102)</f>
        <v>36890.6447141492</v>
      </c>
      <c r="AT103" s="57" t="n">
        <f aca="false">SUM(AT99:AT102)</f>
        <v>36174.1762338014</v>
      </c>
      <c r="AU103" s="57" t="n">
        <f aca="false">SUM(AU99:AU102)</f>
        <v>35448.7518974491</v>
      </c>
      <c r="AV103" s="57" t="n">
        <f aca="false">SUM(AV99:AV102)</f>
        <v>34714.2597568925</v>
      </c>
      <c r="AW103" s="57" t="n">
        <f aca="false">SUM(AW99:AW102)</f>
        <v>33970.5864645789</v>
      </c>
      <c r="AX103" s="57" t="n">
        <f aca="false">SUM(AX99:AX102)</f>
        <v>33217.6172561114</v>
      </c>
      <c r="AY103" s="57" t="n">
        <f aca="false">SUM(AY99:AY102)</f>
        <v>32455.235932538</v>
      </c>
      <c r="AZ103" s="57" t="n">
        <f aca="false">SUM(AZ99:AZ102)</f>
        <v>31683.32484242</v>
      </c>
      <c r="BA103" s="57" t="n">
        <f aca="false">SUM(BA99:BA102)</f>
        <v>30901.7648636755</v>
      </c>
      <c r="BB103" s="57" t="n">
        <f aca="false">SUM(BB99:BB102)</f>
        <v>30110.4353851966</v>
      </c>
      <c r="BC103" s="57" t="n">
        <f aca="false">SUM(BC99:BC102)</f>
        <v>29309.2142882368</v>
      </c>
      <c r="BD103" s="57" t="n">
        <f aca="false">SUM(BD99:BD102)</f>
        <v>28497.977927565</v>
      </c>
      <c r="BE103" s="57" t="n">
        <f aca="false">SUM(BE99:BE102)</f>
        <v>27676.6011123848</v>
      </c>
      <c r="BF103" s="57" t="n">
        <f aca="false">SUM(BF99:BF102)</f>
        <v>26844.9570870149</v>
      </c>
      <c r="BG103" s="57" t="n">
        <f aca="false">SUM(BG99:BG102)</f>
        <v>26002.9175113278</v>
      </c>
      <c r="BH103" s="57" t="n">
        <f aca="false">SUM(BH99:BH102)</f>
        <v>25150.3524409447</v>
      </c>
      <c r="BI103" s="57" t="n">
        <f aca="false">SUM(BI99:BI102)</f>
        <v>24287.1303071817</v>
      </c>
      <c r="BJ103" s="57" t="n">
        <f aca="false">SUM(BJ99:BJ102)</f>
        <v>23413.1178967467</v>
      </c>
      <c r="BK103" s="57" t="n">
        <f aca="false">SUM(BK99:BK102)</f>
        <v>22528.1803311813</v>
      </c>
      <c r="BL103" s="57" t="n">
        <f aca="false">SUM(BL99:BL102)</f>
        <v>21632.1810460463</v>
      </c>
      <c r="BM103" s="57" t="n">
        <f aca="false">SUM(BM99:BM102)</f>
        <v>20724.9817698471</v>
      </c>
      <c r="BN103" s="57" t="n">
        <f aca="false">SUM(BN99:BN102)</f>
        <v>19806.4425026955</v>
      </c>
      <c r="BO103" s="57" t="n">
        <f aca="false">SUM(BO99:BO102)</f>
        <v>18876.4214947044</v>
      </c>
      <c r="BP103" s="57" t="n">
        <f aca="false">SUM(BP99:BP102)</f>
        <v>17934.7752241135</v>
      </c>
      <c r="BQ103" s="57" t="n">
        <f aca="false">SUM(BQ99:BQ102)</f>
        <v>16981.3583751401</v>
      </c>
      <c r="BR103" s="57" t="n">
        <f aca="false">SUM(BR99:BR102)</f>
        <v>16016.0238155546</v>
      </c>
      <c r="BS103" s="57" t="n">
        <f aca="false">SUM(BS99:BS102)</f>
        <v>15038.6225739743</v>
      </c>
      <c r="BT103" s="57" t="n">
        <f aca="false">SUM(BT99:BT102)</f>
        <v>14049.0038168742</v>
      </c>
      <c r="BU103" s="57" t="n">
        <f aca="false">SUM(BU99:BU102)</f>
        <v>13047.0148253104</v>
      </c>
      <c r="BV103" s="57" t="n">
        <f aca="false">SUM(BV99:BV102)</f>
        <v>12032.500971352</v>
      </c>
      <c r="BW103" s="57" t="n">
        <f aca="false">SUM(BW99:BW102)</f>
        <v>11005.3056942191</v>
      </c>
      <c r="BX103" s="57" t="n">
        <f aca="false">SUM(BX99:BX102)</f>
        <v>9965.27047612213</v>
      </c>
      <c r="BY103" s="57" t="n">
        <f aca="false">SUM(BY99:BY102)</f>
        <v>8912.23481779889</v>
      </c>
      <c r="BZ103" s="57" t="n">
        <f aca="false">SUM(BZ99:BZ102)</f>
        <v>7846.03621374662</v>
      </c>
      <c r="CA103" s="57" t="n">
        <f aca="false">SUM(CA99:CA102)</f>
        <v>6766.5101271437</v>
      </c>
      <c r="CB103" s="57" t="n">
        <f aca="false">SUM(CB99:CB102)</f>
        <v>5673.48996445824</v>
      </c>
      <c r="CC103" s="57" t="n">
        <f aca="false">SUM(CC99:CC102)</f>
        <v>4566.80704973921</v>
      </c>
      <c r="CD103" s="57" t="n">
        <f aca="false">SUM(CD99:CD102)</f>
        <v>3446.29059858619</v>
      </c>
      <c r="CE103" s="57" t="n">
        <f aca="false">SUM(CE99:CE102)</f>
        <v>2311.76769179376</v>
      </c>
      <c r="CF103" s="57" t="n">
        <f aca="false">SUM(CF99:CF102)</f>
        <v>1163.06324866642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486</v>
      </c>
      <c r="D104" s="11" t="s">
        <v>33</v>
      </c>
      <c r="I104" s="48" t="n">
        <f aca="false">SUM(J104:EO104)</f>
        <v>-866.25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-866.25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487</v>
      </c>
      <c r="D105" s="11" t="s">
        <v>33</v>
      </c>
      <c r="I105" s="48" t="n">
        <f aca="false">SUM(J105:EO105)</f>
        <v>-462.260070785129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-107.262270251028</v>
      </c>
      <c r="S105" s="48" t="n">
        <f aca="false">-In_Commitment_Fee*($I100-SUM($J100:S100)+S100)*S$6*(S12&gt;0)</f>
        <v>-93.5757918362145</v>
      </c>
      <c r="T105" s="48" t="n">
        <f aca="false">-In_Commitment_Fee*($I100-SUM($J100:T100)+T100)*T$6*(T12&gt;0)</f>
        <v>-71.9050858364772</v>
      </c>
      <c r="U105" s="48" t="n">
        <f aca="false">-In_Commitment_Fee*($I100-SUM($J100:U100)+U100)*U$6*(U12&gt;0)</f>
        <v>-61.2143984623475</v>
      </c>
      <c r="V105" s="48" t="n">
        <f aca="false">-In_Commitment_Fee*($I100-SUM($J100:V100)+V100)*V$6*(V12&gt;0)</f>
        <v>-49.6073820883384</v>
      </c>
      <c r="W105" s="48" t="n">
        <f aca="false">-In_Commitment_Fee*($I100-SUM($J100:W100)+W100)*W$6*(W12&gt;0)</f>
        <v>-37.174270807496</v>
      </c>
      <c r="X105" s="48" t="n">
        <f aca="false">-In_Commitment_Fee*($I100-SUM($J100:X100)+X100)*X$6*(X12&gt;0)</f>
        <v>-26.356048872546</v>
      </c>
      <c r="Y105" s="48" t="n">
        <f aca="false">-In_Commitment_Fee*($I100-SUM($J100:Y100)+Y100)*Y$6*(Y12&gt;0)</f>
        <v>-15.1648226306809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488</v>
      </c>
      <c r="D106" s="11" t="s">
        <v>33</v>
      </c>
      <c r="E106" s="48" t="n">
        <f aca="false">-SUMIFS($J96:$EO96,$J$4:$EO$4,"&gt;"&amp;In_COD,$J$4:$EO$4,"&lt;="&amp;EDATE(In_COD,In_DSRA_Months))</f>
        <v>1177.60153927476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-1177.60153927476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1177.60153927476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489</v>
      </c>
      <c r="D107" s="11" t="s">
        <v>13</v>
      </c>
      <c r="E107" s="53" t="n">
        <f aca="false">MIN($J107:$EO107)</f>
        <v>1.89052102074728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1.96105086512165</v>
      </c>
      <c r="AA107" s="53" t="n">
        <f aca="false">IF(AA96&lt;0,AA87/-AA96,"")</f>
        <v>1.93126406994586</v>
      </c>
      <c r="AB107" s="53" t="n">
        <f aca="false">IF(AB96&lt;0,AB87/-AB96,"")</f>
        <v>1.95183917422676</v>
      </c>
      <c r="AC107" s="53" t="n">
        <f aca="false">IF(AC96&lt;0,AC87/-AC96,"")</f>
        <v>1.97240864765182</v>
      </c>
      <c r="AD107" s="53" t="n">
        <f aca="false">IF(AD96&lt;0,AD87/-AD96,"")</f>
        <v>1.9652905149663</v>
      </c>
      <c r="AE107" s="53" t="n">
        <f aca="false">IF(AE96&lt;0,AE87/-AE96,"")</f>
        <v>1.95633348328688</v>
      </c>
      <c r="AF107" s="53" t="n">
        <f aca="false">IF(AF96&lt;0,AF87/-AF96,"")</f>
        <v>1.91151312896085</v>
      </c>
      <c r="AG107" s="53" t="n">
        <f aca="false">IF(AG96&lt;0,AG87/-AG96,"")</f>
        <v>1.92760289134118</v>
      </c>
      <c r="AH107" s="53" t="n">
        <f aca="false">IF(AH96&lt;0,AH87/-AH96,"")</f>
        <v>1.92047682482442</v>
      </c>
      <c r="AI107" s="53" t="n">
        <f aca="false">IF(AI96&lt;0,AI87/-AI96,"")</f>
        <v>1.89052102074728</v>
      </c>
      <c r="AJ107" s="53" t="n">
        <f aca="false">IF(AJ96&lt;0,AJ87/-AJ96,"")</f>
        <v>1.93368141441848</v>
      </c>
      <c r="AK107" s="53" t="n">
        <f aca="false">IF(AK96&lt;0,AK87/-AK96,"")</f>
        <v>1.95316052207176</v>
      </c>
      <c r="AL107" s="53" t="n">
        <f aca="false">IF(AL96&lt;0,AL87/-AL96,"")</f>
        <v>1.94594609340774</v>
      </c>
      <c r="AM107" s="53" t="n">
        <f aca="false">IF(AM96&lt;0,AM87/-AM96,"")</f>
        <v>1.9151918447991</v>
      </c>
      <c r="AN107" s="53" t="n">
        <f aca="false">IF(AN96&lt;0,AN87/-AN96,"")</f>
        <v>1.93468889122851</v>
      </c>
      <c r="AO107" s="53" t="n">
        <f aca="false">IF(AO96&lt;0,AO87/-AO96,"")</f>
        <v>1.95417286557524</v>
      </c>
      <c r="AP107" s="53" t="n">
        <f aca="false">IF(AP96&lt;0,AP87/-AP96,"")</f>
        <v>1.94686742839045</v>
      </c>
      <c r="AQ107" s="53" t="n">
        <f aca="false">IF(AQ96&lt;0,AQ87/-AQ96,"")</f>
        <v>1.91583615907803</v>
      </c>
      <c r="AR107" s="53" t="n">
        <f aca="false">IF(AR96&lt;0,AR87/-AR96,"")</f>
        <v>1.93533444489582</v>
      </c>
      <c r="AS107" s="53" t="n">
        <f aca="false">IF(AS96&lt;0,AS87/-AS96,"")</f>
        <v>1.95481899266926</v>
      </c>
      <c r="AT107" s="53" t="n">
        <f aca="false">IF(AT96&lt;0,AT87/-AT96,"")</f>
        <v>1.94741977434925</v>
      </c>
      <c r="AU107" s="53" t="n">
        <f aca="false">IF(AU96&lt;0,AU87/-AU96,"")</f>
        <v>1.93675688378731</v>
      </c>
      <c r="AV107" s="53" t="n">
        <f aca="false">IF(AV96&lt;0,AV87/-AV96,"")</f>
        <v>1.93560184909579</v>
      </c>
      <c r="AW107" s="53" t="n">
        <f aca="false">IF(AW96&lt;0,AW87/-AW96,"")</f>
        <v>1.95508248261467</v>
      </c>
      <c r="AX107" s="53" t="n">
        <f aca="false">IF(AX96&lt;0,AX87/-AX96,"")</f>
        <v>1.94758657784622</v>
      </c>
      <c r="AY107" s="53" t="n">
        <f aca="false">IF(AY96&lt;0,AY87/-AY96,"")</f>
        <v>1.91598698383452</v>
      </c>
      <c r="AZ107" s="53" t="n">
        <f aca="false">IF(AZ96&lt;0,AZ87/-AZ96,"")</f>
        <v>1.93547418606346</v>
      </c>
      <c r="BA107" s="53" t="n">
        <f aca="false">IF(BA96&lt;0,BA87/-BA96,"")</f>
        <v>1.95494621481336</v>
      </c>
      <c r="BB107" s="53" t="n">
        <f aca="false">IF(BB96&lt;0,BB87/-BB96,"")</f>
        <v>1.94735057879552</v>
      </c>
      <c r="BC107" s="53" t="n">
        <f aca="false">IF(BC96&lt;0,BC87/-BC96,"")</f>
        <v>1.9154593468997</v>
      </c>
      <c r="BD107" s="53" t="n">
        <f aca="false">IF(BD96&lt;0,BD87/-BD96,"")</f>
        <v>1.9349338152249</v>
      </c>
      <c r="BE107" s="53" t="n">
        <f aca="false">IF(BE96&lt;0,BE87/-BE96,"")</f>
        <v>1.95439233705306</v>
      </c>
      <c r="BF107" s="53" t="n">
        <f aca="false">IF(BF96&lt;0,BF87/-BF96,"")</f>
        <v>1.94669377836022</v>
      </c>
      <c r="BG107" s="53" t="n">
        <f aca="false">IF(BG96&lt;0,BG87/-BG96,"")</f>
        <v>1.91450568952641</v>
      </c>
      <c r="BH107" s="53" t="n">
        <f aca="false">IF(BH96&lt;0,BH87/-BH96,"")</f>
        <v>1.93396234032822</v>
      </c>
      <c r="BI107" s="53" t="n">
        <f aca="false">IF(BI96&lt;0,BI87/-BI96,"")</f>
        <v>1.95340223223333</v>
      </c>
      <c r="BJ107" s="53" t="n">
        <f aca="false">IF(BJ96&lt;0,BJ87/-BJ96,"")</f>
        <v>1.94559740531239</v>
      </c>
      <c r="BK107" s="53" t="n">
        <f aca="false">IF(BK96&lt;0,BK87/-BK96,"")</f>
        <v>1.93394958974763</v>
      </c>
      <c r="BL107" s="53" t="n">
        <f aca="false">IF(BL96&lt;0,BL87/-BL96,"")</f>
        <v>1.9325405750002</v>
      </c>
      <c r="BM107" s="53" t="n">
        <f aca="false">IF(BM96&lt;0,BM87/-BM96,"")</f>
        <v>1.95195648349746</v>
      </c>
      <c r="BN107" s="53" t="n">
        <f aca="false">IF(BN96&lt;0,BN87/-BN96,"")</f>
        <v>1.94404188078059</v>
      </c>
      <c r="BO107" s="53" t="n">
        <f aca="false">IF(BO96&lt;0,BO87/-BO96,"")</f>
        <v>1.91124366564131</v>
      </c>
      <c r="BP107" s="53" t="n">
        <f aca="false">IF(BP96&lt;0,BP87/-BP96,"")</f>
        <v>1.93064850665083</v>
      </c>
      <c r="BQ107" s="53" t="n">
        <f aca="false">IF(BQ96&lt;0,BQ87/-BQ96,"")</f>
        <v>1.95003483769187</v>
      </c>
      <c r="BR107" s="53" t="n">
        <f aca="false">IF(BR96&lt;0,BR87/-BR96,"")</f>
        <v>1.94200678130504</v>
      </c>
      <c r="BS107" s="53" t="n">
        <f aca="false">IF(BS96&lt;0,BS87/-BS96,"")</f>
        <v>1.90889489725292</v>
      </c>
      <c r="BT107" s="53" t="n">
        <f aca="false">IF(BT96&lt;0,BT87/-BT96,"")</f>
        <v>1.92826525864407</v>
      </c>
      <c r="BU107" s="53" t="n">
        <f aca="false">IF(BU96&lt;0,BU87/-BU96,"")</f>
        <v>1.94761616707017</v>
      </c>
      <c r="BV107" s="53" t="n">
        <f aca="false">IF(BV96&lt;0,BV87/-BV96,"")</f>
        <v>1.9394708001169</v>
      </c>
      <c r="BW107" s="53" t="n">
        <f aca="false">IF(BW96&lt;0,BW87/-BW96,"")</f>
        <v>1.90603922814019</v>
      </c>
      <c r="BX107" s="53" t="n">
        <f aca="false">IF(BX96&lt;0,BX87/-BX96,"")</f>
        <v>1.92536905064912</v>
      </c>
      <c r="BY107" s="53" t="n">
        <f aca="false">IF(BY96&lt;0,BY87/-BY96,"")</f>
        <v>1.94467842915514</v>
      </c>
      <c r="BZ107" s="53" t="n">
        <f aca="false">IF(BZ96&lt;0,BZ87/-BZ96,"")</f>
        <v>1.93641170655374</v>
      </c>
      <c r="CA107" s="53" t="n">
        <f aca="false">IF(CA96&lt;0,CA87/-CA96,"")</f>
        <v>1.92365599944511</v>
      </c>
      <c r="CB107" s="53" t="n">
        <f aca="false">IF(CB96&lt;0,CB87/-CB96,"")</f>
        <v>1.92193715708216</v>
      </c>
      <c r="CC107" s="53" t="n">
        <f aca="false">IF(CC96&lt;0,CC87/-CC96,"")</f>
        <v>1.94119862466749</v>
      </c>
      <c r="CD107" s="53" t="n">
        <f aca="false">IF(CD96&lt;0,CD87/-CD96,"")</f>
        <v>1.93280630351894</v>
      </c>
      <c r="CE107" s="53" t="n">
        <f aca="false">IF(CE96&lt;0,CE87/-CE96,"")</f>
        <v>1.89871639354526</v>
      </c>
      <c r="CF107" s="53" t="n">
        <f aca="false">IF(CF96&lt;0,CF87/-CF96,"")</f>
        <v>1.91794586354396</v>
      </c>
      <c r="CG107" s="53" t="n">
        <f aca="false">IF(CG96&lt;0,CG87/-CG96,"")</f>
        <v>1.93715275342559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490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491</v>
      </c>
      <c r="D110" s="11" t="s">
        <v>33</v>
      </c>
      <c r="E110" s="48" t="n">
        <f aca="false">$I101-($I68+$I58+$I69+$I55+$I48+$I49+$I50)</f>
        <v>83354.0228092342</v>
      </c>
      <c r="I110" s="48" t="n">
        <f aca="false">SUM(J110:EO110)</f>
        <v>-83354.0228092342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-1049.77003401089</v>
      </c>
      <c r="AA110" s="48" t="n">
        <f aca="false">-$E110*AA20</f>
        <v>-1026.948946315</v>
      </c>
      <c r="AB110" s="48" t="n">
        <f aca="false">-$E110*AB20</f>
        <v>-1038.35949016294</v>
      </c>
      <c r="AC110" s="48" t="n">
        <f aca="false">-$E110*AC20</f>
        <v>-1049.77003401089</v>
      </c>
      <c r="AD110" s="48" t="n">
        <f aca="false">-$E110*AD20</f>
        <v>-1049.77003401089</v>
      </c>
      <c r="AE110" s="48" t="n">
        <f aca="false">-$E110*AE20</f>
        <v>-1038.35949016294</v>
      </c>
      <c r="AF110" s="48" t="n">
        <f aca="false">-$E110*AF20</f>
        <v>-1038.35949016294</v>
      </c>
      <c r="AG110" s="48" t="n">
        <f aca="false">-$E110*AG20</f>
        <v>-1049.77003401089</v>
      </c>
      <c r="AH110" s="48" t="n">
        <f aca="false">-$E110*AH20</f>
        <v>-1049.77003401089</v>
      </c>
      <c r="AI110" s="48" t="n">
        <f aca="false">-$E110*AI20</f>
        <v>-1026.948946315</v>
      </c>
      <c r="AJ110" s="48" t="n">
        <f aca="false">-$E110*AJ20</f>
        <v>-1038.35949016294</v>
      </c>
      <c r="AK110" s="48" t="n">
        <f aca="false">-$E110*AK20</f>
        <v>-1049.77003401089</v>
      </c>
      <c r="AL110" s="48" t="n">
        <f aca="false">-$E110*AL20</f>
        <v>-1049.77003401089</v>
      </c>
      <c r="AM110" s="48" t="n">
        <f aca="false">-$E110*AM20</f>
        <v>-1026.948946315</v>
      </c>
      <c r="AN110" s="48" t="n">
        <f aca="false">-$E110*AN20</f>
        <v>-1038.35949016294</v>
      </c>
      <c r="AO110" s="48" t="n">
        <f aca="false">-$E110*AO20</f>
        <v>-1049.77003401089</v>
      </c>
      <c r="AP110" s="48" t="n">
        <f aca="false">-$E110*AP20</f>
        <v>-1049.77003401089</v>
      </c>
      <c r="AQ110" s="48" t="n">
        <f aca="false">-$E110*AQ20</f>
        <v>-1026.948946315</v>
      </c>
      <c r="AR110" s="48" t="n">
        <f aca="false">-$E110*AR20</f>
        <v>-1038.35949016294</v>
      </c>
      <c r="AS110" s="48" t="n">
        <f aca="false">-$E110*AS20</f>
        <v>-1049.77003401089</v>
      </c>
      <c r="AT110" s="48" t="n">
        <f aca="false">-$E110*AT20</f>
        <v>-1049.77003401089</v>
      </c>
      <c r="AU110" s="48" t="n">
        <f aca="false">-$E110*AU20</f>
        <v>-1038.35949016294</v>
      </c>
      <c r="AV110" s="48" t="n">
        <f aca="false">-$E110*AV20</f>
        <v>-1038.35949016294</v>
      </c>
      <c r="AW110" s="48" t="n">
        <f aca="false">-$E110*AW20</f>
        <v>-1049.77003401089</v>
      </c>
      <c r="AX110" s="48" t="n">
        <f aca="false">-$E110*AX20</f>
        <v>-1049.77003401089</v>
      </c>
      <c r="AY110" s="48" t="n">
        <f aca="false">-$E110*AY20</f>
        <v>-1026.948946315</v>
      </c>
      <c r="AZ110" s="48" t="n">
        <f aca="false">-$E110*AZ20</f>
        <v>-1038.35949016294</v>
      </c>
      <c r="BA110" s="48" t="n">
        <f aca="false">-$E110*BA20</f>
        <v>-1049.77003401089</v>
      </c>
      <c r="BB110" s="48" t="n">
        <f aca="false">-$E110*BB20</f>
        <v>-1049.77003401089</v>
      </c>
      <c r="BC110" s="48" t="n">
        <f aca="false">-$E110*BC20</f>
        <v>-1026.948946315</v>
      </c>
      <c r="BD110" s="48" t="n">
        <f aca="false">-$E110*BD20</f>
        <v>-1038.35949016294</v>
      </c>
      <c r="BE110" s="48" t="n">
        <f aca="false">-$E110*BE20</f>
        <v>-1049.77003401089</v>
      </c>
      <c r="BF110" s="48" t="n">
        <f aca="false">-$E110*BF20</f>
        <v>-1049.77003401089</v>
      </c>
      <c r="BG110" s="48" t="n">
        <f aca="false">-$E110*BG20</f>
        <v>-1026.948946315</v>
      </c>
      <c r="BH110" s="48" t="n">
        <f aca="false">-$E110*BH20</f>
        <v>-1038.35949016294</v>
      </c>
      <c r="BI110" s="48" t="n">
        <f aca="false">-$E110*BI20</f>
        <v>-1049.77003401089</v>
      </c>
      <c r="BJ110" s="48" t="n">
        <f aca="false">-$E110*BJ20</f>
        <v>-1049.77003401089</v>
      </c>
      <c r="BK110" s="48" t="n">
        <f aca="false">-$E110*BK20</f>
        <v>-1038.35949016294</v>
      </c>
      <c r="BL110" s="48" t="n">
        <f aca="false">-$E110*BL20</f>
        <v>-1038.35949016294</v>
      </c>
      <c r="BM110" s="48" t="n">
        <f aca="false">-$E110*BM20</f>
        <v>-1049.77003401089</v>
      </c>
      <c r="BN110" s="48" t="n">
        <f aca="false">-$E110*BN20</f>
        <v>-1049.77003401089</v>
      </c>
      <c r="BO110" s="48" t="n">
        <f aca="false">-$E110*BO20</f>
        <v>-1026.948946315</v>
      </c>
      <c r="BP110" s="48" t="n">
        <f aca="false">-$E110*BP20</f>
        <v>-1038.35949016294</v>
      </c>
      <c r="BQ110" s="48" t="n">
        <f aca="false">-$E110*BQ20</f>
        <v>-1049.77003401089</v>
      </c>
      <c r="BR110" s="48" t="n">
        <f aca="false">-$E110*BR20</f>
        <v>-1049.77003401089</v>
      </c>
      <c r="BS110" s="48" t="n">
        <f aca="false">-$E110*BS20</f>
        <v>-1026.948946315</v>
      </c>
      <c r="BT110" s="48" t="n">
        <f aca="false">-$E110*BT20</f>
        <v>-1038.35949016294</v>
      </c>
      <c r="BU110" s="48" t="n">
        <f aca="false">-$E110*BU20</f>
        <v>-1049.77003401089</v>
      </c>
      <c r="BV110" s="48" t="n">
        <f aca="false">-$E110*BV20</f>
        <v>-1049.77003401089</v>
      </c>
      <c r="BW110" s="48" t="n">
        <f aca="false">-$E110*BW20</f>
        <v>-1026.948946315</v>
      </c>
      <c r="BX110" s="48" t="n">
        <f aca="false">-$E110*BX20</f>
        <v>-1038.35949016294</v>
      </c>
      <c r="BY110" s="48" t="n">
        <f aca="false">-$E110*BY20</f>
        <v>-1049.77003401089</v>
      </c>
      <c r="BZ110" s="48" t="n">
        <f aca="false">-$E110*BZ20</f>
        <v>-1049.77003401089</v>
      </c>
      <c r="CA110" s="48" t="n">
        <f aca="false">-$E110*CA20</f>
        <v>-1038.35949016294</v>
      </c>
      <c r="CB110" s="48" t="n">
        <f aca="false">-$E110*CB20</f>
        <v>-1038.35949016294</v>
      </c>
      <c r="CC110" s="48" t="n">
        <f aca="false">-$E110*CC20</f>
        <v>-1049.77003401089</v>
      </c>
      <c r="CD110" s="48" t="n">
        <f aca="false">-$E110*CD20</f>
        <v>-1049.77003401089</v>
      </c>
      <c r="CE110" s="48" t="n">
        <f aca="false">-$E110*CE20</f>
        <v>-1026.948946315</v>
      </c>
      <c r="CF110" s="48" t="n">
        <f aca="false">-$E110*CF20</f>
        <v>-1038.35949016294</v>
      </c>
      <c r="CG110" s="48" t="n">
        <f aca="false">-$E110*CG20</f>
        <v>-1049.77003401089</v>
      </c>
      <c r="CH110" s="48" t="n">
        <f aca="false">-$E110*CH20</f>
        <v>-1049.77003401089</v>
      </c>
      <c r="CI110" s="48" t="n">
        <f aca="false">-$E110*CI20</f>
        <v>-1026.948946315</v>
      </c>
      <c r="CJ110" s="48" t="n">
        <f aca="false">-$E110*CJ20</f>
        <v>-1038.35949016294</v>
      </c>
      <c r="CK110" s="48" t="n">
        <f aca="false">-$E110*CK20</f>
        <v>-1049.77003401089</v>
      </c>
      <c r="CL110" s="48" t="n">
        <f aca="false">-$E110*CL20</f>
        <v>-1049.77003401089</v>
      </c>
      <c r="CM110" s="48" t="n">
        <f aca="false">-$E110*CM20</f>
        <v>-1026.948946315</v>
      </c>
      <c r="CN110" s="48" t="n">
        <f aca="false">-$E110*CN20</f>
        <v>-1038.35949016294</v>
      </c>
      <c r="CO110" s="48" t="n">
        <f aca="false">-$E110*CO20</f>
        <v>-1049.77003401089</v>
      </c>
      <c r="CP110" s="48" t="n">
        <f aca="false">-$E110*CP20</f>
        <v>-1049.77003401089</v>
      </c>
      <c r="CQ110" s="48" t="n">
        <f aca="false">-$E110*CQ20</f>
        <v>-1038.35949016294</v>
      </c>
      <c r="CR110" s="48" t="n">
        <f aca="false">-$E110*CR20</f>
        <v>-1038.35949016294</v>
      </c>
      <c r="CS110" s="48" t="n">
        <f aca="false">-$E110*CS20</f>
        <v>-1049.77003401089</v>
      </c>
      <c r="CT110" s="48" t="n">
        <f aca="false">-$E110*CT20</f>
        <v>-1049.77003401089</v>
      </c>
      <c r="CU110" s="48" t="n">
        <f aca="false">-$E110*CU20</f>
        <v>-1026.948946315</v>
      </c>
      <c r="CV110" s="48" t="n">
        <f aca="false">-$E110*CV20</f>
        <v>-1038.35949016294</v>
      </c>
      <c r="CW110" s="48" t="n">
        <f aca="false">-$E110*CW20</f>
        <v>-1049.77003401089</v>
      </c>
      <c r="CX110" s="48" t="n">
        <f aca="false">-$E110*CX20</f>
        <v>-1049.77003401089</v>
      </c>
      <c r="CY110" s="48" t="n">
        <f aca="false">-$E110*CY20</f>
        <v>-1026.948946315</v>
      </c>
      <c r="CZ110" s="48" t="n">
        <f aca="false">-$E110*CZ20</f>
        <v>-1038.35949016294</v>
      </c>
      <c r="DA110" s="48" t="n">
        <f aca="false">-$E110*DA20</f>
        <v>-1049.77003401089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492</v>
      </c>
      <c r="D111" s="11" t="s">
        <v>33</v>
      </c>
      <c r="I111" s="48" t="n">
        <f aca="false">SUM(J111:EO111)</f>
        <v>188703.571365297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-1048.59640555772</v>
      </c>
      <c r="S111" s="48" t="n">
        <f aca="false">S83+S110+S94+S104+S105+S52+S59</f>
        <v>-168.044181549198</v>
      </c>
      <c r="T111" s="48" t="n">
        <f aca="false">T83+T110+T94+T104+T105+T52+T59</f>
        <v>-147.200902101827</v>
      </c>
      <c r="U111" s="48" t="n">
        <f aca="false">U83+U110+U94+U104+U105+U52+U59</f>
        <v>-137.337641280064</v>
      </c>
      <c r="V111" s="48" t="n">
        <f aca="false">V83+V110+V94+V104+V105+V52+V59</f>
        <v>-125.730624906055</v>
      </c>
      <c r="W111" s="48" t="n">
        <f aca="false">W83+W110+W94+W104+W105+W52+W59</f>
        <v>-112.684591693216</v>
      </c>
      <c r="X111" s="48" t="n">
        <f aca="false">X83+X110+X94+X104+X105+X52+X59</f>
        <v>-102.705373323663</v>
      </c>
      <c r="Y111" s="48" t="n">
        <f aca="false">Y83+Y110+Y94+Y104+Y105+Y52+Y59</f>
        <v>-92.3531506471943</v>
      </c>
      <c r="Z111" s="48" t="n">
        <f aca="false">Z83+Z110+Z94+Z104+Z105+Z52+Z59</f>
        <v>692.774576597255</v>
      </c>
      <c r="AA111" s="48" t="n">
        <f aca="false">AA83+AA110+AA94+AA104+AA105+AA52+AA59</f>
        <v>687.077015611037</v>
      </c>
      <c r="AB111" s="48" t="n">
        <f aca="false">AB83+AB110+AB94+AB104+AB105+AB52+AB59</f>
        <v>708.581551197984</v>
      </c>
      <c r="AC111" s="48" t="n">
        <f aca="false">AC83+AC110+AC94+AC104+AC105+AC52+AC59</f>
        <v>730.174498844856</v>
      </c>
      <c r="AD111" s="48" t="n">
        <f aca="false">AD83+AD110+AD94+AD104+AD105+AD52+AD59</f>
        <v>728.951331339244</v>
      </c>
      <c r="AE111" s="48" t="n">
        <f aca="false">AE83+AE110+AE94+AE104+AE105+AE52+AE59</f>
        <v>737.820801388193</v>
      </c>
      <c r="AF111" s="48" t="n">
        <f aca="false">AF83+AF110+AF94+AF104+AF105+AF52+AF59</f>
        <v>745.254100756549</v>
      </c>
      <c r="AG111" s="48" t="n">
        <f aca="false">AG83+AG110+AG94+AG104+AG105+AG52+AG59</f>
        <v>767.294144841673</v>
      </c>
      <c r="AH111" s="48" t="n">
        <f aca="false">AH83+AH110+AH94+AH104+AH105+AH52+AH59</f>
        <v>766.386646496352</v>
      </c>
      <c r="AI111" s="48" t="n">
        <f aca="false">AI83+AI110+AI94+AI104+AI105+AI52+AI59</f>
        <v>760.810921409701</v>
      </c>
      <c r="AJ111" s="48" t="n">
        <f aca="false">AJ83+AJ110+AJ94+AJ104+AJ105+AJ52+AJ59</f>
        <v>816.372325508546</v>
      </c>
      <c r="AK111" s="48" t="n">
        <f aca="false">AK83+AK110+AK94+AK104+AK105+AK52+AK59</f>
        <v>839.240236695228</v>
      </c>
      <c r="AL111" s="48" t="n">
        <f aca="false">AL83+AL110+AL94+AL104+AL105+AL52+AL59</f>
        <v>838.667047772508</v>
      </c>
      <c r="AM111" s="48" t="n">
        <f aca="false">AM83+AM110+AM94+AM104+AM105+AM52+AM59</f>
        <v>832.447583427784</v>
      </c>
      <c r="AN111" s="48" t="n">
        <f aca="false">AN83+AN110+AN94+AN104+AN105+AN52+AN59</f>
        <v>855.693682106509</v>
      </c>
      <c r="AO111" s="48" t="n">
        <f aca="false">AO83+AO110+AO94+AO104+AO105+AO52+AO59</f>
        <v>879.042405483213</v>
      </c>
      <c r="AP111" s="48" t="n">
        <f aca="false">AP83+AP110+AP94+AP104+AP105+AP52+AP59</f>
        <v>878.823127799761</v>
      </c>
      <c r="AQ111" s="48" t="n">
        <f aca="false">AQ83+AQ110+AQ94+AQ104+AQ105+AQ52+AQ59</f>
        <v>872.705870836728</v>
      </c>
      <c r="AR111" s="48" t="n">
        <f aca="false">AR83+AR110+AR94+AR104+AR105+AR52+AR59</f>
        <v>896.445757151678</v>
      </c>
      <c r="AS111" s="48" t="n">
        <f aca="false">AS83+AS110+AS94+AS104+AS105+AS52+AS59</f>
        <v>920.293496414421</v>
      </c>
      <c r="AT111" s="48" t="n">
        <f aca="false">AT83+AT110+AT94+AT104+AT105+AT52+AT59</f>
        <v>920.448742294147</v>
      </c>
      <c r="AU111" s="48" t="n">
        <f aca="false">AU83+AU110+AU94+AU104+AU105+AU52+AU59</f>
        <v>929.636699368779</v>
      </c>
      <c r="AV111" s="48" t="n">
        <f aca="false">AV83+AV110+AV94+AV104+AV105+AV52+AV59</f>
        <v>938.704503573182</v>
      </c>
      <c r="AW111" s="48" t="n">
        <f aca="false">AW83+AW110+AW94+AW104+AW105+AW52+AW59</f>
        <v>963.070423487188</v>
      </c>
      <c r="AX111" s="48" t="n">
        <f aca="false">AX83+AX110+AX94+AX104+AX105+AX52+AX59</f>
        <v>963.621867205231</v>
      </c>
      <c r="AY111" s="48" t="n">
        <f aca="false">AY83+AY110+AY94+AY104+AY105+AY52+AY59</f>
        <v>957.764775738286</v>
      </c>
      <c r="AZ111" s="48" t="n">
        <f aca="false">AZ83+AZ110+AZ94+AZ104+AZ105+AZ52+AZ59</f>
        <v>982.549931076727</v>
      </c>
      <c r="BA111" s="48" t="n">
        <f aca="false">BA83+BA110+BA94+BA104+BA105+BA52+BA59</f>
        <v>1007.45420849698</v>
      </c>
      <c r="BB111" s="48" t="n">
        <f aca="false">BB83+BB110+BB94+BB104+BB105+BB52+BB59</f>
        <v>1008.42464034161</v>
      </c>
      <c r="BC111" s="48" t="n">
        <f aca="false">BC83+BC110+BC94+BC104+BC105+BC52+BC59</f>
        <v>1002.72763140865</v>
      </c>
      <c r="BD111" s="48" t="n">
        <f aca="false">BD83+BD110+BD94+BD104+BD105+BD52+BD59</f>
        <v>1028.06631816202</v>
      </c>
      <c r="BE111" s="48" t="n">
        <f aca="false">BE83+BE110+BE94+BE104+BE105+BE52+BE59</f>
        <v>1053.53019571179</v>
      </c>
      <c r="BF111" s="48" t="n">
        <f aca="false">BF83+BF110+BF94+BF104+BF105+BF52+BF59</f>
        <v>1054.94357879752</v>
      </c>
      <c r="BG111" s="48" t="n">
        <f aca="false">BG83+BG110+BG94+BG104+BG105+BG52+BG59</f>
        <v>1049.42816121634</v>
      </c>
      <c r="BH111" s="48" t="n">
        <f aca="false">BH83+BH110+BH94+BH104+BH105+BH52+BH59</f>
        <v>1075.34243507692</v>
      </c>
      <c r="BI111" s="48" t="n">
        <f aca="false">BI83+BI110+BI94+BI104+BI105+BI52+BI59</f>
        <v>1101.3882776212</v>
      </c>
      <c r="BJ111" s="48" t="n">
        <f aca="false">BJ83+BJ110+BJ94+BJ104+BJ105+BJ52+BJ59</f>
        <v>1103.26980759316</v>
      </c>
      <c r="BK111" s="48" t="n">
        <f aca="false">BK83+BK110+BK94+BK104+BK105+BK52+BK59</f>
        <v>1113.41005869919</v>
      </c>
      <c r="BL111" s="48" t="n">
        <f aca="false">BL83+BL110+BL94+BL104+BL105+BL52+BL59</f>
        <v>1124.47177826876</v>
      </c>
      <c r="BM111" s="48" t="n">
        <f aca="false">BM83+BM110+BM94+BM104+BM105+BM52+BM59</f>
        <v>1151.12313232645</v>
      </c>
      <c r="BN111" s="48" t="n">
        <f aca="false">BN83+BN110+BN94+BN104+BN105+BN52+BN59</f>
        <v>1153.49930010334</v>
      </c>
      <c r="BO111" s="48" t="n">
        <f aca="false">BO83+BO110+BO94+BO104+BO105+BO52+BO59</f>
        <v>1148.4164764584</v>
      </c>
      <c r="BP111" s="48" t="n">
        <f aca="false">BP83+BP110+BP94+BP104+BP105+BP52+BP59</f>
        <v>1175.55281692209</v>
      </c>
      <c r="BQ111" s="48" t="n">
        <f aca="false">BQ83+BQ110+BQ94+BQ104+BQ105+BQ52+BQ59</f>
        <v>1202.83447316828</v>
      </c>
      <c r="BR111" s="48" t="n">
        <f aca="false">BR83+BR110+BR94+BR104+BR105+BR52+BR59</f>
        <v>1205.73313087847</v>
      </c>
      <c r="BS111" s="48" t="n">
        <f aca="false">BS83+BS110+BS94+BS104+BS105+BS52+BS59</f>
        <v>1200.90391212863</v>
      </c>
      <c r="BT111" s="48" t="n">
        <f aca="false">BT83+BT110+BT94+BT104+BT105+BT52+BT59</f>
        <v>1228.68925220197</v>
      </c>
      <c r="BU111" s="48" t="n">
        <f aca="false">BU83+BU110+BU94+BU104+BU105+BU52+BU59</f>
        <v>1256.62731121931</v>
      </c>
      <c r="BV111" s="48" t="n">
        <f aca="false">BV83+BV110+BV94+BV104+BV105+BV52+BV59</f>
        <v>1260.07774149276</v>
      </c>
      <c r="BW111" s="48" t="n">
        <f aca="false">BW83+BW110+BW94+BW104+BW105+BW52+BW59</f>
        <v>1255.52884766948</v>
      </c>
      <c r="BX111" s="48" t="n">
        <f aca="false">BX83+BX110+BX94+BX104+BX105+BX52+BX59</f>
        <v>1283.99028985377</v>
      </c>
      <c r="BY111" s="48" t="n">
        <f aca="false">BY83+BY110+BY94+BY104+BY105+BY52+BY59</f>
        <v>1312.61223130011</v>
      </c>
      <c r="BZ111" s="48" t="n">
        <f aca="false">BZ83+BZ110+BZ94+BZ104+BZ105+BZ52+BZ59</f>
        <v>1316.64522008702</v>
      </c>
      <c r="CA111" s="48" t="n">
        <f aca="false">CA83+CA110+CA94+CA104+CA105+CA52+CA59</f>
        <v>1328.07685076106</v>
      </c>
      <c r="CB111" s="48" t="n">
        <f aca="false">CB83+CB110+CB94+CB104+CB105+CB52+CB59</f>
        <v>1341.5709268436</v>
      </c>
      <c r="CC111" s="48" t="n">
        <f aca="false">CC83+CC110+CC94+CC104+CC105+CC52+CC59</f>
        <v>1370.9056822116</v>
      </c>
      <c r="CD111" s="48" t="n">
        <f aca="false">CD83+CD110+CD94+CD104+CD105+CD52+CD59</f>
        <v>1375.55359530733</v>
      </c>
      <c r="CE111" s="48" t="n">
        <f aca="false">CE83+CE110+CE94+CE104+CE105+CE52+CE59</f>
        <v>1371.65149280917</v>
      </c>
      <c r="CF111" s="48" t="n">
        <f aca="false">CF83+CF110+CF94+CF104+CF105+CF52+CF59</f>
        <v>1401.55225275842</v>
      </c>
      <c r="CG111" s="48" t="n">
        <f aca="false">CG83+CG110+CG94+CG104+CG105+CG52+CG59</f>
        <v>1431.63028191186</v>
      </c>
      <c r="CH111" s="48" t="n">
        <f aca="false">CH83+CH110+CH94+CH104+CH105+CH52+CH59</f>
        <v>1436.92714537679</v>
      </c>
      <c r="CI111" s="48" t="n">
        <f aca="false">CI83+CI110+CI94+CI104+CI105+CI52+CI59</f>
        <v>1418.67467604321</v>
      </c>
      <c r="CJ111" s="48" t="n">
        <f aca="false">CJ83+CJ110+CJ94+CJ104+CJ105+CJ52+CJ59</f>
        <v>1434.43772799925</v>
      </c>
      <c r="CK111" s="48" t="n">
        <f aca="false">CK83+CK110+CK94+CK104+CK105+CK52+CK59</f>
        <v>1450.20077995528</v>
      </c>
      <c r="CL111" s="48" t="n">
        <f aca="false">CL83+CL110+CL94+CL104+CL105+CL52+CL59</f>
        <v>1440.90341590647</v>
      </c>
      <c r="CM111" s="48" t="n">
        <f aca="false">CM83+CM110+CM94+CM104+CM105+CM52+CM59</f>
        <v>1422.30378273012</v>
      </c>
      <c r="CN111" s="48" t="n">
        <f aca="false">CN83+CN110+CN94+CN104+CN105+CN52+CN59</f>
        <v>1438.10715809379</v>
      </c>
      <c r="CO111" s="48" t="n">
        <f aca="false">CO83+CO110+CO94+CO104+CO105+CO52+CO59</f>
        <v>1453.91053345746</v>
      </c>
      <c r="CP111" s="48" t="n">
        <f aca="false">CP83+CP110+CP94+CP104+CP105+CP52+CP59</f>
        <v>1444.55710385797</v>
      </c>
      <c r="CQ111" s="48" t="n">
        <f aca="false">CQ83+CQ110+CQ94+CQ104+CQ105+CQ52+CQ59</f>
        <v>1441.44708685278</v>
      </c>
      <c r="CR111" s="48" t="n">
        <f aca="false">CR83+CR110+CR94+CR104+CR105+CR52+CR59</f>
        <v>1441.44708685278</v>
      </c>
      <c r="CS111" s="48" t="n">
        <f aca="false">CS83+CS110+CS94+CS104+CS105+CS52+CS59</f>
        <v>1457.28716473028</v>
      </c>
      <c r="CT111" s="48" t="n">
        <f aca="false">CT83+CT110+CT94+CT104+CT105+CT52+CT59</f>
        <v>1447.87754553954</v>
      </c>
      <c r="CU111" s="48" t="n">
        <f aca="false">CU83+CU110+CU94+CU104+CU105+CU52+CU59</f>
        <v>1428.57364501191</v>
      </c>
      <c r="CV111" s="48" t="n">
        <f aca="false">CV83+CV110+CV94+CV104+CV105+CV52+CV59</f>
        <v>1444.44668551204</v>
      </c>
      <c r="CW111" s="48" t="n">
        <f aca="false">CW83+CW110+CW94+CW104+CW105+CW52+CW59</f>
        <v>1460.31972601217</v>
      </c>
      <c r="CX111" s="48" t="n">
        <f aca="false">CX83+CX110+CX94+CX104+CX105+CX52+CX59</f>
        <v>1450.85379794773</v>
      </c>
      <c r="CY111" s="48" t="n">
        <f aca="false">CY83+CY110+CY94+CY104+CY105+CY52+CY59</f>
        <v>1431.19270088402</v>
      </c>
      <c r="CZ111" s="48" t="n">
        <f aca="false">CZ83+CZ110+CZ94+CZ104+CZ105+CZ52+CZ59</f>
        <v>1447.09484200495</v>
      </c>
      <c r="DA111" s="48" t="n">
        <f aca="false">DA83+DA110+DA94+DA104+DA105+DA52+DA59</f>
        <v>1462.99698312588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493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1281.10700041605</v>
      </c>
      <c r="T112" s="18" t="n">
        <f aca="false">S116</f>
        <v>1449.15118196524</v>
      </c>
      <c r="U112" s="18" t="n">
        <f aca="false">T116</f>
        <v>1596.35208406707</v>
      </c>
      <c r="V112" s="18" t="n">
        <f aca="false">U116</f>
        <v>1733.68972534713</v>
      </c>
      <c r="W112" s="18" t="n">
        <f aca="false">V116</f>
        <v>1859.42035025319</v>
      </c>
      <c r="X112" s="18" t="n">
        <f aca="false">W116</f>
        <v>1972.1049419464</v>
      </c>
      <c r="Y112" s="18" t="n">
        <f aca="false">X116</f>
        <v>2074.81031527007</v>
      </c>
      <c r="Z112" s="18" t="n">
        <f aca="false">Y116</f>
        <v>2167.16346591726</v>
      </c>
      <c r="AA112" s="18" t="n">
        <f aca="false">Z116</f>
        <v>1820.77617761863</v>
      </c>
      <c r="AB112" s="18" t="n">
        <f aca="false">AA116</f>
        <v>1477.23766981312</v>
      </c>
      <c r="AC112" s="18" t="n">
        <f aca="false">AB116</f>
        <v>1122.94689421412</v>
      </c>
      <c r="AD112" s="18" t="n">
        <f aca="false">AC116</f>
        <v>757.859644791695</v>
      </c>
      <c r="AE112" s="18" t="n">
        <f aca="false">AD116</f>
        <v>393.383979122073</v>
      </c>
      <c r="AF112" s="18" t="n">
        <f aca="false">AE116</f>
        <v>24.4735784279761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494</v>
      </c>
      <c r="D113" s="11" t="s">
        <v>33</v>
      </c>
      <c r="I113" s="48" t="n">
        <f aca="false">SUM(J113:EO113)</f>
        <v>2167.16346591726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1048.59640555772</v>
      </c>
      <c r="S113" s="48" t="n">
        <f aca="false">MAX(0,-S111)</f>
        <v>168.044181549198</v>
      </c>
      <c r="T113" s="48" t="n">
        <f aca="false">MAX(0,-T111)</f>
        <v>147.200902101827</v>
      </c>
      <c r="U113" s="48" t="n">
        <f aca="false">MAX(0,-U111)</f>
        <v>137.337641280064</v>
      </c>
      <c r="V113" s="48" t="n">
        <f aca="false">MAX(0,-V111)</f>
        <v>125.730624906055</v>
      </c>
      <c r="W113" s="48" t="n">
        <f aca="false">MAX(0,-W111)</f>
        <v>112.684591693216</v>
      </c>
      <c r="X113" s="48" t="n">
        <f aca="false">MAX(0,-X111)</f>
        <v>102.705373323663</v>
      </c>
      <c r="Y113" s="48" t="n">
        <f aca="false">MAX(0,-Y111)</f>
        <v>92.3531506471943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495</v>
      </c>
      <c r="D114" s="11" t="s">
        <v>33</v>
      </c>
      <c r="I114" s="48" t="n">
        <f aca="false">SUM(J114:EO114)</f>
        <v>-2167.16346591726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-346.387288298628</v>
      </c>
      <c r="AA114" s="48" t="n">
        <f aca="false">-MIN(AA112,In_Loss_Cap*MAX(0,AA111))</f>
        <v>-343.538507805519</v>
      </c>
      <c r="AB114" s="48" t="n">
        <f aca="false">-MIN(AB112,In_Loss_Cap*MAX(0,AB111))</f>
        <v>-354.290775598992</v>
      </c>
      <c r="AC114" s="48" t="n">
        <f aca="false">-MIN(AC112,In_Loss_Cap*MAX(0,AC111))</f>
        <v>-365.087249422428</v>
      </c>
      <c r="AD114" s="48" t="n">
        <f aca="false">-MIN(AD112,In_Loss_Cap*MAX(0,AD111))</f>
        <v>-364.475665669622</v>
      </c>
      <c r="AE114" s="48" t="n">
        <f aca="false">-MIN(AE112,In_Loss_Cap*MAX(0,AE111))</f>
        <v>-368.910400694097</v>
      </c>
      <c r="AF114" s="48" t="n">
        <f aca="false">-MIN(AF112,In_Loss_Cap*MAX(0,AF111))</f>
        <v>-24.4735784279761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496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497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1281.10700041605</v>
      </c>
      <c r="S116" s="48" t="n">
        <f aca="false">SUM(S112:S115)</f>
        <v>1449.15118196524</v>
      </c>
      <c r="T116" s="48" t="n">
        <f aca="false">SUM(T112:T115)</f>
        <v>1596.35208406707</v>
      </c>
      <c r="U116" s="48" t="n">
        <f aca="false">SUM(U112:U115)</f>
        <v>1733.68972534713</v>
      </c>
      <c r="V116" s="48" t="n">
        <f aca="false">SUM(V112:V115)</f>
        <v>1859.42035025319</v>
      </c>
      <c r="W116" s="48" t="n">
        <f aca="false">SUM(W112:W115)</f>
        <v>1972.1049419464</v>
      </c>
      <c r="X116" s="48" t="n">
        <f aca="false">SUM(X112:X115)</f>
        <v>2074.81031527007</v>
      </c>
      <c r="Y116" s="48" t="n">
        <f aca="false">SUM(Y112:Y115)</f>
        <v>2167.16346591726</v>
      </c>
      <c r="Z116" s="48" t="n">
        <f aca="false">SUM(Z112:Z115)</f>
        <v>1820.77617761863</v>
      </c>
      <c r="AA116" s="48" t="n">
        <f aca="false">SUM(AA112:AA115)</f>
        <v>1477.23766981312</v>
      </c>
      <c r="AB116" s="48" t="n">
        <f aca="false">SUM(AB112:AB115)</f>
        <v>1122.94689421412</v>
      </c>
      <c r="AC116" s="48" t="n">
        <f aca="false">SUM(AC112:AC115)</f>
        <v>757.859644791695</v>
      </c>
      <c r="AD116" s="48" t="n">
        <f aca="false">SUM(AD112:AD115)</f>
        <v>393.383979122073</v>
      </c>
      <c r="AE116" s="48" t="n">
        <f aca="false">SUM(AE112:AE115)</f>
        <v>24.4735784279761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498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-51.9580932447942</v>
      </c>
      <c r="AA117" s="48" t="n">
        <f aca="false">-In_CIT*(MAX(0,AA111)+AA114)-In_RH_On*In_RH_Rate*MAX(0,AA111)</f>
        <v>-51.5307761708278</v>
      </c>
      <c r="AB117" s="48" t="n">
        <f aca="false">-In_CIT*(MAX(0,AB111)+AB114)-In_RH_On*In_RH_Rate*MAX(0,AB111)</f>
        <v>-53.1436163398488</v>
      </c>
      <c r="AC117" s="48" t="n">
        <f aca="false">-In_CIT*(MAX(0,AC111)+AC114)-In_RH_On*In_RH_Rate*MAX(0,AC111)</f>
        <v>-54.7630874133642</v>
      </c>
      <c r="AD117" s="48" t="n">
        <f aca="false">-In_CIT*(MAX(0,AD111)+AD114)-In_RH_On*In_RH_Rate*MAX(0,AD111)</f>
        <v>-54.6713498504433</v>
      </c>
      <c r="AE117" s="48" t="n">
        <f aca="false">-In_CIT*(MAX(0,AE111)+AE114)-In_RH_On*In_RH_Rate*MAX(0,AE111)</f>
        <v>-55.3365601041145</v>
      </c>
      <c r="AF117" s="48" t="n">
        <f aca="false">-In_CIT*(MAX(0,AF111)+AF114)-In_RH_On*In_RH_Rate*MAX(0,AF111)</f>
        <v>-108.117078349286</v>
      </c>
      <c r="AG117" s="48" t="n">
        <f aca="false">-In_CIT*(MAX(0,AG111)+AG114)-In_RH_On*In_RH_Rate*MAX(0,AG111)</f>
        <v>-115.094121726251</v>
      </c>
      <c r="AH117" s="48" t="n">
        <f aca="false">-In_CIT*(MAX(0,AH111)+AH114)-In_RH_On*In_RH_Rate*MAX(0,AH111)</f>
        <v>-114.957996974453</v>
      </c>
      <c r="AI117" s="48" t="n">
        <f aca="false">-In_CIT*(MAX(0,AI111)+AI114)-In_RH_On*In_RH_Rate*MAX(0,AI111)</f>
        <v>-114.121638211455</v>
      </c>
      <c r="AJ117" s="48" t="n">
        <f aca="false">-In_CIT*(MAX(0,AJ111)+AJ114)-In_RH_On*In_RH_Rate*MAX(0,AJ111)</f>
        <v>-122.455848826282</v>
      </c>
      <c r="AK117" s="48" t="n">
        <f aca="false">-In_CIT*(MAX(0,AK111)+AK114)-In_RH_On*In_RH_Rate*MAX(0,AK111)</f>
        <v>-125.886035504284</v>
      </c>
      <c r="AL117" s="48" t="n">
        <f aca="false">-In_CIT*(MAX(0,AL111)+AL114)-In_RH_On*In_RH_Rate*MAX(0,AL111)</f>
        <v>-125.800057165876</v>
      </c>
      <c r="AM117" s="48" t="n">
        <f aca="false">-In_CIT*(MAX(0,AM111)+AM114)-In_RH_On*In_RH_Rate*MAX(0,AM111)</f>
        <v>-124.867137514168</v>
      </c>
      <c r="AN117" s="48" t="n">
        <f aca="false">-In_CIT*(MAX(0,AN111)+AN114)-In_RH_On*In_RH_Rate*MAX(0,AN111)</f>
        <v>-128.354052315976</v>
      </c>
      <c r="AO117" s="48" t="n">
        <f aca="false">-In_CIT*(MAX(0,AO111)+AO114)-In_RH_On*In_RH_Rate*MAX(0,AO111)</f>
        <v>-131.856360822482</v>
      </c>
      <c r="AP117" s="48" t="n">
        <f aca="false">-In_CIT*(MAX(0,AP111)+AP114)-In_RH_On*In_RH_Rate*MAX(0,AP111)</f>
        <v>-131.823469169964</v>
      </c>
      <c r="AQ117" s="48" t="n">
        <f aca="false">-In_CIT*(MAX(0,AQ111)+AQ114)-In_RH_On*In_RH_Rate*MAX(0,AQ111)</f>
        <v>-130.905880625509</v>
      </c>
      <c r="AR117" s="48" t="n">
        <f aca="false">-In_CIT*(MAX(0,AR111)+AR114)-In_RH_On*In_RH_Rate*MAX(0,AR111)</f>
        <v>-134.466863572752</v>
      </c>
      <c r="AS117" s="48" t="n">
        <f aca="false">-In_CIT*(MAX(0,AS111)+AS114)-In_RH_On*In_RH_Rate*MAX(0,AS111)</f>
        <v>-138.044024462163</v>
      </c>
      <c r="AT117" s="48" t="n">
        <f aca="false">-In_CIT*(MAX(0,AT111)+AT114)-In_RH_On*In_RH_Rate*MAX(0,AT111)</f>
        <v>-138.067311344122</v>
      </c>
      <c r="AU117" s="48" t="n">
        <f aca="false">-In_CIT*(MAX(0,AU111)+AU114)-In_RH_On*In_RH_Rate*MAX(0,AU111)</f>
        <v>-139.445504905317</v>
      </c>
      <c r="AV117" s="48" t="n">
        <f aca="false">-In_CIT*(MAX(0,AV111)+AV114)-In_RH_On*In_RH_Rate*MAX(0,AV111)</f>
        <v>-140.805675535977</v>
      </c>
      <c r="AW117" s="48" t="n">
        <f aca="false">-In_CIT*(MAX(0,AW111)+AW114)-In_RH_On*In_RH_Rate*MAX(0,AW111)</f>
        <v>-144.460563523078</v>
      </c>
      <c r="AX117" s="48" t="n">
        <f aca="false">-In_CIT*(MAX(0,AX111)+AX114)-In_RH_On*In_RH_Rate*MAX(0,AX111)</f>
        <v>-144.543280080785</v>
      </c>
      <c r="AY117" s="48" t="n">
        <f aca="false">-In_CIT*(MAX(0,AY111)+AY114)-In_RH_On*In_RH_Rate*MAX(0,AY111)</f>
        <v>-143.664716360743</v>
      </c>
      <c r="AZ117" s="48" t="n">
        <f aca="false">-In_CIT*(MAX(0,AZ111)+AZ114)-In_RH_On*In_RH_Rate*MAX(0,AZ111)</f>
        <v>-147.382489661509</v>
      </c>
      <c r="BA117" s="48" t="n">
        <f aca="false">-In_CIT*(MAX(0,BA111)+BA114)-In_RH_On*In_RH_Rate*MAX(0,BA111)</f>
        <v>-151.118131274546</v>
      </c>
      <c r="BB117" s="48" t="n">
        <f aca="false">-In_CIT*(MAX(0,BB111)+BB114)-In_RH_On*In_RH_Rate*MAX(0,BB111)</f>
        <v>-151.263696051241</v>
      </c>
      <c r="BC117" s="48" t="n">
        <f aca="false">-In_CIT*(MAX(0,BC111)+BC114)-In_RH_On*In_RH_Rate*MAX(0,BC111)</f>
        <v>-150.409144711298</v>
      </c>
      <c r="BD117" s="48" t="n">
        <f aca="false">-In_CIT*(MAX(0,BD111)+BD114)-In_RH_On*In_RH_Rate*MAX(0,BD111)</f>
        <v>-154.209947724303</v>
      </c>
      <c r="BE117" s="48" t="n">
        <f aca="false">-In_CIT*(MAX(0,BE111)+BE114)-In_RH_On*In_RH_Rate*MAX(0,BE111)</f>
        <v>-158.029529356769</v>
      </c>
      <c r="BF117" s="48" t="n">
        <f aca="false">-In_CIT*(MAX(0,BF111)+BF114)-In_RH_On*In_RH_Rate*MAX(0,BF111)</f>
        <v>-158.241536819628</v>
      </c>
      <c r="BG117" s="48" t="n">
        <f aca="false">-In_CIT*(MAX(0,BG111)+BG114)-In_RH_On*In_RH_Rate*MAX(0,BG111)</f>
        <v>-157.414224182451</v>
      </c>
      <c r="BH117" s="48" t="n">
        <f aca="false">-In_CIT*(MAX(0,BH111)+BH114)-In_RH_On*In_RH_Rate*MAX(0,BH111)</f>
        <v>-161.301365261538</v>
      </c>
      <c r="BI117" s="48" t="n">
        <f aca="false">-In_CIT*(MAX(0,BI111)+BI114)-In_RH_On*In_RH_Rate*MAX(0,BI111)</f>
        <v>-165.20824164318</v>
      </c>
      <c r="BJ117" s="48" t="n">
        <f aca="false">-In_CIT*(MAX(0,BJ111)+BJ114)-In_RH_On*In_RH_Rate*MAX(0,BJ111)</f>
        <v>-165.490471138974</v>
      </c>
      <c r="BK117" s="48" t="n">
        <f aca="false">-In_CIT*(MAX(0,BK111)+BK114)-In_RH_On*In_RH_Rate*MAX(0,BK111)</f>
        <v>-167.011508804879</v>
      </c>
      <c r="BL117" s="48" t="n">
        <f aca="false">-In_CIT*(MAX(0,BL111)+BL114)-In_RH_On*In_RH_Rate*MAX(0,BL111)</f>
        <v>-168.670766740314</v>
      </c>
      <c r="BM117" s="48" t="n">
        <f aca="false">-In_CIT*(MAX(0,BM111)+BM114)-In_RH_On*In_RH_Rate*MAX(0,BM111)</f>
        <v>-172.668469848968</v>
      </c>
      <c r="BN117" s="48" t="n">
        <f aca="false">-In_CIT*(MAX(0,BN111)+BN114)-In_RH_On*In_RH_Rate*MAX(0,BN111)</f>
        <v>-173.024895015502</v>
      </c>
      <c r="BO117" s="48" t="n">
        <f aca="false">-In_CIT*(MAX(0,BO111)+BO114)-In_RH_On*In_RH_Rate*MAX(0,BO111)</f>
        <v>-172.26247146876</v>
      </c>
      <c r="BP117" s="48" t="n">
        <f aca="false">-In_CIT*(MAX(0,BP111)+BP114)-In_RH_On*In_RH_Rate*MAX(0,BP111)</f>
        <v>-176.332922538314</v>
      </c>
      <c r="BQ117" s="48" t="n">
        <f aca="false">-In_CIT*(MAX(0,BQ111)+BQ114)-In_RH_On*In_RH_Rate*MAX(0,BQ111)</f>
        <v>-180.425170975242</v>
      </c>
      <c r="BR117" s="48" t="n">
        <f aca="false">-In_CIT*(MAX(0,BR111)+BR114)-In_RH_On*In_RH_Rate*MAX(0,BR111)</f>
        <v>-180.85996963177</v>
      </c>
      <c r="BS117" s="48" t="n">
        <f aca="false">-In_CIT*(MAX(0,BS111)+BS114)-In_RH_On*In_RH_Rate*MAX(0,BS111)</f>
        <v>-180.135586819294</v>
      </c>
      <c r="BT117" s="48" t="n">
        <f aca="false">-In_CIT*(MAX(0,BT111)+BT114)-In_RH_On*In_RH_Rate*MAX(0,BT111)</f>
        <v>-184.303387830296</v>
      </c>
      <c r="BU117" s="48" t="n">
        <f aca="false">-In_CIT*(MAX(0,BU111)+BU114)-In_RH_On*In_RH_Rate*MAX(0,BU111)</f>
        <v>-188.494096682897</v>
      </c>
      <c r="BV117" s="48" t="n">
        <f aca="false">-In_CIT*(MAX(0,BV111)+BV114)-In_RH_On*In_RH_Rate*MAX(0,BV111)</f>
        <v>-189.011661223913</v>
      </c>
      <c r="BW117" s="48" t="n">
        <f aca="false">-In_CIT*(MAX(0,BW111)+BW114)-In_RH_On*In_RH_Rate*MAX(0,BW111)</f>
        <v>-188.329327150422</v>
      </c>
      <c r="BX117" s="48" t="n">
        <f aca="false">-In_CIT*(MAX(0,BX111)+BX114)-In_RH_On*In_RH_Rate*MAX(0,BX111)</f>
        <v>-192.598543478065</v>
      </c>
      <c r="BY117" s="48" t="n">
        <f aca="false">-In_CIT*(MAX(0,BY111)+BY114)-In_RH_On*In_RH_Rate*MAX(0,BY111)</f>
        <v>-196.891834695016</v>
      </c>
      <c r="BZ117" s="48" t="n">
        <f aca="false">-In_CIT*(MAX(0,BZ111)+BZ114)-In_RH_On*In_RH_Rate*MAX(0,BZ111)</f>
        <v>-197.496783013054</v>
      </c>
      <c r="CA117" s="48" t="n">
        <f aca="false">-In_CIT*(MAX(0,CA111)+CA114)-In_RH_On*In_RH_Rate*MAX(0,CA111)</f>
        <v>-199.211527614159</v>
      </c>
      <c r="CB117" s="48" t="n">
        <f aca="false">-In_CIT*(MAX(0,CB111)+CB114)-In_RH_On*In_RH_Rate*MAX(0,CB111)</f>
        <v>-201.23563902654</v>
      </c>
      <c r="CC117" s="48" t="n">
        <f aca="false">-In_CIT*(MAX(0,CC111)+CC114)-In_RH_On*In_RH_Rate*MAX(0,CC111)</f>
        <v>-205.635852331739</v>
      </c>
      <c r="CD117" s="48" t="n">
        <f aca="false">-In_CIT*(MAX(0,CD111)+CD114)-In_RH_On*In_RH_Rate*MAX(0,CD111)</f>
        <v>-206.333039296099</v>
      </c>
      <c r="CE117" s="48" t="n">
        <f aca="false">-In_CIT*(MAX(0,CE111)+CE114)-In_RH_On*In_RH_Rate*MAX(0,CE111)</f>
        <v>-205.747723921375</v>
      </c>
      <c r="CF117" s="48" t="n">
        <f aca="false">-In_CIT*(MAX(0,CF111)+CF114)-In_RH_On*In_RH_Rate*MAX(0,CF111)</f>
        <v>-210.232837913763</v>
      </c>
      <c r="CG117" s="48" t="n">
        <f aca="false">-In_CIT*(MAX(0,CG111)+CG114)-In_RH_On*In_RH_Rate*MAX(0,CG111)</f>
        <v>-214.74454228678</v>
      </c>
      <c r="CH117" s="48" t="n">
        <f aca="false">-In_CIT*(MAX(0,CH111)+CH114)-In_RH_On*In_RH_Rate*MAX(0,CH111)</f>
        <v>-215.539071806518</v>
      </c>
      <c r="CI117" s="48" t="n">
        <f aca="false">-In_CIT*(MAX(0,CI111)+CI114)-In_RH_On*In_RH_Rate*MAX(0,CI111)</f>
        <v>-212.801201406482</v>
      </c>
      <c r="CJ117" s="48" t="n">
        <f aca="false">-In_CIT*(MAX(0,CJ111)+CJ114)-In_RH_On*In_RH_Rate*MAX(0,CJ111)</f>
        <v>-215.165659199887</v>
      </c>
      <c r="CK117" s="48" t="n">
        <f aca="false">-In_CIT*(MAX(0,CK111)+CK114)-In_RH_On*In_RH_Rate*MAX(0,CK111)</f>
        <v>-217.530116993293</v>
      </c>
      <c r="CL117" s="48" t="n">
        <f aca="false">-In_CIT*(MAX(0,CL111)+CL114)-In_RH_On*In_RH_Rate*MAX(0,CL111)</f>
        <v>-216.135512385971</v>
      </c>
      <c r="CM117" s="48" t="n">
        <f aca="false">-In_CIT*(MAX(0,CM111)+CM114)-In_RH_On*In_RH_Rate*MAX(0,CM111)</f>
        <v>-213.345567409518</v>
      </c>
      <c r="CN117" s="48" t="n">
        <f aca="false">-In_CIT*(MAX(0,CN111)+CN114)-In_RH_On*In_RH_Rate*MAX(0,CN111)</f>
        <v>-215.716073714068</v>
      </c>
      <c r="CO117" s="48" t="n">
        <f aca="false">-In_CIT*(MAX(0,CO111)+CO114)-In_RH_On*In_RH_Rate*MAX(0,CO111)</f>
        <v>-218.086580018619</v>
      </c>
      <c r="CP117" s="48" t="n">
        <f aca="false">-In_CIT*(MAX(0,CP111)+CP114)-In_RH_On*In_RH_Rate*MAX(0,CP111)</f>
        <v>-216.683565578695</v>
      </c>
      <c r="CQ117" s="48" t="n">
        <f aca="false">-In_CIT*(MAX(0,CQ111)+CQ114)-In_RH_On*In_RH_Rate*MAX(0,CQ111)</f>
        <v>-216.217063027917</v>
      </c>
      <c r="CR117" s="48" t="n">
        <f aca="false">-In_CIT*(MAX(0,CR111)+CR114)-In_RH_On*In_RH_Rate*MAX(0,CR111)</f>
        <v>-216.217063027917</v>
      </c>
      <c r="CS117" s="48" t="n">
        <f aca="false">-In_CIT*(MAX(0,CS111)+CS114)-In_RH_On*In_RH_Rate*MAX(0,CS111)</f>
        <v>-218.593074709542</v>
      </c>
      <c r="CT117" s="48" t="n">
        <f aca="false">-In_CIT*(MAX(0,CT111)+CT114)-In_RH_On*In_RH_Rate*MAX(0,CT111)</f>
        <v>-217.181631830932</v>
      </c>
      <c r="CU117" s="48" t="n">
        <f aca="false">-In_CIT*(MAX(0,CU111)+CU114)-In_RH_On*In_RH_Rate*MAX(0,CU111)</f>
        <v>-214.286046751786</v>
      </c>
      <c r="CV117" s="48" t="n">
        <f aca="false">-In_CIT*(MAX(0,CV111)+CV114)-In_RH_On*In_RH_Rate*MAX(0,CV111)</f>
        <v>-216.667002826806</v>
      </c>
      <c r="CW117" s="48" t="n">
        <f aca="false">-In_CIT*(MAX(0,CW111)+CW114)-In_RH_On*In_RH_Rate*MAX(0,CW111)</f>
        <v>-219.047958901826</v>
      </c>
      <c r="CX117" s="48" t="n">
        <f aca="false">-In_CIT*(MAX(0,CX111)+CX114)-In_RH_On*In_RH_Rate*MAX(0,CX111)</f>
        <v>-217.62806969216</v>
      </c>
      <c r="CY117" s="48" t="n">
        <f aca="false">-In_CIT*(MAX(0,CY111)+CY114)-In_RH_On*In_RH_Rate*MAX(0,CY111)</f>
        <v>-214.678905132602</v>
      </c>
      <c r="CZ117" s="48" t="n">
        <f aca="false">-In_CIT*(MAX(0,CZ111)+CZ114)-In_RH_On*In_RH_Rate*MAX(0,CZ111)</f>
        <v>-217.064226300742</v>
      </c>
      <c r="DA117" s="48" t="n">
        <f aca="false">-In_CIT*(MAX(0,DA111)+DA114)-In_RH_On*In_RH_Rate*MAX(0,DA111)</f>
        <v>-219.449547468883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499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500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3545.02137316999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85521.1862751514</v>
      </c>
    </row>
    <row r="129" customFormat="false" ht="15" hidden="false" customHeight="false" outlineLevel="0" collapsed="false">
      <c r="C129" s="0" t="s">
        <v>501</v>
      </c>
      <c r="D129" s="11" t="s">
        <v>33</v>
      </c>
      <c r="E129" s="48" t="n">
        <f aca="false">$E128-$E103</f>
        <v>36021.1862751514</v>
      </c>
      <c r="F129" s="48" t="n">
        <f aca="false">$E129+$E106</f>
        <v>37198.7878144262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0.578803945033471</v>
      </c>
    </row>
    <row r="131" customFormat="false" ht="15" hidden="false" customHeight="false" outlineLevel="0" collapsed="false">
      <c r="C131" s="0" t="s">
        <v>502</v>
      </c>
      <c r="D131" s="11" t="s">
        <v>33</v>
      </c>
      <c r="E131" s="48" t="n">
        <f aca="false">$E88*In_DSCR/In_DSCR_Max_Low</f>
        <v>85073.4459336275</v>
      </c>
      <c r="F131" s="48" t="n">
        <f aca="false">$E88*In_DSCR/In_DSCR_Max_High</f>
        <v>77983.9921058252</v>
      </c>
    </row>
    <row r="132" customFormat="false" ht="15" hidden="false" customHeight="false" outlineLevel="0" collapsed="false">
      <c r="C132" s="0" t="s">
        <v>503</v>
      </c>
      <c r="D132" s="11" t="s">
        <v>27</v>
      </c>
      <c r="E132" s="49" t="n">
        <f aca="false">$E131/$E128</f>
        <v>0.994764568161118</v>
      </c>
      <c r="F132" s="49" t="n">
        <f aca="false">$F131/$E128</f>
        <v>0.911867520814358</v>
      </c>
    </row>
    <row r="134" customFormat="false" ht="15" hidden="false" customHeight="false" outlineLevel="0" collapsed="false">
      <c r="A134" s="9" t="s">
        <v>13</v>
      </c>
      <c r="B134" s="9"/>
      <c r="C134" s="9" t="s">
        <v>123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504</v>
      </c>
      <c r="D135" s="11" t="s">
        <v>33</v>
      </c>
      <c r="I135" s="48" t="n">
        <f aca="false">SUM(J135:EO135)</f>
        <v>-36021.1862751514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-4087.99741665108</v>
      </c>
      <c r="S135" s="48" t="n">
        <f aca="false">(S63+S70+S100+S104+S105+S83)*(S$4&lt;=In_COD)</f>
        <v>-6180.32604982119</v>
      </c>
      <c r="T135" s="48" t="n">
        <f aca="false">(T63+T70+T100+T104+T105+T83)*(T$4&lt;=In_COD)</f>
        <v>-3153.5649456833</v>
      </c>
      <c r="U135" s="48" t="n">
        <f aca="false">(U63+U70+U100+U104+U105+U83)*(U$4&lt;=In_COD)</f>
        <v>-3176.73865237342</v>
      </c>
      <c r="V135" s="48" t="n">
        <f aca="false">(V63+V70+V100+V104+V105+V83)*(V$4&lt;=In_COD)</f>
        <v>-3165.13163599942</v>
      </c>
      <c r="W135" s="48" t="n">
        <f aca="false">(W63+W70+W100+W104+W105+W83)*(W$4&lt;=In_COD)</f>
        <v>-3086.01166776281</v>
      </c>
      <c r="X135" s="48" t="n">
        <f aca="false">(X63+X70+X100+X104+X105+X83)*(X$4&lt;=In_COD)</f>
        <v>-3109.06941690514</v>
      </c>
      <c r="Y135" s="48" t="n">
        <f aca="false">(Y63+Y70+Y100+Y104+Y105+Y83)*(Y$4&lt;=In_COD)</f>
        <v>-4063.39753893236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505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506</v>
      </c>
      <c r="D137" s="11" t="s">
        <v>33</v>
      </c>
      <c r="E137" s="48" t="n">
        <f aca="false">$E136+$I62-$E103-In_Sale_Costs</f>
        <v>64975</v>
      </c>
    </row>
    <row r="138" customFormat="false" ht="15" hidden="false" customHeight="false" outlineLevel="0" collapsed="false">
      <c r="C138" s="0" t="s">
        <v>126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507</v>
      </c>
      <c r="D139" s="11" t="s">
        <v>33</v>
      </c>
      <c r="I139" s="57" t="n">
        <f aca="false">SUM(J139:EO139)</f>
        <v>28953.8137248486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-4087.99741665108</v>
      </c>
      <c r="S139" s="57" t="n">
        <f aca="false">S135+($E137+$E138)*S14</f>
        <v>-6180.32604982119</v>
      </c>
      <c r="T139" s="57" t="n">
        <f aca="false">T135+($E137+$E138)*T14</f>
        <v>-3153.5649456833</v>
      </c>
      <c r="U139" s="57" t="n">
        <f aca="false">U135+($E137+$E138)*U14</f>
        <v>-3176.73865237342</v>
      </c>
      <c r="V139" s="57" t="n">
        <f aca="false">V135+($E137+$E138)*V14</f>
        <v>-3165.13163599942</v>
      </c>
      <c r="W139" s="57" t="n">
        <f aca="false">W135+($E137+$E138)*W14</f>
        <v>-3086.01166776281</v>
      </c>
      <c r="X139" s="57" t="n">
        <f aca="false">X135+($E137+$E138)*X14</f>
        <v>-3109.06941690514</v>
      </c>
      <c r="Y139" s="57" t="n">
        <f aca="false">Y135+($E137+$E138)*Y14</f>
        <v>60911.6024610677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0.430590128449621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1.80379956128269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18540.4291372498</v>
      </c>
    </row>
    <row r="143" customFormat="false" ht="15" hidden="false" customHeight="false" outlineLevel="0" collapsed="false">
      <c r="A143" s="61"/>
      <c r="B143" s="61"/>
      <c r="C143" s="61" t="s">
        <v>508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509</v>
      </c>
      <c r="D144" s="11" t="s">
        <v>33</v>
      </c>
      <c r="I144" s="48" t="n">
        <f aca="false">SUM(J144:EO144)</f>
        <v>152100.314292139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2309.33651736335</v>
      </c>
      <c r="AA144" s="48" t="n">
        <f aca="false">(AA83+AA59+AA62+AA117)*(AA$4&gt;In_COD)-($E136+$I62)*AA14</f>
        <v>2274.25954151428</v>
      </c>
      <c r="AB144" s="48" t="n">
        <f aca="false">(AB83+AB59+AB62+AB117)*(AB$4&gt;In_COD)-($E136+$I62)*AB14</f>
        <v>2298.4888159862</v>
      </c>
      <c r="AC144" s="48" t="n">
        <f aca="false">(AC83+AC59+AC62+AC117)*(AC$4&gt;In_COD)-($E136+$I62)*AC14</f>
        <v>2322.71145955363</v>
      </c>
      <c r="AD144" s="48" t="n">
        <f aca="false">(AD83+AD59+AD62+AD117)*(AD$4&gt;In_COD)-($E136+$I62)*AD14</f>
        <v>2314.3291355464</v>
      </c>
      <c r="AE144" s="48" t="n">
        <f aca="false">(AE83+AE59+AE62+AE117)*(AE$4&gt;In_COD)-($E136+$I62)*AE14</f>
        <v>2303.78132125338</v>
      </c>
      <c r="AF144" s="48" t="n">
        <f aca="false">(AF83+AF59+AF62+AF117)*(AF$4&gt;In_COD)-($E136+$I62)*AF14</f>
        <v>2251.00080300821</v>
      </c>
      <c r="AG144" s="48" t="n">
        <f aca="false">(AG83+AG59+AG62+AG117)*(AG$4&gt;In_COD)-($E136+$I62)*AG14</f>
        <v>2269.94813195385</v>
      </c>
      <c r="AH144" s="48" t="n">
        <f aca="false">(AH83+AH59+AH62+AH117)*(AH$4&gt;In_COD)-($E136+$I62)*AH14</f>
        <v>2261.55646505474</v>
      </c>
      <c r="AI144" s="48" t="n">
        <f aca="false">(AI83+AI59+AI62+AI117)*(AI$4&gt;In_COD)-($E136+$I62)*AI14</f>
        <v>2226.28046406329</v>
      </c>
      <c r="AJ144" s="48" t="n">
        <f aca="false">(AJ83+AJ59+AJ62+AJ117)*(AJ$4&gt;In_COD)-($E136+$I62)*AJ14</f>
        <v>2277.10621008619</v>
      </c>
      <c r="AK144" s="48" t="n">
        <f aca="false">(AK83+AK59+AK62+AK117)*(AK$4&gt;In_COD)-($E136+$I62)*AK14</f>
        <v>2300.04483724239</v>
      </c>
      <c r="AL144" s="48" t="n">
        <f aca="false">(AL83+AL59+AL62+AL117)*(AL$4&gt;In_COD)-($E136+$I62)*AL14</f>
        <v>2291.54911494265</v>
      </c>
      <c r="AM144" s="48" t="n">
        <f aca="false">(AM83+AM59+AM62+AM117)*(AM$4&gt;In_COD)-($E136+$I62)*AM14</f>
        <v>2255.33286444188</v>
      </c>
      <c r="AN144" s="48" t="n">
        <f aca="false">(AN83+AN59+AN62+AN117)*(AN$4&gt;In_COD)-($E136+$I62)*AN14</f>
        <v>2278.29261632847</v>
      </c>
      <c r="AO144" s="48" t="n">
        <f aca="false">(AO83+AO59+AO62+AO117)*(AO$4&gt;In_COD)-($E136+$I62)*AO14</f>
        <v>2301.23697451037</v>
      </c>
      <c r="AP144" s="48" t="n">
        <f aca="false">(AP83+AP59+AP62+AP117)*(AP$4&gt;In_COD)-($E136+$I62)*AP14</f>
        <v>2292.63408043648</v>
      </c>
      <c r="AQ144" s="48" t="n">
        <f aca="false">(AQ83+AQ59+AQ62+AQ117)*(AQ$4&gt;In_COD)-($E136+$I62)*AQ14</f>
        <v>2256.09160992853</v>
      </c>
      <c r="AR144" s="48" t="n">
        <f aca="false">(AR83+AR59+AR62+AR117)*(AR$4&gt;In_COD)-($E136+$I62)*AR14</f>
        <v>2279.05282132077</v>
      </c>
      <c r="AS144" s="48" t="n">
        <f aca="false">(AS83+AS59+AS62+AS117)*(AS$4&gt;In_COD)-($E136+$I62)*AS14</f>
        <v>2301.99785477085</v>
      </c>
      <c r="AT144" s="48" t="n">
        <f aca="false">(AT83+AT59+AT62+AT117)*(AT$4&gt;In_COD)-($E136+$I62)*AT14</f>
        <v>2293.28452388778</v>
      </c>
      <c r="AU144" s="48" t="n">
        <f aca="false">(AU83+AU59+AU62+AU117)*(AU$4&gt;In_COD)-($E136+$I62)*AU14</f>
        <v>2280.72788754892</v>
      </c>
      <c r="AV144" s="48" t="n">
        <f aca="false">(AV83+AV59+AV62+AV117)*(AV$4&gt;In_COD)-($E136+$I62)*AV14</f>
        <v>2279.36771691826</v>
      </c>
      <c r="AW144" s="48" t="n">
        <f aca="false">(AW83+AW59+AW62+AW117)*(AW$4&gt;In_COD)-($E136+$I62)*AW14</f>
        <v>2302.30814093616</v>
      </c>
      <c r="AX144" s="48" t="n">
        <f aca="false">(AX83+AX59+AX62+AX117)*(AX$4&gt;In_COD)-($E136+$I62)*AX14</f>
        <v>2293.48095194257</v>
      </c>
      <c r="AY144" s="48" t="n">
        <f aca="false">(AY83+AY59+AY62+AY117)*(AY$4&gt;In_COD)-($E136+$I62)*AY14</f>
        <v>2256.26922139394</v>
      </c>
      <c r="AZ144" s="48" t="n">
        <f aca="false">(AZ83+AZ59+AZ62+AZ117)*(AZ$4&gt;In_COD)-($E136+$I62)*AZ14</f>
        <v>2279.21738073489</v>
      </c>
      <c r="BA144" s="48" t="n">
        <f aca="false">(BA83+BA59+BA62+BA117)*(BA$4&gt;In_COD)-($E136+$I62)*BA14</f>
        <v>2302.14767176357</v>
      </c>
      <c r="BB144" s="48" t="n">
        <f aca="false">(BB83+BB59+BB62+BB117)*(BB$4&gt;In_COD)-($E136+$I62)*BB14</f>
        <v>2293.2030390972</v>
      </c>
      <c r="BC144" s="48" t="n">
        <f aca="false">(BC83+BC59+BC62+BC117)*(BC$4&gt;In_COD)-($E136+$I62)*BC14</f>
        <v>2255.64787532731</v>
      </c>
      <c r="BD144" s="48" t="n">
        <f aca="false">(BD83+BD59+BD62+BD117)*(BD$4&gt;In_COD)-($E136+$I62)*BD14</f>
        <v>2278.58103920362</v>
      </c>
      <c r="BE144" s="48" t="n">
        <f aca="false">(BE83+BE59+BE62+BE117)*(BE$4&gt;In_COD)-($E136+$I62)*BE14</f>
        <v>2301.49542446047</v>
      </c>
      <c r="BF144" s="48" t="n">
        <f aca="false">(BF83+BF59+BF62+BF117)*(BF$4&gt;In_COD)-($E136+$I62)*BF14</f>
        <v>2292.42958989359</v>
      </c>
      <c r="BG144" s="48" t="n">
        <f aca="false">(BG83+BG59+BG62+BG117)*(BG$4&gt;In_COD)-($E136+$I62)*BG14</f>
        <v>2254.52484693658</v>
      </c>
      <c r="BH144" s="48" t="n">
        <f aca="false">(BH83+BH59+BH62+BH117)*(BH$4&gt;In_COD)-($E136+$I62)*BH14</f>
        <v>2277.43702886992</v>
      </c>
      <c r="BI144" s="48" t="n">
        <f aca="false">(BI83+BI59+BI62+BI117)*(BI$4&gt;In_COD)-($E136+$I62)*BI14</f>
        <v>2300.32947550072</v>
      </c>
      <c r="BJ144" s="48" t="n">
        <f aca="false">(BJ83+BJ59+BJ62+BJ117)*(BJ$4&gt;In_COD)-($E136+$I62)*BJ14</f>
        <v>2291.13849930485</v>
      </c>
      <c r="BK144" s="48" t="n">
        <f aca="false">(BK83+BK59+BK62+BK117)*(BK$4&gt;In_COD)-($E136+$I62)*BK14</f>
        <v>2277.42201376659</v>
      </c>
      <c r="BL144" s="48" t="n">
        <f aca="false">(BL83+BL59+BL62+BL117)*(BL$4&gt;In_COD)-($E136+$I62)*BL14</f>
        <v>2275.76275583116</v>
      </c>
      <c r="BM144" s="48" t="n">
        <f aca="false">(BM83+BM59+BM62+BM117)*(BM$4&gt;In_COD)-($E136+$I62)*BM14</f>
        <v>2298.62695956395</v>
      </c>
      <c r="BN144" s="48" t="n">
        <f aca="false">(BN83+BN59+BN62+BN117)*(BN$4&gt;In_COD)-($E136+$I62)*BN14</f>
        <v>2289.30671122182</v>
      </c>
      <c r="BO144" s="48" t="n">
        <f aca="false">(BO83+BO59+BO62+BO117)*(BO$4&gt;In_COD)-($E136+$I62)*BO14</f>
        <v>2250.68348258834</v>
      </c>
      <c r="BP144" s="48" t="n">
        <f aca="false">(BP83+BP59+BP62+BP117)*(BP$4&gt;In_COD)-($E136+$I62)*BP14</f>
        <v>2273.53465323053</v>
      </c>
      <c r="BQ144" s="48" t="n">
        <f aca="false">(BQ83+BQ59+BQ62+BQ117)*(BQ$4&gt;In_COD)-($E136+$I62)*BQ14</f>
        <v>2296.36402650535</v>
      </c>
      <c r="BR144" s="48" t="n">
        <f aca="false">(BR83+BR59+BR62+BR117)*(BR$4&gt;In_COD)-($E136+$I62)*BR14</f>
        <v>2286.91017494684</v>
      </c>
      <c r="BS144" s="48" t="n">
        <f aca="false">(BS83+BS59+BS62+BS117)*(BS$4&gt;In_COD)-($E136+$I62)*BS14</f>
        <v>2247.91756931877</v>
      </c>
      <c r="BT144" s="48" t="n">
        <f aca="false">(BT83+BT59+BT62+BT117)*(BT$4&gt;In_COD)-($E136+$I62)*BT14</f>
        <v>2270.7281367093</v>
      </c>
      <c r="BU144" s="48" t="n">
        <f aca="false">(BU83+BU59+BU62+BU117)*(BU$4&gt;In_COD)-($E136+$I62)*BU14</f>
        <v>2293.51579625823</v>
      </c>
      <c r="BV144" s="48" t="n">
        <f aca="false">(BV83+BV59+BV62+BV117)*(BV$4&gt;In_COD)-($E136+$I62)*BV14</f>
        <v>2283.92379959611</v>
      </c>
      <c r="BW144" s="48" t="n">
        <f aca="false">(BW83+BW59+BW62+BW117)*(BW$4&gt;In_COD)-($E136+$I62)*BW14</f>
        <v>2244.55472897596</v>
      </c>
      <c r="BX144" s="48" t="n">
        <f aca="false">(BX83+BX59+BX62+BX117)*(BX$4&gt;In_COD)-($E136+$I62)*BX14</f>
        <v>2267.31755771639</v>
      </c>
      <c r="BY144" s="48" t="n">
        <f aca="false">(BY83+BY59+BY62+BY117)*(BY$4&gt;In_COD)-($E136+$I62)*BY14</f>
        <v>2290.05631156751</v>
      </c>
      <c r="BZ144" s="48" t="n">
        <f aca="false">(BZ83+BZ59+BZ62+BZ117)*(BZ$4&gt;In_COD)-($E136+$I62)*BZ14</f>
        <v>2280.32140630735</v>
      </c>
      <c r="CA144" s="48" t="n">
        <f aca="false">(CA83+CA59+CA62+CA117)*(CA$4&gt;In_COD)-($E136+$I62)*CA14</f>
        <v>2265.30026598168</v>
      </c>
      <c r="CB144" s="48" t="n">
        <f aca="false">(CB83+CB59+CB62+CB117)*(CB$4&gt;In_COD)-($E136+$I62)*CB14</f>
        <v>2263.2761545693</v>
      </c>
      <c r="CC144" s="48" t="n">
        <f aca="false">(CC83+CC59+CC62+CC117)*(CC$4&gt;In_COD)-($E136+$I62)*CC14</f>
        <v>2285.95848844647</v>
      </c>
      <c r="CD144" s="48" t="n">
        <f aca="false">(CD83+CD59+CD62+CD117)*(CD$4&gt;In_COD)-($E136+$I62)*CD14</f>
        <v>2276.07567814386</v>
      </c>
      <c r="CE144" s="48" t="n">
        <f aca="false">(CE83+CE59+CE62+CE117)*(CE$4&gt;In_COD)-($E136+$I62)*CE14</f>
        <v>2235.93134768512</v>
      </c>
      <c r="CF144" s="48" t="n">
        <f aca="false">(CF83+CF59+CF62+CF117)*(CF$4&gt;In_COD)-($E136+$I62)*CF14</f>
        <v>2258.57600115503</v>
      </c>
      <c r="CG144" s="48" t="n">
        <f aca="false">(CG83+CG59+CG62+CG117)*(CG$4&gt;In_COD)-($E136+$I62)*CG14</f>
        <v>2281.1940642443</v>
      </c>
      <c r="CH144" s="48" t="n">
        <f aca="false">(CH83+CH59+CH62+CH117)*(CH$4&gt;In_COD)-($E136+$I62)*CH14</f>
        <v>2271.15810758116</v>
      </c>
      <c r="CI144" s="48" t="n">
        <f aca="false">(CI83+CI59+CI62+CI117)*(CI$4&gt;In_COD)-($E136+$I62)*CI14</f>
        <v>2232.82242095173</v>
      </c>
      <c r="CJ144" s="48" t="n">
        <f aca="false">(CJ83+CJ59+CJ62+CJ117)*(CJ$4&gt;In_COD)-($E136+$I62)*CJ14</f>
        <v>2257.63155896231</v>
      </c>
      <c r="CK144" s="48" t="n">
        <f aca="false">(CK83+CK59+CK62+CK117)*(CK$4&gt;In_COD)-($E136+$I62)*CK14</f>
        <v>2282.44069697288</v>
      </c>
      <c r="CL144" s="48" t="n">
        <f aca="false">(CL83+CL59+CL62+CL117)*(CL$4&gt;In_COD)-($E136+$I62)*CL14</f>
        <v>2274.53793753139</v>
      </c>
      <c r="CM144" s="48" t="n">
        <f aca="false">(CM83+CM59+CM62+CM117)*(CM$4&gt;In_COD)-($E136+$I62)*CM14</f>
        <v>2235.9071616356</v>
      </c>
      <c r="CN144" s="48" t="n">
        <f aca="false">(CN83+CN59+CN62+CN117)*(CN$4&gt;In_COD)-($E136+$I62)*CN14</f>
        <v>2260.75057454267</v>
      </c>
      <c r="CO144" s="48" t="n">
        <f aca="false">(CO83+CO59+CO62+CO117)*(CO$4&gt;In_COD)-($E136+$I62)*CO14</f>
        <v>2285.59398744973</v>
      </c>
      <c r="CP144" s="48" t="n">
        <f aca="false">(CP83+CP59+CP62+CP117)*(CP$4&gt;In_COD)-($E136+$I62)*CP14</f>
        <v>2277.64357229016</v>
      </c>
      <c r="CQ144" s="48" t="n">
        <f aca="false">(CQ83+CQ59+CQ62+CQ117)*(CQ$4&gt;In_COD)-($E136+$I62)*CQ14</f>
        <v>2263.58951398781</v>
      </c>
      <c r="CR144" s="48" t="n">
        <f aca="false">(CR83+CR59+CR62+CR117)*(CR$4&gt;In_COD)-($E136+$I62)*CR14</f>
        <v>2263.58951398781</v>
      </c>
      <c r="CS144" s="48" t="n">
        <f aca="false">(CS83+CS59+CS62+CS117)*(CS$4&gt;In_COD)-($E136+$I62)*CS14</f>
        <v>2288.46412403163</v>
      </c>
      <c r="CT144" s="48" t="n">
        <f aca="false">(CT83+CT59+CT62+CT117)*(CT$4&gt;In_COD)-($E136+$I62)*CT14</f>
        <v>2280.4659477195</v>
      </c>
      <c r="CU144" s="48" t="n">
        <f aca="false">(CU83+CU59+CU62+CU117)*(CU$4&gt;In_COD)-($E136+$I62)*CU14</f>
        <v>2241.23654457512</v>
      </c>
      <c r="CV144" s="48" t="n">
        <f aca="false">(CV83+CV59+CV62+CV117)*(CV$4&gt;In_COD)-($E136+$I62)*CV14</f>
        <v>2266.13917284818</v>
      </c>
      <c r="CW144" s="48" t="n">
        <f aca="false">(CW83+CW59+CW62+CW117)*(CW$4&gt;In_COD)-($E136+$I62)*CW14</f>
        <v>2291.04180112124</v>
      </c>
      <c r="CX144" s="48" t="n">
        <f aca="false">(CX83+CX59+CX62+CX117)*(CX$4&gt;In_COD)-($E136+$I62)*CX14</f>
        <v>2282.99576226646</v>
      </c>
      <c r="CY144" s="48" t="n">
        <f aca="false">(CY83+CY59+CY62+CY117)*(CY$4&gt;In_COD)-($E136+$I62)*CY14</f>
        <v>2243.46274206641</v>
      </c>
      <c r="CZ144" s="48" t="n">
        <f aca="false">(CZ83+CZ59+CZ62+CZ117)*(CZ$4&gt;In_COD)-($E136+$I62)*CZ14</f>
        <v>2268.39010586715</v>
      </c>
      <c r="DA144" s="48" t="n">
        <f aca="false">(DA83+DA59+DA62+DA117)*(DA$4&gt;In_COD)-($E136+$I62)*DA14</f>
        <v>2293.31746966789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127</v>
      </c>
      <c r="D145" s="11" t="s">
        <v>27</v>
      </c>
      <c r="E145" s="33" t="n">
        <f aca="false">XIRR(INDEX($J144:$EO144,$E15):$EO144,INDEX($J$4:$EO$4,$E15):$EO$4)</f>
        <v>0.0698829968732872</v>
      </c>
    </row>
    <row r="146" customFormat="false" ht="15" hidden="false" customHeight="false" outlineLevel="0" collapsed="false">
      <c r="C146" s="0" t="s">
        <v>510</v>
      </c>
      <c r="D146" s="11" t="s">
        <v>33</v>
      </c>
      <c r="I146" s="48" t="n">
        <f aca="false">SUM(J146:EO146)</f>
        <v>130944.221935654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-66652.6015392748</v>
      </c>
      <c r="Z146" s="48" t="n">
        <f aca="false">Z144+Z98+Z106+$E103*Z14</f>
        <v>1131.73497808859</v>
      </c>
      <c r="AA146" s="48" t="n">
        <f aca="false">AA144+AA98+AA106+$E103*AA14</f>
        <v>1096.65800223952</v>
      </c>
      <c r="AB146" s="48" t="n">
        <f aca="false">AB144+AB98+AB106+$E103*AB14</f>
        <v>1120.88727671144</v>
      </c>
      <c r="AC146" s="48" t="n">
        <f aca="false">AC144+AC98+AC106+$E103*AC14</f>
        <v>1145.10992027887</v>
      </c>
      <c r="AD146" s="48" t="n">
        <f aca="false">AD144+AD98+AD106+$E103*AD14</f>
        <v>1136.72759627164</v>
      </c>
      <c r="AE146" s="48" t="n">
        <f aca="false">AE144+AE98+AE106+$E103*AE14</f>
        <v>1126.17978197862</v>
      </c>
      <c r="AF146" s="48" t="n">
        <f aca="false">AF144+AF98+AF106+$E103*AF14</f>
        <v>1073.39926373345</v>
      </c>
      <c r="AG146" s="48" t="n">
        <f aca="false">AG144+AG98+AG106+$E103*AG14</f>
        <v>1092.34659267909</v>
      </c>
      <c r="AH146" s="48" t="n">
        <f aca="false">AH144+AH98+AH106+$E103*AH14</f>
        <v>1083.95492577998</v>
      </c>
      <c r="AI146" s="48" t="n">
        <f aca="false">AI144+AI98+AI106+$E103*AI14</f>
        <v>1048.67892478853</v>
      </c>
      <c r="AJ146" s="48" t="n">
        <f aca="false">AJ144+AJ98+AJ106+$E103*AJ14</f>
        <v>1099.50467081143</v>
      </c>
      <c r="AK146" s="48" t="n">
        <f aca="false">AK144+AK98+AK106+$E103*AK14</f>
        <v>1122.44329796763</v>
      </c>
      <c r="AL146" s="48" t="n">
        <f aca="false">AL144+AL98+AL106+$E103*AL14</f>
        <v>1113.94757566789</v>
      </c>
      <c r="AM146" s="48" t="n">
        <f aca="false">AM144+AM98+AM106+$E103*AM14</f>
        <v>1077.73132516712</v>
      </c>
      <c r="AN146" s="48" t="n">
        <f aca="false">AN144+AN98+AN106+$E103*AN14</f>
        <v>1100.69107705371</v>
      </c>
      <c r="AO146" s="48" t="n">
        <f aca="false">AO144+AO98+AO106+$E103*AO14</f>
        <v>1123.63543523561</v>
      </c>
      <c r="AP146" s="48" t="n">
        <f aca="false">AP144+AP98+AP106+$E103*AP14</f>
        <v>1115.03254116172</v>
      </c>
      <c r="AQ146" s="48" t="n">
        <f aca="false">AQ144+AQ98+AQ106+$E103*AQ14</f>
        <v>1078.49007065377</v>
      </c>
      <c r="AR146" s="48" t="n">
        <f aca="false">AR144+AR98+AR106+$E103*AR14</f>
        <v>1101.45128204602</v>
      </c>
      <c r="AS146" s="48" t="n">
        <f aca="false">AS144+AS98+AS106+$E103*AS14</f>
        <v>1124.39631549609</v>
      </c>
      <c r="AT146" s="48" t="n">
        <f aca="false">AT144+AT98+AT106+$E103*AT14</f>
        <v>1115.68298461302</v>
      </c>
      <c r="AU146" s="48" t="n">
        <f aca="false">AU144+AU98+AU106+$E103*AU14</f>
        <v>1103.12634827417</v>
      </c>
      <c r="AV146" s="48" t="n">
        <f aca="false">AV144+AV98+AV106+$E103*AV14</f>
        <v>1101.76617764351</v>
      </c>
      <c r="AW146" s="48" t="n">
        <f aca="false">AW144+AW98+AW106+$E103*AW14</f>
        <v>1124.7066016614</v>
      </c>
      <c r="AX146" s="48" t="n">
        <f aca="false">AX144+AX98+AX106+$E103*AX14</f>
        <v>1115.87941266781</v>
      </c>
      <c r="AY146" s="48" t="n">
        <f aca="false">AY144+AY98+AY106+$E103*AY14</f>
        <v>1078.66768211918</v>
      </c>
      <c r="AZ146" s="48" t="n">
        <f aca="false">AZ144+AZ98+AZ106+$E103*AZ14</f>
        <v>1101.61584146013</v>
      </c>
      <c r="BA146" s="48" t="n">
        <f aca="false">BA144+BA98+BA106+$E103*BA14</f>
        <v>1124.54613248881</v>
      </c>
      <c r="BB146" s="48" t="n">
        <f aca="false">BB144+BB98+BB106+$E103*BB14</f>
        <v>1115.60149982244</v>
      </c>
      <c r="BC146" s="48" t="n">
        <f aca="false">BC144+BC98+BC106+$E103*BC14</f>
        <v>1078.04633605255</v>
      </c>
      <c r="BD146" s="48" t="n">
        <f aca="false">BD144+BD98+BD106+$E103*BD14</f>
        <v>1100.97949992887</v>
      </c>
      <c r="BE146" s="48" t="n">
        <f aca="false">BE144+BE98+BE106+$E103*BE14</f>
        <v>1123.89388518572</v>
      </c>
      <c r="BF146" s="48" t="n">
        <f aca="false">BF144+BF98+BF106+$E103*BF14</f>
        <v>1114.82805061883</v>
      </c>
      <c r="BG146" s="48" t="n">
        <f aca="false">BG144+BG98+BG106+$E103*BG14</f>
        <v>1076.92330766182</v>
      </c>
      <c r="BH146" s="48" t="n">
        <f aca="false">BH144+BH98+BH106+$E103*BH14</f>
        <v>1099.83548959517</v>
      </c>
      <c r="BI146" s="48" t="n">
        <f aca="false">BI144+BI98+BI106+$E103*BI14</f>
        <v>1122.72793622596</v>
      </c>
      <c r="BJ146" s="48" t="n">
        <f aca="false">BJ144+BJ98+BJ106+$E103*BJ14</f>
        <v>1113.53696003009</v>
      </c>
      <c r="BK146" s="48" t="n">
        <f aca="false">BK144+BK98+BK106+$E103*BK14</f>
        <v>1099.82047449184</v>
      </c>
      <c r="BL146" s="48" t="n">
        <f aca="false">BL144+BL98+BL106+$E103*BL14</f>
        <v>1098.1612165564</v>
      </c>
      <c r="BM146" s="48" t="n">
        <f aca="false">BM144+BM98+BM106+$E103*BM14</f>
        <v>1121.02542028919</v>
      </c>
      <c r="BN146" s="48" t="n">
        <f aca="false">BN144+BN98+BN106+$E103*BN14</f>
        <v>1111.70517194706</v>
      </c>
      <c r="BO146" s="48" t="n">
        <f aca="false">BO144+BO98+BO106+$E103*BO14</f>
        <v>1073.08194331358</v>
      </c>
      <c r="BP146" s="48" t="n">
        <f aca="false">BP144+BP98+BP106+$E103*BP14</f>
        <v>1095.93311395577</v>
      </c>
      <c r="BQ146" s="48" t="n">
        <f aca="false">BQ144+BQ98+BQ106+$E103*BQ14</f>
        <v>1118.76248723059</v>
      </c>
      <c r="BR146" s="48" t="n">
        <f aca="false">BR144+BR98+BR106+$E103*BR14</f>
        <v>1109.30863567208</v>
      </c>
      <c r="BS146" s="48" t="n">
        <f aca="false">BS144+BS98+BS106+$E103*BS14</f>
        <v>1070.31603004401</v>
      </c>
      <c r="BT146" s="48" t="n">
        <f aca="false">BT144+BT98+BT106+$E103*BT14</f>
        <v>1093.12659743454</v>
      </c>
      <c r="BU146" s="48" t="n">
        <f aca="false">BU144+BU98+BU106+$E103*BU14</f>
        <v>1115.91425698347</v>
      </c>
      <c r="BV146" s="48" t="n">
        <f aca="false">BV144+BV98+BV106+$E103*BV14</f>
        <v>1106.32226032135</v>
      </c>
      <c r="BW146" s="48" t="n">
        <f aca="false">BW144+BW98+BW106+$E103*BW14</f>
        <v>1066.9531897012</v>
      </c>
      <c r="BX146" s="48" t="n">
        <f aca="false">BX144+BX98+BX106+$E103*BX14</f>
        <v>1089.71601844163</v>
      </c>
      <c r="BY146" s="48" t="n">
        <f aca="false">BY144+BY98+BY106+$E103*BY14</f>
        <v>1112.45477229275</v>
      </c>
      <c r="BZ146" s="48" t="n">
        <f aca="false">BZ144+BZ98+BZ106+$E103*BZ14</f>
        <v>1102.71986703259</v>
      </c>
      <c r="CA146" s="48" t="n">
        <f aca="false">CA144+CA98+CA106+$E103*CA14</f>
        <v>1087.69872670692</v>
      </c>
      <c r="CB146" s="48" t="n">
        <f aca="false">CB144+CB98+CB106+$E103*CB14</f>
        <v>1085.67461529454</v>
      </c>
      <c r="CC146" s="48" t="n">
        <f aca="false">CC144+CC98+CC106+$E103*CC14</f>
        <v>1108.35694917172</v>
      </c>
      <c r="CD146" s="48" t="n">
        <f aca="false">CD144+CD98+CD106+$E103*CD14</f>
        <v>1098.4741388691</v>
      </c>
      <c r="CE146" s="48" t="n">
        <f aca="false">CE144+CE98+CE106+$E103*CE14</f>
        <v>1058.32980841036</v>
      </c>
      <c r="CF146" s="48" t="n">
        <f aca="false">CF144+CF98+CF106+$E103*CF14</f>
        <v>1080.97446188027</v>
      </c>
      <c r="CG146" s="48" t="n">
        <f aca="false">CG144+CG98+CG106+$E103*CG14</f>
        <v>2281.19406424431</v>
      </c>
      <c r="CH146" s="48" t="n">
        <f aca="false">CH144+CH98+CH106+$E103*CH14</f>
        <v>2271.15810758116</v>
      </c>
      <c r="CI146" s="48" t="n">
        <f aca="false">CI144+CI98+CI106+$E103*CI14</f>
        <v>2232.82242095173</v>
      </c>
      <c r="CJ146" s="48" t="n">
        <f aca="false">CJ144+CJ98+CJ106+$E103*CJ14</f>
        <v>2257.63155896231</v>
      </c>
      <c r="CK146" s="48" t="n">
        <f aca="false">CK144+CK98+CK106+$E103*CK14</f>
        <v>2282.44069697288</v>
      </c>
      <c r="CL146" s="48" t="n">
        <f aca="false">CL144+CL98+CL106+$E103*CL14</f>
        <v>2274.53793753139</v>
      </c>
      <c r="CM146" s="48" t="n">
        <f aca="false">CM144+CM98+CM106+$E103*CM14</f>
        <v>2235.9071616356</v>
      </c>
      <c r="CN146" s="48" t="n">
        <f aca="false">CN144+CN98+CN106+$E103*CN14</f>
        <v>2260.75057454267</v>
      </c>
      <c r="CO146" s="48" t="n">
        <f aca="false">CO144+CO98+CO106+$E103*CO14</f>
        <v>2285.59398744973</v>
      </c>
      <c r="CP146" s="48" t="n">
        <f aca="false">CP144+CP98+CP106+$E103*CP14</f>
        <v>2277.64357229016</v>
      </c>
      <c r="CQ146" s="48" t="n">
        <f aca="false">CQ144+CQ98+CQ106+$E103*CQ14</f>
        <v>2263.58951398781</v>
      </c>
      <c r="CR146" s="48" t="n">
        <f aca="false">CR144+CR98+CR106+$E103*CR14</f>
        <v>2263.58951398781</v>
      </c>
      <c r="CS146" s="48" t="n">
        <f aca="false">CS144+CS98+CS106+$E103*CS14</f>
        <v>2288.46412403163</v>
      </c>
      <c r="CT146" s="48" t="n">
        <f aca="false">CT144+CT98+CT106+$E103*CT14</f>
        <v>2280.4659477195</v>
      </c>
      <c r="CU146" s="48" t="n">
        <f aca="false">CU144+CU98+CU106+$E103*CU14</f>
        <v>2241.23654457512</v>
      </c>
      <c r="CV146" s="48" t="n">
        <f aca="false">CV144+CV98+CV106+$E103*CV14</f>
        <v>2266.13917284818</v>
      </c>
      <c r="CW146" s="48" t="n">
        <f aca="false">CW144+CW98+CW106+$E103*CW14</f>
        <v>2291.04180112124</v>
      </c>
      <c r="CX146" s="48" t="n">
        <f aca="false">CX144+CX98+CX106+$E103*CX14</f>
        <v>2282.99576226646</v>
      </c>
      <c r="CY146" s="48" t="n">
        <f aca="false">CY144+CY98+CY106+$E103*CY14</f>
        <v>2243.46274206641</v>
      </c>
      <c r="CZ146" s="48" t="n">
        <f aca="false">CZ144+CZ98+CZ106+$E103*CZ14</f>
        <v>2268.39010586715</v>
      </c>
      <c r="DA146" s="48" t="n">
        <f aca="false">DA144+DA98+DA106+$E103*DA14</f>
        <v>2293.31746966789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511</v>
      </c>
      <c r="D147" s="11" t="s">
        <v>27</v>
      </c>
      <c r="E147" s="33" t="n">
        <f aca="false">XIRR(INDEX($J146:$EO146,$E15):$EO146,INDEX($J$4:$EO$4,$E15):$EO$4)</f>
        <v>0.0757916899883517</v>
      </c>
    </row>
    <row r="149" customFormat="false" ht="15" hidden="false" customHeight="false" outlineLevel="0" collapsed="false">
      <c r="A149" s="9" t="s">
        <v>13</v>
      </c>
      <c r="B149" s="9"/>
      <c r="C149" s="9" t="s">
        <v>512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513</v>
      </c>
      <c r="D150" s="11" t="s">
        <v>33</v>
      </c>
      <c r="I150" s="48" t="n">
        <f aca="false">SUM(J150:EO150)</f>
        <v>185099.149390158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2309.33651736335</v>
      </c>
      <c r="AA150" s="48" t="n">
        <f aca="false">AA63+AA70+AA83+AA62+AA117</f>
        <v>2274.25954151428</v>
      </c>
      <c r="AB150" s="48" t="n">
        <f aca="false">AB63+AB70+AB83+AB62+AB117</f>
        <v>2298.4888159862</v>
      </c>
      <c r="AC150" s="48" t="n">
        <f aca="false">AC63+AC70+AC83+AC62+AC117</f>
        <v>2322.71145955363</v>
      </c>
      <c r="AD150" s="48" t="n">
        <f aca="false">AD63+AD70+AD83+AD62+AD117</f>
        <v>2314.3291355464</v>
      </c>
      <c r="AE150" s="48" t="n">
        <f aca="false">AE63+AE70+AE83+AE62+AE117</f>
        <v>2303.78132125338</v>
      </c>
      <c r="AF150" s="48" t="n">
        <f aca="false">AF63+AF70+AF83+AF62+AF117</f>
        <v>2251.00080300821</v>
      </c>
      <c r="AG150" s="48" t="n">
        <f aca="false">AG63+AG70+AG83+AG62+AG117</f>
        <v>2269.94813195385</v>
      </c>
      <c r="AH150" s="48" t="n">
        <f aca="false">AH63+AH70+AH83+AH62+AH117</f>
        <v>2261.55646505474</v>
      </c>
      <c r="AI150" s="48" t="n">
        <f aca="false">AI63+AI70+AI83+AI62+AI117</f>
        <v>2226.28046406329</v>
      </c>
      <c r="AJ150" s="48" t="n">
        <f aca="false">AJ63+AJ70+AJ83+AJ62+AJ117</f>
        <v>2277.10621008619</v>
      </c>
      <c r="AK150" s="48" t="n">
        <f aca="false">AK63+AK70+AK83+AK62+AK117</f>
        <v>2300.04483724239</v>
      </c>
      <c r="AL150" s="48" t="n">
        <f aca="false">AL63+AL70+AL83+AL62+AL117</f>
        <v>2291.54911494265</v>
      </c>
      <c r="AM150" s="48" t="n">
        <f aca="false">AM63+AM70+AM83+AM62+AM117</f>
        <v>2255.33286444188</v>
      </c>
      <c r="AN150" s="48" t="n">
        <f aca="false">AN63+AN70+AN83+AN62+AN117</f>
        <v>2278.29261632847</v>
      </c>
      <c r="AO150" s="48" t="n">
        <f aca="false">AO63+AO70+AO83+AO62+AO117</f>
        <v>2301.23697451037</v>
      </c>
      <c r="AP150" s="48" t="n">
        <f aca="false">AP63+AP70+AP83+AP62+AP117</f>
        <v>2292.63408043648</v>
      </c>
      <c r="AQ150" s="48" t="n">
        <f aca="false">AQ63+AQ70+AQ83+AQ62+AQ117</f>
        <v>2256.09160992853</v>
      </c>
      <c r="AR150" s="48" t="n">
        <f aca="false">AR63+AR70+AR83+AR62+AR117</f>
        <v>2279.05282132077</v>
      </c>
      <c r="AS150" s="48" t="n">
        <f aca="false">AS63+AS70+AS83+AS62+AS117</f>
        <v>2301.99785477085</v>
      </c>
      <c r="AT150" s="48" t="n">
        <f aca="false">AT63+AT70+AT83+AT62+AT117</f>
        <v>2293.28452388778</v>
      </c>
      <c r="AU150" s="48" t="n">
        <f aca="false">AU63+AU70+AU83+AU62+AU117</f>
        <v>2280.72788754892</v>
      </c>
      <c r="AV150" s="48" t="n">
        <f aca="false">AV63+AV70+AV83+AV62+AV117</f>
        <v>2279.36771691826</v>
      </c>
      <c r="AW150" s="48" t="n">
        <f aca="false">AW63+AW70+AW83+AW62+AW117</f>
        <v>2302.30814093616</v>
      </c>
      <c r="AX150" s="48" t="n">
        <f aca="false">AX63+AX70+AX83+AX62+AX117</f>
        <v>2293.48095194257</v>
      </c>
      <c r="AY150" s="48" t="n">
        <f aca="false">AY63+AY70+AY83+AY62+AY117</f>
        <v>2256.26922139394</v>
      </c>
      <c r="AZ150" s="48" t="n">
        <f aca="false">AZ63+AZ70+AZ83+AZ62+AZ117</f>
        <v>2279.21738073489</v>
      </c>
      <c r="BA150" s="48" t="n">
        <f aca="false">BA63+BA70+BA83+BA62+BA117</f>
        <v>2302.14767176357</v>
      </c>
      <c r="BB150" s="48" t="n">
        <f aca="false">BB63+BB70+BB83+BB62+BB117</f>
        <v>2293.2030390972</v>
      </c>
      <c r="BC150" s="48" t="n">
        <f aca="false">BC63+BC70+BC83+BC62+BC117</f>
        <v>2255.64787532731</v>
      </c>
      <c r="BD150" s="48" t="n">
        <f aca="false">BD63+BD70+BD83+BD62+BD117</f>
        <v>2278.58103920362</v>
      </c>
      <c r="BE150" s="48" t="n">
        <f aca="false">BE63+BE70+BE83+BE62+BE117</f>
        <v>2301.49542446047</v>
      </c>
      <c r="BF150" s="48" t="n">
        <f aca="false">BF63+BF70+BF83+BF62+BF117</f>
        <v>2292.42958989359</v>
      </c>
      <c r="BG150" s="48" t="n">
        <f aca="false">BG63+BG70+BG83+BG62+BG117</f>
        <v>2254.52484693658</v>
      </c>
      <c r="BH150" s="48" t="n">
        <f aca="false">BH63+BH70+BH83+BH62+BH117</f>
        <v>2277.43702886992</v>
      </c>
      <c r="BI150" s="48" t="n">
        <f aca="false">BI63+BI70+BI83+BI62+BI117</f>
        <v>2300.32947550072</v>
      </c>
      <c r="BJ150" s="48" t="n">
        <f aca="false">BJ63+BJ70+BJ83+BJ62+BJ117</f>
        <v>2291.13849930485</v>
      </c>
      <c r="BK150" s="48" t="n">
        <f aca="false">BK63+BK70+BK83+BK62+BK117</f>
        <v>2277.42201376659</v>
      </c>
      <c r="BL150" s="48" t="n">
        <f aca="false">BL63+BL70+BL83+BL62+BL117</f>
        <v>2275.76275583116</v>
      </c>
      <c r="BM150" s="48" t="n">
        <f aca="false">BM63+BM70+BM83+BM62+BM117</f>
        <v>2298.62695956395</v>
      </c>
      <c r="BN150" s="48" t="n">
        <f aca="false">BN63+BN70+BN83+BN62+BN117</f>
        <v>2289.30671122182</v>
      </c>
      <c r="BO150" s="48" t="n">
        <f aca="false">BO63+BO70+BO83+BO62+BO117</f>
        <v>2250.68348258834</v>
      </c>
      <c r="BP150" s="48" t="n">
        <f aca="false">BP63+BP70+BP83+BP62+BP117</f>
        <v>2273.53465323053</v>
      </c>
      <c r="BQ150" s="48" t="n">
        <f aca="false">BQ63+BQ70+BQ83+BQ62+BQ117</f>
        <v>2296.36402650535</v>
      </c>
      <c r="BR150" s="48" t="n">
        <f aca="false">BR63+BR70+BR83+BR62+BR117</f>
        <v>2286.91017494684</v>
      </c>
      <c r="BS150" s="48" t="n">
        <f aca="false">BS63+BS70+BS83+BS62+BS117</f>
        <v>2247.91756931877</v>
      </c>
      <c r="BT150" s="48" t="n">
        <f aca="false">BT63+BT70+BT83+BT62+BT117</f>
        <v>2270.7281367093</v>
      </c>
      <c r="BU150" s="48" t="n">
        <f aca="false">BU63+BU70+BU83+BU62+BU117</f>
        <v>2293.51579625823</v>
      </c>
      <c r="BV150" s="48" t="n">
        <f aca="false">BV63+BV70+BV83+BV62+BV117</f>
        <v>2283.92379959611</v>
      </c>
      <c r="BW150" s="48" t="n">
        <f aca="false">BW63+BW70+BW83+BW62+BW117</f>
        <v>2244.55472897596</v>
      </c>
      <c r="BX150" s="48" t="n">
        <f aca="false">BX63+BX70+BX83+BX62+BX117</f>
        <v>2267.31755771639</v>
      </c>
      <c r="BY150" s="48" t="n">
        <f aca="false">BY63+BY70+BY83+BY62+BY117</f>
        <v>2290.05631156751</v>
      </c>
      <c r="BZ150" s="48" t="n">
        <f aca="false">BZ63+BZ70+BZ83+BZ62+BZ117</f>
        <v>2280.32140630735</v>
      </c>
      <c r="CA150" s="48" t="n">
        <f aca="false">CA63+CA70+CA83+CA62+CA117</f>
        <v>2265.30026598168</v>
      </c>
      <c r="CB150" s="48" t="n">
        <f aca="false">CB63+CB70+CB83+CB62+CB117</f>
        <v>2263.2761545693</v>
      </c>
      <c r="CC150" s="48" t="n">
        <f aca="false">CC63+CC70+CC83+CC62+CC117</f>
        <v>2285.95848844647</v>
      </c>
      <c r="CD150" s="48" t="n">
        <f aca="false">CD63+CD70+CD83+CD62+CD117</f>
        <v>2276.07567814386</v>
      </c>
      <c r="CE150" s="48" t="n">
        <f aca="false">CE63+CE70+CE83+CE62+CE117</f>
        <v>2235.93134768512</v>
      </c>
      <c r="CF150" s="48" t="n">
        <f aca="false">CF63+CF70+CF83+CF62+CF117</f>
        <v>2258.57600115503</v>
      </c>
      <c r="CG150" s="48" t="n">
        <f aca="false">CG63+CG70+CG83+CG62+CG117</f>
        <v>2281.1940642443</v>
      </c>
      <c r="CH150" s="48" t="n">
        <f aca="false">CH63+CH70+CH83+CH62+CH117</f>
        <v>2271.15810758116</v>
      </c>
      <c r="CI150" s="48" t="n">
        <f aca="false">CI63+CI70+CI83+CI62+CI117</f>
        <v>2232.82242095173</v>
      </c>
      <c r="CJ150" s="48" t="n">
        <f aca="false">CJ63+CJ70+CJ83+CJ62+CJ117</f>
        <v>2257.63155896231</v>
      </c>
      <c r="CK150" s="48" t="n">
        <f aca="false">CK63+CK70+CK83+CK62+CK117</f>
        <v>2282.44069697288</v>
      </c>
      <c r="CL150" s="48" t="n">
        <f aca="false">CL63+CL70+CL83+CL62+CL117</f>
        <v>2274.53793753139</v>
      </c>
      <c r="CM150" s="48" t="n">
        <f aca="false">CM63+CM70+CM83+CM62+CM117</f>
        <v>2235.9071616356</v>
      </c>
      <c r="CN150" s="48" t="n">
        <f aca="false">CN63+CN70+CN83+CN62+CN117</f>
        <v>2260.75057454267</v>
      </c>
      <c r="CO150" s="48" t="n">
        <f aca="false">CO63+CO70+CO83+CO62+CO117</f>
        <v>2285.59398744973</v>
      </c>
      <c r="CP150" s="48" t="n">
        <f aca="false">CP63+CP70+CP83+CP62+CP117</f>
        <v>2277.64357229016</v>
      </c>
      <c r="CQ150" s="48" t="n">
        <f aca="false">CQ63+CQ70+CQ83+CQ62+CQ117</f>
        <v>2263.58951398781</v>
      </c>
      <c r="CR150" s="48" t="n">
        <f aca="false">CR63+CR70+CR83+CR62+CR117</f>
        <v>2263.58951398781</v>
      </c>
      <c r="CS150" s="48" t="n">
        <f aca="false">CS63+CS70+CS83+CS62+CS117</f>
        <v>2288.46412403163</v>
      </c>
      <c r="CT150" s="48" t="n">
        <f aca="false">CT63+CT70+CT83+CT62+CT117</f>
        <v>2280.4659477195</v>
      </c>
      <c r="CU150" s="48" t="n">
        <f aca="false">CU63+CU70+CU83+CU62+CU117</f>
        <v>2241.23654457512</v>
      </c>
      <c r="CV150" s="48" t="n">
        <f aca="false">CV63+CV70+CV83+CV62+CV117</f>
        <v>2266.13917284818</v>
      </c>
      <c r="CW150" s="48" t="n">
        <f aca="false">CW63+CW70+CW83+CW62+CW117</f>
        <v>2291.04180112124</v>
      </c>
      <c r="CX150" s="48" t="n">
        <f aca="false">CX63+CX70+CX83+CX62+CX117</f>
        <v>2282.99576226646</v>
      </c>
      <c r="CY150" s="48" t="n">
        <f aca="false">CY63+CY70+CY83+CY62+CY117</f>
        <v>2243.46274206641</v>
      </c>
      <c r="CZ150" s="48" t="n">
        <f aca="false">CZ63+CZ70+CZ83+CZ62+CZ117</f>
        <v>2268.39010586715</v>
      </c>
      <c r="DA150" s="48" t="n">
        <f aca="false">DA63+DA70+DA83+DA62+DA117</f>
        <v>2293.31746966789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0.0963433191717315</v>
      </c>
    </row>
    <row r="152" customFormat="false" ht="15" hidden="false" customHeight="false" outlineLevel="0" collapsed="false">
      <c r="C152" s="25" t="s">
        <v>514</v>
      </c>
      <c r="D152" s="11" t="s">
        <v>33</v>
      </c>
      <c r="I152" s="57" t="n">
        <f aca="false">SUM(J152:EO152)</f>
        <v>160398.035660502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-4087.99741665108</v>
      </c>
      <c r="S152" s="57" t="n">
        <f aca="false">S63+S70+S100+S104+S105+S83+S98+S106+S62+S117</f>
        <v>-6180.32604982119</v>
      </c>
      <c r="T152" s="57" t="n">
        <f aca="false">T63+T70+T100+T104+T105+T83+T98+T106+T62+T117</f>
        <v>-3153.5649456833</v>
      </c>
      <c r="U152" s="57" t="n">
        <f aca="false">U63+U70+U100+U104+U105+U83+U98+U106+U62+U117</f>
        <v>-3176.73865237342</v>
      </c>
      <c r="V152" s="57" t="n">
        <f aca="false">V63+V70+V100+V104+V105+V83+V98+V106+V62+V117</f>
        <v>-3165.13163599942</v>
      </c>
      <c r="W152" s="57" t="n">
        <f aca="false">W63+W70+W100+W104+W105+W83+W98+W106+W62+W117</f>
        <v>-3086.01166776281</v>
      </c>
      <c r="X152" s="57" t="n">
        <f aca="false">X63+X70+X100+X104+X105+X83+X98+X106+X62+X117</f>
        <v>-3109.06941690514</v>
      </c>
      <c r="Y152" s="57" t="n">
        <f aca="false">Y63+Y70+Y100+Y104+Y105+Y83+Y98+Y106+Y62+Y117</f>
        <v>-5240.99907820711</v>
      </c>
      <c r="Z152" s="57" t="n">
        <f aca="false">Z63+Z70+Z100+Z104+Z105+Z83+Z98+Z106+Z62+Z117</f>
        <v>1131.73497808859</v>
      </c>
      <c r="AA152" s="57" t="n">
        <f aca="false">AA63+AA70+AA100+AA104+AA105+AA83+AA98+AA106+AA62+AA117</f>
        <v>1096.65800223952</v>
      </c>
      <c r="AB152" s="57" t="n">
        <f aca="false">AB63+AB70+AB100+AB104+AB105+AB83+AB98+AB106+AB62+AB117</f>
        <v>1120.88727671144</v>
      </c>
      <c r="AC152" s="57" t="n">
        <f aca="false">AC63+AC70+AC100+AC104+AC105+AC83+AC98+AC106+AC62+AC117</f>
        <v>1145.10992027887</v>
      </c>
      <c r="AD152" s="57" t="n">
        <f aca="false">AD63+AD70+AD100+AD104+AD105+AD83+AD98+AD106+AD62+AD117</f>
        <v>1136.72759627164</v>
      </c>
      <c r="AE152" s="57" t="n">
        <f aca="false">AE63+AE70+AE100+AE104+AE105+AE83+AE98+AE106+AE62+AE117</f>
        <v>1126.17978197862</v>
      </c>
      <c r="AF152" s="57" t="n">
        <f aca="false">AF63+AF70+AF100+AF104+AF105+AF83+AF98+AF106+AF62+AF117</f>
        <v>1073.39926373345</v>
      </c>
      <c r="AG152" s="57" t="n">
        <f aca="false">AG63+AG70+AG100+AG104+AG105+AG83+AG98+AG106+AG62+AG117</f>
        <v>1092.34659267909</v>
      </c>
      <c r="AH152" s="57" t="n">
        <f aca="false">AH63+AH70+AH100+AH104+AH105+AH83+AH98+AH106+AH62+AH117</f>
        <v>1083.95492577998</v>
      </c>
      <c r="AI152" s="57" t="n">
        <f aca="false">AI63+AI70+AI100+AI104+AI105+AI83+AI98+AI106+AI62+AI117</f>
        <v>1048.67892478853</v>
      </c>
      <c r="AJ152" s="57" t="n">
        <f aca="false">AJ63+AJ70+AJ100+AJ104+AJ105+AJ83+AJ98+AJ106+AJ62+AJ117</f>
        <v>1099.50467081143</v>
      </c>
      <c r="AK152" s="57" t="n">
        <f aca="false">AK63+AK70+AK100+AK104+AK105+AK83+AK98+AK106+AK62+AK117</f>
        <v>1122.44329796763</v>
      </c>
      <c r="AL152" s="57" t="n">
        <f aca="false">AL63+AL70+AL100+AL104+AL105+AL83+AL98+AL106+AL62+AL117</f>
        <v>1113.94757566789</v>
      </c>
      <c r="AM152" s="57" t="n">
        <f aca="false">AM63+AM70+AM100+AM104+AM105+AM83+AM98+AM106+AM62+AM117</f>
        <v>1077.73132516712</v>
      </c>
      <c r="AN152" s="57" t="n">
        <f aca="false">AN63+AN70+AN100+AN104+AN105+AN83+AN98+AN106+AN62+AN117</f>
        <v>1100.69107705371</v>
      </c>
      <c r="AO152" s="57" t="n">
        <f aca="false">AO63+AO70+AO100+AO104+AO105+AO83+AO98+AO106+AO62+AO117</f>
        <v>1123.63543523561</v>
      </c>
      <c r="AP152" s="57" t="n">
        <f aca="false">AP63+AP70+AP100+AP104+AP105+AP83+AP98+AP106+AP62+AP117</f>
        <v>1115.03254116172</v>
      </c>
      <c r="AQ152" s="57" t="n">
        <f aca="false">AQ63+AQ70+AQ100+AQ104+AQ105+AQ83+AQ98+AQ106+AQ62+AQ117</f>
        <v>1078.49007065377</v>
      </c>
      <c r="AR152" s="57" t="n">
        <f aca="false">AR63+AR70+AR100+AR104+AR105+AR83+AR98+AR106+AR62+AR117</f>
        <v>1101.45128204602</v>
      </c>
      <c r="AS152" s="57" t="n">
        <f aca="false">AS63+AS70+AS100+AS104+AS105+AS83+AS98+AS106+AS62+AS117</f>
        <v>1124.39631549609</v>
      </c>
      <c r="AT152" s="57" t="n">
        <f aca="false">AT63+AT70+AT100+AT104+AT105+AT83+AT98+AT106+AT62+AT117</f>
        <v>1115.68298461302</v>
      </c>
      <c r="AU152" s="57" t="n">
        <f aca="false">AU63+AU70+AU100+AU104+AU105+AU83+AU98+AU106+AU62+AU117</f>
        <v>1103.12634827417</v>
      </c>
      <c r="AV152" s="57" t="n">
        <f aca="false">AV63+AV70+AV100+AV104+AV105+AV83+AV98+AV106+AV62+AV117</f>
        <v>1101.76617764351</v>
      </c>
      <c r="AW152" s="57" t="n">
        <f aca="false">AW63+AW70+AW100+AW104+AW105+AW83+AW98+AW106+AW62+AW117</f>
        <v>1124.7066016614</v>
      </c>
      <c r="AX152" s="57" t="n">
        <f aca="false">AX63+AX70+AX100+AX104+AX105+AX83+AX98+AX106+AX62+AX117</f>
        <v>1115.87941266781</v>
      </c>
      <c r="AY152" s="57" t="n">
        <f aca="false">AY63+AY70+AY100+AY104+AY105+AY83+AY98+AY106+AY62+AY117</f>
        <v>1078.66768211918</v>
      </c>
      <c r="AZ152" s="57" t="n">
        <f aca="false">AZ63+AZ70+AZ100+AZ104+AZ105+AZ83+AZ98+AZ106+AZ62+AZ117</f>
        <v>1101.61584146013</v>
      </c>
      <c r="BA152" s="57" t="n">
        <f aca="false">BA63+BA70+BA100+BA104+BA105+BA83+BA98+BA106+BA62+BA117</f>
        <v>1124.54613248881</v>
      </c>
      <c r="BB152" s="57" t="n">
        <f aca="false">BB63+BB70+BB100+BB104+BB105+BB83+BB98+BB106+BB62+BB117</f>
        <v>1115.60149982244</v>
      </c>
      <c r="BC152" s="57" t="n">
        <f aca="false">BC63+BC70+BC100+BC104+BC105+BC83+BC98+BC106+BC62+BC117</f>
        <v>1078.04633605255</v>
      </c>
      <c r="BD152" s="57" t="n">
        <f aca="false">BD63+BD70+BD100+BD104+BD105+BD83+BD98+BD106+BD62+BD117</f>
        <v>1100.97949992887</v>
      </c>
      <c r="BE152" s="57" t="n">
        <f aca="false">BE63+BE70+BE100+BE104+BE105+BE83+BE98+BE106+BE62+BE117</f>
        <v>1123.89388518572</v>
      </c>
      <c r="BF152" s="57" t="n">
        <f aca="false">BF63+BF70+BF100+BF104+BF105+BF83+BF98+BF106+BF62+BF117</f>
        <v>1114.82805061883</v>
      </c>
      <c r="BG152" s="57" t="n">
        <f aca="false">BG63+BG70+BG100+BG104+BG105+BG83+BG98+BG106+BG62+BG117</f>
        <v>1076.92330766182</v>
      </c>
      <c r="BH152" s="57" t="n">
        <f aca="false">BH63+BH70+BH100+BH104+BH105+BH83+BH98+BH106+BH62+BH117</f>
        <v>1099.83548959517</v>
      </c>
      <c r="BI152" s="57" t="n">
        <f aca="false">BI63+BI70+BI100+BI104+BI105+BI83+BI98+BI106+BI62+BI117</f>
        <v>1122.72793622596</v>
      </c>
      <c r="BJ152" s="57" t="n">
        <f aca="false">BJ63+BJ70+BJ100+BJ104+BJ105+BJ83+BJ98+BJ106+BJ62+BJ117</f>
        <v>1113.53696003009</v>
      </c>
      <c r="BK152" s="57" t="n">
        <f aca="false">BK63+BK70+BK100+BK104+BK105+BK83+BK98+BK106+BK62+BK117</f>
        <v>1099.82047449184</v>
      </c>
      <c r="BL152" s="57" t="n">
        <f aca="false">BL63+BL70+BL100+BL104+BL105+BL83+BL98+BL106+BL62+BL117</f>
        <v>1098.1612165564</v>
      </c>
      <c r="BM152" s="57" t="n">
        <f aca="false">BM63+BM70+BM100+BM104+BM105+BM83+BM98+BM106+BM62+BM117</f>
        <v>1121.02542028919</v>
      </c>
      <c r="BN152" s="57" t="n">
        <f aca="false">BN63+BN70+BN100+BN104+BN105+BN83+BN98+BN106+BN62+BN117</f>
        <v>1111.70517194706</v>
      </c>
      <c r="BO152" s="57" t="n">
        <f aca="false">BO63+BO70+BO100+BO104+BO105+BO83+BO98+BO106+BO62+BO117</f>
        <v>1073.08194331358</v>
      </c>
      <c r="BP152" s="57" t="n">
        <f aca="false">BP63+BP70+BP100+BP104+BP105+BP83+BP98+BP106+BP62+BP117</f>
        <v>1095.93311395577</v>
      </c>
      <c r="BQ152" s="57" t="n">
        <f aca="false">BQ63+BQ70+BQ100+BQ104+BQ105+BQ83+BQ98+BQ106+BQ62+BQ117</f>
        <v>1118.76248723059</v>
      </c>
      <c r="BR152" s="57" t="n">
        <f aca="false">BR63+BR70+BR100+BR104+BR105+BR83+BR98+BR106+BR62+BR117</f>
        <v>1109.30863567208</v>
      </c>
      <c r="BS152" s="57" t="n">
        <f aca="false">BS63+BS70+BS100+BS104+BS105+BS83+BS98+BS106+BS62+BS117</f>
        <v>1070.31603004401</v>
      </c>
      <c r="BT152" s="57" t="n">
        <f aca="false">BT63+BT70+BT100+BT104+BT105+BT83+BT98+BT106+BT62+BT117</f>
        <v>1093.12659743454</v>
      </c>
      <c r="BU152" s="57" t="n">
        <f aca="false">BU63+BU70+BU100+BU104+BU105+BU83+BU98+BU106+BU62+BU117</f>
        <v>1115.91425698347</v>
      </c>
      <c r="BV152" s="57" t="n">
        <f aca="false">BV63+BV70+BV100+BV104+BV105+BV83+BV98+BV106+BV62+BV117</f>
        <v>1106.32226032135</v>
      </c>
      <c r="BW152" s="57" t="n">
        <f aca="false">BW63+BW70+BW100+BW104+BW105+BW83+BW98+BW106+BW62+BW117</f>
        <v>1066.9531897012</v>
      </c>
      <c r="BX152" s="57" t="n">
        <f aca="false">BX63+BX70+BX100+BX104+BX105+BX83+BX98+BX106+BX62+BX117</f>
        <v>1089.71601844163</v>
      </c>
      <c r="BY152" s="57" t="n">
        <f aca="false">BY63+BY70+BY100+BY104+BY105+BY83+BY98+BY106+BY62+BY117</f>
        <v>1112.45477229275</v>
      </c>
      <c r="BZ152" s="57" t="n">
        <f aca="false">BZ63+BZ70+BZ100+BZ104+BZ105+BZ83+BZ98+BZ106+BZ62+BZ117</f>
        <v>1102.71986703259</v>
      </c>
      <c r="CA152" s="57" t="n">
        <f aca="false">CA63+CA70+CA100+CA104+CA105+CA83+CA98+CA106+CA62+CA117</f>
        <v>1087.69872670692</v>
      </c>
      <c r="CB152" s="57" t="n">
        <f aca="false">CB63+CB70+CB100+CB104+CB105+CB83+CB98+CB106+CB62+CB117</f>
        <v>1085.67461529454</v>
      </c>
      <c r="CC152" s="57" t="n">
        <f aca="false">CC63+CC70+CC100+CC104+CC105+CC83+CC98+CC106+CC62+CC117</f>
        <v>1108.35694917172</v>
      </c>
      <c r="CD152" s="57" t="n">
        <f aca="false">CD63+CD70+CD100+CD104+CD105+CD83+CD98+CD106+CD62+CD117</f>
        <v>1098.4741388691</v>
      </c>
      <c r="CE152" s="57" t="n">
        <f aca="false">CE63+CE70+CE100+CE104+CE105+CE83+CE98+CE106+CE62+CE117</f>
        <v>1058.32980841036</v>
      </c>
      <c r="CF152" s="57" t="n">
        <f aca="false">CF63+CF70+CF100+CF104+CF105+CF83+CF98+CF106+CF62+CF117</f>
        <v>1080.97446188027</v>
      </c>
      <c r="CG152" s="57" t="n">
        <f aca="false">CG63+CG70+CG100+CG104+CG105+CG83+CG98+CG106+CG62+CG117</f>
        <v>2281.19406424431</v>
      </c>
      <c r="CH152" s="57" t="n">
        <f aca="false">CH63+CH70+CH100+CH104+CH105+CH83+CH98+CH106+CH62+CH117</f>
        <v>2271.15810758116</v>
      </c>
      <c r="CI152" s="57" t="n">
        <f aca="false">CI63+CI70+CI100+CI104+CI105+CI83+CI98+CI106+CI62+CI117</f>
        <v>2232.82242095173</v>
      </c>
      <c r="CJ152" s="57" t="n">
        <f aca="false">CJ63+CJ70+CJ100+CJ104+CJ105+CJ83+CJ98+CJ106+CJ62+CJ117</f>
        <v>2257.63155896231</v>
      </c>
      <c r="CK152" s="57" t="n">
        <f aca="false">CK63+CK70+CK100+CK104+CK105+CK83+CK98+CK106+CK62+CK117</f>
        <v>2282.44069697288</v>
      </c>
      <c r="CL152" s="57" t="n">
        <f aca="false">CL63+CL70+CL100+CL104+CL105+CL83+CL98+CL106+CL62+CL117</f>
        <v>2274.53793753139</v>
      </c>
      <c r="CM152" s="57" t="n">
        <f aca="false">CM63+CM70+CM100+CM104+CM105+CM83+CM98+CM106+CM62+CM117</f>
        <v>2235.9071616356</v>
      </c>
      <c r="CN152" s="57" t="n">
        <f aca="false">CN63+CN70+CN100+CN104+CN105+CN83+CN98+CN106+CN62+CN117</f>
        <v>2260.75057454267</v>
      </c>
      <c r="CO152" s="57" t="n">
        <f aca="false">CO63+CO70+CO100+CO104+CO105+CO83+CO98+CO106+CO62+CO117</f>
        <v>2285.59398744973</v>
      </c>
      <c r="CP152" s="57" t="n">
        <f aca="false">CP63+CP70+CP100+CP104+CP105+CP83+CP98+CP106+CP62+CP117</f>
        <v>2277.64357229016</v>
      </c>
      <c r="CQ152" s="57" t="n">
        <f aca="false">CQ63+CQ70+CQ100+CQ104+CQ105+CQ83+CQ98+CQ106+CQ62+CQ117</f>
        <v>2263.58951398781</v>
      </c>
      <c r="CR152" s="57" t="n">
        <f aca="false">CR63+CR70+CR100+CR104+CR105+CR83+CR98+CR106+CR62+CR117</f>
        <v>2263.58951398781</v>
      </c>
      <c r="CS152" s="57" t="n">
        <f aca="false">CS63+CS70+CS100+CS104+CS105+CS83+CS98+CS106+CS62+CS117</f>
        <v>2288.46412403163</v>
      </c>
      <c r="CT152" s="57" t="n">
        <f aca="false">CT63+CT70+CT100+CT104+CT105+CT83+CT98+CT106+CT62+CT117</f>
        <v>2280.4659477195</v>
      </c>
      <c r="CU152" s="57" t="n">
        <f aca="false">CU63+CU70+CU100+CU104+CU105+CU83+CU98+CU106+CU62+CU117</f>
        <v>2241.23654457512</v>
      </c>
      <c r="CV152" s="57" t="n">
        <f aca="false">CV63+CV70+CV100+CV104+CV105+CV83+CV98+CV106+CV62+CV117</f>
        <v>2266.13917284818</v>
      </c>
      <c r="CW152" s="57" t="n">
        <f aca="false">CW63+CW70+CW100+CW104+CW105+CW83+CW98+CW106+CW62+CW117</f>
        <v>2291.04180112124</v>
      </c>
      <c r="CX152" s="57" t="n">
        <f aca="false">CX63+CX70+CX100+CX104+CX105+CX83+CX98+CX106+CX62+CX117</f>
        <v>2282.99576226646</v>
      </c>
      <c r="CY152" s="57" t="n">
        <f aca="false">CY63+CY70+CY100+CY104+CY105+CY83+CY98+CY106+CY62+CY117</f>
        <v>2243.46274206641</v>
      </c>
      <c r="CZ152" s="57" t="n">
        <f aca="false">CZ63+CZ70+CZ100+CZ104+CZ105+CZ83+CZ98+CZ106+CZ62+CZ117</f>
        <v>2268.39010586715</v>
      </c>
      <c r="DA152" s="57" t="n">
        <f aca="false">DA63+DA70+DA100+DA104+DA105+DA83+DA98+DA106+DA62+DA117</f>
        <v>2293.31746966789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0.118465201099218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5.31191565866826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16612.5621146329</v>
      </c>
    </row>
    <row r="157" customFormat="false" ht="15" hidden="false" customHeight="false" outlineLevel="0" collapsed="false">
      <c r="C157" s="42" t="s">
        <v>178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402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515</v>
      </c>
      <c r="F9" s="8" t="s">
        <v>516</v>
      </c>
    </row>
    <row r="11" customFormat="false" ht="15" hidden="false" customHeight="false" outlineLevel="0" collapsed="false">
      <c r="A11" s="9" t="s">
        <v>13</v>
      </c>
      <c r="B11" s="9"/>
      <c r="C11" s="9" t="s">
        <v>517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518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519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520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521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522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523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524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525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526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527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528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529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530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531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532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533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534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535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178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2026-10-15T09:03:40Z</dcterms:created>
  <dc:creator>openpyxl</dc:creator>
  <dc:description/>
  <dc:language>en-US</dc:language>
  <cp:lastModifiedBy/>
  <dcterms:modified xsi:type="dcterms:W3CDTF">2026-10-15T09:03:46Z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