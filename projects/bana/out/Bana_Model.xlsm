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Dashboard!$H$113:$R$113</definedName>
    <definedName function="false" hidden="false" name="Buyer_IRR_L_2_Stored" vbProcedure="false">Dashboard!$H$114:$R$114</definedName>
    <definedName function="false" hidden="false" name="Buyer_IRR_U_1_Stored" vbProcedure="false">Dashboard!$H$111:$R$111</definedName>
    <definedName function="false" hidden="false" name="Buyer_IRR_U_2_Stored" vbProcedure="false">Dashboard!$H$112:$R$112</definedName>
    <definedName function="false" hidden="false" name="Checks_1_Stored" vbProcedure="false">Dashboard!$H$117:$R$117</definedName>
    <definedName function="false" hidden="false" name="Checks_2_Stored" vbProcedure="false">Dashboard!$H$118:$R$118</definedName>
    <definedName function="false" hidden="false" name="COD_IRR_1_Stored" vbProcedure="false">Dashboard!$H$99:$R$99</definedName>
    <definedName function="false" hidden="false" name="COD_IRR_2_Stored" vbProcedure="false">Dashboard!$H$100:$R$100</definedName>
    <definedName function="false" hidden="false" name="COD_MOIC_1_Stored" vbProcedure="false">Dashboard!$H$101:$R$101</definedName>
    <definedName function="false" hidden="false" name="COD_MOIC_2_Stored" vbProcedure="false">Dashboard!$H$102:$R$102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Dashboard!$H$107:$R$107</definedName>
    <definedName function="false" hidden="false" name="Debt_COD_2_Stored" vbProcedure="false">Dashboard!$H$108:$R$108</definedName>
    <definedName function="false" hidden="false" name="Equity_COD_1_Stored" vbProcedure="false">Dashboard!$H$109:$R$109</definedName>
    <definedName function="false" hidden="false" name="Equity_COD_2_Stored" vbProcedure="false">Dashboard!$H$110:$R$110</definedName>
    <definedName function="false" hidden="false" name="GoalSeek_Topics" vbProcedure="false">Inputs!$F$107</definedName>
    <definedName function="false" hidden="false" name="HTM_IRR_1_Stored" vbProcedure="false">Dashboard!$H$103:$R$103</definedName>
    <definedName function="false" hidden="false" name="HTM_IRR_2_Stored" vbProcedure="false">Dashboard!$H$104:$R$104</definedName>
    <definedName function="false" hidden="false" name="HTM_MOIC_1_Stored" vbProcedure="false">Dashboard!$H$105:$R$105</definedName>
    <definedName function="false" hidden="false" name="HTM_MOIC_2_Stored" vbProcedure="false">Dashboard!$H$106:$R$106</definedName>
    <definedName function="false" hidden="false" name="In_Admin" vbProcedure="false">Inputs!$F$87</definedName>
    <definedName function="false" hidden="false" name="In_Award_Date" vbProcedure="false">Inputs!$F$22</definedName>
    <definedName function="false" hidden="false" name="In_Bench_BESS" vbProcedure="false">Inputs!$F$59</definedName>
    <definedName function="false" hidden="false" name="In_Bench_Wind" vbProcedure="false">Inputs!$F$60</definedName>
    <definedName function="false" hidden="false" name="In_BESS_Built" vbProcedure="false">Inputs!$F$54</definedName>
    <definedName function="false" hidden="false" name="In_BESS_Capex" vbProcedure="false">Inputs!$F$76</definedName>
    <definedName function="false" hidden="false" name="In_Bid_Date" vbProcedure="false">Inputs!$F$21</definedName>
    <definedName function="false" hidden="false" name="In_Bid_Rate" vbProcedure="false">Inputs!$F$62</definedName>
    <definedName function="false" hidden="false" name="In_Bottleneck_Loss" vbProcedure="false">Inputs!$F$53</definedName>
    <definedName function="false" hidden="false" name="In_Capex_Contingency" vbProcedure="false">Inputs!$F$75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Inputs!$F$102</definedName>
    <definedName function="false" hidden="false" name="In_Curtailment" vbProcedure="false">Inputs!$F$80</definedName>
    <definedName function="false" hidden="false" name="In_DD" vbProcedure="false">Inputs!$F$35</definedName>
    <definedName function="false" hidden="false" name="In_Debt_Rate" vbProcedure="false">Inputs!$F$100</definedName>
    <definedName function="false" hidden="false" name="In_Debt_Tenor" vbProcedure="false">Inputs!$F$99</definedName>
    <definedName function="false" hidden="false" name="In_Decision_Date" vbProcedure="false">Inputs!$F$23</definedName>
    <definedName function="false" hidden="false" name="In_Degradation" vbProcedure="false">Inputs!$F$81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Inputs!$F$65</definedName>
    <definedName function="false" hidden="false" name="In_Discount_Rate" vbProcedure="false">Inputs!$F$40</definedName>
    <definedName function="false" hidden="false" name="In_DSCR" vbProcedure="false">Inputs!$F$98</definedName>
    <definedName function="false" hidden="false" name="In_DSCR_Max_High" vbProcedure="false">Inputs!$F$97</definedName>
    <definedName function="false" hidden="false" name="In_DSCR_Max_Low" vbProcedure="false">Inputs!$F$96</definedName>
    <definedName function="false" hidden="false" name="In_DSRA_Months" vbProcedure="false">Inputs!$F$103</definedName>
    <definedName function="false" hidden="false" name="In_Fixed_Opex" vbProcedure="false">Inputs!$F$85</definedName>
    <definedName function="false" hidden="false" name="In_FX" vbProcedure="false">Inputs!$F$33</definedName>
    <definedName function="false" hidden="false" name="In_Gearing" vbProcedure="false">Inputs!$F$95</definedName>
    <definedName function="false" hidden="false" name="In_Guarantee_Fee" vbProcedure="false">Inputs!$F$67</definedName>
    <definedName function="false" hidden="false" name="In_HCSSZ_Date" vbProcedure="false">Inputs!$F$27</definedName>
    <definedName function="false" hidden="false" name="In_HIPA" vbProcedure="false">Inputs!$F$91</definedName>
    <definedName function="false" hidden="false" name="In_Indirect_Fee" vbProcedure="false">Inputs!$F$66</definedName>
    <definedName function="false" hidden="false" name="In_Innovation" vbProcedure="false">Inputs!$F$92</definedName>
    <definedName function="false" hidden="false" name="In_Lease" vbProcedure="false">Inputs!$F$86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Inputs!$F$90</definedName>
    <definedName function="false" hidden="false" name="In_Min_Hours" vbProcedure="false">Inputs!$F$55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Inputs!$F$88</definedName>
    <definedName function="false" hidden="false" name="In_Opex_Esc" vbProcedure="false">Inputs!$F$89</definedName>
    <definedName function="false" hidden="false" name="In_Other_Wind" vbProcedure="false">Inputs!$F$72</definedName>
    <definedName function="false" hidden="false" name="In_Overbuild_Built" vbProcedure="false">Inputs!$F$52</definedName>
    <definedName function="false" hidden="false" name="In_P50_Hours" vbProcedure="false">Inputs!$F$79</definedName>
    <definedName function="false" hidden="false" name="In_Part_Fee" vbProcedure="false">Inputs!$F$61</definedName>
    <definedName function="false" hidden="false" name="In_PB_Days" vbProcedure="false">Inputs!$F$24</definedName>
    <definedName function="false" hidden="false" name="In_PB_Rate" vbProcedure="false">Inputs!$F$63</definedName>
    <definedName function="false" hidden="false" name="In_PB_Release" vbProcedure="false">Inputs!$F$30</definedName>
    <definedName function="false" hidden="false" name="In_PPA_Esc" vbProcedure="false">Inputs!$F$83</definedName>
    <definedName function="false" hidden="false" name="In_PPA_Price" vbProcedure="false">Inputs!$F$82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Inputs!$F$58</definedName>
    <definedName function="false" hidden="false" name="In_Sanction_Regime" vbProcedure="false">Inputs!$F$57</definedName>
    <definedName function="false" hidden="false" name="In_Substation" vbProcedure="false">Inputs!$F$73</definedName>
    <definedName function="false" hidden="false" name="In_Substation_CN" vbProcedure="false">Inputs!$F$74</definedName>
    <definedName function="false" hidden="false" name="In_Tolerance_Cap" vbProcedure="false">Inputs!$F$56</definedName>
    <definedName function="false" hidden="false" name="In_TSO_Security" vbProcedure="false">Inputs!$F$64</definedName>
    <definedName function="false" hidden="false" name="In_Turbine" vbProcedure="false">Inputs!$F$70</definedName>
    <definedName function="false" hidden="false" name="In_Turbine_CN" vbProcedure="false">Inputs!$F$71</definedName>
    <definedName function="false" hidden="false" name="In_Upfront_Fee" vbProcedure="false">Inputs!$F$101</definedName>
    <definedName function="false" hidden="false" name="In_Var_Opex" vbProcedure="false">Inputs!$F$84</definedName>
    <definedName function="false" hidden="false" name="Live_Results" vbProcedure="false">Dashboard!$E$99:$E$118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Dashboard!$H$115:$R$115</definedName>
    <definedName function="false" hidden="false" name="Min_DSCR_2_Stored" vbProcedure="false">Dashboard!$H$116:$R$116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Buyer_IRR_L_1" vbProcedure="false">Dashboard!$E$75</definedName>
    <definedName function="false" hidden="false" name="Out_Buyer_IRR_L_2" vbProcedure="false">Dashboard!$F$75</definedName>
    <definedName function="false" hidden="false" name="Out_Buyer_IRR_U_1" vbProcedure="false">Dashboard!$E$74</definedName>
    <definedName function="false" hidden="false" name="Out_Buyer_IRR_U_2" vbProcedure="false">Dashboard!$F$74</definedName>
    <definedName function="false" hidden="false" name="Out_Capacity_Used_1" vbProcedure="false">Dashboard!$E$80</definedName>
    <definedName function="false" hidden="false" name="Out_Capacity_Used_2" vbProcedure="false">Dashboard!$F$80</definedName>
    <definedName function="false" hidden="false" name="Out_Checks_1" vbProcedure="false">Dashboard!$E$96</definedName>
    <definedName function="false" hidden="false" name="Out_Checks_2" vbProcedure="false">Dashboard!$F$96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Dashboard!$E$78</definedName>
    <definedName function="false" hidden="false" name="Out_Debt_Capacity_2" vbProcedure="false">Dashboard!$F$78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Max_High_1" vbProcedure="false">Dashboard!$E$85</definedName>
    <definedName function="false" hidden="false" name="Out_Debt_Max_High_2" vbProcedure="false">Dashboard!$F$85</definedName>
    <definedName function="false" hidden="false" name="Out_Debt_Max_High_Pct_1" vbProcedure="false">Dashboard!$E$86</definedName>
    <definedName function="false" hidden="false" name="Out_Debt_Max_High_Pct_2" vbProcedure="false">Dashboard!$F$86</definedName>
    <definedName function="false" hidden="false" name="Out_Debt_Max_Low_1" vbProcedure="false">Dashboard!$E$82</definedName>
    <definedName function="false" hidden="false" name="Out_Debt_Max_Low_2" vbProcedure="false">Dashboard!$F$82</definedName>
    <definedName function="false" hidden="false" name="Out_Debt_Max_Low_Pct_1" vbProcedure="false">Dashboard!$E$83</definedName>
    <definedName function="false" hidden="false" name="Out_Debt_Max_Low_Pct_2" vbProcedure="false">Dashboard!$F$83</definedName>
    <definedName function="false" hidden="false" name="Out_Debt_Share_1" vbProcedure="false">Dashboard!$E$79</definedName>
    <definedName function="false" hidden="false" name="Out_Debt_Share_2" vbProcedure="false">Dashboard!$F$79</definedName>
    <definedName function="false" hidden="false" name="Out_DSCR_Max_High_1" vbProcedure="false">Dashboard!$E$84</definedName>
    <definedName function="false" hidden="false" name="Out_DSCR_Max_High_2" vbProcedure="false">Dashboard!$F$84</definedName>
    <definedName function="false" hidden="false" name="Out_DSCR_Max_Low_1" vbProcedure="false">Dashboard!$E$81</definedName>
    <definedName function="false" hidden="false" name="Out_DSCR_Max_Low_2" vbProcedure="false">Dashboard!$F$81</definedName>
    <definedName function="false" hidden="false" name="Out_DSRA_1" vbProcedure="false">Dashboard!$E$87</definedName>
    <definedName function="false" hidden="false" name="Out_DSRA_2" vbProcedure="false">Dashboard!$F$87</definedName>
    <definedName function="false" hidden="false" name="Out_EBITDA_Life_1" vbProcedure="false">Dashboard!$E$93</definedName>
    <definedName function="false" hidden="false" name="Out_EBITDA_Life_2" vbProcedure="false">Dashboard!$F$93</definedName>
    <definedName function="false" hidden="false" name="Out_EBITDA_Year1_1" vbProcedure="false">Dashboard!$E$91</definedName>
    <definedName function="false" hidden="false" name="Out_EBITDA_Year1_2" vbProcedure="false">Dashboard!$F$91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Dashboard!$E$89</definedName>
    <definedName function="false" hidden="false" name="Out_Gen_Year1_2" vbProcedure="false">Dashboard!$F$89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Dashboard!$E$88</definedName>
    <definedName function="false" hidden="false" name="Out_Min_DSCR_2" vbProcedure="false">Dashboard!$F$88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Dashboard!$E$92</definedName>
    <definedName function="false" hidden="false" name="Out_Revenue_Life_2" vbProcedure="false">Dashboard!$F$92</definedName>
    <definedName function="false" hidden="false" name="Out_Revenue_Year1_1" vbProcedure="false">Dashboard!$E$90</definedName>
    <definedName function="false" hidden="false" name="Out_Revenue_Year1_2" vbProcedure="false">Dashboard!$F$90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Dashboard!$E$94</definedName>
    <definedName function="false" hidden="false" name="Out_Tax_Life_2" vbProcedure="false">Dashboard!$F$94</definedName>
    <definedName function="false" hidden="false" name="Out_Tax_Losses_Lapsed_1" vbProcedure="false">Dashboard!$E$95</definedName>
    <definedName function="false" hidden="false" name="Out_Tax_Losses_Lapsed_2" vbProcedure="false">Dashboard!$F$95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Inputs!$F$50</definedName>
    <definedName function="false" hidden="false" name="Scenario_Name" vbProcedure="false">Dashboard!$V$12</definedName>
    <definedName function="false" hidden="false" name="Scenario_Names" vbProcedure="false">Inputs!$H$7:$R$7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Inputs!$F$106</definedName>
    <definedName function="false" hidden="false" name="Stored_Results" vbProcedure="false">Dashboard!$H$99:$R$118</definedName>
    <definedName function="false" hidden="false" name="Tax_1_Copy" vbProcedure="false">Calc_1!$J$108:$EO$108</definedName>
    <definedName function="false" hidden="false" name="Tax_1_Delta" vbProcedure="false">Calc_1!$I$109</definedName>
    <definedName function="false" hidden="false" name="Tax_1_Paste" vbProcedure="false">Calc_1!$J$82:$EO$82</definedName>
    <definedName function="false" hidden="false" name="Tax_2_Copy" vbProcedure="false">Calc_2!$J$108:$EO$108</definedName>
    <definedName function="false" hidden="false" name="Tax_2_Delta" vbProcedure="false">Calc_2!$I$109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<sst xmlns="http://schemas.openxmlformats.org/spreadsheetml/2006/main" count="1196" uniqueCount="506">
  <si>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</si>
  <si>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</si>
  <si>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</si>
  <si>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</si>
  <si>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</si>
  <si>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</si>
  <si>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</si>
  <si>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</si>
  <si>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</si>
  <si>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</si>
  <si>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</si>
  <si>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</si>
  <si>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</si>
  <si>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</si>
  <si>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</si>
  <si>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</si>
  <si>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</si>
  <si>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</si>
  <si>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</si>
  <si>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</si>
  <si>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</si>
  <si>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</si>
  <si>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</si>
  <si>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</si>
  <si>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</si>
  <si>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</si>
  <si>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</si>
  <si>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</si>
  <si>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</si>
  <si>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</si>
  <si>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</si>
  <si>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</si>
  <si>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</si>
  <si>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</si>
  <si>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</si>
  <si>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</si>
  <si>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</si>
  <si>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</si>
  <si>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</si>
  <si>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</si>
  <si>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</si>
  <si>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</si>
  <si>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</si>
  <si>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</si>
  <si>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</si>
  <si>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</si>
  <si>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</si>
  <si>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</si>
  <si>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</si>
  <si>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</si>
  <si>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</si>
  <si>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</si>
  <si>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</si>
  <si>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</si>
  <si>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</si>
  <si>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</si>
  <si>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</si>
  <si>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</si>
  <si>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</si>
  <si>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</si>
  <si>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</si>
  <si>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</si>
  <si>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</si>
  <si>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</si>
  <si>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</si>
  <si>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</si>
  <si>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</si>
  <si>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</si>
  <si>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</si>
  <si>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</si>
  <si>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</si>
  <si>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</si>
  <si>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</si>
  <si>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</si>
  <si>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</si>
  <si>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</si>
  <si>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</si>
  <si>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</si>
  <si>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</si>
  <si>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</si>
  <si>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</si>
  <si>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</si>
  <si>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</si>
  <si>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</si>
  <si>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</si>
  <si>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</si>
  <si>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</si>
  <si>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</si>
  <si>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</si>
  <si>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</si>
  <si>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</si>
  <si>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</si>
  <si>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</si>
  <si>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</si>
  <si>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</si>
  <si>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</si>
  <si>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</si>
  <si>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</si>
  <si>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</si>
  <si>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</si>
  <si>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</si>
  <si>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</si>
  <si>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</si>
  <si>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</si>
  <si>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</si>
  <si>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</si>
  <si>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</si>
  <si>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</si>
  <si>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</si>
  <si>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</si>
  <si>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</si>
  <si>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</si>
  <si>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</si>
  <si>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</si>
  <si>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</si>
  <si>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</si>
  <si>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</si>
  <si>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</si>
  <si>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</si>
  <si>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</si>
  <si>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</si>
  <si>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</si>
  <si>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</si>
  <si>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</si>
  <si>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</si>
  <si>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</si>
  <si>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</si>
  <si>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</si>
  <si>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</si>
  <si>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</si>
  <si>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</si>
  <si>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</si>
  <si>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</si>
  <si>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</si>
  <si>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</si>
  <si>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</si>
  <si>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</si>
  <si>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</si>
  <si>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</si>
  <si>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</si>
  <si>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</si>
  <si>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</si>
  <si>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</si>
  <si>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</si>
  <si>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</si>
  <si>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</si>
  <si>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</si>
  <si>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</si>
  <si>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</si>
  <si>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</si>
  <si>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</si>
  <si>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</si>
  <si>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</si>
  <si>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</si>
  <si>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</si>
  <si>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</si>
  <si>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</si>
  <si>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</si>
  <si>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</si>
  <si>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</si>
  <si>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</si>
  <si>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</si>
  <si>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</si>
  <si>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</si>
  <si>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</si>
  <si>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</si>
  <si>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</si>
  <si>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</si>
  <si>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</si>
  <si>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</si>
  <si>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</si>
  <si>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</si>
  <si>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</si>
  <si>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</si>
  <si>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</si>
  <si>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</si>
  <si>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</si>
  <si>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</si>
  <si>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</si>
  <si>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</si>
  <si>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</si>
  <si>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</si>
  <si>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</si>
  <si>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</si>
  <si>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</si>
  <si>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</si>
  <si>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</si>
  <si>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</si>
  <si>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</si>
  <si>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</si>
  <si>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</si>
  <si>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</si>
  <si>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</si>
  <si>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</si>
  <si>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</si>
  <si>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</si>
  <si>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</si>
  <si>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</si>
  <si>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</si>
  <si>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</si>
  <si>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</si>
  <si>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</si>
  <si>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</si>
  <si>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</si>
  <si>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</si>
  <si>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</si>
  <si>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</si>
  <si>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</si>
  <si>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</si>
  <si>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</si>
  <si>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</si>
  <si>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</si>
  <si>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</si>
  <si>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</si>
  <si>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</si>
  <si>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</si>
  <si>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</si>
  <si>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</si>
  <si>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</si>
  <si>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</si>
  <si>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</si>
  <si>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</si>
  <si>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</si>
  <si>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</si>
  <si>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</si>
  <si>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</si>
  <si>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</si>
  <si>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</si>
  <si>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</si>
  <si>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</si>
  <si>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</si>
  <si>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</si>
  <si>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</si>
  <si>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</si>
  <si>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</si>
  <si>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</si>
  <si>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</si>
  <si>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</si>
  <si>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</si>
  <si>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</si>
  <si>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</si>
  <si>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</si>
  <si>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</si>
  <si>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Bana v3 E197; 55 MW built: to confirm</t>
  </si>
  <si>
    <t xml:space="preserve">Robin Hood tax on positive pre-tax profit</t>
  </si>
  <si>
    <t xml:space="preserve">Bana v3 Inputs E198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</si>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</sst>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2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T11" s="9" t="s">
        <v>5</v>
      </c>
      <c r="U11" s="9"/>
      <c r="V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T12" s="13" t="s">
        <v>5</v>
      </c>
      <c r="U12" s="11" t="s">
        <v>21</v>
      </c>
      <c r="V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T14" s="9" t="s">
        <v>29</v>
      </c>
      <c r="U14" s="9"/>
      <c r="V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T15" s="13" t="s">
        <v>32</v>
      </c>
      <c r="U15" s="11" t="s">
        <v>33</v>
      </c>
      <c r="V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T16" s="13" t="s">
        <v>37</v>
      </c>
      <c r="U16" s="11" t="s">
        <v>38</v>
      </c>
      <c r="V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T17" s="13" t="s">
        <v>41</v>
      </c>
      <c r="U17" s="11" t="s">
        <v>27</v>
      </c>
      <c r="V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T18" s="13" t="s">
        <v>45</v>
      </c>
      <c r="U18" s="11" t="s">
        <v>43</v>
      </c>
      <c r="V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T19" s="13" t="s">
        <v>47</v>
      </c>
      <c r="U19" s="11" t="s">
        <v>19</v>
      </c>
      <c r="V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T20" s="13" t="s">
        <v>49</v>
      </c>
      <c r="U20" s="11" t="s">
        <v>19</v>
      </c>
      <c r="V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T21" s="13" t="s">
        <v>51</v>
      </c>
      <c r="U21" s="11" t="s">
        <v>19</v>
      </c>
      <c r="V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T22" s="13" t="s">
        <v>54</v>
      </c>
      <c r="U22" s="11" t="s">
        <v>19</v>
      </c>
      <c r="V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T23" s="13" t="s">
        <v>56</v>
      </c>
      <c r="U23" s="11" t="s">
        <v>57</v>
      </c>
      <c r="V23" s="18" t="n">
        <f aca="false">In_P50_Hours</f>
        <v>2600</v>
      </c>
    </row>
    <row r="24" customFormat="false" ht="15" hidden="false" customHeight="false" outlineLevel="0" collapsed="false">
      <c r="T24" s="0" t="s">
        <v>58</v>
      </c>
      <c r="U24" s="11" t="s">
        <v>24</v>
      </c>
      <c r="V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T25" s="13" t="s">
        <v>60</v>
      </c>
      <c r="U25" s="11" t="s">
        <v>27</v>
      </c>
      <c r="V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T26" s="13" t="s">
        <v>63</v>
      </c>
      <c r="U26" s="11" t="s">
        <v>13</v>
      </c>
      <c r="V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T27" s="13" t="s">
        <v>65</v>
      </c>
      <c r="U27" s="11" t="s">
        <v>66</v>
      </c>
      <c r="V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T28" s="13" t="s">
        <v>68</v>
      </c>
      <c r="U28" s="11" t="s">
        <v>27</v>
      </c>
      <c r="V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T29" s="13" t="s">
        <v>71</v>
      </c>
      <c r="U29" s="11" t="s">
        <v>27</v>
      </c>
      <c r="V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T30" s="13" t="s">
        <v>73</v>
      </c>
      <c r="U30" s="11" t="s">
        <v>43</v>
      </c>
      <c r="V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T31" s="13" t="s">
        <v>75</v>
      </c>
      <c r="U31" s="11" t="s">
        <v>27</v>
      </c>
      <c r="V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T32" s="13" t="s">
        <v>77</v>
      </c>
      <c r="U32" s="11" t="s">
        <v>78</v>
      </c>
      <c r="V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Calc_1!$I130/Thousand</f>
        <v>21.8725390544187</v>
      </c>
      <c r="F37" s="32" t="n">
        <f aca="false">Calc_2!$I130/Thousand</f>
        <v>31.0553290062136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Calc_1!$E131</f>
        <v>0.284084033636541</v>
      </c>
      <c r="F38" s="33" t="n">
        <f aca="false">Calc_2!$E131</f>
        <v>0.431605205102548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Calc_1!$E132</f>
        <v>1.40784965721905</v>
      </c>
      <c r="F39" s="29" t="n">
        <f aca="false">Calc_2!$E132</f>
        <v>1.75852383469303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Calc_1!$E133/Thousand</f>
        <v>12.2778594824033</v>
      </c>
      <c r="F40" s="32" t="n">
        <f aca="false">Calc_2!$E133/Thousand</f>
        <v>19.8480948232429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Calc_1!$I143/Thousand</f>
        <v>130.210653239714</v>
      </c>
      <c r="F41" s="32" t="n">
        <f aca="false">Calc_2!$I143/Thousand</f>
        <v>161.288120273565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Calc_1!$E144</f>
        <v>0.0798286717747364</v>
      </c>
      <c r="F42" s="33" t="n">
        <f aca="false">Calc_2!$E144</f>
        <v>0.120333275856183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Calc_1!$E145</f>
        <v>3.37367367104427</v>
      </c>
      <c r="F43" s="29" t="n">
        <f aca="false">Calc_2!$E145</f>
        <v>4.85394047019183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Calc_1!$E146/Thousand</f>
        <v>-0.0926704544981953</v>
      </c>
      <c r="F44" s="32" t="n">
        <f aca="false">Calc_2!$E146/Thousand</f>
        <v>17.7234335623615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Calc_1!$E142</f>
        <v>0.071565353731744</v>
      </c>
      <c r="F45" s="22" t="n">
        <f aca="false">Calc_2!$E142</f>
        <v>0.0981897026920008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Calc_1!$E112/Thousand</f>
        <v>5.15</v>
      </c>
      <c r="F48" s="32" t="n">
        <f aca="false">Calc_2!$E112/Thousand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Calc_1!$E113/Thousand</f>
        <v>1.11492155376243</v>
      </c>
      <c r="F49" s="32" t="n">
        <f aca="false">Calc_2!$E113/Thousand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Calc_1!$E114/Thousand</f>
        <v>90.36375</v>
      </c>
      <c r="F50" s="32" t="n">
        <f aca="false">Calc_2!$E114/Thousand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Calc_1!$E115/Thousand</f>
        <v>8.15482315068493</v>
      </c>
      <c r="F51" s="32" t="n">
        <f aca="false">Calc_2!$E115/Thousand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Calc_1!$E116/Thousand</f>
        <v>2.5</v>
      </c>
      <c r="F52" s="32" t="n">
        <f aca="false">Calc_2!$E116/Thousand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Calc_1!$E117/Thousand</f>
        <v>4.14129604359987</v>
      </c>
      <c r="F53" s="32" t="n">
        <f aca="false">Calc_2!$E117/Thousand</f>
        <v>3.04350609180492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Calc_1!$E118/Thousand</f>
        <v>0.340170197534084</v>
      </c>
      <c r="F54" s="32" t="n">
        <f aca="false">Calc_2!$E118/Thousand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Calc_1!$E119/Thousand</f>
        <v>111.764960945581</v>
      </c>
      <c r="F55" s="26" t="n">
        <f aca="false">Calc_2!$E119/Thousand</f>
        <v>83.4196709937864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Calc_1!$E94/Thousand</f>
        <v>58.1360350233236</v>
      </c>
      <c r="F56" s="32" t="n">
        <f aca="false">Calc_2!$E94/Thousand</f>
        <v>42.4778738005823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Calc_1!$E120/Thousand</f>
        <v>53.6289259222578</v>
      </c>
      <c r="F57" s="26" t="n">
        <f aca="false">Calc_2!$E120/Thousand</f>
        <v>40.9417971932041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Calc_1!$F120/Thousand</f>
        <v>54.8561728716606</v>
      </c>
      <c r="F58" s="32" t="n">
        <f aca="false">Calc_2!$F120/Thousand</f>
        <v>41.8501846411594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Calc_1!$E121</f>
        <v>0.520163336804906</v>
      </c>
      <c r="F59" s="22" t="n">
        <f aca="false">Calc_2!$E121</f>
        <v>0.509206920796251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  <c r="P61" s="9"/>
      <c r="Q61" s="9"/>
      <c r="R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Calc_1!$E127/Thousand</f>
        <v>134.1375</v>
      </c>
      <c r="F71" s="32" t="n">
        <f aca="false">Calc_2!$E127/Thousand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Calc_1!$E128/Thousand</f>
        <v>75.5014649766765</v>
      </c>
      <c r="F72" s="32" t="n">
        <f aca="false">Calc_2!$E128/Thousand</f>
        <v>71.9971261994177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Calc_1!$E129/Thousand</f>
        <v>-0</v>
      </c>
      <c r="F73" s="32" t="n">
        <f aca="false">Calc_2!$E129/Thousand</f>
        <v>-0</v>
      </c>
    </row>
    <row r="74" customFormat="false" ht="15" hidden="false" customHeight="false" outlineLevel="0" collapsed="false">
      <c r="C74" s="25" t="s">
        <v>124</v>
      </c>
      <c r="D74" s="11" t="s">
        <v>27</v>
      </c>
      <c r="E74" s="33" t="n">
        <f aca="false">Calc_1!$E136</f>
        <v>0.0568046288872877</v>
      </c>
      <c r="F74" s="33" t="n">
        <f aca="false">Calc_2!$E136</f>
        <v>0.0696894448393209</v>
      </c>
    </row>
    <row r="75" customFormat="false" ht="15" hidden="false" customHeight="false" outlineLevel="0" collapsed="false">
      <c r="C75" s="0" t="s">
        <v>125</v>
      </c>
      <c r="D75" s="11" t="s">
        <v>27</v>
      </c>
      <c r="E75" s="22" t="n">
        <f aca="false">Calc_1!$E138</f>
        <v>0.0585329319728951</v>
      </c>
      <c r="F75" s="22" t="n">
        <f aca="false">Calc_2!$E138</f>
        <v>0.0754971888634913</v>
      </c>
    </row>
    <row r="77" customFormat="false" ht="15" hidden="false" customHeight="false" outlineLevel="0" collapsed="false">
      <c r="A77" s="9" t="s">
        <v>13</v>
      </c>
      <c r="B77" s="9"/>
      <c r="C77" s="9" t="s">
        <v>126</v>
      </c>
      <c r="D77" s="9"/>
      <c r="E77" s="10" t="s">
        <v>9</v>
      </c>
      <c r="F77" s="10" t="s">
        <v>10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customFormat="false" ht="15" hidden="false" customHeight="false" outlineLevel="0" collapsed="false">
      <c r="C78" s="0" t="s">
        <v>127</v>
      </c>
      <c r="D78" s="11" t="s">
        <v>80</v>
      </c>
      <c r="E78" s="32" t="n">
        <f aca="false">Calc_1!$E84/Thousand</f>
        <v>92.4525034441622</v>
      </c>
      <c r="F78" s="32" t="n">
        <f aca="false">Calc_2!$E84/Thousand</f>
        <v>89.6637581285872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Calc_1!$E85</f>
        <v>0.55</v>
      </c>
      <c r="F79" s="22" t="n">
        <f aca="false">Calc_2!$E85</f>
        <v>0.55</v>
      </c>
    </row>
    <row r="80" customFormat="false" ht="15" hidden="false" customHeight="false" outlineLevel="0" collapsed="false">
      <c r="C80" s="0" t="s">
        <v>129</v>
      </c>
      <c r="D80" s="11" t="s">
        <v>27</v>
      </c>
      <c r="E80" s="22" t="n">
        <f aca="false">Calc_1!$F85</f>
        <v>0.628820560369525</v>
      </c>
      <c r="F80" s="22" t="n">
        <f aca="false">Calc_2!$F85</f>
        <v>0.473746301595619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In_DSCR_Max_Low</f>
        <v>1.1</v>
      </c>
      <c r="F81" s="29" t="n">
        <f aca="false">In_DSCR_Max_Low</f>
        <v>1.1</v>
      </c>
    </row>
    <row r="82" customFormat="false" ht="15" hidden="false" customHeight="false" outlineLevel="0" collapsed="false">
      <c r="C82" s="0" t="s">
        <v>131</v>
      </c>
      <c r="D82" s="11" t="s">
        <v>80</v>
      </c>
      <c r="E82" s="32" t="n">
        <f aca="false">Calc_1!$E122/Thousand</f>
        <v>100.857276484541</v>
      </c>
      <c r="F82" s="32" t="n">
        <f aca="false">Calc_2!$E122/Thousand</f>
        <v>97.8150088675497</v>
      </c>
    </row>
    <row r="83" customFormat="false" ht="15" hidden="false" customHeight="false" outlineLevel="0" collapsed="false">
      <c r="C83" s="0" t="s">
        <v>132</v>
      </c>
      <c r="D83" s="11" t="s">
        <v>27</v>
      </c>
      <c r="E83" s="22" t="n">
        <f aca="false">Calc_1!$E123</f>
        <v>0.902405151232042</v>
      </c>
      <c r="F83" s="22" t="n">
        <f aca="false">Calc_2!$E123</f>
        <v>1.17256526790708</v>
      </c>
    </row>
    <row r="84" customFormat="false" ht="15" hidden="false" customHeight="false" outlineLevel="0" collapsed="false">
      <c r="C84" s="0" t="s">
        <v>133</v>
      </c>
      <c r="D84" s="11" t="s">
        <v>13</v>
      </c>
      <c r="E84" s="29" t="n">
        <f aca="false">In_DSCR_Max_High</f>
        <v>1.2</v>
      </c>
      <c r="F84" s="29" t="n">
        <f aca="false">In_DSCR_Max_High</f>
        <v>1.2</v>
      </c>
    </row>
    <row r="85" customFormat="false" ht="15" hidden="false" customHeight="false" outlineLevel="0" collapsed="false">
      <c r="C85" s="0" t="s">
        <v>134</v>
      </c>
      <c r="D85" s="11" t="s">
        <v>80</v>
      </c>
      <c r="E85" s="32" t="n">
        <f aca="false">Calc_1!$F122/Thousand</f>
        <v>92.4525034441622</v>
      </c>
      <c r="F85" s="32" t="n">
        <f aca="false">Calc_2!$F122/Thousand</f>
        <v>89.6637581285872</v>
      </c>
    </row>
    <row r="86" customFormat="false" ht="15" hidden="false" customHeight="false" outlineLevel="0" collapsed="false">
      <c r="C86" s="0" t="s">
        <v>135</v>
      </c>
      <c r="D86" s="11" t="s">
        <v>27</v>
      </c>
      <c r="E86" s="22" t="n">
        <f aca="false">Calc_1!$F123</f>
        <v>0.827204721962705</v>
      </c>
      <c r="F86" s="22" t="n">
        <f aca="false">Calc_2!$F123</f>
        <v>1.07485149558149</v>
      </c>
    </row>
    <row r="87" customFormat="false" ht="15" hidden="false" customHeight="false" outlineLevel="0" collapsed="false">
      <c r="C87" s="0" t="s">
        <v>136</v>
      </c>
      <c r="D87" s="11" t="s">
        <v>80</v>
      </c>
      <c r="E87" s="32" t="n">
        <f aca="false">Calc_1!$E97/Thousand</f>
        <v>1.22724694940278</v>
      </c>
      <c r="F87" s="32" t="n">
        <f aca="false">Calc_2!$E97/Thousand</f>
        <v>0.908387447955351</v>
      </c>
    </row>
    <row r="88" customFormat="false" ht="15" hidden="false" customHeight="false" outlineLevel="0" collapsed="false">
      <c r="C88" s="0" t="s">
        <v>137</v>
      </c>
      <c r="D88" s="11" t="s">
        <v>13</v>
      </c>
      <c r="E88" s="29" t="n">
        <f aca="false">Calc_1!$E98</f>
        <v>1.90833454824509</v>
      </c>
      <c r="F88" s="29" t="n">
        <f aca="false">Calc_2!$E98</f>
        <v>2.53300130461873</v>
      </c>
    </row>
    <row r="89" customFormat="false" ht="15" hidden="false" customHeight="false" outlineLevel="0" collapsed="false">
      <c r="C89" s="0" t="s">
        <v>138</v>
      </c>
      <c r="D89" s="11" t="s">
        <v>139</v>
      </c>
      <c r="E89" s="36" t="n">
        <f aca="false">Calc_1!$E71/Thousand</f>
        <v>139.3975128</v>
      </c>
      <c r="F89" s="36" t="n">
        <f aca="false">Calc_2!$E71/Thousand</f>
        <v>139.3975128</v>
      </c>
    </row>
    <row r="90" customFormat="false" ht="15" hidden="false" customHeight="false" outlineLevel="0" collapsed="false">
      <c r="C90" s="0" t="s">
        <v>140</v>
      </c>
      <c r="D90" s="11" t="s">
        <v>80</v>
      </c>
      <c r="E90" s="32" t="n">
        <f aca="false">Calc_1!$E72/Thousand</f>
        <v>12.67123391352</v>
      </c>
      <c r="F90" s="32" t="n">
        <f aca="false">Calc_2!$E72/Thousand</f>
        <v>12.67123391352</v>
      </c>
    </row>
    <row r="91" customFormat="false" ht="15" hidden="false" customHeight="false" outlineLevel="0" collapsed="false">
      <c r="C91" s="0" t="s">
        <v>141</v>
      </c>
      <c r="D91" s="11" t="s">
        <v>80</v>
      </c>
      <c r="E91" s="32" t="n">
        <f aca="false">Calc_1!$E79/Thousand</f>
        <v>9.55688408374485</v>
      </c>
      <c r="F91" s="32" t="n">
        <f aca="false">Calc_2!$E79/Thousand</f>
        <v>9.55688408374485</v>
      </c>
    </row>
    <row r="92" customFormat="false" ht="15" hidden="false" customHeight="false" outlineLevel="0" collapsed="false">
      <c r="C92" s="0" t="s">
        <v>142</v>
      </c>
      <c r="D92" s="11" t="s">
        <v>80</v>
      </c>
      <c r="E92" s="32" t="n">
        <f aca="false">Calc_1!$I72/Thousand</f>
        <v>420.752711777652</v>
      </c>
      <c r="F92" s="32" t="n">
        <f aca="false">Calc_2!$I72/Thousand</f>
        <v>420.752711777652</v>
      </c>
    </row>
    <row r="93" customFormat="false" ht="15" hidden="false" customHeight="false" outlineLevel="0" collapsed="false">
      <c r="C93" s="0" t="s">
        <v>143</v>
      </c>
      <c r="D93" s="11" t="s">
        <v>80</v>
      </c>
      <c r="E93" s="32" t="n">
        <f aca="false">Calc_1!$I79/Thousand</f>
        <v>295.37332772584</v>
      </c>
      <c r="F93" s="32" t="n">
        <f aca="false">Calc_2!$I79/Thousand</f>
        <v>295.37332772584</v>
      </c>
    </row>
    <row r="94" customFormat="false" ht="15" hidden="false" customHeight="false" outlineLevel="0" collapsed="false">
      <c r="C94" s="0" t="s">
        <v>144</v>
      </c>
      <c r="D94" s="11" t="s">
        <v>80</v>
      </c>
      <c r="E94" s="32" t="n">
        <f aca="false">(SUM(Calc_1!$J108:$EO108))/Thousand</f>
        <v>-23.0733829675412</v>
      </c>
      <c r="F94" s="32" t="n">
        <f aca="false">(SUM(Calc_2!$J108:$EO108))/Thousand</f>
        <v>-28.4626094600408</v>
      </c>
    </row>
    <row r="95" customFormat="false" ht="15" hidden="false" customHeight="false" outlineLevel="0" collapsed="false">
      <c r="C95" s="0" t="s">
        <v>145</v>
      </c>
      <c r="D95" s="11" t="s">
        <v>80</v>
      </c>
      <c r="E95" s="32" t="n">
        <f aca="false">(-Calc_1!$I106)/Thousand</f>
        <v>0.538516909686779</v>
      </c>
      <c r="F95" s="32" t="n">
        <f aca="false">(-Calc_2!$I106)/Thousand</f>
        <v>-0</v>
      </c>
    </row>
    <row r="96" customFormat="false" ht="15" hidden="false" customHeight="false" outlineLevel="0" collapsed="false">
      <c r="C96" s="0" t="s">
        <v>146</v>
      </c>
      <c r="D96" s="11" t="s">
        <v>147</v>
      </c>
      <c r="E96" s="30" t="n">
        <f aca="false">Model_Checks</f>
        <v>0</v>
      </c>
      <c r="F96" s="30" t="n">
        <f aca="false">Model_Checks</f>
        <v>0</v>
      </c>
    </row>
    <row r="98" customFormat="false" ht="15" hidden="false" customHeight="false" outlineLevel="0" collapsed="false">
      <c r="A98" s="9" t="s">
        <v>13</v>
      </c>
      <c r="B98" s="9"/>
      <c r="C98" s="9" t="s">
        <v>148</v>
      </c>
      <c r="D98" s="9"/>
      <c r="E98" s="10" t="s">
        <v>12</v>
      </c>
      <c r="F98" s="10"/>
      <c r="G98" s="9"/>
      <c r="H98" s="10" t="str">
        <f aca="false">Inputs!H$7</f>
        <v>Base</v>
      </c>
      <c r="I98" s="10" t="str">
        <f aca="false">Inputs!I$7</f>
        <v>COD price −10%</v>
      </c>
      <c r="J98" s="10" t="str">
        <f aca="false">Inputs!J$7</f>
        <v>COD price +10%</v>
      </c>
      <c r="K98" s="10" t="str">
        <f aca="false">Inputs!K$7</f>
        <v>Turbine +10%</v>
      </c>
      <c r="L98" s="10" t="str">
        <f aca="false">Inputs!L$7</f>
        <v>Yield −10%</v>
      </c>
      <c r="M98" s="10" t="str">
        <f aca="false">Inputs!M$7</f>
        <v>PPA +10%</v>
      </c>
      <c r="N98" s="10" t="str">
        <f aca="false">Inputs!N$7</f>
        <v>Full PB call</v>
      </c>
      <c r="O98" s="10" t="str">
        <f aca="false">Inputs!O$7</f>
        <v>Rate +1 pp</v>
      </c>
      <c r="P98" s="10" t="str">
        <f aca="false">Inputs!P$7</f>
        <v>Tenor 10 years</v>
      </c>
      <c r="Q98" s="10" t="str">
        <f aca="false">Inputs!Q$7</f>
        <v>Robin Hood 31%</v>
      </c>
      <c r="R98" s="10" t="str">
        <f aca="false">Inputs!R$7</f>
        <v>CIT 9%</v>
      </c>
    </row>
    <row r="99" customFormat="false" ht="15" hidden="false" customHeight="false" outlineLevel="0" collapsed="false">
      <c r="C99" s="0" t="s">
        <v>149</v>
      </c>
      <c r="D99" s="11" t="s">
        <v>27</v>
      </c>
      <c r="E99" s="22" t="n">
        <f aca="false">Calc_1!$E131</f>
        <v>0.284084033636541</v>
      </c>
      <c r="H99" s="37" t="n">
        <v>0.284084033636541</v>
      </c>
      <c r="I99" s="37" t="n">
        <v>0.120602054328118</v>
      </c>
      <c r="J99" s="37" t="n">
        <v>0.422387837746302</v>
      </c>
      <c r="K99" s="37" t="n">
        <v>0.212090904921561</v>
      </c>
      <c r="L99" s="37" t="n">
        <v>0.284084033636541</v>
      </c>
      <c r="M99" s="37" t="n">
        <v>0.284084033636541</v>
      </c>
      <c r="N99" s="37" t="n">
        <v>0.259034311228568</v>
      </c>
      <c r="O99" s="37" t="n">
        <v>0.277982701172003</v>
      </c>
      <c r="P99" s="37" t="n">
        <v>0.284084033636541</v>
      </c>
      <c r="Q99" s="37" t="n">
        <v>0.284084033636541</v>
      </c>
      <c r="R99" s="37" t="n">
        <v>0.284084033636541</v>
      </c>
    </row>
    <row r="100" customFormat="false" ht="15" hidden="false" customHeight="false" outlineLevel="0" collapsed="false">
      <c r="C100" s="0" t="s">
        <v>150</v>
      </c>
      <c r="D100" s="11" t="s">
        <v>27</v>
      </c>
      <c r="E100" s="22" t="n">
        <f aca="false">Calc_2!$E131</f>
        <v>0.431605205102548</v>
      </c>
      <c r="H100" s="37" t="n">
        <v>0.431605205102548</v>
      </c>
      <c r="I100" s="37" t="n">
        <v>0.297451749159973</v>
      </c>
      <c r="J100" s="37" t="n">
        <v>0.546764074612228</v>
      </c>
      <c r="K100" s="37" t="n">
        <v>0.393034809879684</v>
      </c>
      <c r="L100" s="37" t="n">
        <v>0.431605205102548</v>
      </c>
      <c r="M100" s="37" t="n">
        <v>0.431605205102548</v>
      </c>
      <c r="N100" s="37" t="n">
        <v>0.407415987608548</v>
      </c>
      <c r="O100" s="37" t="n">
        <v>0.427232005478628</v>
      </c>
      <c r="P100" s="37" t="n">
        <v>0.431605205102548</v>
      </c>
      <c r="Q100" s="37" t="n">
        <v>0.431605205102548</v>
      </c>
      <c r="R100" s="37" t="n">
        <v>0.431605205102548</v>
      </c>
    </row>
    <row r="101" customFormat="false" ht="15" hidden="false" customHeight="false" outlineLevel="0" collapsed="false">
      <c r="C101" s="0" t="s">
        <v>151</v>
      </c>
      <c r="D101" s="11" t="s">
        <v>13</v>
      </c>
      <c r="E101" s="29" t="n">
        <f aca="false">Calc_1!$E132</f>
        <v>1.40784965721905</v>
      </c>
      <c r="H101" s="38" t="n">
        <v>1.40784965721905</v>
      </c>
      <c r="I101" s="38" t="n">
        <v>1.15772810864571</v>
      </c>
      <c r="J101" s="38" t="n">
        <v>1.65797120579239</v>
      </c>
      <c r="K101" s="38" t="n">
        <v>1.28772256894757</v>
      </c>
      <c r="L101" s="38" t="n">
        <v>1.40784965721905</v>
      </c>
      <c r="M101" s="38" t="n">
        <v>1.40784965721905</v>
      </c>
      <c r="N101" s="38" t="n">
        <v>1.36652049915653</v>
      </c>
      <c r="O101" s="38" t="n">
        <v>1.3977006887947</v>
      </c>
      <c r="P101" s="38" t="n">
        <v>1.40784965721905</v>
      </c>
      <c r="Q101" s="38" t="n">
        <v>1.40784965721905</v>
      </c>
      <c r="R101" s="38" t="n">
        <v>1.40784965721905</v>
      </c>
    </row>
    <row r="102" customFormat="false" ht="15" hidden="false" customHeight="false" outlineLevel="0" collapsed="false">
      <c r="C102" s="0" t="s">
        <v>152</v>
      </c>
      <c r="D102" s="11" t="s">
        <v>13</v>
      </c>
      <c r="E102" s="29" t="n">
        <f aca="false">Calc_2!$E132</f>
        <v>1.75852383469303</v>
      </c>
      <c r="H102" s="38" t="n">
        <v>1.75852383469303</v>
      </c>
      <c r="I102" s="38" t="n">
        <v>1.47769835100107</v>
      </c>
      <c r="J102" s="38" t="n">
        <v>2.039349318385</v>
      </c>
      <c r="K102" s="38" t="n">
        <v>1.66337085811058</v>
      </c>
      <c r="L102" s="38" t="n">
        <v>1.75852383469303</v>
      </c>
      <c r="M102" s="38" t="n">
        <v>1.75852383469303</v>
      </c>
      <c r="N102" s="38" t="n">
        <v>1.70438751171471</v>
      </c>
      <c r="O102" s="38" t="n">
        <v>1.74863602166122</v>
      </c>
      <c r="P102" s="38" t="n">
        <v>1.75852383469303</v>
      </c>
      <c r="Q102" s="38" t="n">
        <v>1.75852383469303</v>
      </c>
      <c r="R102" s="38" t="n">
        <v>1.75852383469303</v>
      </c>
    </row>
    <row r="103" customFormat="false" ht="15" hidden="false" customHeight="false" outlineLevel="0" collapsed="false">
      <c r="C103" s="0" t="s">
        <v>153</v>
      </c>
      <c r="D103" s="11" t="s">
        <v>27</v>
      </c>
      <c r="E103" s="22" t="n">
        <f aca="false">Calc_1!$E144</f>
        <v>0.0798286717747364</v>
      </c>
      <c r="H103" s="37" t="n">
        <v>0.0798286717747476</v>
      </c>
      <c r="I103" s="37" t="n">
        <v>0.0798286717747476</v>
      </c>
      <c r="J103" s="37" t="n">
        <v>0.0798286717747476</v>
      </c>
      <c r="K103" s="37" t="n">
        <v>0.073346365716097</v>
      </c>
      <c r="L103" s="37" t="n">
        <v>0.0629017369001835</v>
      </c>
      <c r="M103" s="37" t="n">
        <v>0.0975018032907385</v>
      </c>
      <c r="N103" s="37" t="n">
        <v>0.0769404169615882</v>
      </c>
      <c r="O103" s="37" t="n">
        <v>0.0747458227391903</v>
      </c>
      <c r="P103" s="37" t="n">
        <v>0.0740714202565923</v>
      </c>
      <c r="Q103" s="37" t="n">
        <v>0.0606372162720189</v>
      </c>
      <c r="R103" s="37" t="n">
        <v>0.0829084182180895</v>
      </c>
    </row>
    <row r="104" customFormat="false" ht="15" hidden="false" customHeight="false" outlineLevel="0" collapsed="false">
      <c r="C104" s="0" t="s">
        <v>154</v>
      </c>
      <c r="D104" s="11" t="s">
        <v>27</v>
      </c>
      <c r="E104" s="22" t="n">
        <f aca="false">Calc_2!$E144</f>
        <v>0.120333275856183</v>
      </c>
      <c r="H104" s="37" t="n">
        <v>0.120333275856186</v>
      </c>
      <c r="I104" s="37" t="n">
        <v>0.120333275856186</v>
      </c>
      <c r="J104" s="37" t="n">
        <v>0.120333275856186</v>
      </c>
      <c r="K104" s="37" t="n">
        <v>0.115187758125652</v>
      </c>
      <c r="L104" s="37" t="n">
        <v>0.100966098050213</v>
      </c>
      <c r="M104" s="37" t="n">
        <v>0.140797686945913</v>
      </c>
      <c r="N104" s="37" t="n">
        <v>0.115734875052697</v>
      </c>
      <c r="O104" s="37" t="n">
        <v>0.115687550744006</v>
      </c>
      <c r="P104" s="37" t="n">
        <v>0.109423668686618</v>
      </c>
      <c r="Q104" s="37" t="n">
        <v>0.090508331022998</v>
      </c>
      <c r="R104" s="37" t="n">
        <v>0.125289327441302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Calc_1!$E145</f>
        <v>3.37367367104427</v>
      </c>
      <c r="H105" s="38" t="n">
        <v>3.373673671044</v>
      </c>
      <c r="I105" s="38" t="n">
        <v>3.373673671044</v>
      </c>
      <c r="J105" s="38" t="n">
        <v>3.373673671044</v>
      </c>
      <c r="K105" s="38" t="n">
        <v>3.15479951141566</v>
      </c>
      <c r="L105" s="38" t="n">
        <v>2.80035099710545</v>
      </c>
      <c r="M105" s="38" t="n">
        <v>4.01013755465379</v>
      </c>
      <c r="N105" s="38" t="n">
        <v>3.28664059589257</v>
      </c>
      <c r="O105" s="38" t="n">
        <v>3.24553663579523</v>
      </c>
      <c r="P105" s="38" t="n">
        <v>3.56598636699595</v>
      </c>
      <c r="Q105" s="38" t="n">
        <v>2.5000651241493</v>
      </c>
      <c r="R105" s="38" t="n">
        <v>3.53984867976057</v>
      </c>
    </row>
    <row r="106" customFormat="false" ht="15" hidden="false" customHeight="false" outlineLevel="0" collapsed="false">
      <c r="C106" s="0" t="s">
        <v>156</v>
      </c>
      <c r="D106" s="11" t="s">
        <v>13</v>
      </c>
      <c r="E106" s="29" t="n">
        <f aca="false">Calc_2!$E145</f>
        <v>4.85394047019183</v>
      </c>
      <c r="H106" s="38" t="n">
        <v>4.8539404701918</v>
      </c>
      <c r="I106" s="38" t="n">
        <v>4.8539404701918</v>
      </c>
      <c r="J106" s="38" t="n">
        <v>4.8539404701918</v>
      </c>
      <c r="K106" s="38" t="n">
        <v>4.65505740619435</v>
      </c>
      <c r="L106" s="38" t="n">
        <v>4.10923559261368</v>
      </c>
      <c r="M106" s="38" t="n">
        <v>5.6864514026361</v>
      </c>
      <c r="N106" s="38" t="n">
        <v>4.72575390501271</v>
      </c>
      <c r="O106" s="38" t="n">
        <v>4.73049524278147</v>
      </c>
      <c r="P106" s="38" t="n">
        <v>5.02112697122382</v>
      </c>
      <c r="Q106" s="38" t="n">
        <v>3.43770962247383</v>
      </c>
      <c r="R106" s="38" t="n">
        <v>5.12525913952814</v>
      </c>
    </row>
    <row r="107" customFormat="false" ht="15" hidden="false" customHeight="false" outlineLevel="0" collapsed="false">
      <c r="C107" s="0" t="s">
        <v>157</v>
      </c>
      <c r="D107" s="11" t="s">
        <v>80</v>
      </c>
      <c r="E107" s="32" t="n">
        <f aca="false">Calc_1!$E94/Thousand</f>
        <v>58.1360350233236</v>
      </c>
      <c r="H107" s="39" t="n">
        <v>58.1360350233236</v>
      </c>
      <c r="I107" s="39" t="n">
        <v>58.1360350233236</v>
      </c>
      <c r="J107" s="39" t="n">
        <v>58.1360350233236</v>
      </c>
      <c r="K107" s="39" t="n">
        <v>61.2887861751086</v>
      </c>
      <c r="L107" s="39" t="n">
        <v>58.1360350233236</v>
      </c>
      <c r="M107" s="39" t="n">
        <v>58.1360350233236</v>
      </c>
      <c r="N107" s="39" t="n">
        <v>58.1360350233236</v>
      </c>
      <c r="O107" s="39" t="n">
        <v>58.6673182381231</v>
      </c>
      <c r="P107" s="39" t="n">
        <v>58.1360350233236</v>
      </c>
      <c r="Q107" s="39" t="n">
        <v>58.1360350233236</v>
      </c>
      <c r="R107" s="39" t="n">
        <v>58.1360350233236</v>
      </c>
    </row>
    <row r="108" customFormat="false" ht="15" hidden="false" customHeight="false" outlineLevel="0" collapsed="false">
      <c r="C108" s="0" t="s">
        <v>158</v>
      </c>
      <c r="D108" s="11" t="s">
        <v>80</v>
      </c>
      <c r="E108" s="32" t="n">
        <f aca="false">Calc_2!$E94/Thousand</f>
        <v>42.4778738005823</v>
      </c>
      <c r="H108" s="39" t="n">
        <v>42.4778738005823</v>
      </c>
      <c r="I108" s="39" t="n">
        <v>42.4778738005823</v>
      </c>
      <c r="J108" s="39" t="n">
        <v>42.4778738005823</v>
      </c>
      <c r="K108" s="39" t="n">
        <v>44.1372165120482</v>
      </c>
      <c r="L108" s="39" t="n">
        <v>42.4778738005823</v>
      </c>
      <c r="M108" s="39" t="n">
        <v>42.4778738005823</v>
      </c>
      <c r="N108" s="39" t="n">
        <v>42.4778738005823</v>
      </c>
      <c r="O108" s="39" t="n">
        <v>42.8706783724966</v>
      </c>
      <c r="P108" s="39" t="n">
        <v>42.4778738005823</v>
      </c>
      <c r="Q108" s="39" t="n">
        <v>42.4778738005823</v>
      </c>
      <c r="R108" s="39" t="n">
        <v>42.4778738005823</v>
      </c>
    </row>
    <row r="109" customFormat="false" ht="15" hidden="false" customHeight="false" outlineLevel="0" collapsed="false">
      <c r="C109" s="0" t="s">
        <v>159</v>
      </c>
      <c r="D109" s="11" t="s">
        <v>80</v>
      </c>
      <c r="E109" s="32" t="n">
        <f aca="false">Calc_1!$E120/Thousand</f>
        <v>53.6289259222578</v>
      </c>
      <c r="H109" s="39" t="n">
        <v>53.6289259222578</v>
      </c>
      <c r="I109" s="39" t="n">
        <v>53.6289259222578</v>
      </c>
      <c r="J109" s="39" t="n">
        <v>53.6289259222578</v>
      </c>
      <c r="K109" s="39" t="n">
        <v>56.1834634023852</v>
      </c>
      <c r="L109" s="39" t="n">
        <v>53.6289259222578</v>
      </c>
      <c r="M109" s="39" t="n">
        <v>53.6289259222578</v>
      </c>
      <c r="N109" s="39" t="n">
        <v>53.6289259222578</v>
      </c>
      <c r="O109" s="39" t="n">
        <v>53.6382233785168</v>
      </c>
      <c r="P109" s="39" t="n">
        <v>53.6289259222578</v>
      </c>
      <c r="Q109" s="39" t="n">
        <v>53.6289259222578</v>
      </c>
      <c r="R109" s="39" t="n">
        <v>53.6289259222578</v>
      </c>
    </row>
    <row r="110" customFormat="false" ht="15" hidden="false" customHeight="false" outlineLevel="0" collapsed="false">
      <c r="C110" s="0" t="s">
        <v>160</v>
      </c>
      <c r="D110" s="11" t="s">
        <v>80</v>
      </c>
      <c r="E110" s="32" t="n">
        <f aca="false">Calc_2!$E120/Thousand</f>
        <v>40.9417971932041</v>
      </c>
      <c r="H110" s="39" t="n">
        <v>40.9417971932041</v>
      </c>
      <c r="I110" s="39" t="n">
        <v>40.9417971932041</v>
      </c>
      <c r="J110" s="39" t="n">
        <v>40.9417971932041</v>
      </c>
      <c r="K110" s="39" t="n">
        <v>42.2862906037974</v>
      </c>
      <c r="L110" s="39" t="n">
        <v>40.9417971932041</v>
      </c>
      <c r="M110" s="39" t="n">
        <v>40.9417971932041</v>
      </c>
      <c r="N110" s="39" t="n">
        <v>40.9417971932041</v>
      </c>
      <c r="O110" s="39" t="n">
        <v>40.9486712732126</v>
      </c>
      <c r="P110" s="39" t="n">
        <v>40.9417971932041</v>
      </c>
      <c r="Q110" s="39" t="n">
        <v>40.9417971932041</v>
      </c>
      <c r="R110" s="39" t="n">
        <v>40.9417971932041</v>
      </c>
    </row>
    <row r="111" customFormat="false" ht="15" hidden="false" customHeight="false" outlineLevel="0" collapsed="false">
      <c r="C111" s="0" t="s">
        <v>161</v>
      </c>
      <c r="D111" s="11" t="s">
        <v>27</v>
      </c>
      <c r="E111" s="22" t="n">
        <f aca="false">Calc_1!$E136</f>
        <v>0.0568046288872877</v>
      </c>
      <c r="H111" s="37" t="n">
        <v>0.0568046288872892</v>
      </c>
      <c r="I111" s="37" t="n">
        <v>0.0673434550531194</v>
      </c>
      <c r="J111" s="37" t="n">
        <v>0.047851654441164</v>
      </c>
      <c r="K111" s="37" t="n">
        <v>0.0572335019472217</v>
      </c>
      <c r="L111" s="37" t="n">
        <v>0.0456705386872546</v>
      </c>
      <c r="M111" s="37" t="n">
        <v>0.0684045651114415</v>
      </c>
      <c r="N111" s="37" t="n">
        <v>0.0568480961764338</v>
      </c>
      <c r="O111" s="37" t="n">
        <v>0.0572967448124243</v>
      </c>
      <c r="P111" s="37" t="n">
        <v>0.0559171712880207</v>
      </c>
      <c r="Q111" s="37" t="n">
        <v>0.0429903921440314</v>
      </c>
      <c r="R111" s="37" t="n">
        <v>0.0590607216801305</v>
      </c>
    </row>
    <row r="112" customFormat="false" ht="15" hidden="false" customHeight="false" outlineLevel="0" collapsed="false">
      <c r="C112" s="0" t="s">
        <v>162</v>
      </c>
      <c r="D112" s="11" t="s">
        <v>27</v>
      </c>
      <c r="E112" s="22" t="n">
        <f aca="false">Calc_2!$E136</f>
        <v>0.0696894448393209</v>
      </c>
      <c r="H112" s="37" t="n">
        <v>0.0696894448393211</v>
      </c>
      <c r="I112" s="37" t="n">
        <v>0.0810876676554175</v>
      </c>
      <c r="J112" s="37" t="n">
        <v>0.0600528746504114</v>
      </c>
      <c r="K112" s="37" t="n">
        <v>0.06999194446808</v>
      </c>
      <c r="L112" s="37" t="n">
        <v>0.0576593038751684</v>
      </c>
      <c r="M112" s="37" t="n">
        <v>0.0824059442497119</v>
      </c>
      <c r="N112" s="37" t="n">
        <v>0.0697559712217851</v>
      </c>
      <c r="O112" s="37" t="n">
        <v>0.0701895609790416</v>
      </c>
      <c r="P112" s="37" t="n">
        <v>0.0689350936915445</v>
      </c>
      <c r="Q112" s="37" t="n">
        <v>0.04928003045341</v>
      </c>
      <c r="R112" s="37" t="n">
        <v>0.0730899412415148</v>
      </c>
    </row>
    <row r="113" customFormat="false" ht="15" hidden="false" customHeight="false" outlineLevel="0" collapsed="false">
      <c r="C113" s="0" t="s">
        <v>163</v>
      </c>
      <c r="D113" s="11" t="s">
        <v>27</v>
      </c>
      <c r="E113" s="22" t="n">
        <f aca="false">Calc_1!$E138</f>
        <v>0.0585329319728951</v>
      </c>
      <c r="H113" s="37" t="n">
        <v>0.0585329319728996</v>
      </c>
      <c r="I113" s="37" t="n">
        <v>0.0747150442732598</v>
      </c>
      <c r="J113" s="37" t="n">
        <v>0.0461486766624495</v>
      </c>
      <c r="K113" s="37" t="n">
        <v>0.0592986240428982</v>
      </c>
      <c r="L113" s="37" t="n">
        <v>0.0428441785882543</v>
      </c>
      <c r="M113" s="37" t="n">
        <v>0.0751292809070285</v>
      </c>
      <c r="N113" s="37" t="n">
        <v>0.0585976344805931</v>
      </c>
      <c r="O113" s="37" t="n">
        <v>0.0546751412291754</v>
      </c>
      <c r="P113" s="37" t="n">
        <v>0.0563466559612445</v>
      </c>
      <c r="Q113" s="37" t="n">
        <v>0.0387114953684004</v>
      </c>
      <c r="R113" s="37" t="n">
        <v>0.0617200089090674</v>
      </c>
    </row>
    <row r="114" customFormat="false" ht="15" hidden="false" customHeight="false" outlineLevel="0" collapsed="false">
      <c r="C114" s="0" t="s">
        <v>164</v>
      </c>
      <c r="D114" s="11" t="s">
        <v>27</v>
      </c>
      <c r="E114" s="22" t="n">
        <f aca="false">Calc_2!$E138</f>
        <v>0.0754971888634913</v>
      </c>
      <c r="H114" s="37" t="n">
        <v>0.0754971888634926</v>
      </c>
      <c r="I114" s="37" t="n">
        <v>0.0926971707106316</v>
      </c>
      <c r="J114" s="37" t="n">
        <v>0.0622220411902616</v>
      </c>
      <c r="K114" s="37" t="n">
        <v>0.0762345702721471</v>
      </c>
      <c r="L114" s="37" t="n">
        <v>0.0593234938659363</v>
      </c>
      <c r="M114" s="37" t="n">
        <v>0.092841713309449</v>
      </c>
      <c r="N114" s="37" t="n">
        <v>0.0756000574195679</v>
      </c>
      <c r="O114" s="37" t="n">
        <v>0.0725146023588143</v>
      </c>
      <c r="P114" s="37" t="n">
        <v>0.0716893440385177</v>
      </c>
      <c r="Q114" s="37" t="n">
        <v>0.0480650884558682</v>
      </c>
      <c r="R114" s="37" t="n">
        <v>0.0800701877003212</v>
      </c>
    </row>
    <row r="115" customFormat="false" ht="15" hidden="false" customHeight="false" outlineLevel="0" collapsed="false">
      <c r="C115" s="0" t="s">
        <v>165</v>
      </c>
      <c r="D115" s="11" t="s">
        <v>13</v>
      </c>
      <c r="E115" s="29" t="n">
        <f aca="false">Calc_1!$E98</f>
        <v>1.90833454824509</v>
      </c>
      <c r="H115" s="38" t="n">
        <v>1.90833454824636</v>
      </c>
      <c r="I115" s="38" t="n">
        <v>1.90833454824636</v>
      </c>
      <c r="J115" s="38" t="n">
        <v>1.90833454824636</v>
      </c>
      <c r="K115" s="38" t="n">
        <v>1.81981919686943</v>
      </c>
      <c r="L115" s="38" t="n">
        <v>1.70186047008104</v>
      </c>
      <c r="M115" s="38" t="n">
        <v>2.13448961504836</v>
      </c>
      <c r="N115" s="38" t="n">
        <v>1.90833454824385</v>
      </c>
      <c r="O115" s="38" t="n">
        <v>1.76455331523184</v>
      </c>
      <c r="P115" s="38" t="n">
        <v>1.25323625220032</v>
      </c>
      <c r="Q115" s="38" t="n">
        <v>1.75599824880879</v>
      </c>
      <c r="R115" s="38" t="n">
        <v>1.93544389664335</v>
      </c>
    </row>
    <row r="116" customFormat="false" ht="15" hidden="false" customHeight="false" outlineLevel="0" collapsed="false">
      <c r="C116" s="0" t="s">
        <v>166</v>
      </c>
      <c r="D116" s="11" t="s">
        <v>13</v>
      </c>
      <c r="E116" s="29" t="n">
        <f aca="false">Calc_2!$E98</f>
        <v>2.53300130461873</v>
      </c>
      <c r="H116" s="38" t="n">
        <v>2.53300130461927</v>
      </c>
      <c r="I116" s="38" t="n">
        <v>2.53300130461927</v>
      </c>
      <c r="J116" s="38" t="n">
        <v>2.53300130461927</v>
      </c>
      <c r="K116" s="38" t="n">
        <v>2.44600346635507</v>
      </c>
      <c r="L116" s="38" t="n">
        <v>2.25582607287275</v>
      </c>
      <c r="M116" s="38" t="n">
        <v>2.84059636850825</v>
      </c>
      <c r="N116" s="38" t="n">
        <v>2.53300130461831</v>
      </c>
      <c r="O116" s="38" t="n">
        <v>2.34009133873894</v>
      </c>
      <c r="P116" s="38" t="n">
        <v>1.6636302661774</v>
      </c>
      <c r="Q116" s="38" t="n">
        <v>2.16227830634639</v>
      </c>
      <c r="R116" s="38" t="n">
        <v>2.60154567028004</v>
      </c>
    </row>
    <row r="117" customFormat="false" ht="15" hidden="false" customHeight="false" outlineLevel="0" collapsed="false">
      <c r="C117" s="0" t="s">
        <v>167</v>
      </c>
      <c r="D117" s="11" t="s">
        <v>147</v>
      </c>
      <c r="E117" s="30" t="n">
        <f aca="false">Model_Checks</f>
        <v>0</v>
      </c>
      <c r="H117" s="40" t="n">
        <v>0</v>
      </c>
      <c r="I117" s="40" t="n">
        <v>0</v>
      </c>
      <c r="J117" s="40" t="n">
        <v>0</v>
      </c>
      <c r="K117" s="40" t="n">
        <v>0</v>
      </c>
      <c r="L117" s="40" t="n">
        <v>0</v>
      </c>
      <c r="M117" s="40" t="n">
        <v>0</v>
      </c>
      <c r="N117" s="40" t="n">
        <v>0</v>
      </c>
      <c r="O117" s="40" t="n">
        <v>0</v>
      </c>
      <c r="P117" s="40" t="n">
        <v>0</v>
      </c>
      <c r="Q117" s="40" t="n">
        <v>0</v>
      </c>
      <c r="R117" s="40" t="n">
        <v>0</v>
      </c>
    </row>
    <row r="118" customFormat="false" ht="15" hidden="false" customHeight="false" outlineLevel="0" collapsed="false">
      <c r="C118" s="0" t="s">
        <v>168</v>
      </c>
      <c r="D118" s="11" t="s">
        <v>147</v>
      </c>
      <c r="E118" s="30" t="n">
        <f aca="false">Model_Checks</f>
        <v>0</v>
      </c>
      <c r="H118" s="40" t="n">
        <v>0</v>
      </c>
      <c r="I118" s="40" t="n">
        <v>0</v>
      </c>
      <c r="J118" s="40" t="n">
        <v>0</v>
      </c>
      <c r="K118" s="40" t="n">
        <v>0</v>
      </c>
      <c r="L118" s="40" t="n">
        <v>0</v>
      </c>
      <c r="M118" s="40" t="n">
        <v>0</v>
      </c>
      <c r="N118" s="40" t="n">
        <v>0</v>
      </c>
      <c r="O118" s="40" t="n">
        <v>0</v>
      </c>
      <c r="P118" s="40" t="n">
        <v>0</v>
      </c>
      <c r="Q118" s="40" t="n">
        <v>0</v>
      </c>
      <c r="R118" s="40" t="n">
        <v>0</v>
      </c>
    </row>
    <row r="120" customFormat="false" ht="15" hidden="false" customHeight="false" outlineLevel="0" collapsed="false">
      <c r="C120" s="41" t="s">
        <v>169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10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9" min="8" style="0" width="12"/>
    <col collapsed="false" customWidth="true" hidden="false" outlineLevel="0" max="20" min="20" style="0" width="2"/>
    <col collapsed="false" customWidth="false" hidden="true" outlineLevel="1" max="16384" min="21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4" customFormat="false" ht="15" hidden="false" customHeight="false" outlineLevel="0" collapsed="false">
      <c r="B4" s="0" t="s">
        <v>170</v>
      </c>
      <c r="D4" s="0" t="s">
        <v>171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172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173</v>
      </c>
      <c r="C7" s="7" t="s">
        <v>8</v>
      </c>
      <c r="D7" s="7" t="s">
        <v>174</v>
      </c>
      <c r="F7" s="8" t="s">
        <v>12</v>
      </c>
      <c r="H7" s="44" t="s">
        <v>22</v>
      </c>
      <c r="I7" s="44" t="s">
        <v>175</v>
      </c>
      <c r="J7" s="44" t="s">
        <v>176</v>
      </c>
      <c r="K7" s="44" t="s">
        <v>177</v>
      </c>
      <c r="L7" s="44" t="s">
        <v>178</v>
      </c>
      <c r="M7" s="44" t="s">
        <v>179</v>
      </c>
      <c r="N7" s="44" t="s">
        <v>180</v>
      </c>
      <c r="O7" s="44" t="s">
        <v>181</v>
      </c>
      <c r="P7" s="44" t="s">
        <v>182</v>
      </c>
      <c r="Q7" s="44" t="s">
        <v>183</v>
      </c>
      <c r="R7" s="44" t="s">
        <v>184</v>
      </c>
      <c r="S7" s="8"/>
    </row>
    <row r="10" customFormat="false" ht="15" hidden="false" customHeight="false" outlineLevel="0" collapsed="false">
      <c r="A10" s="9" t="s">
        <v>13</v>
      </c>
      <c r="B10" s="9"/>
      <c r="C10" s="9" t="s">
        <v>185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customFormat="false" ht="15" hidden="false" customHeight="false" outlineLevel="0" collapsed="false">
      <c r="B11" s="0" t="s">
        <v>186</v>
      </c>
      <c r="C11" s="11" t="s">
        <v>147</v>
      </c>
      <c r="D11" s="13" t="s">
        <v>187</v>
      </c>
      <c r="F11" s="44" t="n">
        <v>1000</v>
      </c>
    </row>
    <row r="12" customFormat="false" ht="15" hidden="false" customHeight="false" outlineLevel="0" collapsed="false">
      <c r="B12" s="0" t="s">
        <v>188</v>
      </c>
      <c r="C12" s="11" t="s">
        <v>147</v>
      </c>
      <c r="D12" s="13" t="s">
        <v>187</v>
      </c>
      <c r="F12" s="44" t="n">
        <v>1000000</v>
      </c>
    </row>
    <row r="13" customFormat="false" ht="15" hidden="false" customHeight="false" outlineLevel="0" collapsed="false">
      <c r="B13" s="0" t="s">
        <v>189</v>
      </c>
      <c r="C13" s="11" t="s">
        <v>190</v>
      </c>
      <c r="D13" s="13" t="s">
        <v>191</v>
      </c>
      <c r="F13" s="44" t="n">
        <v>365</v>
      </c>
    </row>
    <row r="14" customFormat="false" ht="15" hidden="false" customHeight="false" outlineLevel="0" collapsed="false">
      <c r="B14" s="0" t="s">
        <v>192</v>
      </c>
      <c r="C14" s="11" t="s">
        <v>193</v>
      </c>
      <c r="F14" s="44" t="n">
        <v>12</v>
      </c>
    </row>
    <row r="15" customFormat="false" ht="15" hidden="false" customHeight="false" outlineLevel="0" collapsed="false">
      <c r="B15" s="0" t="s">
        <v>194</v>
      </c>
      <c r="C15" s="11" t="s">
        <v>193</v>
      </c>
      <c r="D15" s="13" t="s">
        <v>195</v>
      </c>
      <c r="F15" s="44" t="n">
        <v>3</v>
      </c>
    </row>
    <row r="16" customFormat="false" ht="15" hidden="false" customHeight="false" outlineLevel="0" collapsed="false">
      <c r="B16" s="0" t="s">
        <v>196</v>
      </c>
      <c r="C16" s="11" t="s">
        <v>147</v>
      </c>
      <c r="D16" s="13" t="s">
        <v>197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198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customFormat="false" ht="15" hidden="false" customHeight="false" outlineLevel="0" collapsed="false">
      <c r="B19" s="0" t="s">
        <v>199</v>
      </c>
      <c r="C19" s="11" t="s">
        <v>38</v>
      </c>
      <c r="D19" s="13" t="s">
        <v>200</v>
      </c>
      <c r="F19" s="45" t="n">
        <f aca="false">IF(INDEX($H19:$S19,1,Scenario_Selected)="",$H19,INDEX($H19:$S19,1,Scenario_Selected))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</row>
    <row r="20" customFormat="false" ht="15" hidden="false" customHeight="false" outlineLevel="0" collapsed="false">
      <c r="B20" s="0" t="s">
        <v>201</v>
      </c>
      <c r="C20" s="11" t="s">
        <v>27</v>
      </c>
      <c r="D20" s="13" t="s">
        <v>202</v>
      </c>
      <c r="F20" s="44" t="n">
        <v>0.1</v>
      </c>
    </row>
    <row r="21" customFormat="false" ht="15" hidden="false" customHeight="false" outlineLevel="0" collapsed="false">
      <c r="B21" s="0" t="s">
        <v>203</v>
      </c>
      <c r="C21" s="11" t="s">
        <v>38</v>
      </c>
      <c r="D21" s="13" t="s">
        <v>204</v>
      </c>
      <c r="F21" s="45" t="n">
        <f aca="false">IF(INDEX($H21:$S21,1,Scenario_Selected)="",$H21,INDEX($H21:$S21,1,Scenario_Selected))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</row>
    <row r="22" customFormat="false" ht="15" hidden="false" customHeight="false" outlineLevel="0" collapsed="false">
      <c r="B22" s="0" t="s">
        <v>205</v>
      </c>
      <c r="C22" s="11" t="s">
        <v>38</v>
      </c>
      <c r="D22" s="13" t="s">
        <v>206</v>
      </c>
      <c r="F22" s="45" t="n">
        <f aca="false">IF(INDEX($H22:$S22,1,Scenario_Selected)="",$H22,INDEX($H22:$S22,1,Scenario_Selected))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</row>
    <row r="23" customFormat="false" ht="15" hidden="false" customHeight="false" outlineLevel="0" collapsed="false">
      <c r="B23" s="0" t="s">
        <v>207</v>
      </c>
      <c r="C23" s="11" t="s">
        <v>38</v>
      </c>
      <c r="D23" s="13" t="s">
        <v>208</v>
      </c>
      <c r="F23" s="45" t="n">
        <f aca="false">IF(INDEX($H23:$S23,1,Scenario_Selected)="",$H23,INDEX($H23:$S23,1,Scenario_Selected))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</row>
    <row r="24" customFormat="false" ht="15" hidden="false" customHeight="false" outlineLevel="0" collapsed="false">
      <c r="B24" s="0" t="s">
        <v>209</v>
      </c>
      <c r="C24" s="11" t="s">
        <v>190</v>
      </c>
      <c r="D24" s="13" t="s">
        <v>210</v>
      </c>
      <c r="F24" s="43" t="n">
        <f aca="false">IF(INDEX($H24:$S24,1,Scenario_Selected)="",$H24,INDEX($H24:$S24,1,Scenario_Selected))</f>
        <v>15</v>
      </c>
      <c r="H24" s="46" t="n">
        <v>15</v>
      </c>
      <c r="I24" s="46"/>
      <c r="J24" s="46"/>
      <c r="K24" s="46"/>
      <c r="L24" s="46"/>
      <c r="M24" s="46"/>
      <c r="N24" s="46"/>
      <c r="O24" s="46"/>
      <c r="P24" s="46"/>
      <c r="Q24" s="46"/>
      <c r="R24" s="46"/>
    </row>
    <row r="25" customFormat="false" ht="15" hidden="false" customHeight="false" outlineLevel="0" collapsed="false">
      <c r="B25" s="0" t="s">
        <v>211</v>
      </c>
      <c r="C25" s="11" t="s">
        <v>38</v>
      </c>
      <c r="D25" s="13" t="s">
        <v>212</v>
      </c>
      <c r="F25" s="45" t="n">
        <f aca="false">IF(INDEX($H25:$S25,1,Scenario_Selected)="",$H25,INDEX($H25:$S25,1,Scenario_Selected))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</row>
    <row r="26" customFormat="false" ht="15" hidden="false" customHeight="false" outlineLevel="0" collapsed="false">
      <c r="B26" s="0" t="s">
        <v>213</v>
      </c>
      <c r="C26" s="11" t="s">
        <v>38</v>
      </c>
      <c r="D26" s="13" t="s">
        <v>214</v>
      </c>
      <c r="F26" s="45" t="n">
        <f aca="false">IF(INDEX($H26:$S26,1,Scenario_Selected)="",$H26,INDEX($H26:$S26,1,Scenario_Selected))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</row>
    <row r="27" customFormat="false" ht="15" hidden="false" customHeight="false" outlineLevel="0" collapsed="false">
      <c r="B27" s="0" t="s">
        <v>215</v>
      </c>
      <c r="C27" s="11" t="s">
        <v>38</v>
      </c>
      <c r="D27" s="13" t="s">
        <v>216</v>
      </c>
      <c r="F27" s="45" t="n">
        <f aca="false">IF(INDEX($H27:$S27,1,Scenario_Selected)="",$H27,INDEX($H27:$S27,1,Scenario_Selected))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</row>
    <row r="28" customFormat="false" ht="15" hidden="false" customHeight="false" outlineLevel="0" collapsed="false">
      <c r="B28" s="0" t="s">
        <v>217</v>
      </c>
      <c r="C28" s="11" t="s">
        <v>38</v>
      </c>
      <c r="D28" s="13" t="s">
        <v>218</v>
      </c>
      <c r="F28" s="45" t="n">
        <f aca="false">IF(INDEX($H28:$S28,1,Scenario_Selected)="",$H28,INDEX($H28:$S28,1,Scenario_Selected))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</row>
    <row r="29" customFormat="false" ht="15" hidden="false" customHeight="false" outlineLevel="0" collapsed="false">
      <c r="B29" s="0" t="s">
        <v>219</v>
      </c>
      <c r="C29" s="11" t="s">
        <v>66</v>
      </c>
      <c r="D29" s="13" t="s">
        <v>220</v>
      </c>
      <c r="F29" s="43" t="n">
        <f aca="false">IF(INDEX($H29:$S29,1,Scenario_Selected)="",$H29,INDEX($H29:$S29,1,Scenario_Selected))</f>
        <v>30</v>
      </c>
      <c r="H29" s="46" t="n">
        <v>30</v>
      </c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customFormat="false" ht="15" hidden="false" customHeight="false" outlineLevel="0" collapsed="false">
      <c r="B30" s="0" t="s">
        <v>221</v>
      </c>
      <c r="C30" s="11" t="s">
        <v>38</v>
      </c>
      <c r="D30" s="13" t="s">
        <v>222</v>
      </c>
      <c r="F30" s="45" t="n">
        <f aca="false">IF(INDEX($H30:$S30,1,Scenario_Selected)="",$H30,INDEX($H30:$S30,1,Scenario_Selected))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</row>
    <row r="32" customFormat="false" ht="15" hidden="false" customHeight="false" outlineLevel="0" collapsed="false">
      <c r="A32" s="9" t="s">
        <v>13</v>
      </c>
      <c r="B32" s="9"/>
      <c r="C32" s="9" t="s">
        <v>223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</row>
    <row r="33" customFormat="false" ht="15" hidden="false" customHeight="false" outlineLevel="0" collapsed="false">
      <c r="B33" s="0" t="s">
        <v>224</v>
      </c>
      <c r="C33" s="11" t="s">
        <v>78</v>
      </c>
      <c r="D33" s="13" t="s">
        <v>225</v>
      </c>
      <c r="F33" s="47" t="n">
        <f aca="false">IF(INDEX($H33:$S33,1,Scenario_Selected)="",$H33,INDEX($H33:$S33,1,Scenario_Selected))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customFormat="false" ht="15" hidden="false" customHeight="false" outlineLevel="0" collapsed="false">
      <c r="B34" s="0" t="s">
        <v>226</v>
      </c>
      <c r="C34" s="11" t="s">
        <v>33</v>
      </c>
      <c r="D34" s="13" t="s">
        <v>227</v>
      </c>
      <c r="F34" s="47" t="n">
        <f aca="false">IF(INDEX($H34:$S34,1,Scenario_Selected)="",$H34,INDEX($H34:$S34,1,Scenario_Selected))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customFormat="false" ht="15" hidden="false" customHeight="false" outlineLevel="0" collapsed="false">
      <c r="B35" s="0" t="s">
        <v>228</v>
      </c>
      <c r="C35" s="11" t="s">
        <v>33</v>
      </c>
      <c r="D35" s="13" t="s">
        <v>229</v>
      </c>
      <c r="F35" s="47" t="n">
        <f aca="false">IF(INDEX($H35:$S35,1,Scenario_Selected)="",$H35,INDEX($H35:$S35,1,Scenario_Selected))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customFormat="false" ht="15" hidden="false" customHeight="false" outlineLevel="0" collapsed="false">
      <c r="B36" s="0" t="s">
        <v>230</v>
      </c>
      <c r="C36" s="11" t="s">
        <v>33</v>
      </c>
      <c r="D36" s="13" t="s">
        <v>231</v>
      </c>
      <c r="F36" s="47" t="n">
        <f aca="false">IF(INDEX($H36:$S36,1,Scenario_Selected)="",$H36,INDEX($H36:$S36,1,Scenario_Selected))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customFormat="false" ht="15" hidden="false" customHeight="false" outlineLevel="0" collapsed="false">
      <c r="B37" s="0" t="s">
        <v>232</v>
      </c>
      <c r="C37" s="11" t="s">
        <v>19</v>
      </c>
      <c r="D37" s="13" t="s">
        <v>233</v>
      </c>
      <c r="F37" s="47" t="n">
        <f aca="false">IF(INDEX($H37:$S37,1,Scenario_Selected)="",$H37,INDEX($H37:$S37,1,Scenario_Selected))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</row>
    <row r="38" customFormat="false" ht="15" hidden="false" customHeight="false" outlineLevel="0" collapsed="false">
      <c r="B38" s="0" t="s">
        <v>234</v>
      </c>
      <c r="C38" s="11" t="s">
        <v>19</v>
      </c>
      <c r="D38" s="13" t="s">
        <v>235</v>
      </c>
      <c r="F38" s="47" t="n">
        <f aca="false">IF(INDEX($H38:$S38,1,Scenario_Selected)="",$H38,INDEX($H38:$S38,1,Scenario_Selected))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</row>
    <row r="39" customFormat="false" ht="15" hidden="false" customHeight="false" outlineLevel="0" collapsed="false">
      <c r="B39" s="0" t="s">
        <v>236</v>
      </c>
      <c r="C39" s="11" t="s">
        <v>33</v>
      </c>
      <c r="D39" s="13" t="s">
        <v>237</v>
      </c>
      <c r="F39" s="47" t="n">
        <f aca="false">IF(INDEX($H39:$S39,1,Scenario_Selected)="",$H39,INDEX($H39:$S39,1,Scenario_Selected))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customFormat="false" ht="15" hidden="false" customHeight="false" outlineLevel="0" collapsed="false">
      <c r="B40" s="0" t="s">
        <v>238</v>
      </c>
      <c r="C40" s="11" t="s">
        <v>27</v>
      </c>
      <c r="D40" s="13" t="s">
        <v>239</v>
      </c>
      <c r="F40" s="48" t="n">
        <f aca="false">IF(INDEX($H40:$S40,1,Scenario_Selected)="",$H40,INDEX($H40:$S40,1,Scenario_Selected))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customFormat="false" ht="15" hidden="false" customHeight="false" outlineLevel="0" collapsed="false">
      <c r="B41" s="0" t="s">
        <v>240</v>
      </c>
      <c r="C41" s="11" t="s">
        <v>27</v>
      </c>
      <c r="D41" s="13" t="s">
        <v>241</v>
      </c>
      <c r="F41" s="48" t="n">
        <f aca="false">IF(INDEX($H41:$S41,1,Scenario_Selected)="",$H41,INDEX($H41:$S41,1,Scenario_Selected))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</row>
    <row r="42" customFormat="false" ht="15" hidden="false" customHeight="false" outlineLevel="0" collapsed="false">
      <c r="B42" s="0" t="s">
        <v>242</v>
      </c>
      <c r="C42" s="11" t="s">
        <v>43</v>
      </c>
      <c r="D42" s="13" t="s">
        <v>243</v>
      </c>
      <c r="F42" s="49" t="n">
        <f aca="false">IF(INDEX($H42:$S42,1,Scenario_Selected)="",$H42,INDEX($H42:$S42,1,Scenario_Selected))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</row>
    <row r="43" customFormat="false" ht="15" hidden="false" customHeight="false" outlineLevel="0" collapsed="false">
      <c r="B43" s="0" t="s">
        <v>244</v>
      </c>
      <c r="C43" s="11" t="s">
        <v>27</v>
      </c>
      <c r="D43" s="13" t="s">
        <v>245</v>
      </c>
      <c r="F43" s="48" t="n">
        <f aca="false">IF(INDEX($H43:$S43,1,Scenario_Selected)="",$H43,INDEX($H43:$S43,1,Scenario_Selected))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customFormat="false" ht="15" hidden="false" customHeight="false" outlineLevel="0" collapsed="false">
      <c r="B44" s="0" t="s">
        <v>246</v>
      </c>
      <c r="C44" s="11" t="s">
        <v>43</v>
      </c>
      <c r="D44" s="13" t="s">
        <v>247</v>
      </c>
      <c r="F44" s="49" t="n">
        <f aca="false">IF(INDEX($H44:$S44,1,Scenario_Selected)="",$H44,INDEX($H44:$S44,1,Scenario_Selected))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</row>
    <row r="45" customFormat="false" ht="15" hidden="false" customHeight="false" outlineLevel="0" collapsed="false">
      <c r="B45" s="0" t="s">
        <v>248</v>
      </c>
      <c r="C45" s="11" t="s">
        <v>66</v>
      </c>
      <c r="D45" s="13" t="s">
        <v>249</v>
      </c>
      <c r="F45" s="43" t="n">
        <f aca="false">IF(INDEX($H45:$S45,1,Scenario_Selected)="",$H45,INDEX($H45:$S45,1,Scenario_Selected))</f>
        <v>20</v>
      </c>
      <c r="H45" s="46" t="n">
        <v>20</v>
      </c>
      <c r="I45" s="46"/>
      <c r="J45" s="46"/>
      <c r="K45" s="46"/>
      <c r="L45" s="46"/>
      <c r="M45" s="46"/>
      <c r="N45" s="46"/>
      <c r="O45" s="46"/>
      <c r="P45" s="46"/>
      <c r="Q45" s="46"/>
      <c r="R45" s="46"/>
    </row>
    <row r="46" customFormat="false" ht="15" hidden="false" customHeight="false" outlineLevel="0" collapsed="false">
      <c r="B46" s="0" t="s">
        <v>250</v>
      </c>
      <c r="C46" s="11" t="s">
        <v>27</v>
      </c>
      <c r="D46" s="13" t="s">
        <v>251</v>
      </c>
      <c r="F46" s="48" t="n">
        <f aca="false">IF(INDEX($H46:$S46,1,Scenario_Selected)="",$H46,INDEX($H46:$S46,1,Scenario_Selected))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customFormat="false" ht="15" hidden="false" customHeight="false" outlineLevel="0" collapsed="false">
      <c r="B47" s="0" t="s">
        <v>252</v>
      </c>
      <c r="C47" s="11" t="s">
        <v>66</v>
      </c>
      <c r="D47" s="13" t="s">
        <v>253</v>
      </c>
      <c r="F47" s="43" t="n">
        <f aca="false">IF(INDEX($H47:$S47,1,Scenario_Selected)="",$H47,INDEX($H47:$S47,1,Scenario_Selected))</f>
        <v>5</v>
      </c>
      <c r="H47" s="46" t="n">
        <v>5</v>
      </c>
      <c r="I47" s="46"/>
      <c r="J47" s="46"/>
      <c r="K47" s="46"/>
      <c r="L47" s="46"/>
      <c r="M47" s="46"/>
      <c r="N47" s="46"/>
      <c r="O47" s="46"/>
      <c r="P47" s="46"/>
      <c r="Q47" s="46"/>
      <c r="R47" s="46"/>
    </row>
    <row r="49" customFormat="false" ht="15" hidden="false" customHeight="false" outlineLevel="0" collapsed="false">
      <c r="A49" s="9" t="s">
        <v>13</v>
      </c>
      <c r="B49" s="9"/>
      <c r="C49" s="9" t="s">
        <v>254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customFormat="false" ht="15" hidden="false" customHeight="false" outlineLevel="0" collapsed="false">
      <c r="B50" s="0" t="s">
        <v>255</v>
      </c>
      <c r="C50" s="11" t="s">
        <v>147</v>
      </c>
      <c r="D50" s="13" t="s">
        <v>256</v>
      </c>
      <c r="F50" s="44" t="n">
        <v>2</v>
      </c>
    </row>
    <row r="51" customFormat="false" ht="15" hidden="false" customHeight="false" outlineLevel="0" collapsed="false">
      <c r="B51" s="0" t="s">
        <v>257</v>
      </c>
      <c r="C51" s="11" t="s">
        <v>258</v>
      </c>
      <c r="D51" s="13" t="s">
        <v>259</v>
      </c>
      <c r="F51" s="47" t="n">
        <f aca="false">IF(INDEX($H51:$S51,1,Scenario_Selected)="",$H51,INDEX($H51:$S51,1,Scenario_Selected))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customFormat="false" ht="15" hidden="false" customHeight="false" outlineLevel="0" collapsed="false">
      <c r="B52" s="0" t="s">
        <v>260</v>
      </c>
      <c r="C52" s="11" t="s">
        <v>27</v>
      </c>
      <c r="D52" s="13" t="s">
        <v>202</v>
      </c>
      <c r="F52" s="48" t="n">
        <f aca="false">IF(INDEX($H52:$S52,1,Scenario_Selected)="",$H52,INDEX($H52:$S52,1,Scenario_Selected))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customFormat="false" ht="15" hidden="false" customHeight="false" outlineLevel="0" collapsed="false">
      <c r="B53" s="0" t="s">
        <v>261</v>
      </c>
      <c r="C53" s="11" t="s">
        <v>27</v>
      </c>
      <c r="D53" s="13" t="s">
        <v>262</v>
      </c>
      <c r="F53" s="48" t="n">
        <f aca="false">IF(INDEX($H53:$S53,1,Scenario_Selected)="",$H53,INDEX($H53:$S53,1,Scenario_Selected))</f>
        <v>0.05</v>
      </c>
      <c r="H53" s="17" t="n">
        <v>0.05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customFormat="false" ht="15" hidden="false" customHeight="false" outlineLevel="0" collapsed="false">
      <c r="B54" s="0" t="s">
        <v>263</v>
      </c>
      <c r="C54" s="11" t="s">
        <v>43</v>
      </c>
      <c r="D54" s="13" t="s">
        <v>264</v>
      </c>
      <c r="F54" s="49" t="n">
        <f aca="false">IF(INDEX($H54:$S54,1,Scenario_Selected)="",$H54,INDEX($H54:$S54,1,Scenario_Selected))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</row>
    <row r="55" customFormat="false" ht="15" hidden="false" customHeight="false" outlineLevel="0" collapsed="false">
      <c r="B55" s="0" t="s">
        <v>265</v>
      </c>
      <c r="C55" s="11" t="s">
        <v>35</v>
      </c>
      <c r="D55" s="13" t="s">
        <v>266</v>
      </c>
      <c r="F55" s="36" t="n">
        <f aca="false">IF(INDEX($H55:$S55,1,Scenario_Selected)="",$H55,INDEX($H55:$S55,1,Scenario_Selected))</f>
        <v>4</v>
      </c>
      <c r="H55" s="19" t="n">
        <v>4</v>
      </c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customFormat="false" ht="15" hidden="false" customHeight="false" outlineLevel="0" collapsed="false">
      <c r="B56" s="0" t="s">
        <v>267</v>
      </c>
      <c r="C56" s="11" t="s">
        <v>27</v>
      </c>
      <c r="D56" s="13" t="s">
        <v>268</v>
      </c>
      <c r="F56" s="48" t="n">
        <f aca="false">IF(INDEX($H56:$S56,1,Scenario_Selected)="",$H56,INDEX($H56:$S56,1,Scenario_Selected))</f>
        <v>0.1</v>
      </c>
      <c r="H56" s="17" t="n">
        <v>0.1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customFormat="false" ht="15" hidden="false" customHeight="false" outlineLevel="0" collapsed="false">
      <c r="B57" s="0" t="s">
        <v>269</v>
      </c>
      <c r="C57" s="11" t="s">
        <v>43</v>
      </c>
      <c r="D57" s="13" t="s">
        <v>270</v>
      </c>
      <c r="F57" s="49" t="n">
        <f aca="false">IF(INDEX($H57:$S57,1,Scenario_Selected)="",$H57,INDEX($H57:$S57,1,Scenario_Selected))</f>
        <v>1</v>
      </c>
      <c r="H57" s="23" t="n">
        <v>1</v>
      </c>
      <c r="I57" s="23"/>
      <c r="J57" s="23"/>
      <c r="K57" s="23"/>
      <c r="L57" s="23"/>
      <c r="M57" s="23"/>
      <c r="N57" s="23" t="n">
        <v>2</v>
      </c>
      <c r="O57" s="23"/>
      <c r="P57" s="23"/>
      <c r="Q57" s="23"/>
      <c r="R57" s="23"/>
    </row>
    <row r="58" customFormat="false" ht="15" hidden="false" customHeight="false" outlineLevel="0" collapsed="false">
      <c r="B58" s="0" t="s">
        <v>271</v>
      </c>
      <c r="C58" s="11" t="s">
        <v>193</v>
      </c>
      <c r="D58" s="13" t="s">
        <v>272</v>
      </c>
      <c r="F58" s="43" t="n">
        <f aca="false">IF(INDEX($H58:$S58,1,Scenario_Selected)="",$H58,INDEX($H58:$S58,1,Scenario_Selected))</f>
        <v>6</v>
      </c>
      <c r="H58" s="46" t="n">
        <v>6</v>
      </c>
      <c r="I58" s="46"/>
      <c r="J58" s="46"/>
      <c r="K58" s="46"/>
      <c r="L58" s="46"/>
      <c r="M58" s="46"/>
      <c r="N58" s="46"/>
      <c r="O58" s="46"/>
      <c r="P58" s="46"/>
      <c r="Q58" s="46"/>
      <c r="R58" s="46"/>
    </row>
    <row r="59" customFormat="false" ht="15" hidden="false" customHeight="false" outlineLevel="0" collapsed="false">
      <c r="B59" s="0" t="s">
        <v>273</v>
      </c>
      <c r="C59" s="11" t="s">
        <v>274</v>
      </c>
      <c r="D59" s="13" t="s">
        <v>275</v>
      </c>
      <c r="F59" s="47" t="n">
        <f aca="false">IF(INDEX($H59:$S59,1,Scenario_Selected)="",$H59,INDEX($H59:$S59,1,Scenario_Selected))</f>
        <v>200</v>
      </c>
      <c r="H59" s="12" t="n">
        <v>200</v>
      </c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customFormat="false" ht="15" hidden="false" customHeight="false" outlineLevel="0" collapsed="false">
      <c r="B60" s="0" t="s">
        <v>276</v>
      </c>
      <c r="C60" s="11" t="s">
        <v>277</v>
      </c>
      <c r="D60" s="13" t="s">
        <v>275</v>
      </c>
      <c r="F60" s="47" t="n">
        <f aca="false">IF(INDEX($H60:$S60,1,Scenario_Selected)="",$H60,INDEX($H60:$S60,1,Scenario_Selected))</f>
        <v>406</v>
      </c>
      <c r="H60" s="12" t="n">
        <v>406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customFormat="false" ht="15" hidden="false" customHeight="false" outlineLevel="0" collapsed="false">
      <c r="B61" s="0" t="s">
        <v>278</v>
      </c>
      <c r="C61" s="11" t="s">
        <v>279</v>
      </c>
      <c r="D61" s="13" t="s">
        <v>280</v>
      </c>
      <c r="F61" s="36" t="n">
        <f aca="false">IF(INDEX($H61:$S61,1,Scenario_Selected)="",$H61,INDEX($H61:$S61,1,Scenario_Selected))</f>
        <v>3</v>
      </c>
      <c r="H61" s="19" t="n">
        <v>3</v>
      </c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customFormat="false" ht="15" hidden="false" customHeight="false" outlineLevel="0" collapsed="false">
      <c r="B62" s="0" t="s">
        <v>281</v>
      </c>
      <c r="C62" s="11" t="s">
        <v>27</v>
      </c>
      <c r="D62" s="13" t="s">
        <v>282</v>
      </c>
      <c r="F62" s="50" t="n">
        <f aca="false">IF(INDEX($H62:$S62,1,Scenario_Selected)="",$H62,INDEX($H62:$S62,1,Scenario_Selected))</f>
        <v>0.005</v>
      </c>
      <c r="H62" s="51" t="n">
        <v>0.005</v>
      </c>
      <c r="I62" s="51"/>
      <c r="J62" s="51"/>
      <c r="K62" s="51"/>
      <c r="L62" s="51"/>
      <c r="M62" s="51"/>
      <c r="N62" s="51"/>
      <c r="O62" s="51"/>
      <c r="P62" s="51"/>
      <c r="Q62" s="51"/>
      <c r="R62" s="51"/>
    </row>
    <row r="63" customFormat="false" ht="15" hidden="false" customHeight="false" outlineLevel="0" collapsed="false">
      <c r="B63" s="0" t="s">
        <v>283</v>
      </c>
      <c r="C63" s="11" t="s">
        <v>27</v>
      </c>
      <c r="D63" s="13" t="s">
        <v>284</v>
      </c>
      <c r="F63" s="50" t="n">
        <f aca="false">IF(INDEX($H63:$S63,1,Scenario_Selected)="",$H63,INDEX($H63:$S63,1,Scenario_Selected))</f>
        <v>0.025</v>
      </c>
      <c r="H63" s="51" t="n">
        <v>0.025</v>
      </c>
      <c r="I63" s="51"/>
      <c r="J63" s="51"/>
      <c r="K63" s="51"/>
      <c r="L63" s="51"/>
      <c r="M63" s="51"/>
      <c r="N63" s="51"/>
      <c r="O63" s="51"/>
      <c r="P63" s="51"/>
      <c r="Q63" s="51"/>
      <c r="R63" s="51"/>
    </row>
    <row r="64" customFormat="false" ht="15" hidden="false" customHeight="false" outlineLevel="0" collapsed="false">
      <c r="B64" s="0" t="s">
        <v>285</v>
      </c>
      <c r="C64" s="11" t="s">
        <v>286</v>
      </c>
      <c r="D64" s="13" t="s">
        <v>287</v>
      </c>
      <c r="F64" s="36" t="n">
        <f aca="false">IF(INDEX($H64:$S64,1,Scenario_Selected)="",$H64,INDEX($H64:$S64,1,Scenario_Selected))</f>
        <v>4.5</v>
      </c>
      <c r="H64" s="19" t="n">
        <v>4.5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customFormat="false" ht="15" hidden="false" customHeight="false" outlineLevel="0" collapsed="false">
      <c r="B65" s="0" t="s">
        <v>288</v>
      </c>
      <c r="C65" s="11" t="s">
        <v>279</v>
      </c>
      <c r="D65" s="13" t="s">
        <v>289</v>
      </c>
      <c r="F65" s="36" t="n">
        <f aca="false">IF(INDEX($H65:$S65,1,Scenario_Selected)="",$H65,INDEX($H65:$S65,1,Scenario_Selected))</f>
        <v>460</v>
      </c>
      <c r="H65" s="19" t="n">
        <v>460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customFormat="false" ht="15" hidden="false" customHeight="false" outlineLevel="0" collapsed="false">
      <c r="B66" s="0" t="s">
        <v>290</v>
      </c>
      <c r="C66" s="11" t="s">
        <v>286</v>
      </c>
      <c r="D66" s="13" t="s">
        <v>291</v>
      </c>
      <c r="F66" s="32" t="n">
        <f aca="false">IF(INDEX($H66:$S66,1,Scenario_Selected)="",$H66,INDEX($H66:$S66,1,Scenario_Selected))</f>
        <v>54.830209</v>
      </c>
      <c r="H66" s="16" t="n">
        <v>54.830209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</row>
    <row r="67" customFormat="false" ht="15" hidden="false" customHeight="false" outlineLevel="0" collapsed="false">
      <c r="B67" s="0" t="s">
        <v>292</v>
      </c>
      <c r="C67" s="11" t="s">
        <v>27</v>
      </c>
      <c r="D67" s="13" t="s">
        <v>293</v>
      </c>
      <c r="F67" s="48" t="n">
        <f aca="false">IF(INDEX($H67:$S67,1,Scenario_Selected)="",$H67,INDEX($H67:$S67,1,Scenario_Selected))</f>
        <v>0.06</v>
      </c>
      <c r="H67" s="17" t="n">
        <v>0.06</v>
      </c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9" customFormat="false" ht="15" hidden="false" customHeight="false" outlineLevel="0" collapsed="false">
      <c r="A69" s="9" t="s">
        <v>13</v>
      </c>
      <c r="B69" s="9"/>
      <c r="C69" s="9" t="s">
        <v>294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customFormat="false" ht="15" hidden="false" customHeight="false" outlineLevel="0" collapsed="false">
      <c r="B70" s="0" t="s">
        <v>295</v>
      </c>
      <c r="C70" s="11" t="s">
        <v>19</v>
      </c>
      <c r="D70" s="13" t="s">
        <v>296</v>
      </c>
      <c r="F70" s="47" t="n">
        <f aca="false">IF(INDEX($H70:$S70,1,Scenario_Selected)="",$H70,INDEX($H70:$S70,1,Scenario_Selected))</f>
        <v>950</v>
      </c>
      <c r="H70" s="12" t="n">
        <v>950</v>
      </c>
      <c r="I70" s="12"/>
      <c r="J70" s="12"/>
      <c r="K70" s="12" t="n">
        <f aca="false">H70*(1+Sens_Step)</f>
        <v>1045</v>
      </c>
      <c r="L70" s="12"/>
      <c r="M70" s="12"/>
      <c r="N70" s="12"/>
      <c r="O70" s="12"/>
      <c r="P70" s="12"/>
      <c r="Q70" s="12"/>
      <c r="R70" s="12"/>
    </row>
    <row r="71" customFormat="false" ht="15" hidden="false" customHeight="false" outlineLevel="0" collapsed="false">
      <c r="B71" s="0" t="s">
        <v>297</v>
      </c>
      <c r="C71" s="11" t="s">
        <v>19</v>
      </c>
      <c r="D71" s="13" t="s">
        <v>298</v>
      </c>
      <c r="F71" s="47" t="n">
        <f aca="false">IF(INDEX($H71:$S71,1,Scenario_Selected)="",$H71,INDEX($H71:$S71,1,Scenario_Selected))</f>
        <v>500</v>
      </c>
      <c r="H71" s="12" t="n">
        <v>500</v>
      </c>
      <c r="I71" s="12"/>
      <c r="J71" s="12"/>
      <c r="K71" s="12" t="n">
        <f aca="false">H71*(1+Sens_Step)</f>
        <v>550</v>
      </c>
      <c r="L71" s="12"/>
      <c r="M71" s="12"/>
      <c r="N71" s="12"/>
      <c r="O71" s="12"/>
      <c r="P71" s="12"/>
      <c r="Q71" s="12"/>
      <c r="R71" s="12"/>
    </row>
    <row r="72" customFormat="false" ht="15" hidden="false" customHeight="false" outlineLevel="0" collapsed="false">
      <c r="B72" s="0" t="s">
        <v>299</v>
      </c>
      <c r="C72" s="11" t="s">
        <v>19</v>
      </c>
      <c r="D72" s="13" t="s">
        <v>300</v>
      </c>
      <c r="F72" s="47" t="n">
        <f aca="false">IF(INDEX($H72:$S72,1,Scenario_Selected)="",$H72,INDEX($H72:$S72,1,Scenario_Selected))</f>
        <v>355</v>
      </c>
      <c r="H72" s="12" t="n">
        <v>355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customFormat="false" ht="15" hidden="false" customHeight="false" outlineLevel="0" collapsed="false">
      <c r="B73" s="0" t="s">
        <v>301</v>
      </c>
      <c r="C73" s="11" t="s">
        <v>33</v>
      </c>
      <c r="D73" s="13" t="s">
        <v>302</v>
      </c>
      <c r="F73" s="47" t="n">
        <f aca="false">IF(INDEX($H73:$S73,1,Scenario_Selected)="",$H73,INDEX($H73:$S73,1,Scenario_Selected))</f>
        <v>12000</v>
      </c>
      <c r="H73" s="12" t="n">
        <v>12000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customFormat="false" ht="15" hidden="false" customHeight="false" outlineLevel="0" collapsed="false">
      <c r="B74" s="0" t="s">
        <v>303</v>
      </c>
      <c r="C74" s="11" t="s">
        <v>33</v>
      </c>
      <c r="D74" s="13" t="s">
        <v>304</v>
      </c>
      <c r="F74" s="47" t="n">
        <f aca="false">IF(INDEX($H74:$S74,1,Scenario_Selected)="",$H74,INDEX($H74:$S74,1,Scenario_Selected))</f>
        <v>10800</v>
      </c>
      <c r="H74" s="12" t="n">
        <v>10800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customFormat="false" ht="15" hidden="false" customHeight="false" outlineLevel="0" collapsed="false">
      <c r="B75" s="0" t="s">
        <v>305</v>
      </c>
      <c r="C75" s="11" t="s">
        <v>27</v>
      </c>
      <c r="D75" s="13" t="s">
        <v>306</v>
      </c>
      <c r="F75" s="48" t="n">
        <f aca="false">IF(INDEX($H75:$S75,1,Scenario_Selected)="",$H75,INDEX($H75:$S75,1,Scenario_Selected))</f>
        <v>0.05</v>
      </c>
      <c r="H75" s="17" t="n">
        <v>0.05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customFormat="false" ht="15" hidden="false" customHeight="false" outlineLevel="0" collapsed="false">
      <c r="B76" s="0" t="s">
        <v>307</v>
      </c>
      <c r="C76" s="11" t="s">
        <v>19</v>
      </c>
      <c r="D76" s="13" t="s">
        <v>308</v>
      </c>
      <c r="F76" s="47" t="n">
        <f aca="false">IF(INDEX($H76:$S76,1,Scenario_Selected)="",$H76,INDEX($H76:$S76,1,Scenario_Selected))</f>
        <v>240</v>
      </c>
      <c r="H76" s="12" t="n">
        <v>240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8" customFormat="false" ht="15" hidden="false" customHeight="false" outlineLevel="0" collapsed="false">
      <c r="A78" s="9" t="s">
        <v>13</v>
      </c>
      <c r="B78" s="9"/>
      <c r="C78" s="9" t="s">
        <v>309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</row>
    <row r="79" customFormat="false" ht="15" hidden="false" customHeight="false" outlineLevel="0" collapsed="false">
      <c r="B79" s="0" t="s">
        <v>56</v>
      </c>
      <c r="C79" s="11" t="s">
        <v>57</v>
      </c>
      <c r="D79" s="13" t="s">
        <v>202</v>
      </c>
      <c r="F79" s="47" t="n">
        <f aca="false">IF(INDEX($H79:$S79,1,Scenario_Selected)="",$H79,INDEX($H79:$S79,1,Scenario_Selected))</f>
        <v>2600</v>
      </c>
      <c r="H79" s="12" t="n">
        <v>2600</v>
      </c>
      <c r="I79" s="12"/>
      <c r="J79" s="12"/>
      <c r="K79" s="12"/>
      <c r="L79" s="12" t="n">
        <f aca="false">H79*(1-Sens_Step)</f>
        <v>2340</v>
      </c>
      <c r="M79" s="12"/>
      <c r="N79" s="12"/>
      <c r="O79" s="12"/>
      <c r="P79" s="12"/>
      <c r="Q79" s="12"/>
      <c r="R79" s="12"/>
    </row>
    <row r="80" customFormat="false" ht="15" hidden="false" customHeight="false" outlineLevel="0" collapsed="false">
      <c r="B80" s="0" t="s">
        <v>310</v>
      </c>
      <c r="C80" s="11" t="s">
        <v>27</v>
      </c>
      <c r="D80" s="13" t="s">
        <v>311</v>
      </c>
      <c r="F80" s="48" t="n">
        <f aca="false">IF(INDEX($H80:$S80,1,Scenario_Selected)="",$H80,INDEX($H80:$S80,1,Scenario_Selected))</f>
        <v>0.02</v>
      </c>
      <c r="H80" s="17" t="n">
        <v>0.02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customFormat="false" ht="15" hidden="false" customHeight="false" outlineLevel="0" collapsed="false">
      <c r="B81" s="0" t="s">
        <v>312</v>
      </c>
      <c r="C81" s="11" t="s">
        <v>27</v>
      </c>
      <c r="D81" s="13" t="s">
        <v>313</v>
      </c>
      <c r="F81" s="50" t="n">
        <f aca="false">IF(INDEX($H81:$S81,1,Scenario_Selected)="",$H81,INDEX($H81:$S81,1,Scenario_Selected))</f>
        <v>0.003</v>
      </c>
      <c r="H81" s="51" t="n">
        <v>0.003</v>
      </c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customFormat="false" ht="15" hidden="false" customHeight="false" outlineLevel="0" collapsed="false">
      <c r="B82" s="0" t="s">
        <v>314</v>
      </c>
      <c r="C82" s="11" t="s">
        <v>24</v>
      </c>
      <c r="D82" s="13" t="s">
        <v>202</v>
      </c>
      <c r="F82" s="36" t="n">
        <f aca="false">IF(INDEX($H82:$S82,1,Scenario_Selected)="",$H82,INDEX($H82:$S82,1,Scenario_Selected))</f>
        <v>90</v>
      </c>
      <c r="H82" s="19" t="n">
        <v>90</v>
      </c>
      <c r="I82" s="19"/>
      <c r="J82" s="19"/>
      <c r="K82" s="19"/>
      <c r="L82" s="19"/>
      <c r="M82" s="19" t="n">
        <v>99</v>
      </c>
      <c r="N82" s="19"/>
      <c r="O82" s="19"/>
      <c r="P82" s="19"/>
      <c r="Q82" s="19"/>
      <c r="R82" s="19"/>
    </row>
    <row r="83" customFormat="false" ht="15" hidden="false" customHeight="false" outlineLevel="0" collapsed="false">
      <c r="B83" s="0" t="s">
        <v>315</v>
      </c>
      <c r="C83" s="11" t="s">
        <v>27</v>
      </c>
      <c r="D83" s="13" t="s">
        <v>316</v>
      </c>
      <c r="F83" s="48" t="n">
        <f aca="false">IF(INDEX($H83:$S83,1,Scenario_Selected)="",$H83,INDEX($H83:$S83,1,Scenario_Selected))</f>
        <v>0.01</v>
      </c>
      <c r="H83" s="17" t="n">
        <v>0.01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customFormat="false" ht="15" hidden="false" customHeight="false" outlineLevel="0" collapsed="false">
      <c r="B84" s="0" t="s">
        <v>317</v>
      </c>
      <c r="C84" s="11" t="s">
        <v>24</v>
      </c>
      <c r="D84" s="13" t="s">
        <v>318</v>
      </c>
      <c r="F84" s="36" t="n">
        <f aca="false">IF(INDEX($H84:$S84,1,Scenario_Selected)="",$H84,INDEX($H84:$S84,1,Scenario_Selected))</f>
        <v>5</v>
      </c>
      <c r="H84" s="19" t="n">
        <v>5</v>
      </c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15" hidden="false" customHeight="false" outlineLevel="0" collapsed="false">
      <c r="B85" s="0" t="s">
        <v>319</v>
      </c>
      <c r="C85" s="11" t="s">
        <v>19</v>
      </c>
      <c r="D85" s="13" t="s">
        <v>320</v>
      </c>
      <c r="F85" s="47" t="n">
        <f aca="false">IF(INDEX($H85:$S85,1,Scenario_Selected)="",$H85,INDEX($H85:$S85,1,Scenario_Selected))</f>
        <v>22</v>
      </c>
      <c r="H85" s="12" t="n">
        <v>22</v>
      </c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customFormat="false" ht="15" hidden="false" customHeight="false" outlineLevel="0" collapsed="false">
      <c r="B86" s="0" t="s">
        <v>321</v>
      </c>
      <c r="C86" s="11" t="s">
        <v>19</v>
      </c>
      <c r="D86" s="13" t="s">
        <v>322</v>
      </c>
      <c r="F86" s="47" t="n">
        <f aca="false">IF(INDEX($H86:$S86,1,Scenario_Selected)="",$H86,INDEX($H86:$S86,1,Scenario_Selected))</f>
        <v>3</v>
      </c>
      <c r="H86" s="12" t="n">
        <v>3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customFormat="false" ht="15" hidden="false" customHeight="false" outlineLevel="0" collapsed="false">
      <c r="B87" s="0" t="s">
        <v>323</v>
      </c>
      <c r="C87" s="11" t="s">
        <v>33</v>
      </c>
      <c r="D87" s="13" t="s">
        <v>324</v>
      </c>
      <c r="F87" s="47" t="n">
        <f aca="false">IF(INDEX($H87:$S87,1,Scenario_Selected)="",$H87,INDEX($H87:$S87,1,Scenario_Selected))</f>
        <v>150</v>
      </c>
      <c r="H87" s="12" t="n">
        <v>150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customFormat="false" ht="15" hidden="false" customHeight="false" outlineLevel="0" collapsed="false">
      <c r="B88" s="0" t="s">
        <v>325</v>
      </c>
      <c r="C88" s="11" t="s">
        <v>27</v>
      </c>
      <c r="D88" s="13" t="s">
        <v>326</v>
      </c>
      <c r="F88" s="48" t="n">
        <f aca="false">IF(INDEX($H88:$S88,1,Scenario_Selected)="",$H88,INDEX($H88:$S88,1,Scenario_Selected))</f>
        <v>0.05</v>
      </c>
      <c r="H88" s="17" t="n">
        <v>0.05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customFormat="false" ht="15" hidden="false" customHeight="false" outlineLevel="0" collapsed="false">
      <c r="B89" s="0" t="s">
        <v>327</v>
      </c>
      <c r="C89" s="11" t="s">
        <v>27</v>
      </c>
      <c r="D89" s="13" t="s">
        <v>328</v>
      </c>
      <c r="F89" s="48" t="n">
        <f aca="false">IF(INDEX($H89:$S89,1,Scenario_Selected)="",$H89,INDEX($H89:$S89,1,Scenario_Selected))</f>
        <v>0.025</v>
      </c>
      <c r="H89" s="17" t="n">
        <v>0.025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customFormat="false" ht="15" hidden="false" customHeight="false" outlineLevel="0" collapsed="false">
      <c r="B90" s="0" t="s">
        <v>329</v>
      </c>
      <c r="C90" s="11" t="s">
        <v>27</v>
      </c>
      <c r="D90" s="13" t="s">
        <v>330</v>
      </c>
      <c r="F90" s="50" t="n">
        <f aca="false">IF(INDEX($H90:$S90,1,Scenario_Selected)="",$H90,INDEX($H90:$S90,1,Scenario_Selected))</f>
        <v>0.001</v>
      </c>
      <c r="H90" s="51" t="n">
        <v>0.001</v>
      </c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customFormat="false" ht="15" hidden="false" customHeight="false" outlineLevel="0" collapsed="false">
      <c r="B91" s="0" t="s">
        <v>331</v>
      </c>
      <c r="C91" s="11" t="s">
        <v>27</v>
      </c>
      <c r="D91" s="13" t="s">
        <v>332</v>
      </c>
      <c r="F91" s="48" t="n">
        <f aca="false">IF(INDEX($H91:$S91,1,Scenario_Selected)="",$H91,INDEX($H91:$S91,1,Scenario_Selected))</f>
        <v>0.02</v>
      </c>
      <c r="H91" s="17" t="n">
        <v>0.02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customFormat="false" ht="15" hidden="false" customHeight="false" outlineLevel="0" collapsed="false">
      <c r="B92" s="0" t="s">
        <v>333</v>
      </c>
      <c r="C92" s="11" t="s">
        <v>27</v>
      </c>
      <c r="D92" s="13" t="s">
        <v>334</v>
      </c>
      <c r="F92" s="50" t="n">
        <f aca="false">IF(INDEX($H92:$S92,1,Scenario_Selected)="",$H92,INDEX($H92:$S92,1,Scenario_Selected))</f>
        <v>0.003</v>
      </c>
      <c r="H92" s="51" t="n">
        <v>0.003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4" customFormat="false" ht="15" hidden="false" customHeight="false" outlineLevel="0" collapsed="false">
      <c r="A94" s="9" t="s">
        <v>13</v>
      </c>
      <c r="B94" s="9"/>
      <c r="C94" s="9" t="s">
        <v>335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customFormat="false" ht="15" hidden="false" customHeight="false" outlineLevel="0" collapsed="false">
      <c r="B95" s="0" t="s">
        <v>336</v>
      </c>
      <c r="C95" s="11" t="s">
        <v>27</v>
      </c>
      <c r="D95" s="13" t="s">
        <v>337</v>
      </c>
      <c r="F95" s="48" t="n">
        <f aca="false">IF(INDEX($H95:$S95,1,Scenario_Selected)="",$H95,INDEX($H95:$S95,1,Scenario_Selected))</f>
        <v>0.55</v>
      </c>
      <c r="H95" s="17" t="n">
        <v>0.55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customFormat="false" ht="15" hidden="false" customHeight="false" outlineLevel="0" collapsed="false">
      <c r="B96" s="0" t="s">
        <v>130</v>
      </c>
      <c r="C96" s="11" t="s">
        <v>13</v>
      </c>
      <c r="D96" s="13" t="s">
        <v>337</v>
      </c>
      <c r="F96" s="52" t="n">
        <f aca="false">IF(INDEX($H96:$S96,1,Scenario_Selected)="",$H96,INDEX($H96:$S96,1,Scenario_Selected))</f>
        <v>1.1</v>
      </c>
      <c r="H96" s="21" t="n">
        <v>1.1</v>
      </c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customFormat="false" ht="15" hidden="false" customHeight="false" outlineLevel="0" collapsed="false">
      <c r="B97" s="0" t="s">
        <v>133</v>
      </c>
      <c r="C97" s="11" t="s">
        <v>13</v>
      </c>
      <c r="D97" s="13" t="s">
        <v>337</v>
      </c>
      <c r="F97" s="52" t="n">
        <f aca="false">IF(INDEX($H97:$S97,1,Scenario_Selected)="",$H97,INDEX($H97:$S97,1,Scenario_Selected))</f>
        <v>1.2</v>
      </c>
      <c r="H97" s="21" t="n">
        <v>1.2</v>
      </c>
      <c r="I97" s="21"/>
      <c r="J97" s="21"/>
      <c r="K97" s="21"/>
      <c r="L97" s="21"/>
      <c r="M97" s="21"/>
      <c r="N97" s="21"/>
      <c r="O97" s="21"/>
      <c r="P97" s="21"/>
      <c r="Q97" s="21"/>
      <c r="R97" s="21"/>
    </row>
    <row r="98" customFormat="false" ht="15" hidden="false" customHeight="false" outlineLevel="0" collapsed="false">
      <c r="B98" s="0" t="s">
        <v>338</v>
      </c>
      <c r="C98" s="11" t="s">
        <v>13</v>
      </c>
      <c r="D98" s="13" t="s">
        <v>339</v>
      </c>
      <c r="F98" s="52" t="n">
        <f aca="false">IF(INDEX($H98:$S98,1,Scenario_Selected)="",$H98,INDEX($H98:$S98,1,Scenario_Selected))</f>
        <v>1.2</v>
      </c>
      <c r="H98" s="21" t="n">
        <v>1.2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</row>
    <row r="99" customFormat="false" ht="15" hidden="false" customHeight="false" outlineLevel="0" collapsed="false">
      <c r="B99" s="0" t="s">
        <v>65</v>
      </c>
      <c r="C99" s="11" t="s">
        <v>66</v>
      </c>
      <c r="D99" s="13" t="s">
        <v>340</v>
      </c>
      <c r="F99" s="43" t="n">
        <f aca="false">IF(INDEX($H99:$S99,1,Scenario_Selected)="",$H99,INDEX($H99:$S99,1,Scenario_Selected))</f>
        <v>18</v>
      </c>
      <c r="H99" s="46" t="n">
        <v>18</v>
      </c>
      <c r="I99" s="46"/>
      <c r="J99" s="46"/>
      <c r="K99" s="46"/>
      <c r="L99" s="46"/>
      <c r="M99" s="46"/>
      <c r="N99" s="46"/>
      <c r="O99" s="46"/>
      <c r="P99" s="46" t="n">
        <v>10</v>
      </c>
      <c r="Q99" s="46"/>
      <c r="R99" s="46"/>
    </row>
    <row r="100" customFormat="false" ht="15" hidden="false" customHeight="false" outlineLevel="0" collapsed="false">
      <c r="B100" s="0" t="s">
        <v>341</v>
      </c>
      <c r="C100" s="11" t="s">
        <v>27</v>
      </c>
      <c r="D100" s="13" t="s">
        <v>342</v>
      </c>
      <c r="F100" s="48" t="n">
        <f aca="false">IF(INDEX($H100:$S100,1,Scenario_Selected)="",$H100,INDEX($H100:$S100,1,Scenario_Selected))</f>
        <v>0.05</v>
      </c>
      <c r="H100" s="17" t="n">
        <v>0.05</v>
      </c>
      <c r="I100" s="17"/>
      <c r="J100" s="17"/>
      <c r="K100" s="17"/>
      <c r="L100" s="17"/>
      <c r="M100" s="17"/>
      <c r="N100" s="17"/>
      <c r="O100" s="17" t="n">
        <v>0.06</v>
      </c>
      <c r="P100" s="17"/>
      <c r="Q100" s="17"/>
      <c r="R100" s="17"/>
    </row>
    <row r="101" customFormat="false" ht="15" hidden="false" customHeight="false" outlineLevel="0" collapsed="false">
      <c r="B101" s="0" t="s">
        <v>343</v>
      </c>
      <c r="C101" s="11" t="s">
        <v>27</v>
      </c>
      <c r="D101" s="13" t="s">
        <v>344</v>
      </c>
      <c r="F101" s="50" t="n">
        <f aca="false">IF(INDEX($H101:$S101,1,Scenario_Selected)="",$H101,INDEX($H101:$S101,1,Scenario_Selected))</f>
        <v>0.0175</v>
      </c>
      <c r="H101" s="51" t="n">
        <v>0.0175</v>
      </c>
      <c r="I101" s="51"/>
      <c r="J101" s="51"/>
      <c r="K101" s="51"/>
      <c r="L101" s="51"/>
      <c r="M101" s="51"/>
      <c r="N101" s="51"/>
      <c r="O101" s="51"/>
      <c r="P101" s="51"/>
      <c r="Q101" s="51"/>
      <c r="R101" s="51"/>
    </row>
    <row r="102" customFormat="false" ht="15" hidden="false" customHeight="false" outlineLevel="0" collapsed="false">
      <c r="B102" s="0" t="s">
        <v>345</v>
      </c>
      <c r="C102" s="11" t="s">
        <v>27</v>
      </c>
      <c r="D102" s="13" t="s">
        <v>346</v>
      </c>
      <c r="F102" s="50" t="n">
        <f aca="false">IF(INDEX($H102:$S102,1,Scenario_Selected)="",$H102,INDEX($H102:$S102,1,Scenario_Selected))</f>
        <v>0.009</v>
      </c>
      <c r="H102" s="51" t="n">
        <v>0.009</v>
      </c>
      <c r="I102" s="51"/>
      <c r="J102" s="51"/>
      <c r="K102" s="51"/>
      <c r="L102" s="51"/>
      <c r="M102" s="51"/>
      <c r="N102" s="51"/>
      <c r="O102" s="51"/>
      <c r="P102" s="51"/>
      <c r="Q102" s="51"/>
      <c r="R102" s="51"/>
    </row>
    <row r="103" customFormat="false" ht="15" hidden="false" customHeight="false" outlineLevel="0" collapsed="false">
      <c r="B103" s="0" t="s">
        <v>347</v>
      </c>
      <c r="C103" s="11" t="s">
        <v>193</v>
      </c>
      <c r="D103" s="13" t="s">
        <v>348</v>
      </c>
      <c r="F103" s="43" t="n">
        <f aca="false">IF(INDEX($H103:$S103,1,Scenario_Selected)="",$H103,INDEX($H103:$S103,1,Scenario_Selected))</f>
        <v>6</v>
      </c>
      <c r="H103" s="46" t="n">
        <v>6</v>
      </c>
      <c r="I103" s="46"/>
      <c r="J103" s="46"/>
      <c r="K103" s="46"/>
      <c r="L103" s="46"/>
      <c r="M103" s="46"/>
      <c r="N103" s="46"/>
      <c r="O103" s="46"/>
      <c r="P103" s="46"/>
      <c r="Q103" s="46"/>
      <c r="R103" s="46"/>
    </row>
    <row r="105" customFormat="false" ht="15" hidden="false" customHeight="false" outlineLevel="0" collapsed="false">
      <c r="A105" s="9" t="s">
        <v>13</v>
      </c>
      <c r="B105" s="9"/>
      <c r="C105" s="9" t="s">
        <v>349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</row>
    <row r="106" customFormat="false" ht="15" hidden="false" customHeight="false" outlineLevel="0" collapsed="false">
      <c r="B106" s="0" t="s">
        <v>350</v>
      </c>
      <c r="C106" s="11" t="s">
        <v>21</v>
      </c>
      <c r="D106" s="13" t="s">
        <v>351</v>
      </c>
      <c r="F106" s="3" t="s">
        <v>352</v>
      </c>
    </row>
    <row r="107" customFormat="false" ht="15" hidden="false" customHeight="false" outlineLevel="0" collapsed="false">
      <c r="B107" s="0" t="s">
        <v>353</v>
      </c>
      <c r="C107" s="11" t="s">
        <v>21</v>
      </c>
      <c r="D107" s="13" t="s">
        <v>354</v>
      </c>
      <c r="F107" s="3"/>
    </row>
    <row r="109" customFormat="false" ht="15" hidden="false" customHeight="false" outlineLevel="0" collapsed="false">
      <c r="C109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355</v>
      </c>
      <c r="D5" s="9"/>
      <c r="E5" s="9" t="s">
        <v>356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357</v>
      </c>
      <c r="F6" s="8" t="s">
        <v>358</v>
      </c>
      <c r="J6" s="8" t="s">
        <v>359</v>
      </c>
    </row>
    <row r="7" customFormat="false" ht="15" hidden="false" customHeight="false" outlineLevel="0" collapsed="false">
      <c r="C7" s="0" t="s">
        <v>360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361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362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363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364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365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366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367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368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369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370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371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372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373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374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375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376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377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378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379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380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381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382</v>
      </c>
      <c r="D5" s="11" t="s">
        <v>190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383</v>
      </c>
      <c r="D6" s="11" t="s">
        <v>384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385</v>
      </c>
      <c r="D7" s="11" t="s">
        <v>386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387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389</v>
      </c>
      <c r="D12" s="11" t="s">
        <v>384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390</v>
      </c>
      <c r="D13" s="11" t="s">
        <v>384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309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391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392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393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394</v>
      </c>
      <c r="D19" s="11" t="s">
        <v>384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395</v>
      </c>
      <c r="D20" s="11" t="s">
        <v>147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396</v>
      </c>
      <c r="D21" s="11" t="s">
        <v>384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398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399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400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401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402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403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404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405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406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407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408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409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410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411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412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413</v>
      </c>
      <c r="D41" s="11" t="s">
        <v>147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414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228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415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416</v>
      </c>
      <c r="D47" s="11" t="s">
        <v>279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417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418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419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420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421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422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423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424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425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426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427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428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429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430</v>
      </c>
      <c r="D62" s="11" t="s">
        <v>19</v>
      </c>
      <c r="E62" s="47" t="n">
        <f aca="false">IF($E38=1,In_Turbine,In_Turbine_CN)</f>
        <v>950</v>
      </c>
    </row>
    <row r="63" customFormat="false" ht="15" hidden="false" customHeight="false" outlineLevel="0" collapsed="false">
      <c r="C63" s="0" t="s">
        <v>431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432</v>
      </c>
      <c r="D64" s="11" t="s">
        <v>33</v>
      </c>
      <c r="E64" s="47" t="n">
        <f aca="false">(($E62+In_Other_Wind)*$F24+$E63)*(1+In_Capex_Contingency)+In_BESS_Capex*$F25</f>
        <v>90363.75</v>
      </c>
      <c r="I64" s="47" t="n">
        <f aca="false">SUM(J64:EO64)</f>
        <v>-90363.75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-11388.3082191781</v>
      </c>
      <c r="S64" s="47" t="n">
        <f aca="false">-$E64*S12</f>
        <v>-11140.7363013699</v>
      </c>
      <c r="T64" s="47" t="n">
        <f aca="false">-$E64*T12</f>
        <v>-11264.522260274</v>
      </c>
      <c r="U64" s="47" t="n">
        <f aca="false">-$E64*U12</f>
        <v>-11388.3082191781</v>
      </c>
      <c r="V64" s="47" t="n">
        <f aca="false">-$E64*V12</f>
        <v>-11388.3082191781</v>
      </c>
      <c r="W64" s="47" t="n">
        <f aca="false">-$E64*W12</f>
        <v>-11140.7363013699</v>
      </c>
      <c r="X64" s="47" t="n">
        <f aca="false">-$E64*X12</f>
        <v>-11264.522260274</v>
      </c>
      <c r="Y64" s="47" t="n">
        <f aca="false">-$E64*Y12</f>
        <v>-11388.3082191781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433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434</v>
      </c>
      <c r="D66" s="11" t="s">
        <v>33</v>
      </c>
      <c r="E66" s="56" t="n">
        <f aca="false">SUMPRODUCT($J66:$EO66/$J21:$EO21)*$E21</f>
        <v>-105701.881860588</v>
      </c>
      <c r="I66" s="56" t="n">
        <f aca="false">SUM(J66:EO66)</f>
        <v>-101018.573150685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-11388.3082191781</v>
      </c>
      <c r="S66" s="56" t="n">
        <f aca="false">S64+S54+S65</f>
        <v>-19295.5594520548</v>
      </c>
      <c r="T66" s="56" t="n">
        <f aca="false">T64+T54+T65</f>
        <v>-11264.522260274</v>
      </c>
      <c r="U66" s="56" t="n">
        <f aca="false">U64+U54+U65</f>
        <v>-11388.3082191781</v>
      </c>
      <c r="V66" s="56" t="n">
        <f aca="false">V64+V54+V65</f>
        <v>-11388.3082191781</v>
      </c>
      <c r="W66" s="56" t="n">
        <f aca="false">W64+W54+W65</f>
        <v>-11140.7363013699</v>
      </c>
      <c r="X66" s="56" t="n">
        <f aca="false">X64+X54+X65</f>
        <v>-11264.522260274</v>
      </c>
      <c r="Y66" s="56" t="n">
        <f aca="false">Y64+Y54+Y65</f>
        <v>-13888.3082191781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309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435</v>
      </c>
      <c r="D69" s="11" t="s">
        <v>384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436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437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438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439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440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441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442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325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443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444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445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-19.2968578344355</v>
      </c>
      <c r="AA82" s="57" t="n">
        <v>-19.3489005053072</v>
      </c>
      <c r="AB82" s="57" t="n">
        <v>-20.6219184738636</v>
      </c>
      <c r="AC82" s="57" t="n">
        <v>-21.9127271622197</v>
      </c>
      <c r="AD82" s="57" t="n">
        <v>-21.7706281412459</v>
      </c>
      <c r="AE82" s="57" t="n">
        <v>-22.6477645622832</v>
      </c>
      <c r="AF82" s="57" t="n">
        <v>-23.1442033805169</v>
      </c>
      <c r="AG82" s="57" t="n">
        <v>-24.4681305819427</v>
      </c>
      <c r="AH82" s="57" t="n">
        <v>-24.3493119970993</v>
      </c>
      <c r="AI82" s="57" t="n">
        <v>-24.4096316191219</v>
      </c>
      <c r="AJ82" s="57" t="n">
        <v>-28.2357404367032</v>
      </c>
      <c r="AK82" s="57" t="n">
        <v>-29.6360961007296</v>
      </c>
      <c r="AL82" s="57" t="n">
        <v>-59.1140983505224</v>
      </c>
      <c r="AM82" s="57" t="n">
        <v>-59.1388082778085</v>
      </c>
      <c r="AN82" s="57" t="n">
        <v>-61.943385854684</v>
      </c>
      <c r="AO82" s="57" t="n">
        <v>-64.7847322918428</v>
      </c>
      <c r="AP82" s="57" t="n">
        <v>-64.6465054965982</v>
      </c>
      <c r="AQ82" s="57" t="n">
        <v>-64.681957411819</v>
      </c>
      <c r="AR82" s="57" t="n">
        <v>-67.5556406381445</v>
      </c>
      <c r="AS82" s="57" t="n">
        <v>-70.4668212408551</v>
      </c>
      <c r="AT82" s="57" t="n">
        <v>-70.3796976290556</v>
      </c>
      <c r="AU82" s="57" t="n">
        <v>-72.1716686278229</v>
      </c>
      <c r="AV82" s="57" t="n">
        <v>-73.3973490987692</v>
      </c>
      <c r="AW82" s="57" t="n">
        <v>-76.3808408205373</v>
      </c>
      <c r="AX82" s="57" t="n">
        <v>-76.347663998586</v>
      </c>
      <c r="AY82" s="57" t="n">
        <v>-76.4112405201852</v>
      </c>
      <c r="AZ82" s="57" t="n">
        <v>-79.4300307696134</v>
      </c>
      <c r="BA82" s="57" t="n">
        <v>-82.4878613791021</v>
      </c>
      <c r="BB82" s="57" t="n">
        <v>-82.5110342004019</v>
      </c>
      <c r="BC82" s="57" t="n">
        <v>-82.5919342870516</v>
      </c>
      <c r="BD82" s="57" t="n">
        <v>-85.6866509612937</v>
      </c>
      <c r="BE82" s="57" t="n">
        <v>-88.821221757382</v>
      </c>
      <c r="BF82" s="57" t="n">
        <v>-88.9035388802499</v>
      </c>
      <c r="BG82" s="57" t="n">
        <v>-89.0041761414065</v>
      </c>
      <c r="BH82" s="57" t="n">
        <v>-92.1772994820838</v>
      </c>
      <c r="BI82" s="57" t="n">
        <v>-95.3911216626357</v>
      </c>
      <c r="BJ82" s="57" t="n">
        <v>-95.5355032591336</v>
      </c>
      <c r="BK82" s="57" t="n">
        <v>-97.4420956457996</v>
      </c>
      <c r="BL82" s="57" t="n">
        <v>-98.9371760614041</v>
      </c>
      <c r="BM82" s="57" t="n">
        <v>-102.233159758534</v>
      </c>
      <c r="BN82" s="57" t="n">
        <v>-102.442944264505</v>
      </c>
      <c r="BO82" s="57" t="n">
        <v>-102.591075101054</v>
      </c>
      <c r="BP82" s="57" t="n">
        <v>-105.929206629622</v>
      </c>
      <c r="BQ82" s="57" t="n">
        <v>-109.309828326915</v>
      </c>
      <c r="BR82" s="57" t="n">
        <v>-109.587930665394</v>
      </c>
      <c r="BS82" s="57" t="n">
        <v>-109.763799493562</v>
      </c>
      <c r="BT82" s="57" t="n">
        <v>-113.188496634661</v>
      </c>
      <c r="BU82" s="57" t="n">
        <v>-116.65663031655</v>
      </c>
      <c r="BV82" s="57" t="n">
        <v>-117.006383025163</v>
      </c>
      <c r="BW82" s="57" t="n">
        <v>-117.212921323379</v>
      </c>
      <c r="BX82" s="57" t="n">
        <v>-120.727153562869</v>
      </c>
      <c r="BY82" s="57" t="n">
        <v>-124.285805656067</v>
      </c>
      <c r="BZ82" s="57" t="n">
        <v>-124.710691191048</v>
      </c>
      <c r="CA82" s="57" t="n">
        <v>-126.767754992813</v>
      </c>
      <c r="CB82" s="57" t="n">
        <v>-128.582673536307</v>
      </c>
      <c r="CC82" s="57" t="n">
        <v>-132.235275137828</v>
      </c>
      <c r="CD82" s="57" t="n">
        <v>-132.739221893491</v>
      </c>
      <c r="CE82" s="57" t="n">
        <v>-133.016771909923</v>
      </c>
      <c r="CF82" s="57" t="n">
        <v>-136.719833581338</v>
      </c>
      <c r="CG82" s="57" t="n">
        <v>-140.469402729271</v>
      </c>
      <c r="CH82" s="57" t="n">
        <v>-141.055938096597</v>
      </c>
      <c r="CI82" s="57" t="n">
        <v>-141.373861630842</v>
      </c>
      <c r="CJ82" s="57" t="n">
        <v>-145.176229681105</v>
      </c>
      <c r="CK82" s="57" t="n">
        <v>-149.02620985052</v>
      </c>
      <c r="CL82" s="57" t="n">
        <v>-149.699308817583</v>
      </c>
      <c r="CM82" s="57" t="n">
        <v>-150.061158826321</v>
      </c>
      <c r="CN82" s="57" t="n">
        <v>-153.966392192967</v>
      </c>
      <c r="CO82" s="57" t="n">
        <v>-157.920386439386</v>
      </c>
      <c r="CP82" s="57" t="n">
        <v>-158.684203131143</v>
      </c>
      <c r="CQ82" s="57" t="n">
        <v>-160.935697289852</v>
      </c>
      <c r="CR82" s="57" t="n">
        <v>-163.130493908309</v>
      </c>
      <c r="CS82" s="57" t="n">
        <v>-167.192559999749</v>
      </c>
      <c r="CT82" s="57" t="n">
        <v>-168.051726678946</v>
      </c>
      <c r="CU82" s="57" t="n">
        <v>-166.224183016148</v>
      </c>
      <c r="CV82" s="57" t="n">
        <v>-168.071118382994</v>
      </c>
      <c r="CW82" s="57" t="n">
        <v>-169.91805374984</v>
      </c>
      <c r="CX82" s="57" t="n">
        <v>-168.498164540174</v>
      </c>
      <c r="CY82" s="57" t="n">
        <v>-166.617041396964</v>
      </c>
      <c r="CZ82" s="57" t="n">
        <v>-168.46834185693</v>
      </c>
      <c r="DA82" s="57" t="n">
        <v>-170.319642316896</v>
      </c>
      <c r="DB82" s="57" t="n">
        <v>-375.486699874706</v>
      </c>
      <c r="DC82" s="57" t="n">
        <v>-369.060276869219</v>
      </c>
      <c r="DD82" s="57" t="n">
        <v>-373.160946612211</v>
      </c>
      <c r="DE82" s="57" t="n">
        <v>-377.261616355202</v>
      </c>
      <c r="DF82" s="57" t="n">
        <v>-375.824783779586</v>
      </c>
      <c r="DG82" s="57" t="n">
        <v>-373.447561715863</v>
      </c>
      <c r="DH82" s="57" t="n">
        <v>-373.447561715863</v>
      </c>
      <c r="DI82" s="57" t="n">
        <v>-377.551381075378</v>
      </c>
      <c r="DJ82" s="57" t="n">
        <v>-376.106053012438</v>
      </c>
      <c r="DK82" s="57" t="n">
        <v>-369.569862589467</v>
      </c>
      <c r="DL82" s="57" t="n">
        <v>-373.676194396016</v>
      </c>
      <c r="DM82" s="57" t="n">
        <v>-377.782526202566</v>
      </c>
      <c r="DN82" s="57" t="n">
        <v>-376.328687856251</v>
      </c>
      <c r="DO82" s="57" t="n">
        <v>-369.736810251908</v>
      </c>
      <c r="DP82" s="57" t="n">
        <v>-373.844997032485</v>
      </c>
      <c r="DQ82" s="57" t="n">
        <v>-377.953183813062</v>
      </c>
      <c r="DR82" s="57" t="n">
        <v>-376.490821224723</v>
      </c>
      <c r="DS82" s="57" t="n">
        <v>-369.842710510588</v>
      </c>
      <c r="DT82" s="57" t="n">
        <v>-373.952073960705</v>
      </c>
      <c r="DU82" s="57" t="n">
        <v>-378.061437410823</v>
      </c>
      <c r="DV82" s="57" t="n">
        <v>-376.590537485769</v>
      </c>
      <c r="DW82" s="57" t="n">
        <v>-373.995480278811</v>
      </c>
      <c r="DX82" s="57" t="n">
        <v>-373.995480278811</v>
      </c>
      <c r="DY82" s="57" t="n">
        <v>-378.105320721435</v>
      </c>
      <c r="DZ82" s="57" t="n">
        <v>-376.625871256129</v>
      </c>
      <c r="EA82" s="57" t="n">
        <v>-369.863624794353</v>
      </c>
      <c r="EB82" s="57" t="n">
        <v>-373.973220625401</v>
      </c>
      <c r="EC82" s="57" t="n">
        <v>-378.08281645645</v>
      </c>
      <c r="ED82" s="57" t="n">
        <v>-376.59480616636</v>
      </c>
      <c r="EE82" s="57" t="n">
        <v>-369.774640807209</v>
      </c>
      <c r="EF82" s="57" t="n">
        <v>-373.883247927289</v>
      </c>
      <c r="EG82" s="57" t="n">
        <v>-377.991855047369</v>
      </c>
      <c r="EH82" s="57" t="n">
        <v>-376.495273595488</v>
      </c>
      <c r="EI82" s="57" t="n">
        <v>-369.616610884433</v>
      </c>
      <c r="EJ82" s="57" t="n">
        <v>-373.723462116482</v>
      </c>
      <c r="EK82" s="57" t="n">
        <v>-377.830313348532</v>
      </c>
      <c r="EL82" s="57" t="n">
        <v>-376.325151374578</v>
      </c>
      <c r="EM82" s="57" t="n">
        <v>-373.491708815651</v>
      </c>
      <c r="EN82" s="57" t="n">
        <v>-373.491708815651</v>
      </c>
      <c r="EO82" s="57" t="n">
        <v>-377.596013308131</v>
      </c>
    </row>
    <row r="83" customFormat="false" ht="15" hidden="false" customHeight="false" outlineLevel="0" collapsed="false">
      <c r="C83" s="0" t="s">
        <v>446</v>
      </c>
      <c r="D83" s="11" t="s">
        <v>33</v>
      </c>
      <c r="I83" s="47" t="n">
        <f aca="false">SUM(J83:EO83)</f>
        <v>272307.467029496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2341.99775277371</v>
      </c>
      <c r="AA83" s="47" t="n">
        <f aca="false">(AA79+AA55+AA82)*(AA$4&gt;In_COD)</f>
        <v>2306.4414171798</v>
      </c>
      <c r="AB83" s="47" t="n">
        <f aca="false">(AB79+AB55+AB82)*(AB$4&gt;In_COD)</f>
        <v>2331.01051385219</v>
      </c>
      <c r="AC83" s="47" t="n">
        <f aca="false">(AC79+AC55+AC82)*(AC$4&gt;In_COD)</f>
        <v>2355.56181980477</v>
      </c>
      <c r="AD83" s="47" t="n">
        <f aca="false">(AD79+AD55+AD82)*(AD$4&gt;In_COD)</f>
        <v>2347.22985725559</v>
      </c>
      <c r="AE83" s="47" t="n">
        <f aca="false">(AE79+AE55+AE82)*(AE$4&gt;In_COD)</f>
        <v>2336.47011679521</v>
      </c>
      <c r="AF83" s="47" t="n">
        <f aca="false">(AF79+AF55+AF82)*(AF$4&gt;In_COD)</f>
        <v>2335.97367797698</v>
      </c>
      <c r="AG83" s="47" t="n">
        <f aca="false">(AG79+AG55+AG82)*(AG$4&gt;In_COD)</f>
        <v>2360.57412309816</v>
      </c>
      <c r="AH83" s="47" t="n">
        <f aca="false">(AH79+AH55+AH82)*(AH$4&gt;In_COD)</f>
        <v>2352.16515003209</v>
      </c>
      <c r="AI83" s="47" t="n">
        <f aca="false">(AI79+AI55+AI82)*(AI$4&gt;In_COD)</f>
        <v>2315.99247065562</v>
      </c>
      <c r="AJ83" s="47" t="n">
        <f aca="false">(AJ79+AJ55+AJ82)*(AJ$4&gt;In_COD)</f>
        <v>2371.32631847577</v>
      </c>
      <c r="AK83" s="47" t="n">
        <f aca="false">(AK79+AK55+AK82)*(AK$4&gt;In_COD)</f>
        <v>2396.29477664595</v>
      </c>
      <c r="AL83" s="47" t="n">
        <f aca="false">(AL79+AL55+AL82)*(AL$4&gt;In_COD)</f>
        <v>2358.23507375801</v>
      </c>
      <c r="AM83" s="47" t="n">
        <f aca="false">(AM79+AM55+AM82)*(AM$4&gt;In_COD)</f>
        <v>2321.06119367824</v>
      </c>
      <c r="AN83" s="47" t="n">
        <f aca="false">(AN79+AN55+AN82)*(AN$4&gt;In_COD)</f>
        <v>2344.70328278976</v>
      </c>
      <c r="AO83" s="47" t="n">
        <f aca="false">(AO79+AO55+AO82)*(AO$4&gt;In_COD)</f>
        <v>2368.308603041</v>
      </c>
      <c r="AP83" s="47" t="n">
        <f aca="false">(AP79+AP55+AP82)*(AP$4&gt;In_COD)</f>
        <v>2359.81104410985</v>
      </c>
      <c r="AQ83" s="47" t="n">
        <f aca="false">(AQ79+AQ55+AQ82)*(AQ$4&gt;In_COD)</f>
        <v>2322.31553314222</v>
      </c>
      <c r="AR83" s="47" t="n">
        <f aca="false">(AR79+AR55+AR82)*(AR$4&gt;In_COD)</f>
        <v>2345.96404425538</v>
      </c>
      <c r="AS83" s="47" t="n">
        <f aca="false">(AS79+AS55+AS82)*(AS$4&gt;In_COD)</f>
        <v>2369.57505799216</v>
      </c>
      <c r="AT83" s="47" t="n">
        <f aca="false">(AT79+AT55+AT82)*(AT$4&gt;In_COD)</f>
        <v>2360.97213760285</v>
      </c>
      <c r="AU83" s="47" t="n">
        <f aca="false">(AU79+AU55+AU82)*(AU$4&gt;In_COD)</f>
        <v>2348.00172382642</v>
      </c>
      <c r="AV83" s="47" t="n">
        <f aca="false">(AV79+AV55+AV82)*(AV$4&gt;In_COD)</f>
        <v>2346.77604335547</v>
      </c>
      <c r="AW83" s="47" t="n">
        <f aca="false">(AW79+AW55+AW82)*(AW$4&gt;In_COD)</f>
        <v>2370.3878636387</v>
      </c>
      <c r="AX83" s="47" t="n">
        <f aca="false">(AX79+AX55+AX82)*(AX$4&gt;In_COD)</f>
        <v>2361.67656802477</v>
      </c>
      <c r="AY83" s="47" t="n">
        <f aca="false">(AY79+AY55+AY82)*(AY$4&gt;In_COD)</f>
        <v>2323.52269723449</v>
      </c>
      <c r="AZ83" s="47" t="n">
        <f aca="false">(AZ79+AZ55+AZ82)*(AZ$4&gt;In_COD)</f>
        <v>2347.16983962678</v>
      </c>
      <c r="BA83" s="47" t="n">
        <f aca="false">(BA79+BA55+BA82)*(BA$4&gt;In_COD)</f>
        <v>2370.77794165901</v>
      </c>
      <c r="BB83" s="47" t="n">
        <f aca="false">(BB79+BB55+BB82)*(BB$4&gt;In_COD)</f>
        <v>2361.95570094804</v>
      </c>
      <c r="BC83" s="47" t="n">
        <f aca="false">(BC79+BC55+BC82)*(BC$4&gt;In_COD)</f>
        <v>2323.46508575156</v>
      </c>
      <c r="BD83" s="47" t="n">
        <f aca="false">(BD79+BD55+BD82)*(BD$4&gt;In_COD)</f>
        <v>2347.10433596663</v>
      </c>
      <c r="BE83" s="47" t="n">
        <f aca="false">(BE79+BE55+BE82)*(BE$4&gt;In_COD)</f>
        <v>2370.70373205986</v>
      </c>
      <c r="BF83" s="47" t="n">
        <f aca="false">(BF79+BF55+BF82)*(BF$4&gt;In_COD)</f>
        <v>2361.76758783297</v>
      </c>
      <c r="BG83" s="47" t="n">
        <f aca="false">(BG79+BG55+BG82)*(BG$4&gt;In_COD)</f>
        <v>2322.93489497762</v>
      </c>
      <c r="BH83" s="47" t="n">
        <f aca="false">(BH79+BH55+BH82)*(BH$4&gt;In_COD)</f>
        <v>2346.56109464938</v>
      </c>
      <c r="BI83" s="47" t="n">
        <f aca="false">(BI79+BI55+BI82)*(BI$4&gt;In_COD)</f>
        <v>2370.14659548126</v>
      </c>
      <c r="BJ83" s="47" t="n">
        <f aca="false">(BJ79+BJ55+BJ82)*(BJ$4&gt;In_COD)</f>
        <v>2361.09346718469</v>
      </c>
      <c r="BK83" s="47" t="n">
        <f aca="false">(BK79+BK55+BK82)*(BK$4&gt;In_COD)</f>
        <v>2346.99142692567</v>
      </c>
      <c r="BL83" s="47" t="n">
        <f aca="false">(BL79+BL55+BL82)*(BL$4&gt;In_COD)</f>
        <v>2345.49634651007</v>
      </c>
      <c r="BM83" s="47" t="n">
        <f aca="false">(BM79+BM55+BM82)*(BM$4&gt;In_COD)</f>
        <v>2369.06226965438</v>
      </c>
      <c r="BN83" s="47" t="n">
        <f aca="false">(BN79+BN55+BN82)*(BN$4&gt;In_COD)</f>
        <v>2359.88866197282</v>
      </c>
      <c r="BO83" s="47" t="n">
        <f aca="false">(BO79+BO55+BO82)*(BO$4&gt;In_COD)</f>
        <v>2320.35487895604</v>
      </c>
      <c r="BP83" s="47" t="n">
        <f aca="false">(BP79+BP55+BP82)*(BP$4&gt;In_COD)</f>
        <v>2343.93836913922</v>
      </c>
      <c r="BQ83" s="47" t="n">
        <f aca="false">(BQ79+BQ55+BQ82)*(BQ$4&gt;In_COD)</f>
        <v>2367.47936915367</v>
      </c>
      <c r="BR83" s="47" t="n">
        <f aca="false">(BR79+BR55+BR82)*(BR$4&gt;In_COD)</f>
        <v>2358.18221391321</v>
      </c>
      <c r="BS83" s="47" t="n">
        <f aca="false">(BS79+BS55+BS82)*(BS$4&gt;In_COD)</f>
        <v>2318.2893566445</v>
      </c>
      <c r="BT83" s="47" t="n">
        <f aca="false">(BT79+BT55+BT82)*(BT$4&gt;In_COD)</f>
        <v>2341.84302790493</v>
      </c>
      <c r="BU83" s="47" t="n">
        <f aca="false">(BU79+BU55+BU82)*(BU$4&gt;In_COD)</f>
        <v>2365.35326262458</v>
      </c>
      <c r="BV83" s="47" t="n">
        <f aca="false">(BV79+BV55+BV82)*(BV$4&gt;In_COD)</f>
        <v>2355.92907779486</v>
      </c>
      <c r="BW83" s="47" t="n">
        <f aca="false">(BW79+BW55+BW82)*(BW$4&gt;In_COD)</f>
        <v>2315.671134803</v>
      </c>
      <c r="BX83" s="47" t="n">
        <f aca="false">(BX79+BX55+BX82)*(BX$4&gt;In_COD)</f>
        <v>2339.18894763158</v>
      </c>
      <c r="BY83" s="47" t="n">
        <f aca="false">(BY79+BY55+BY82)*(BY$4&gt;In_COD)</f>
        <v>2362.66234060645</v>
      </c>
      <c r="BZ83" s="47" t="n">
        <f aca="false">(BZ79+BZ55+BZ82)*(BZ$4&gt;In_COD)</f>
        <v>2353.10749812935</v>
      </c>
      <c r="CA83" s="47" t="n">
        <f aca="false">(CA79+CA55+CA82)*(CA$4&gt;In_COD)</f>
        <v>2337.74403860303</v>
      </c>
      <c r="CB83" s="47" t="n">
        <f aca="false">(CB79+CB55+CB82)*(CB$4&gt;In_COD)</f>
        <v>2335.92912005953</v>
      </c>
      <c r="CC83" s="47" t="n">
        <f aca="false">(CC79+CC55+CC82)*(CC$4&gt;In_COD)</f>
        <v>2359.35906564039</v>
      </c>
      <c r="CD83" s="47" t="n">
        <f aca="false">(CD79+CD55+CD82)*(CD$4&gt;In_COD)</f>
        <v>2349.66949554647</v>
      </c>
      <c r="CE83" s="47" t="n">
        <f aca="false">(CE79+CE55+CE82)*(CE$4&gt;In_COD)</f>
        <v>2308.66229969657</v>
      </c>
      <c r="CF83" s="47" t="n">
        <f aca="false">(CF79+CF55+CF82)*(CF$4&gt;In_COD)</f>
        <v>2332.08900548745</v>
      </c>
      <c r="CG83" s="47" t="n">
        <f aca="false">(CG79+CG55+CG82)*(CG$4&gt;In_COD)</f>
        <v>2355.46920380181</v>
      </c>
      <c r="CH83" s="47" t="n">
        <f aca="false">(CH79+CH55+CH82)*(CH$4&gt;In_COD)</f>
        <v>2345.64124129108</v>
      </c>
      <c r="CI83" s="47" t="n">
        <f aca="false">(CI79+CI55+CI82)*(CI$4&gt;In_COD)</f>
        <v>2304.24976072737</v>
      </c>
      <c r="CJ83" s="47" t="n">
        <f aca="false">(CJ79+CJ55+CJ82)*(CJ$4&gt;In_COD)</f>
        <v>2327.62098848109</v>
      </c>
      <c r="CK83" s="47" t="n">
        <f aca="false">(CK79+CK55+CK82)*(CK$4&gt;In_COD)</f>
        <v>2350.94460411565</v>
      </c>
      <c r="CL83" s="47" t="n">
        <f aca="false">(CL79+CL55+CL82)*(CL$4&gt;In_COD)</f>
        <v>2340.97414109978</v>
      </c>
      <c r="CM83" s="47" t="n">
        <f aca="false">(CM79+CM55+CM82)*(CM$4&gt;In_COD)</f>
        <v>2299.1915702188</v>
      </c>
      <c r="CN83" s="47" t="n">
        <f aca="false">(CN79+CN55+CN82)*(CN$4&gt;In_COD)</f>
        <v>2322.50025606377</v>
      </c>
      <c r="CO83" s="47" t="n">
        <f aca="false">(CO79+CO55+CO82)*(CO$4&gt;In_COD)</f>
        <v>2345.76018102896</v>
      </c>
      <c r="CP83" s="47" t="n">
        <f aca="false">(CP79+CP55+CP82)*(CP$4&gt;In_COD)</f>
        <v>2335.64293473771</v>
      </c>
      <c r="CQ83" s="47" t="n">
        <f aca="false">(CQ79+CQ55+CQ82)*(CQ$4&gt;In_COD)</f>
        <v>2318.87087972587</v>
      </c>
      <c r="CR83" s="47" t="n">
        <f aca="false">(CR79+CR55+CR82)*(CR$4&gt;In_COD)</f>
        <v>2316.67608310741</v>
      </c>
      <c r="CS83" s="47" t="n">
        <f aca="false">(CS79+CS55+CS82)*(CS$4&gt;In_COD)</f>
        <v>2339.86463874142</v>
      </c>
      <c r="CT83" s="47" t="n">
        <f aca="false">(CT79+CT55+CT82)*(CT$4&gt;In_COD)</f>
        <v>2329.59585287149</v>
      </c>
      <c r="CU83" s="47" t="n">
        <f aca="false">(CU79+CU55+CU82)*(CU$4&gt;In_COD)</f>
        <v>2289.29840831076</v>
      </c>
      <c r="CV83" s="47" t="n">
        <f aca="false">(CV79+CV55+CV82)*(CV$4&gt;In_COD)</f>
        <v>2314.73505729199</v>
      </c>
      <c r="CW83" s="47" t="n">
        <f aca="false">(CW79+CW55+CW82)*(CW$4&gt;In_COD)</f>
        <v>2340.17170627322</v>
      </c>
      <c r="CX83" s="47" t="n">
        <f aca="false">(CX79+CX55+CX82)*(CX$4&gt;In_COD)</f>
        <v>2332.12566741845</v>
      </c>
      <c r="CY83" s="47" t="n">
        <f aca="false">(CY79+CY55+CY82)*(CY$4&gt;In_COD)</f>
        <v>2291.52460580205</v>
      </c>
      <c r="CZ83" s="47" t="n">
        <f aca="false">(CZ79+CZ55+CZ82)*(CZ$4&gt;In_COD)</f>
        <v>2316.98599031096</v>
      </c>
      <c r="DA83" s="47" t="n">
        <f aca="false">(DA79+DA55+DA82)*(DA$4&gt;In_COD)</f>
        <v>2342.44737481988</v>
      </c>
      <c r="DB83" s="47" t="n">
        <f aca="false">(DB79+DB55+DB82)*(DB$4&gt;In_COD)</f>
        <v>2127.75796595667</v>
      </c>
      <c r="DC83" s="47" t="n">
        <f aca="false">(DC79+DC55+DC82)*(DC$4&gt;In_COD)</f>
        <v>2091.34156892558</v>
      </c>
      <c r="DD83" s="47" t="n">
        <f aca="false">(DD79+DD55+DD82)*(DD$4&gt;In_COD)</f>
        <v>2114.5786974692</v>
      </c>
      <c r="DE83" s="47" t="n">
        <f aca="false">(DE79+DE55+DE82)*(DE$4&gt;In_COD)</f>
        <v>2137.81582601281</v>
      </c>
      <c r="DF83" s="47" t="n">
        <f aca="false">(DF79+DF55+DF82)*(DF$4&gt;In_COD)</f>
        <v>2129.67377475099</v>
      </c>
      <c r="DG83" s="47" t="n">
        <f aca="false">(DG79+DG55+DG82)*(DG$4&gt;In_COD)</f>
        <v>2116.20284972323</v>
      </c>
      <c r="DH83" s="47" t="n">
        <f aca="false">(DH79+DH55+DH82)*(DH$4&gt;In_COD)</f>
        <v>2116.20284972323</v>
      </c>
      <c r="DI83" s="47" t="n">
        <f aca="false">(DI79+DI55+DI82)*(DI$4&gt;In_COD)</f>
        <v>2139.45782609381</v>
      </c>
      <c r="DJ83" s="47" t="n">
        <f aca="false">(DJ79+DJ55+DJ82)*(DJ$4&gt;In_COD)</f>
        <v>2131.26763373715</v>
      </c>
      <c r="DK83" s="47" t="n">
        <f aca="false">(DK79+DK55+DK82)*(DK$4&gt;In_COD)</f>
        <v>2094.22922134031</v>
      </c>
      <c r="DL83" s="47" t="n">
        <f aca="false">(DL79+DL55+DL82)*(DL$4&gt;In_COD)</f>
        <v>2117.49843491076</v>
      </c>
      <c r="DM83" s="47" t="n">
        <f aca="false">(DM79+DM55+DM82)*(DM$4&gt;In_COD)</f>
        <v>2140.76764848121</v>
      </c>
      <c r="DN83" s="47" t="n">
        <f aca="false">(DN79+DN55+DN82)*(DN$4&gt;In_COD)</f>
        <v>2132.52923118543</v>
      </c>
      <c r="DO83" s="47" t="n">
        <f aca="false">(DO79+DO55+DO82)*(DO$4&gt;In_COD)</f>
        <v>2095.17525809415</v>
      </c>
      <c r="DP83" s="47" t="n">
        <f aca="false">(DP79+DP55+DP82)*(DP$4&gt;In_COD)</f>
        <v>2118.45498318409</v>
      </c>
      <c r="DQ83" s="47" t="n">
        <f aca="false">(DQ79+DQ55+DQ82)*(DQ$4&gt;In_COD)</f>
        <v>2141.73470827402</v>
      </c>
      <c r="DR83" s="47" t="n">
        <f aca="false">(DR79+DR55+DR82)*(DR$4&gt;In_COD)</f>
        <v>2133.4479869401</v>
      </c>
      <c r="DS83" s="47" t="n">
        <f aca="false">(DS79+DS55+DS82)*(DS$4&gt;In_COD)</f>
        <v>2095.77535956</v>
      </c>
      <c r="DT83" s="47" t="n">
        <f aca="false">(DT79+DT55+DT82)*(DT$4&gt;In_COD)</f>
        <v>2119.061752444</v>
      </c>
      <c r="DU83" s="47" t="n">
        <f aca="false">(DU79+DU55+DU82)*(DU$4&gt;In_COD)</f>
        <v>2142.348145328</v>
      </c>
      <c r="DV83" s="47" t="n">
        <f aca="false">(DV79+DV55+DV82)*(DV$4&gt;In_COD)</f>
        <v>2134.01304575269</v>
      </c>
      <c r="DW83" s="47" t="n">
        <f aca="false">(DW79+DW55+DW82)*(DW$4&gt;In_COD)</f>
        <v>2119.30772157993</v>
      </c>
      <c r="DX83" s="47" t="n">
        <f aca="false">(DX79+DX55+DX82)*(DX$4&gt;In_COD)</f>
        <v>2119.30772157993</v>
      </c>
      <c r="DY83" s="47" t="n">
        <f aca="false">(DY79+DY55+DY82)*(DY$4&gt;In_COD)</f>
        <v>2142.59681742147</v>
      </c>
      <c r="DZ83" s="47" t="n">
        <f aca="false">(DZ79+DZ55+DZ82)*(DZ$4&gt;In_COD)</f>
        <v>2134.2132704514</v>
      </c>
      <c r="EA83" s="47" t="n">
        <f aca="false">(EA79+EA55+EA82)*(EA$4&gt;In_COD)</f>
        <v>2095.89387383467</v>
      </c>
      <c r="EB83" s="47" t="n">
        <f aca="false">(EB79+EB55+EB82)*(EB$4&gt;In_COD)</f>
        <v>2119.18158354395</v>
      </c>
      <c r="EC83" s="47" t="n">
        <f aca="false">(EC79+EC55+EC82)*(EC$4&gt;In_COD)</f>
        <v>2142.46929325322</v>
      </c>
      <c r="ED83" s="47" t="n">
        <f aca="false">(ED79+ED55+ED82)*(ED$4&gt;In_COD)</f>
        <v>2134.03723494271</v>
      </c>
      <c r="EE83" s="47" t="n">
        <f aca="false">(EE79+EE55+EE82)*(EE$4&gt;In_COD)</f>
        <v>2095.38963124086</v>
      </c>
      <c r="EF83" s="47" t="n">
        <f aca="false">(EF79+EF55+EF82)*(EF$4&gt;In_COD)</f>
        <v>2118.67173825464</v>
      </c>
      <c r="EG83" s="47" t="n">
        <f aca="false">(EG79+EG55+EG82)*(EG$4&gt;In_COD)</f>
        <v>2141.95384526843</v>
      </c>
      <c r="EH83" s="47" t="n">
        <f aca="false">(EH79+EH55+EH82)*(EH$4&gt;In_COD)</f>
        <v>2133.47321704111</v>
      </c>
      <c r="EI83" s="47" t="n">
        <f aca="false">(EI79+EI55+EI82)*(EI$4&gt;In_COD)</f>
        <v>2094.49412834513</v>
      </c>
      <c r="EJ83" s="47" t="n">
        <f aca="false">(EJ79+EJ55+EJ82)*(EJ$4&gt;In_COD)</f>
        <v>2117.76628532674</v>
      </c>
      <c r="EK83" s="47" t="n">
        <f aca="false">(EK79+EK55+EK82)*(EK$4&gt;In_COD)</f>
        <v>2141.03844230835</v>
      </c>
      <c r="EL83" s="47" t="n">
        <f aca="false">(EL79+EL55+EL82)*(EL$4&gt;In_COD)</f>
        <v>2132.50919112262</v>
      </c>
      <c r="EM83" s="47" t="n">
        <f aca="false">(EM79+EM55+EM82)*(EM$4&gt;In_COD)</f>
        <v>2116.45301662203</v>
      </c>
      <c r="EN83" s="47" t="n">
        <f aca="false">(EN79+EN55+EN82)*(EN$4&gt;In_COD)</f>
        <v>2116.45301662203</v>
      </c>
      <c r="EO83" s="47" t="n">
        <f aca="false">(EO79+EO55+EO82)*(EO$4&gt;In_COD)</f>
        <v>2139.71074207941</v>
      </c>
    </row>
    <row r="84" customFormat="false" ht="15" hidden="false" customHeight="false" outlineLevel="0" collapsed="false">
      <c r="C84" s="0" t="s">
        <v>447</v>
      </c>
      <c r="D84" s="11" t="s">
        <v>33</v>
      </c>
      <c r="E84" s="47" t="n">
        <f aca="false">SUMPRODUCT($J84:$EO84/$J21:$EO21)*$E21</f>
        <v>92452.5034441622</v>
      </c>
      <c r="I84" s="47" t="n">
        <f aca="false">SUM(J84:EO84)</f>
        <v>140688.605689726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1951.66479397809</v>
      </c>
      <c r="AA84" s="47" t="n">
        <f aca="false">AA83/In_DSCR*AA17</f>
        <v>1922.0345143165</v>
      </c>
      <c r="AB84" s="47" t="n">
        <f aca="false">AB83/In_DSCR*AB17</f>
        <v>1942.50876154349</v>
      </c>
      <c r="AC84" s="47" t="n">
        <f aca="false">AC83/In_DSCR*AC17</f>
        <v>1962.96818317065</v>
      </c>
      <c r="AD84" s="47" t="n">
        <f aca="false">AD83/In_DSCR*AD17</f>
        <v>1956.02488104633</v>
      </c>
      <c r="AE84" s="47" t="n">
        <f aca="false">AE83/In_DSCR*AE17</f>
        <v>1947.05843066267</v>
      </c>
      <c r="AF84" s="47" t="n">
        <f aca="false">AF83/In_DSCR*AF17</f>
        <v>1946.64473164748</v>
      </c>
      <c r="AG84" s="47" t="n">
        <f aca="false">AG83/In_DSCR*AG17</f>
        <v>1967.1451025818</v>
      </c>
      <c r="AH84" s="47" t="n">
        <f aca="false">AH83/In_DSCR*AH17</f>
        <v>1960.13762502674</v>
      </c>
      <c r="AI84" s="47" t="n">
        <f aca="false">AI83/In_DSCR*AI17</f>
        <v>1929.99372554635</v>
      </c>
      <c r="AJ84" s="47" t="n">
        <f aca="false">AJ83/In_DSCR*AJ17</f>
        <v>1976.10526539647</v>
      </c>
      <c r="AK84" s="47" t="n">
        <f aca="false">AK83/In_DSCR*AK17</f>
        <v>1996.91231387162</v>
      </c>
      <c r="AL84" s="47" t="n">
        <f aca="false">AL83/In_DSCR*AL17</f>
        <v>1965.19589479834</v>
      </c>
      <c r="AM84" s="47" t="n">
        <f aca="false">AM83/In_DSCR*AM17</f>
        <v>1934.21766139853</v>
      </c>
      <c r="AN84" s="47" t="n">
        <f aca="false">AN83/In_DSCR*AN17</f>
        <v>1953.9194023248</v>
      </c>
      <c r="AO84" s="47" t="n">
        <f aca="false">AO83/In_DSCR*AO17</f>
        <v>1973.59050253417</v>
      </c>
      <c r="AP84" s="47" t="n">
        <f aca="false">AP83/In_DSCR*AP17</f>
        <v>1966.50920342487</v>
      </c>
      <c r="AQ84" s="47" t="n">
        <f aca="false">AQ83/In_DSCR*AQ17</f>
        <v>1935.26294428518</v>
      </c>
      <c r="AR84" s="47" t="n">
        <f aca="false">AR83/In_DSCR*AR17</f>
        <v>1954.97003687948</v>
      </c>
      <c r="AS84" s="47" t="n">
        <f aca="false">AS83/In_DSCR*AS17</f>
        <v>1974.64588166013</v>
      </c>
      <c r="AT84" s="47" t="n">
        <f aca="false">AT83/In_DSCR*AT17</f>
        <v>1967.47678133571</v>
      </c>
      <c r="AU84" s="47" t="n">
        <f aca="false">AU83/In_DSCR*AU17</f>
        <v>1956.66810318868</v>
      </c>
      <c r="AV84" s="47" t="n">
        <f aca="false">AV83/In_DSCR*AV17</f>
        <v>1955.64670279623</v>
      </c>
      <c r="AW84" s="47" t="n">
        <f aca="false">AW83/In_DSCR*AW17</f>
        <v>1975.32321969891</v>
      </c>
      <c r="AX84" s="47" t="n">
        <f aca="false">AX83/In_DSCR*AX17</f>
        <v>1968.06380668731</v>
      </c>
      <c r="AY84" s="47" t="n">
        <f aca="false">AY83/In_DSCR*AY17</f>
        <v>1936.26891436208</v>
      </c>
      <c r="AZ84" s="47" t="n">
        <f aca="false">AZ83/In_DSCR*AZ17</f>
        <v>1955.97486635565</v>
      </c>
      <c r="BA84" s="47" t="n">
        <f aca="false">BA83/In_DSCR*BA17</f>
        <v>1975.64828471584</v>
      </c>
      <c r="BB84" s="47" t="n">
        <f aca="false">BB83/In_DSCR*BB17</f>
        <v>1968.2964174567</v>
      </c>
      <c r="BC84" s="47" t="n">
        <f aca="false">BC83/In_DSCR*BC17</f>
        <v>1936.22090479296</v>
      </c>
      <c r="BD84" s="47" t="n">
        <f aca="false">BD83/In_DSCR*BD17</f>
        <v>1955.92027997219</v>
      </c>
      <c r="BE84" s="47" t="n">
        <f aca="false">BE83/In_DSCR*BE17</f>
        <v>1975.58644338322</v>
      </c>
      <c r="BF84" s="47" t="n">
        <f aca="false">BF83/In_DSCR*BF17</f>
        <v>1968.13965652747</v>
      </c>
      <c r="BG84" s="47" t="n">
        <f aca="false">BG83/In_DSCR*BG17</f>
        <v>1935.77907914802</v>
      </c>
      <c r="BH84" s="47" t="n">
        <f aca="false">BH83/In_DSCR*BH17</f>
        <v>1955.46757887448</v>
      </c>
      <c r="BI84" s="47" t="n">
        <f aca="false">BI83/In_DSCR*BI17</f>
        <v>1975.12216290105</v>
      </c>
      <c r="BJ84" s="47" t="n">
        <f aca="false">BJ83/In_DSCR*BJ17</f>
        <v>1967.57788932057</v>
      </c>
      <c r="BK84" s="47" t="n">
        <f aca="false">BK83/In_DSCR*BK17</f>
        <v>1955.82618910473</v>
      </c>
      <c r="BL84" s="47" t="n">
        <f aca="false">BL83/In_DSCR*BL17</f>
        <v>1954.58028875839</v>
      </c>
      <c r="BM84" s="47" t="n">
        <f aca="false">BM83/In_DSCR*BM17</f>
        <v>1974.21855804532</v>
      </c>
      <c r="BN84" s="47" t="n">
        <f aca="false">BN83/In_DSCR*BN17</f>
        <v>1966.57388497735</v>
      </c>
      <c r="BO84" s="47" t="n">
        <f aca="false">BO83/In_DSCR*BO17</f>
        <v>1933.6290657967</v>
      </c>
      <c r="BP84" s="47" t="n">
        <f aca="false">BP83/In_DSCR*BP17</f>
        <v>1953.28197428268</v>
      </c>
      <c r="BQ84" s="47" t="n">
        <f aca="false">BQ83/In_DSCR*BQ17</f>
        <v>1972.89947429473</v>
      </c>
      <c r="BR84" s="47" t="n">
        <f aca="false">BR83/In_DSCR*BR17</f>
        <v>1965.15184492768</v>
      </c>
      <c r="BS84" s="47" t="n">
        <f aca="false">BS83/In_DSCR*BS17</f>
        <v>1931.90779720375</v>
      </c>
      <c r="BT84" s="47" t="n">
        <f aca="false">BT83/In_DSCR*BT17</f>
        <v>1951.53585658744</v>
      </c>
      <c r="BU84" s="47" t="n">
        <f aca="false">BU83/In_DSCR*BU17</f>
        <v>1971.12771885382</v>
      </c>
      <c r="BV84" s="47" t="n">
        <f aca="false">BV83/In_DSCR*BV17</f>
        <v>1963.27423149572</v>
      </c>
      <c r="BW84" s="47" t="n">
        <f aca="false">BW83/In_DSCR*BW17</f>
        <v>1929.72594566917</v>
      </c>
      <c r="BX84" s="47" t="n">
        <f aca="false">BX83/In_DSCR*BX17</f>
        <v>1949.32412302632</v>
      </c>
      <c r="BY84" s="47" t="n">
        <f aca="false">BY83/In_DSCR*BY17</f>
        <v>1968.88528383871</v>
      </c>
      <c r="BZ84" s="47" t="n">
        <f aca="false">BZ83/In_DSCR*BZ17</f>
        <v>1960.92291510779</v>
      </c>
      <c r="CA84" s="47" t="n">
        <f aca="false">CA83/In_DSCR*CA17</f>
        <v>1948.12003216919</v>
      </c>
      <c r="CB84" s="47" t="n">
        <f aca="false">CB83/In_DSCR*CB17</f>
        <v>1946.60760004961</v>
      </c>
      <c r="CC84" s="47" t="n">
        <f aca="false">CC83/In_DSCR*CC17</f>
        <v>1966.13255470032</v>
      </c>
      <c r="CD84" s="47" t="n">
        <f aca="false">CD83/In_DSCR*CD17</f>
        <v>1958.05791295539</v>
      </c>
      <c r="CE84" s="47" t="n">
        <f aca="false">CE83/In_DSCR*CE17</f>
        <v>1923.88524974714</v>
      </c>
      <c r="CF84" s="47" t="n">
        <f aca="false">CF83/In_DSCR*CF17</f>
        <v>1943.40750457288</v>
      </c>
      <c r="CG84" s="47" t="n">
        <f aca="false">CG83/In_DSCR*CG17</f>
        <v>1962.89100316818</v>
      </c>
      <c r="CH84" s="47" t="n">
        <f aca="false">CH83/In_DSCR*CH17</f>
        <v>1954.70103440923</v>
      </c>
      <c r="CI84" s="47" t="n">
        <f aca="false">CI83/In_DSCR*CI17</f>
        <v>1920.20813393948</v>
      </c>
      <c r="CJ84" s="47" t="n">
        <f aca="false">CJ83/In_DSCR*CJ17</f>
        <v>1939.68415706757</v>
      </c>
      <c r="CK84" s="47" t="n">
        <f aca="false">CK83/In_DSCR*CK17</f>
        <v>1959.12050342971</v>
      </c>
      <c r="CL84" s="47" t="n">
        <f aca="false">CL83/In_DSCR*CL17</f>
        <v>1950.81178424982</v>
      </c>
      <c r="CM84" s="47" t="n">
        <f aca="false">CM83/In_DSCR*CM17</f>
        <v>1915.99297518233</v>
      </c>
      <c r="CN84" s="47" t="n">
        <f aca="false">CN83/In_DSCR*CN17</f>
        <v>1935.41688005314</v>
      </c>
      <c r="CO84" s="47" t="n">
        <f aca="false">CO83/In_DSCR*CO17</f>
        <v>1954.80015085747</v>
      </c>
      <c r="CP84" s="47" t="n">
        <f aca="false">CP83/In_DSCR*CP17</f>
        <v>1946.36911228143</v>
      </c>
      <c r="CQ84" s="47" t="n">
        <f aca="false">CQ83/In_DSCR*CQ17</f>
        <v>1932.39239977156</v>
      </c>
      <c r="CR84" s="47" t="n">
        <f aca="false">CR83/In_DSCR*CR17</f>
        <v>1930.56340258951</v>
      </c>
      <c r="CS84" s="47" t="n">
        <f aca="false">CS83/In_DSCR*CS17</f>
        <v>1949.88719895118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448</v>
      </c>
      <c r="D85" s="11" t="s">
        <v>27</v>
      </c>
      <c r="E85" s="33" t="n">
        <f aca="false">MIN(In_Gearing,$E84/-$E66)</f>
        <v>0.55</v>
      </c>
      <c r="F85" s="33" t="n">
        <f aca="false">$E85*-$E66/$E84</f>
        <v>0.628820560369525</v>
      </c>
    </row>
    <row r="87" customFormat="false" ht="15" hidden="false" customHeight="false" outlineLevel="0" collapsed="false">
      <c r="A87" s="9" t="s">
        <v>13</v>
      </c>
      <c r="B87" s="9"/>
      <c r="C87" s="9" t="s">
        <v>335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449</v>
      </c>
      <c r="D88" s="11" t="s">
        <v>33</v>
      </c>
      <c r="I88" s="47" t="n">
        <f aca="false">SUM(J88:EO88)</f>
        <v>-30331.8528440977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-726.700437791545</v>
      </c>
      <c r="AA88" s="47" t="n">
        <f aca="false">-Z94*$F21*(AA$4&gt;In_COD)</f>
        <v>-720.443606396404</v>
      </c>
      <c r="AB88" s="47" t="n">
        <f aca="false">-AA94*$F21*(AB$4&gt;In_COD)</f>
        <v>-714.341466222084</v>
      </c>
      <c r="AC88" s="47" t="n">
        <f aca="false">-AB94*$F21*(AC$4&gt;In_COD)</f>
        <v>-708.002116450403</v>
      </c>
      <c r="AD88" s="47" t="n">
        <f aca="false">-AC94*$F21*(AD$4&gt;In_COD)</f>
        <v>-701.422708494422</v>
      </c>
      <c r="AE88" s="47" t="n">
        <f aca="false">-AD94*$F21*(AE$4&gt;In_COD)</f>
        <v>-694.815634078149</v>
      </c>
      <c r="AF88" s="47" t="n">
        <f aca="false">-AE94*$F21*(AF$4&gt;In_COD)</f>
        <v>-688.196449836107</v>
      </c>
      <c r="AG88" s="47" t="n">
        <f aca="false">-AF94*$F21*(AG$4&gt;In_COD)</f>
        <v>-681.497777571621</v>
      </c>
      <c r="AH88" s="47" t="n">
        <f aca="false">-AG94*$F21*(AH$4&gt;In_COD)</f>
        <v>-674.554233719596</v>
      </c>
      <c r="AI88" s="47" t="n">
        <f aca="false">-AH94*$F21*(AI$4&gt;In_COD)</f>
        <v>-667.578976143957</v>
      </c>
      <c r="AJ88" s="47" t="n">
        <f aca="false">-AI94*$F21*(AJ$4&gt;In_COD)</f>
        <v>-660.75346664566</v>
      </c>
      <c r="AK88" s="47" t="n">
        <f aca="false">-AJ94*$F21*(AK$4&gt;In_COD)</f>
        <v>-653.480189724533</v>
      </c>
      <c r="AL88" s="47" t="n">
        <f aca="false">-AK94*$F21*(AL$4&gt;In_COD)</f>
        <v>-645.95244809337</v>
      </c>
      <c r="AM88" s="47" t="n">
        <f aca="false">-AL94*$F21*(AM$4&gt;In_COD)</f>
        <v>-638.579908897</v>
      </c>
      <c r="AN88" s="47" t="n">
        <f aca="false">-AM94*$F21*(AN$4&gt;In_COD)</f>
        <v>-631.358709836747</v>
      </c>
      <c r="AO88" s="47" t="n">
        <f aca="false">-AN94*$F21*(AO$4&gt;In_COD)</f>
        <v>-623.892385041122</v>
      </c>
      <c r="AP88" s="47" t="n">
        <f aca="false">-AO94*$F21*(AP$4&gt;In_COD)</f>
        <v>-616.178111282342</v>
      </c>
      <c r="AQ88" s="47" t="n">
        <f aca="false">-AP94*$F21*(AQ$4&gt;In_COD)</f>
        <v>-608.423069932503</v>
      </c>
      <c r="AR88" s="47" t="n">
        <f aca="false">-AQ94*$F21*(AR$4&gt;In_COD)</f>
        <v>-600.816694193062</v>
      </c>
      <c r="AS88" s="47" t="n">
        <f aca="false">-AR94*$F21*(AS$4&gt;In_COD)</f>
        <v>-592.960335944273</v>
      </c>
      <c r="AT88" s="47" t="n">
        <f aca="false">-AS94*$F21*(AT$4&gt;In_COD)</f>
        <v>-584.851116020615</v>
      </c>
      <c r="AU88" s="47" t="n">
        <f aca="false">-AT94*$F21*(AU$4&gt;In_COD)</f>
        <v>-576.696881818953</v>
      </c>
      <c r="AV88" s="47" t="n">
        <f aca="false">-AU94*$F21*(AV$4&gt;In_COD)</f>
        <v>-568.525678677887</v>
      </c>
      <c r="AW88" s="47" t="n">
        <f aca="false">-AV94*$F21*(AW$4&gt;In_COD)</f>
        <v>-560.260363967146</v>
      </c>
      <c r="AX88" s="47" t="n">
        <f aca="false">-AW94*$F21*(AX$4&gt;In_COD)</f>
        <v>-551.73707034271</v>
      </c>
      <c r="AY88" s="47" t="n">
        <f aca="false">-AX94*$F21*(AY$4&gt;In_COD)</f>
        <v>-543.164296399943</v>
      </c>
      <c r="AZ88" s="47" t="n">
        <f aca="false">-AY94*$F21*(AZ$4&gt;In_COD)</f>
        <v>-534.734278808001</v>
      </c>
      <c r="BA88" s="47" t="n">
        <f aca="false">-AZ94*$F21*(BA$4&gt;In_COD)</f>
        <v>-526.04399214897</v>
      </c>
      <c r="BB88" s="47" t="n">
        <f aca="false">-BA94*$F21*(BB$4&gt;In_COD)</f>
        <v>-517.090438782231</v>
      </c>
      <c r="BC88" s="47" t="n">
        <f aca="false">-BB94*$F21*(BC$4&gt;In_COD)</f>
        <v>-508.082753564529</v>
      </c>
      <c r="BD88" s="47" t="n">
        <f aca="false">-BC94*$F21*(BD$4&gt;In_COD)</f>
        <v>-499.214594054696</v>
      </c>
      <c r="BE88" s="47" t="n">
        <f aca="false">-BD94*$F21*(BE$4&gt;In_COD)</f>
        <v>-490.080740399252</v>
      </c>
      <c r="BF88" s="47" t="n">
        <f aca="false">-BE94*$F21*(BF$4&gt;In_COD)</f>
        <v>-480.678132474409</v>
      </c>
      <c r="BG88" s="47" t="n">
        <f aca="false">-BF94*$F21*(BG$4&gt;In_COD)</f>
        <v>-471.216525609051</v>
      </c>
      <c r="BH88" s="47" t="n">
        <f aca="false">-BG94*$F21*(BH$4&gt;In_COD)</f>
        <v>-461.891011112896</v>
      </c>
      <c r="BI88" s="47" t="n">
        <f aca="false">-BH94*$F21*(BI$4&gt;In_COD)</f>
        <v>-452.294171017653</v>
      </c>
      <c r="BJ88" s="47" t="n">
        <f aca="false">-BI94*$F21*(BJ$4&gt;In_COD)</f>
        <v>-442.422880339453</v>
      </c>
      <c r="BK88" s="47" t="n">
        <f aca="false">-BJ94*$F21*(BK$4&gt;In_COD)</f>
        <v>-432.48749845703</v>
      </c>
      <c r="BL88" s="47" t="n">
        <f aca="false">-BK94*$F21*(BL$4&gt;In_COD)</f>
        <v>-422.520295685015</v>
      </c>
      <c r="BM88" s="47" t="n">
        <f aca="false">-BL94*$F21*(BM$4&gt;In_COD)</f>
        <v>-412.438295975274</v>
      </c>
      <c r="BN88" s="47" t="n">
        <f aca="false">-BM94*$F21*(BN$4&gt;In_COD)</f>
        <v>-402.075909425441</v>
      </c>
      <c r="BO88" s="47" t="n">
        <f aca="false">-BN94*$F21*(BO$4&gt;In_COD)</f>
        <v>-391.644082138765</v>
      </c>
      <c r="BP88" s="47" t="n">
        <f aca="false">-BO94*$F21*(BP$4&gt;In_COD)</f>
        <v>-381.340811756736</v>
      </c>
      <c r="BQ88" s="47" t="n">
        <f aca="false">-BP94*$F21*(BQ$4&gt;In_COD)</f>
        <v>-370.754273583343</v>
      </c>
      <c r="BR88" s="47" t="n">
        <f aca="false">-BQ94*$F21*(BR$4&gt;In_COD)</f>
        <v>-359.8812050909</v>
      </c>
      <c r="BS88" s="47" t="n">
        <f aca="false">-BR94*$F21*(BS$4&gt;In_COD)</f>
        <v>-348.933121600304</v>
      </c>
      <c r="BT88" s="47" t="n">
        <f aca="false">-BS94*$F21*(BT$4&gt;In_COD)</f>
        <v>-338.109493825059</v>
      </c>
      <c r="BU88" s="47" t="n">
        <f aca="false">-BT94*$F21*(BU$4&gt;In_COD)</f>
        <v>-326.996289111365</v>
      </c>
      <c r="BV88" s="47" t="n">
        <f aca="false">-BU94*$F21*(BV$4&gt;In_COD)</f>
        <v>-315.590172266138</v>
      </c>
      <c r="BW88" s="47" t="n">
        <f aca="false">-BV94*$F21*(BW$4&gt;In_COD)</f>
        <v>-304.103209389362</v>
      </c>
      <c r="BX88" s="47" t="n">
        <f aca="false">-BW94*$F21*(BX$4&gt;In_COD)</f>
        <v>-292.736357625288</v>
      </c>
      <c r="BY88" s="47" t="n">
        <f aca="false">-BX94*$F21*(BY$4&gt;In_COD)</f>
        <v>-281.073373503313</v>
      </c>
      <c r="BZ88" s="47" t="n">
        <f aca="false">-BY94*$F21*(BZ$4&gt;In_COD)</f>
        <v>-269.11084632852</v>
      </c>
      <c r="CA88" s="47" t="n">
        <f aca="false">-BZ94*$F21*(CA$4&gt;In_COD)</f>
        <v>-257.061373828633</v>
      </c>
      <c r="CB88" s="47" t="n">
        <f aca="false">-CA94*$F21*(CB$4&gt;In_COD)</f>
        <v>-244.961916872794</v>
      </c>
      <c r="CC88" s="47" t="n">
        <f aca="false">-CB94*$F21*(CC$4&gt;In_COD)</f>
        <v>-232.723104810169</v>
      </c>
      <c r="CD88" s="47" t="n">
        <f aca="false">-CC94*$F21*(CD$4&gt;In_COD)</f>
        <v>-220.177836435204</v>
      </c>
      <c r="CE88" s="47" t="n">
        <f aca="false">-CD94*$F21*(CE$4&gt;In_COD)</f>
        <v>-207.539220964886</v>
      </c>
      <c r="CF88" s="47" t="n">
        <f aca="false">-CE94*$F21*(CF$4&gt;In_COD)</f>
        <v>-195.011228716539</v>
      </c>
      <c r="CG88" s="47" t="n">
        <f aca="false">-CF94*$F21*(CG$4&gt;In_COD)</f>
        <v>-182.173186624848</v>
      </c>
      <c r="CH88" s="47" t="n">
        <f aca="false">-CG94*$F21*(CH$4&gt;In_COD)</f>
        <v>-169.021523700702</v>
      </c>
      <c r="CI88" s="47" t="n">
        <f aca="false">-CH94*$F21*(CI$4&gt;In_COD)</f>
        <v>-155.769840249309</v>
      </c>
      <c r="CJ88" s="47" t="n">
        <f aca="false">-CI94*$F21*(CJ$4&gt;In_COD)</f>
        <v>-142.623633817301</v>
      </c>
      <c r="CK88" s="47" t="n">
        <f aca="false">-CJ94*$F21*(CK$4&gt;In_COD)</f>
        <v>-129.160013257679</v>
      </c>
      <c r="CL88" s="47" t="n">
        <f aca="false">-CK94*$F21*(CL$4&gt;In_COD)</f>
        <v>-115.375322763423</v>
      </c>
      <c r="CM88" s="47" t="n">
        <f aca="false">-CL94*$F21*(CM$4&gt;In_COD)</f>
        <v>-101.483632306123</v>
      </c>
      <c r="CN88" s="47" t="n">
        <f aca="false">-CM94*$F21*(CN$4&gt;In_COD)</f>
        <v>-87.6919805059717</v>
      </c>
      <c r="CO88" s="47" t="n">
        <f aca="false">-CN94*$F21*(CO$4&gt;In_COD)</f>
        <v>-73.5752561740006</v>
      </c>
      <c r="CP88" s="47" t="n">
        <f aca="false">-CO94*$F21*(CP$4&gt;In_COD)</f>
        <v>-59.1297152977678</v>
      </c>
      <c r="CQ88" s="47" t="n">
        <f aca="false">-CP94*$F21*(CQ$4&gt;In_COD)</f>
        <v>-44.5698752906056</v>
      </c>
      <c r="CR88" s="47" t="n">
        <f aca="false">-CQ94*$F21*(CR$4&gt;In_COD)</f>
        <v>-29.9378978357611</v>
      </c>
      <c r="CS88" s="47" t="n">
        <f aca="false">-CR94*$F21*(CS$4&gt;In_COD)</f>
        <v>-15.1373970506427</v>
      </c>
      <c r="CT88" s="47" t="n">
        <f aca="false">-CS94*$F21*(CT$4&gt;In_COD)</f>
        <v>-2.66879851551494E-012</v>
      </c>
      <c r="CU88" s="47" t="n">
        <f aca="false">-CT94*$F21*(CU$4&gt;In_COD)</f>
        <v>-2.70215849695887E-012</v>
      </c>
      <c r="CV88" s="47" t="n">
        <f aca="false">-CU94*$F21*(CV$4&gt;In_COD)</f>
        <v>-2.73593547817086E-012</v>
      </c>
      <c r="CW88" s="47" t="n">
        <f aca="false">-CV94*$F21*(CW$4&gt;In_COD)</f>
        <v>-2.77013467164799E-012</v>
      </c>
      <c r="CX88" s="47" t="n">
        <f aca="false">-CW94*$F21*(CX$4&gt;In_COD)</f>
        <v>-2.8047613550436E-012</v>
      </c>
      <c r="CY88" s="47" t="n">
        <f aca="false">-CX94*$F21*(CY$4&gt;In_COD)</f>
        <v>-2.83982087198164E-012</v>
      </c>
      <c r="CZ88" s="47" t="n">
        <f aca="false">-CY94*$F21*(CZ$4&gt;In_COD)</f>
        <v>-2.87531863288141E-012</v>
      </c>
      <c r="DA88" s="47" t="n">
        <f aca="false">-CZ94*$F21*(DA$4&gt;In_COD)</f>
        <v>-2.91126011579243E-012</v>
      </c>
      <c r="DB88" s="47" t="n">
        <f aca="false">-DA94*$F21*(DB$4&gt;In_COD)</f>
        <v>-2.94765086723983E-012</v>
      </c>
      <c r="DC88" s="47" t="n">
        <f aca="false">-DB94*$F21*(DC$4&gt;In_COD)</f>
        <v>-2.98449650308033E-012</v>
      </c>
      <c r="DD88" s="47" t="n">
        <f aca="false">-DC94*$F21*(DD$4&gt;In_COD)</f>
        <v>-3.02180270936884E-012</v>
      </c>
      <c r="DE88" s="47" t="n">
        <f aca="false">-DD94*$F21*(DE$4&gt;In_COD)</f>
        <v>-3.05957524323595E-012</v>
      </c>
      <c r="DF88" s="47" t="n">
        <f aca="false">-DE94*$F21*(DF$4&gt;In_COD)</f>
        <v>-3.0978199337764E-012</v>
      </c>
      <c r="DG88" s="47" t="n">
        <f aca="false">-DF94*$F21*(DG$4&gt;In_COD)</f>
        <v>-3.1365426829486E-012</v>
      </c>
      <c r="DH88" s="47" t="n">
        <f aca="false">-DG94*$F21*(DH$4&gt;In_COD)</f>
        <v>-3.17574946648546E-012</v>
      </c>
      <c r="DI88" s="47" t="n">
        <f aca="false">-DH94*$F21*(DI$4&gt;In_COD)</f>
        <v>-3.21544633481653E-012</v>
      </c>
      <c r="DJ88" s="47" t="n">
        <f aca="false">-DI94*$F21*(DJ$4&gt;In_COD)</f>
        <v>-3.25563941400173E-012</v>
      </c>
      <c r="DK88" s="47" t="n">
        <f aca="false">-DJ94*$F21*(DK$4&gt;In_COD)</f>
        <v>-3.29633490667675E-012</v>
      </c>
      <c r="DL88" s="47" t="n">
        <f aca="false">-DK94*$F21*(DL$4&gt;In_COD)</f>
        <v>-3.33753909301021E-012</v>
      </c>
      <c r="DM88" s="47" t="n">
        <f aca="false">-DL94*$F21*(DM$4&gt;In_COD)</f>
        <v>-3.37925833167284E-012</v>
      </c>
      <c r="DN88" s="47" t="n">
        <f aca="false">-DM94*$F21*(DN$4&gt;In_COD)</f>
        <v>-3.42149906081875E-012</v>
      </c>
      <c r="DO88" s="47" t="n">
        <f aca="false">-DN94*$F21*(DO$4&gt;In_COD)</f>
        <v>-3.46426779907899E-012</v>
      </c>
      <c r="DP88" s="47" t="n">
        <f aca="false">-DO94*$F21*(DP$4&gt;In_COD)</f>
        <v>-3.50757114656747E-012</v>
      </c>
      <c r="DQ88" s="47" t="n">
        <f aca="false">-DP94*$F21*(DQ$4&gt;In_COD)</f>
        <v>-3.55141578589957E-012</v>
      </c>
      <c r="DR88" s="47" t="n">
        <f aca="false">-DQ94*$F21*(DR$4&gt;In_COD)</f>
        <v>-3.59580848322331E-012</v>
      </c>
      <c r="DS88" s="47" t="n">
        <f aca="false">-DR94*$F21*(DS$4&gt;In_COD)</f>
        <v>-3.6407560892636E-012</v>
      </c>
      <c r="DT88" s="47" t="n">
        <f aca="false">-DS94*$F21*(DT$4&gt;In_COD)</f>
        <v>-3.6862655403794E-012</v>
      </c>
      <c r="DU88" s="47" t="n">
        <f aca="false">-DT94*$F21*(DU$4&gt;In_COD)</f>
        <v>-3.73234385963414E-012</v>
      </c>
      <c r="DV88" s="47" t="n">
        <f aca="false">-DU94*$F21*(DV$4&gt;In_COD)</f>
        <v>-3.77899815787957E-012</v>
      </c>
      <c r="DW88" s="47" t="n">
        <f aca="false">-DV94*$F21*(DW$4&gt;In_COD)</f>
        <v>-3.82623563485306E-012</v>
      </c>
      <c r="DX88" s="47" t="n">
        <f aca="false">-DW94*$F21*(DX$4&gt;In_COD)</f>
        <v>-3.87406358028872E-012</v>
      </c>
      <c r="DY88" s="47" t="n">
        <f aca="false">-DX94*$F21*(DY$4&gt;In_COD)</f>
        <v>-3.92248937504233E-012</v>
      </c>
      <c r="DZ88" s="47" t="n">
        <f aca="false">-DY94*$F21*(DZ$4&gt;In_COD)</f>
        <v>-3.97152049223036E-012</v>
      </c>
      <c r="EA88" s="47" t="n">
        <f aca="false">-DZ94*$F21*(EA$4&gt;In_COD)</f>
        <v>-4.02116449838324E-012</v>
      </c>
      <c r="EB88" s="47" t="n">
        <f aca="false">-EA94*$F21*(EB$4&gt;In_COD)</f>
        <v>-4.07142905461303E-012</v>
      </c>
      <c r="EC88" s="47" t="n">
        <f aca="false">-EB94*$F21*(EC$4&gt;In_COD)</f>
        <v>-4.1223219177957E-012</v>
      </c>
      <c r="ED88" s="47" t="n">
        <f aca="false">-EC94*$F21*(ED$4&gt;In_COD)</f>
        <v>-4.17385094176814E-012</v>
      </c>
      <c r="EE88" s="47" t="n">
        <f aca="false">-ED94*$F21*(EE$4&gt;In_COD)</f>
        <v>-4.22602407854024E-012</v>
      </c>
      <c r="EF88" s="47" t="n">
        <f aca="false">-EE94*$F21*(EF$4&gt;In_COD)</f>
        <v>-4.278849379522E-012</v>
      </c>
      <c r="EG88" s="47" t="n">
        <f aca="false">-EF94*$F21*(EG$4&gt;In_COD)</f>
        <v>-4.33233499676602E-012</v>
      </c>
      <c r="EH88" s="47" t="n">
        <f aca="false">-EG94*$F21*(EH$4&gt;In_COD)</f>
        <v>-4.3864891842256E-012</v>
      </c>
      <c r="EI88" s="47" t="n">
        <f aca="false">-EH94*$F21*(EI$4&gt;In_COD)</f>
        <v>-4.44132029902842E-012</v>
      </c>
      <c r="EJ88" s="47" t="n">
        <f aca="false">-EI94*$F21*(EJ$4&gt;In_COD)</f>
        <v>-4.49683680276627E-012</v>
      </c>
      <c r="EK88" s="47" t="n">
        <f aca="false">-EJ94*$F21*(EK$4&gt;In_COD)</f>
        <v>-4.55304726280085E-012</v>
      </c>
      <c r="EL88" s="47" t="n">
        <f aca="false">-EK94*$F21*(EL$4&gt;In_COD)</f>
        <v>-4.60996035358586E-012</v>
      </c>
      <c r="EM88" s="47" t="n">
        <f aca="false">-EL94*$F21*(EM$4&gt;In_COD)</f>
        <v>-4.66758485800568E-012</v>
      </c>
      <c r="EN88" s="47" t="n">
        <f aca="false">-EM94*$F21*(EN$4&gt;In_COD)</f>
        <v>-4.72592966873076E-012</v>
      </c>
      <c r="EO88" s="47" t="n">
        <f aca="false">-EN94*$F21*(EO$4&gt;In_COD)</f>
        <v>-4.78500378958989E-012</v>
      </c>
    </row>
    <row r="89" customFormat="false" ht="15" hidden="false" customHeight="false" outlineLevel="0" collapsed="false">
      <c r="C89" s="0" t="s">
        <v>450</v>
      </c>
      <c r="D89" s="11" t="s">
        <v>33</v>
      </c>
      <c r="I89" s="47" t="n">
        <f aca="false">SUM(J89:EO89)</f>
        <v>-88467.8878674208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-1227.24694940278</v>
      </c>
      <c r="AA89" s="47" t="n">
        <f aca="false">-AA84*$F85</f>
        <v>-1208.61482034207</v>
      </c>
      <c r="AB89" s="47" t="n">
        <f aca="false">-AB84*$F85</f>
        <v>-1221.48944795649</v>
      </c>
      <c r="AC89" s="47" t="n">
        <f aca="false">-AC84*$F85</f>
        <v>-1234.35475292891</v>
      </c>
      <c r="AD89" s="47" t="n">
        <f aca="false">-AD84*$F85</f>
        <v>-1229.98866179629</v>
      </c>
      <c r="AE89" s="47" t="n">
        <f aca="false">-AE84*$F85</f>
        <v>-1224.35037344151</v>
      </c>
      <c r="AF89" s="47" t="n">
        <f aca="false">-AF84*$F85</f>
        <v>-1224.09023099495</v>
      </c>
      <c r="AG89" s="47" t="n">
        <f aca="false">-AG84*$F85</f>
        <v>-1236.98128573365</v>
      </c>
      <c r="AH89" s="47" t="n">
        <f aca="false">-AH84*$F85</f>
        <v>-1232.57483977071</v>
      </c>
      <c r="AI89" s="47" t="n">
        <f aca="false">-AI84*$F85</f>
        <v>-1213.61973600772</v>
      </c>
      <c r="AJ89" s="47" t="n">
        <f aca="false">-AJ84*$F85</f>
        <v>-1242.61562033578</v>
      </c>
      <c r="AK89" s="47" t="n">
        <f aca="false">-AK84*$F85</f>
        <v>-1255.69952021756</v>
      </c>
      <c r="AL89" s="47" t="n">
        <f aca="false">-AL84*$F85</f>
        <v>-1235.75558380298</v>
      </c>
      <c r="AM89" s="47" t="n">
        <f aca="false">-AM84*$F85</f>
        <v>-1216.27583371726</v>
      </c>
      <c r="AN89" s="47" t="n">
        <f aca="false">-AN84*$F85</f>
        <v>-1228.66469348677</v>
      </c>
      <c r="AO89" s="47" t="n">
        <f aca="false">-AO84*$F85</f>
        <v>-1241.03428574351</v>
      </c>
      <c r="AP89" s="47" t="n">
        <f aca="false">-AP84*$F85</f>
        <v>-1236.58141926946</v>
      </c>
      <c r="AQ89" s="47" t="n">
        <f aca="false">-AQ84*$F85</f>
        <v>-1216.93312908779</v>
      </c>
      <c r="AR89" s="47" t="n">
        <f aca="false">-AR84*$F85</f>
        <v>-1229.32535409619</v>
      </c>
      <c r="AS89" s="47" t="n">
        <f aca="false">-AS84*$F85</f>
        <v>-1241.6979298369</v>
      </c>
      <c r="AT89" s="47" t="n">
        <f aca="false">-AT84*$F85</f>
        <v>-1237.18985215355</v>
      </c>
      <c r="AU89" s="47" t="n">
        <f aca="false">-AU84*$F85</f>
        <v>-1230.39313310428</v>
      </c>
      <c r="AV89" s="47" t="n">
        <f aca="false">-AV84*$F85</f>
        <v>-1229.75085553714</v>
      </c>
      <c r="AW89" s="47" t="n">
        <f aca="false">-AW84*$F85</f>
        <v>-1242.12385392201</v>
      </c>
      <c r="AX89" s="47" t="n">
        <f aca="false">-AX84*$F85</f>
        <v>-1237.55898576409</v>
      </c>
      <c r="AY89" s="47" t="n">
        <f aca="false">-AY84*$F85</f>
        <v>-1217.56570375525</v>
      </c>
      <c r="AZ89" s="47" t="n">
        <f aca="false">-AZ84*$F85</f>
        <v>-1229.95721153047</v>
      </c>
      <c r="BA89" s="47" t="n">
        <f aca="false">-BA84*$F85</f>
        <v>-1242.32826148811</v>
      </c>
      <c r="BB89" s="47" t="n">
        <f aca="false">-BB84*$F85</f>
        <v>-1237.70525619845</v>
      </c>
      <c r="BC89" s="47" t="n">
        <f aca="false">-BC84*$F85</f>
        <v>-1217.5355143511</v>
      </c>
      <c r="BD89" s="47" t="n">
        <f aca="false">-BD84*$F85</f>
        <v>-1229.92288649023</v>
      </c>
      <c r="BE89" s="47" t="n">
        <f aca="false">-BE84*$F85</f>
        <v>-1242.28937438667</v>
      </c>
      <c r="BF89" s="47" t="n">
        <f aca="false">-BF84*$F85</f>
        <v>-1237.60668170309</v>
      </c>
      <c r="BG89" s="47" t="n">
        <f aca="false">-BG84*$F85</f>
        <v>-1217.25768530146</v>
      </c>
      <c r="BH89" s="47" t="n">
        <f aca="false">-BH84*$F85</f>
        <v>-1229.63821873229</v>
      </c>
      <c r="BI89" s="47" t="n">
        <f aca="false">-BI84*$F85</f>
        <v>-1241.99742527371</v>
      </c>
      <c r="BJ89" s="47" t="n">
        <f aca="false">-BJ84*$F85</f>
        <v>-1237.25343093325</v>
      </c>
      <c r="BK89" s="47" t="n">
        <f aca="false">-BK84*$F85</f>
        <v>-1229.86372021823</v>
      </c>
      <c r="BL89" s="47" t="n">
        <f aca="false">-BL84*$F85</f>
        <v>-1229.08027246428</v>
      </c>
      <c r="BM89" s="47" t="n">
        <f aca="false">-BM84*$F85</f>
        <v>-1241.42921996198</v>
      </c>
      <c r="BN89" s="47" t="n">
        <f aca="false">-BN84*$F85</f>
        <v>-1236.62209235953</v>
      </c>
      <c r="BO89" s="47" t="n">
        <f aca="false">-BO84*$F85</f>
        <v>-1215.90571270108</v>
      </c>
      <c r="BP89" s="47" t="n">
        <f aca="false">-BP84*$F85</f>
        <v>-1228.26386562813</v>
      </c>
      <c r="BQ89" s="47" t="n">
        <f aca="false">-BQ84*$F85</f>
        <v>-1240.59975297875</v>
      </c>
      <c r="BR89" s="47" t="n">
        <f aca="false">-BR84*$F85</f>
        <v>-1235.72788433863</v>
      </c>
      <c r="BS89" s="47" t="n">
        <f aca="false">-BS84*$F85</f>
        <v>-1214.82334361992</v>
      </c>
      <c r="BT89" s="47" t="n">
        <f aca="false">-BT84*$F85</f>
        <v>-1227.16587092054</v>
      </c>
      <c r="BU89" s="47" t="n">
        <f aca="false">-BU84*$F85</f>
        <v>-1239.48563672956</v>
      </c>
      <c r="BV89" s="47" t="n">
        <f aca="false">-BV84*$F85</f>
        <v>-1234.54720240819</v>
      </c>
      <c r="BW89" s="47" t="n">
        <f aca="false">-BW84*$F85</f>
        <v>-1213.4513505153</v>
      </c>
      <c r="BX89" s="47" t="n">
        <f aca="false">-BX84*$F85</f>
        <v>-1225.77508738324</v>
      </c>
      <c r="BY89" s="47" t="n">
        <f aca="false">-BY84*$F85</f>
        <v>-1238.07554748677</v>
      </c>
      <c r="BZ89" s="47" t="n">
        <f aca="false">-BZ84*$F85</f>
        <v>-1233.06864631953</v>
      </c>
      <c r="CA89" s="47" t="n">
        <f aca="false">-CA84*$F85</f>
        <v>-1225.01793029573</v>
      </c>
      <c r="CB89" s="47" t="n">
        <f aca="false">-CB84*$F85</f>
        <v>-1224.06688188277</v>
      </c>
      <c r="CC89" s="47" t="n">
        <f aca="false">-CC84*$F85</f>
        <v>-1236.34457480742</v>
      </c>
      <c r="CD89" s="47" t="n">
        <f aca="false">-CD84*$F85</f>
        <v>-1231.26707406059</v>
      </c>
      <c r="CE89" s="47" t="n">
        <f aca="false">-CE84*$F85</f>
        <v>-1209.77860083266</v>
      </c>
      <c r="CF89" s="47" t="n">
        <f aca="false">-CF84*$F85</f>
        <v>-1222.05459605186</v>
      </c>
      <c r="CG89" s="47" t="n">
        <f aca="false">-CG84*$F85</f>
        <v>-1234.30622055651</v>
      </c>
      <c r="CH89" s="47" t="n">
        <f aca="false">-CH84*$F85</f>
        <v>-1229.1561998121</v>
      </c>
      <c r="CI89" s="47" t="n">
        <f aca="false">-CI84*$F85</f>
        <v>-1207.46635480994</v>
      </c>
      <c r="CJ89" s="47" t="n">
        <f aca="false">-CJ84*$F85</f>
        <v>-1219.71327858712</v>
      </c>
      <c r="CK89" s="47" t="n">
        <f aca="false">-CK84*$F85</f>
        <v>-1231.9352527981</v>
      </c>
      <c r="CL89" s="47" t="n">
        <f aca="false">-CL84*$F85</f>
        <v>-1226.71055934744</v>
      </c>
      <c r="CM89" s="47" t="n">
        <f aca="false">-CM84*$F85</f>
        <v>-1204.81577631823</v>
      </c>
      <c r="CN89" s="47" t="n">
        <f aca="false">-CN84*$F85</f>
        <v>-1217.02992706365</v>
      </c>
      <c r="CO89" s="47" t="n">
        <f aca="false">-CO84*$F85</f>
        <v>-1229.21852627263</v>
      </c>
      <c r="CP89" s="47" t="n">
        <f aca="false">-CP84*$F85</f>
        <v>-1223.91691587074</v>
      </c>
      <c r="CQ89" s="47" t="n">
        <f aca="false">-CQ84*$F85</f>
        <v>-1215.12807167816</v>
      </c>
      <c r="CR89" s="47" t="n">
        <f aca="false">-CR84*$F85</f>
        <v>-1213.97796064523</v>
      </c>
      <c r="CS89" s="47" t="n">
        <f aca="false">-CS84*$F85</f>
        <v>-1226.12916110185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451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6263.56952054795</v>
      </c>
      <c r="T90" s="18" t="n">
        <f aca="false">S94</f>
        <v>16954.4218381849</v>
      </c>
      <c r="U90" s="18" t="n">
        <f aca="false">T94</f>
        <v>23361.8393543129</v>
      </c>
      <c r="V90" s="18" t="n">
        <f aca="false">U94</f>
        <v>29917.4318667898</v>
      </c>
      <c r="W90" s="18" t="n">
        <f aca="false">V94</f>
        <v>36554.9692856726</v>
      </c>
      <c r="X90" s="18" t="n">
        <f aca="false">W94</f>
        <v>43139.3113674969</v>
      </c>
      <c r="Y90" s="18" t="n">
        <f aca="false">X94</f>
        <v>49874.0400027413</v>
      </c>
      <c r="Z90" s="18" t="n">
        <f aca="false">Y94</f>
        <v>58136.0350233236</v>
      </c>
      <c r="AA90" s="18" t="n">
        <f aca="false">Z94</f>
        <v>57635.4885117123</v>
      </c>
      <c r="AB90" s="18" t="n">
        <f aca="false">AA94</f>
        <v>57147.3172977667</v>
      </c>
      <c r="AC90" s="18" t="n">
        <f aca="false">AB94</f>
        <v>56640.1693160323</v>
      </c>
      <c r="AD90" s="18" t="n">
        <f aca="false">AC94</f>
        <v>56113.8166795537</v>
      </c>
      <c r="AE90" s="18" t="n">
        <f aca="false">AD94</f>
        <v>55585.2507262519</v>
      </c>
      <c r="AF90" s="18" t="n">
        <f aca="false">AE94</f>
        <v>55055.7159868885</v>
      </c>
      <c r="AG90" s="18" t="n">
        <f aca="false">AF94</f>
        <v>54519.8222057297</v>
      </c>
      <c r="AH90" s="18" t="n">
        <f aca="false">AG94</f>
        <v>53964.3386975676</v>
      </c>
      <c r="AI90" s="18" t="n">
        <f aca="false">AH94</f>
        <v>53406.3180915165</v>
      </c>
      <c r="AJ90" s="18" t="n">
        <f aca="false">AI94</f>
        <v>52860.2773316528</v>
      </c>
      <c r="AK90" s="18" t="n">
        <f aca="false">AJ94</f>
        <v>52278.4151779626</v>
      </c>
      <c r="AL90" s="18" t="n">
        <f aca="false">AK94</f>
        <v>51676.1958474696</v>
      </c>
      <c r="AM90" s="18" t="n">
        <f aca="false">AL94</f>
        <v>51086.39271176</v>
      </c>
      <c r="AN90" s="18" t="n">
        <f aca="false">AM94</f>
        <v>50508.6967869397</v>
      </c>
      <c r="AO90" s="18" t="n">
        <f aca="false">AN94</f>
        <v>49911.3908032897</v>
      </c>
      <c r="AP90" s="18" t="n">
        <f aca="false">AO94</f>
        <v>49294.2489025873</v>
      </c>
      <c r="AQ90" s="18" t="n">
        <f aca="false">AP94</f>
        <v>48673.8455946002</v>
      </c>
      <c r="AR90" s="18" t="n">
        <f aca="false">AQ94</f>
        <v>48065.3355354449</v>
      </c>
      <c r="AS90" s="18" t="n">
        <f aca="false">AR94</f>
        <v>47436.8268755418</v>
      </c>
      <c r="AT90" s="18" t="n">
        <f aca="false">AS94</f>
        <v>46788.0892816492</v>
      </c>
      <c r="AU90" s="18" t="n">
        <f aca="false">AT94</f>
        <v>46135.7505455162</v>
      </c>
      <c r="AV90" s="18" t="n">
        <f aca="false">AU94</f>
        <v>45482.0542942309</v>
      </c>
      <c r="AW90" s="18" t="n">
        <f aca="false">AV94</f>
        <v>44820.8291173717</v>
      </c>
      <c r="AX90" s="18" t="n">
        <f aca="false">AW94</f>
        <v>44138.9656274168</v>
      </c>
      <c r="AY90" s="18" t="n">
        <f aca="false">AX94</f>
        <v>43453.1437119954</v>
      </c>
      <c r="AZ90" s="18" t="n">
        <f aca="false">AY94</f>
        <v>42778.7423046401</v>
      </c>
      <c r="BA90" s="18" t="n">
        <f aca="false">AZ94</f>
        <v>42083.5193719176</v>
      </c>
      <c r="BB90" s="18" t="n">
        <f aca="false">BA94</f>
        <v>41367.2351025785</v>
      </c>
      <c r="BC90" s="18" t="n">
        <f aca="false">BB94</f>
        <v>40646.6202851623</v>
      </c>
      <c r="BD90" s="18" t="n">
        <f aca="false">BC94</f>
        <v>39937.1675243757</v>
      </c>
      <c r="BE90" s="18" t="n">
        <f aca="false">BD94</f>
        <v>39206.4592319402</v>
      </c>
      <c r="BF90" s="18" t="n">
        <f aca="false">BE94</f>
        <v>38454.2505979527</v>
      </c>
      <c r="BG90" s="18" t="n">
        <f aca="false">BF94</f>
        <v>37697.3220487241</v>
      </c>
      <c r="BH90" s="18" t="n">
        <f aca="false">BG94</f>
        <v>36951.2808890317</v>
      </c>
      <c r="BI90" s="18" t="n">
        <f aca="false">BH94</f>
        <v>36183.5336814123</v>
      </c>
      <c r="BJ90" s="18" t="n">
        <f aca="false">BI94</f>
        <v>35393.8304271562</v>
      </c>
      <c r="BK90" s="18" t="n">
        <f aca="false">BJ94</f>
        <v>34598.9998765624</v>
      </c>
      <c r="BL90" s="18" t="n">
        <f aca="false">BK94</f>
        <v>33801.6236548012</v>
      </c>
      <c r="BM90" s="18" t="n">
        <f aca="false">BL94</f>
        <v>32995.0636780219</v>
      </c>
      <c r="BN90" s="18" t="n">
        <f aca="false">BM94</f>
        <v>32166.0727540352</v>
      </c>
      <c r="BO90" s="18" t="n">
        <f aca="false">BN94</f>
        <v>31331.5265711012</v>
      </c>
      <c r="BP90" s="18" t="n">
        <f aca="false">BO94</f>
        <v>30507.2649405388</v>
      </c>
      <c r="BQ90" s="18" t="n">
        <f aca="false">BP94</f>
        <v>29660.3418866674</v>
      </c>
      <c r="BR90" s="18" t="n">
        <f aca="false">BQ94</f>
        <v>28790.496407272</v>
      </c>
      <c r="BS90" s="18" t="n">
        <f aca="false">BR94</f>
        <v>27914.6497280243</v>
      </c>
      <c r="BT90" s="18" t="n">
        <f aca="false">BS94</f>
        <v>27048.7595060047</v>
      </c>
      <c r="BU90" s="18" t="n">
        <f aca="false">BT94</f>
        <v>26159.7031289092</v>
      </c>
      <c r="BV90" s="18" t="n">
        <f aca="false">BU94</f>
        <v>25247.213781291</v>
      </c>
      <c r="BW90" s="18" t="n">
        <f aca="false">BV94</f>
        <v>24328.256751149</v>
      </c>
      <c r="BX90" s="18" t="n">
        <f aca="false">BW94</f>
        <v>23418.908610023</v>
      </c>
      <c r="BY90" s="18" t="n">
        <f aca="false">BX94</f>
        <v>22485.8698802651</v>
      </c>
      <c r="BZ90" s="18" t="n">
        <f aca="false">BY94</f>
        <v>21528.8677062816</v>
      </c>
      <c r="CA90" s="18" t="n">
        <f aca="false">BZ94</f>
        <v>20564.9099062906</v>
      </c>
      <c r="CB90" s="18" t="n">
        <f aca="false">CA94</f>
        <v>19596.9533498235</v>
      </c>
      <c r="CC90" s="18" t="n">
        <f aca="false">CB94</f>
        <v>18617.8483848135</v>
      </c>
      <c r="CD90" s="18" t="n">
        <f aca="false">CC94</f>
        <v>17614.2269148163</v>
      </c>
      <c r="CE90" s="18" t="n">
        <f aca="false">CD94</f>
        <v>16603.1376771909</v>
      </c>
      <c r="CF90" s="18" t="n">
        <f aca="false">CE94</f>
        <v>15600.8982973231</v>
      </c>
      <c r="CG90" s="18" t="n">
        <f aca="false">CF94</f>
        <v>14573.8549299878</v>
      </c>
      <c r="CH90" s="18" t="n">
        <f aca="false">CG94</f>
        <v>13521.7218960561</v>
      </c>
      <c r="CI90" s="18" t="n">
        <f aca="false">CH94</f>
        <v>12461.5872199447</v>
      </c>
      <c r="CJ90" s="18" t="n">
        <f aca="false">CI94</f>
        <v>11409.8907053841</v>
      </c>
      <c r="CK90" s="18" t="n">
        <f aca="false">CJ94</f>
        <v>10332.8010606143</v>
      </c>
      <c r="CL90" s="18" t="n">
        <f aca="false">CK94</f>
        <v>9230.02582107386</v>
      </c>
      <c r="CM90" s="18" t="n">
        <f aca="false">CL94</f>
        <v>8118.69058448984</v>
      </c>
      <c r="CN90" s="18" t="n">
        <f aca="false">CM94</f>
        <v>7015.35844047773</v>
      </c>
      <c r="CO90" s="18" t="n">
        <f aca="false">CN94</f>
        <v>5886.02049392005</v>
      </c>
      <c r="CP90" s="18" t="n">
        <f aca="false">CO94</f>
        <v>4730.37722382142</v>
      </c>
      <c r="CQ90" s="18" t="n">
        <f aca="false">CP94</f>
        <v>3565.59002324845</v>
      </c>
      <c r="CR90" s="18" t="n">
        <f aca="false">CQ94</f>
        <v>2395.03182686089</v>
      </c>
      <c r="CS90" s="18" t="n">
        <f aca="false">CR94</f>
        <v>1210.99176405142</v>
      </c>
      <c r="CT90" s="18" t="n">
        <f aca="false">CS94</f>
        <v>2.13503881241195E-010</v>
      </c>
      <c r="CU90" s="18" t="n">
        <f aca="false">CT94</f>
        <v>2.1617267975671E-010</v>
      </c>
      <c r="CV90" s="18" t="n">
        <f aca="false">CU94</f>
        <v>2.18874838253669E-010</v>
      </c>
      <c r="CW90" s="18" t="n">
        <f aca="false">CV94</f>
        <v>2.2161077373184E-010</v>
      </c>
      <c r="CX90" s="18" t="n">
        <f aca="false">CW94</f>
        <v>2.24380908403488E-010</v>
      </c>
      <c r="CY90" s="18" t="n">
        <f aca="false">CX94</f>
        <v>2.27185669758531E-010</v>
      </c>
      <c r="CZ90" s="18" t="n">
        <f aca="false">CY94</f>
        <v>2.30025490630513E-010</v>
      </c>
      <c r="DA90" s="18" t="n">
        <f aca="false">CZ94</f>
        <v>2.32900809263394E-010</v>
      </c>
      <c r="DB90" s="18" t="n">
        <f aca="false">DA94</f>
        <v>2.35812069379187E-010</v>
      </c>
      <c r="DC90" s="18" t="n">
        <f aca="false">DB94</f>
        <v>2.38759720246426E-010</v>
      </c>
      <c r="DD90" s="18" t="n">
        <f aca="false">DC94</f>
        <v>2.41744216749507E-010</v>
      </c>
      <c r="DE90" s="18" t="n">
        <f aca="false">DD94</f>
        <v>2.44766019458876E-010</v>
      </c>
      <c r="DF90" s="18" t="n">
        <f aca="false">DE94</f>
        <v>2.47825594702112E-010</v>
      </c>
      <c r="DG90" s="18" t="n">
        <f aca="false">DF94</f>
        <v>2.50923414635888E-010</v>
      </c>
      <c r="DH90" s="18" t="n">
        <f aca="false">DG94</f>
        <v>2.54059957318837E-010</v>
      </c>
      <c r="DI90" s="18" t="n">
        <f aca="false">DH94</f>
        <v>2.57235706785322E-010</v>
      </c>
      <c r="DJ90" s="18" t="n">
        <f aca="false">DI94</f>
        <v>2.60451153120139E-010</v>
      </c>
      <c r="DK90" s="18" t="n">
        <f aca="false">DJ94</f>
        <v>2.6370679253414E-010</v>
      </c>
      <c r="DL90" s="18" t="n">
        <f aca="false">DK94</f>
        <v>2.67003127440817E-010</v>
      </c>
      <c r="DM90" s="18" t="n">
        <f aca="false">DL94</f>
        <v>2.70340666533827E-010</v>
      </c>
      <c r="DN90" s="18" t="n">
        <f aca="false">DM94</f>
        <v>2.737199248655E-010</v>
      </c>
      <c r="DO90" s="18" t="n">
        <f aca="false">DN94</f>
        <v>2.77141423926319E-010</v>
      </c>
      <c r="DP90" s="18" t="n">
        <f aca="false">DO94</f>
        <v>2.80605691725398E-010</v>
      </c>
      <c r="DQ90" s="18" t="n">
        <f aca="false">DP94</f>
        <v>2.84113262871965E-010</v>
      </c>
      <c r="DR90" s="18" t="n">
        <f aca="false">DQ94</f>
        <v>2.87664678657865E-010</v>
      </c>
      <c r="DS90" s="18" t="n">
        <f aca="false">DR94</f>
        <v>2.91260487141088E-010</v>
      </c>
      <c r="DT90" s="18" t="n">
        <f aca="false">DS94</f>
        <v>2.94901243230352E-010</v>
      </c>
      <c r="DU90" s="18" t="n">
        <f aca="false">DT94</f>
        <v>2.98587508770731E-010</v>
      </c>
      <c r="DV90" s="18" t="n">
        <f aca="false">DU94</f>
        <v>3.02319852630365E-010</v>
      </c>
      <c r="DW90" s="18" t="n">
        <f aca="false">DV94</f>
        <v>3.06098850788245E-010</v>
      </c>
      <c r="DX90" s="18" t="n">
        <f aca="false">DW94</f>
        <v>3.09925086423098E-010</v>
      </c>
      <c r="DY90" s="18" t="n">
        <f aca="false">DX94</f>
        <v>3.13799150003387E-010</v>
      </c>
      <c r="DZ90" s="18" t="n">
        <f aca="false">DY94</f>
        <v>3.17721639378429E-010</v>
      </c>
      <c r="EA90" s="18" t="n">
        <f aca="false">DZ94</f>
        <v>3.21693159870659E-010</v>
      </c>
      <c r="EB90" s="18" t="n">
        <f aca="false">EA94</f>
        <v>3.25714324369043E-010</v>
      </c>
      <c r="EC90" s="18" t="n">
        <f aca="false">EB94</f>
        <v>3.29785753423656E-010</v>
      </c>
      <c r="ED90" s="18" t="n">
        <f aca="false">EC94</f>
        <v>3.33908075341451E-010</v>
      </c>
      <c r="EE90" s="18" t="n">
        <f aca="false">ED94</f>
        <v>3.38081926283219E-010</v>
      </c>
      <c r="EF90" s="18" t="n">
        <f aca="false">EE94</f>
        <v>3.4230795036176E-010</v>
      </c>
      <c r="EG90" s="18" t="n">
        <f aca="false">EF94</f>
        <v>3.46586799741282E-010</v>
      </c>
      <c r="EH90" s="18" t="n">
        <f aca="false">EG94</f>
        <v>3.50919134738048E-010</v>
      </c>
      <c r="EI90" s="18" t="n">
        <f aca="false">EH94</f>
        <v>3.55305623922273E-010</v>
      </c>
      <c r="EJ90" s="18" t="n">
        <f aca="false">EI94</f>
        <v>3.59746944221302E-010</v>
      </c>
      <c r="EK90" s="18" t="n">
        <f aca="false">EJ94</f>
        <v>3.64243781024068E-010</v>
      </c>
      <c r="EL90" s="18" t="n">
        <f aca="false">EK94</f>
        <v>3.68796828286869E-010</v>
      </c>
      <c r="EM90" s="18" t="n">
        <f aca="false">EL94</f>
        <v>3.73406788640455E-010</v>
      </c>
      <c r="EN90" s="18" t="n">
        <f aca="false">EM94</f>
        <v>3.7807437349846E-010</v>
      </c>
      <c r="EO90" s="18" t="n">
        <f aca="false">EN94</f>
        <v>3.82800303167191E-010</v>
      </c>
    </row>
    <row r="91" customFormat="false" ht="15" hidden="false" customHeight="false" outlineLevel="0" collapsed="false">
      <c r="C91" s="0" t="s">
        <v>452</v>
      </c>
      <c r="D91" s="11" t="s">
        <v>33</v>
      </c>
      <c r="I91" s="47" t="n">
        <f aca="false">SUM(J91:EO91)</f>
        <v>55560.2152328767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6263.56952054795</v>
      </c>
      <c r="S91" s="47" t="n">
        <f aca="false">-$E85*S66</f>
        <v>10612.5576986301</v>
      </c>
      <c r="T91" s="47" t="n">
        <f aca="false">-$E85*T66</f>
        <v>6195.48724315069</v>
      </c>
      <c r="U91" s="47" t="n">
        <f aca="false">-$E85*U66</f>
        <v>6263.56952054795</v>
      </c>
      <c r="V91" s="47" t="n">
        <f aca="false">-$E85*V66</f>
        <v>6263.56952054795</v>
      </c>
      <c r="W91" s="47" t="n">
        <f aca="false">-$E85*W66</f>
        <v>6127.40496575343</v>
      </c>
      <c r="X91" s="47" t="n">
        <f aca="false">-$E85*X66</f>
        <v>6195.48724315069</v>
      </c>
      <c r="Y91" s="47" t="n">
        <f aca="false">-$E85*Y66</f>
        <v>7638.56952054795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453</v>
      </c>
      <c r="D92" s="11" t="s">
        <v>33</v>
      </c>
      <c r="I92" s="47" t="n">
        <f aca="false">SUM(J92:EO92)</f>
        <v>2575.81979044683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78.2946190068494</v>
      </c>
      <c r="T92" s="47" t="n">
        <f aca="false">T90*$F21*(T$4&lt;=In_COD)</f>
        <v>211.930272977312</v>
      </c>
      <c r="U92" s="47" t="n">
        <f aca="false">U90*$F21*(U$4&lt;=In_COD)</f>
        <v>292.022991928912</v>
      </c>
      <c r="V92" s="47" t="n">
        <f aca="false">V90*$F21*(V$4&lt;=In_COD)</f>
        <v>373.967898334873</v>
      </c>
      <c r="W92" s="47" t="n">
        <f aca="false">W90*$F21*(W$4&lt;=In_COD)</f>
        <v>456.937116070908</v>
      </c>
      <c r="X92" s="47" t="n">
        <f aca="false">X90*$F21*(X$4&lt;=In_COD)</f>
        <v>539.241392093712</v>
      </c>
      <c r="Y92" s="47" t="n">
        <f aca="false">Y90*$F21*(Y$4&lt;=In_COD)</f>
        <v>623.425500034267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454</v>
      </c>
      <c r="D93" s="11" t="s">
        <v>33</v>
      </c>
      <c r="I93" s="47" t="n">
        <f aca="false">SUM(J93:EO93)</f>
        <v>-58136.0350233232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-500.546511611233</v>
      </c>
      <c r="AA93" s="47" t="n">
        <f aca="false">AA89-AA88</f>
        <v>-488.171213945664</v>
      </c>
      <c r="AB93" s="47" t="n">
        <f aca="false">AB89-AB88</f>
        <v>-507.147981734405</v>
      </c>
      <c r="AC93" s="47" t="n">
        <f aca="false">AC89-AC88</f>
        <v>-526.352636478511</v>
      </c>
      <c r="AD93" s="47" t="n">
        <f aca="false">AD89-AD88</f>
        <v>-528.565953301864</v>
      </c>
      <c r="AE93" s="47" t="n">
        <f aca="false">AE89-AE88</f>
        <v>-529.534739363363</v>
      </c>
      <c r="AF93" s="47" t="n">
        <f aca="false">AF89-AF88</f>
        <v>-535.893781158846</v>
      </c>
      <c r="AG93" s="47" t="n">
        <f aca="false">AG89-AG88</f>
        <v>-555.483508162034</v>
      </c>
      <c r="AH93" s="47" t="n">
        <f aca="false">AH89-AH88</f>
        <v>-558.020606051111</v>
      </c>
      <c r="AI93" s="47" t="n">
        <f aca="false">AI89-AI88</f>
        <v>-546.040759863766</v>
      </c>
      <c r="AJ93" s="47" t="n">
        <f aca="false">AJ89-AJ88</f>
        <v>-581.862153690121</v>
      </c>
      <c r="AK93" s="47" t="n">
        <f aca="false">AK89-AK88</f>
        <v>-602.219330493026</v>
      </c>
      <c r="AL93" s="47" t="n">
        <f aca="false">AL89-AL88</f>
        <v>-589.803135709612</v>
      </c>
      <c r="AM93" s="47" t="n">
        <f aca="false">AM89-AM88</f>
        <v>-577.695924820257</v>
      </c>
      <c r="AN93" s="47" t="n">
        <f aca="false">AN89-AN88</f>
        <v>-597.305983650023</v>
      </c>
      <c r="AO93" s="47" t="n">
        <f aca="false">AO89-AO88</f>
        <v>-617.141900702389</v>
      </c>
      <c r="AP93" s="47" t="n">
        <f aca="false">AP89-AP88</f>
        <v>-620.403307987115</v>
      </c>
      <c r="AQ93" s="47" t="n">
        <f aca="false">AQ89-AQ88</f>
        <v>-608.510059155282</v>
      </c>
      <c r="AR93" s="47" t="n">
        <f aca="false">AR89-AR88</f>
        <v>-628.508659903127</v>
      </c>
      <c r="AS93" s="47" t="n">
        <f aca="false">AS89-AS88</f>
        <v>-648.737593892627</v>
      </c>
      <c r="AT93" s="47" t="n">
        <f aca="false">AT89-AT88</f>
        <v>-652.338736132933</v>
      </c>
      <c r="AU93" s="47" t="n">
        <f aca="false">AU89-AU88</f>
        <v>-653.69625128533</v>
      </c>
      <c r="AV93" s="47" t="n">
        <f aca="false">AV89-AV88</f>
        <v>-661.225176859251</v>
      </c>
      <c r="AW93" s="47" t="n">
        <f aca="false">AW89-AW88</f>
        <v>-681.86348995486</v>
      </c>
      <c r="AX93" s="47" t="n">
        <f aca="false">AX89-AX88</f>
        <v>-685.821915421385</v>
      </c>
      <c r="AY93" s="47" t="n">
        <f aca="false">AY89-AY88</f>
        <v>-674.401407355311</v>
      </c>
      <c r="AZ93" s="47" t="n">
        <f aca="false">AZ89-AZ88</f>
        <v>-695.222932722468</v>
      </c>
      <c r="BA93" s="47" t="n">
        <f aca="false">BA89-BA88</f>
        <v>-716.284269339138</v>
      </c>
      <c r="BB93" s="47" t="n">
        <f aca="false">BB89-BB88</f>
        <v>-720.614817416218</v>
      </c>
      <c r="BC93" s="47" t="n">
        <f aca="false">BC89-BC88</f>
        <v>-709.452760786573</v>
      </c>
      <c r="BD93" s="47" t="n">
        <f aca="false">BD89-BD88</f>
        <v>-730.708292435538</v>
      </c>
      <c r="BE93" s="47" t="n">
        <f aca="false">BE89-BE88</f>
        <v>-752.208633987421</v>
      </c>
      <c r="BF93" s="47" t="n">
        <f aca="false">BF89-BF88</f>
        <v>-756.928549228681</v>
      </c>
      <c r="BG93" s="47" t="n">
        <f aca="false">BG89-BG88</f>
        <v>-746.04115969241</v>
      </c>
      <c r="BH93" s="47" t="n">
        <f aca="false">BH89-BH88</f>
        <v>-767.747207619394</v>
      </c>
      <c r="BI93" s="47" t="n">
        <f aca="false">BI89-BI88</f>
        <v>-789.703254256054</v>
      </c>
      <c r="BJ93" s="47" t="n">
        <f aca="false">BJ89-BJ88</f>
        <v>-794.830550593799</v>
      </c>
      <c r="BK93" s="47" t="n">
        <f aca="false">BK89-BK88</f>
        <v>-797.376221761198</v>
      </c>
      <c r="BL93" s="47" t="n">
        <f aca="false">BL89-BL88</f>
        <v>-806.559976779265</v>
      </c>
      <c r="BM93" s="47" t="n">
        <f aca="false">BM89-BM88</f>
        <v>-828.990923986701</v>
      </c>
      <c r="BN93" s="47" t="n">
        <f aca="false">BN89-BN88</f>
        <v>-834.54618293409</v>
      </c>
      <c r="BO93" s="47" t="n">
        <f aca="false">BO89-BO88</f>
        <v>-824.261630562319</v>
      </c>
      <c r="BP93" s="47" t="n">
        <f aca="false">BP89-BP88</f>
        <v>-846.923053871395</v>
      </c>
      <c r="BQ93" s="47" t="n">
        <f aca="false">BQ89-BQ88</f>
        <v>-869.84547939541</v>
      </c>
      <c r="BR93" s="47" t="n">
        <f aca="false">BR89-BR88</f>
        <v>-875.846679247729</v>
      </c>
      <c r="BS93" s="47" t="n">
        <f aca="false">BS89-BS88</f>
        <v>-865.890222019612</v>
      </c>
      <c r="BT93" s="47" t="n">
        <f aca="false">BT89-BT88</f>
        <v>-889.05637709548</v>
      </c>
      <c r="BU93" s="47" t="n">
        <f aca="false">BU89-BU88</f>
        <v>-912.489347618195</v>
      </c>
      <c r="BV93" s="47" t="n">
        <f aca="false">BV89-BV88</f>
        <v>-918.957030142049</v>
      </c>
      <c r="BW93" s="47" t="n">
        <f aca="false">BW89-BW88</f>
        <v>-909.348141125936</v>
      </c>
      <c r="BX93" s="47" t="n">
        <f aca="false">BX89-BX88</f>
        <v>-933.038729757956</v>
      </c>
      <c r="BY93" s="47" t="n">
        <f aca="false">BY89-BY88</f>
        <v>-957.002173983457</v>
      </c>
      <c r="BZ93" s="47" t="n">
        <f aca="false">BZ89-BZ88</f>
        <v>-963.957799991006</v>
      </c>
      <c r="CA93" s="47" t="n">
        <f aca="false">CA89-CA88</f>
        <v>-967.956556467095</v>
      </c>
      <c r="CB93" s="47" t="n">
        <f aca="false">CB89-CB88</f>
        <v>-979.104965009979</v>
      </c>
      <c r="CC93" s="47" t="n">
        <f aca="false">CC89-CC88</f>
        <v>-1003.62146999725</v>
      </c>
      <c r="CD93" s="47" t="n">
        <f aca="false">CD89-CD88</f>
        <v>-1011.08923762539</v>
      </c>
      <c r="CE93" s="47" t="n">
        <f aca="false">CE89-CE88</f>
        <v>-1002.23937986778</v>
      </c>
      <c r="CF93" s="47" t="n">
        <f aca="false">CF89-CF88</f>
        <v>-1027.04336733532</v>
      </c>
      <c r="CG93" s="47" t="n">
        <f aca="false">CG89-CG88</f>
        <v>-1052.13303393167</v>
      </c>
      <c r="CH93" s="47" t="n">
        <f aca="false">CH89-CH88</f>
        <v>-1060.1346761114</v>
      </c>
      <c r="CI93" s="47" t="n">
        <f aca="false">CI89-CI88</f>
        <v>-1051.69651456063</v>
      </c>
      <c r="CJ93" s="47" t="n">
        <f aca="false">CJ89-CJ88</f>
        <v>-1077.08964476982</v>
      </c>
      <c r="CK93" s="47" t="n">
        <f aca="false">CK89-CK88</f>
        <v>-1102.77523954042</v>
      </c>
      <c r="CL93" s="47" t="n">
        <f aca="false">CL89-CL88</f>
        <v>-1111.33523658402</v>
      </c>
      <c r="CM93" s="47" t="n">
        <f aca="false">CM89-CM88</f>
        <v>-1103.33214401211</v>
      </c>
      <c r="CN93" s="47" t="n">
        <f aca="false">CN89-CN88</f>
        <v>-1129.33794655768</v>
      </c>
      <c r="CO93" s="47" t="n">
        <f aca="false">CO89-CO88</f>
        <v>-1155.64327009863</v>
      </c>
      <c r="CP93" s="47" t="n">
        <f aca="false">CP89-CP88</f>
        <v>-1164.78720057298</v>
      </c>
      <c r="CQ93" s="47" t="n">
        <f aca="false">CQ89-CQ88</f>
        <v>-1170.55819638756</v>
      </c>
      <c r="CR93" s="47" t="n">
        <f aca="false">CR89-CR88</f>
        <v>-1184.04006280947</v>
      </c>
      <c r="CS93" s="47" t="n">
        <f aca="false">CS89-CS88</f>
        <v>-1210.9917640512</v>
      </c>
      <c r="CT93" s="47" t="n">
        <f aca="false">CT89-CT88</f>
        <v>2.66879851551494E-012</v>
      </c>
      <c r="CU93" s="47" t="n">
        <f aca="false">CU89-CU88</f>
        <v>2.70215849695887E-012</v>
      </c>
      <c r="CV93" s="47" t="n">
        <f aca="false">CV89-CV88</f>
        <v>2.73593547817086E-012</v>
      </c>
      <c r="CW93" s="47" t="n">
        <f aca="false">CW89-CW88</f>
        <v>2.77013467164799E-012</v>
      </c>
      <c r="CX93" s="47" t="n">
        <f aca="false">CX89-CX88</f>
        <v>2.8047613550436E-012</v>
      </c>
      <c r="CY93" s="47" t="n">
        <f aca="false">CY89-CY88</f>
        <v>2.83982087198164E-012</v>
      </c>
      <c r="CZ93" s="47" t="n">
        <f aca="false">CZ89-CZ88</f>
        <v>2.87531863288141E-012</v>
      </c>
      <c r="DA93" s="47" t="n">
        <f aca="false">DA89-DA88</f>
        <v>2.91126011579243E-012</v>
      </c>
      <c r="DB93" s="47" t="n">
        <f aca="false">DB89-DB88</f>
        <v>2.94765086723983E-012</v>
      </c>
      <c r="DC93" s="47" t="n">
        <f aca="false">DC89-DC88</f>
        <v>2.98449650308033E-012</v>
      </c>
      <c r="DD93" s="47" t="n">
        <f aca="false">DD89-DD88</f>
        <v>3.02180270936884E-012</v>
      </c>
      <c r="DE93" s="47" t="n">
        <f aca="false">DE89-DE88</f>
        <v>3.05957524323595E-012</v>
      </c>
      <c r="DF93" s="47" t="n">
        <f aca="false">DF89-DF88</f>
        <v>3.0978199337764E-012</v>
      </c>
      <c r="DG93" s="47" t="n">
        <f aca="false">DG89-DG88</f>
        <v>3.1365426829486E-012</v>
      </c>
      <c r="DH93" s="47" t="n">
        <f aca="false">DH89-DH88</f>
        <v>3.17574946648546E-012</v>
      </c>
      <c r="DI93" s="47" t="n">
        <f aca="false">DI89-DI88</f>
        <v>3.21544633481653E-012</v>
      </c>
      <c r="DJ93" s="47" t="n">
        <f aca="false">DJ89-DJ88</f>
        <v>3.25563941400173E-012</v>
      </c>
      <c r="DK93" s="47" t="n">
        <f aca="false">DK89-DK88</f>
        <v>3.29633490667675E-012</v>
      </c>
      <c r="DL93" s="47" t="n">
        <f aca="false">DL89-DL88</f>
        <v>3.33753909301021E-012</v>
      </c>
      <c r="DM93" s="47" t="n">
        <f aca="false">DM89-DM88</f>
        <v>3.37925833167284E-012</v>
      </c>
      <c r="DN93" s="47" t="n">
        <f aca="false">DN89-DN88</f>
        <v>3.42149906081875E-012</v>
      </c>
      <c r="DO93" s="47" t="n">
        <f aca="false">DO89-DO88</f>
        <v>3.46426779907899E-012</v>
      </c>
      <c r="DP93" s="47" t="n">
        <f aca="false">DP89-DP88</f>
        <v>3.50757114656747E-012</v>
      </c>
      <c r="DQ93" s="47" t="n">
        <f aca="false">DQ89-DQ88</f>
        <v>3.55141578589957E-012</v>
      </c>
      <c r="DR93" s="47" t="n">
        <f aca="false">DR89-DR88</f>
        <v>3.59580848322331E-012</v>
      </c>
      <c r="DS93" s="47" t="n">
        <f aca="false">DS89-DS88</f>
        <v>3.6407560892636E-012</v>
      </c>
      <c r="DT93" s="47" t="n">
        <f aca="false">DT89-DT88</f>
        <v>3.6862655403794E-012</v>
      </c>
      <c r="DU93" s="47" t="n">
        <f aca="false">DU89-DU88</f>
        <v>3.73234385963414E-012</v>
      </c>
      <c r="DV93" s="47" t="n">
        <f aca="false">DV89-DV88</f>
        <v>3.77899815787957E-012</v>
      </c>
      <c r="DW93" s="47" t="n">
        <f aca="false">DW89-DW88</f>
        <v>3.82623563485306E-012</v>
      </c>
      <c r="DX93" s="47" t="n">
        <f aca="false">DX89-DX88</f>
        <v>3.87406358028872E-012</v>
      </c>
      <c r="DY93" s="47" t="n">
        <f aca="false">DY89-DY88</f>
        <v>3.92248937504233E-012</v>
      </c>
      <c r="DZ93" s="47" t="n">
        <f aca="false">DZ89-DZ88</f>
        <v>3.97152049223036E-012</v>
      </c>
      <c r="EA93" s="47" t="n">
        <f aca="false">EA89-EA88</f>
        <v>4.02116449838324E-012</v>
      </c>
      <c r="EB93" s="47" t="n">
        <f aca="false">EB89-EB88</f>
        <v>4.07142905461303E-012</v>
      </c>
      <c r="EC93" s="47" t="n">
        <f aca="false">EC89-EC88</f>
        <v>4.1223219177957E-012</v>
      </c>
      <c r="ED93" s="47" t="n">
        <f aca="false">ED89-ED88</f>
        <v>4.17385094176814E-012</v>
      </c>
      <c r="EE93" s="47" t="n">
        <f aca="false">EE89-EE88</f>
        <v>4.22602407854024E-012</v>
      </c>
      <c r="EF93" s="47" t="n">
        <f aca="false">EF89-EF88</f>
        <v>4.278849379522E-012</v>
      </c>
      <c r="EG93" s="47" t="n">
        <f aca="false">EG89-EG88</f>
        <v>4.33233499676602E-012</v>
      </c>
      <c r="EH93" s="47" t="n">
        <f aca="false">EH89-EH88</f>
        <v>4.3864891842256E-012</v>
      </c>
      <c r="EI93" s="47" t="n">
        <f aca="false">EI89-EI88</f>
        <v>4.44132029902842E-012</v>
      </c>
      <c r="EJ93" s="47" t="n">
        <f aca="false">EJ89-EJ88</f>
        <v>4.49683680276627E-012</v>
      </c>
      <c r="EK93" s="47" t="n">
        <f aca="false">EK89-EK88</f>
        <v>4.55304726280085E-012</v>
      </c>
      <c r="EL93" s="47" t="n">
        <f aca="false">EL89-EL88</f>
        <v>4.60996035358586E-012</v>
      </c>
      <c r="EM93" s="47" t="n">
        <f aca="false">EM89-EM88</f>
        <v>4.66758485800568E-012</v>
      </c>
      <c r="EN93" s="47" t="n">
        <f aca="false">EN89-EN88</f>
        <v>4.72592966873076E-012</v>
      </c>
      <c r="EO93" s="47" t="n">
        <f aca="false">EO89-EO88</f>
        <v>4.78500378958989E-012</v>
      </c>
    </row>
    <row r="94" customFormat="false" ht="15" hidden="false" customHeight="false" outlineLevel="0" collapsed="false">
      <c r="C94" s="25" t="s">
        <v>455</v>
      </c>
      <c r="D94" s="11" t="s">
        <v>33</v>
      </c>
      <c r="E94" s="56" t="n">
        <f aca="false">SUMIF($J$4:$EO$4,In_COD,$J94:$EO94)</f>
        <v>58136.0350233236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6263.56952054795</v>
      </c>
      <c r="S94" s="56" t="n">
        <f aca="false">SUM(S90:S93)</f>
        <v>16954.4218381849</v>
      </c>
      <c r="T94" s="56" t="n">
        <f aca="false">SUM(T90:T93)</f>
        <v>23361.8393543129</v>
      </c>
      <c r="U94" s="56" t="n">
        <f aca="false">SUM(U90:U93)</f>
        <v>29917.4318667898</v>
      </c>
      <c r="V94" s="56" t="n">
        <f aca="false">SUM(V90:V93)</f>
        <v>36554.9692856726</v>
      </c>
      <c r="W94" s="56" t="n">
        <f aca="false">SUM(W90:W93)</f>
        <v>43139.3113674969</v>
      </c>
      <c r="X94" s="56" t="n">
        <f aca="false">SUM(X90:X93)</f>
        <v>49874.0400027413</v>
      </c>
      <c r="Y94" s="56" t="n">
        <f aca="false">SUM(Y90:Y93)</f>
        <v>58136.0350233236</v>
      </c>
      <c r="Z94" s="56" t="n">
        <f aca="false">SUM(Z90:Z93)</f>
        <v>57635.4885117123</v>
      </c>
      <c r="AA94" s="56" t="n">
        <f aca="false">SUM(AA90:AA93)</f>
        <v>57147.3172977667</v>
      </c>
      <c r="AB94" s="56" t="n">
        <f aca="false">SUM(AB90:AB93)</f>
        <v>56640.1693160323</v>
      </c>
      <c r="AC94" s="56" t="n">
        <f aca="false">SUM(AC90:AC93)</f>
        <v>56113.8166795537</v>
      </c>
      <c r="AD94" s="56" t="n">
        <f aca="false">SUM(AD90:AD93)</f>
        <v>55585.2507262519</v>
      </c>
      <c r="AE94" s="56" t="n">
        <f aca="false">SUM(AE90:AE93)</f>
        <v>55055.7159868885</v>
      </c>
      <c r="AF94" s="56" t="n">
        <f aca="false">SUM(AF90:AF93)</f>
        <v>54519.8222057297</v>
      </c>
      <c r="AG94" s="56" t="n">
        <f aca="false">SUM(AG90:AG93)</f>
        <v>53964.3386975676</v>
      </c>
      <c r="AH94" s="56" t="n">
        <f aca="false">SUM(AH90:AH93)</f>
        <v>53406.3180915165</v>
      </c>
      <c r="AI94" s="56" t="n">
        <f aca="false">SUM(AI90:AI93)</f>
        <v>52860.2773316528</v>
      </c>
      <c r="AJ94" s="56" t="n">
        <f aca="false">SUM(AJ90:AJ93)</f>
        <v>52278.4151779626</v>
      </c>
      <c r="AK94" s="56" t="n">
        <f aca="false">SUM(AK90:AK93)</f>
        <v>51676.1958474696</v>
      </c>
      <c r="AL94" s="56" t="n">
        <f aca="false">SUM(AL90:AL93)</f>
        <v>51086.39271176</v>
      </c>
      <c r="AM94" s="56" t="n">
        <f aca="false">SUM(AM90:AM93)</f>
        <v>50508.6967869397</v>
      </c>
      <c r="AN94" s="56" t="n">
        <f aca="false">SUM(AN90:AN93)</f>
        <v>49911.3908032897</v>
      </c>
      <c r="AO94" s="56" t="n">
        <f aca="false">SUM(AO90:AO93)</f>
        <v>49294.2489025873</v>
      </c>
      <c r="AP94" s="56" t="n">
        <f aca="false">SUM(AP90:AP93)</f>
        <v>48673.8455946002</v>
      </c>
      <c r="AQ94" s="56" t="n">
        <f aca="false">SUM(AQ90:AQ93)</f>
        <v>48065.3355354449</v>
      </c>
      <c r="AR94" s="56" t="n">
        <f aca="false">SUM(AR90:AR93)</f>
        <v>47436.8268755418</v>
      </c>
      <c r="AS94" s="56" t="n">
        <f aca="false">SUM(AS90:AS93)</f>
        <v>46788.0892816492</v>
      </c>
      <c r="AT94" s="56" t="n">
        <f aca="false">SUM(AT90:AT93)</f>
        <v>46135.7505455162</v>
      </c>
      <c r="AU94" s="56" t="n">
        <f aca="false">SUM(AU90:AU93)</f>
        <v>45482.0542942309</v>
      </c>
      <c r="AV94" s="56" t="n">
        <f aca="false">SUM(AV90:AV93)</f>
        <v>44820.8291173717</v>
      </c>
      <c r="AW94" s="56" t="n">
        <f aca="false">SUM(AW90:AW93)</f>
        <v>44138.9656274168</v>
      </c>
      <c r="AX94" s="56" t="n">
        <f aca="false">SUM(AX90:AX93)</f>
        <v>43453.1437119954</v>
      </c>
      <c r="AY94" s="56" t="n">
        <f aca="false">SUM(AY90:AY93)</f>
        <v>42778.7423046401</v>
      </c>
      <c r="AZ94" s="56" t="n">
        <f aca="false">SUM(AZ90:AZ93)</f>
        <v>42083.5193719176</v>
      </c>
      <c r="BA94" s="56" t="n">
        <f aca="false">SUM(BA90:BA93)</f>
        <v>41367.2351025785</v>
      </c>
      <c r="BB94" s="56" t="n">
        <f aca="false">SUM(BB90:BB93)</f>
        <v>40646.6202851623</v>
      </c>
      <c r="BC94" s="56" t="n">
        <f aca="false">SUM(BC90:BC93)</f>
        <v>39937.1675243757</v>
      </c>
      <c r="BD94" s="56" t="n">
        <f aca="false">SUM(BD90:BD93)</f>
        <v>39206.4592319402</v>
      </c>
      <c r="BE94" s="56" t="n">
        <f aca="false">SUM(BE90:BE93)</f>
        <v>38454.2505979527</v>
      </c>
      <c r="BF94" s="56" t="n">
        <f aca="false">SUM(BF90:BF93)</f>
        <v>37697.3220487241</v>
      </c>
      <c r="BG94" s="56" t="n">
        <f aca="false">SUM(BG90:BG93)</f>
        <v>36951.2808890317</v>
      </c>
      <c r="BH94" s="56" t="n">
        <f aca="false">SUM(BH90:BH93)</f>
        <v>36183.5336814123</v>
      </c>
      <c r="BI94" s="56" t="n">
        <f aca="false">SUM(BI90:BI93)</f>
        <v>35393.8304271562</v>
      </c>
      <c r="BJ94" s="56" t="n">
        <f aca="false">SUM(BJ90:BJ93)</f>
        <v>34598.9998765624</v>
      </c>
      <c r="BK94" s="56" t="n">
        <f aca="false">SUM(BK90:BK93)</f>
        <v>33801.6236548012</v>
      </c>
      <c r="BL94" s="56" t="n">
        <f aca="false">SUM(BL90:BL93)</f>
        <v>32995.0636780219</v>
      </c>
      <c r="BM94" s="56" t="n">
        <f aca="false">SUM(BM90:BM93)</f>
        <v>32166.0727540352</v>
      </c>
      <c r="BN94" s="56" t="n">
        <f aca="false">SUM(BN90:BN93)</f>
        <v>31331.5265711012</v>
      </c>
      <c r="BO94" s="56" t="n">
        <f aca="false">SUM(BO90:BO93)</f>
        <v>30507.2649405388</v>
      </c>
      <c r="BP94" s="56" t="n">
        <f aca="false">SUM(BP90:BP93)</f>
        <v>29660.3418866674</v>
      </c>
      <c r="BQ94" s="56" t="n">
        <f aca="false">SUM(BQ90:BQ93)</f>
        <v>28790.496407272</v>
      </c>
      <c r="BR94" s="56" t="n">
        <f aca="false">SUM(BR90:BR93)</f>
        <v>27914.6497280243</v>
      </c>
      <c r="BS94" s="56" t="n">
        <f aca="false">SUM(BS90:BS93)</f>
        <v>27048.7595060047</v>
      </c>
      <c r="BT94" s="56" t="n">
        <f aca="false">SUM(BT90:BT93)</f>
        <v>26159.7031289092</v>
      </c>
      <c r="BU94" s="56" t="n">
        <f aca="false">SUM(BU90:BU93)</f>
        <v>25247.213781291</v>
      </c>
      <c r="BV94" s="56" t="n">
        <f aca="false">SUM(BV90:BV93)</f>
        <v>24328.256751149</v>
      </c>
      <c r="BW94" s="56" t="n">
        <f aca="false">SUM(BW90:BW93)</f>
        <v>23418.908610023</v>
      </c>
      <c r="BX94" s="56" t="n">
        <f aca="false">SUM(BX90:BX93)</f>
        <v>22485.8698802651</v>
      </c>
      <c r="BY94" s="56" t="n">
        <f aca="false">SUM(BY90:BY93)</f>
        <v>21528.8677062816</v>
      </c>
      <c r="BZ94" s="56" t="n">
        <f aca="false">SUM(BZ90:BZ93)</f>
        <v>20564.9099062906</v>
      </c>
      <c r="CA94" s="56" t="n">
        <f aca="false">SUM(CA90:CA93)</f>
        <v>19596.9533498235</v>
      </c>
      <c r="CB94" s="56" t="n">
        <f aca="false">SUM(CB90:CB93)</f>
        <v>18617.8483848135</v>
      </c>
      <c r="CC94" s="56" t="n">
        <f aca="false">SUM(CC90:CC93)</f>
        <v>17614.2269148163</v>
      </c>
      <c r="CD94" s="56" t="n">
        <f aca="false">SUM(CD90:CD93)</f>
        <v>16603.1376771909</v>
      </c>
      <c r="CE94" s="56" t="n">
        <f aca="false">SUM(CE90:CE93)</f>
        <v>15600.8982973231</v>
      </c>
      <c r="CF94" s="56" t="n">
        <f aca="false">SUM(CF90:CF93)</f>
        <v>14573.8549299878</v>
      </c>
      <c r="CG94" s="56" t="n">
        <f aca="false">SUM(CG90:CG93)</f>
        <v>13521.7218960561</v>
      </c>
      <c r="CH94" s="56" t="n">
        <f aca="false">SUM(CH90:CH93)</f>
        <v>12461.5872199447</v>
      </c>
      <c r="CI94" s="56" t="n">
        <f aca="false">SUM(CI90:CI93)</f>
        <v>11409.8907053841</v>
      </c>
      <c r="CJ94" s="56" t="n">
        <f aca="false">SUM(CJ90:CJ93)</f>
        <v>10332.8010606143</v>
      </c>
      <c r="CK94" s="56" t="n">
        <f aca="false">SUM(CK90:CK93)</f>
        <v>9230.02582107386</v>
      </c>
      <c r="CL94" s="56" t="n">
        <f aca="false">SUM(CL90:CL93)</f>
        <v>8118.69058448984</v>
      </c>
      <c r="CM94" s="56" t="n">
        <f aca="false">SUM(CM90:CM93)</f>
        <v>7015.35844047773</v>
      </c>
      <c r="CN94" s="56" t="n">
        <f aca="false">SUM(CN90:CN93)</f>
        <v>5886.02049392005</v>
      </c>
      <c r="CO94" s="56" t="n">
        <f aca="false">SUM(CO90:CO93)</f>
        <v>4730.37722382142</v>
      </c>
      <c r="CP94" s="56" t="n">
        <f aca="false">SUM(CP90:CP93)</f>
        <v>3565.59002324845</v>
      </c>
      <c r="CQ94" s="56" t="n">
        <f aca="false">SUM(CQ90:CQ93)</f>
        <v>2395.03182686089</v>
      </c>
      <c r="CR94" s="56" t="n">
        <f aca="false">SUM(CR90:CR93)</f>
        <v>1210.99176405142</v>
      </c>
      <c r="CS94" s="56" t="n">
        <f aca="false">SUM(CS90:CS93)</f>
        <v>2.13503881241195E-010</v>
      </c>
      <c r="CT94" s="56" t="n">
        <f aca="false">SUM(CT90:CT93)</f>
        <v>2.1617267975671E-010</v>
      </c>
      <c r="CU94" s="56" t="n">
        <f aca="false">SUM(CU90:CU93)</f>
        <v>2.18874838253669E-010</v>
      </c>
      <c r="CV94" s="56" t="n">
        <f aca="false">SUM(CV90:CV93)</f>
        <v>2.2161077373184E-010</v>
      </c>
      <c r="CW94" s="56" t="n">
        <f aca="false">SUM(CW90:CW93)</f>
        <v>2.24380908403488E-010</v>
      </c>
      <c r="CX94" s="56" t="n">
        <f aca="false">SUM(CX90:CX93)</f>
        <v>2.27185669758531E-010</v>
      </c>
      <c r="CY94" s="56" t="n">
        <f aca="false">SUM(CY90:CY93)</f>
        <v>2.30025490630513E-010</v>
      </c>
      <c r="CZ94" s="56" t="n">
        <f aca="false">SUM(CZ90:CZ93)</f>
        <v>2.32900809263394E-010</v>
      </c>
      <c r="DA94" s="56" t="n">
        <f aca="false">SUM(DA90:DA93)</f>
        <v>2.35812069379187E-010</v>
      </c>
      <c r="DB94" s="56" t="n">
        <f aca="false">SUM(DB90:DB93)</f>
        <v>2.38759720246426E-010</v>
      </c>
      <c r="DC94" s="56" t="n">
        <f aca="false">SUM(DC90:DC93)</f>
        <v>2.41744216749507E-010</v>
      </c>
      <c r="DD94" s="56" t="n">
        <f aca="false">SUM(DD90:DD93)</f>
        <v>2.44766019458876E-010</v>
      </c>
      <c r="DE94" s="56" t="n">
        <f aca="false">SUM(DE90:DE93)</f>
        <v>2.47825594702112E-010</v>
      </c>
      <c r="DF94" s="56" t="n">
        <f aca="false">SUM(DF90:DF93)</f>
        <v>2.50923414635888E-010</v>
      </c>
      <c r="DG94" s="56" t="n">
        <f aca="false">SUM(DG90:DG93)</f>
        <v>2.54059957318837E-010</v>
      </c>
      <c r="DH94" s="56" t="n">
        <f aca="false">SUM(DH90:DH93)</f>
        <v>2.57235706785322E-010</v>
      </c>
      <c r="DI94" s="56" t="n">
        <f aca="false">SUM(DI90:DI93)</f>
        <v>2.60451153120139E-010</v>
      </c>
      <c r="DJ94" s="56" t="n">
        <f aca="false">SUM(DJ90:DJ93)</f>
        <v>2.6370679253414E-010</v>
      </c>
      <c r="DK94" s="56" t="n">
        <f aca="false">SUM(DK90:DK93)</f>
        <v>2.67003127440817E-010</v>
      </c>
      <c r="DL94" s="56" t="n">
        <f aca="false">SUM(DL90:DL93)</f>
        <v>2.70340666533827E-010</v>
      </c>
      <c r="DM94" s="56" t="n">
        <f aca="false">SUM(DM90:DM93)</f>
        <v>2.737199248655E-010</v>
      </c>
      <c r="DN94" s="56" t="n">
        <f aca="false">SUM(DN90:DN93)</f>
        <v>2.77141423926319E-010</v>
      </c>
      <c r="DO94" s="56" t="n">
        <f aca="false">SUM(DO90:DO93)</f>
        <v>2.80605691725398E-010</v>
      </c>
      <c r="DP94" s="56" t="n">
        <f aca="false">SUM(DP90:DP93)</f>
        <v>2.84113262871965E-010</v>
      </c>
      <c r="DQ94" s="56" t="n">
        <f aca="false">SUM(DQ90:DQ93)</f>
        <v>2.87664678657865E-010</v>
      </c>
      <c r="DR94" s="56" t="n">
        <f aca="false">SUM(DR90:DR93)</f>
        <v>2.91260487141088E-010</v>
      </c>
      <c r="DS94" s="56" t="n">
        <f aca="false">SUM(DS90:DS93)</f>
        <v>2.94901243230352E-010</v>
      </c>
      <c r="DT94" s="56" t="n">
        <f aca="false">SUM(DT90:DT93)</f>
        <v>2.98587508770731E-010</v>
      </c>
      <c r="DU94" s="56" t="n">
        <f aca="false">SUM(DU90:DU93)</f>
        <v>3.02319852630365E-010</v>
      </c>
      <c r="DV94" s="56" t="n">
        <f aca="false">SUM(DV90:DV93)</f>
        <v>3.06098850788245E-010</v>
      </c>
      <c r="DW94" s="56" t="n">
        <f aca="false">SUM(DW90:DW93)</f>
        <v>3.09925086423098E-010</v>
      </c>
      <c r="DX94" s="56" t="n">
        <f aca="false">SUM(DX90:DX93)</f>
        <v>3.13799150003387E-010</v>
      </c>
      <c r="DY94" s="56" t="n">
        <f aca="false">SUM(DY90:DY93)</f>
        <v>3.17721639378429E-010</v>
      </c>
      <c r="DZ94" s="56" t="n">
        <f aca="false">SUM(DZ90:DZ93)</f>
        <v>3.21693159870659E-010</v>
      </c>
      <c r="EA94" s="56" t="n">
        <f aca="false">SUM(EA90:EA93)</f>
        <v>3.25714324369043E-010</v>
      </c>
      <c r="EB94" s="56" t="n">
        <f aca="false">SUM(EB90:EB93)</f>
        <v>3.29785753423656E-010</v>
      </c>
      <c r="EC94" s="56" t="n">
        <f aca="false">SUM(EC90:EC93)</f>
        <v>3.33908075341451E-010</v>
      </c>
      <c r="ED94" s="56" t="n">
        <f aca="false">SUM(ED90:ED93)</f>
        <v>3.38081926283219E-010</v>
      </c>
      <c r="EE94" s="56" t="n">
        <f aca="false">SUM(EE90:EE93)</f>
        <v>3.4230795036176E-010</v>
      </c>
      <c r="EF94" s="56" t="n">
        <f aca="false">SUM(EF90:EF93)</f>
        <v>3.46586799741282E-010</v>
      </c>
      <c r="EG94" s="56" t="n">
        <f aca="false">SUM(EG90:EG93)</f>
        <v>3.50919134738048E-010</v>
      </c>
      <c r="EH94" s="56" t="n">
        <f aca="false">SUM(EH90:EH93)</f>
        <v>3.55305623922273E-010</v>
      </c>
      <c r="EI94" s="56" t="n">
        <f aca="false">SUM(EI90:EI93)</f>
        <v>3.59746944221302E-010</v>
      </c>
      <c r="EJ94" s="56" t="n">
        <f aca="false">SUM(EJ90:EJ93)</f>
        <v>3.64243781024068E-010</v>
      </c>
      <c r="EK94" s="56" t="n">
        <f aca="false">SUM(EK90:EK93)</f>
        <v>3.68796828286869E-010</v>
      </c>
      <c r="EL94" s="56" t="n">
        <f aca="false">SUM(EL90:EL93)</f>
        <v>3.73406788640455E-010</v>
      </c>
      <c r="EM94" s="56" t="n">
        <f aca="false">SUM(EM90:EM93)</f>
        <v>3.7807437349846E-010</v>
      </c>
      <c r="EN94" s="56" t="n">
        <f aca="false">SUM(EN90:EN93)</f>
        <v>3.82800303167191E-010</v>
      </c>
      <c r="EO94" s="56" t="n">
        <f aca="false">SUM(EO90:EO93)</f>
        <v>3.87585306956781E-010</v>
      </c>
    </row>
    <row r="95" customFormat="false" ht="15" hidden="false" customHeight="false" outlineLevel="0" collapsed="false">
      <c r="C95" s="0" t="s">
        <v>456</v>
      </c>
      <c r="D95" s="11" t="s">
        <v>33</v>
      </c>
      <c r="I95" s="47" t="n">
        <f aca="false">SUM(J95:EO95)</f>
        <v>-1017.38061290816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-1017.38061290816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457</v>
      </c>
      <c r="D96" s="11" t="s">
        <v>33</v>
      </c>
      <c r="I96" s="47" t="n">
        <f aca="false">SUM(J96:EO96)</f>
        <v>-548.095640244877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-126.037967706361</v>
      </c>
      <c r="S96" s="47" t="n">
        <f aca="false">-In_Commitment_Fee*($I91-SUM($J91:S91)+S91)*S$6*(S12&gt;0)</f>
        <v>-109.398035690373</v>
      </c>
      <c r="T96" s="47" t="n">
        <f aca="false">-In_Commitment_Fee*($I91-SUM($J91:T91)+T91)*T$6*(T12&gt;0)</f>
        <v>-86.8007344745731</v>
      </c>
      <c r="U96" s="47" t="n">
        <f aca="false">-In_Commitment_Fee*($I91-SUM($J91:U91)+U91)*U$6*(U12&gt;0)</f>
        <v>-73.7001683233252</v>
      </c>
      <c r="V96" s="47" t="n">
        <f aca="false">-In_Commitment_Fee*($I91-SUM($J91:V91)+V91)*V$6*(V12&gt;0)</f>
        <v>-59.4913037671233</v>
      </c>
      <c r="W96" s="47" t="n">
        <f aca="false">-In_Commitment_Fee*($I91-SUM($J91:W91)+W91)*W$6*(W12&gt;0)</f>
        <v>-44.29803835851</v>
      </c>
      <c r="X96" s="47" t="n">
        <f aca="false">-In_Commitment_Fee*($I91-SUM($J91:X91)+X91)*X$6*(X12&gt;0)</f>
        <v>-31.0413492862169</v>
      </c>
      <c r="Y96" s="47" t="n">
        <f aca="false">-In_Commitment_Fee*($I91-SUM($J91:Y91)+Y91)*Y$6*(Y12&gt;0)</f>
        <v>-17.3280426383937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458</v>
      </c>
      <c r="D97" s="11" t="s">
        <v>33</v>
      </c>
      <c r="E97" s="47" t="n">
        <f aca="false">-SUMIFS($J89:$EO89,$J$4:$EO$4,"&gt;"&amp;In_COD,$J$4:$EO$4,"&lt;="&amp;EDATE(In_COD,In_DSRA_Months))</f>
        <v>1227.24694940278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-1227.24694940278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1227.24694940278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459</v>
      </c>
      <c r="D98" s="11" t="s">
        <v>13</v>
      </c>
      <c r="E98" s="52" t="n">
        <f aca="false">MIN($J98:$EO98)</f>
        <v>1.90833454824509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1.90833454824509</v>
      </c>
      <c r="AA98" s="52" t="n">
        <f aca="false">IF(AA89&lt;0,AA83/-AA89,"")</f>
        <v>1.90833454824509</v>
      </c>
      <c r="AB98" s="52" t="n">
        <f aca="false">IF(AB89&lt;0,AB83/-AB89,"")</f>
        <v>1.90833454824509</v>
      </c>
      <c r="AC98" s="52" t="n">
        <f aca="false">IF(AC89&lt;0,AC83/-AC89,"")</f>
        <v>1.90833454824509</v>
      </c>
      <c r="AD98" s="52" t="n">
        <f aca="false">IF(AD89&lt;0,AD83/-AD89,"")</f>
        <v>1.90833454824509</v>
      </c>
      <c r="AE98" s="52" t="n">
        <f aca="false">IF(AE89&lt;0,AE83/-AE89,"")</f>
        <v>1.90833454824509</v>
      </c>
      <c r="AF98" s="52" t="n">
        <f aca="false">IF(AF89&lt;0,AF83/-AF89,"")</f>
        <v>1.90833454824509</v>
      </c>
      <c r="AG98" s="52" t="n">
        <f aca="false">IF(AG89&lt;0,AG83/-AG89,"")</f>
        <v>1.90833454824509</v>
      </c>
      <c r="AH98" s="52" t="n">
        <f aca="false">IF(AH89&lt;0,AH83/-AH89,"")</f>
        <v>1.90833454824509</v>
      </c>
      <c r="AI98" s="52" t="n">
        <f aca="false">IF(AI89&lt;0,AI83/-AI89,"")</f>
        <v>1.90833454824509</v>
      </c>
      <c r="AJ98" s="52" t="n">
        <f aca="false">IF(AJ89&lt;0,AJ83/-AJ89,"")</f>
        <v>1.90833454824509</v>
      </c>
      <c r="AK98" s="52" t="n">
        <f aca="false">IF(AK89&lt;0,AK83/-AK89,"")</f>
        <v>1.90833454824509</v>
      </c>
      <c r="AL98" s="52" t="n">
        <f aca="false">IF(AL89&lt;0,AL83/-AL89,"")</f>
        <v>1.90833454824509</v>
      </c>
      <c r="AM98" s="52" t="n">
        <f aca="false">IF(AM89&lt;0,AM83/-AM89,"")</f>
        <v>1.90833454824509</v>
      </c>
      <c r="AN98" s="52" t="n">
        <f aca="false">IF(AN89&lt;0,AN83/-AN89,"")</f>
        <v>1.90833454824509</v>
      </c>
      <c r="AO98" s="52" t="n">
        <f aca="false">IF(AO89&lt;0,AO83/-AO89,"")</f>
        <v>1.90833454824509</v>
      </c>
      <c r="AP98" s="52" t="n">
        <f aca="false">IF(AP89&lt;0,AP83/-AP89,"")</f>
        <v>1.90833454824509</v>
      </c>
      <c r="AQ98" s="52" t="n">
        <f aca="false">IF(AQ89&lt;0,AQ83/-AQ89,"")</f>
        <v>1.90833454824509</v>
      </c>
      <c r="AR98" s="52" t="n">
        <f aca="false">IF(AR89&lt;0,AR83/-AR89,"")</f>
        <v>1.90833454824509</v>
      </c>
      <c r="AS98" s="52" t="n">
        <f aca="false">IF(AS89&lt;0,AS83/-AS89,"")</f>
        <v>1.90833454824509</v>
      </c>
      <c r="AT98" s="52" t="n">
        <f aca="false">IF(AT89&lt;0,AT83/-AT89,"")</f>
        <v>1.90833454824509</v>
      </c>
      <c r="AU98" s="52" t="n">
        <f aca="false">IF(AU89&lt;0,AU83/-AU89,"")</f>
        <v>1.90833454824509</v>
      </c>
      <c r="AV98" s="52" t="n">
        <f aca="false">IF(AV89&lt;0,AV83/-AV89,"")</f>
        <v>1.90833454824509</v>
      </c>
      <c r="AW98" s="52" t="n">
        <f aca="false">IF(AW89&lt;0,AW83/-AW89,"")</f>
        <v>1.90833454824509</v>
      </c>
      <c r="AX98" s="52" t="n">
        <f aca="false">IF(AX89&lt;0,AX83/-AX89,"")</f>
        <v>1.90833454824509</v>
      </c>
      <c r="AY98" s="52" t="n">
        <f aca="false">IF(AY89&lt;0,AY83/-AY89,"")</f>
        <v>1.90833454824509</v>
      </c>
      <c r="AZ98" s="52" t="n">
        <f aca="false">IF(AZ89&lt;0,AZ83/-AZ89,"")</f>
        <v>1.90833454824509</v>
      </c>
      <c r="BA98" s="52" t="n">
        <f aca="false">IF(BA89&lt;0,BA83/-BA89,"")</f>
        <v>1.90833454824509</v>
      </c>
      <c r="BB98" s="52" t="n">
        <f aca="false">IF(BB89&lt;0,BB83/-BB89,"")</f>
        <v>1.90833454824509</v>
      </c>
      <c r="BC98" s="52" t="n">
        <f aca="false">IF(BC89&lt;0,BC83/-BC89,"")</f>
        <v>1.90833454824509</v>
      </c>
      <c r="BD98" s="52" t="n">
        <f aca="false">IF(BD89&lt;0,BD83/-BD89,"")</f>
        <v>1.90833454824509</v>
      </c>
      <c r="BE98" s="52" t="n">
        <f aca="false">IF(BE89&lt;0,BE83/-BE89,"")</f>
        <v>1.90833454824509</v>
      </c>
      <c r="BF98" s="52" t="n">
        <f aca="false">IF(BF89&lt;0,BF83/-BF89,"")</f>
        <v>1.90833454824509</v>
      </c>
      <c r="BG98" s="52" t="n">
        <f aca="false">IF(BG89&lt;0,BG83/-BG89,"")</f>
        <v>1.90833454824509</v>
      </c>
      <c r="BH98" s="52" t="n">
        <f aca="false">IF(BH89&lt;0,BH83/-BH89,"")</f>
        <v>1.90833454824509</v>
      </c>
      <c r="BI98" s="52" t="n">
        <f aca="false">IF(BI89&lt;0,BI83/-BI89,"")</f>
        <v>1.90833454824509</v>
      </c>
      <c r="BJ98" s="52" t="n">
        <f aca="false">IF(BJ89&lt;0,BJ83/-BJ89,"")</f>
        <v>1.90833454824509</v>
      </c>
      <c r="BK98" s="52" t="n">
        <f aca="false">IF(BK89&lt;0,BK83/-BK89,"")</f>
        <v>1.90833454824509</v>
      </c>
      <c r="BL98" s="52" t="n">
        <f aca="false">IF(BL89&lt;0,BL83/-BL89,"")</f>
        <v>1.90833454824509</v>
      </c>
      <c r="BM98" s="52" t="n">
        <f aca="false">IF(BM89&lt;0,BM83/-BM89,"")</f>
        <v>1.90833454824509</v>
      </c>
      <c r="BN98" s="52" t="n">
        <f aca="false">IF(BN89&lt;0,BN83/-BN89,"")</f>
        <v>1.90833454824509</v>
      </c>
      <c r="BO98" s="52" t="n">
        <f aca="false">IF(BO89&lt;0,BO83/-BO89,"")</f>
        <v>1.90833454824509</v>
      </c>
      <c r="BP98" s="52" t="n">
        <f aca="false">IF(BP89&lt;0,BP83/-BP89,"")</f>
        <v>1.90833454824509</v>
      </c>
      <c r="BQ98" s="52" t="n">
        <f aca="false">IF(BQ89&lt;0,BQ83/-BQ89,"")</f>
        <v>1.90833454824509</v>
      </c>
      <c r="BR98" s="52" t="n">
        <f aca="false">IF(BR89&lt;0,BR83/-BR89,"")</f>
        <v>1.90833454824509</v>
      </c>
      <c r="BS98" s="52" t="n">
        <f aca="false">IF(BS89&lt;0,BS83/-BS89,"")</f>
        <v>1.90833454824509</v>
      </c>
      <c r="BT98" s="52" t="n">
        <f aca="false">IF(BT89&lt;0,BT83/-BT89,"")</f>
        <v>1.90833454824509</v>
      </c>
      <c r="BU98" s="52" t="n">
        <f aca="false">IF(BU89&lt;0,BU83/-BU89,"")</f>
        <v>1.90833454824509</v>
      </c>
      <c r="BV98" s="52" t="n">
        <f aca="false">IF(BV89&lt;0,BV83/-BV89,"")</f>
        <v>1.90833454824509</v>
      </c>
      <c r="BW98" s="52" t="n">
        <f aca="false">IF(BW89&lt;0,BW83/-BW89,"")</f>
        <v>1.90833454824509</v>
      </c>
      <c r="BX98" s="52" t="n">
        <f aca="false">IF(BX89&lt;0,BX83/-BX89,"")</f>
        <v>1.90833454824509</v>
      </c>
      <c r="BY98" s="52" t="n">
        <f aca="false">IF(BY89&lt;0,BY83/-BY89,"")</f>
        <v>1.90833454824509</v>
      </c>
      <c r="BZ98" s="52" t="n">
        <f aca="false">IF(BZ89&lt;0,BZ83/-BZ89,"")</f>
        <v>1.90833454824509</v>
      </c>
      <c r="CA98" s="52" t="n">
        <f aca="false">IF(CA89&lt;0,CA83/-CA89,"")</f>
        <v>1.90833454824509</v>
      </c>
      <c r="CB98" s="52" t="n">
        <f aca="false">IF(CB89&lt;0,CB83/-CB89,"")</f>
        <v>1.90833454824509</v>
      </c>
      <c r="CC98" s="52" t="n">
        <f aca="false">IF(CC89&lt;0,CC83/-CC89,"")</f>
        <v>1.90833454824509</v>
      </c>
      <c r="CD98" s="52" t="n">
        <f aca="false">IF(CD89&lt;0,CD83/-CD89,"")</f>
        <v>1.90833454824509</v>
      </c>
      <c r="CE98" s="52" t="n">
        <f aca="false">IF(CE89&lt;0,CE83/-CE89,"")</f>
        <v>1.90833454824509</v>
      </c>
      <c r="CF98" s="52" t="n">
        <f aca="false">IF(CF89&lt;0,CF83/-CF89,"")</f>
        <v>1.90833454824509</v>
      </c>
      <c r="CG98" s="52" t="n">
        <f aca="false">IF(CG89&lt;0,CG83/-CG89,"")</f>
        <v>1.90833454824509</v>
      </c>
      <c r="CH98" s="52" t="n">
        <f aca="false">IF(CH89&lt;0,CH83/-CH89,"")</f>
        <v>1.90833454824509</v>
      </c>
      <c r="CI98" s="52" t="n">
        <f aca="false">IF(CI89&lt;0,CI83/-CI89,"")</f>
        <v>1.90833454824509</v>
      </c>
      <c r="CJ98" s="52" t="n">
        <f aca="false">IF(CJ89&lt;0,CJ83/-CJ89,"")</f>
        <v>1.90833454824509</v>
      </c>
      <c r="CK98" s="52" t="n">
        <f aca="false">IF(CK89&lt;0,CK83/-CK89,"")</f>
        <v>1.90833454824509</v>
      </c>
      <c r="CL98" s="52" t="n">
        <f aca="false">IF(CL89&lt;0,CL83/-CL89,"")</f>
        <v>1.90833454824509</v>
      </c>
      <c r="CM98" s="52" t="n">
        <f aca="false">IF(CM89&lt;0,CM83/-CM89,"")</f>
        <v>1.90833454824509</v>
      </c>
      <c r="CN98" s="52" t="n">
        <f aca="false">IF(CN89&lt;0,CN83/-CN89,"")</f>
        <v>1.90833454824509</v>
      </c>
      <c r="CO98" s="52" t="n">
        <f aca="false">IF(CO89&lt;0,CO83/-CO89,"")</f>
        <v>1.90833454824509</v>
      </c>
      <c r="CP98" s="52" t="n">
        <f aca="false">IF(CP89&lt;0,CP83/-CP89,"")</f>
        <v>1.90833454824509</v>
      </c>
      <c r="CQ98" s="52" t="n">
        <f aca="false">IF(CQ89&lt;0,CQ83/-CQ89,"")</f>
        <v>1.90833454824509</v>
      </c>
      <c r="CR98" s="52" t="n">
        <f aca="false">IF(CR89&lt;0,CR83/-CR89,"")</f>
        <v>1.90833454824509</v>
      </c>
      <c r="CS98" s="52" t="n">
        <f aca="false">IF(CS89&lt;0,CS83/-CS89,"")</f>
        <v>1.90833454824509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460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461</v>
      </c>
      <c r="D101" s="11" t="s">
        <v>33</v>
      </c>
      <c r="E101" s="47" t="n">
        <f aca="false">$I92-($I64+$I54+$I65+$I51+$I44+$I45+$I46)</f>
        <v>109360.831297296</v>
      </c>
      <c r="I101" s="47" t="n">
        <f aca="false">SUM(J101:EO101)</f>
        <v>-109360.831297296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-1377.30273502413</v>
      </c>
      <c r="AA101" s="47" t="n">
        <f aca="false">-$E101*AA19</f>
        <v>-1347.36137121925</v>
      </c>
      <c r="AB101" s="47" t="n">
        <f aca="false">-$E101*AB19</f>
        <v>-1362.33205312169</v>
      </c>
      <c r="AC101" s="47" t="n">
        <f aca="false">-$E101*AC19</f>
        <v>-1377.30273502413</v>
      </c>
      <c r="AD101" s="47" t="n">
        <f aca="false">-$E101*AD19</f>
        <v>-1377.30273502413</v>
      </c>
      <c r="AE101" s="47" t="n">
        <f aca="false">-$E101*AE19</f>
        <v>-1362.33205312169</v>
      </c>
      <c r="AF101" s="47" t="n">
        <f aca="false">-$E101*AF19</f>
        <v>-1362.33205312169</v>
      </c>
      <c r="AG101" s="47" t="n">
        <f aca="false">-$E101*AG19</f>
        <v>-1377.30273502413</v>
      </c>
      <c r="AH101" s="47" t="n">
        <f aca="false">-$E101*AH19</f>
        <v>-1377.30273502413</v>
      </c>
      <c r="AI101" s="47" t="n">
        <f aca="false">-$E101*AI19</f>
        <v>-1347.36137121925</v>
      </c>
      <c r="AJ101" s="47" t="n">
        <f aca="false">-$E101*AJ19</f>
        <v>-1362.33205312169</v>
      </c>
      <c r="AK101" s="47" t="n">
        <f aca="false">-$E101*AK19</f>
        <v>-1377.30273502413</v>
      </c>
      <c r="AL101" s="47" t="n">
        <f aca="false">-$E101*AL19</f>
        <v>-1377.30273502413</v>
      </c>
      <c r="AM101" s="47" t="n">
        <f aca="false">-$E101*AM19</f>
        <v>-1347.36137121925</v>
      </c>
      <c r="AN101" s="47" t="n">
        <f aca="false">-$E101*AN19</f>
        <v>-1362.33205312169</v>
      </c>
      <c r="AO101" s="47" t="n">
        <f aca="false">-$E101*AO19</f>
        <v>-1377.30273502413</v>
      </c>
      <c r="AP101" s="47" t="n">
        <f aca="false">-$E101*AP19</f>
        <v>-1377.30273502413</v>
      </c>
      <c r="AQ101" s="47" t="n">
        <f aca="false">-$E101*AQ19</f>
        <v>-1347.36137121925</v>
      </c>
      <c r="AR101" s="47" t="n">
        <f aca="false">-$E101*AR19</f>
        <v>-1362.33205312169</v>
      </c>
      <c r="AS101" s="47" t="n">
        <f aca="false">-$E101*AS19</f>
        <v>-1377.30273502413</v>
      </c>
      <c r="AT101" s="47" t="n">
        <f aca="false">-$E101*AT19</f>
        <v>-1377.30273502413</v>
      </c>
      <c r="AU101" s="47" t="n">
        <f aca="false">-$E101*AU19</f>
        <v>-1362.33205312169</v>
      </c>
      <c r="AV101" s="47" t="n">
        <f aca="false">-$E101*AV19</f>
        <v>-1362.33205312169</v>
      </c>
      <c r="AW101" s="47" t="n">
        <f aca="false">-$E101*AW19</f>
        <v>-1377.30273502413</v>
      </c>
      <c r="AX101" s="47" t="n">
        <f aca="false">-$E101*AX19</f>
        <v>-1377.30273502413</v>
      </c>
      <c r="AY101" s="47" t="n">
        <f aca="false">-$E101*AY19</f>
        <v>-1347.36137121925</v>
      </c>
      <c r="AZ101" s="47" t="n">
        <f aca="false">-$E101*AZ19</f>
        <v>-1362.33205312169</v>
      </c>
      <c r="BA101" s="47" t="n">
        <f aca="false">-$E101*BA19</f>
        <v>-1377.30273502413</v>
      </c>
      <c r="BB101" s="47" t="n">
        <f aca="false">-$E101*BB19</f>
        <v>-1377.30273502413</v>
      </c>
      <c r="BC101" s="47" t="n">
        <f aca="false">-$E101*BC19</f>
        <v>-1347.36137121925</v>
      </c>
      <c r="BD101" s="47" t="n">
        <f aca="false">-$E101*BD19</f>
        <v>-1362.33205312169</v>
      </c>
      <c r="BE101" s="47" t="n">
        <f aca="false">-$E101*BE19</f>
        <v>-1377.30273502413</v>
      </c>
      <c r="BF101" s="47" t="n">
        <f aca="false">-$E101*BF19</f>
        <v>-1377.30273502413</v>
      </c>
      <c r="BG101" s="47" t="n">
        <f aca="false">-$E101*BG19</f>
        <v>-1347.36137121925</v>
      </c>
      <c r="BH101" s="47" t="n">
        <f aca="false">-$E101*BH19</f>
        <v>-1362.33205312169</v>
      </c>
      <c r="BI101" s="47" t="n">
        <f aca="false">-$E101*BI19</f>
        <v>-1377.30273502413</v>
      </c>
      <c r="BJ101" s="47" t="n">
        <f aca="false">-$E101*BJ19</f>
        <v>-1377.30273502413</v>
      </c>
      <c r="BK101" s="47" t="n">
        <f aca="false">-$E101*BK19</f>
        <v>-1362.33205312169</v>
      </c>
      <c r="BL101" s="47" t="n">
        <f aca="false">-$E101*BL19</f>
        <v>-1362.33205312169</v>
      </c>
      <c r="BM101" s="47" t="n">
        <f aca="false">-$E101*BM19</f>
        <v>-1377.30273502413</v>
      </c>
      <c r="BN101" s="47" t="n">
        <f aca="false">-$E101*BN19</f>
        <v>-1377.30273502413</v>
      </c>
      <c r="BO101" s="47" t="n">
        <f aca="false">-$E101*BO19</f>
        <v>-1347.36137121925</v>
      </c>
      <c r="BP101" s="47" t="n">
        <f aca="false">-$E101*BP19</f>
        <v>-1362.33205312169</v>
      </c>
      <c r="BQ101" s="47" t="n">
        <f aca="false">-$E101*BQ19</f>
        <v>-1377.30273502413</v>
      </c>
      <c r="BR101" s="47" t="n">
        <f aca="false">-$E101*BR19</f>
        <v>-1377.30273502413</v>
      </c>
      <c r="BS101" s="47" t="n">
        <f aca="false">-$E101*BS19</f>
        <v>-1347.36137121925</v>
      </c>
      <c r="BT101" s="47" t="n">
        <f aca="false">-$E101*BT19</f>
        <v>-1362.33205312169</v>
      </c>
      <c r="BU101" s="47" t="n">
        <f aca="false">-$E101*BU19</f>
        <v>-1377.30273502413</v>
      </c>
      <c r="BV101" s="47" t="n">
        <f aca="false">-$E101*BV19</f>
        <v>-1377.30273502413</v>
      </c>
      <c r="BW101" s="47" t="n">
        <f aca="false">-$E101*BW19</f>
        <v>-1347.36137121925</v>
      </c>
      <c r="BX101" s="47" t="n">
        <f aca="false">-$E101*BX19</f>
        <v>-1362.33205312169</v>
      </c>
      <c r="BY101" s="47" t="n">
        <f aca="false">-$E101*BY19</f>
        <v>-1377.30273502413</v>
      </c>
      <c r="BZ101" s="47" t="n">
        <f aca="false">-$E101*BZ19</f>
        <v>-1377.30273502413</v>
      </c>
      <c r="CA101" s="47" t="n">
        <f aca="false">-$E101*CA19</f>
        <v>-1362.33205312169</v>
      </c>
      <c r="CB101" s="47" t="n">
        <f aca="false">-$E101*CB19</f>
        <v>-1362.33205312169</v>
      </c>
      <c r="CC101" s="47" t="n">
        <f aca="false">-$E101*CC19</f>
        <v>-1377.30273502413</v>
      </c>
      <c r="CD101" s="47" t="n">
        <f aca="false">-$E101*CD19</f>
        <v>-1377.30273502413</v>
      </c>
      <c r="CE101" s="47" t="n">
        <f aca="false">-$E101*CE19</f>
        <v>-1347.36137121925</v>
      </c>
      <c r="CF101" s="47" t="n">
        <f aca="false">-$E101*CF19</f>
        <v>-1362.33205312169</v>
      </c>
      <c r="CG101" s="47" t="n">
        <f aca="false">-$E101*CG19</f>
        <v>-1377.30273502413</v>
      </c>
      <c r="CH101" s="47" t="n">
        <f aca="false">-$E101*CH19</f>
        <v>-1377.30273502413</v>
      </c>
      <c r="CI101" s="47" t="n">
        <f aca="false">-$E101*CI19</f>
        <v>-1347.36137121925</v>
      </c>
      <c r="CJ101" s="47" t="n">
        <f aca="false">-$E101*CJ19</f>
        <v>-1362.33205312169</v>
      </c>
      <c r="CK101" s="47" t="n">
        <f aca="false">-$E101*CK19</f>
        <v>-1377.30273502413</v>
      </c>
      <c r="CL101" s="47" t="n">
        <f aca="false">-$E101*CL19</f>
        <v>-1377.30273502413</v>
      </c>
      <c r="CM101" s="47" t="n">
        <f aca="false">-$E101*CM19</f>
        <v>-1347.36137121925</v>
      </c>
      <c r="CN101" s="47" t="n">
        <f aca="false">-$E101*CN19</f>
        <v>-1362.33205312169</v>
      </c>
      <c r="CO101" s="47" t="n">
        <f aca="false">-$E101*CO19</f>
        <v>-1377.30273502413</v>
      </c>
      <c r="CP101" s="47" t="n">
        <f aca="false">-$E101*CP19</f>
        <v>-1377.30273502413</v>
      </c>
      <c r="CQ101" s="47" t="n">
        <f aca="false">-$E101*CQ19</f>
        <v>-1362.33205312169</v>
      </c>
      <c r="CR101" s="47" t="n">
        <f aca="false">-$E101*CR19</f>
        <v>-1362.33205312169</v>
      </c>
      <c r="CS101" s="47" t="n">
        <f aca="false">-$E101*CS19</f>
        <v>-1377.30273502413</v>
      </c>
      <c r="CT101" s="47" t="n">
        <f aca="false">-$E101*CT19</f>
        <v>-1377.30273502413</v>
      </c>
      <c r="CU101" s="47" t="n">
        <f aca="false">-$E101*CU19</f>
        <v>-1347.36137121925</v>
      </c>
      <c r="CV101" s="47" t="n">
        <f aca="false">-$E101*CV19</f>
        <v>-1362.33205312169</v>
      </c>
      <c r="CW101" s="47" t="n">
        <f aca="false">-$E101*CW19</f>
        <v>-1377.30273502413</v>
      </c>
      <c r="CX101" s="47" t="n">
        <f aca="false">-$E101*CX19</f>
        <v>-1377.30273502413</v>
      </c>
      <c r="CY101" s="47" t="n">
        <f aca="false">-$E101*CY19</f>
        <v>-1347.36137121925</v>
      </c>
      <c r="CZ101" s="47" t="n">
        <f aca="false">-$E101*CZ19</f>
        <v>-1362.33205312169</v>
      </c>
      <c r="DA101" s="47" t="n">
        <f aca="false">-$E101*DA19</f>
        <v>-1377.30273502413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462</v>
      </c>
      <c r="D102" s="11" t="s">
        <v>33</v>
      </c>
      <c r="I102" s="47" t="n">
        <f aca="false">SUM(J102:EO102)</f>
        <v>153284.036207255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-1218.50271592122</v>
      </c>
      <c r="S102" s="47" t="n">
        <f aca="false">S79+S101+S88+S95+S96+S48+S55</f>
        <v>-183.866425403357</v>
      </c>
      <c r="T102" s="47" t="n">
        <f aca="false">T79+T101+T88+T95+T96+T48+T55</f>
        <v>-162.096550739923</v>
      </c>
      <c r="U102" s="47" t="n">
        <f aca="false">U79+U101+U88+U95+U96+U48+U55</f>
        <v>-149.823411141041</v>
      </c>
      <c r="V102" s="47" t="n">
        <f aca="false">V79+V101+V88+V95+V96+V48+V55</f>
        <v>-135.61454658484</v>
      </c>
      <c r="W102" s="47" t="n">
        <f aca="false">W79+W101+W88+W95+W96+W48+W55</f>
        <v>-119.80835924423</v>
      </c>
      <c r="X102" s="47" t="n">
        <f aca="false">X79+X101+X88+X95+X96+X48+X55</f>
        <v>-107.390673737333</v>
      </c>
      <c r="Y102" s="47" t="n">
        <f aca="false">Y79+Y101+Y88+Y95+Y96+Y48+Y55</f>
        <v>-94.5163706549071</v>
      </c>
      <c r="Z102" s="47" t="n">
        <f aca="false">Z79+Z101+Z88+Z95+Z96+Z48+Z55</f>
        <v>257.291437792473</v>
      </c>
      <c r="AA102" s="47" t="n">
        <f aca="false">AA79+AA101+AA88+AA95+AA96+AA48+AA55</f>
        <v>257.985340069445</v>
      </c>
      <c r="AB102" s="47" t="n">
        <f aca="false">AB79+AB101+AB88+AB95+AB96+AB48+AB55</f>
        <v>274.958912982274</v>
      </c>
      <c r="AC102" s="47" t="n">
        <f aca="false">AC79+AC101+AC88+AC95+AC96+AC48+AC55</f>
        <v>292.169695492465</v>
      </c>
      <c r="AD102" s="47" t="n">
        <f aca="false">AD79+AD101+AD88+AD95+AD96+AD48+AD55</f>
        <v>290.27504187829</v>
      </c>
      <c r="AE102" s="47" t="n">
        <f aca="false">AE79+AE101+AE88+AE95+AE96+AE48+AE55</f>
        <v>301.970194157653</v>
      </c>
      <c r="AF102" s="47" t="n">
        <f aca="false">AF79+AF101+AF88+AF95+AF96+AF48+AF55</f>
        <v>308.589378399695</v>
      </c>
      <c r="AG102" s="47" t="n">
        <f aca="false">AG79+AG101+AG88+AG95+AG96+AG48+AG55</f>
        <v>326.241741084355</v>
      </c>
      <c r="AH102" s="47" t="n">
        <f aca="false">AH79+AH101+AH88+AH95+AH96+AH48+AH55</f>
        <v>324.657493285468</v>
      </c>
      <c r="AI102" s="47" t="n">
        <f aca="false">AI79+AI101+AI88+AI95+AI96+AI48+AI55</f>
        <v>325.461754911529</v>
      </c>
      <c r="AJ102" s="47" t="n">
        <f aca="false">AJ79+AJ101+AJ88+AJ95+AJ96+AJ48+AJ55</f>
        <v>376.476539145122</v>
      </c>
      <c r="AK102" s="47" t="n">
        <f aca="false">AK79+AK101+AK88+AK95+AK96+AK48+AK55</f>
        <v>395.147947998015</v>
      </c>
      <c r="AL102" s="47" t="n">
        <f aca="false">AL79+AL101+AL88+AL95+AL96+AL48+AL55</f>
        <v>394.093988991032</v>
      </c>
      <c r="AM102" s="47" t="n">
        <f aca="false">AM79+AM101+AM88+AM95+AM96+AM48+AM55</f>
        <v>394.258721839791</v>
      </c>
      <c r="AN102" s="47" t="n">
        <f aca="false">AN79+AN101+AN88+AN95+AN96+AN48+AN55</f>
        <v>412.955905686008</v>
      </c>
      <c r="AO102" s="47" t="n">
        <f aca="false">AO79+AO101+AO88+AO95+AO96+AO48+AO55</f>
        <v>431.898215267599</v>
      </c>
      <c r="AP102" s="47" t="n">
        <f aca="false">AP79+AP101+AP88+AP95+AP96+AP48+AP55</f>
        <v>430.976703299977</v>
      </c>
      <c r="AQ102" s="47" t="n">
        <f aca="false">AQ79+AQ101+AQ88+AQ95+AQ96+AQ48+AQ55</f>
        <v>431.213049402279</v>
      </c>
      <c r="AR102" s="47" t="n">
        <f aca="false">AR79+AR101+AR88+AR95+AR96+AR48+AR55</f>
        <v>450.370937578773</v>
      </c>
      <c r="AS102" s="47" t="n">
        <f aca="false">AS79+AS101+AS88+AS95+AS96+AS48+AS55</f>
        <v>469.778808264615</v>
      </c>
      <c r="AT102" s="47" t="n">
        <f aca="false">AT79+AT101+AT88+AT95+AT96+AT48+AT55</f>
        <v>469.19798418716</v>
      </c>
      <c r="AU102" s="47" t="n">
        <f aca="false">AU79+AU101+AU88+AU95+AU96+AU48+AU55</f>
        <v>481.144457513597</v>
      </c>
      <c r="AV102" s="47" t="n">
        <f aca="false">AV79+AV101+AV88+AV95+AV96+AV48+AV55</f>
        <v>489.315660654664</v>
      </c>
      <c r="AW102" s="47" t="n">
        <f aca="false">AW79+AW101+AW88+AW95+AW96+AW48+AW55</f>
        <v>509.205605467961</v>
      </c>
      <c r="AX102" s="47" t="n">
        <f aca="false">AX79+AX101+AX88+AX95+AX96+AX48+AX55</f>
        <v>508.984426656519</v>
      </c>
      <c r="AY102" s="47" t="n">
        <f aca="false">AY79+AY101+AY88+AY95+AY96+AY48+AY55</f>
        <v>509.408270135481</v>
      </c>
      <c r="AZ102" s="47" t="n">
        <f aca="false">AZ79+AZ101+AZ88+AZ95+AZ96+AZ48+AZ55</f>
        <v>529.533538466704</v>
      </c>
      <c r="BA102" s="47" t="n">
        <f aca="false">BA79+BA101+BA88+BA95+BA96+BA48+BA55</f>
        <v>549.919075865018</v>
      </c>
      <c r="BB102" s="47" t="n">
        <f aca="false">BB79+BB101+BB88+BB95+BB96+BB48+BB55</f>
        <v>550.073561342081</v>
      </c>
      <c r="BC102" s="47" t="n">
        <f aca="false">BC79+BC101+BC88+BC95+BC96+BC48+BC55</f>
        <v>550.612895254825</v>
      </c>
      <c r="BD102" s="47" t="n">
        <f aca="false">BD79+BD101+BD88+BD95+BD96+BD48+BD55</f>
        <v>571.244339751539</v>
      </c>
      <c r="BE102" s="47" t="n">
        <f aca="false">BE79+BE101+BE88+BE95+BE96+BE48+BE55</f>
        <v>592.141478393865</v>
      </c>
      <c r="BF102" s="47" t="n">
        <f aca="false">BF79+BF101+BF88+BF95+BF96+BF48+BF55</f>
        <v>592.690259214681</v>
      </c>
      <c r="BG102" s="47" t="n">
        <f aca="false">BG79+BG101+BG88+BG95+BG96+BG48+BG55</f>
        <v>593.361174290722</v>
      </c>
      <c r="BH102" s="47" t="n">
        <f aca="false">BH79+BH101+BH88+BH95+BH96+BH48+BH55</f>
        <v>614.515329896874</v>
      </c>
      <c r="BI102" s="47" t="n">
        <f aca="false">BI79+BI101+BI88+BI95+BI96+BI48+BI55</f>
        <v>635.940811102115</v>
      </c>
      <c r="BJ102" s="47" t="n">
        <f aca="false">BJ79+BJ101+BJ88+BJ95+BJ96+BJ48+BJ55</f>
        <v>636.903355080244</v>
      </c>
      <c r="BK102" s="47" t="n">
        <f aca="false">BK79+BK101+BK88+BK95+BK96+BK48+BK55</f>
        <v>649.613970992752</v>
      </c>
      <c r="BL102" s="47" t="n">
        <f aca="false">BL79+BL101+BL88+BL95+BL96+BL48+BL55</f>
        <v>659.581173764767</v>
      </c>
      <c r="BM102" s="47" t="n">
        <f aca="false">BM79+BM101+BM88+BM95+BM96+BM48+BM55</f>
        <v>681.554398413517</v>
      </c>
      <c r="BN102" s="47" t="n">
        <f aca="false">BN79+BN101+BN88+BN95+BN96+BN48+BN55</f>
        <v>682.952961787756</v>
      </c>
      <c r="BO102" s="47" t="n">
        <f aca="false">BO79+BO101+BO88+BO95+BO96+BO48+BO55</f>
        <v>683.940500699078</v>
      </c>
      <c r="BP102" s="47" t="n">
        <f aca="false">BP79+BP101+BP88+BP95+BP96+BP48+BP55</f>
        <v>706.194710890416</v>
      </c>
      <c r="BQ102" s="47" t="n">
        <f aca="false">BQ79+BQ101+BQ88+BQ95+BQ96+BQ48+BQ55</f>
        <v>728.732188873119</v>
      </c>
      <c r="BR102" s="47" t="n">
        <f aca="false">BR79+BR101+BR88+BR95+BR96+BR48+BR55</f>
        <v>730.58620446358</v>
      </c>
      <c r="BS102" s="47" t="n">
        <f aca="false">BS79+BS101+BS88+BS95+BS96+BS48+BS55</f>
        <v>731.758663318501</v>
      </c>
      <c r="BT102" s="47" t="n">
        <f aca="false">BT79+BT101+BT88+BT95+BT96+BT48+BT55</f>
        <v>754.589977592845</v>
      </c>
      <c r="BU102" s="47" t="n">
        <f aca="false">BU79+BU101+BU88+BU95+BU96+BU48+BU55</f>
        <v>777.710868805636</v>
      </c>
      <c r="BV102" s="47" t="n">
        <f aca="false">BV79+BV101+BV88+BV95+BV96+BV48+BV55</f>
        <v>780.042553529761</v>
      </c>
      <c r="BW102" s="47" t="n">
        <f aca="false">BW79+BW101+BW88+BW95+BW96+BW48+BW55</f>
        <v>781.419475517764</v>
      </c>
      <c r="BX102" s="47" t="n">
        <f aca="false">BX79+BX101+BX88+BX95+BX96+BX48+BX55</f>
        <v>804.847690447473</v>
      </c>
      <c r="BY102" s="47" t="n">
        <f aca="false">BY79+BY101+BY88+BY95+BY96+BY48+BY55</f>
        <v>828.572037735082</v>
      </c>
      <c r="BZ102" s="47" t="n">
        <f aca="false">BZ79+BZ101+BZ88+BZ95+BZ96+BZ48+BZ55</f>
        <v>831.404607967753</v>
      </c>
      <c r="CA102" s="47" t="n">
        <f aca="false">CA79+CA101+CA88+CA95+CA96+CA48+CA55</f>
        <v>845.118366645517</v>
      </c>
      <c r="CB102" s="47" t="n">
        <f aca="false">CB79+CB101+CB88+CB95+CB96+CB48+CB55</f>
        <v>857.217823601355</v>
      </c>
      <c r="CC102" s="47" t="n">
        <f aca="false">CC79+CC101+CC88+CC95+CC96+CC48+CC55</f>
        <v>881.568500943917</v>
      </c>
      <c r="CD102" s="47" t="n">
        <f aca="false">CD79+CD101+CD88+CD95+CD96+CD48+CD55</f>
        <v>884.928145980629</v>
      </c>
      <c r="CE102" s="47" t="n">
        <f aca="false">CE79+CE101+CE88+CE95+CE96+CE48+CE55</f>
        <v>886.778479422354</v>
      </c>
      <c r="CF102" s="47" t="n">
        <f aca="false">CF79+CF101+CF88+CF95+CF96+CF48+CF55</f>
        <v>911.46555723056</v>
      </c>
      <c r="CG102" s="47" t="n">
        <f aca="false">CG79+CG101+CG88+CG95+CG96+CG48+CG55</f>
        <v>936.46268488211</v>
      </c>
      <c r="CH102" s="47" t="n">
        <f aca="false">CH79+CH101+CH88+CH95+CH96+CH48+CH55</f>
        <v>940.372920662846</v>
      </c>
      <c r="CI102" s="47" t="n">
        <f aca="false">CI79+CI101+CI88+CI95+CI96+CI48+CI55</f>
        <v>942.49241088965</v>
      </c>
      <c r="CJ102" s="47" t="n">
        <f aca="false">CJ79+CJ101+CJ88+CJ95+CJ96+CJ48+CJ55</f>
        <v>967.841531223202</v>
      </c>
      <c r="CK102" s="47" t="n">
        <f aca="false">CK79+CK101+CK88+CK95+CK96+CK48+CK55</f>
        <v>993.508065684369</v>
      </c>
      <c r="CL102" s="47" t="n">
        <f aca="false">CL79+CL101+CL88+CL95+CL96+CL48+CL55</f>
        <v>997.995392129814</v>
      </c>
      <c r="CM102" s="47" t="n">
        <f aca="false">CM79+CM101+CM88+CM95+CM96+CM48+CM55</f>
        <v>1000.40772551974</v>
      </c>
      <c r="CN102" s="47" t="n">
        <f aca="false">CN79+CN101+CN88+CN95+CN96+CN48+CN55</f>
        <v>1026.44261462907</v>
      </c>
      <c r="CO102" s="47" t="n">
        <f aca="false">CO79+CO101+CO88+CO95+CO96+CO48+CO55</f>
        <v>1052.80257627022</v>
      </c>
      <c r="CP102" s="47" t="n">
        <f aca="false">CP79+CP101+CP88+CP95+CP96+CP48+CP55</f>
        <v>1057.89468754696</v>
      </c>
      <c r="CQ102" s="47" t="n">
        <f aca="false">CQ79+CQ101+CQ88+CQ95+CQ96+CQ48+CQ55</f>
        <v>1072.90464860343</v>
      </c>
      <c r="CR102" s="47" t="n">
        <f aca="false">CR79+CR101+CR88+CR95+CR96+CR48+CR55</f>
        <v>1087.53662605827</v>
      </c>
      <c r="CS102" s="47" t="n">
        <f aca="false">CS79+CS101+CS88+CS95+CS96+CS48+CS55</f>
        <v>1114.6170666664</v>
      </c>
      <c r="CT102" s="47" t="n">
        <f aca="false">CT79+CT101+CT88+CT95+CT96+CT48+CT55</f>
        <v>1120.3448445263</v>
      </c>
      <c r="CU102" s="47" t="n">
        <f aca="false">CU79+CU101+CU88+CU95+CU96+CU48+CU55</f>
        <v>1108.16122010765</v>
      </c>
      <c r="CV102" s="47" t="n">
        <f aca="false">CV79+CV101+CV88+CV95+CV96+CV48+CV55</f>
        <v>1120.47412255329</v>
      </c>
      <c r="CW102" s="47" t="n">
        <f aca="false">CW79+CW101+CW88+CW95+CW96+CW48+CW55</f>
        <v>1132.78702499893</v>
      </c>
      <c r="CX102" s="47" t="n">
        <f aca="false">CX79+CX101+CX88+CX95+CX96+CX48+CX55</f>
        <v>1123.32109693449</v>
      </c>
      <c r="CY102" s="47" t="n">
        <f aca="false">CY79+CY101+CY88+CY95+CY96+CY48+CY55</f>
        <v>1110.78027597976</v>
      </c>
      <c r="CZ102" s="47" t="n">
        <f aca="false">CZ79+CZ101+CZ88+CZ95+CZ96+CZ48+CZ55</f>
        <v>1123.1222790462</v>
      </c>
      <c r="DA102" s="47" t="n">
        <f aca="false">DA79+DA101+DA88+DA95+DA96+DA48+DA55</f>
        <v>1135.46428211264</v>
      </c>
      <c r="DB102" s="47" t="n">
        <f aca="false">DB79+DB101+DB88+DB95+DB96+DB48+DB55</f>
        <v>2503.24466583137</v>
      </c>
      <c r="DC102" s="47" t="n">
        <f aca="false">DC79+DC101+DC88+DC95+DC96+DC48+DC55</f>
        <v>2460.4018457948</v>
      </c>
      <c r="DD102" s="47" t="n">
        <f aca="false">DD79+DD101+DD88+DD95+DD96+DD48+DD55</f>
        <v>2487.7396440814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2491.17462930677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2464.91206834605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2465.61807007058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2510.83914170752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2510.63204110906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2464.11073922955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463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1451.01331077954</v>
      </c>
      <c r="T103" s="18" t="n">
        <f aca="false">S107</f>
        <v>1634.8797361829</v>
      </c>
      <c r="U103" s="18" t="n">
        <f aca="false">T107</f>
        <v>1796.97628692282</v>
      </c>
      <c r="V103" s="18" t="n">
        <f aca="false">U107</f>
        <v>1946.79969806386</v>
      </c>
      <c r="W103" s="18" t="n">
        <f aca="false">V107</f>
        <v>2082.4142446487</v>
      </c>
      <c r="X103" s="18" t="n">
        <f aca="false">W107</f>
        <v>2202.22260389293</v>
      </c>
      <c r="Y103" s="18" t="n">
        <f aca="false">X107</f>
        <v>2309.61327763026</v>
      </c>
      <c r="Z103" s="18" t="n">
        <f aca="false">Y107</f>
        <v>2404.12964828517</v>
      </c>
      <c r="AA103" s="18" t="n">
        <f aca="false">Z107</f>
        <v>2275.48392938894</v>
      </c>
      <c r="AB103" s="18" t="n">
        <f aca="false">AA107</f>
        <v>2146.49125935421</v>
      </c>
      <c r="AC103" s="18" t="n">
        <f aca="false">AB107</f>
        <v>2009.01180286308</v>
      </c>
      <c r="AD103" s="18" t="n">
        <f aca="false">AC107</f>
        <v>1862.92695511684</v>
      </c>
      <c r="AE103" s="18" t="n">
        <f aca="false">AD107</f>
        <v>1717.7894341777</v>
      </c>
      <c r="AF103" s="18" t="n">
        <f aca="false">AE107</f>
        <v>1566.80433709887</v>
      </c>
      <c r="AG103" s="18" t="n">
        <f aca="false">AF107</f>
        <v>1412.50964789902</v>
      </c>
      <c r="AH103" s="18" t="n">
        <f aca="false">AG107</f>
        <v>1249.38877735685</v>
      </c>
      <c r="AI103" s="18" t="n">
        <f aca="false">AH107</f>
        <v>1087.06003071411</v>
      </c>
      <c r="AJ103" s="18" t="n">
        <f aca="false">AI107</f>
        <v>924.329153258347</v>
      </c>
      <c r="AK103" s="18" t="n">
        <f aca="false">AJ107</f>
        <v>736.090883685787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464</v>
      </c>
      <c r="D104" s="11" t="s">
        <v>33</v>
      </c>
      <c r="I104" s="47" t="n">
        <f aca="false">SUM(J104:EO104)</f>
        <v>2404.12964828517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1218.50271592122</v>
      </c>
      <c r="S104" s="47" t="n">
        <f aca="false">MAX(0,-S102)</f>
        <v>183.866425403357</v>
      </c>
      <c r="T104" s="47" t="n">
        <f aca="false">MAX(0,-T102)</f>
        <v>162.096550739923</v>
      </c>
      <c r="U104" s="47" t="n">
        <f aca="false">MAX(0,-U102)</f>
        <v>149.823411141041</v>
      </c>
      <c r="V104" s="47" t="n">
        <f aca="false">MAX(0,-V102)</f>
        <v>135.61454658484</v>
      </c>
      <c r="W104" s="47" t="n">
        <f aca="false">MAX(0,-W102)</f>
        <v>119.80835924423</v>
      </c>
      <c r="X104" s="47" t="n">
        <f aca="false">MAX(0,-X102)</f>
        <v>107.390673737333</v>
      </c>
      <c r="Y104" s="47" t="n">
        <f aca="false">MAX(0,-Y102)</f>
        <v>94.5163706549071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465</v>
      </c>
      <c r="D105" s="11" t="s">
        <v>33</v>
      </c>
      <c r="I105" s="47" t="n">
        <f aca="false">SUM(J105:EO105)</f>
        <v>-1865.61273859839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-128.645718896237</v>
      </c>
      <c r="AA105" s="47" t="n">
        <f aca="false">-MIN(AA103,In_Loss_Cap*MAX(0,AA102))</f>
        <v>-128.992670034722</v>
      </c>
      <c r="AB105" s="47" t="n">
        <f aca="false">-MIN(AB103,In_Loss_Cap*MAX(0,AB102))</f>
        <v>-137.479456491137</v>
      </c>
      <c r="AC105" s="47" t="n">
        <f aca="false">-MIN(AC103,In_Loss_Cap*MAX(0,AC102))</f>
        <v>-146.084847746232</v>
      </c>
      <c r="AD105" s="47" t="n">
        <f aca="false">-MIN(AD103,In_Loss_Cap*MAX(0,AD102))</f>
        <v>-145.137520939145</v>
      </c>
      <c r="AE105" s="47" t="n">
        <f aca="false">-MIN(AE103,In_Loss_Cap*MAX(0,AE102))</f>
        <v>-150.985097078827</v>
      </c>
      <c r="AF105" s="47" t="n">
        <f aca="false">-MIN(AF103,In_Loss_Cap*MAX(0,AF102))</f>
        <v>-154.294689199848</v>
      </c>
      <c r="AG105" s="47" t="n">
        <f aca="false">-MIN(AG103,In_Loss_Cap*MAX(0,AG102))</f>
        <v>-163.120870542177</v>
      </c>
      <c r="AH105" s="47" t="n">
        <f aca="false">-MIN(AH103,In_Loss_Cap*MAX(0,AH102))</f>
        <v>-162.328746642734</v>
      </c>
      <c r="AI105" s="47" t="n">
        <f aca="false">-MIN(AI103,In_Loss_Cap*MAX(0,AI102))</f>
        <v>-162.730877455765</v>
      </c>
      <c r="AJ105" s="47" t="n">
        <f aca="false">-MIN(AJ103,In_Loss_Cap*MAX(0,AJ102))</f>
        <v>-188.238269572561</v>
      </c>
      <c r="AK105" s="47" t="n">
        <f aca="false">-MIN(AK103,In_Loss_Cap*MAX(0,AK102))</f>
        <v>-197.573973999008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466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-538.516909686779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-538.516909686779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467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1451.01331077954</v>
      </c>
      <c r="S107" s="47" t="n">
        <f aca="false">SUM(S103:S106)</f>
        <v>1634.8797361829</v>
      </c>
      <c r="T107" s="47" t="n">
        <f aca="false">SUM(T103:T106)</f>
        <v>1796.97628692282</v>
      </c>
      <c r="U107" s="47" t="n">
        <f aca="false">SUM(U103:U106)</f>
        <v>1946.79969806386</v>
      </c>
      <c r="V107" s="47" t="n">
        <f aca="false">SUM(V103:V106)</f>
        <v>2082.4142446487</v>
      </c>
      <c r="W107" s="47" t="n">
        <f aca="false">SUM(W103:W106)</f>
        <v>2202.22260389293</v>
      </c>
      <c r="X107" s="47" t="n">
        <f aca="false">SUM(X103:X106)</f>
        <v>2309.61327763026</v>
      </c>
      <c r="Y107" s="47" t="n">
        <f aca="false">SUM(Y103:Y106)</f>
        <v>2404.12964828517</v>
      </c>
      <c r="Z107" s="47" t="n">
        <f aca="false">SUM(Z103:Z106)</f>
        <v>2275.48392938894</v>
      </c>
      <c r="AA107" s="47" t="n">
        <f aca="false">SUM(AA103:AA106)</f>
        <v>2146.49125935421</v>
      </c>
      <c r="AB107" s="47" t="n">
        <f aca="false">SUM(AB103:AB106)</f>
        <v>2009.01180286308</v>
      </c>
      <c r="AC107" s="47" t="n">
        <f aca="false">SUM(AC103:AC106)</f>
        <v>1862.92695511684</v>
      </c>
      <c r="AD107" s="47" t="n">
        <f aca="false">SUM(AD103:AD106)</f>
        <v>1717.7894341777</v>
      </c>
      <c r="AE107" s="47" t="n">
        <f aca="false">SUM(AE103:AE106)</f>
        <v>1566.80433709887</v>
      </c>
      <c r="AF107" s="47" t="n">
        <f aca="false">SUM(AF103:AF106)</f>
        <v>1412.50964789902</v>
      </c>
      <c r="AG107" s="47" t="n">
        <f aca="false">SUM(AG103:AG106)</f>
        <v>1249.38877735685</v>
      </c>
      <c r="AH107" s="47" t="n">
        <f aca="false">SUM(AH103:AH106)</f>
        <v>1087.06003071411</v>
      </c>
      <c r="AI107" s="47" t="n">
        <f aca="false">SUM(AI103:AI106)</f>
        <v>924.329153258347</v>
      </c>
      <c r="AJ107" s="47" t="n">
        <f aca="false">SUM(AJ103:AJ106)</f>
        <v>736.090883685787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468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-19.2968578344355</v>
      </c>
      <c r="AA108" s="47" t="n">
        <f aca="false">-In_CIT*(MAX(0,AA102)+AA105)-In_RH_On*In_RH_Rate*MAX(0,AA102)</f>
        <v>-19.3489005052083</v>
      </c>
      <c r="AB108" s="47" t="n">
        <f aca="false">-In_CIT*(MAX(0,AB102)+AB105)-In_RH_On*In_RH_Rate*MAX(0,AB102)</f>
        <v>-20.6219184736706</v>
      </c>
      <c r="AC108" s="47" t="n">
        <f aca="false">-In_CIT*(MAX(0,AC102)+AC105)-In_RH_On*In_RH_Rate*MAX(0,AC102)</f>
        <v>-21.9127271619348</v>
      </c>
      <c r="AD108" s="47" t="n">
        <f aca="false">-In_CIT*(MAX(0,AD102)+AD105)-In_RH_On*In_RH_Rate*MAX(0,AD102)</f>
        <v>-21.7706281408718</v>
      </c>
      <c r="AE108" s="47" t="n">
        <f aca="false">-In_CIT*(MAX(0,AE102)+AE105)-In_RH_On*In_RH_Rate*MAX(0,AE102)</f>
        <v>-22.647764561824</v>
      </c>
      <c r="AF108" s="47" t="n">
        <f aca="false">-In_CIT*(MAX(0,AF102)+AF105)-In_RH_On*In_RH_Rate*MAX(0,AF102)</f>
        <v>-23.1442033799772</v>
      </c>
      <c r="AG108" s="47" t="n">
        <f aca="false">-In_CIT*(MAX(0,AG102)+AG105)-In_RH_On*In_RH_Rate*MAX(0,AG102)</f>
        <v>-24.4681305813266</v>
      </c>
      <c r="AH108" s="47" t="n">
        <f aca="false">-In_CIT*(MAX(0,AH102)+AH105)-In_RH_On*In_RH_Rate*MAX(0,AH102)</f>
        <v>-24.3493119964101</v>
      </c>
      <c r="AI108" s="47" t="n">
        <f aca="false">-In_CIT*(MAX(0,AI102)+AI105)-In_RH_On*In_RH_Rate*MAX(0,AI102)</f>
        <v>-24.4096316183647</v>
      </c>
      <c r="AJ108" s="47" t="n">
        <f aca="false">-In_CIT*(MAX(0,AJ102)+AJ105)-In_RH_On*In_RH_Rate*MAX(0,AJ102)</f>
        <v>-28.2357404358841</v>
      </c>
      <c r="AK108" s="47" t="n">
        <f aca="false">-In_CIT*(MAX(0,AK102)+AK105)-In_RH_On*In_RH_Rate*MAX(0,AK102)</f>
        <v>-29.6360960998512</v>
      </c>
      <c r="AL108" s="47" t="n">
        <f aca="false">-In_CIT*(MAX(0,AL102)+AL105)-In_RH_On*In_RH_Rate*MAX(0,AL102)</f>
        <v>-59.1140983486547</v>
      </c>
      <c r="AM108" s="47" t="n">
        <f aca="false">-In_CIT*(MAX(0,AM102)+AM105)-In_RH_On*In_RH_Rate*MAX(0,AM102)</f>
        <v>-59.1388082759686</v>
      </c>
      <c r="AN108" s="47" t="n">
        <f aca="false">-In_CIT*(MAX(0,AN102)+AN105)-In_RH_On*In_RH_Rate*MAX(0,AN102)</f>
        <v>-61.9433858529012</v>
      </c>
      <c r="AO108" s="47" t="n">
        <f aca="false">-In_CIT*(MAX(0,AO102)+AO105)-In_RH_On*In_RH_Rate*MAX(0,AO102)</f>
        <v>-64.7847322901398</v>
      </c>
      <c r="AP108" s="47" t="n">
        <f aca="false">-In_CIT*(MAX(0,AP102)+AP105)-In_RH_On*In_RH_Rate*MAX(0,AP102)</f>
        <v>-64.6465054949965</v>
      </c>
      <c r="AQ108" s="47" t="n">
        <f aca="false">-In_CIT*(MAX(0,AQ102)+AQ105)-In_RH_On*In_RH_Rate*MAX(0,AQ102)</f>
        <v>-64.6819574103418</v>
      </c>
      <c r="AR108" s="47" t="n">
        <f aca="false">-In_CIT*(MAX(0,AR102)+AR105)-In_RH_On*In_RH_Rate*MAX(0,AR102)</f>
        <v>-67.5556406368159</v>
      </c>
      <c r="AS108" s="47" t="n">
        <f aca="false">-In_CIT*(MAX(0,AS102)+AS105)-In_RH_On*In_RH_Rate*MAX(0,AS102)</f>
        <v>-70.4668212396922</v>
      </c>
      <c r="AT108" s="47" t="n">
        <f aca="false">-In_CIT*(MAX(0,AT102)+AT105)-In_RH_On*In_RH_Rate*MAX(0,AT102)</f>
        <v>-70.379697628074</v>
      </c>
      <c r="AU108" s="47" t="n">
        <f aca="false">-In_CIT*(MAX(0,AU102)+AU105)-In_RH_On*In_RH_Rate*MAX(0,AU102)</f>
        <v>-72.1716686270396</v>
      </c>
      <c r="AV108" s="47" t="n">
        <f aca="false">-In_CIT*(MAX(0,AV102)+AV105)-In_RH_On*In_RH_Rate*MAX(0,AV102)</f>
        <v>-73.3973490981996</v>
      </c>
      <c r="AW108" s="47" t="n">
        <f aca="false">-In_CIT*(MAX(0,AW102)+AW105)-In_RH_On*In_RH_Rate*MAX(0,AW102)</f>
        <v>-76.3808408201941</v>
      </c>
      <c r="AX108" s="47" t="n">
        <f aca="false">-In_CIT*(MAX(0,AX102)+AX105)-In_RH_On*In_RH_Rate*MAX(0,AX102)</f>
        <v>-76.3476639984779</v>
      </c>
      <c r="AY108" s="47" t="n">
        <f aca="false">-In_CIT*(MAX(0,AY102)+AY105)-In_RH_On*In_RH_Rate*MAX(0,AY102)</f>
        <v>-76.4112405203221</v>
      </c>
      <c r="AZ108" s="47" t="n">
        <f aca="false">-In_CIT*(MAX(0,AZ102)+AZ105)-In_RH_On*In_RH_Rate*MAX(0,AZ102)</f>
        <v>-79.4300307700056</v>
      </c>
      <c r="BA108" s="47" t="n">
        <f aca="false">-In_CIT*(MAX(0,BA102)+BA105)-In_RH_On*In_RH_Rate*MAX(0,BA102)</f>
        <v>-82.4878613797527</v>
      </c>
      <c r="BB108" s="47" t="n">
        <f aca="false">-In_CIT*(MAX(0,BB102)+BB105)-In_RH_On*In_RH_Rate*MAX(0,BB102)</f>
        <v>-82.5110342013121</v>
      </c>
      <c r="BC108" s="47" t="n">
        <f aca="false">-In_CIT*(MAX(0,BC102)+BC105)-In_RH_On*In_RH_Rate*MAX(0,BC102)</f>
        <v>-82.5919342882238</v>
      </c>
      <c r="BD108" s="47" t="n">
        <f aca="false">-In_CIT*(MAX(0,BD102)+BD105)-In_RH_On*In_RH_Rate*MAX(0,BD102)</f>
        <v>-85.6866509627309</v>
      </c>
      <c r="BE108" s="47" t="n">
        <f aca="false">-In_CIT*(MAX(0,BE102)+BE105)-In_RH_On*In_RH_Rate*MAX(0,BE102)</f>
        <v>-88.8212217590797</v>
      </c>
      <c r="BF108" s="47" t="n">
        <f aca="false">-In_CIT*(MAX(0,BF102)+BF105)-In_RH_On*In_RH_Rate*MAX(0,BF102)</f>
        <v>-88.9035388822021</v>
      </c>
      <c r="BG108" s="47" t="n">
        <f aca="false">-In_CIT*(MAX(0,BG102)+BG105)-In_RH_On*In_RH_Rate*MAX(0,BG102)</f>
        <v>-89.0041761436084</v>
      </c>
      <c r="BH108" s="47" t="n">
        <f aca="false">-In_CIT*(MAX(0,BH102)+BH105)-In_RH_On*In_RH_Rate*MAX(0,BH102)</f>
        <v>-92.1772994845312</v>
      </c>
      <c r="BI108" s="47" t="n">
        <f aca="false">-In_CIT*(MAX(0,BI102)+BI105)-In_RH_On*In_RH_Rate*MAX(0,BI102)</f>
        <v>-95.3911216653173</v>
      </c>
      <c r="BJ108" s="47" t="n">
        <f aca="false">-In_CIT*(MAX(0,BJ102)+BJ105)-In_RH_On*In_RH_Rate*MAX(0,BJ102)</f>
        <v>-95.5355032620366</v>
      </c>
      <c r="BK108" s="47" t="n">
        <f aca="false">-In_CIT*(MAX(0,BK102)+BK105)-In_RH_On*In_RH_Rate*MAX(0,BK102)</f>
        <v>-97.4420956489128</v>
      </c>
      <c r="BL108" s="47" t="n">
        <f aca="false">-In_CIT*(MAX(0,BL102)+BL105)-In_RH_On*In_RH_Rate*MAX(0,BL102)</f>
        <v>-98.9371760647151</v>
      </c>
      <c r="BM108" s="47" t="n">
        <f aca="false">-In_CIT*(MAX(0,BM102)+BM105)-In_RH_On*In_RH_Rate*MAX(0,BM102)</f>
        <v>-102.233159762028</v>
      </c>
      <c r="BN108" s="47" t="n">
        <f aca="false">-In_CIT*(MAX(0,BN102)+BN105)-In_RH_On*In_RH_Rate*MAX(0,BN102)</f>
        <v>-102.442944268163</v>
      </c>
      <c r="BO108" s="47" t="n">
        <f aca="false">-In_CIT*(MAX(0,BO102)+BO105)-In_RH_On*In_RH_Rate*MAX(0,BO102)</f>
        <v>-102.591075104862</v>
      </c>
      <c r="BP108" s="47" t="n">
        <f aca="false">-In_CIT*(MAX(0,BP102)+BP105)-In_RH_On*In_RH_Rate*MAX(0,BP102)</f>
        <v>-105.929206633562</v>
      </c>
      <c r="BQ108" s="47" t="n">
        <f aca="false">-In_CIT*(MAX(0,BQ102)+BQ105)-In_RH_On*In_RH_Rate*MAX(0,BQ102)</f>
        <v>-109.309828330968</v>
      </c>
      <c r="BR108" s="47" t="n">
        <f aca="false">-In_CIT*(MAX(0,BR102)+BR105)-In_RH_On*In_RH_Rate*MAX(0,BR102)</f>
        <v>-109.587930669537</v>
      </c>
      <c r="BS108" s="47" t="n">
        <f aca="false">-In_CIT*(MAX(0,BS102)+BS105)-In_RH_On*In_RH_Rate*MAX(0,BS102)</f>
        <v>-109.763799497775</v>
      </c>
      <c r="BT108" s="47" t="n">
        <f aca="false">-In_CIT*(MAX(0,BT102)+BT105)-In_RH_On*In_RH_Rate*MAX(0,BT102)</f>
        <v>-113.188496638927</v>
      </c>
      <c r="BU108" s="47" t="n">
        <f aca="false">-In_CIT*(MAX(0,BU102)+BU105)-In_RH_On*In_RH_Rate*MAX(0,BU102)</f>
        <v>-116.656630320845</v>
      </c>
      <c r="BV108" s="47" t="n">
        <f aca="false">-In_CIT*(MAX(0,BV102)+BV105)-In_RH_On*In_RH_Rate*MAX(0,BV102)</f>
        <v>-117.006383029464</v>
      </c>
      <c r="BW108" s="47" t="n">
        <f aca="false">-In_CIT*(MAX(0,BW102)+BW105)-In_RH_On*In_RH_Rate*MAX(0,BW102)</f>
        <v>-117.212921327665</v>
      </c>
      <c r="BX108" s="47" t="n">
        <f aca="false">-In_CIT*(MAX(0,BX102)+BX105)-In_RH_On*In_RH_Rate*MAX(0,BX102)</f>
        <v>-120.727153567121</v>
      </c>
      <c r="BY108" s="47" t="n">
        <f aca="false">-In_CIT*(MAX(0,BY102)+BY105)-In_RH_On*In_RH_Rate*MAX(0,BY102)</f>
        <v>-124.285805660262</v>
      </c>
      <c r="BZ108" s="47" t="n">
        <f aca="false">-In_CIT*(MAX(0,BZ102)+BZ105)-In_RH_On*In_RH_Rate*MAX(0,BZ102)</f>
        <v>-124.710691195163</v>
      </c>
      <c r="CA108" s="47" t="n">
        <f aca="false">-In_CIT*(MAX(0,CA102)+CA105)-In_RH_On*In_RH_Rate*MAX(0,CA102)</f>
        <v>-126.767754996827</v>
      </c>
      <c r="CB108" s="47" t="n">
        <f aca="false">-In_CIT*(MAX(0,CB102)+CB105)-In_RH_On*In_RH_Rate*MAX(0,CB102)</f>
        <v>-128.582673540203</v>
      </c>
      <c r="CC108" s="47" t="n">
        <f aca="false">-In_CIT*(MAX(0,CC102)+CC105)-In_RH_On*In_RH_Rate*MAX(0,CC102)</f>
        <v>-132.235275141588</v>
      </c>
      <c r="CD108" s="47" t="n">
        <f aca="false">-In_CIT*(MAX(0,CD102)+CD105)-In_RH_On*In_RH_Rate*MAX(0,CD102)</f>
        <v>-132.739221897094</v>
      </c>
      <c r="CE108" s="47" t="n">
        <f aca="false">-In_CIT*(MAX(0,CE102)+CE105)-In_RH_On*In_RH_Rate*MAX(0,CE102)</f>
        <v>-133.016771913353</v>
      </c>
      <c r="CF108" s="47" t="n">
        <f aca="false">-In_CIT*(MAX(0,CF102)+CF105)-In_RH_On*In_RH_Rate*MAX(0,CF102)</f>
        <v>-136.719833584584</v>
      </c>
      <c r="CG108" s="47" t="n">
        <f aca="false">-In_CIT*(MAX(0,CG102)+CG105)-In_RH_On*In_RH_Rate*MAX(0,CG102)</f>
        <v>-140.469402732316</v>
      </c>
      <c r="CH108" s="47" t="n">
        <f aca="false">-In_CIT*(MAX(0,CH102)+CH105)-In_RH_On*In_RH_Rate*MAX(0,CH102)</f>
        <v>-141.055938099427</v>
      </c>
      <c r="CI108" s="47" t="n">
        <f aca="false">-In_CIT*(MAX(0,CI102)+CI105)-In_RH_On*In_RH_Rate*MAX(0,CI102)</f>
        <v>-141.373861633447</v>
      </c>
      <c r="CJ108" s="47" t="n">
        <f aca="false">-In_CIT*(MAX(0,CJ102)+CJ105)-In_RH_On*In_RH_Rate*MAX(0,CJ102)</f>
        <v>-145.17622968348</v>
      </c>
      <c r="CK108" s="47" t="n">
        <f aca="false">-In_CIT*(MAX(0,CK102)+CK105)-In_RH_On*In_RH_Rate*MAX(0,CK102)</f>
        <v>-149.026209852655</v>
      </c>
      <c r="CL108" s="47" t="n">
        <f aca="false">-In_CIT*(MAX(0,CL102)+CL105)-In_RH_On*In_RH_Rate*MAX(0,CL102)</f>
        <v>-149.699308819472</v>
      </c>
      <c r="CM108" s="47" t="n">
        <f aca="false">-In_CIT*(MAX(0,CM102)+CM105)-In_RH_On*In_RH_Rate*MAX(0,CM102)</f>
        <v>-150.061158827962</v>
      </c>
      <c r="CN108" s="47" t="n">
        <f aca="false">-In_CIT*(MAX(0,CN102)+CN105)-In_RH_On*In_RH_Rate*MAX(0,CN102)</f>
        <v>-153.966392194361</v>
      </c>
      <c r="CO108" s="47" t="n">
        <f aca="false">-In_CIT*(MAX(0,CO102)+CO105)-In_RH_On*In_RH_Rate*MAX(0,CO102)</f>
        <v>-157.920386440533</v>
      </c>
      <c r="CP108" s="47" t="n">
        <f aca="false">-In_CIT*(MAX(0,CP102)+CP105)-In_RH_On*In_RH_Rate*MAX(0,CP102)</f>
        <v>-158.684203132044</v>
      </c>
      <c r="CQ108" s="47" t="n">
        <f aca="false">-In_CIT*(MAX(0,CQ102)+CQ105)-In_RH_On*In_RH_Rate*MAX(0,CQ102)</f>
        <v>-160.935697290514</v>
      </c>
      <c r="CR108" s="47" t="n">
        <f aca="false">-In_CIT*(MAX(0,CR102)+CR105)-In_RH_On*In_RH_Rate*MAX(0,CR102)</f>
        <v>-163.130493908741</v>
      </c>
      <c r="CS108" s="47" t="n">
        <f aca="false">-In_CIT*(MAX(0,CS102)+CS105)-In_RH_On*In_RH_Rate*MAX(0,CS102)</f>
        <v>-167.19255999996</v>
      </c>
      <c r="CT108" s="47" t="n">
        <f aca="false">-In_CIT*(MAX(0,CT102)+CT105)-In_RH_On*In_RH_Rate*MAX(0,CT102)</f>
        <v>-168.051726678946</v>
      </c>
      <c r="CU108" s="47" t="n">
        <f aca="false">-In_CIT*(MAX(0,CU102)+CU105)-In_RH_On*In_RH_Rate*MAX(0,CU102)</f>
        <v>-166.224183016148</v>
      </c>
      <c r="CV108" s="47" t="n">
        <f aca="false">-In_CIT*(MAX(0,CV102)+CV105)-In_RH_On*In_RH_Rate*MAX(0,CV102)</f>
        <v>-168.071118382994</v>
      </c>
      <c r="CW108" s="47" t="n">
        <f aca="false">-In_CIT*(MAX(0,CW102)+CW105)-In_RH_On*In_RH_Rate*MAX(0,CW102)</f>
        <v>-169.91805374984</v>
      </c>
      <c r="CX108" s="47" t="n">
        <f aca="false">-In_CIT*(MAX(0,CX102)+CX105)-In_RH_On*In_RH_Rate*MAX(0,CX102)</f>
        <v>-168.498164540174</v>
      </c>
      <c r="CY108" s="47" t="n">
        <f aca="false">-In_CIT*(MAX(0,CY102)+CY105)-In_RH_On*In_RH_Rate*MAX(0,CY102)</f>
        <v>-166.617041396964</v>
      </c>
      <c r="CZ108" s="47" t="n">
        <f aca="false">-In_CIT*(MAX(0,CZ102)+CZ105)-In_RH_On*In_RH_Rate*MAX(0,CZ102)</f>
        <v>-168.46834185693</v>
      </c>
      <c r="DA108" s="47" t="n">
        <f aca="false">-In_CIT*(MAX(0,DA102)+DA105)-In_RH_On*In_RH_Rate*MAX(0,DA102)</f>
        <v>-170.319642316896</v>
      </c>
      <c r="DB108" s="47" t="n">
        <f aca="false">-In_CIT*(MAX(0,DB102)+DB105)-In_RH_On*In_RH_Rate*MAX(0,DB102)</f>
        <v>-375.486699874706</v>
      </c>
      <c r="DC108" s="47" t="n">
        <f aca="false">-In_CIT*(MAX(0,DC102)+DC105)-In_RH_On*In_RH_Rate*MAX(0,DC102)</f>
        <v>-369.060276869219</v>
      </c>
      <c r="DD108" s="47" t="n">
        <f aca="false">-In_CIT*(MAX(0,DD102)+DD105)-In_RH_On*In_RH_Rate*MAX(0,DD102)</f>
        <v>-373.160946612211</v>
      </c>
      <c r="DE108" s="47" t="n">
        <f aca="false">-In_CIT*(MAX(0,DE102)+DE105)-In_RH_On*In_RH_Rate*MAX(0,DE102)</f>
        <v>-377.261616355202</v>
      </c>
      <c r="DF108" s="47" t="n">
        <f aca="false">-In_CIT*(MAX(0,DF102)+DF105)-In_RH_On*In_RH_Rate*MAX(0,DF102)</f>
        <v>-375.824783779586</v>
      </c>
      <c r="DG108" s="47" t="n">
        <f aca="false">-In_CIT*(MAX(0,DG102)+DG105)-In_RH_On*In_RH_Rate*MAX(0,DG102)</f>
        <v>-373.447561715863</v>
      </c>
      <c r="DH108" s="47" t="n">
        <f aca="false">-In_CIT*(MAX(0,DH102)+DH105)-In_RH_On*In_RH_Rate*MAX(0,DH102)</f>
        <v>-373.447561715863</v>
      </c>
      <c r="DI108" s="47" t="n">
        <f aca="false">-In_CIT*(MAX(0,DI102)+DI105)-In_RH_On*In_RH_Rate*MAX(0,DI102)</f>
        <v>-377.551381075378</v>
      </c>
      <c r="DJ108" s="47" t="n">
        <f aca="false">-In_CIT*(MAX(0,DJ102)+DJ105)-In_RH_On*In_RH_Rate*MAX(0,DJ102)</f>
        <v>-376.106053012438</v>
      </c>
      <c r="DK108" s="47" t="n">
        <f aca="false">-In_CIT*(MAX(0,DK102)+DK105)-In_RH_On*In_RH_Rate*MAX(0,DK102)</f>
        <v>-369.569862589467</v>
      </c>
      <c r="DL108" s="47" t="n">
        <f aca="false">-In_CIT*(MAX(0,DL102)+DL105)-In_RH_On*In_RH_Rate*MAX(0,DL102)</f>
        <v>-373.676194396016</v>
      </c>
      <c r="DM108" s="47" t="n">
        <f aca="false">-In_CIT*(MAX(0,DM102)+DM105)-In_RH_On*In_RH_Rate*MAX(0,DM102)</f>
        <v>-377.782526202566</v>
      </c>
      <c r="DN108" s="47" t="n">
        <f aca="false">-In_CIT*(MAX(0,DN102)+DN105)-In_RH_On*In_RH_Rate*MAX(0,DN102)</f>
        <v>-376.328687856252</v>
      </c>
      <c r="DO108" s="47" t="n">
        <f aca="false">-In_CIT*(MAX(0,DO102)+DO105)-In_RH_On*In_RH_Rate*MAX(0,DO102)</f>
        <v>-369.736810251908</v>
      </c>
      <c r="DP108" s="47" t="n">
        <f aca="false">-In_CIT*(MAX(0,DP102)+DP105)-In_RH_On*In_RH_Rate*MAX(0,DP102)</f>
        <v>-373.844997032485</v>
      </c>
      <c r="DQ108" s="47" t="n">
        <f aca="false">-In_CIT*(MAX(0,DQ102)+DQ105)-In_RH_On*In_RH_Rate*MAX(0,DQ102)</f>
        <v>-377.953183813062</v>
      </c>
      <c r="DR108" s="47" t="n">
        <f aca="false">-In_CIT*(MAX(0,DR102)+DR105)-In_RH_On*In_RH_Rate*MAX(0,DR102)</f>
        <v>-376.490821224723</v>
      </c>
      <c r="DS108" s="47" t="n">
        <f aca="false">-In_CIT*(MAX(0,DS102)+DS105)-In_RH_On*In_RH_Rate*MAX(0,DS102)</f>
        <v>-369.842710510588</v>
      </c>
      <c r="DT108" s="47" t="n">
        <f aca="false">-In_CIT*(MAX(0,DT102)+DT105)-In_RH_On*In_RH_Rate*MAX(0,DT102)</f>
        <v>-373.952073960705</v>
      </c>
      <c r="DU108" s="47" t="n">
        <f aca="false">-In_CIT*(MAX(0,DU102)+DU105)-In_RH_On*In_RH_Rate*MAX(0,DU102)</f>
        <v>-378.061437410823</v>
      </c>
      <c r="DV108" s="47" t="n">
        <f aca="false">-In_CIT*(MAX(0,DV102)+DV105)-In_RH_On*In_RH_Rate*MAX(0,DV102)</f>
        <v>-376.590537485769</v>
      </c>
      <c r="DW108" s="47" t="n">
        <f aca="false">-In_CIT*(MAX(0,DW102)+DW105)-In_RH_On*In_RH_Rate*MAX(0,DW102)</f>
        <v>-373.995480278811</v>
      </c>
      <c r="DX108" s="47" t="n">
        <f aca="false">-In_CIT*(MAX(0,DX102)+DX105)-In_RH_On*In_RH_Rate*MAX(0,DX102)</f>
        <v>-373.995480278811</v>
      </c>
      <c r="DY108" s="47" t="n">
        <f aca="false">-In_CIT*(MAX(0,DY102)+DY105)-In_RH_On*In_RH_Rate*MAX(0,DY102)</f>
        <v>-378.105320721435</v>
      </c>
      <c r="DZ108" s="47" t="n">
        <f aca="false">-In_CIT*(MAX(0,DZ102)+DZ105)-In_RH_On*In_RH_Rate*MAX(0,DZ102)</f>
        <v>-376.625871256129</v>
      </c>
      <c r="EA108" s="47" t="n">
        <f aca="false">-In_CIT*(MAX(0,EA102)+EA105)-In_RH_On*In_RH_Rate*MAX(0,EA102)</f>
        <v>-369.863624794353</v>
      </c>
      <c r="EB108" s="47" t="n">
        <f aca="false">-In_CIT*(MAX(0,EB102)+EB105)-In_RH_On*In_RH_Rate*MAX(0,EB102)</f>
        <v>-373.973220625401</v>
      </c>
      <c r="EC108" s="47" t="n">
        <f aca="false">-In_CIT*(MAX(0,EC102)+EC105)-In_RH_On*In_RH_Rate*MAX(0,EC102)</f>
        <v>-378.08281645645</v>
      </c>
      <c r="ED108" s="47" t="n">
        <f aca="false">-In_CIT*(MAX(0,ED102)+ED105)-In_RH_On*In_RH_Rate*MAX(0,ED102)</f>
        <v>-376.59480616636</v>
      </c>
      <c r="EE108" s="47" t="n">
        <f aca="false">-In_CIT*(MAX(0,EE102)+EE105)-In_RH_On*In_RH_Rate*MAX(0,EE102)</f>
        <v>-369.774640807209</v>
      </c>
      <c r="EF108" s="47" t="n">
        <f aca="false">-In_CIT*(MAX(0,EF102)+EF105)-In_RH_On*In_RH_Rate*MAX(0,EF102)</f>
        <v>-373.883247927289</v>
      </c>
      <c r="EG108" s="47" t="n">
        <f aca="false">-In_CIT*(MAX(0,EG102)+EG105)-In_RH_On*In_RH_Rate*MAX(0,EG102)</f>
        <v>-377.991855047369</v>
      </c>
      <c r="EH108" s="47" t="n">
        <f aca="false">-In_CIT*(MAX(0,EH102)+EH105)-In_RH_On*In_RH_Rate*MAX(0,EH102)</f>
        <v>-376.495273595488</v>
      </c>
      <c r="EI108" s="47" t="n">
        <f aca="false">-In_CIT*(MAX(0,EI102)+EI105)-In_RH_On*In_RH_Rate*MAX(0,EI102)</f>
        <v>-369.616610884433</v>
      </c>
      <c r="EJ108" s="47" t="n">
        <f aca="false">-In_CIT*(MAX(0,EJ102)+EJ105)-In_RH_On*In_RH_Rate*MAX(0,EJ102)</f>
        <v>-373.723462116482</v>
      </c>
      <c r="EK108" s="47" t="n">
        <f aca="false">-In_CIT*(MAX(0,EK102)+EK105)-In_RH_On*In_RH_Rate*MAX(0,EK102)</f>
        <v>-377.830313348532</v>
      </c>
      <c r="EL108" s="47" t="n">
        <f aca="false">-In_CIT*(MAX(0,EL102)+EL105)-In_RH_On*In_RH_Rate*MAX(0,EL102)</f>
        <v>-376.325151374579</v>
      </c>
      <c r="EM108" s="47" t="n">
        <f aca="false">-In_CIT*(MAX(0,EM102)+EM105)-In_RH_On*In_RH_Rate*MAX(0,EM102)</f>
        <v>-373.491708815651</v>
      </c>
      <c r="EN108" s="47" t="n">
        <f aca="false">-In_CIT*(MAX(0,EN102)+EN105)-In_RH_On*In_RH_Rate*MAX(0,EN102)</f>
        <v>-373.491708815651</v>
      </c>
      <c r="EO108" s="47" t="n">
        <f aca="false">-In_CIT*(MAX(0,EO102)+EO105)-In_RH_On*In_RH_Rate*MAX(0,EO102)</f>
        <v>-377.596013308131</v>
      </c>
    </row>
    <row r="109" customFormat="false" ht="15" hidden="false" customHeight="false" outlineLevel="0" collapsed="false">
      <c r="C109" s="0" t="s">
        <v>469</v>
      </c>
      <c r="D109" s="11" t="s">
        <v>33</v>
      </c>
      <c r="I109" s="47" t="n">
        <f aca="false">SUM(J109:EO109)</f>
        <v>1.46505403364472E-007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9.88471526852663E-011</v>
      </c>
      <c r="AB109" s="47" t="n">
        <f aca="false">ABS(AB108-AB82)</f>
        <v>1.93015381455552E-010</v>
      </c>
      <c r="AC109" s="47" t="n">
        <f aca="false">ABS(AC108-AC82)</f>
        <v>2.84853030052545E-010</v>
      </c>
      <c r="AD109" s="47" t="n">
        <f aca="false">ABS(AD108-AD82)</f>
        <v>3.74118513946087E-010</v>
      </c>
      <c r="AE109" s="47" t="n">
        <f aca="false">ABS(AE108-AE82)</f>
        <v>4.59184690271286E-010</v>
      </c>
      <c r="AF109" s="47" t="n">
        <f aca="false">ABS(AF108-AF82)</f>
        <v>5.39770894647518E-010</v>
      </c>
      <c r="AG109" s="47" t="n">
        <f aca="false">ABS(AG108-AG82)</f>
        <v>6.16118711604941E-010</v>
      </c>
      <c r="AH109" s="47" t="n">
        <f aca="false">ABS(AH108-AH82)</f>
        <v>6.89137635845327E-010</v>
      </c>
      <c r="AI109" s="47" t="n">
        <f aca="false">ABS(AI108-AI82)</f>
        <v>7.57211182644824E-010</v>
      </c>
      <c r="AJ109" s="47" t="n">
        <f aca="false">ABS(AJ108-AJ82)</f>
        <v>8.19056822365383E-010</v>
      </c>
      <c r="AK109" s="47" t="n">
        <f aca="false">ABS(AK108-AK82)</f>
        <v>8.78426220651818E-010</v>
      </c>
      <c r="AL109" s="47" t="n">
        <f aca="false">ABS(AL108-AL82)</f>
        <v>1.8676828972275E-009</v>
      </c>
      <c r="AM109" s="47" t="n">
        <f aca="false">ABS(AM108-AM82)</f>
        <v>1.83987225454985E-009</v>
      </c>
      <c r="AN109" s="47" t="n">
        <f aca="false">ABS(AN108-AN82)</f>
        <v>1.78280856744095E-009</v>
      </c>
      <c r="AO109" s="47" t="n">
        <f aca="false">ABS(AO108-AO82)</f>
        <v>1.70301461821509E-009</v>
      </c>
      <c r="AP109" s="47" t="n">
        <f aca="false">ABS(AP108-AP82)</f>
        <v>1.60167701324099E-009</v>
      </c>
      <c r="AQ109" s="47" t="n">
        <f aca="false">ABS(AQ108-AQ82)</f>
        <v>1.47718992593582E-009</v>
      </c>
      <c r="AR109" s="47" t="n">
        <f aca="false">ABS(AR108-AR82)</f>
        <v>1.32865807245253E-009</v>
      </c>
      <c r="AS109" s="47" t="n">
        <f aca="false">ABS(AS108-AS82)</f>
        <v>1.16295950647327E-009</v>
      </c>
      <c r="AT109" s="47" t="n">
        <f aca="false">ABS(AT108-AT82)</f>
        <v>9.81586367743148E-010</v>
      </c>
      <c r="AU109" s="47" t="n">
        <f aca="false">ABS(AU108-AU82)</f>
        <v>7.8334494446608E-010</v>
      </c>
      <c r="AV109" s="47" t="n">
        <f aca="false">ABS(AV108-AV82)</f>
        <v>5.69613689549442E-010</v>
      </c>
      <c r="AW109" s="47" t="n">
        <f aca="false">ABS(AW108-AW82)</f>
        <v>3.43220563081559E-010</v>
      </c>
      <c r="AX109" s="47" t="n">
        <f aca="false">ABS(AX108-AX82)</f>
        <v>1.08045128399681E-010</v>
      </c>
      <c r="AY109" s="47" t="n">
        <f aca="false">ABS(AY108-AY82)</f>
        <v>1.36893163471541E-010</v>
      </c>
      <c r="AZ109" s="47" t="n">
        <f aca="false">ABS(AZ108-AZ82)</f>
        <v>3.92219590139575E-010</v>
      </c>
      <c r="BA109" s="47" t="n">
        <f aca="false">ABS(BA108-BA82)</f>
        <v>6.50587139716663E-010</v>
      </c>
      <c r="BB109" s="47" t="n">
        <f aca="false">ABS(BB108-BB82)</f>
        <v>9.10233666218119E-010</v>
      </c>
      <c r="BC109" s="47" t="n">
        <f aca="false">ABS(BC108-BC82)</f>
        <v>1.17222498374758E-009</v>
      </c>
      <c r="BD109" s="47" t="n">
        <f aca="false">ABS(BD108-BD82)</f>
        <v>1.43715794820309E-009</v>
      </c>
      <c r="BE109" s="47" t="n">
        <f aca="false">ABS(BE108-BE82)</f>
        <v>1.69769975855161E-009</v>
      </c>
      <c r="BF109" s="47" t="n">
        <f aca="false">ABS(BF108-BF82)</f>
        <v>1.95221616650088E-009</v>
      </c>
      <c r="BG109" s="47" t="n">
        <f aca="false">ABS(BG108-BG82)</f>
        <v>2.20181561871868E-009</v>
      </c>
      <c r="BH109" s="47" t="n">
        <f aca="false">ABS(BH108-BH82)</f>
        <v>2.44733655563323E-009</v>
      </c>
      <c r="BI109" s="47" t="n">
        <f aca="false">ABS(BI108-BI82)</f>
        <v>2.68154565219447E-009</v>
      </c>
      <c r="BJ109" s="47" t="n">
        <f aca="false">ABS(BJ108-BJ82)</f>
        <v>2.90303603378561E-009</v>
      </c>
      <c r="BK109" s="47" t="n">
        <f aca="false">ABS(BK108-BK82)</f>
        <v>3.11320036416873E-009</v>
      </c>
      <c r="BL109" s="47" t="n">
        <f aca="false">ABS(BL108-BL82)</f>
        <v>3.31100125094963E-009</v>
      </c>
      <c r="BM109" s="47" t="n">
        <f aca="false">ABS(BM108-BM82)</f>
        <v>3.49399442711729E-009</v>
      </c>
      <c r="BN109" s="47" t="n">
        <f aca="false">ABS(BN108-BN82)</f>
        <v>3.65876928754005E-009</v>
      </c>
      <c r="BO109" s="47" t="n">
        <f aca="false">ABS(BO108-BO82)</f>
        <v>3.80717324333091E-009</v>
      </c>
      <c r="BP109" s="47" t="n">
        <f aca="false">ABS(BP108-BP82)</f>
        <v>3.94064159081609E-009</v>
      </c>
      <c r="BQ109" s="47" t="n">
        <f aca="false">ABS(BQ108-BQ82)</f>
        <v>4.05277944537374E-009</v>
      </c>
      <c r="BR109" s="47" t="n">
        <f aca="false">ABS(BR108-BR82)</f>
        <v>4.1429473185417E-009</v>
      </c>
      <c r="BS109" s="47" t="n">
        <f aca="false">ABS(BS108-BS82)</f>
        <v>4.21339052536496E-009</v>
      </c>
      <c r="BT109" s="47" t="n">
        <f aca="false">ABS(BT108-BT82)</f>
        <v>4.26618385063193E-009</v>
      </c>
      <c r="BU109" s="47" t="n">
        <f aca="false">ABS(BU108-BU82)</f>
        <v>4.29534452450753E-009</v>
      </c>
      <c r="BV109" s="47" t="n">
        <f aca="false">ABS(BV108-BV82)</f>
        <v>4.30081570357288E-009</v>
      </c>
      <c r="BW109" s="47" t="n">
        <f aca="false">ABS(BW108-BW82)</f>
        <v>4.28543955877103E-009</v>
      </c>
      <c r="BX109" s="47" t="n">
        <f aca="false">ABS(BX108-BX82)</f>
        <v>4.25188773078844E-009</v>
      </c>
      <c r="BY109" s="47" t="n">
        <f aca="false">ABS(BY108-BY82)</f>
        <v>4.19477430568804E-009</v>
      </c>
      <c r="BZ109" s="47" t="n">
        <f aca="false">ABS(BZ108-BZ82)</f>
        <v>4.11458245253016E-009</v>
      </c>
      <c r="CA109" s="47" t="n">
        <f aca="false">ABS(CA108-CA82)</f>
        <v>4.0148790958483E-009</v>
      </c>
      <c r="CB109" s="47" t="n">
        <f aca="false">ABS(CB108-CB82)</f>
        <v>3.89678689316497E-009</v>
      </c>
      <c r="CC109" s="47" t="n">
        <f aca="false">ABS(CC108-CC82)</f>
        <v>3.75990794054815E-009</v>
      </c>
      <c r="CD109" s="47" t="n">
        <f aca="false">ABS(CD108-CD82)</f>
        <v>3.60313379133004E-009</v>
      </c>
      <c r="CE109" s="47" t="n">
        <f aca="false">ABS(CE108-CE82)</f>
        <v>3.43055717166862E-009</v>
      </c>
      <c r="CF109" s="47" t="n">
        <f aca="false">ABS(CF108-CF82)</f>
        <v>3.24607185575587E-009</v>
      </c>
      <c r="CG109" s="47" t="n">
        <f aca="false">ABS(CG108-CG82)</f>
        <v>3.04549985230551E-009</v>
      </c>
      <c r="CH109" s="47" t="n">
        <f aca="false">ABS(CH108-CH82)</f>
        <v>2.83037593362678E-009</v>
      </c>
      <c r="CI109" s="47" t="n">
        <f aca="false">ABS(CI108-CI82)</f>
        <v>2.60550336861343E-009</v>
      </c>
      <c r="CJ109" s="47" t="n">
        <f aca="false">ABS(CJ108-CJ82)</f>
        <v>2.37520225709886E-009</v>
      </c>
      <c r="CK109" s="47" t="n">
        <f aca="false">ABS(CK108-CK82)</f>
        <v>2.13569251172885E-009</v>
      </c>
      <c r="CL109" s="47" t="n">
        <f aca="false">ABS(CL108-CL82)</f>
        <v>1.88902049558237E-009</v>
      </c>
      <c r="CM109" s="47" t="n">
        <f aca="false">ABS(CM108-CM82)</f>
        <v>1.64027369464748E-009</v>
      </c>
      <c r="CN109" s="47" t="n">
        <f aca="false">ABS(CN108-CN82)</f>
        <v>1.39414169098018E-009</v>
      </c>
      <c r="CO109" s="47" t="n">
        <f aca="false">ABS(CO108-CO82)</f>
        <v>1.14704334919225E-009</v>
      </c>
      <c r="CP109" s="47" t="n">
        <f aca="false">ABS(CP108-CP82)</f>
        <v>9.01309249456972E-010</v>
      </c>
      <c r="CQ109" s="47" t="n">
        <f aca="false">ABS(CQ108-CQ82)</f>
        <v>6.6197003434354E-010</v>
      </c>
      <c r="CR109" s="47" t="n">
        <f aca="false">ABS(CR108-CR82)</f>
        <v>4.31640501119546E-010</v>
      </c>
      <c r="CS109" s="47" t="n">
        <f aca="false">ABS(CS108-CS82)</f>
        <v>2.11088035939611E-010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470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90363.75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4141.29604359987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111764.960945581</v>
      </c>
    </row>
    <row r="120" customFormat="false" ht="15" hidden="false" customHeight="false" outlineLevel="0" collapsed="false">
      <c r="C120" s="0" t="s">
        <v>471</v>
      </c>
      <c r="D120" s="11" t="s">
        <v>33</v>
      </c>
      <c r="E120" s="47" t="n">
        <f aca="false">$E119-$E94</f>
        <v>53628.9259222578</v>
      </c>
      <c r="F120" s="47" t="n">
        <f aca="false">$E120+$E97</f>
        <v>54856.1728716606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0.520163336804906</v>
      </c>
    </row>
    <row r="122" customFormat="false" ht="15" hidden="false" customHeight="false" outlineLevel="0" collapsed="false">
      <c r="C122" s="0" t="s">
        <v>472</v>
      </c>
      <c r="D122" s="11" t="s">
        <v>33</v>
      </c>
      <c r="E122" s="47" t="n">
        <f aca="false">$E84*In_DSCR/In_DSCR_Max_Low</f>
        <v>100857.276484541</v>
      </c>
      <c r="F122" s="47" t="n">
        <f aca="false">$E84*In_DSCR/In_DSCR_Max_High</f>
        <v>92452.5034441622</v>
      </c>
    </row>
    <row r="123" customFormat="false" ht="15" hidden="false" customHeight="false" outlineLevel="0" collapsed="false">
      <c r="C123" s="0" t="s">
        <v>473</v>
      </c>
      <c r="D123" s="11" t="s">
        <v>27</v>
      </c>
      <c r="E123" s="48" t="n">
        <f aca="false">$E122/$E119</f>
        <v>0.902405151232042</v>
      </c>
      <c r="F123" s="48" t="n">
        <f aca="false">$F122/$E119</f>
        <v>0.827204721962705</v>
      </c>
    </row>
    <row r="125" customFormat="false" ht="15" hidden="false" customHeight="false" outlineLevel="0" collapsed="false">
      <c r="A125" s="9" t="s">
        <v>13</v>
      </c>
      <c r="B125" s="9"/>
      <c r="C125" s="9" t="s">
        <v>120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</row>
    <row r="126" customFormat="false" ht="15" hidden="false" customHeight="false" outlineLevel="0" collapsed="false">
      <c r="C126" s="0" t="s">
        <v>474</v>
      </c>
      <c r="D126" s="11" t="s">
        <v>33</v>
      </c>
      <c r="I126" s="47" t="n">
        <f aca="false">SUM(J126:EO126)</f>
        <v>-53628.9259222578</v>
      </c>
      <c r="J126" s="47" t="n">
        <f aca="false">(J59+J66+J91+J95+J96+J79)*(J$4&lt;=In_COD)</f>
        <v>-4662.80993807469</v>
      </c>
      <c r="K126" s="47" t="n">
        <f aca="false">(K59+K66+K91+K95+K96+K79)*(K$4&lt;=In_COD)</f>
        <v>-706.535577057768</v>
      </c>
      <c r="L126" s="47" t="n">
        <f aca="false">(L59+L66+L91+L95+L96+L79)*(L$4&lt;=In_COD)</f>
        <v>-104.360496659404</v>
      </c>
      <c r="M126" s="47" t="n">
        <f aca="false">(M59+M66+M91+M95+M96+M79)*(M$4&lt;=In_COD)</f>
        <v>-105.507315304013</v>
      </c>
      <c r="N126" s="47" t="n">
        <f aca="false">(N59+N66+N91+N95+N96+N79)*(N$4&lt;=In_COD)</f>
        <v>-105.507315304013</v>
      </c>
      <c r="O126" s="47" t="n">
        <f aca="false">(O59+O66+O91+O95+O96+O79)*(O$4&lt;=In_COD)</f>
        <v>-104.360496659404</v>
      </c>
      <c r="P126" s="47" t="n">
        <f aca="false">(P59+P66+P91+P95+P96+P79)*(P$4&lt;=In_COD)</f>
        <v>-104.360496659404</v>
      </c>
      <c r="Q126" s="47" t="n">
        <f aca="false">(Q59+Q66+Q91+Q95+Q96+Q79)*(Q$4&lt;=In_COD)</f>
        <v>-105.507315304013</v>
      </c>
      <c r="R126" s="47" t="n">
        <f aca="false">(R59+R66+R91+R95+R96+R79)*(R$4&lt;=In_COD)</f>
        <v>-6343.24141455136</v>
      </c>
      <c r="S126" s="47" t="n">
        <f aca="false">(S59+S66+S91+S95+S96+S79)*(S$4&lt;=In_COD)</f>
        <v>-8866.86817882802</v>
      </c>
      <c r="T126" s="47" t="n">
        <f aca="false">(T59+T66+T91+T95+T96+T79)*(T$4&lt;=In_COD)</f>
        <v>-5231.13156786321</v>
      </c>
      <c r="U126" s="47" t="n">
        <f aca="false">(U59+U66+U91+U95+U96+U79)*(U$4&lt;=In_COD)</f>
        <v>-5274.56210977118</v>
      </c>
      <c r="V126" s="47" t="n">
        <f aca="false">(V59+V66+V91+V95+V96+V79)*(V$4&lt;=In_COD)</f>
        <v>-5260.35324521498</v>
      </c>
      <c r="W126" s="47" t="n">
        <f aca="false">(W59+W66+W91+W95+W96+W79)*(W$4&lt;=In_COD)</f>
        <v>-5133.13969486067</v>
      </c>
      <c r="X126" s="47" t="n">
        <f aca="false">(X59+X66+X91+X95+X96+X79)*(X$4&lt;=In_COD)</f>
        <v>-5176.42569086062</v>
      </c>
      <c r="Y126" s="47" t="n">
        <f aca="false">(Y59+Y66+Y91+Y95+Y96+Y79)*(Y$4&lt;=In_COD)</f>
        <v>-6344.25506928505</v>
      </c>
      <c r="Z126" s="47" t="n">
        <f aca="false">(Z59+Z66+Z91+Z95+Z96+Z79)*(Z$4&lt;=In_COD)</f>
        <v>0</v>
      </c>
      <c r="AA126" s="47" t="n">
        <f aca="false">(AA59+AA66+AA91+AA95+AA96+AA79)*(AA$4&lt;=In_COD)</f>
        <v>0</v>
      </c>
      <c r="AB126" s="47" t="n">
        <f aca="false">(AB59+AB66+AB91+AB95+AB96+AB79)*(AB$4&lt;=In_COD)</f>
        <v>0</v>
      </c>
      <c r="AC126" s="47" t="n">
        <f aca="false">(AC59+AC66+AC91+AC95+AC96+AC79)*(AC$4&lt;=In_COD)</f>
        <v>0</v>
      </c>
      <c r="AD126" s="47" t="n">
        <f aca="false">(AD59+AD66+AD91+AD95+AD96+AD79)*(AD$4&lt;=In_COD)</f>
        <v>0</v>
      </c>
      <c r="AE126" s="47" t="n">
        <f aca="false">(AE59+AE66+AE91+AE95+AE96+AE79)*(AE$4&lt;=In_COD)</f>
        <v>0</v>
      </c>
      <c r="AF126" s="47" t="n">
        <f aca="false">(AF59+AF66+AF91+AF95+AF96+AF79)*(AF$4&lt;=In_COD)</f>
        <v>0</v>
      </c>
      <c r="AG126" s="47" t="n">
        <f aca="false">(AG59+AG66+AG91+AG95+AG96+AG79)*(AG$4&lt;=In_COD)</f>
        <v>0</v>
      </c>
      <c r="AH126" s="47" t="n">
        <f aca="false">(AH59+AH66+AH91+AH95+AH96+AH79)*(AH$4&lt;=In_COD)</f>
        <v>0</v>
      </c>
      <c r="AI126" s="47" t="n">
        <f aca="false">(AI59+AI66+AI91+AI95+AI96+AI79)*(AI$4&lt;=In_COD)</f>
        <v>0</v>
      </c>
      <c r="AJ126" s="47" t="n">
        <f aca="false">(AJ59+AJ66+AJ91+AJ95+AJ96+AJ79)*(AJ$4&lt;=In_COD)</f>
        <v>0</v>
      </c>
      <c r="AK126" s="47" t="n">
        <f aca="false">(AK59+AK66+AK91+AK95+AK96+AK79)*(AK$4&lt;=In_COD)</f>
        <v>0</v>
      </c>
      <c r="AL126" s="47" t="n">
        <f aca="false">(AL59+AL66+AL91+AL95+AL96+AL79)*(AL$4&lt;=In_COD)</f>
        <v>0</v>
      </c>
      <c r="AM126" s="47" t="n">
        <f aca="false">(AM59+AM66+AM91+AM95+AM96+AM79)*(AM$4&lt;=In_COD)</f>
        <v>0</v>
      </c>
      <c r="AN126" s="47" t="n">
        <f aca="false">(AN59+AN66+AN91+AN95+AN96+AN79)*(AN$4&lt;=In_COD)</f>
        <v>0</v>
      </c>
      <c r="AO126" s="47" t="n">
        <f aca="false">(AO59+AO66+AO91+AO95+AO96+AO79)*(AO$4&lt;=In_COD)</f>
        <v>0</v>
      </c>
      <c r="AP126" s="47" t="n">
        <f aca="false">(AP59+AP66+AP91+AP95+AP96+AP79)*(AP$4&lt;=In_COD)</f>
        <v>0</v>
      </c>
      <c r="AQ126" s="47" t="n">
        <f aca="false">(AQ59+AQ66+AQ91+AQ95+AQ96+AQ79)*(AQ$4&lt;=In_COD)</f>
        <v>0</v>
      </c>
      <c r="AR126" s="47" t="n">
        <f aca="false">(AR59+AR66+AR91+AR95+AR96+AR79)*(AR$4&lt;=In_COD)</f>
        <v>0</v>
      </c>
      <c r="AS126" s="47" t="n">
        <f aca="false">(AS59+AS66+AS91+AS95+AS96+AS79)*(AS$4&lt;=In_COD)</f>
        <v>0</v>
      </c>
      <c r="AT126" s="47" t="n">
        <f aca="false">(AT59+AT66+AT91+AT95+AT96+AT79)*(AT$4&lt;=In_COD)</f>
        <v>0</v>
      </c>
      <c r="AU126" s="47" t="n">
        <f aca="false">(AU59+AU66+AU91+AU95+AU96+AU79)*(AU$4&lt;=In_COD)</f>
        <v>0</v>
      </c>
      <c r="AV126" s="47" t="n">
        <f aca="false">(AV59+AV66+AV91+AV95+AV96+AV79)*(AV$4&lt;=In_COD)</f>
        <v>0</v>
      </c>
      <c r="AW126" s="47" t="n">
        <f aca="false">(AW59+AW66+AW91+AW95+AW96+AW79)*(AW$4&lt;=In_COD)</f>
        <v>0</v>
      </c>
      <c r="AX126" s="47" t="n">
        <f aca="false">(AX59+AX66+AX91+AX95+AX96+AX79)*(AX$4&lt;=In_COD)</f>
        <v>0</v>
      </c>
      <c r="AY126" s="47" t="n">
        <f aca="false">(AY59+AY66+AY91+AY95+AY96+AY79)*(AY$4&lt;=In_COD)</f>
        <v>0</v>
      </c>
      <c r="AZ126" s="47" t="n">
        <f aca="false">(AZ59+AZ66+AZ91+AZ95+AZ96+AZ79)*(AZ$4&lt;=In_COD)</f>
        <v>0</v>
      </c>
      <c r="BA126" s="47" t="n">
        <f aca="false">(BA59+BA66+BA91+BA95+BA96+BA79)*(BA$4&lt;=In_COD)</f>
        <v>0</v>
      </c>
      <c r="BB126" s="47" t="n">
        <f aca="false">(BB59+BB66+BB91+BB95+BB96+BB79)*(BB$4&lt;=In_COD)</f>
        <v>0</v>
      </c>
      <c r="BC126" s="47" t="n">
        <f aca="false">(BC59+BC66+BC91+BC95+BC96+BC79)*(BC$4&lt;=In_COD)</f>
        <v>0</v>
      </c>
      <c r="BD126" s="47" t="n">
        <f aca="false">(BD59+BD66+BD91+BD95+BD96+BD79)*(BD$4&lt;=In_COD)</f>
        <v>0</v>
      </c>
      <c r="BE126" s="47" t="n">
        <f aca="false">(BE59+BE66+BE91+BE95+BE96+BE79)*(BE$4&lt;=In_COD)</f>
        <v>0</v>
      </c>
      <c r="BF126" s="47" t="n">
        <f aca="false">(BF59+BF66+BF91+BF95+BF96+BF79)*(BF$4&lt;=In_COD)</f>
        <v>0</v>
      </c>
      <c r="BG126" s="47" t="n">
        <f aca="false">(BG59+BG66+BG91+BG95+BG96+BG79)*(BG$4&lt;=In_COD)</f>
        <v>0</v>
      </c>
      <c r="BH126" s="47" t="n">
        <f aca="false">(BH59+BH66+BH91+BH95+BH96+BH79)*(BH$4&lt;=In_COD)</f>
        <v>0</v>
      </c>
      <c r="BI126" s="47" t="n">
        <f aca="false">(BI59+BI66+BI91+BI95+BI96+BI79)*(BI$4&lt;=In_COD)</f>
        <v>0</v>
      </c>
      <c r="BJ126" s="47" t="n">
        <f aca="false">(BJ59+BJ66+BJ91+BJ95+BJ96+BJ79)*(BJ$4&lt;=In_COD)</f>
        <v>0</v>
      </c>
      <c r="BK126" s="47" t="n">
        <f aca="false">(BK59+BK66+BK91+BK95+BK96+BK79)*(BK$4&lt;=In_COD)</f>
        <v>0</v>
      </c>
      <c r="BL126" s="47" t="n">
        <f aca="false">(BL59+BL66+BL91+BL95+BL96+BL79)*(BL$4&lt;=In_COD)</f>
        <v>0</v>
      </c>
      <c r="BM126" s="47" t="n">
        <f aca="false">(BM59+BM66+BM91+BM95+BM96+BM79)*(BM$4&lt;=In_COD)</f>
        <v>0</v>
      </c>
      <c r="BN126" s="47" t="n">
        <f aca="false">(BN59+BN66+BN91+BN95+BN96+BN79)*(BN$4&lt;=In_COD)</f>
        <v>0</v>
      </c>
      <c r="BO126" s="47" t="n">
        <f aca="false">(BO59+BO66+BO91+BO95+BO96+BO79)*(BO$4&lt;=In_COD)</f>
        <v>0</v>
      </c>
      <c r="BP126" s="47" t="n">
        <f aca="false">(BP59+BP66+BP91+BP95+BP96+BP79)*(BP$4&lt;=In_COD)</f>
        <v>0</v>
      </c>
      <c r="BQ126" s="47" t="n">
        <f aca="false">(BQ59+BQ66+BQ91+BQ95+BQ96+BQ79)*(BQ$4&lt;=In_COD)</f>
        <v>0</v>
      </c>
      <c r="BR126" s="47" t="n">
        <f aca="false">(BR59+BR66+BR91+BR95+BR96+BR79)*(BR$4&lt;=In_COD)</f>
        <v>0</v>
      </c>
      <c r="BS126" s="47" t="n">
        <f aca="false">(BS59+BS66+BS91+BS95+BS96+BS79)*(BS$4&lt;=In_COD)</f>
        <v>0</v>
      </c>
      <c r="BT126" s="47" t="n">
        <f aca="false">(BT59+BT66+BT91+BT95+BT96+BT79)*(BT$4&lt;=In_COD)</f>
        <v>0</v>
      </c>
      <c r="BU126" s="47" t="n">
        <f aca="false">(BU59+BU66+BU91+BU95+BU96+BU79)*(BU$4&lt;=In_COD)</f>
        <v>0</v>
      </c>
      <c r="BV126" s="47" t="n">
        <f aca="false">(BV59+BV66+BV91+BV95+BV96+BV79)*(BV$4&lt;=In_COD)</f>
        <v>0</v>
      </c>
      <c r="BW126" s="47" t="n">
        <f aca="false">(BW59+BW66+BW91+BW95+BW96+BW79)*(BW$4&lt;=In_COD)</f>
        <v>0</v>
      </c>
      <c r="BX126" s="47" t="n">
        <f aca="false">(BX59+BX66+BX91+BX95+BX96+BX79)*(BX$4&lt;=In_COD)</f>
        <v>0</v>
      </c>
      <c r="BY126" s="47" t="n">
        <f aca="false">(BY59+BY66+BY91+BY95+BY96+BY79)*(BY$4&lt;=In_COD)</f>
        <v>0</v>
      </c>
      <c r="BZ126" s="47" t="n">
        <f aca="false">(BZ59+BZ66+BZ91+BZ95+BZ96+BZ79)*(BZ$4&lt;=In_COD)</f>
        <v>0</v>
      </c>
      <c r="CA126" s="47" t="n">
        <f aca="false">(CA59+CA66+CA91+CA95+CA96+CA79)*(CA$4&lt;=In_COD)</f>
        <v>0</v>
      </c>
      <c r="CB126" s="47" t="n">
        <f aca="false">(CB59+CB66+CB91+CB95+CB96+CB79)*(CB$4&lt;=In_COD)</f>
        <v>0</v>
      </c>
      <c r="CC126" s="47" t="n">
        <f aca="false">(CC59+CC66+CC91+CC95+CC96+CC79)*(CC$4&lt;=In_COD)</f>
        <v>0</v>
      </c>
      <c r="CD126" s="47" t="n">
        <f aca="false">(CD59+CD66+CD91+CD95+CD96+CD79)*(CD$4&lt;=In_COD)</f>
        <v>0</v>
      </c>
      <c r="CE126" s="47" t="n">
        <f aca="false">(CE59+CE66+CE91+CE95+CE96+CE79)*(CE$4&lt;=In_COD)</f>
        <v>0</v>
      </c>
      <c r="CF126" s="47" t="n">
        <f aca="false">(CF59+CF66+CF91+CF95+CF96+CF79)*(CF$4&lt;=In_COD)</f>
        <v>0</v>
      </c>
      <c r="CG126" s="47" t="n">
        <f aca="false">(CG59+CG66+CG91+CG95+CG96+CG79)*(CG$4&lt;=In_COD)</f>
        <v>0</v>
      </c>
      <c r="CH126" s="47" t="n">
        <f aca="false">(CH59+CH66+CH91+CH95+CH96+CH79)*(CH$4&lt;=In_COD)</f>
        <v>0</v>
      </c>
      <c r="CI126" s="47" t="n">
        <f aca="false">(CI59+CI66+CI91+CI95+CI96+CI79)*(CI$4&lt;=In_COD)</f>
        <v>0</v>
      </c>
      <c r="CJ126" s="47" t="n">
        <f aca="false">(CJ59+CJ66+CJ91+CJ95+CJ96+CJ79)*(CJ$4&lt;=In_COD)</f>
        <v>0</v>
      </c>
      <c r="CK126" s="47" t="n">
        <f aca="false">(CK59+CK66+CK91+CK95+CK96+CK79)*(CK$4&lt;=In_COD)</f>
        <v>0</v>
      </c>
      <c r="CL126" s="47" t="n">
        <f aca="false">(CL59+CL66+CL91+CL95+CL96+CL79)*(CL$4&lt;=In_COD)</f>
        <v>0</v>
      </c>
      <c r="CM126" s="47" t="n">
        <f aca="false">(CM59+CM66+CM91+CM95+CM96+CM79)*(CM$4&lt;=In_COD)</f>
        <v>0</v>
      </c>
      <c r="CN126" s="47" t="n">
        <f aca="false">(CN59+CN66+CN91+CN95+CN96+CN79)*(CN$4&lt;=In_COD)</f>
        <v>0</v>
      </c>
      <c r="CO126" s="47" t="n">
        <f aca="false">(CO59+CO66+CO91+CO95+CO96+CO79)*(CO$4&lt;=In_COD)</f>
        <v>0</v>
      </c>
      <c r="CP126" s="47" t="n">
        <f aca="false">(CP59+CP66+CP91+CP95+CP96+CP79)*(CP$4&lt;=In_COD)</f>
        <v>0</v>
      </c>
      <c r="CQ126" s="47" t="n">
        <f aca="false">(CQ59+CQ66+CQ91+CQ95+CQ96+CQ79)*(CQ$4&lt;=In_COD)</f>
        <v>0</v>
      </c>
      <c r="CR126" s="47" t="n">
        <f aca="false">(CR59+CR66+CR91+CR95+CR96+CR79)*(CR$4&lt;=In_COD)</f>
        <v>0</v>
      </c>
      <c r="CS126" s="47" t="n">
        <f aca="false">(CS59+CS66+CS91+CS95+CS96+CS79)*(CS$4&lt;=In_COD)</f>
        <v>0</v>
      </c>
      <c r="CT126" s="47" t="n">
        <f aca="false">(CT59+CT66+CT91+CT95+CT96+CT79)*(CT$4&lt;=In_COD)</f>
        <v>0</v>
      </c>
      <c r="CU126" s="47" t="n">
        <f aca="false">(CU59+CU66+CU91+CU95+CU96+CU79)*(CU$4&lt;=In_COD)</f>
        <v>0</v>
      </c>
      <c r="CV126" s="47" t="n">
        <f aca="false">(CV59+CV66+CV91+CV95+CV96+CV79)*(CV$4&lt;=In_COD)</f>
        <v>0</v>
      </c>
      <c r="CW126" s="47" t="n">
        <f aca="false">(CW59+CW66+CW91+CW95+CW96+CW79)*(CW$4&lt;=In_COD)</f>
        <v>0</v>
      </c>
      <c r="CX126" s="47" t="n">
        <f aca="false">(CX59+CX66+CX91+CX95+CX96+CX79)*(CX$4&lt;=In_COD)</f>
        <v>0</v>
      </c>
      <c r="CY126" s="47" t="n">
        <f aca="false">(CY59+CY66+CY91+CY95+CY96+CY79)*(CY$4&lt;=In_COD)</f>
        <v>0</v>
      </c>
      <c r="CZ126" s="47" t="n">
        <f aca="false">(CZ59+CZ66+CZ91+CZ95+CZ96+CZ79)*(CZ$4&lt;=In_COD)</f>
        <v>0</v>
      </c>
      <c r="DA126" s="47" t="n">
        <f aca="false">(DA59+DA66+DA91+DA95+DA96+DA79)*(DA$4&lt;=In_COD)</f>
        <v>0</v>
      </c>
      <c r="DB126" s="47" t="n">
        <f aca="false">(DB59+DB66+DB91+DB95+DB96+DB79)*(DB$4&lt;=In_COD)</f>
        <v>0</v>
      </c>
      <c r="DC126" s="47" t="n">
        <f aca="false">(DC59+DC66+DC91+DC95+DC96+DC79)*(DC$4&lt;=In_COD)</f>
        <v>0</v>
      </c>
      <c r="DD126" s="47" t="n">
        <f aca="false">(DD59+DD66+DD91+DD95+DD96+DD79)*(DD$4&lt;=In_COD)</f>
        <v>0</v>
      </c>
      <c r="DE126" s="47" t="n">
        <f aca="false">(DE59+DE66+DE91+DE95+DE96+DE79)*(DE$4&lt;=In_COD)</f>
        <v>0</v>
      </c>
      <c r="DF126" s="47" t="n">
        <f aca="false">(DF59+DF66+DF91+DF95+DF96+DF79)*(DF$4&lt;=In_COD)</f>
        <v>0</v>
      </c>
      <c r="DG126" s="47" t="n">
        <f aca="false">(DG59+DG66+DG91+DG95+DG96+DG79)*(DG$4&lt;=In_COD)</f>
        <v>0</v>
      </c>
      <c r="DH126" s="47" t="n">
        <f aca="false">(DH59+DH66+DH91+DH95+DH96+DH79)*(DH$4&lt;=In_COD)</f>
        <v>0</v>
      </c>
      <c r="DI126" s="47" t="n">
        <f aca="false">(DI59+DI66+DI91+DI95+DI96+DI79)*(DI$4&lt;=In_COD)</f>
        <v>0</v>
      </c>
      <c r="DJ126" s="47" t="n">
        <f aca="false">(DJ59+DJ66+DJ91+DJ95+DJ96+DJ79)*(DJ$4&lt;=In_COD)</f>
        <v>0</v>
      </c>
      <c r="DK126" s="47" t="n">
        <f aca="false">(DK59+DK66+DK91+DK95+DK96+DK79)*(DK$4&lt;=In_COD)</f>
        <v>0</v>
      </c>
      <c r="DL126" s="47" t="n">
        <f aca="false">(DL59+DL66+DL91+DL95+DL96+DL79)*(DL$4&lt;=In_COD)</f>
        <v>0</v>
      </c>
      <c r="DM126" s="47" t="n">
        <f aca="false">(DM59+DM66+DM91+DM95+DM96+DM79)*(DM$4&lt;=In_COD)</f>
        <v>0</v>
      </c>
      <c r="DN126" s="47" t="n">
        <f aca="false">(DN59+DN66+DN91+DN95+DN96+DN79)*(DN$4&lt;=In_COD)</f>
        <v>0</v>
      </c>
      <c r="DO126" s="47" t="n">
        <f aca="false">(DO59+DO66+DO91+DO95+DO96+DO79)*(DO$4&lt;=In_COD)</f>
        <v>0</v>
      </c>
      <c r="DP126" s="47" t="n">
        <f aca="false">(DP59+DP66+DP91+DP95+DP96+DP79)*(DP$4&lt;=In_COD)</f>
        <v>0</v>
      </c>
      <c r="DQ126" s="47" t="n">
        <f aca="false">(DQ59+DQ66+DQ91+DQ95+DQ96+DQ79)*(DQ$4&lt;=In_COD)</f>
        <v>0</v>
      </c>
      <c r="DR126" s="47" t="n">
        <f aca="false">(DR59+DR66+DR91+DR95+DR96+DR79)*(DR$4&lt;=In_COD)</f>
        <v>0</v>
      </c>
      <c r="DS126" s="47" t="n">
        <f aca="false">(DS59+DS66+DS91+DS95+DS96+DS79)*(DS$4&lt;=In_COD)</f>
        <v>0</v>
      </c>
      <c r="DT126" s="47" t="n">
        <f aca="false">(DT59+DT66+DT91+DT95+DT96+DT79)*(DT$4&lt;=In_COD)</f>
        <v>0</v>
      </c>
      <c r="DU126" s="47" t="n">
        <f aca="false">(DU59+DU66+DU91+DU95+DU96+DU79)*(DU$4&lt;=In_COD)</f>
        <v>0</v>
      </c>
      <c r="DV126" s="47" t="n">
        <f aca="false">(DV59+DV66+DV91+DV95+DV96+DV79)*(DV$4&lt;=In_COD)</f>
        <v>0</v>
      </c>
      <c r="DW126" s="47" t="n">
        <f aca="false">(DW59+DW66+DW91+DW95+DW96+DW79)*(DW$4&lt;=In_COD)</f>
        <v>0</v>
      </c>
      <c r="DX126" s="47" t="n">
        <f aca="false">(DX59+DX66+DX91+DX95+DX96+DX79)*(DX$4&lt;=In_COD)</f>
        <v>0</v>
      </c>
      <c r="DY126" s="47" t="n">
        <f aca="false">(DY59+DY66+DY91+DY95+DY96+DY79)*(DY$4&lt;=In_COD)</f>
        <v>0</v>
      </c>
      <c r="DZ126" s="47" t="n">
        <f aca="false">(DZ59+DZ66+DZ91+DZ95+DZ96+DZ79)*(DZ$4&lt;=In_COD)</f>
        <v>0</v>
      </c>
      <c r="EA126" s="47" t="n">
        <f aca="false">(EA59+EA66+EA91+EA95+EA96+EA79)*(EA$4&lt;=In_COD)</f>
        <v>0</v>
      </c>
      <c r="EB126" s="47" t="n">
        <f aca="false">(EB59+EB66+EB91+EB95+EB96+EB79)*(EB$4&lt;=In_COD)</f>
        <v>0</v>
      </c>
      <c r="EC126" s="47" t="n">
        <f aca="false">(EC59+EC66+EC91+EC95+EC96+EC79)*(EC$4&lt;=In_COD)</f>
        <v>0</v>
      </c>
      <c r="ED126" s="47" t="n">
        <f aca="false">(ED59+ED66+ED91+ED95+ED96+ED79)*(ED$4&lt;=In_COD)</f>
        <v>0</v>
      </c>
      <c r="EE126" s="47" t="n">
        <f aca="false">(EE59+EE66+EE91+EE95+EE96+EE79)*(EE$4&lt;=In_COD)</f>
        <v>0</v>
      </c>
      <c r="EF126" s="47" t="n">
        <f aca="false">(EF59+EF66+EF91+EF95+EF96+EF79)*(EF$4&lt;=In_COD)</f>
        <v>0</v>
      </c>
      <c r="EG126" s="47" t="n">
        <f aca="false">(EG59+EG66+EG91+EG95+EG96+EG79)*(EG$4&lt;=In_COD)</f>
        <v>0</v>
      </c>
      <c r="EH126" s="47" t="n">
        <f aca="false">(EH59+EH66+EH91+EH95+EH96+EH79)*(EH$4&lt;=In_COD)</f>
        <v>0</v>
      </c>
      <c r="EI126" s="47" t="n">
        <f aca="false">(EI59+EI66+EI91+EI95+EI96+EI79)*(EI$4&lt;=In_COD)</f>
        <v>0</v>
      </c>
      <c r="EJ126" s="47" t="n">
        <f aca="false">(EJ59+EJ66+EJ91+EJ95+EJ96+EJ79)*(EJ$4&lt;=In_COD)</f>
        <v>0</v>
      </c>
      <c r="EK126" s="47" t="n">
        <f aca="false">(EK59+EK66+EK91+EK95+EK96+EK79)*(EK$4&lt;=In_COD)</f>
        <v>0</v>
      </c>
      <c r="EL126" s="47" t="n">
        <f aca="false">(EL59+EL66+EL91+EL95+EL96+EL79)*(EL$4&lt;=In_COD)</f>
        <v>0</v>
      </c>
      <c r="EM126" s="47" t="n">
        <f aca="false">(EM59+EM66+EM91+EM95+EM96+EM79)*(EM$4&lt;=In_COD)</f>
        <v>0</v>
      </c>
      <c r="EN126" s="47" t="n">
        <f aca="false">(EN59+EN66+EN91+EN95+EN96+EN79)*(EN$4&lt;=In_COD)</f>
        <v>0</v>
      </c>
      <c r="EO126" s="47" t="n">
        <f aca="false">(EO59+EO66+EO91+EO95+EO96+EO79)*(EO$4&lt;=In_COD)</f>
        <v>0</v>
      </c>
    </row>
    <row r="127" customFormat="false" ht="15" hidden="false" customHeight="false" outlineLevel="0" collapsed="false">
      <c r="C127" s="0" t="s">
        <v>475</v>
      </c>
      <c r="D127" s="11" t="s">
        <v>33</v>
      </c>
      <c r="E127" s="47" t="n">
        <f aca="false">IF($E38=1,In_COD_Price,In_COD_Price_CN)*$F24*(1-$E27)</f>
        <v>134137.5</v>
      </c>
    </row>
    <row r="128" customFormat="false" ht="15" hidden="false" customHeight="false" outlineLevel="0" collapsed="false">
      <c r="C128" s="0" t="s">
        <v>476</v>
      </c>
      <c r="D128" s="11" t="s">
        <v>33</v>
      </c>
      <c r="E128" s="47" t="n">
        <f aca="false">$E127+$I58-$E94-In_Sale_Costs</f>
        <v>75501.4649766765</v>
      </c>
    </row>
    <row r="129" customFormat="false" ht="15" hidden="false" customHeight="false" outlineLevel="0" collapsed="false">
      <c r="C129" s="0" t="s">
        <v>123</v>
      </c>
      <c r="D129" s="11" t="s">
        <v>33</v>
      </c>
      <c r="E129" s="47" t="n">
        <f aca="false">-In_CIT*In_Sale_Gain_Taxed*MAX(0,$E128+$I126)</f>
        <v>-0</v>
      </c>
    </row>
    <row r="130" customFormat="false" ht="15" hidden="false" customHeight="false" outlineLevel="0" collapsed="false">
      <c r="C130" s="25" t="s">
        <v>477</v>
      </c>
      <c r="D130" s="11" t="s">
        <v>33</v>
      </c>
      <c r="I130" s="56" t="n">
        <f aca="false">SUM(J130:EO130)</f>
        <v>21872.5390544187</v>
      </c>
      <c r="J130" s="56" t="n">
        <f aca="false">J126+($E128+$E129)*J14</f>
        <v>-4662.80993807469</v>
      </c>
      <c r="K130" s="56" t="n">
        <f aca="false">K126+($E128+$E129)*K14</f>
        <v>-706.535577057768</v>
      </c>
      <c r="L130" s="56" t="n">
        <f aca="false">L126+($E128+$E129)*L14</f>
        <v>-104.360496659404</v>
      </c>
      <c r="M130" s="56" t="n">
        <f aca="false">M126+($E128+$E129)*M14</f>
        <v>-105.507315304013</v>
      </c>
      <c r="N130" s="56" t="n">
        <f aca="false">N126+($E128+$E129)*N14</f>
        <v>-105.507315304013</v>
      </c>
      <c r="O130" s="56" t="n">
        <f aca="false">O126+($E128+$E129)*O14</f>
        <v>-104.360496659404</v>
      </c>
      <c r="P130" s="56" t="n">
        <f aca="false">P126+($E128+$E129)*P14</f>
        <v>-104.360496659404</v>
      </c>
      <c r="Q130" s="56" t="n">
        <f aca="false">Q126+($E128+$E129)*Q14</f>
        <v>-105.507315304013</v>
      </c>
      <c r="R130" s="56" t="n">
        <f aca="false">R126+($E128+$E129)*R14</f>
        <v>-6343.24141455136</v>
      </c>
      <c r="S130" s="56" t="n">
        <f aca="false">S126+($E128+$E129)*S14</f>
        <v>-8866.86817882802</v>
      </c>
      <c r="T130" s="56" t="n">
        <f aca="false">T126+($E128+$E129)*T14</f>
        <v>-5231.13156786321</v>
      </c>
      <c r="U130" s="56" t="n">
        <f aca="false">U126+($E128+$E129)*U14</f>
        <v>-5274.56210977118</v>
      </c>
      <c r="V130" s="56" t="n">
        <f aca="false">V126+($E128+$E129)*V14</f>
        <v>-5260.35324521498</v>
      </c>
      <c r="W130" s="56" t="n">
        <f aca="false">W126+($E128+$E129)*W14</f>
        <v>-5133.13969486067</v>
      </c>
      <c r="X130" s="56" t="n">
        <f aca="false">X126+($E128+$E129)*X14</f>
        <v>-5176.42569086062</v>
      </c>
      <c r="Y130" s="56" t="n">
        <f aca="false">Y126+($E128+$E129)*Y14</f>
        <v>69157.2099073914</v>
      </c>
      <c r="Z130" s="56" t="n">
        <f aca="false">Z126+($E128+$E129)*Z14</f>
        <v>0</v>
      </c>
      <c r="AA130" s="56" t="n">
        <f aca="false">AA126+($E128+$E129)*AA14</f>
        <v>0</v>
      </c>
      <c r="AB130" s="56" t="n">
        <f aca="false">AB126+($E128+$E129)*AB14</f>
        <v>0</v>
      </c>
      <c r="AC130" s="56" t="n">
        <f aca="false">AC126+($E128+$E129)*AC14</f>
        <v>0</v>
      </c>
      <c r="AD130" s="56" t="n">
        <f aca="false">AD126+($E128+$E129)*AD14</f>
        <v>0</v>
      </c>
      <c r="AE130" s="56" t="n">
        <f aca="false">AE126+($E128+$E129)*AE14</f>
        <v>0</v>
      </c>
      <c r="AF130" s="56" t="n">
        <f aca="false">AF126+($E128+$E129)*AF14</f>
        <v>0</v>
      </c>
      <c r="AG130" s="56" t="n">
        <f aca="false">AG126+($E128+$E129)*AG14</f>
        <v>0</v>
      </c>
      <c r="AH130" s="56" t="n">
        <f aca="false">AH126+($E128+$E129)*AH14</f>
        <v>0</v>
      </c>
      <c r="AI130" s="56" t="n">
        <f aca="false">AI126+($E128+$E129)*AI14</f>
        <v>0</v>
      </c>
      <c r="AJ130" s="56" t="n">
        <f aca="false">AJ126+($E128+$E129)*AJ14</f>
        <v>0</v>
      </c>
      <c r="AK130" s="56" t="n">
        <f aca="false">AK126+($E128+$E129)*AK14</f>
        <v>0</v>
      </c>
      <c r="AL130" s="56" t="n">
        <f aca="false">AL126+($E128+$E129)*AL14</f>
        <v>0</v>
      </c>
      <c r="AM130" s="56" t="n">
        <f aca="false">AM126+($E128+$E129)*AM14</f>
        <v>0</v>
      </c>
      <c r="AN130" s="56" t="n">
        <f aca="false">AN126+($E128+$E129)*AN14</f>
        <v>0</v>
      </c>
      <c r="AO130" s="56" t="n">
        <f aca="false">AO126+($E128+$E129)*AO14</f>
        <v>0</v>
      </c>
      <c r="AP130" s="56" t="n">
        <f aca="false">AP126+($E128+$E129)*AP14</f>
        <v>0</v>
      </c>
      <c r="AQ130" s="56" t="n">
        <f aca="false">AQ126+($E128+$E129)*AQ14</f>
        <v>0</v>
      </c>
      <c r="AR130" s="56" t="n">
        <f aca="false">AR126+($E128+$E129)*AR14</f>
        <v>0</v>
      </c>
      <c r="AS130" s="56" t="n">
        <f aca="false">AS126+($E128+$E129)*AS14</f>
        <v>0</v>
      </c>
      <c r="AT130" s="56" t="n">
        <f aca="false">AT126+($E128+$E129)*AT14</f>
        <v>0</v>
      </c>
      <c r="AU130" s="56" t="n">
        <f aca="false">AU126+($E128+$E129)*AU14</f>
        <v>0</v>
      </c>
      <c r="AV130" s="56" t="n">
        <f aca="false">AV126+($E128+$E129)*AV14</f>
        <v>0</v>
      </c>
      <c r="AW130" s="56" t="n">
        <f aca="false">AW126+($E128+$E129)*AW14</f>
        <v>0</v>
      </c>
      <c r="AX130" s="56" t="n">
        <f aca="false">AX126+($E128+$E129)*AX14</f>
        <v>0</v>
      </c>
      <c r="AY130" s="56" t="n">
        <f aca="false">AY126+($E128+$E129)*AY14</f>
        <v>0</v>
      </c>
      <c r="AZ130" s="56" t="n">
        <f aca="false">AZ126+($E128+$E129)*AZ14</f>
        <v>0</v>
      </c>
      <c r="BA130" s="56" t="n">
        <f aca="false">BA126+($E128+$E129)*BA14</f>
        <v>0</v>
      </c>
      <c r="BB130" s="56" t="n">
        <f aca="false">BB126+($E128+$E129)*BB14</f>
        <v>0</v>
      </c>
      <c r="BC130" s="56" t="n">
        <f aca="false">BC126+($E128+$E129)*BC14</f>
        <v>0</v>
      </c>
      <c r="BD130" s="56" t="n">
        <f aca="false">BD126+($E128+$E129)*BD14</f>
        <v>0</v>
      </c>
      <c r="BE130" s="56" t="n">
        <f aca="false">BE126+($E128+$E129)*BE14</f>
        <v>0</v>
      </c>
      <c r="BF130" s="56" t="n">
        <f aca="false">BF126+($E128+$E129)*BF14</f>
        <v>0</v>
      </c>
      <c r="BG130" s="56" t="n">
        <f aca="false">BG126+($E128+$E129)*BG14</f>
        <v>0</v>
      </c>
      <c r="BH130" s="56" t="n">
        <f aca="false">BH126+($E128+$E129)*BH14</f>
        <v>0</v>
      </c>
      <c r="BI130" s="56" t="n">
        <f aca="false">BI126+($E128+$E129)*BI14</f>
        <v>0</v>
      </c>
      <c r="BJ130" s="56" t="n">
        <f aca="false">BJ126+($E128+$E129)*BJ14</f>
        <v>0</v>
      </c>
      <c r="BK130" s="56" t="n">
        <f aca="false">BK126+($E128+$E129)*BK14</f>
        <v>0</v>
      </c>
      <c r="BL130" s="56" t="n">
        <f aca="false">BL126+($E128+$E129)*BL14</f>
        <v>0</v>
      </c>
      <c r="BM130" s="56" t="n">
        <f aca="false">BM126+($E128+$E129)*BM14</f>
        <v>0</v>
      </c>
      <c r="BN130" s="56" t="n">
        <f aca="false">BN126+($E128+$E129)*BN14</f>
        <v>0</v>
      </c>
      <c r="BO130" s="56" t="n">
        <f aca="false">BO126+($E128+$E129)*BO14</f>
        <v>0</v>
      </c>
      <c r="BP130" s="56" t="n">
        <f aca="false">BP126+($E128+$E129)*BP14</f>
        <v>0</v>
      </c>
      <c r="BQ130" s="56" t="n">
        <f aca="false">BQ126+($E128+$E129)*BQ14</f>
        <v>0</v>
      </c>
      <c r="BR130" s="56" t="n">
        <f aca="false">BR126+($E128+$E129)*BR14</f>
        <v>0</v>
      </c>
      <c r="BS130" s="56" t="n">
        <f aca="false">BS126+($E128+$E129)*BS14</f>
        <v>0</v>
      </c>
      <c r="BT130" s="56" t="n">
        <f aca="false">BT126+($E128+$E129)*BT14</f>
        <v>0</v>
      </c>
      <c r="BU130" s="56" t="n">
        <f aca="false">BU126+($E128+$E129)*BU14</f>
        <v>0</v>
      </c>
      <c r="BV130" s="56" t="n">
        <f aca="false">BV126+($E128+$E129)*BV14</f>
        <v>0</v>
      </c>
      <c r="BW130" s="56" t="n">
        <f aca="false">BW126+($E128+$E129)*BW14</f>
        <v>0</v>
      </c>
      <c r="BX130" s="56" t="n">
        <f aca="false">BX126+($E128+$E129)*BX14</f>
        <v>0</v>
      </c>
      <c r="BY130" s="56" t="n">
        <f aca="false">BY126+($E128+$E129)*BY14</f>
        <v>0</v>
      </c>
      <c r="BZ130" s="56" t="n">
        <f aca="false">BZ126+($E128+$E129)*BZ14</f>
        <v>0</v>
      </c>
      <c r="CA130" s="56" t="n">
        <f aca="false">CA126+($E128+$E129)*CA14</f>
        <v>0</v>
      </c>
      <c r="CB130" s="56" t="n">
        <f aca="false">CB126+($E128+$E129)*CB14</f>
        <v>0</v>
      </c>
      <c r="CC130" s="56" t="n">
        <f aca="false">CC126+($E128+$E129)*CC14</f>
        <v>0</v>
      </c>
      <c r="CD130" s="56" t="n">
        <f aca="false">CD126+($E128+$E129)*CD14</f>
        <v>0</v>
      </c>
      <c r="CE130" s="56" t="n">
        <f aca="false">CE126+($E128+$E129)*CE14</f>
        <v>0</v>
      </c>
      <c r="CF130" s="56" t="n">
        <f aca="false">CF126+($E128+$E129)*CF14</f>
        <v>0</v>
      </c>
      <c r="CG130" s="56" t="n">
        <f aca="false">CG126+($E128+$E129)*CG14</f>
        <v>0</v>
      </c>
      <c r="CH130" s="56" t="n">
        <f aca="false">CH126+($E128+$E129)*CH14</f>
        <v>0</v>
      </c>
      <c r="CI130" s="56" t="n">
        <f aca="false">CI126+($E128+$E129)*CI14</f>
        <v>0</v>
      </c>
      <c r="CJ130" s="56" t="n">
        <f aca="false">CJ126+($E128+$E129)*CJ14</f>
        <v>0</v>
      </c>
      <c r="CK130" s="56" t="n">
        <f aca="false">CK126+($E128+$E129)*CK14</f>
        <v>0</v>
      </c>
      <c r="CL130" s="56" t="n">
        <f aca="false">CL126+($E128+$E129)*CL14</f>
        <v>0</v>
      </c>
      <c r="CM130" s="56" t="n">
        <f aca="false">CM126+($E128+$E129)*CM14</f>
        <v>0</v>
      </c>
      <c r="CN130" s="56" t="n">
        <f aca="false">CN126+($E128+$E129)*CN14</f>
        <v>0</v>
      </c>
      <c r="CO130" s="56" t="n">
        <f aca="false">CO126+($E128+$E129)*CO14</f>
        <v>0</v>
      </c>
      <c r="CP130" s="56" t="n">
        <f aca="false">CP126+($E128+$E129)*CP14</f>
        <v>0</v>
      </c>
      <c r="CQ130" s="56" t="n">
        <f aca="false">CQ126+($E128+$E129)*CQ14</f>
        <v>0</v>
      </c>
      <c r="CR130" s="56" t="n">
        <f aca="false">CR126+($E128+$E129)*CR14</f>
        <v>0</v>
      </c>
      <c r="CS130" s="56" t="n">
        <f aca="false">CS126+($E128+$E129)*CS14</f>
        <v>0</v>
      </c>
      <c r="CT130" s="56" t="n">
        <f aca="false">CT126+($E128+$E129)*CT14</f>
        <v>0</v>
      </c>
      <c r="CU130" s="56" t="n">
        <f aca="false">CU126+($E128+$E129)*CU14</f>
        <v>0</v>
      </c>
      <c r="CV130" s="56" t="n">
        <f aca="false">CV126+($E128+$E129)*CV14</f>
        <v>0</v>
      </c>
      <c r="CW130" s="56" t="n">
        <f aca="false">CW126+($E128+$E129)*CW14</f>
        <v>0</v>
      </c>
      <c r="CX130" s="56" t="n">
        <f aca="false">CX126+($E128+$E129)*CX14</f>
        <v>0</v>
      </c>
      <c r="CY130" s="56" t="n">
        <f aca="false">CY126+($E128+$E129)*CY14</f>
        <v>0</v>
      </c>
      <c r="CZ130" s="56" t="n">
        <f aca="false">CZ126+($E128+$E129)*CZ14</f>
        <v>0</v>
      </c>
      <c r="DA130" s="56" t="n">
        <f aca="false">DA126+($E128+$E129)*DA14</f>
        <v>0</v>
      </c>
      <c r="DB130" s="56" t="n">
        <f aca="false">DB126+($E128+$E129)*DB14</f>
        <v>0</v>
      </c>
      <c r="DC130" s="56" t="n">
        <f aca="false">DC126+($E128+$E129)*DC14</f>
        <v>0</v>
      </c>
      <c r="DD130" s="56" t="n">
        <f aca="false">DD126+($E128+$E129)*DD14</f>
        <v>0</v>
      </c>
      <c r="DE130" s="56" t="n">
        <f aca="false">DE126+($E128+$E129)*DE14</f>
        <v>0</v>
      </c>
      <c r="DF130" s="56" t="n">
        <f aca="false">DF126+($E128+$E129)*DF14</f>
        <v>0</v>
      </c>
      <c r="DG130" s="56" t="n">
        <f aca="false">DG126+($E128+$E129)*DG14</f>
        <v>0</v>
      </c>
      <c r="DH130" s="56" t="n">
        <f aca="false">DH126+($E128+$E129)*DH14</f>
        <v>0</v>
      </c>
      <c r="DI130" s="56" t="n">
        <f aca="false">DI126+($E128+$E129)*DI14</f>
        <v>0</v>
      </c>
      <c r="DJ130" s="56" t="n">
        <f aca="false">DJ126+($E128+$E129)*DJ14</f>
        <v>0</v>
      </c>
      <c r="DK130" s="56" t="n">
        <f aca="false">DK126+($E128+$E129)*DK14</f>
        <v>0</v>
      </c>
      <c r="DL130" s="56" t="n">
        <f aca="false">DL126+($E128+$E129)*DL14</f>
        <v>0</v>
      </c>
      <c r="DM130" s="56" t="n">
        <f aca="false">DM126+($E128+$E129)*DM14</f>
        <v>0</v>
      </c>
      <c r="DN130" s="56" t="n">
        <f aca="false">DN126+($E128+$E129)*DN14</f>
        <v>0</v>
      </c>
      <c r="DO130" s="56" t="n">
        <f aca="false">DO126+($E128+$E129)*DO14</f>
        <v>0</v>
      </c>
      <c r="DP130" s="56" t="n">
        <f aca="false">DP126+($E128+$E129)*DP14</f>
        <v>0</v>
      </c>
      <c r="DQ130" s="56" t="n">
        <f aca="false">DQ126+($E128+$E129)*DQ14</f>
        <v>0</v>
      </c>
      <c r="DR130" s="56" t="n">
        <f aca="false">DR126+($E128+$E129)*DR14</f>
        <v>0</v>
      </c>
      <c r="DS130" s="56" t="n">
        <f aca="false">DS126+($E128+$E129)*DS14</f>
        <v>0</v>
      </c>
      <c r="DT130" s="56" t="n">
        <f aca="false">DT126+($E128+$E129)*DT14</f>
        <v>0</v>
      </c>
      <c r="DU130" s="56" t="n">
        <f aca="false">DU126+($E128+$E129)*DU14</f>
        <v>0</v>
      </c>
      <c r="DV130" s="56" t="n">
        <f aca="false">DV126+($E128+$E129)*DV14</f>
        <v>0</v>
      </c>
      <c r="DW130" s="56" t="n">
        <f aca="false">DW126+($E128+$E129)*DW14</f>
        <v>0</v>
      </c>
      <c r="DX130" s="56" t="n">
        <f aca="false">DX126+($E128+$E129)*DX14</f>
        <v>0</v>
      </c>
      <c r="DY130" s="56" t="n">
        <f aca="false">DY126+($E128+$E129)*DY14</f>
        <v>0</v>
      </c>
      <c r="DZ130" s="56" t="n">
        <f aca="false">DZ126+($E128+$E129)*DZ14</f>
        <v>0</v>
      </c>
      <c r="EA130" s="56" t="n">
        <f aca="false">EA126+($E128+$E129)*EA14</f>
        <v>0</v>
      </c>
      <c r="EB130" s="56" t="n">
        <f aca="false">EB126+($E128+$E129)*EB14</f>
        <v>0</v>
      </c>
      <c r="EC130" s="56" t="n">
        <f aca="false">EC126+($E128+$E129)*EC14</f>
        <v>0</v>
      </c>
      <c r="ED130" s="56" t="n">
        <f aca="false">ED126+($E128+$E129)*ED14</f>
        <v>0</v>
      </c>
      <c r="EE130" s="56" t="n">
        <f aca="false">EE126+($E128+$E129)*EE14</f>
        <v>0</v>
      </c>
      <c r="EF130" s="56" t="n">
        <f aca="false">EF126+($E128+$E129)*EF14</f>
        <v>0</v>
      </c>
      <c r="EG130" s="56" t="n">
        <f aca="false">EG126+($E128+$E129)*EG14</f>
        <v>0</v>
      </c>
      <c r="EH130" s="56" t="n">
        <f aca="false">EH126+($E128+$E129)*EH14</f>
        <v>0</v>
      </c>
      <c r="EI130" s="56" t="n">
        <f aca="false">EI126+($E128+$E129)*EI14</f>
        <v>0</v>
      </c>
      <c r="EJ130" s="56" t="n">
        <f aca="false">EJ126+($E128+$E129)*EJ14</f>
        <v>0</v>
      </c>
      <c r="EK130" s="56" t="n">
        <f aca="false">EK126+($E128+$E129)*EK14</f>
        <v>0</v>
      </c>
      <c r="EL130" s="56" t="n">
        <f aca="false">EL126+($E128+$E129)*EL14</f>
        <v>0</v>
      </c>
      <c r="EM130" s="56" t="n">
        <f aca="false">EM126+($E128+$E129)*EM14</f>
        <v>0</v>
      </c>
      <c r="EN130" s="56" t="n">
        <f aca="false">EN126+($E128+$E129)*EN14</f>
        <v>0</v>
      </c>
      <c r="EO130" s="56" t="n">
        <f aca="false">EO126+($E128+$E129)*EO14</f>
        <v>0</v>
      </c>
    </row>
    <row r="131" customFormat="false" ht="15" hidden="false" customHeight="false" outlineLevel="0" collapsed="false">
      <c r="C131" s="25" t="s">
        <v>84</v>
      </c>
      <c r="D131" s="11" t="s">
        <v>27</v>
      </c>
      <c r="E131" s="33" t="n">
        <f aca="false">XIRR($J130:$EO130,$J$4:$EO$4)</f>
        <v>0.284084033636541</v>
      </c>
    </row>
    <row r="132" customFormat="false" ht="15" hidden="false" customHeight="false" outlineLevel="0" collapsed="false">
      <c r="C132" s="25" t="s">
        <v>85</v>
      </c>
      <c r="D132" s="11" t="s">
        <v>13</v>
      </c>
      <c r="E132" s="59" t="n">
        <f aca="false">($E128+$E129)/-$I126</f>
        <v>1.40784965721905</v>
      </c>
    </row>
    <row r="133" customFormat="false" ht="15" hidden="false" customHeight="false" outlineLevel="0" collapsed="false">
      <c r="C133" s="25" t="s">
        <v>86</v>
      </c>
      <c r="D133" s="11" t="s">
        <v>33</v>
      </c>
      <c r="E133" s="56" t="n">
        <f aca="false">XNPV(In_Discount_Rate,$J130:$EO130,$J$4:$EO$4)</f>
        <v>12277.8594824033</v>
      </c>
    </row>
    <row r="134" customFormat="false" ht="15" hidden="false" customHeight="false" outlineLevel="0" collapsed="false">
      <c r="A134" s="60"/>
      <c r="B134" s="60"/>
      <c r="C134" s="60" t="s">
        <v>478</v>
      </c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</row>
    <row r="135" customFormat="false" ht="15" hidden="false" customHeight="false" outlineLevel="0" collapsed="false">
      <c r="C135" s="0" t="s">
        <v>479</v>
      </c>
      <c r="D135" s="11" t="s">
        <v>33</v>
      </c>
      <c r="I135" s="47" t="n">
        <f aca="false">SUM(J135:EO135)</f>
        <v>138169.967029392</v>
      </c>
      <c r="J135" s="47" t="n">
        <f aca="false">(J79+J55+J58+J108)*(J$4&gt;In_COD)-($E127+$I58)*J14</f>
        <v>-0</v>
      </c>
      <c r="K135" s="47" t="n">
        <f aca="false">(K79+K55+K58+K108)*(K$4&gt;In_COD)-($E127+$I58)*K14</f>
        <v>-0</v>
      </c>
      <c r="L135" s="47" t="n">
        <f aca="false">(L79+L55+L58+L108)*(L$4&gt;In_COD)-($E127+$I58)*L14</f>
        <v>-0</v>
      </c>
      <c r="M135" s="47" t="n">
        <f aca="false">(M79+M55+M58+M108)*(M$4&gt;In_COD)-($E127+$I58)*M14</f>
        <v>-0</v>
      </c>
      <c r="N135" s="47" t="n">
        <f aca="false">(N79+N55+N58+N108)*(N$4&gt;In_COD)-($E127+$I58)*N14</f>
        <v>-0</v>
      </c>
      <c r="O135" s="47" t="n">
        <f aca="false">(O79+O55+O58+O108)*(O$4&gt;In_COD)-($E127+$I58)*O14</f>
        <v>-0</v>
      </c>
      <c r="P135" s="47" t="n">
        <f aca="false">(P79+P55+P58+P108)*(P$4&gt;In_COD)-($E127+$I58)*P14</f>
        <v>-0</v>
      </c>
      <c r="Q135" s="47" t="n">
        <f aca="false">(Q79+Q55+Q58+Q108)*(Q$4&gt;In_COD)-($E127+$I58)*Q14</f>
        <v>-0</v>
      </c>
      <c r="R135" s="47" t="n">
        <f aca="false">(R79+R55+R58+R108)*(R$4&gt;In_COD)-($E127+$I58)*R14</f>
        <v>-0</v>
      </c>
      <c r="S135" s="47" t="n">
        <f aca="false">(S79+S55+S58+S108)*(S$4&gt;In_COD)-($E127+$I58)*S14</f>
        <v>-0</v>
      </c>
      <c r="T135" s="47" t="n">
        <f aca="false">(T79+T55+T58+T108)*(T$4&gt;In_COD)-($E127+$I58)*T14</f>
        <v>-0</v>
      </c>
      <c r="U135" s="47" t="n">
        <f aca="false">(U79+U55+U58+U108)*(U$4&gt;In_COD)-($E127+$I58)*U14</f>
        <v>-0</v>
      </c>
      <c r="V135" s="47" t="n">
        <f aca="false">(V79+V55+V58+V108)*(V$4&gt;In_COD)-($E127+$I58)*V14</f>
        <v>-0</v>
      </c>
      <c r="W135" s="47" t="n">
        <f aca="false">(W79+W55+W58+W108)*(W$4&gt;In_COD)-($E127+$I58)*W14</f>
        <v>-0</v>
      </c>
      <c r="X135" s="47" t="n">
        <f aca="false">(X79+X55+X58+X108)*(X$4&gt;In_COD)-($E127+$I58)*X14</f>
        <v>-0</v>
      </c>
      <c r="Y135" s="47" t="n">
        <f aca="false">(Y79+Y55+Y58+Y108)*(Y$4&gt;In_COD)-($E127+$I58)*Y14</f>
        <v>-134137.5</v>
      </c>
      <c r="Z135" s="47" t="n">
        <f aca="false">(Z79+Z55+Z58+Z108)*(Z$4&gt;In_COD)-($E127+$I58)*Z14</f>
        <v>2341.99775277371</v>
      </c>
      <c r="AA135" s="47" t="n">
        <f aca="false">(AA79+AA55+AA58+AA108)*(AA$4&gt;In_COD)-($E127+$I58)*AA14</f>
        <v>2306.4414171799</v>
      </c>
      <c r="AB135" s="47" t="n">
        <f aca="false">(AB79+AB55+AB58+AB108)*(AB$4&gt;In_COD)-($E127+$I58)*AB14</f>
        <v>2331.01051385238</v>
      </c>
      <c r="AC135" s="47" t="n">
        <f aca="false">(AC79+AC55+AC58+AC108)*(AC$4&gt;In_COD)-($E127+$I58)*AC14</f>
        <v>2355.56181980506</v>
      </c>
      <c r="AD135" s="47" t="n">
        <f aca="false">(AD79+AD55+AD58+AD108)*(AD$4&gt;In_COD)-($E127+$I58)*AD14</f>
        <v>2347.22985725597</v>
      </c>
      <c r="AE135" s="47" t="n">
        <f aca="false">(AE79+AE55+AE58+AE108)*(AE$4&gt;In_COD)-($E127+$I58)*AE14</f>
        <v>2336.47011679567</v>
      </c>
      <c r="AF135" s="47" t="n">
        <f aca="false">(AF79+AF55+AF58+AF108)*(AF$4&gt;In_COD)-($E127+$I58)*AF14</f>
        <v>2335.97367797752</v>
      </c>
      <c r="AG135" s="47" t="n">
        <f aca="false">(AG79+AG55+AG58+AG108)*(AG$4&gt;In_COD)-($E127+$I58)*AG14</f>
        <v>2360.57412309878</v>
      </c>
      <c r="AH135" s="47" t="n">
        <f aca="false">(AH79+AH55+AH58+AH108)*(AH$4&gt;In_COD)-($E127+$I58)*AH14</f>
        <v>2352.16515003278</v>
      </c>
      <c r="AI135" s="47" t="n">
        <f aca="false">(AI79+AI55+AI58+AI108)*(AI$4&gt;In_COD)-($E127+$I58)*AI14</f>
        <v>2315.99247065638</v>
      </c>
      <c r="AJ135" s="47" t="n">
        <f aca="false">(AJ79+AJ55+AJ58+AJ108)*(AJ$4&gt;In_COD)-($E127+$I58)*AJ14</f>
        <v>2371.32631847659</v>
      </c>
      <c r="AK135" s="47" t="n">
        <f aca="false">(AK79+AK55+AK58+AK108)*(AK$4&gt;In_COD)-($E127+$I58)*AK14</f>
        <v>2396.29477664682</v>
      </c>
      <c r="AL135" s="47" t="n">
        <f aca="false">(AL79+AL55+AL58+AL108)*(AL$4&gt;In_COD)-($E127+$I58)*AL14</f>
        <v>2358.23507375987</v>
      </c>
      <c r="AM135" s="47" t="n">
        <f aca="false">(AM79+AM55+AM58+AM108)*(AM$4&gt;In_COD)-($E127+$I58)*AM14</f>
        <v>2321.06119368008</v>
      </c>
      <c r="AN135" s="47" t="n">
        <f aca="false">(AN79+AN55+AN58+AN108)*(AN$4&gt;In_COD)-($E127+$I58)*AN14</f>
        <v>2344.70328279154</v>
      </c>
      <c r="AO135" s="47" t="n">
        <f aca="false">(AO79+AO55+AO58+AO108)*(AO$4&gt;In_COD)-($E127+$I58)*AO14</f>
        <v>2368.30860304271</v>
      </c>
      <c r="AP135" s="47" t="n">
        <f aca="false">(AP79+AP55+AP58+AP108)*(AP$4&gt;In_COD)-($E127+$I58)*AP14</f>
        <v>2359.81104411145</v>
      </c>
      <c r="AQ135" s="47" t="n">
        <f aca="false">(AQ79+AQ55+AQ58+AQ108)*(AQ$4&gt;In_COD)-($E127+$I58)*AQ14</f>
        <v>2322.31553314369</v>
      </c>
      <c r="AR135" s="47" t="n">
        <f aca="false">(AR79+AR55+AR58+AR108)*(AR$4&gt;In_COD)-($E127+$I58)*AR14</f>
        <v>2345.96404425671</v>
      </c>
      <c r="AS135" s="47" t="n">
        <f aca="false">(AS79+AS55+AS58+AS108)*(AS$4&gt;In_COD)-($E127+$I58)*AS14</f>
        <v>2369.57505799332</v>
      </c>
      <c r="AT135" s="47" t="n">
        <f aca="false">(AT79+AT55+AT58+AT108)*(AT$4&gt;In_COD)-($E127+$I58)*AT14</f>
        <v>2360.97213760383</v>
      </c>
      <c r="AU135" s="47" t="n">
        <f aca="false">(AU79+AU55+AU58+AU108)*(AU$4&gt;In_COD)-($E127+$I58)*AU14</f>
        <v>2348.0017238272</v>
      </c>
      <c r="AV135" s="47" t="n">
        <f aca="false">(AV79+AV55+AV58+AV108)*(AV$4&gt;In_COD)-($E127+$I58)*AV14</f>
        <v>2346.77604335604</v>
      </c>
      <c r="AW135" s="47" t="n">
        <f aca="false">(AW79+AW55+AW58+AW108)*(AW$4&gt;In_COD)-($E127+$I58)*AW14</f>
        <v>2370.38786363904</v>
      </c>
      <c r="AX135" s="47" t="n">
        <f aca="false">(AX79+AX55+AX58+AX108)*(AX$4&gt;In_COD)-($E127+$I58)*AX14</f>
        <v>2361.67656802488</v>
      </c>
      <c r="AY135" s="47" t="n">
        <f aca="false">(AY79+AY55+AY58+AY108)*(AY$4&gt;In_COD)-($E127+$I58)*AY14</f>
        <v>2323.52269723436</v>
      </c>
      <c r="AZ135" s="47" t="n">
        <f aca="false">(AZ79+AZ55+AZ58+AZ108)*(AZ$4&gt;In_COD)-($E127+$I58)*AZ14</f>
        <v>2347.16983962639</v>
      </c>
      <c r="BA135" s="47" t="n">
        <f aca="false">(BA79+BA55+BA58+BA108)*(BA$4&gt;In_COD)-($E127+$I58)*BA14</f>
        <v>2370.77794165836</v>
      </c>
      <c r="BB135" s="47" t="n">
        <f aca="false">(BB79+BB55+BB58+BB108)*(BB$4&gt;In_COD)-($E127+$I58)*BB14</f>
        <v>2361.95570094713</v>
      </c>
      <c r="BC135" s="47" t="n">
        <f aca="false">(BC79+BC55+BC58+BC108)*(BC$4&gt;In_COD)-($E127+$I58)*BC14</f>
        <v>2323.46508575038</v>
      </c>
      <c r="BD135" s="47" t="n">
        <f aca="false">(BD79+BD55+BD58+BD108)*(BD$4&gt;In_COD)-($E127+$I58)*BD14</f>
        <v>2347.1043359652</v>
      </c>
      <c r="BE135" s="47" t="n">
        <f aca="false">(BE79+BE55+BE58+BE108)*(BE$4&gt;In_COD)-($E127+$I58)*BE14</f>
        <v>2370.70373205816</v>
      </c>
      <c r="BF135" s="47" t="n">
        <f aca="false">(BF79+BF55+BF58+BF108)*(BF$4&gt;In_COD)-($E127+$I58)*BF14</f>
        <v>2361.76758783101</v>
      </c>
      <c r="BG135" s="47" t="n">
        <f aca="false">(BG79+BG55+BG58+BG108)*(BG$4&gt;In_COD)-($E127+$I58)*BG14</f>
        <v>2322.93489497542</v>
      </c>
      <c r="BH135" s="47" t="n">
        <f aca="false">(BH79+BH55+BH58+BH108)*(BH$4&gt;In_COD)-($E127+$I58)*BH14</f>
        <v>2346.56109464693</v>
      </c>
      <c r="BI135" s="47" t="n">
        <f aca="false">(BI79+BI55+BI58+BI108)*(BI$4&gt;In_COD)-($E127+$I58)*BI14</f>
        <v>2370.14659547858</v>
      </c>
      <c r="BJ135" s="47" t="n">
        <f aca="false">(BJ79+BJ55+BJ58+BJ108)*(BJ$4&gt;In_COD)-($E127+$I58)*BJ14</f>
        <v>2361.09346718179</v>
      </c>
      <c r="BK135" s="47" t="n">
        <f aca="false">(BK79+BK55+BK58+BK108)*(BK$4&gt;In_COD)-($E127+$I58)*BK14</f>
        <v>2346.99142692256</v>
      </c>
      <c r="BL135" s="47" t="n">
        <f aca="false">(BL79+BL55+BL58+BL108)*(BL$4&gt;In_COD)-($E127+$I58)*BL14</f>
        <v>2345.49634650676</v>
      </c>
      <c r="BM135" s="47" t="n">
        <f aca="false">(BM79+BM55+BM58+BM108)*(BM$4&gt;In_COD)-($E127+$I58)*BM14</f>
        <v>2369.06226965089</v>
      </c>
      <c r="BN135" s="47" t="n">
        <f aca="false">(BN79+BN55+BN58+BN108)*(BN$4&gt;In_COD)-($E127+$I58)*BN14</f>
        <v>2359.88866196916</v>
      </c>
      <c r="BO135" s="47" t="n">
        <f aca="false">(BO79+BO55+BO58+BO108)*(BO$4&gt;In_COD)-($E127+$I58)*BO14</f>
        <v>2320.35487895223</v>
      </c>
      <c r="BP135" s="47" t="n">
        <f aca="false">(BP79+BP55+BP58+BP108)*(BP$4&gt;In_COD)-($E127+$I58)*BP14</f>
        <v>2343.93836913528</v>
      </c>
      <c r="BQ135" s="47" t="n">
        <f aca="false">(BQ79+BQ55+BQ58+BQ108)*(BQ$4&gt;In_COD)-($E127+$I58)*BQ14</f>
        <v>2367.47936914962</v>
      </c>
      <c r="BR135" s="47" t="n">
        <f aca="false">(BR79+BR55+BR58+BR108)*(BR$4&gt;In_COD)-($E127+$I58)*BR14</f>
        <v>2358.18221390907</v>
      </c>
      <c r="BS135" s="47" t="n">
        <f aca="false">(BS79+BS55+BS58+BS108)*(BS$4&gt;In_COD)-($E127+$I58)*BS14</f>
        <v>2318.28935664028</v>
      </c>
      <c r="BT135" s="47" t="n">
        <f aca="false">(BT79+BT55+BT58+BT108)*(BT$4&gt;In_COD)-($E127+$I58)*BT14</f>
        <v>2341.84302790067</v>
      </c>
      <c r="BU135" s="47" t="n">
        <f aca="false">(BU79+BU55+BU58+BU108)*(BU$4&gt;In_COD)-($E127+$I58)*BU14</f>
        <v>2365.35326262028</v>
      </c>
      <c r="BV135" s="47" t="n">
        <f aca="false">(BV79+BV55+BV58+BV108)*(BV$4&gt;In_COD)-($E127+$I58)*BV14</f>
        <v>2355.92907779056</v>
      </c>
      <c r="BW135" s="47" t="n">
        <f aca="false">(BW79+BW55+BW58+BW108)*(BW$4&gt;In_COD)-($E127+$I58)*BW14</f>
        <v>2315.67113479872</v>
      </c>
      <c r="BX135" s="47" t="n">
        <f aca="false">(BX79+BX55+BX58+BX108)*(BX$4&gt;In_COD)-($E127+$I58)*BX14</f>
        <v>2339.18894762733</v>
      </c>
      <c r="BY135" s="47" t="n">
        <f aca="false">(BY79+BY55+BY58+BY108)*(BY$4&gt;In_COD)-($E127+$I58)*BY14</f>
        <v>2362.66234060226</v>
      </c>
      <c r="BZ135" s="47" t="n">
        <f aca="false">(BZ79+BZ55+BZ58+BZ108)*(BZ$4&gt;In_COD)-($E127+$I58)*BZ14</f>
        <v>2353.10749812524</v>
      </c>
      <c r="CA135" s="47" t="n">
        <f aca="false">(CA79+CA55+CA58+CA108)*(CA$4&gt;In_COD)-($E127+$I58)*CA14</f>
        <v>2337.74403859901</v>
      </c>
      <c r="CB135" s="47" t="n">
        <f aca="false">(CB79+CB55+CB58+CB108)*(CB$4&gt;In_COD)-($E127+$I58)*CB14</f>
        <v>2335.92912005564</v>
      </c>
      <c r="CC135" s="47" t="n">
        <f aca="false">(CC79+CC55+CC58+CC108)*(CC$4&gt;In_COD)-($E127+$I58)*CC14</f>
        <v>2359.35906563663</v>
      </c>
      <c r="CD135" s="47" t="n">
        <f aca="false">(CD79+CD55+CD58+CD108)*(CD$4&gt;In_COD)-($E127+$I58)*CD14</f>
        <v>2349.66949554286</v>
      </c>
      <c r="CE135" s="47" t="n">
        <f aca="false">(CE79+CE55+CE58+CE108)*(CE$4&gt;In_COD)-($E127+$I58)*CE14</f>
        <v>2308.66229969314</v>
      </c>
      <c r="CF135" s="47" t="n">
        <f aca="false">(CF79+CF55+CF58+CF108)*(CF$4&gt;In_COD)-($E127+$I58)*CF14</f>
        <v>2332.08900548421</v>
      </c>
      <c r="CG135" s="47" t="n">
        <f aca="false">(CG79+CG55+CG58+CG108)*(CG$4&gt;In_COD)-($E127+$I58)*CG14</f>
        <v>2355.46920379877</v>
      </c>
      <c r="CH135" s="47" t="n">
        <f aca="false">(CH79+CH55+CH58+CH108)*(CH$4&gt;In_COD)-($E127+$I58)*CH14</f>
        <v>2345.64124128825</v>
      </c>
      <c r="CI135" s="47" t="n">
        <f aca="false">(CI79+CI55+CI58+CI108)*(CI$4&gt;In_COD)-($E127+$I58)*CI14</f>
        <v>2304.24976072477</v>
      </c>
      <c r="CJ135" s="47" t="n">
        <f aca="false">(CJ79+CJ55+CJ58+CJ108)*(CJ$4&gt;In_COD)-($E127+$I58)*CJ14</f>
        <v>2327.62098847871</v>
      </c>
      <c r="CK135" s="47" t="n">
        <f aca="false">(CK79+CK55+CK58+CK108)*(CK$4&gt;In_COD)-($E127+$I58)*CK14</f>
        <v>2350.94460411352</v>
      </c>
      <c r="CL135" s="47" t="n">
        <f aca="false">(CL79+CL55+CL58+CL108)*(CL$4&gt;In_COD)-($E127+$I58)*CL14</f>
        <v>2340.97414109789</v>
      </c>
      <c r="CM135" s="47" t="n">
        <f aca="false">(CM79+CM55+CM58+CM108)*(CM$4&gt;In_COD)-($E127+$I58)*CM14</f>
        <v>2299.19157021716</v>
      </c>
      <c r="CN135" s="47" t="n">
        <f aca="false">(CN79+CN55+CN58+CN108)*(CN$4&gt;In_COD)-($E127+$I58)*CN14</f>
        <v>2322.50025606237</v>
      </c>
      <c r="CO135" s="47" t="n">
        <f aca="false">(CO79+CO55+CO58+CO108)*(CO$4&gt;In_COD)-($E127+$I58)*CO14</f>
        <v>2345.76018102781</v>
      </c>
      <c r="CP135" s="47" t="n">
        <f aca="false">(CP79+CP55+CP58+CP108)*(CP$4&gt;In_COD)-($E127+$I58)*CP14</f>
        <v>2335.64293473681</v>
      </c>
      <c r="CQ135" s="47" t="n">
        <f aca="false">(CQ79+CQ55+CQ58+CQ108)*(CQ$4&gt;In_COD)-($E127+$I58)*CQ14</f>
        <v>2318.87087972521</v>
      </c>
      <c r="CR135" s="47" t="n">
        <f aca="false">(CR79+CR55+CR58+CR108)*(CR$4&gt;In_COD)-($E127+$I58)*CR14</f>
        <v>2316.67608310698</v>
      </c>
      <c r="CS135" s="47" t="n">
        <f aca="false">(CS79+CS55+CS58+CS108)*(CS$4&gt;In_COD)-($E127+$I58)*CS14</f>
        <v>2339.86463874121</v>
      </c>
      <c r="CT135" s="47" t="n">
        <f aca="false">(CT79+CT55+CT58+CT108)*(CT$4&gt;In_COD)-($E127+$I58)*CT14</f>
        <v>2329.59585287149</v>
      </c>
      <c r="CU135" s="47" t="n">
        <f aca="false">(CU79+CU55+CU58+CU108)*(CU$4&gt;In_COD)-($E127+$I58)*CU14</f>
        <v>2289.29840831076</v>
      </c>
      <c r="CV135" s="47" t="n">
        <f aca="false">(CV79+CV55+CV58+CV108)*(CV$4&gt;In_COD)-($E127+$I58)*CV14</f>
        <v>2314.73505729199</v>
      </c>
      <c r="CW135" s="47" t="n">
        <f aca="false">(CW79+CW55+CW58+CW108)*(CW$4&gt;In_COD)-($E127+$I58)*CW14</f>
        <v>2340.17170627322</v>
      </c>
      <c r="CX135" s="47" t="n">
        <f aca="false">(CX79+CX55+CX58+CX108)*(CX$4&gt;In_COD)-($E127+$I58)*CX14</f>
        <v>2332.12566741845</v>
      </c>
      <c r="CY135" s="47" t="n">
        <f aca="false">(CY79+CY55+CY58+CY108)*(CY$4&gt;In_COD)-($E127+$I58)*CY14</f>
        <v>2291.52460580205</v>
      </c>
      <c r="CZ135" s="47" t="n">
        <f aca="false">(CZ79+CZ55+CZ58+CZ108)*(CZ$4&gt;In_COD)-($E127+$I58)*CZ14</f>
        <v>2316.98599031096</v>
      </c>
      <c r="DA135" s="47" t="n">
        <f aca="false">(DA79+DA55+DA58+DA108)*(DA$4&gt;In_COD)-($E127+$I58)*DA14</f>
        <v>2342.44737481988</v>
      </c>
      <c r="DB135" s="47" t="n">
        <f aca="false">(DB79+DB55+DB58+DB108)*(DB$4&gt;In_COD)-($E127+$I58)*DB14</f>
        <v>2127.75796595667</v>
      </c>
      <c r="DC135" s="47" t="n">
        <f aca="false">(DC79+DC55+DC58+DC108)*(DC$4&gt;In_COD)-($E127+$I58)*DC14</f>
        <v>2091.34156892558</v>
      </c>
      <c r="DD135" s="47" t="n">
        <f aca="false">(DD79+DD55+DD58+DD108)*(DD$4&gt;In_COD)-($E127+$I58)*DD14</f>
        <v>2114.5786974692</v>
      </c>
      <c r="DE135" s="47" t="n">
        <f aca="false">(DE79+DE55+DE58+DE108)*(DE$4&gt;In_COD)-($E127+$I58)*DE14</f>
        <v>2137.81582601281</v>
      </c>
      <c r="DF135" s="47" t="n">
        <f aca="false">(DF79+DF55+DF58+DF108)*(DF$4&gt;In_COD)-($E127+$I58)*DF14</f>
        <v>2129.67377475099</v>
      </c>
      <c r="DG135" s="47" t="n">
        <f aca="false">(DG79+DG55+DG58+DG108)*(DG$4&gt;In_COD)-($E127+$I58)*DG14</f>
        <v>2116.20284972323</v>
      </c>
      <c r="DH135" s="47" t="n">
        <f aca="false">(DH79+DH55+DH58+DH108)*(DH$4&gt;In_COD)-($E127+$I58)*DH14</f>
        <v>2116.20284972323</v>
      </c>
      <c r="DI135" s="47" t="n">
        <f aca="false">(DI79+DI55+DI58+DI108)*(DI$4&gt;In_COD)-($E127+$I58)*DI14</f>
        <v>2139.45782609381</v>
      </c>
      <c r="DJ135" s="47" t="n">
        <f aca="false">(DJ79+DJ55+DJ58+DJ108)*(DJ$4&gt;In_COD)-($E127+$I58)*DJ14</f>
        <v>2131.26763373715</v>
      </c>
      <c r="DK135" s="47" t="n">
        <f aca="false">(DK79+DK55+DK58+DK108)*(DK$4&gt;In_COD)-($E127+$I58)*DK14</f>
        <v>2094.22922134031</v>
      </c>
      <c r="DL135" s="47" t="n">
        <f aca="false">(DL79+DL55+DL58+DL108)*(DL$4&gt;In_COD)-($E127+$I58)*DL14</f>
        <v>2117.49843491076</v>
      </c>
      <c r="DM135" s="47" t="n">
        <f aca="false">(DM79+DM55+DM58+DM108)*(DM$4&gt;In_COD)-($E127+$I58)*DM14</f>
        <v>2140.76764848121</v>
      </c>
      <c r="DN135" s="47" t="n">
        <f aca="false">(DN79+DN55+DN58+DN108)*(DN$4&gt;In_COD)-($E127+$I58)*DN14</f>
        <v>2132.52923118543</v>
      </c>
      <c r="DO135" s="47" t="n">
        <f aca="false">(DO79+DO55+DO58+DO108)*(DO$4&gt;In_COD)-($E127+$I58)*DO14</f>
        <v>2095.17525809415</v>
      </c>
      <c r="DP135" s="47" t="n">
        <f aca="false">(DP79+DP55+DP58+DP108)*(DP$4&gt;In_COD)-($E127+$I58)*DP14</f>
        <v>2118.45498318408</v>
      </c>
      <c r="DQ135" s="47" t="n">
        <f aca="false">(DQ79+DQ55+DQ58+DQ108)*(DQ$4&gt;In_COD)-($E127+$I58)*DQ14</f>
        <v>2141.73470827402</v>
      </c>
      <c r="DR135" s="47" t="n">
        <f aca="false">(DR79+DR55+DR58+DR108)*(DR$4&gt;In_COD)-($E127+$I58)*DR14</f>
        <v>2133.4479869401</v>
      </c>
      <c r="DS135" s="47" t="n">
        <f aca="false">(DS79+DS55+DS58+DS108)*(DS$4&gt;In_COD)-($E127+$I58)*DS14</f>
        <v>2095.77535956</v>
      </c>
      <c r="DT135" s="47" t="n">
        <f aca="false">(DT79+DT55+DT58+DT108)*(DT$4&gt;In_COD)-($E127+$I58)*DT14</f>
        <v>2119.061752444</v>
      </c>
      <c r="DU135" s="47" t="n">
        <f aca="false">(DU79+DU55+DU58+DU108)*(DU$4&gt;In_COD)-($E127+$I58)*DU14</f>
        <v>2142.348145328</v>
      </c>
      <c r="DV135" s="47" t="n">
        <f aca="false">(DV79+DV55+DV58+DV108)*(DV$4&gt;In_COD)-($E127+$I58)*DV14</f>
        <v>2134.01304575269</v>
      </c>
      <c r="DW135" s="47" t="n">
        <f aca="false">(DW79+DW55+DW58+DW108)*(DW$4&gt;In_COD)-($E127+$I58)*DW14</f>
        <v>2119.30772157993</v>
      </c>
      <c r="DX135" s="47" t="n">
        <f aca="false">(DX79+DX55+DX58+DX108)*(DX$4&gt;In_COD)-($E127+$I58)*DX14</f>
        <v>2119.30772157993</v>
      </c>
      <c r="DY135" s="47" t="n">
        <f aca="false">(DY79+DY55+DY58+DY108)*(DY$4&gt;In_COD)-($E127+$I58)*DY14</f>
        <v>2142.59681742147</v>
      </c>
      <c r="DZ135" s="47" t="n">
        <f aca="false">(DZ79+DZ55+DZ58+DZ108)*(DZ$4&gt;In_COD)-($E127+$I58)*DZ14</f>
        <v>2134.2132704514</v>
      </c>
      <c r="EA135" s="47" t="n">
        <f aca="false">(EA79+EA55+EA58+EA108)*(EA$4&gt;In_COD)-($E127+$I58)*EA14</f>
        <v>2095.89387383467</v>
      </c>
      <c r="EB135" s="47" t="n">
        <f aca="false">(EB79+EB55+EB58+EB108)*(EB$4&gt;In_COD)-($E127+$I58)*EB14</f>
        <v>2119.18158354395</v>
      </c>
      <c r="EC135" s="47" t="n">
        <f aca="false">(EC79+EC55+EC58+EC108)*(EC$4&gt;In_COD)-($E127+$I58)*EC14</f>
        <v>2142.46929325322</v>
      </c>
      <c r="ED135" s="47" t="n">
        <f aca="false">(ED79+ED55+ED58+ED108)*(ED$4&gt;In_COD)-($E127+$I58)*ED14</f>
        <v>2134.03723494271</v>
      </c>
      <c r="EE135" s="47" t="n">
        <f aca="false">(EE79+EE55+EE58+EE108)*(EE$4&gt;In_COD)-($E127+$I58)*EE14</f>
        <v>2095.38963124086</v>
      </c>
      <c r="EF135" s="47" t="n">
        <f aca="false">(EF79+EF55+EF58+EF108)*(EF$4&gt;In_COD)-($E127+$I58)*EF14</f>
        <v>2118.67173825464</v>
      </c>
      <c r="EG135" s="47" t="n">
        <f aca="false">(EG79+EG55+EG58+EG108)*(EG$4&gt;In_COD)-($E127+$I58)*EG14</f>
        <v>2141.95384526843</v>
      </c>
      <c r="EH135" s="47" t="n">
        <f aca="false">(EH79+EH55+EH58+EH108)*(EH$4&gt;In_COD)-($E127+$I58)*EH14</f>
        <v>2133.47321704111</v>
      </c>
      <c r="EI135" s="47" t="n">
        <f aca="false">(EI79+EI55+EI58+EI108)*(EI$4&gt;In_COD)-($E127+$I58)*EI14</f>
        <v>2094.49412834513</v>
      </c>
      <c r="EJ135" s="47" t="n">
        <f aca="false">(EJ79+EJ55+EJ58+EJ108)*(EJ$4&gt;In_COD)-($E127+$I58)*EJ14</f>
        <v>2117.76628532674</v>
      </c>
      <c r="EK135" s="47" t="n">
        <f aca="false">(EK79+EK55+EK58+EK108)*(EK$4&gt;In_COD)-($E127+$I58)*EK14</f>
        <v>2141.03844230835</v>
      </c>
      <c r="EL135" s="47" t="n">
        <f aca="false">(EL79+EL55+EL58+EL108)*(EL$4&gt;In_COD)-($E127+$I58)*EL14</f>
        <v>2132.50919112262</v>
      </c>
      <c r="EM135" s="47" t="n">
        <f aca="false">(EM79+EM55+EM58+EM108)*(EM$4&gt;In_COD)-($E127+$I58)*EM14</f>
        <v>2116.45301662203</v>
      </c>
      <c r="EN135" s="47" t="n">
        <f aca="false">(EN79+EN55+EN58+EN108)*(EN$4&gt;In_COD)-($E127+$I58)*EN14</f>
        <v>2116.45301662203</v>
      </c>
      <c r="EO135" s="47" t="n">
        <f aca="false">(EO79+EO55+EO58+EO108)*(EO$4&gt;In_COD)-($E127+$I58)*EO14</f>
        <v>2139.71074207941</v>
      </c>
    </row>
    <row r="136" customFormat="false" ht="15" hidden="false" customHeight="false" outlineLevel="0" collapsed="false">
      <c r="C136" s="25" t="s">
        <v>124</v>
      </c>
      <c r="D136" s="11" t="s">
        <v>27</v>
      </c>
      <c r="E136" s="33" t="n">
        <f aca="false">XIRR($J135:$EO135,$J$4:$EO$4)</f>
        <v>0.0568046288872877</v>
      </c>
    </row>
    <row r="137" customFormat="false" ht="15" hidden="false" customHeight="false" outlineLevel="0" collapsed="false">
      <c r="C137" s="0" t="s">
        <v>480</v>
      </c>
      <c r="D137" s="11" t="s">
        <v>33</v>
      </c>
      <c r="I137" s="47" t="n">
        <f aca="false">SUM(J137:EO137)</f>
        <v>107838.114185295</v>
      </c>
      <c r="J137" s="47" t="n">
        <f aca="false">J135+J89+J97+$E94*J14</f>
        <v>0</v>
      </c>
      <c r="K137" s="47" t="n">
        <f aca="false">K135+K89+K97+$E94*K14</f>
        <v>0</v>
      </c>
      <c r="L137" s="47" t="n">
        <f aca="false">L135+L89+L97+$E94*L14</f>
        <v>0</v>
      </c>
      <c r="M137" s="47" t="n">
        <f aca="false">M135+M89+M97+$E94*M14</f>
        <v>0</v>
      </c>
      <c r="N137" s="47" t="n">
        <f aca="false">N135+N89+N97+$E94*N14</f>
        <v>0</v>
      </c>
      <c r="O137" s="47" t="n">
        <f aca="false">O135+O89+O97+$E94*O14</f>
        <v>0</v>
      </c>
      <c r="P137" s="47" t="n">
        <f aca="false">P135+P89+P97+$E94*P14</f>
        <v>0</v>
      </c>
      <c r="Q137" s="47" t="n">
        <f aca="false">Q135+Q89+Q97+$E94*Q14</f>
        <v>0</v>
      </c>
      <c r="R137" s="47" t="n">
        <f aca="false">R135+R89+R97+$E94*R14</f>
        <v>0</v>
      </c>
      <c r="S137" s="47" t="n">
        <f aca="false">S135+S89+S97+$E94*S14</f>
        <v>0</v>
      </c>
      <c r="T137" s="47" t="n">
        <f aca="false">T135+T89+T97+$E94*T14</f>
        <v>0</v>
      </c>
      <c r="U137" s="47" t="n">
        <f aca="false">U135+U89+U97+$E94*U14</f>
        <v>0</v>
      </c>
      <c r="V137" s="47" t="n">
        <f aca="false">V135+V89+V97+$E94*V14</f>
        <v>0</v>
      </c>
      <c r="W137" s="47" t="n">
        <f aca="false">W135+W89+W97+$E94*W14</f>
        <v>0</v>
      </c>
      <c r="X137" s="47" t="n">
        <f aca="false">X135+X89+X97+$E94*X14</f>
        <v>0</v>
      </c>
      <c r="Y137" s="47" t="n">
        <f aca="false">Y135+Y89+Y97+$E94*Y14</f>
        <v>-77228.7119260793</v>
      </c>
      <c r="Z137" s="47" t="n">
        <f aca="false">Z135+Z89+Z97+$E94*Z14</f>
        <v>1114.75080337093</v>
      </c>
      <c r="AA137" s="47" t="n">
        <f aca="false">AA135+AA89+AA97+$E94*AA14</f>
        <v>1097.82659683783</v>
      </c>
      <c r="AB137" s="47" t="n">
        <f aca="false">AB135+AB89+AB97+$E94*AB14</f>
        <v>1109.52106589589</v>
      </c>
      <c r="AC137" s="47" t="n">
        <f aca="false">AC135+AC89+AC97+$E94*AC14</f>
        <v>1121.20706687614</v>
      </c>
      <c r="AD137" s="47" t="n">
        <f aca="false">AD135+AD89+AD97+$E94*AD14</f>
        <v>1117.24119545968</v>
      </c>
      <c r="AE137" s="47" t="n">
        <f aca="false">AE135+AE89+AE97+$E94*AE14</f>
        <v>1112.11974335416</v>
      </c>
      <c r="AF137" s="47" t="n">
        <f aca="false">AF135+AF89+AF97+$E94*AF14</f>
        <v>1111.88344698256</v>
      </c>
      <c r="AG137" s="47" t="n">
        <f aca="false">AG135+AG89+AG97+$E94*AG14</f>
        <v>1123.59283736512</v>
      </c>
      <c r="AH137" s="47" t="n">
        <f aca="false">AH135+AH89+AH97+$E94*AH14</f>
        <v>1119.59031026207</v>
      </c>
      <c r="AI137" s="47" t="n">
        <f aca="false">AI135+AI89+AI97+$E94*AI14</f>
        <v>1102.37273464865</v>
      </c>
      <c r="AJ137" s="47" t="n">
        <f aca="false">AJ135+AJ89+AJ97+$E94*AJ14</f>
        <v>1128.71069814081</v>
      </c>
      <c r="AK137" s="47" t="n">
        <f aca="false">AK135+AK89+AK97+$E94*AK14</f>
        <v>1140.59525642927</v>
      </c>
      <c r="AL137" s="47" t="n">
        <f aca="false">AL135+AL89+AL97+$E94*AL14</f>
        <v>1122.47948995689</v>
      </c>
      <c r="AM137" s="47" t="n">
        <f aca="false">AM135+AM89+AM97+$E94*AM14</f>
        <v>1104.78535996282</v>
      </c>
      <c r="AN137" s="47" t="n">
        <f aca="false">AN135+AN89+AN97+$E94*AN14</f>
        <v>1116.03858930477</v>
      </c>
      <c r="AO137" s="47" t="n">
        <f aca="false">AO135+AO89+AO97+$E94*AO14</f>
        <v>1127.2743172992</v>
      </c>
      <c r="AP137" s="47" t="n">
        <f aca="false">AP135+AP89+AP97+$E94*AP14</f>
        <v>1123.22962484199</v>
      </c>
      <c r="AQ137" s="47" t="n">
        <f aca="false">AQ135+AQ89+AQ97+$E94*AQ14</f>
        <v>1105.38240405591</v>
      </c>
      <c r="AR137" s="47" t="n">
        <f aca="false">AR135+AR89+AR97+$E94*AR14</f>
        <v>1116.63869016052</v>
      </c>
      <c r="AS137" s="47" t="n">
        <f aca="false">AS135+AS89+AS97+$E94*AS14</f>
        <v>1127.87712815642</v>
      </c>
      <c r="AT137" s="47" t="n">
        <f aca="false">AT135+AT89+AT97+$E94*AT14</f>
        <v>1123.78228545028</v>
      </c>
      <c r="AU137" s="47" t="n">
        <f aca="false">AU135+AU89+AU97+$E94*AU14</f>
        <v>1117.60859072292</v>
      </c>
      <c r="AV137" s="47" t="n">
        <f aca="false">AV135+AV89+AV97+$E94*AV14</f>
        <v>1117.0251878189</v>
      </c>
      <c r="AW137" s="47" t="n">
        <f aca="false">AW135+AW89+AW97+$E94*AW14</f>
        <v>1128.26400971703</v>
      </c>
      <c r="AX137" s="47" t="n">
        <f aca="false">AX135+AX89+AX97+$E94*AX14</f>
        <v>1124.11758226078</v>
      </c>
      <c r="AY137" s="47" t="n">
        <f aca="false">AY135+AY89+AY97+$E94*AY14</f>
        <v>1105.9569934791</v>
      </c>
      <c r="AZ137" s="47" t="n">
        <f aca="false">AZ135+AZ89+AZ97+$E94*AZ14</f>
        <v>1117.21262809592</v>
      </c>
      <c r="BA137" s="47" t="n">
        <f aca="false">BA135+BA89+BA97+$E94*BA14</f>
        <v>1128.44968017025</v>
      </c>
      <c r="BB137" s="47" t="n">
        <f aca="false">BB135+BB89+BB97+$E94*BB14</f>
        <v>1124.25044474868</v>
      </c>
      <c r="BC137" s="47" t="n">
        <f aca="false">BC135+BC89+BC97+$E94*BC14</f>
        <v>1105.92957139928</v>
      </c>
      <c r="BD137" s="47" t="n">
        <f aca="false">BD135+BD89+BD97+$E94*BD14</f>
        <v>1117.18144947496</v>
      </c>
      <c r="BE137" s="47" t="n">
        <f aca="false">BE135+BE89+BE97+$E94*BE14</f>
        <v>1128.41435767149</v>
      </c>
      <c r="BF137" s="47" t="n">
        <f aca="false">BF135+BF89+BF97+$E94*BF14</f>
        <v>1124.16090612792</v>
      </c>
      <c r="BG137" s="47" t="n">
        <f aca="false">BG135+BG89+BG97+$E94*BG14</f>
        <v>1105.67720967396</v>
      </c>
      <c r="BH137" s="47" t="n">
        <f aca="false">BH135+BH89+BH97+$E94*BH14</f>
        <v>1116.92287591464</v>
      </c>
      <c r="BI137" s="47" t="n">
        <f aca="false">BI135+BI89+BI97+$E94*BI14</f>
        <v>1128.14917020487</v>
      </c>
      <c r="BJ137" s="47" t="n">
        <f aca="false">BJ135+BJ89+BJ97+$E94*BJ14</f>
        <v>1123.84003624854</v>
      </c>
      <c r="BK137" s="47" t="n">
        <f aca="false">BK135+BK89+BK97+$E94*BK14</f>
        <v>1117.12770670433</v>
      </c>
      <c r="BL137" s="47" t="n">
        <f aca="false">BL135+BL89+BL97+$E94*BL14</f>
        <v>1116.41607404248</v>
      </c>
      <c r="BM137" s="47" t="n">
        <f aca="false">BM135+BM89+BM97+$E94*BM14</f>
        <v>1127.63304968892</v>
      </c>
      <c r="BN137" s="47" t="n">
        <f aca="false">BN135+BN89+BN97+$E94*BN14</f>
        <v>1123.26656960963</v>
      </c>
      <c r="BO137" s="47" t="n">
        <f aca="false">BO135+BO89+BO97+$E94*BO14</f>
        <v>1104.44916625115</v>
      </c>
      <c r="BP137" s="47" t="n">
        <f aca="false">BP135+BP89+BP97+$E94*BP14</f>
        <v>1115.67450350715</v>
      </c>
      <c r="BQ137" s="47" t="n">
        <f aca="false">BQ135+BQ89+BQ97+$E94*BQ14</f>
        <v>1126.87961617087</v>
      </c>
      <c r="BR137" s="47" t="n">
        <f aca="false">BR135+BR89+BR97+$E94*BR14</f>
        <v>1122.45432957044</v>
      </c>
      <c r="BS137" s="47" t="n">
        <f aca="false">BS135+BS89+BS97+$E94*BS14</f>
        <v>1103.46601302037</v>
      </c>
      <c r="BT137" s="47" t="n">
        <f aca="false">BT135+BT89+BT97+$E94*BT14</f>
        <v>1114.67715698013</v>
      </c>
      <c r="BU137" s="47" t="n">
        <f aca="false">BU135+BU89+BU97+$E94*BU14</f>
        <v>1125.86762589072</v>
      </c>
      <c r="BV137" s="47" t="n">
        <f aca="false">BV135+BV89+BV97+$E94*BV14</f>
        <v>1121.38187538237</v>
      </c>
      <c r="BW137" s="47" t="n">
        <f aca="false">BW135+BW89+BW97+$E94*BW14</f>
        <v>1102.21978428342</v>
      </c>
      <c r="BX137" s="47" t="n">
        <f aca="false">BX135+BX89+BX97+$E94*BX14</f>
        <v>1113.41386024409</v>
      </c>
      <c r="BY137" s="47" t="n">
        <f aca="false">BY135+BY89+BY97+$E94*BY14</f>
        <v>1124.58679311549</v>
      </c>
      <c r="BZ137" s="47" t="n">
        <f aca="false">BZ135+BZ89+BZ97+$E94*BZ14</f>
        <v>1120.03885180571</v>
      </c>
      <c r="CA137" s="47" t="n">
        <f aca="false">CA135+CA89+CA97+$E94*CA14</f>
        <v>1112.72610830328</v>
      </c>
      <c r="CB137" s="47" t="n">
        <f aca="false">CB135+CB89+CB97+$E94*CB14</f>
        <v>1111.86223817286</v>
      </c>
      <c r="CC137" s="47" t="n">
        <f aca="false">CC135+CC89+CC97+$E94*CC14</f>
        <v>1123.0144908292</v>
      </c>
      <c r="CD137" s="47" t="n">
        <f aca="false">CD135+CD89+CD97+$E94*CD14</f>
        <v>1118.40242148227</v>
      </c>
      <c r="CE137" s="47" t="n">
        <f aca="false">CE135+CE89+CE97+$E94*CE14</f>
        <v>1098.88369886048</v>
      </c>
      <c r="CF137" s="47" t="n">
        <f aca="false">CF135+CF89+CF97+$E94*CF14</f>
        <v>1110.03440943235</v>
      </c>
      <c r="CG137" s="47" t="n">
        <f aca="false">CG135+CG89+CG97+$E94*CG14</f>
        <v>1121.16298324225</v>
      </c>
      <c r="CH137" s="47" t="n">
        <f aca="false">CH135+CH89+CH97+$E94*CH14</f>
        <v>1116.48504147614</v>
      </c>
      <c r="CI137" s="47" t="n">
        <f aca="false">CI135+CI89+CI97+$E94*CI14</f>
        <v>1096.78340591482</v>
      </c>
      <c r="CJ137" s="47" t="n">
        <f aca="false">CJ135+CJ89+CJ97+$E94*CJ14</f>
        <v>1107.90770989159</v>
      </c>
      <c r="CK137" s="47" t="n">
        <f aca="false">CK135+CK89+CK97+$E94*CK14</f>
        <v>1119.00935131542</v>
      </c>
      <c r="CL137" s="47" t="n">
        <f aca="false">CL135+CL89+CL97+$E94*CL14</f>
        <v>1114.26358175045</v>
      </c>
      <c r="CM137" s="47" t="n">
        <f aca="false">CM135+CM89+CM97+$E94*CM14</f>
        <v>1094.37579389893</v>
      </c>
      <c r="CN137" s="47" t="n">
        <f aca="false">CN135+CN89+CN97+$E94*CN14</f>
        <v>1105.47032899872</v>
      </c>
      <c r="CO137" s="47" t="n">
        <f aca="false">CO135+CO89+CO97+$E94*CO14</f>
        <v>1116.54165475519</v>
      </c>
      <c r="CP137" s="47" t="n">
        <f aca="false">CP135+CP89+CP97+$E94*CP14</f>
        <v>1111.72601886607</v>
      </c>
      <c r="CQ137" s="47" t="n">
        <f aca="false">CQ135+CQ89+CQ97+$E94*CQ14</f>
        <v>1103.74280804704</v>
      </c>
      <c r="CR137" s="47" t="n">
        <f aca="false">CR135+CR89+CR97+$E94*CR14</f>
        <v>1102.69812246175</v>
      </c>
      <c r="CS137" s="47" t="n">
        <f aca="false">CS135+CS89+CS97+$E94*CS14</f>
        <v>2340.98242704214</v>
      </c>
      <c r="CT137" s="47" t="n">
        <f aca="false">CT135+CT89+CT97+$E94*CT14</f>
        <v>2329.59585287149</v>
      </c>
      <c r="CU137" s="47" t="n">
        <f aca="false">CU135+CU89+CU97+$E94*CU14</f>
        <v>2289.29840831076</v>
      </c>
      <c r="CV137" s="47" t="n">
        <f aca="false">CV135+CV89+CV97+$E94*CV14</f>
        <v>2314.73505729199</v>
      </c>
      <c r="CW137" s="47" t="n">
        <f aca="false">CW135+CW89+CW97+$E94*CW14</f>
        <v>2340.17170627322</v>
      </c>
      <c r="CX137" s="47" t="n">
        <f aca="false">CX135+CX89+CX97+$E94*CX14</f>
        <v>2332.12566741845</v>
      </c>
      <c r="CY137" s="47" t="n">
        <f aca="false">CY135+CY89+CY97+$E94*CY14</f>
        <v>2291.52460580205</v>
      </c>
      <c r="CZ137" s="47" t="n">
        <f aca="false">CZ135+CZ89+CZ97+$E94*CZ14</f>
        <v>2316.98599031096</v>
      </c>
      <c r="DA137" s="47" t="n">
        <f aca="false">DA135+DA89+DA97+$E94*DA14</f>
        <v>2342.44737481988</v>
      </c>
      <c r="DB137" s="47" t="n">
        <f aca="false">DB135+DB89+DB97+$E94*DB14</f>
        <v>2127.75796595667</v>
      </c>
      <c r="DC137" s="47" t="n">
        <f aca="false">DC135+DC89+DC97+$E94*DC14</f>
        <v>2091.34156892558</v>
      </c>
      <c r="DD137" s="47" t="n">
        <f aca="false">DD135+DD89+DD97+$E94*DD14</f>
        <v>2114.5786974692</v>
      </c>
      <c r="DE137" s="47" t="n">
        <f aca="false">DE135+DE89+DE97+$E94*DE14</f>
        <v>2137.81582601281</v>
      </c>
      <c r="DF137" s="47" t="n">
        <f aca="false">DF135+DF89+DF97+$E94*DF14</f>
        <v>2129.67377475099</v>
      </c>
      <c r="DG137" s="47" t="n">
        <f aca="false">DG135+DG89+DG97+$E94*DG14</f>
        <v>2116.20284972323</v>
      </c>
      <c r="DH137" s="47" t="n">
        <f aca="false">DH135+DH89+DH97+$E94*DH14</f>
        <v>2116.20284972323</v>
      </c>
      <c r="DI137" s="47" t="n">
        <f aca="false">DI135+DI89+DI97+$E94*DI14</f>
        <v>2139.45782609381</v>
      </c>
      <c r="DJ137" s="47" t="n">
        <f aca="false">DJ135+DJ89+DJ97+$E94*DJ14</f>
        <v>2131.26763373715</v>
      </c>
      <c r="DK137" s="47" t="n">
        <f aca="false">DK135+DK89+DK97+$E94*DK14</f>
        <v>2094.22922134031</v>
      </c>
      <c r="DL137" s="47" t="n">
        <f aca="false">DL135+DL89+DL97+$E94*DL14</f>
        <v>2117.49843491076</v>
      </c>
      <c r="DM137" s="47" t="n">
        <f aca="false">DM135+DM89+DM97+$E94*DM14</f>
        <v>2140.76764848121</v>
      </c>
      <c r="DN137" s="47" t="n">
        <f aca="false">DN135+DN89+DN97+$E94*DN14</f>
        <v>2132.52923118543</v>
      </c>
      <c r="DO137" s="47" t="n">
        <f aca="false">DO135+DO89+DO97+$E94*DO14</f>
        <v>2095.17525809415</v>
      </c>
      <c r="DP137" s="47" t="n">
        <f aca="false">DP135+DP89+DP97+$E94*DP14</f>
        <v>2118.45498318408</v>
      </c>
      <c r="DQ137" s="47" t="n">
        <f aca="false">DQ135+DQ89+DQ97+$E94*DQ14</f>
        <v>2141.73470827402</v>
      </c>
      <c r="DR137" s="47" t="n">
        <f aca="false">DR135+DR89+DR97+$E94*DR14</f>
        <v>2133.4479869401</v>
      </c>
      <c r="DS137" s="47" t="n">
        <f aca="false">DS135+DS89+DS97+$E94*DS14</f>
        <v>2095.77535956</v>
      </c>
      <c r="DT137" s="47" t="n">
        <f aca="false">DT135+DT89+DT97+$E94*DT14</f>
        <v>2119.061752444</v>
      </c>
      <c r="DU137" s="47" t="n">
        <f aca="false">DU135+DU89+DU97+$E94*DU14</f>
        <v>2142.348145328</v>
      </c>
      <c r="DV137" s="47" t="n">
        <f aca="false">DV135+DV89+DV97+$E94*DV14</f>
        <v>2134.01304575269</v>
      </c>
      <c r="DW137" s="47" t="n">
        <f aca="false">DW135+DW89+DW97+$E94*DW14</f>
        <v>2119.30772157993</v>
      </c>
      <c r="DX137" s="47" t="n">
        <f aca="false">DX135+DX89+DX97+$E94*DX14</f>
        <v>2119.30772157993</v>
      </c>
      <c r="DY137" s="47" t="n">
        <f aca="false">DY135+DY89+DY97+$E94*DY14</f>
        <v>2142.59681742147</v>
      </c>
      <c r="DZ137" s="47" t="n">
        <f aca="false">DZ135+DZ89+DZ97+$E94*DZ14</f>
        <v>2134.2132704514</v>
      </c>
      <c r="EA137" s="47" t="n">
        <f aca="false">EA135+EA89+EA97+$E94*EA14</f>
        <v>2095.89387383467</v>
      </c>
      <c r="EB137" s="47" t="n">
        <f aca="false">EB135+EB89+EB97+$E94*EB14</f>
        <v>2119.18158354395</v>
      </c>
      <c r="EC137" s="47" t="n">
        <f aca="false">EC135+EC89+EC97+$E94*EC14</f>
        <v>2142.46929325322</v>
      </c>
      <c r="ED137" s="47" t="n">
        <f aca="false">ED135+ED89+ED97+$E94*ED14</f>
        <v>2134.03723494271</v>
      </c>
      <c r="EE137" s="47" t="n">
        <f aca="false">EE135+EE89+EE97+$E94*EE14</f>
        <v>2095.38963124086</v>
      </c>
      <c r="EF137" s="47" t="n">
        <f aca="false">EF135+EF89+EF97+$E94*EF14</f>
        <v>2118.67173825464</v>
      </c>
      <c r="EG137" s="47" t="n">
        <f aca="false">EG135+EG89+EG97+$E94*EG14</f>
        <v>2141.95384526843</v>
      </c>
      <c r="EH137" s="47" t="n">
        <f aca="false">EH135+EH89+EH97+$E94*EH14</f>
        <v>2133.47321704111</v>
      </c>
      <c r="EI137" s="47" t="n">
        <f aca="false">EI135+EI89+EI97+$E94*EI14</f>
        <v>2094.49412834513</v>
      </c>
      <c r="EJ137" s="47" t="n">
        <f aca="false">EJ135+EJ89+EJ97+$E94*EJ14</f>
        <v>2117.76628532674</v>
      </c>
      <c r="EK137" s="47" t="n">
        <f aca="false">EK135+EK89+EK97+$E94*EK14</f>
        <v>2141.03844230835</v>
      </c>
      <c r="EL137" s="47" t="n">
        <f aca="false">EL135+EL89+EL97+$E94*EL14</f>
        <v>2132.50919112262</v>
      </c>
      <c r="EM137" s="47" t="n">
        <f aca="false">EM135+EM89+EM97+$E94*EM14</f>
        <v>2116.45301662203</v>
      </c>
      <c r="EN137" s="47" t="n">
        <f aca="false">EN135+EN89+EN97+$E94*EN14</f>
        <v>2116.45301662203</v>
      </c>
      <c r="EO137" s="47" t="n">
        <f aca="false">EO135+EO89+EO97+$E94*EO14</f>
        <v>2139.71074207941</v>
      </c>
    </row>
    <row r="138" customFormat="false" ht="15" hidden="false" customHeight="false" outlineLevel="0" collapsed="false">
      <c r="C138" s="25" t="s">
        <v>481</v>
      </c>
      <c r="D138" s="11" t="s">
        <v>27</v>
      </c>
      <c r="E138" s="33" t="n">
        <f aca="false">XIRR($J137:$EO137,$J$4:$EO$4)</f>
        <v>0.0585329319728951</v>
      </c>
    </row>
    <row r="140" customFormat="false" ht="15" hidden="false" customHeight="false" outlineLevel="0" collapsed="false">
      <c r="A140" s="9" t="s">
        <v>13</v>
      </c>
      <c r="B140" s="9"/>
      <c r="C140" s="9" t="s">
        <v>482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</row>
    <row r="141" customFormat="false" ht="15" hidden="false" customHeight="false" outlineLevel="0" collapsed="false">
      <c r="C141" s="0" t="s">
        <v>483</v>
      </c>
      <c r="D141" s="11" t="s">
        <v>33</v>
      </c>
      <c r="I141" s="47" t="n">
        <f aca="false">SUM(J141:EO141)</f>
        <v>164683.802127411</v>
      </c>
      <c r="J141" s="47" t="n">
        <f aca="false">J59+J66+J79+J58+J108</f>
        <v>-4662.80993807469</v>
      </c>
      <c r="K141" s="47" t="n">
        <f aca="false">K59+K66+K79+K58+K108</f>
        <v>-706.535577057768</v>
      </c>
      <c r="L141" s="47" t="n">
        <f aca="false">L59+L66+L79+L58+L108</f>
        <v>-104.360496659404</v>
      </c>
      <c r="M141" s="47" t="n">
        <f aca="false">M59+M66+M79+M58+M108</f>
        <v>-105.507315304013</v>
      </c>
      <c r="N141" s="47" t="n">
        <f aca="false">N59+N66+N79+N58+N108</f>
        <v>-105.507315304013</v>
      </c>
      <c r="O141" s="47" t="n">
        <f aca="false">O59+O66+O79+O58+O108</f>
        <v>-104.360496659404</v>
      </c>
      <c r="P141" s="47" t="n">
        <f aca="false">P59+P66+P79+P58+P108</f>
        <v>-104.360496659404</v>
      </c>
      <c r="Q141" s="47" t="n">
        <f aca="false">Q59+Q66+Q79+Q58+Q108</f>
        <v>-105.507315304013</v>
      </c>
      <c r="R141" s="47" t="n">
        <f aca="false">R59+R66+R79+R58+R108</f>
        <v>-11463.3923544848</v>
      </c>
      <c r="S141" s="47" t="n">
        <f aca="false">S59+S66+S79+S58+S108</f>
        <v>-19370.0278417678</v>
      </c>
      <c r="T141" s="47" t="n">
        <f aca="false">T59+T66+T79+T58+T108</f>
        <v>-11339.8180765393</v>
      </c>
      <c r="U141" s="47" t="n">
        <f aca="false">U59+U66+U79+U58+U108</f>
        <v>-11464.4314619958</v>
      </c>
      <c r="V141" s="47" t="n">
        <f aca="false">V59+V66+V79+V58+V108</f>
        <v>-11464.4314619958</v>
      </c>
      <c r="W141" s="47" t="n">
        <f aca="false">W59+W66+W79+W58+W108</f>
        <v>-11216.2466222556</v>
      </c>
      <c r="X141" s="47" t="n">
        <f aca="false">X59+X66+X79+X58+X108</f>
        <v>-11340.8715847251</v>
      </c>
      <c r="Y141" s="47" t="n">
        <f aca="false">Y59+Y66+Y79+Y58+Y108</f>
        <v>-13965.4965471946</v>
      </c>
      <c r="Z141" s="47" t="n">
        <f aca="false">Z59+Z66+Z79+Z58+Z108</f>
        <v>2341.99775277371</v>
      </c>
      <c r="AA141" s="47" t="n">
        <f aca="false">AA59+AA66+AA79+AA58+AA108</f>
        <v>2306.4414171799</v>
      </c>
      <c r="AB141" s="47" t="n">
        <f aca="false">AB59+AB66+AB79+AB58+AB108</f>
        <v>2331.01051385238</v>
      </c>
      <c r="AC141" s="47" t="n">
        <f aca="false">AC59+AC66+AC79+AC58+AC108</f>
        <v>2355.56181980506</v>
      </c>
      <c r="AD141" s="47" t="n">
        <f aca="false">AD59+AD66+AD79+AD58+AD108</f>
        <v>2347.22985725597</v>
      </c>
      <c r="AE141" s="47" t="n">
        <f aca="false">AE59+AE66+AE79+AE58+AE108</f>
        <v>2336.47011679567</v>
      </c>
      <c r="AF141" s="47" t="n">
        <f aca="false">AF59+AF66+AF79+AF58+AF108</f>
        <v>2335.97367797752</v>
      </c>
      <c r="AG141" s="47" t="n">
        <f aca="false">AG59+AG66+AG79+AG58+AG108</f>
        <v>2360.57412309878</v>
      </c>
      <c r="AH141" s="47" t="n">
        <f aca="false">AH59+AH66+AH79+AH58+AH108</f>
        <v>2352.16515003278</v>
      </c>
      <c r="AI141" s="47" t="n">
        <f aca="false">AI59+AI66+AI79+AI58+AI108</f>
        <v>2315.99247065638</v>
      </c>
      <c r="AJ141" s="47" t="n">
        <f aca="false">AJ59+AJ66+AJ79+AJ58+AJ108</f>
        <v>2371.32631847659</v>
      </c>
      <c r="AK141" s="47" t="n">
        <f aca="false">AK59+AK66+AK79+AK58+AK108</f>
        <v>2396.29477664682</v>
      </c>
      <c r="AL141" s="47" t="n">
        <f aca="false">AL59+AL66+AL79+AL58+AL108</f>
        <v>2358.23507375987</v>
      </c>
      <c r="AM141" s="47" t="n">
        <f aca="false">AM59+AM66+AM79+AM58+AM108</f>
        <v>2321.06119368008</v>
      </c>
      <c r="AN141" s="47" t="n">
        <f aca="false">AN59+AN66+AN79+AN58+AN108</f>
        <v>2344.70328279154</v>
      </c>
      <c r="AO141" s="47" t="n">
        <f aca="false">AO59+AO66+AO79+AO58+AO108</f>
        <v>2368.30860304271</v>
      </c>
      <c r="AP141" s="47" t="n">
        <f aca="false">AP59+AP66+AP79+AP58+AP108</f>
        <v>2359.81104411145</v>
      </c>
      <c r="AQ141" s="47" t="n">
        <f aca="false">AQ59+AQ66+AQ79+AQ58+AQ108</f>
        <v>2322.31553314369</v>
      </c>
      <c r="AR141" s="47" t="n">
        <f aca="false">AR59+AR66+AR79+AR58+AR108</f>
        <v>2345.96404425671</v>
      </c>
      <c r="AS141" s="47" t="n">
        <f aca="false">AS59+AS66+AS79+AS58+AS108</f>
        <v>2369.57505799332</v>
      </c>
      <c r="AT141" s="47" t="n">
        <f aca="false">AT59+AT66+AT79+AT58+AT108</f>
        <v>2360.97213760383</v>
      </c>
      <c r="AU141" s="47" t="n">
        <f aca="false">AU59+AU66+AU79+AU58+AU108</f>
        <v>2348.0017238272</v>
      </c>
      <c r="AV141" s="47" t="n">
        <f aca="false">AV59+AV66+AV79+AV58+AV108</f>
        <v>2346.77604335604</v>
      </c>
      <c r="AW141" s="47" t="n">
        <f aca="false">AW59+AW66+AW79+AW58+AW108</f>
        <v>2370.38786363904</v>
      </c>
      <c r="AX141" s="47" t="n">
        <f aca="false">AX59+AX66+AX79+AX58+AX108</f>
        <v>2361.67656802488</v>
      </c>
      <c r="AY141" s="47" t="n">
        <f aca="false">AY59+AY66+AY79+AY58+AY108</f>
        <v>2323.52269723436</v>
      </c>
      <c r="AZ141" s="47" t="n">
        <f aca="false">AZ59+AZ66+AZ79+AZ58+AZ108</f>
        <v>2347.16983962639</v>
      </c>
      <c r="BA141" s="47" t="n">
        <f aca="false">BA59+BA66+BA79+BA58+BA108</f>
        <v>2370.77794165836</v>
      </c>
      <c r="BB141" s="47" t="n">
        <f aca="false">BB59+BB66+BB79+BB58+BB108</f>
        <v>2361.95570094713</v>
      </c>
      <c r="BC141" s="47" t="n">
        <f aca="false">BC59+BC66+BC79+BC58+BC108</f>
        <v>2323.46508575038</v>
      </c>
      <c r="BD141" s="47" t="n">
        <f aca="false">BD59+BD66+BD79+BD58+BD108</f>
        <v>2347.1043359652</v>
      </c>
      <c r="BE141" s="47" t="n">
        <f aca="false">BE59+BE66+BE79+BE58+BE108</f>
        <v>2370.70373205816</v>
      </c>
      <c r="BF141" s="47" t="n">
        <f aca="false">BF59+BF66+BF79+BF58+BF108</f>
        <v>2361.76758783101</v>
      </c>
      <c r="BG141" s="47" t="n">
        <f aca="false">BG59+BG66+BG79+BG58+BG108</f>
        <v>2322.93489497542</v>
      </c>
      <c r="BH141" s="47" t="n">
        <f aca="false">BH59+BH66+BH79+BH58+BH108</f>
        <v>2346.56109464693</v>
      </c>
      <c r="BI141" s="47" t="n">
        <f aca="false">BI59+BI66+BI79+BI58+BI108</f>
        <v>2370.14659547858</v>
      </c>
      <c r="BJ141" s="47" t="n">
        <f aca="false">BJ59+BJ66+BJ79+BJ58+BJ108</f>
        <v>2361.09346718179</v>
      </c>
      <c r="BK141" s="47" t="n">
        <f aca="false">BK59+BK66+BK79+BK58+BK108</f>
        <v>2346.99142692256</v>
      </c>
      <c r="BL141" s="47" t="n">
        <f aca="false">BL59+BL66+BL79+BL58+BL108</f>
        <v>2345.49634650676</v>
      </c>
      <c r="BM141" s="47" t="n">
        <f aca="false">BM59+BM66+BM79+BM58+BM108</f>
        <v>2369.06226965089</v>
      </c>
      <c r="BN141" s="47" t="n">
        <f aca="false">BN59+BN66+BN79+BN58+BN108</f>
        <v>2359.88866196916</v>
      </c>
      <c r="BO141" s="47" t="n">
        <f aca="false">BO59+BO66+BO79+BO58+BO108</f>
        <v>2320.35487895223</v>
      </c>
      <c r="BP141" s="47" t="n">
        <f aca="false">BP59+BP66+BP79+BP58+BP108</f>
        <v>2343.93836913528</v>
      </c>
      <c r="BQ141" s="47" t="n">
        <f aca="false">BQ59+BQ66+BQ79+BQ58+BQ108</f>
        <v>2367.47936914962</v>
      </c>
      <c r="BR141" s="47" t="n">
        <f aca="false">BR59+BR66+BR79+BR58+BR108</f>
        <v>2358.18221390907</v>
      </c>
      <c r="BS141" s="47" t="n">
        <f aca="false">BS59+BS66+BS79+BS58+BS108</f>
        <v>2318.28935664028</v>
      </c>
      <c r="BT141" s="47" t="n">
        <f aca="false">BT59+BT66+BT79+BT58+BT108</f>
        <v>2341.84302790067</v>
      </c>
      <c r="BU141" s="47" t="n">
        <f aca="false">BU59+BU66+BU79+BU58+BU108</f>
        <v>2365.35326262028</v>
      </c>
      <c r="BV141" s="47" t="n">
        <f aca="false">BV59+BV66+BV79+BV58+BV108</f>
        <v>2355.92907779056</v>
      </c>
      <c r="BW141" s="47" t="n">
        <f aca="false">BW59+BW66+BW79+BW58+BW108</f>
        <v>2315.67113479872</v>
      </c>
      <c r="BX141" s="47" t="n">
        <f aca="false">BX59+BX66+BX79+BX58+BX108</f>
        <v>2339.18894762733</v>
      </c>
      <c r="BY141" s="47" t="n">
        <f aca="false">BY59+BY66+BY79+BY58+BY108</f>
        <v>2362.66234060226</v>
      </c>
      <c r="BZ141" s="47" t="n">
        <f aca="false">BZ59+BZ66+BZ79+BZ58+BZ108</f>
        <v>2353.10749812524</v>
      </c>
      <c r="CA141" s="47" t="n">
        <f aca="false">CA59+CA66+CA79+CA58+CA108</f>
        <v>2337.74403859901</v>
      </c>
      <c r="CB141" s="47" t="n">
        <f aca="false">CB59+CB66+CB79+CB58+CB108</f>
        <v>2335.92912005564</v>
      </c>
      <c r="CC141" s="47" t="n">
        <f aca="false">CC59+CC66+CC79+CC58+CC108</f>
        <v>2359.35906563663</v>
      </c>
      <c r="CD141" s="47" t="n">
        <f aca="false">CD59+CD66+CD79+CD58+CD108</f>
        <v>2349.66949554286</v>
      </c>
      <c r="CE141" s="47" t="n">
        <f aca="false">CE59+CE66+CE79+CE58+CE108</f>
        <v>2308.66229969314</v>
      </c>
      <c r="CF141" s="47" t="n">
        <f aca="false">CF59+CF66+CF79+CF58+CF108</f>
        <v>2332.08900548421</v>
      </c>
      <c r="CG141" s="47" t="n">
        <f aca="false">CG59+CG66+CG79+CG58+CG108</f>
        <v>2355.46920379877</v>
      </c>
      <c r="CH141" s="47" t="n">
        <f aca="false">CH59+CH66+CH79+CH58+CH108</f>
        <v>2345.64124128825</v>
      </c>
      <c r="CI141" s="47" t="n">
        <f aca="false">CI59+CI66+CI79+CI58+CI108</f>
        <v>2304.24976072477</v>
      </c>
      <c r="CJ141" s="47" t="n">
        <f aca="false">CJ59+CJ66+CJ79+CJ58+CJ108</f>
        <v>2327.62098847871</v>
      </c>
      <c r="CK141" s="47" t="n">
        <f aca="false">CK59+CK66+CK79+CK58+CK108</f>
        <v>2350.94460411352</v>
      </c>
      <c r="CL141" s="47" t="n">
        <f aca="false">CL59+CL66+CL79+CL58+CL108</f>
        <v>2340.97414109789</v>
      </c>
      <c r="CM141" s="47" t="n">
        <f aca="false">CM59+CM66+CM79+CM58+CM108</f>
        <v>2299.19157021716</v>
      </c>
      <c r="CN141" s="47" t="n">
        <f aca="false">CN59+CN66+CN79+CN58+CN108</f>
        <v>2322.50025606237</v>
      </c>
      <c r="CO141" s="47" t="n">
        <f aca="false">CO59+CO66+CO79+CO58+CO108</f>
        <v>2345.76018102781</v>
      </c>
      <c r="CP141" s="47" t="n">
        <f aca="false">CP59+CP66+CP79+CP58+CP108</f>
        <v>2335.64293473681</v>
      </c>
      <c r="CQ141" s="47" t="n">
        <f aca="false">CQ59+CQ66+CQ79+CQ58+CQ108</f>
        <v>2318.87087972521</v>
      </c>
      <c r="CR141" s="47" t="n">
        <f aca="false">CR59+CR66+CR79+CR58+CR108</f>
        <v>2316.67608310698</v>
      </c>
      <c r="CS141" s="47" t="n">
        <f aca="false">CS59+CS66+CS79+CS58+CS108</f>
        <v>2339.86463874121</v>
      </c>
      <c r="CT141" s="47" t="n">
        <f aca="false">CT59+CT66+CT79+CT58+CT108</f>
        <v>2329.59585287149</v>
      </c>
      <c r="CU141" s="47" t="n">
        <f aca="false">CU59+CU66+CU79+CU58+CU108</f>
        <v>2289.29840831076</v>
      </c>
      <c r="CV141" s="47" t="n">
        <f aca="false">CV59+CV66+CV79+CV58+CV108</f>
        <v>2314.73505729199</v>
      </c>
      <c r="CW141" s="47" t="n">
        <f aca="false">CW59+CW66+CW79+CW58+CW108</f>
        <v>2340.17170627322</v>
      </c>
      <c r="CX141" s="47" t="n">
        <f aca="false">CX59+CX66+CX79+CX58+CX108</f>
        <v>2332.12566741845</v>
      </c>
      <c r="CY141" s="47" t="n">
        <f aca="false">CY59+CY66+CY79+CY58+CY108</f>
        <v>2291.52460580205</v>
      </c>
      <c r="CZ141" s="47" t="n">
        <f aca="false">CZ59+CZ66+CZ79+CZ58+CZ108</f>
        <v>2316.98599031096</v>
      </c>
      <c r="DA141" s="47" t="n">
        <f aca="false">DA59+DA66+DA79+DA58+DA108</f>
        <v>2342.44737481988</v>
      </c>
      <c r="DB141" s="47" t="n">
        <f aca="false">DB59+DB66+DB79+DB58+DB108</f>
        <v>2127.75796595667</v>
      </c>
      <c r="DC141" s="47" t="n">
        <f aca="false">DC59+DC66+DC79+DC58+DC108</f>
        <v>2091.34156892558</v>
      </c>
      <c r="DD141" s="47" t="n">
        <f aca="false">DD59+DD66+DD79+DD58+DD108</f>
        <v>2114.5786974692</v>
      </c>
      <c r="DE141" s="47" t="n">
        <f aca="false">DE59+DE66+DE79+DE58+DE108</f>
        <v>2137.81582601281</v>
      </c>
      <c r="DF141" s="47" t="n">
        <f aca="false">DF59+DF66+DF79+DF58+DF108</f>
        <v>2129.67377475099</v>
      </c>
      <c r="DG141" s="47" t="n">
        <f aca="false">DG59+DG66+DG79+DG58+DG108</f>
        <v>2116.20284972323</v>
      </c>
      <c r="DH141" s="47" t="n">
        <f aca="false">DH59+DH66+DH79+DH58+DH108</f>
        <v>2116.20284972323</v>
      </c>
      <c r="DI141" s="47" t="n">
        <f aca="false">DI59+DI66+DI79+DI58+DI108</f>
        <v>2139.45782609381</v>
      </c>
      <c r="DJ141" s="47" t="n">
        <f aca="false">DJ59+DJ66+DJ79+DJ58+DJ108</f>
        <v>2131.26763373715</v>
      </c>
      <c r="DK141" s="47" t="n">
        <f aca="false">DK59+DK66+DK79+DK58+DK108</f>
        <v>2094.22922134031</v>
      </c>
      <c r="DL141" s="47" t="n">
        <f aca="false">DL59+DL66+DL79+DL58+DL108</f>
        <v>2117.49843491076</v>
      </c>
      <c r="DM141" s="47" t="n">
        <f aca="false">DM59+DM66+DM79+DM58+DM108</f>
        <v>2140.76764848121</v>
      </c>
      <c r="DN141" s="47" t="n">
        <f aca="false">DN59+DN66+DN79+DN58+DN108</f>
        <v>2132.52923118543</v>
      </c>
      <c r="DO141" s="47" t="n">
        <f aca="false">DO59+DO66+DO79+DO58+DO108</f>
        <v>2095.17525809415</v>
      </c>
      <c r="DP141" s="47" t="n">
        <f aca="false">DP59+DP66+DP79+DP58+DP108</f>
        <v>2118.45498318408</v>
      </c>
      <c r="DQ141" s="47" t="n">
        <f aca="false">DQ59+DQ66+DQ79+DQ58+DQ108</f>
        <v>2141.73470827402</v>
      </c>
      <c r="DR141" s="47" t="n">
        <f aca="false">DR59+DR66+DR79+DR58+DR108</f>
        <v>2133.4479869401</v>
      </c>
      <c r="DS141" s="47" t="n">
        <f aca="false">DS59+DS66+DS79+DS58+DS108</f>
        <v>2095.77535956</v>
      </c>
      <c r="DT141" s="47" t="n">
        <f aca="false">DT59+DT66+DT79+DT58+DT108</f>
        <v>2119.061752444</v>
      </c>
      <c r="DU141" s="47" t="n">
        <f aca="false">DU59+DU66+DU79+DU58+DU108</f>
        <v>2142.348145328</v>
      </c>
      <c r="DV141" s="47" t="n">
        <f aca="false">DV59+DV66+DV79+DV58+DV108</f>
        <v>2134.01304575269</v>
      </c>
      <c r="DW141" s="47" t="n">
        <f aca="false">DW59+DW66+DW79+DW58+DW108</f>
        <v>2119.30772157993</v>
      </c>
      <c r="DX141" s="47" t="n">
        <f aca="false">DX59+DX66+DX79+DX58+DX108</f>
        <v>2119.30772157993</v>
      </c>
      <c r="DY141" s="47" t="n">
        <f aca="false">DY59+DY66+DY79+DY58+DY108</f>
        <v>2142.59681742147</v>
      </c>
      <c r="DZ141" s="47" t="n">
        <f aca="false">DZ59+DZ66+DZ79+DZ58+DZ108</f>
        <v>2134.2132704514</v>
      </c>
      <c r="EA141" s="47" t="n">
        <f aca="false">EA59+EA66+EA79+EA58+EA108</f>
        <v>2095.89387383467</v>
      </c>
      <c r="EB141" s="47" t="n">
        <f aca="false">EB59+EB66+EB79+EB58+EB108</f>
        <v>2119.18158354395</v>
      </c>
      <c r="EC141" s="47" t="n">
        <f aca="false">EC59+EC66+EC79+EC58+EC108</f>
        <v>2142.46929325322</v>
      </c>
      <c r="ED141" s="47" t="n">
        <f aca="false">ED59+ED66+ED79+ED58+ED108</f>
        <v>2134.03723494271</v>
      </c>
      <c r="EE141" s="47" t="n">
        <f aca="false">EE59+EE66+EE79+EE58+EE108</f>
        <v>2095.38963124086</v>
      </c>
      <c r="EF141" s="47" t="n">
        <f aca="false">EF59+EF66+EF79+EF58+EF108</f>
        <v>2118.67173825464</v>
      </c>
      <c r="EG141" s="47" t="n">
        <f aca="false">EG59+EG66+EG79+EG58+EG108</f>
        <v>2141.95384526843</v>
      </c>
      <c r="EH141" s="47" t="n">
        <f aca="false">EH59+EH66+EH79+EH58+EH108</f>
        <v>2133.47321704111</v>
      </c>
      <c r="EI141" s="47" t="n">
        <f aca="false">EI59+EI66+EI79+EI58+EI108</f>
        <v>2094.49412834513</v>
      </c>
      <c r="EJ141" s="47" t="n">
        <f aca="false">EJ59+EJ66+EJ79+EJ58+EJ108</f>
        <v>2117.76628532674</v>
      </c>
      <c r="EK141" s="47" t="n">
        <f aca="false">EK59+EK66+EK79+EK58+EK108</f>
        <v>2141.03844230835</v>
      </c>
      <c r="EL141" s="47" t="n">
        <f aca="false">EL59+EL66+EL79+EL58+EL108</f>
        <v>2132.50919112262</v>
      </c>
      <c r="EM141" s="47" t="n">
        <f aca="false">EM59+EM66+EM79+EM58+EM108</f>
        <v>2116.45301662203</v>
      </c>
      <c r="EN141" s="47" t="n">
        <f aca="false">EN59+EN66+EN79+EN58+EN108</f>
        <v>2116.45301662203</v>
      </c>
      <c r="EO141" s="47" t="n">
        <f aca="false">EO59+EO66+EO79+EO58+EO108</f>
        <v>2139.71074207941</v>
      </c>
    </row>
    <row r="142" customFormat="false" ht="15" hidden="false" customHeight="false" outlineLevel="0" collapsed="false">
      <c r="C142" s="25" t="s">
        <v>91</v>
      </c>
      <c r="D142" s="11" t="s">
        <v>27</v>
      </c>
      <c r="E142" s="33" t="n">
        <f aca="false">XIRR($J141:$EO141,$J$4:$EO$4)</f>
        <v>0.071565353731744</v>
      </c>
    </row>
    <row r="143" customFormat="false" ht="15" hidden="false" customHeight="false" outlineLevel="0" collapsed="false">
      <c r="C143" s="25" t="s">
        <v>484</v>
      </c>
      <c r="D143" s="11" t="s">
        <v>33</v>
      </c>
      <c r="I143" s="56" t="n">
        <f aca="false">SUM(J143:EO143)</f>
        <v>130210.653239714</v>
      </c>
      <c r="J143" s="56" t="n">
        <f aca="false">J59+J66+J91+J95+J96+J79+J89+J97+J58+J108</f>
        <v>-4662.80993807469</v>
      </c>
      <c r="K143" s="56" t="n">
        <f aca="false">K59+K66+K91+K95+K96+K79+K89+K97+K58+K108</f>
        <v>-706.535577057768</v>
      </c>
      <c r="L143" s="56" t="n">
        <f aca="false">L59+L66+L91+L95+L96+L79+L89+L97+L58+L108</f>
        <v>-104.360496659404</v>
      </c>
      <c r="M143" s="56" t="n">
        <f aca="false">M59+M66+M91+M95+M96+M79+M89+M97+M58+M108</f>
        <v>-105.507315304013</v>
      </c>
      <c r="N143" s="56" t="n">
        <f aca="false">N59+N66+N91+N95+N96+N79+N89+N97+N58+N108</f>
        <v>-105.507315304013</v>
      </c>
      <c r="O143" s="56" t="n">
        <f aca="false">O59+O66+O91+O95+O96+O79+O89+O97+O58+O108</f>
        <v>-104.360496659404</v>
      </c>
      <c r="P143" s="56" t="n">
        <f aca="false">P59+P66+P91+P95+P96+P79+P89+P97+P58+P108</f>
        <v>-104.360496659404</v>
      </c>
      <c r="Q143" s="56" t="n">
        <f aca="false">Q59+Q66+Q91+Q95+Q96+Q79+Q89+Q97+Q58+Q108</f>
        <v>-105.507315304013</v>
      </c>
      <c r="R143" s="56" t="n">
        <f aca="false">R59+R66+R91+R95+R96+R79+R89+R97+R58+R108</f>
        <v>-6343.24141455136</v>
      </c>
      <c r="S143" s="56" t="n">
        <f aca="false">S59+S66+S91+S95+S96+S79+S89+S97+S58+S108</f>
        <v>-8866.86817882802</v>
      </c>
      <c r="T143" s="56" t="n">
        <f aca="false">T59+T66+T91+T95+T96+T79+T89+T97+T58+T108</f>
        <v>-5231.13156786321</v>
      </c>
      <c r="U143" s="56" t="n">
        <f aca="false">U59+U66+U91+U95+U96+U79+U89+U97+U58+U108</f>
        <v>-5274.56210977118</v>
      </c>
      <c r="V143" s="56" t="n">
        <f aca="false">V59+V66+V91+V95+V96+V79+V89+V97+V58+V108</f>
        <v>-5260.35324521498</v>
      </c>
      <c r="W143" s="56" t="n">
        <f aca="false">W59+W66+W91+W95+W96+W79+W89+W97+W58+W108</f>
        <v>-5133.13969486067</v>
      </c>
      <c r="X143" s="56" t="n">
        <f aca="false">X59+X66+X91+X95+X96+X79+X89+X97+X58+X108</f>
        <v>-5176.42569086062</v>
      </c>
      <c r="Y143" s="56" t="n">
        <f aca="false">Y59+Y66+Y91+Y95+Y96+Y79+Y89+Y97+Y58+Y108</f>
        <v>-7571.50201868782</v>
      </c>
      <c r="Z143" s="56" t="n">
        <f aca="false">Z59+Z66+Z91+Z95+Z96+Z79+Z89+Z97+Z58+Z108</f>
        <v>1114.75080337093</v>
      </c>
      <c r="AA143" s="56" t="n">
        <f aca="false">AA59+AA66+AA91+AA95+AA96+AA79+AA89+AA97+AA58+AA108</f>
        <v>1097.82659683783</v>
      </c>
      <c r="AB143" s="56" t="n">
        <f aca="false">AB59+AB66+AB91+AB95+AB96+AB79+AB89+AB97+AB58+AB108</f>
        <v>1109.52106589589</v>
      </c>
      <c r="AC143" s="56" t="n">
        <f aca="false">AC59+AC66+AC91+AC95+AC96+AC79+AC89+AC97+AC58+AC108</f>
        <v>1121.20706687615</v>
      </c>
      <c r="AD143" s="56" t="n">
        <f aca="false">AD59+AD66+AD91+AD95+AD96+AD79+AD89+AD97+AD58+AD108</f>
        <v>1117.24119545968</v>
      </c>
      <c r="AE143" s="56" t="n">
        <f aca="false">AE59+AE66+AE91+AE95+AE96+AE79+AE89+AE97+AE58+AE108</f>
        <v>1112.11974335416</v>
      </c>
      <c r="AF143" s="56" t="n">
        <f aca="false">AF59+AF66+AF91+AF95+AF96+AF79+AF89+AF97+AF58+AF108</f>
        <v>1111.88344698256</v>
      </c>
      <c r="AG143" s="56" t="n">
        <f aca="false">AG59+AG66+AG91+AG95+AG96+AG79+AG89+AG97+AG58+AG108</f>
        <v>1123.59283736512</v>
      </c>
      <c r="AH143" s="56" t="n">
        <f aca="false">AH59+AH66+AH91+AH95+AH96+AH79+AH89+AH97+AH58+AH108</f>
        <v>1119.59031026207</v>
      </c>
      <c r="AI143" s="56" t="n">
        <f aca="false">AI59+AI66+AI91+AI95+AI96+AI79+AI89+AI97+AI58+AI108</f>
        <v>1102.37273464865</v>
      </c>
      <c r="AJ143" s="56" t="n">
        <f aca="false">AJ59+AJ66+AJ91+AJ95+AJ96+AJ79+AJ89+AJ97+AJ58+AJ108</f>
        <v>1128.71069814081</v>
      </c>
      <c r="AK143" s="56" t="n">
        <f aca="false">AK59+AK66+AK91+AK95+AK96+AK79+AK89+AK97+AK58+AK108</f>
        <v>1140.59525642927</v>
      </c>
      <c r="AL143" s="56" t="n">
        <f aca="false">AL59+AL66+AL91+AL95+AL96+AL79+AL89+AL97+AL58+AL108</f>
        <v>1122.47948995689</v>
      </c>
      <c r="AM143" s="56" t="n">
        <f aca="false">AM59+AM66+AM91+AM95+AM96+AM79+AM89+AM97+AM58+AM108</f>
        <v>1104.78535996282</v>
      </c>
      <c r="AN143" s="56" t="n">
        <f aca="false">AN59+AN66+AN91+AN95+AN96+AN79+AN89+AN97+AN58+AN108</f>
        <v>1116.03858930477</v>
      </c>
      <c r="AO143" s="56" t="n">
        <f aca="false">AO59+AO66+AO91+AO95+AO96+AO79+AO89+AO97+AO58+AO108</f>
        <v>1127.2743172992</v>
      </c>
      <c r="AP143" s="56" t="n">
        <f aca="false">AP59+AP66+AP91+AP95+AP96+AP79+AP89+AP97+AP58+AP108</f>
        <v>1123.22962484199</v>
      </c>
      <c r="AQ143" s="56" t="n">
        <f aca="false">AQ59+AQ66+AQ91+AQ95+AQ96+AQ79+AQ89+AQ97+AQ58+AQ108</f>
        <v>1105.38240405591</v>
      </c>
      <c r="AR143" s="56" t="n">
        <f aca="false">AR59+AR66+AR91+AR95+AR96+AR79+AR89+AR97+AR58+AR108</f>
        <v>1116.63869016052</v>
      </c>
      <c r="AS143" s="56" t="n">
        <f aca="false">AS59+AS66+AS91+AS95+AS96+AS79+AS89+AS97+AS58+AS108</f>
        <v>1127.87712815642</v>
      </c>
      <c r="AT143" s="56" t="n">
        <f aca="false">AT59+AT66+AT91+AT95+AT96+AT79+AT89+AT97+AT58+AT108</f>
        <v>1123.78228545028</v>
      </c>
      <c r="AU143" s="56" t="n">
        <f aca="false">AU59+AU66+AU91+AU95+AU96+AU79+AU89+AU97+AU58+AU108</f>
        <v>1117.60859072292</v>
      </c>
      <c r="AV143" s="56" t="n">
        <f aca="false">AV59+AV66+AV91+AV95+AV96+AV79+AV89+AV97+AV58+AV108</f>
        <v>1117.0251878189</v>
      </c>
      <c r="AW143" s="56" t="n">
        <f aca="false">AW59+AW66+AW91+AW95+AW96+AW79+AW89+AW97+AW58+AW108</f>
        <v>1128.26400971703</v>
      </c>
      <c r="AX143" s="56" t="n">
        <f aca="false">AX59+AX66+AX91+AX95+AX96+AX79+AX89+AX97+AX58+AX108</f>
        <v>1124.11758226078</v>
      </c>
      <c r="AY143" s="56" t="n">
        <f aca="false">AY59+AY66+AY91+AY95+AY96+AY79+AY89+AY97+AY58+AY108</f>
        <v>1105.9569934791</v>
      </c>
      <c r="AZ143" s="56" t="n">
        <f aca="false">AZ59+AZ66+AZ91+AZ95+AZ96+AZ79+AZ89+AZ97+AZ58+AZ108</f>
        <v>1117.21262809592</v>
      </c>
      <c r="BA143" s="56" t="n">
        <f aca="false">BA59+BA66+BA91+BA95+BA96+BA79+BA89+BA97+BA58+BA108</f>
        <v>1128.44968017025</v>
      </c>
      <c r="BB143" s="56" t="n">
        <f aca="false">BB59+BB66+BB91+BB95+BB96+BB79+BB89+BB97+BB58+BB108</f>
        <v>1124.25044474868</v>
      </c>
      <c r="BC143" s="56" t="n">
        <f aca="false">BC59+BC66+BC91+BC95+BC96+BC79+BC89+BC97+BC58+BC108</f>
        <v>1105.92957139928</v>
      </c>
      <c r="BD143" s="56" t="n">
        <f aca="false">BD59+BD66+BD91+BD95+BD96+BD79+BD89+BD97+BD58+BD108</f>
        <v>1117.18144947496</v>
      </c>
      <c r="BE143" s="56" t="n">
        <f aca="false">BE59+BE66+BE91+BE95+BE96+BE79+BE89+BE97+BE58+BE108</f>
        <v>1128.41435767149</v>
      </c>
      <c r="BF143" s="56" t="n">
        <f aca="false">BF59+BF66+BF91+BF95+BF96+BF79+BF89+BF97+BF58+BF108</f>
        <v>1124.16090612792</v>
      </c>
      <c r="BG143" s="56" t="n">
        <f aca="false">BG59+BG66+BG91+BG95+BG96+BG79+BG89+BG97+BG58+BG108</f>
        <v>1105.67720967396</v>
      </c>
      <c r="BH143" s="56" t="n">
        <f aca="false">BH59+BH66+BH91+BH95+BH96+BH79+BH89+BH97+BH58+BH108</f>
        <v>1116.92287591464</v>
      </c>
      <c r="BI143" s="56" t="n">
        <f aca="false">BI59+BI66+BI91+BI95+BI96+BI79+BI89+BI97+BI58+BI108</f>
        <v>1128.14917020487</v>
      </c>
      <c r="BJ143" s="56" t="n">
        <f aca="false">BJ59+BJ66+BJ91+BJ95+BJ96+BJ79+BJ89+BJ97+BJ58+BJ108</f>
        <v>1123.84003624854</v>
      </c>
      <c r="BK143" s="56" t="n">
        <f aca="false">BK59+BK66+BK91+BK95+BK96+BK79+BK89+BK97+BK58+BK108</f>
        <v>1117.12770670433</v>
      </c>
      <c r="BL143" s="56" t="n">
        <f aca="false">BL59+BL66+BL91+BL95+BL96+BL79+BL89+BL97+BL58+BL108</f>
        <v>1116.41607404248</v>
      </c>
      <c r="BM143" s="56" t="n">
        <f aca="false">BM59+BM66+BM91+BM95+BM96+BM79+BM89+BM97+BM58+BM108</f>
        <v>1127.63304968892</v>
      </c>
      <c r="BN143" s="56" t="n">
        <f aca="false">BN59+BN66+BN91+BN95+BN96+BN79+BN89+BN97+BN58+BN108</f>
        <v>1123.26656960963</v>
      </c>
      <c r="BO143" s="56" t="n">
        <f aca="false">BO59+BO66+BO91+BO95+BO96+BO79+BO89+BO97+BO58+BO108</f>
        <v>1104.44916625115</v>
      </c>
      <c r="BP143" s="56" t="n">
        <f aca="false">BP59+BP66+BP91+BP95+BP96+BP79+BP89+BP97+BP58+BP108</f>
        <v>1115.67450350715</v>
      </c>
      <c r="BQ143" s="56" t="n">
        <f aca="false">BQ59+BQ66+BQ91+BQ95+BQ96+BQ79+BQ89+BQ97+BQ58+BQ108</f>
        <v>1126.87961617087</v>
      </c>
      <c r="BR143" s="56" t="n">
        <f aca="false">BR59+BR66+BR91+BR95+BR96+BR79+BR89+BR97+BR58+BR108</f>
        <v>1122.45432957044</v>
      </c>
      <c r="BS143" s="56" t="n">
        <f aca="false">BS59+BS66+BS91+BS95+BS96+BS79+BS89+BS97+BS58+BS108</f>
        <v>1103.46601302037</v>
      </c>
      <c r="BT143" s="56" t="n">
        <f aca="false">BT59+BT66+BT91+BT95+BT96+BT79+BT89+BT97+BT58+BT108</f>
        <v>1114.67715698013</v>
      </c>
      <c r="BU143" s="56" t="n">
        <f aca="false">BU59+BU66+BU91+BU95+BU96+BU79+BU89+BU97+BU58+BU108</f>
        <v>1125.86762589072</v>
      </c>
      <c r="BV143" s="56" t="n">
        <f aca="false">BV59+BV66+BV91+BV95+BV96+BV79+BV89+BV97+BV58+BV108</f>
        <v>1121.38187538237</v>
      </c>
      <c r="BW143" s="56" t="n">
        <f aca="false">BW59+BW66+BW91+BW95+BW96+BW79+BW89+BW97+BW58+BW108</f>
        <v>1102.21978428342</v>
      </c>
      <c r="BX143" s="56" t="n">
        <f aca="false">BX59+BX66+BX91+BX95+BX96+BX79+BX89+BX97+BX58+BX108</f>
        <v>1113.41386024409</v>
      </c>
      <c r="BY143" s="56" t="n">
        <f aca="false">BY59+BY66+BY91+BY95+BY96+BY79+BY89+BY97+BY58+BY108</f>
        <v>1124.58679311549</v>
      </c>
      <c r="BZ143" s="56" t="n">
        <f aca="false">BZ59+BZ66+BZ91+BZ95+BZ96+BZ79+BZ89+BZ97+BZ58+BZ108</f>
        <v>1120.03885180571</v>
      </c>
      <c r="CA143" s="56" t="n">
        <f aca="false">CA59+CA66+CA91+CA95+CA96+CA79+CA89+CA97+CA58+CA108</f>
        <v>1112.72610830328</v>
      </c>
      <c r="CB143" s="56" t="n">
        <f aca="false">CB59+CB66+CB91+CB95+CB96+CB79+CB89+CB97+CB58+CB108</f>
        <v>1111.86223817286</v>
      </c>
      <c r="CC143" s="56" t="n">
        <f aca="false">CC59+CC66+CC91+CC95+CC96+CC79+CC89+CC97+CC58+CC108</f>
        <v>1123.0144908292</v>
      </c>
      <c r="CD143" s="56" t="n">
        <f aca="false">CD59+CD66+CD91+CD95+CD96+CD79+CD89+CD97+CD58+CD108</f>
        <v>1118.40242148227</v>
      </c>
      <c r="CE143" s="56" t="n">
        <f aca="false">CE59+CE66+CE91+CE95+CE96+CE79+CE89+CE97+CE58+CE108</f>
        <v>1098.88369886048</v>
      </c>
      <c r="CF143" s="56" t="n">
        <f aca="false">CF59+CF66+CF91+CF95+CF96+CF79+CF89+CF97+CF58+CF108</f>
        <v>1110.03440943235</v>
      </c>
      <c r="CG143" s="56" t="n">
        <f aca="false">CG59+CG66+CG91+CG95+CG96+CG79+CG89+CG97+CG58+CG108</f>
        <v>1121.16298324225</v>
      </c>
      <c r="CH143" s="56" t="n">
        <f aca="false">CH59+CH66+CH91+CH95+CH96+CH79+CH89+CH97+CH58+CH108</f>
        <v>1116.48504147614</v>
      </c>
      <c r="CI143" s="56" t="n">
        <f aca="false">CI59+CI66+CI91+CI95+CI96+CI79+CI89+CI97+CI58+CI108</f>
        <v>1096.78340591482</v>
      </c>
      <c r="CJ143" s="56" t="n">
        <f aca="false">CJ59+CJ66+CJ91+CJ95+CJ96+CJ79+CJ89+CJ97+CJ58+CJ108</f>
        <v>1107.90770989159</v>
      </c>
      <c r="CK143" s="56" t="n">
        <f aca="false">CK59+CK66+CK91+CK95+CK96+CK79+CK89+CK97+CK58+CK108</f>
        <v>1119.00935131542</v>
      </c>
      <c r="CL143" s="56" t="n">
        <f aca="false">CL59+CL66+CL91+CL95+CL96+CL79+CL89+CL97+CL58+CL108</f>
        <v>1114.26358175045</v>
      </c>
      <c r="CM143" s="56" t="n">
        <f aca="false">CM59+CM66+CM91+CM95+CM96+CM79+CM89+CM97+CM58+CM108</f>
        <v>1094.37579389893</v>
      </c>
      <c r="CN143" s="56" t="n">
        <f aca="false">CN59+CN66+CN91+CN95+CN96+CN79+CN89+CN97+CN58+CN108</f>
        <v>1105.47032899872</v>
      </c>
      <c r="CO143" s="56" t="n">
        <f aca="false">CO59+CO66+CO91+CO95+CO96+CO79+CO89+CO97+CO58+CO108</f>
        <v>1116.54165475519</v>
      </c>
      <c r="CP143" s="56" t="n">
        <f aca="false">CP59+CP66+CP91+CP95+CP96+CP79+CP89+CP97+CP58+CP108</f>
        <v>1111.72601886607</v>
      </c>
      <c r="CQ143" s="56" t="n">
        <f aca="false">CQ59+CQ66+CQ91+CQ95+CQ96+CQ79+CQ89+CQ97+CQ58+CQ108</f>
        <v>1103.74280804704</v>
      </c>
      <c r="CR143" s="56" t="n">
        <f aca="false">CR59+CR66+CR91+CR95+CR96+CR79+CR89+CR97+CR58+CR108</f>
        <v>1102.69812246175</v>
      </c>
      <c r="CS143" s="56" t="n">
        <f aca="false">CS59+CS66+CS91+CS95+CS96+CS79+CS89+CS97+CS58+CS108</f>
        <v>2340.98242704214</v>
      </c>
      <c r="CT143" s="56" t="n">
        <f aca="false">CT59+CT66+CT91+CT95+CT96+CT79+CT89+CT97+CT58+CT108</f>
        <v>2329.59585287149</v>
      </c>
      <c r="CU143" s="56" t="n">
        <f aca="false">CU59+CU66+CU91+CU95+CU96+CU79+CU89+CU97+CU58+CU108</f>
        <v>2289.29840831076</v>
      </c>
      <c r="CV143" s="56" t="n">
        <f aca="false">CV59+CV66+CV91+CV95+CV96+CV79+CV89+CV97+CV58+CV108</f>
        <v>2314.73505729199</v>
      </c>
      <c r="CW143" s="56" t="n">
        <f aca="false">CW59+CW66+CW91+CW95+CW96+CW79+CW89+CW97+CW58+CW108</f>
        <v>2340.17170627322</v>
      </c>
      <c r="CX143" s="56" t="n">
        <f aca="false">CX59+CX66+CX91+CX95+CX96+CX79+CX89+CX97+CX58+CX108</f>
        <v>2332.12566741845</v>
      </c>
      <c r="CY143" s="56" t="n">
        <f aca="false">CY59+CY66+CY91+CY95+CY96+CY79+CY89+CY97+CY58+CY108</f>
        <v>2291.52460580205</v>
      </c>
      <c r="CZ143" s="56" t="n">
        <f aca="false">CZ59+CZ66+CZ91+CZ95+CZ96+CZ79+CZ89+CZ97+CZ58+CZ108</f>
        <v>2316.98599031096</v>
      </c>
      <c r="DA143" s="56" t="n">
        <f aca="false">DA59+DA66+DA91+DA95+DA96+DA79+DA89+DA97+DA58+DA108</f>
        <v>2342.44737481988</v>
      </c>
      <c r="DB143" s="56" t="n">
        <f aca="false">DB59+DB66+DB91+DB95+DB96+DB79+DB89+DB97+DB58+DB108</f>
        <v>2127.75796595667</v>
      </c>
      <c r="DC143" s="56" t="n">
        <f aca="false">DC59+DC66+DC91+DC95+DC96+DC79+DC89+DC97+DC58+DC108</f>
        <v>2091.34156892558</v>
      </c>
      <c r="DD143" s="56" t="n">
        <f aca="false">DD59+DD66+DD91+DD95+DD96+DD79+DD89+DD97+DD58+DD108</f>
        <v>2114.5786974692</v>
      </c>
      <c r="DE143" s="56" t="n">
        <f aca="false">DE59+DE66+DE91+DE95+DE96+DE79+DE89+DE97+DE58+DE108</f>
        <v>2137.81582601281</v>
      </c>
      <c r="DF143" s="56" t="n">
        <f aca="false">DF59+DF66+DF91+DF95+DF96+DF79+DF89+DF97+DF58+DF108</f>
        <v>2129.67377475099</v>
      </c>
      <c r="DG143" s="56" t="n">
        <f aca="false">DG59+DG66+DG91+DG95+DG96+DG79+DG89+DG97+DG58+DG108</f>
        <v>2116.20284972323</v>
      </c>
      <c r="DH143" s="56" t="n">
        <f aca="false">DH59+DH66+DH91+DH95+DH96+DH79+DH89+DH97+DH58+DH108</f>
        <v>2116.20284972323</v>
      </c>
      <c r="DI143" s="56" t="n">
        <f aca="false">DI59+DI66+DI91+DI95+DI96+DI79+DI89+DI97+DI58+DI108</f>
        <v>2139.45782609381</v>
      </c>
      <c r="DJ143" s="56" t="n">
        <f aca="false">DJ59+DJ66+DJ91+DJ95+DJ96+DJ79+DJ89+DJ97+DJ58+DJ108</f>
        <v>2131.26763373715</v>
      </c>
      <c r="DK143" s="56" t="n">
        <f aca="false">DK59+DK66+DK91+DK95+DK96+DK79+DK89+DK97+DK58+DK108</f>
        <v>2094.22922134031</v>
      </c>
      <c r="DL143" s="56" t="n">
        <f aca="false">DL59+DL66+DL91+DL95+DL96+DL79+DL89+DL97+DL58+DL108</f>
        <v>2117.49843491076</v>
      </c>
      <c r="DM143" s="56" t="n">
        <f aca="false">DM59+DM66+DM91+DM95+DM96+DM79+DM89+DM97+DM58+DM108</f>
        <v>2140.76764848121</v>
      </c>
      <c r="DN143" s="56" t="n">
        <f aca="false">DN59+DN66+DN91+DN95+DN96+DN79+DN89+DN97+DN58+DN108</f>
        <v>2132.52923118543</v>
      </c>
      <c r="DO143" s="56" t="n">
        <f aca="false">DO59+DO66+DO91+DO95+DO96+DO79+DO89+DO97+DO58+DO108</f>
        <v>2095.17525809415</v>
      </c>
      <c r="DP143" s="56" t="n">
        <f aca="false">DP59+DP66+DP91+DP95+DP96+DP79+DP89+DP97+DP58+DP108</f>
        <v>2118.45498318408</v>
      </c>
      <c r="DQ143" s="56" t="n">
        <f aca="false">DQ59+DQ66+DQ91+DQ95+DQ96+DQ79+DQ89+DQ97+DQ58+DQ108</f>
        <v>2141.73470827402</v>
      </c>
      <c r="DR143" s="56" t="n">
        <f aca="false">DR59+DR66+DR91+DR95+DR96+DR79+DR89+DR97+DR58+DR108</f>
        <v>2133.4479869401</v>
      </c>
      <c r="DS143" s="56" t="n">
        <f aca="false">DS59+DS66+DS91+DS95+DS96+DS79+DS89+DS97+DS58+DS108</f>
        <v>2095.77535956</v>
      </c>
      <c r="DT143" s="56" t="n">
        <f aca="false">DT59+DT66+DT91+DT95+DT96+DT79+DT89+DT97+DT58+DT108</f>
        <v>2119.061752444</v>
      </c>
      <c r="DU143" s="56" t="n">
        <f aca="false">DU59+DU66+DU91+DU95+DU96+DU79+DU89+DU97+DU58+DU108</f>
        <v>2142.348145328</v>
      </c>
      <c r="DV143" s="56" t="n">
        <f aca="false">DV59+DV66+DV91+DV95+DV96+DV79+DV89+DV97+DV58+DV108</f>
        <v>2134.01304575269</v>
      </c>
      <c r="DW143" s="56" t="n">
        <f aca="false">DW59+DW66+DW91+DW95+DW96+DW79+DW89+DW97+DW58+DW108</f>
        <v>2119.30772157993</v>
      </c>
      <c r="DX143" s="56" t="n">
        <f aca="false">DX59+DX66+DX91+DX95+DX96+DX79+DX89+DX97+DX58+DX108</f>
        <v>2119.30772157993</v>
      </c>
      <c r="DY143" s="56" t="n">
        <f aca="false">DY59+DY66+DY91+DY95+DY96+DY79+DY89+DY97+DY58+DY108</f>
        <v>2142.59681742147</v>
      </c>
      <c r="DZ143" s="56" t="n">
        <f aca="false">DZ59+DZ66+DZ91+DZ95+DZ96+DZ79+DZ89+DZ97+DZ58+DZ108</f>
        <v>2134.2132704514</v>
      </c>
      <c r="EA143" s="56" t="n">
        <f aca="false">EA59+EA66+EA91+EA95+EA96+EA79+EA89+EA97+EA58+EA108</f>
        <v>2095.89387383467</v>
      </c>
      <c r="EB143" s="56" t="n">
        <f aca="false">EB59+EB66+EB91+EB95+EB96+EB79+EB89+EB97+EB58+EB108</f>
        <v>2119.18158354395</v>
      </c>
      <c r="EC143" s="56" t="n">
        <f aca="false">EC59+EC66+EC91+EC95+EC96+EC79+EC89+EC97+EC58+EC108</f>
        <v>2142.46929325322</v>
      </c>
      <c r="ED143" s="56" t="n">
        <f aca="false">ED59+ED66+ED91+ED95+ED96+ED79+ED89+ED97+ED58+ED108</f>
        <v>2134.03723494271</v>
      </c>
      <c r="EE143" s="56" t="n">
        <f aca="false">EE59+EE66+EE91+EE95+EE96+EE79+EE89+EE97+EE58+EE108</f>
        <v>2095.38963124086</v>
      </c>
      <c r="EF143" s="56" t="n">
        <f aca="false">EF59+EF66+EF91+EF95+EF96+EF79+EF89+EF97+EF58+EF108</f>
        <v>2118.67173825464</v>
      </c>
      <c r="EG143" s="56" t="n">
        <f aca="false">EG59+EG66+EG91+EG95+EG96+EG79+EG89+EG97+EG58+EG108</f>
        <v>2141.95384526843</v>
      </c>
      <c r="EH143" s="56" t="n">
        <f aca="false">EH59+EH66+EH91+EH95+EH96+EH79+EH89+EH97+EH58+EH108</f>
        <v>2133.47321704111</v>
      </c>
      <c r="EI143" s="56" t="n">
        <f aca="false">EI59+EI66+EI91+EI95+EI96+EI79+EI89+EI97+EI58+EI108</f>
        <v>2094.49412834513</v>
      </c>
      <c r="EJ143" s="56" t="n">
        <f aca="false">EJ59+EJ66+EJ91+EJ95+EJ96+EJ79+EJ89+EJ97+EJ58+EJ108</f>
        <v>2117.76628532674</v>
      </c>
      <c r="EK143" s="56" t="n">
        <f aca="false">EK59+EK66+EK91+EK95+EK96+EK79+EK89+EK97+EK58+EK108</f>
        <v>2141.03844230835</v>
      </c>
      <c r="EL143" s="56" t="n">
        <f aca="false">EL59+EL66+EL91+EL95+EL96+EL79+EL89+EL97+EL58+EL108</f>
        <v>2132.50919112262</v>
      </c>
      <c r="EM143" s="56" t="n">
        <f aca="false">EM59+EM66+EM91+EM95+EM96+EM79+EM89+EM97+EM58+EM108</f>
        <v>2116.45301662203</v>
      </c>
      <c r="EN143" s="56" t="n">
        <f aca="false">EN59+EN66+EN91+EN95+EN96+EN79+EN89+EN97+EN58+EN108</f>
        <v>2116.45301662203</v>
      </c>
      <c r="EO143" s="56" t="n">
        <f aca="false">EO59+EO66+EO91+EO95+EO96+EO79+EO89+EO97+EO58+EO108</f>
        <v>2139.71074207941</v>
      </c>
    </row>
    <row r="144" customFormat="false" ht="15" hidden="false" customHeight="false" outlineLevel="0" collapsed="false">
      <c r="C144" s="25" t="s">
        <v>88</v>
      </c>
      <c r="D144" s="11" t="s">
        <v>27</v>
      </c>
      <c r="E144" s="33" t="n">
        <f aca="false">XIRR($J143:$EO143,$J$4:$EO$4)</f>
        <v>0.0798286717747364</v>
      </c>
    </row>
    <row r="145" customFormat="false" ht="15" hidden="false" customHeight="false" outlineLevel="0" collapsed="false">
      <c r="C145" s="25" t="s">
        <v>89</v>
      </c>
      <c r="D145" s="11" t="s">
        <v>13</v>
      </c>
      <c r="E145" s="59" t="n">
        <f aca="false">SUMIF($J143:$EO143,"&gt;0")/-SUMIF($J143:$EO143,"&lt;0")</f>
        <v>3.37367367104427</v>
      </c>
    </row>
    <row r="146" customFormat="false" ht="15" hidden="false" customHeight="false" outlineLevel="0" collapsed="false">
      <c r="C146" s="25" t="s">
        <v>90</v>
      </c>
      <c r="D146" s="11" t="s">
        <v>33</v>
      </c>
      <c r="E146" s="56" t="n">
        <f aca="false">XNPV(In_Discount_Rate,$J143:$EO143,$J$4:$EO$4)</f>
        <v>-92.6704544981953</v>
      </c>
    </row>
    <row r="148" customFormat="false" ht="15" hidden="false" customHeight="false" outlineLevel="0" collapsed="false">
      <c r="C148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379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380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381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382</v>
      </c>
      <c r="D5" s="11" t="s">
        <v>190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383</v>
      </c>
      <c r="D6" s="11" t="s">
        <v>384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385</v>
      </c>
      <c r="D7" s="11" t="s">
        <v>386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387</v>
      </c>
      <c r="D8" s="11" t="s">
        <v>147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389</v>
      </c>
      <c r="D12" s="11" t="s">
        <v>384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390</v>
      </c>
      <c r="D13" s="11" t="s">
        <v>384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309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391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392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393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394</v>
      </c>
      <c r="D19" s="11" t="s">
        <v>384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395</v>
      </c>
      <c r="D20" s="11" t="s">
        <v>147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396</v>
      </c>
      <c r="D21" s="11" t="s">
        <v>384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397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398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399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400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401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402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403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404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405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406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407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408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409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410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411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412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413</v>
      </c>
      <c r="D41" s="11" t="s">
        <v>147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414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228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415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416</v>
      </c>
      <c r="D47" s="11" t="s">
        <v>279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417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418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419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420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421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422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423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424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425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426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427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428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429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430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431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432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433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434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309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435</v>
      </c>
      <c r="D69" s="11" t="s">
        <v>384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436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437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438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439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440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441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442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325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443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444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445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-60.3480198379648</v>
      </c>
      <c r="AA82" s="57" t="n">
        <v>-59.711329371295</v>
      </c>
      <c r="AB82" s="57" t="n">
        <v>-61.1586785137932</v>
      </c>
      <c r="AC82" s="57" t="n">
        <v>-62.6193733011918</v>
      </c>
      <c r="AD82" s="57" t="n">
        <v>-71.793043790825</v>
      </c>
      <c r="AE82" s="57" t="n">
        <v>-125.642580743623</v>
      </c>
      <c r="AF82" s="57" t="n">
        <v>-126.345297170465</v>
      </c>
      <c r="AG82" s="57" t="n">
        <v>-129.272627376548</v>
      </c>
      <c r="AH82" s="57" t="n">
        <v>-128.730349161133</v>
      </c>
      <c r="AI82" s="57" t="n">
        <v>-127.398297463808</v>
      </c>
      <c r="AJ82" s="57" t="n">
        <v>-135.323682667617</v>
      </c>
      <c r="AK82" s="57" t="n">
        <v>-138.377367965308</v>
      </c>
      <c r="AL82" s="57" t="n">
        <v>-137.887673834152</v>
      </c>
      <c r="AM82" s="57" t="n">
        <v>-136.461450560655</v>
      </c>
      <c r="AN82" s="57" t="n">
        <v>-139.541261362179</v>
      </c>
      <c r="AO82" s="57" t="n">
        <v>-142.648182936782</v>
      </c>
      <c r="AP82" s="57" t="n">
        <v>-142.192472092425</v>
      </c>
      <c r="AQ82" s="57" t="n">
        <v>-140.762172543874</v>
      </c>
      <c r="AR82" s="57" t="n">
        <v>-143.896174404767</v>
      </c>
      <c r="AS82" s="57" t="n">
        <v>-147.057838606592</v>
      </c>
      <c r="AT82" s="57" t="n">
        <v>-146.637960554751</v>
      </c>
      <c r="AU82" s="57" t="n">
        <v>-147.522052083637</v>
      </c>
      <c r="AV82" s="57" t="n">
        <v>-148.412782043794</v>
      </c>
      <c r="AW82" s="57" t="n">
        <v>-151.630977731727</v>
      </c>
      <c r="AX82" s="57" t="n">
        <v>-151.249081076473</v>
      </c>
      <c r="AY82" s="57" t="n">
        <v>-149.815354813568</v>
      </c>
      <c r="AZ82" s="57" t="n">
        <v>-153.062700863409</v>
      </c>
      <c r="BA82" s="57" t="n">
        <v>-156.338879045821</v>
      </c>
      <c r="BB82" s="57" t="n">
        <v>-155.99678419407</v>
      </c>
      <c r="BC82" s="57" t="n">
        <v>-154.563665940036</v>
      </c>
      <c r="BD82" s="57" t="n">
        <v>-157.870107881744</v>
      </c>
      <c r="BE82" s="57" t="n">
        <v>-161.205999706884</v>
      </c>
      <c r="BF82" s="57" t="n">
        <v>-160.905824494039</v>
      </c>
      <c r="BG82" s="57" t="n">
        <v>-159.475043792974</v>
      </c>
      <c r="BH82" s="57" t="n">
        <v>-162.842371050624</v>
      </c>
      <c r="BI82" s="57" t="n">
        <v>-166.239790024845</v>
      </c>
      <c r="BJ82" s="57" t="n">
        <v>-165.983749984157</v>
      </c>
      <c r="BK82" s="57" t="n">
        <v>-166.914109039967</v>
      </c>
      <c r="BL82" s="57" t="n">
        <v>-168.005355455095</v>
      </c>
      <c r="BM82" s="57" t="n">
        <v>-171.466414851144</v>
      </c>
      <c r="BN82" s="57" t="n">
        <v>-171.257043565077</v>
      </c>
      <c r="BO82" s="57" t="n">
        <v>-169.836719367438</v>
      </c>
      <c r="BP82" s="57" t="n">
        <v>-173.331752070124</v>
      </c>
      <c r="BQ82" s="57" t="n">
        <v>-176.858239495156</v>
      </c>
      <c r="BR82" s="57" t="n">
        <v>-176.697756204507</v>
      </c>
      <c r="BS82" s="57" t="n">
        <v>-175.28554160696</v>
      </c>
      <c r="BT82" s="57" t="n">
        <v>-178.847367710211</v>
      </c>
      <c r="BU82" s="57" t="n">
        <v>-182.441369616409</v>
      </c>
      <c r="BV82" s="57" t="n">
        <v>-182.332311480932</v>
      </c>
      <c r="BW82" s="57" t="n">
        <v>-180.930334074286</v>
      </c>
      <c r="BX82" s="57" t="n">
        <v>-184.561111179407</v>
      </c>
      <c r="BY82" s="57" t="n">
        <v>-188.224814024749</v>
      </c>
      <c r="BZ82" s="57" t="n">
        <v>-188.169835361648</v>
      </c>
      <c r="CA82" s="57" t="n">
        <v>-189.170410612416</v>
      </c>
      <c r="CB82" s="57" t="n">
        <v>-190.500601798589</v>
      </c>
      <c r="CC82" s="57" t="n">
        <v>-194.236511952706</v>
      </c>
      <c r="CD82" s="57" t="n">
        <v>-194.238607154903</v>
      </c>
      <c r="CE82" s="57" t="n">
        <v>-192.864158911984</v>
      </c>
      <c r="CF82" s="57" t="n">
        <v>-196.639953096259</v>
      </c>
      <c r="CG82" s="57" t="n">
        <v>-200.450267495875</v>
      </c>
      <c r="CH82" s="57" t="n">
        <v>-200.512134723504</v>
      </c>
      <c r="CI82" s="57" t="n">
        <v>-199.155008627306</v>
      </c>
      <c r="CJ82" s="57" t="n">
        <v>-203.006879854031</v>
      </c>
      <c r="CK82" s="57" t="n">
        <v>-206.894116209574</v>
      </c>
      <c r="CL82" s="57" t="n">
        <v>-207.018795455534</v>
      </c>
      <c r="CM82" s="57" t="n">
        <v>-205.681599467637</v>
      </c>
      <c r="CN82" s="57" t="n">
        <v>-209.612152215341</v>
      </c>
      <c r="CO82" s="57" t="n">
        <v>-213.578949610713</v>
      </c>
      <c r="CP82" s="57" t="n">
        <v>-213.769621414545</v>
      </c>
      <c r="CQ82" s="57" t="n">
        <v>-214.870385645277</v>
      </c>
      <c r="CR82" s="57" t="n">
        <v>-216.485446580064</v>
      </c>
      <c r="CS82" s="57" t="n">
        <v>-220.534787667373</v>
      </c>
      <c r="CT82" s="57" t="n">
        <v>-220.794998393365</v>
      </c>
      <c r="CU82" s="57" t="n">
        <v>-217.82086186721</v>
      </c>
      <c r="CV82" s="57" t="n">
        <v>-220.241093665735</v>
      </c>
      <c r="CW82" s="57" t="n">
        <v>-222.661325464259</v>
      </c>
      <c r="CX82" s="57" t="n">
        <v>-221.241436254592</v>
      </c>
      <c r="CY82" s="57" t="n">
        <v>-218.213720248026</v>
      </c>
      <c r="CZ82" s="57" t="n">
        <v>-220.63831713967</v>
      </c>
      <c r="DA82" s="57" t="n">
        <v>-223.062914031315</v>
      </c>
      <c r="DB82" s="57" t="n">
        <v>-375.486699874706</v>
      </c>
      <c r="DC82" s="57" t="n">
        <v>-369.06027686922</v>
      </c>
      <c r="DD82" s="57" t="n">
        <v>-373.160946612211</v>
      </c>
      <c r="DE82" s="57" t="n">
        <v>-377.261616355202</v>
      </c>
      <c r="DF82" s="57" t="n">
        <v>-375.824783779587</v>
      </c>
      <c r="DG82" s="57" t="n">
        <v>-373.447561715863</v>
      </c>
      <c r="DH82" s="57" t="n">
        <v>-373.447561715863</v>
      </c>
      <c r="DI82" s="57" t="n">
        <v>-377.551381075378</v>
      </c>
      <c r="DJ82" s="57" t="n">
        <v>-376.106053012438</v>
      </c>
      <c r="DK82" s="57" t="n">
        <v>-369.569862589467</v>
      </c>
      <c r="DL82" s="57" t="n">
        <v>-373.676194396016</v>
      </c>
      <c r="DM82" s="57" t="n">
        <v>-377.782526202566</v>
      </c>
      <c r="DN82" s="57" t="n">
        <v>-376.328687856252</v>
      </c>
      <c r="DO82" s="57" t="n">
        <v>-369.736810251908</v>
      </c>
      <c r="DP82" s="57" t="n">
        <v>-373.844997032485</v>
      </c>
      <c r="DQ82" s="57" t="n">
        <v>-377.953183813062</v>
      </c>
      <c r="DR82" s="57" t="n">
        <v>-376.490821224723</v>
      </c>
      <c r="DS82" s="57" t="n">
        <v>-369.842710510588</v>
      </c>
      <c r="DT82" s="57" t="n">
        <v>-373.952073960706</v>
      </c>
      <c r="DU82" s="57" t="n">
        <v>-378.061437410823</v>
      </c>
      <c r="DV82" s="57" t="n">
        <v>-376.590537485769</v>
      </c>
      <c r="DW82" s="57" t="n">
        <v>-373.995480278811</v>
      </c>
      <c r="DX82" s="57" t="n">
        <v>-373.995480278811</v>
      </c>
      <c r="DY82" s="57" t="n">
        <v>-378.105320721436</v>
      </c>
      <c r="DZ82" s="57" t="n">
        <v>-376.625871256129</v>
      </c>
      <c r="EA82" s="57" t="n">
        <v>-369.863624794353</v>
      </c>
      <c r="EB82" s="57" t="n">
        <v>-373.973220625402</v>
      </c>
      <c r="EC82" s="57" t="n">
        <v>-378.08281645645</v>
      </c>
      <c r="ED82" s="57" t="n">
        <v>-376.59480616636</v>
      </c>
      <c r="EE82" s="57" t="n">
        <v>-369.774640807209</v>
      </c>
      <c r="EF82" s="57" t="n">
        <v>-373.883247927289</v>
      </c>
      <c r="EG82" s="57" t="n">
        <v>-377.99185504737</v>
      </c>
      <c r="EH82" s="57" t="n">
        <v>-376.495273595489</v>
      </c>
      <c r="EI82" s="57" t="n">
        <v>-369.616610884433</v>
      </c>
      <c r="EJ82" s="57" t="n">
        <v>-373.723462116483</v>
      </c>
      <c r="EK82" s="57" t="n">
        <v>-377.830313348532</v>
      </c>
      <c r="EL82" s="57" t="n">
        <v>-376.325151374579</v>
      </c>
      <c r="EM82" s="57" t="n">
        <v>-373.491708815652</v>
      </c>
      <c r="EN82" s="57" t="n">
        <v>-373.491708815652</v>
      </c>
      <c r="EO82" s="57" t="n">
        <v>-377.596013308131</v>
      </c>
    </row>
    <row r="83" customFormat="false" ht="15" hidden="false" customHeight="false" outlineLevel="0" collapsed="false">
      <c r="C83" s="0" t="s">
        <v>446</v>
      </c>
      <c r="D83" s="11" t="s">
        <v>33</v>
      </c>
      <c r="I83" s="47" t="n">
        <f aca="false">SUM(J83:EO83)</f>
        <v>266918.240536922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2300.94659077018</v>
      </c>
      <c r="AA83" s="47" t="n">
        <f aca="false">(AA79+AA55+AA82)*(AA$4&gt;In_COD)</f>
        <v>2266.07898831381</v>
      </c>
      <c r="AB83" s="47" t="n">
        <f aca="false">(AB79+AB55+AB82)*(AB$4&gt;In_COD)</f>
        <v>2290.47375381226</v>
      </c>
      <c r="AC83" s="47" t="n">
        <f aca="false">(AC79+AC55+AC82)*(AC$4&gt;In_COD)</f>
        <v>2314.8551736658</v>
      </c>
      <c r="AD83" s="47" t="n">
        <f aca="false">(AD79+AD55+AD82)*(AD$4&gt;In_COD)</f>
        <v>2297.20744160601</v>
      </c>
      <c r="AE83" s="47" t="n">
        <f aca="false">(AE79+AE55+AE82)*(AE$4&gt;In_COD)</f>
        <v>2233.47530061387</v>
      </c>
      <c r="AF83" s="47" t="n">
        <f aca="false">(AF79+AF55+AF82)*(AF$4&gt;In_COD)</f>
        <v>2232.77258418703</v>
      </c>
      <c r="AG83" s="47" t="n">
        <f aca="false">(AG79+AG55+AG82)*(AG$4&gt;In_COD)</f>
        <v>2255.76962630355</v>
      </c>
      <c r="AH83" s="47" t="n">
        <f aca="false">(AH79+AH55+AH82)*(AH$4&gt;In_COD)</f>
        <v>2247.78411286806</v>
      </c>
      <c r="AI83" s="47" t="n">
        <f aca="false">(AI79+AI55+AI82)*(AI$4&gt;In_COD)</f>
        <v>2213.00380481093</v>
      </c>
      <c r="AJ83" s="47" t="n">
        <f aca="false">(AJ79+AJ55+AJ82)*(AJ$4&gt;In_COD)</f>
        <v>2264.23837624485</v>
      </c>
      <c r="AK83" s="47" t="n">
        <f aca="false">(AK79+AK55+AK82)*(AK$4&gt;In_COD)</f>
        <v>2287.55350478137</v>
      </c>
      <c r="AL83" s="47" t="n">
        <f aca="false">(AL79+AL55+AL82)*(AL$4&gt;In_COD)</f>
        <v>2279.46149827438</v>
      </c>
      <c r="AM83" s="47" t="n">
        <f aca="false">(AM79+AM55+AM82)*(AM$4&gt;In_COD)</f>
        <v>2243.73855139539</v>
      </c>
      <c r="AN83" s="47" t="n">
        <f aca="false">(AN79+AN55+AN82)*(AN$4&gt;In_COD)</f>
        <v>2267.10540728227</v>
      </c>
      <c r="AO83" s="47" t="n">
        <f aca="false">(AO79+AO55+AO82)*(AO$4&gt;In_COD)</f>
        <v>2290.44515239606</v>
      </c>
      <c r="AP83" s="47" t="n">
        <f aca="false">(AP79+AP55+AP82)*(AP$4&gt;In_COD)</f>
        <v>2282.26507751402</v>
      </c>
      <c r="AQ83" s="47" t="n">
        <f aca="false">(AQ79+AQ55+AQ82)*(AQ$4&gt;In_COD)</f>
        <v>2246.23531801016</v>
      </c>
      <c r="AR83" s="47" t="n">
        <f aca="false">(AR79+AR55+AR82)*(AR$4&gt;In_COD)</f>
        <v>2269.62351048876</v>
      </c>
      <c r="AS83" s="47" t="n">
        <f aca="false">(AS79+AS55+AS82)*(AS$4&gt;In_COD)</f>
        <v>2292.98404062642</v>
      </c>
      <c r="AT83" s="47" t="n">
        <f aca="false">(AT79+AT55+AT82)*(AT$4&gt;In_COD)</f>
        <v>2284.71387467715</v>
      </c>
      <c r="AU83" s="47" t="n">
        <f aca="false">(AU79+AU55+AU82)*(AU$4&gt;In_COD)</f>
        <v>2272.6513403706</v>
      </c>
      <c r="AV83" s="47" t="n">
        <f aca="false">(AV79+AV55+AV82)*(AV$4&gt;In_COD)</f>
        <v>2271.76061041045</v>
      </c>
      <c r="AW83" s="47" t="n">
        <f aca="false">(AW79+AW55+AW82)*(AW$4&gt;In_COD)</f>
        <v>2295.13772672751</v>
      </c>
      <c r="AX83" s="47" t="n">
        <f aca="false">(AX79+AX55+AX82)*(AX$4&gt;In_COD)</f>
        <v>2286.77515094688</v>
      </c>
      <c r="AY83" s="47" t="n">
        <f aca="false">(AY79+AY55+AY82)*(AY$4&gt;In_COD)</f>
        <v>2250.11858294111</v>
      </c>
      <c r="AZ83" s="47" t="n">
        <f aca="false">(AZ79+AZ55+AZ82)*(AZ$4&gt;In_COD)</f>
        <v>2273.53716953299</v>
      </c>
      <c r="BA83" s="47" t="n">
        <f aca="false">(BA79+BA55+BA82)*(BA$4&gt;In_COD)</f>
        <v>2296.92692399229</v>
      </c>
      <c r="BB83" s="47" t="n">
        <f aca="false">(BB79+BB55+BB82)*(BB$4&gt;In_COD)</f>
        <v>2288.46995095437</v>
      </c>
      <c r="BC83" s="47" t="n">
        <f aca="false">(BC79+BC55+BC82)*(BC$4&gt;In_COD)</f>
        <v>2251.49335409857</v>
      </c>
      <c r="BD83" s="47" t="n">
        <f aca="false">(BD79+BD55+BD82)*(BD$4&gt;In_COD)</f>
        <v>2274.92087904618</v>
      </c>
      <c r="BE83" s="47" t="n">
        <f aca="false">(BE79+BE55+BE82)*(BE$4&gt;In_COD)</f>
        <v>2298.31895411036</v>
      </c>
      <c r="BF83" s="47" t="n">
        <f aca="false">(BF79+BF55+BF82)*(BF$4&gt;In_COD)</f>
        <v>2289.76530221918</v>
      </c>
      <c r="BG83" s="47" t="n">
        <f aca="false">(BG79+BG55+BG82)*(BG$4&gt;In_COD)</f>
        <v>2252.46402732605</v>
      </c>
      <c r="BH83" s="47" t="n">
        <f aca="false">(BH79+BH55+BH82)*(BH$4&gt;In_COD)</f>
        <v>2275.89602308084</v>
      </c>
      <c r="BI83" s="47" t="n">
        <f aca="false">(BI79+BI55+BI82)*(BI$4&gt;In_COD)</f>
        <v>2299.29792711905</v>
      </c>
      <c r="BJ83" s="47" t="n">
        <f aca="false">(BJ79+BJ55+BJ82)*(BJ$4&gt;In_COD)</f>
        <v>2290.64522045967</v>
      </c>
      <c r="BK83" s="47" t="n">
        <f aca="false">(BK79+BK55+BK82)*(BK$4&gt;In_COD)</f>
        <v>2277.51941353151</v>
      </c>
      <c r="BL83" s="47" t="n">
        <f aca="false">(BL79+BL55+BL82)*(BL$4&gt;In_COD)</f>
        <v>2276.42816711638</v>
      </c>
      <c r="BM83" s="47" t="n">
        <f aca="false">(BM79+BM55+BM82)*(BM$4&gt;In_COD)</f>
        <v>2299.82901456177</v>
      </c>
      <c r="BN83" s="47" t="n">
        <f aca="false">(BN79+BN55+BN82)*(BN$4&gt;In_COD)</f>
        <v>2291.07456267225</v>
      </c>
      <c r="BO83" s="47" t="n">
        <f aca="false">(BO79+BO55+BO82)*(BO$4&gt;In_COD)</f>
        <v>2253.10923468966</v>
      </c>
      <c r="BP83" s="47" t="n">
        <f aca="false">(BP79+BP55+BP82)*(BP$4&gt;In_COD)</f>
        <v>2276.53582369872</v>
      </c>
      <c r="BQ83" s="47" t="n">
        <f aca="false">(BQ79+BQ55+BQ82)*(BQ$4&gt;In_COD)</f>
        <v>2299.93095798543</v>
      </c>
      <c r="BR83" s="47" t="n">
        <f aca="false">(BR79+BR55+BR82)*(BR$4&gt;In_COD)</f>
        <v>2291.0723883741</v>
      </c>
      <c r="BS83" s="47" t="n">
        <f aca="false">(BS79+BS55+BS82)*(BS$4&gt;In_COD)</f>
        <v>2252.7676145311</v>
      </c>
      <c r="BT83" s="47" t="n">
        <f aca="false">(BT79+BT55+BT82)*(BT$4&gt;In_COD)</f>
        <v>2276.18415682938</v>
      </c>
      <c r="BU83" s="47" t="n">
        <f aca="false">(BU79+BU55+BU82)*(BU$4&gt;In_COD)</f>
        <v>2299.56852332472</v>
      </c>
      <c r="BV83" s="47" t="n">
        <f aca="false">(BV79+BV55+BV82)*(BV$4&gt;In_COD)</f>
        <v>2290.60314933909</v>
      </c>
      <c r="BW83" s="47" t="n">
        <f aca="false">(BW79+BW55+BW82)*(BW$4&gt;In_COD)</f>
        <v>2251.95372205209</v>
      </c>
      <c r="BX83" s="47" t="n">
        <f aca="false">(BX79+BX55+BX82)*(BX$4&gt;In_COD)</f>
        <v>2275.35499001504</v>
      </c>
      <c r="BY83" s="47" t="n">
        <f aca="false">(BY79+BY55+BY82)*(BY$4&gt;In_COD)</f>
        <v>2298.72333223777</v>
      </c>
      <c r="BZ83" s="47" t="n">
        <f aca="false">(BZ79+BZ55+BZ82)*(BZ$4&gt;In_COD)</f>
        <v>2289.64835395875</v>
      </c>
      <c r="CA83" s="47" t="n">
        <f aca="false">(CA79+CA55+CA82)*(CA$4&gt;In_COD)</f>
        <v>2275.34138298342</v>
      </c>
      <c r="CB83" s="47" t="n">
        <f aca="false">(CB79+CB55+CB82)*(CB$4&gt;In_COD)</f>
        <v>2274.01119179725</v>
      </c>
      <c r="CC83" s="47" t="n">
        <f aca="false">(CC79+CC55+CC82)*(CC$4&gt;In_COD)</f>
        <v>2297.35782882551</v>
      </c>
      <c r="CD83" s="47" t="n">
        <f aca="false">(CD79+CD55+CD82)*(CD$4&gt;In_COD)</f>
        <v>2288.17011028506</v>
      </c>
      <c r="CE83" s="47" t="n">
        <f aca="false">(CE79+CE55+CE82)*(CE$4&gt;In_COD)</f>
        <v>2248.81491269451</v>
      </c>
      <c r="CF83" s="47" t="n">
        <f aca="false">(CF79+CF55+CF82)*(CF$4&gt;In_COD)</f>
        <v>2272.16888597253</v>
      </c>
      <c r="CG83" s="47" t="n">
        <f aca="false">(CG79+CG55+CG82)*(CG$4&gt;In_COD)</f>
        <v>2295.48833903521</v>
      </c>
      <c r="CH83" s="47" t="n">
        <f aca="false">(CH79+CH55+CH82)*(CH$4&gt;In_COD)</f>
        <v>2286.18504466417</v>
      </c>
      <c r="CI83" s="47" t="n">
        <f aca="false">(CI79+CI55+CI82)*(CI$4&gt;In_COD)</f>
        <v>2246.46861373091</v>
      </c>
      <c r="CJ83" s="47" t="n">
        <f aca="false">(CJ79+CJ55+CJ82)*(CJ$4&gt;In_COD)</f>
        <v>2269.79033830816</v>
      </c>
      <c r="CK83" s="47" t="n">
        <f aca="false">(CK79+CK55+CK82)*(CK$4&gt;In_COD)</f>
        <v>2293.0766977566</v>
      </c>
      <c r="CL83" s="47" t="n">
        <f aca="false">(CL79+CL55+CL82)*(CL$4&gt;In_COD)</f>
        <v>2283.65465446183</v>
      </c>
      <c r="CM83" s="47" t="n">
        <f aca="false">(CM79+CM55+CM82)*(CM$4&gt;In_COD)</f>
        <v>2243.57112957749</v>
      </c>
      <c r="CN83" s="47" t="n">
        <f aca="false">(CN79+CN55+CN82)*(CN$4&gt;In_COD)</f>
        <v>2266.85449604139</v>
      </c>
      <c r="CO83" s="47" t="n">
        <f aca="false">(CO79+CO55+CO82)*(CO$4&gt;In_COD)</f>
        <v>2290.10161785763</v>
      </c>
      <c r="CP83" s="47" t="n">
        <f aca="false">(CP79+CP55+CP82)*(CP$4&gt;In_COD)</f>
        <v>2280.55751645431</v>
      </c>
      <c r="CQ83" s="47" t="n">
        <f aca="false">(CQ79+CQ55+CQ82)*(CQ$4&gt;In_COD)</f>
        <v>2264.93619137044</v>
      </c>
      <c r="CR83" s="47" t="n">
        <f aca="false">(CR79+CR55+CR82)*(CR$4&gt;In_COD)</f>
        <v>2263.32113043566</v>
      </c>
      <c r="CS83" s="47" t="n">
        <f aca="false">(CS79+CS55+CS82)*(CS$4&gt;In_COD)</f>
        <v>2286.5224110738</v>
      </c>
      <c r="CT83" s="47" t="n">
        <f aca="false">(CT79+CT55+CT82)*(CT$4&gt;In_COD)</f>
        <v>2276.85258115707</v>
      </c>
      <c r="CU83" s="47" t="n">
        <f aca="false">(CU79+CU55+CU82)*(CU$4&gt;In_COD)</f>
        <v>2237.7017294597</v>
      </c>
      <c r="CV83" s="47" t="n">
        <f aca="false">(CV79+CV55+CV82)*(CV$4&gt;In_COD)</f>
        <v>2262.56508200925</v>
      </c>
      <c r="CW83" s="47" t="n">
        <f aca="false">(CW79+CW55+CW82)*(CW$4&gt;In_COD)</f>
        <v>2287.42843455881</v>
      </c>
      <c r="CX83" s="47" t="n">
        <f aca="false">(CX79+CX55+CX82)*(CX$4&gt;In_COD)</f>
        <v>2279.38239570403</v>
      </c>
      <c r="CY83" s="47" t="n">
        <f aca="false">(CY79+CY55+CY82)*(CY$4&gt;In_COD)</f>
        <v>2239.92792695099</v>
      </c>
      <c r="CZ83" s="47" t="n">
        <f aca="false">(CZ79+CZ55+CZ82)*(CZ$4&gt;In_COD)</f>
        <v>2264.81601502822</v>
      </c>
      <c r="DA83" s="47" t="n">
        <f aca="false">(DA79+DA55+DA82)*(DA$4&gt;In_COD)</f>
        <v>2289.70410310546</v>
      </c>
      <c r="DB83" s="47" t="n">
        <f aca="false">(DB79+DB55+DB82)*(DB$4&gt;In_COD)</f>
        <v>2127.75796595667</v>
      </c>
      <c r="DC83" s="47" t="n">
        <f aca="false">(DC79+DC55+DC82)*(DC$4&gt;In_COD)</f>
        <v>2091.34156892558</v>
      </c>
      <c r="DD83" s="47" t="n">
        <f aca="false">(DD79+DD55+DD82)*(DD$4&gt;In_COD)</f>
        <v>2114.5786974692</v>
      </c>
      <c r="DE83" s="47" t="n">
        <f aca="false">(DE79+DE55+DE82)*(DE$4&gt;In_COD)</f>
        <v>2137.81582601281</v>
      </c>
      <c r="DF83" s="47" t="n">
        <f aca="false">(DF79+DF55+DF82)*(DF$4&gt;In_COD)</f>
        <v>2129.67377475099</v>
      </c>
      <c r="DG83" s="47" t="n">
        <f aca="false">(DG79+DG55+DG82)*(DG$4&gt;In_COD)</f>
        <v>2116.20284972323</v>
      </c>
      <c r="DH83" s="47" t="n">
        <f aca="false">(DH79+DH55+DH82)*(DH$4&gt;In_COD)</f>
        <v>2116.20284972323</v>
      </c>
      <c r="DI83" s="47" t="n">
        <f aca="false">(DI79+DI55+DI82)*(DI$4&gt;In_COD)</f>
        <v>2139.45782609381</v>
      </c>
      <c r="DJ83" s="47" t="n">
        <f aca="false">(DJ79+DJ55+DJ82)*(DJ$4&gt;In_COD)</f>
        <v>2131.26763373715</v>
      </c>
      <c r="DK83" s="47" t="n">
        <f aca="false">(DK79+DK55+DK82)*(DK$4&gt;In_COD)</f>
        <v>2094.22922134031</v>
      </c>
      <c r="DL83" s="47" t="n">
        <f aca="false">(DL79+DL55+DL82)*(DL$4&gt;In_COD)</f>
        <v>2117.49843491076</v>
      </c>
      <c r="DM83" s="47" t="n">
        <f aca="false">(DM79+DM55+DM82)*(DM$4&gt;In_COD)</f>
        <v>2140.76764848121</v>
      </c>
      <c r="DN83" s="47" t="n">
        <f aca="false">(DN79+DN55+DN82)*(DN$4&gt;In_COD)</f>
        <v>2132.52923118543</v>
      </c>
      <c r="DO83" s="47" t="n">
        <f aca="false">(DO79+DO55+DO82)*(DO$4&gt;In_COD)</f>
        <v>2095.17525809415</v>
      </c>
      <c r="DP83" s="47" t="n">
        <f aca="false">(DP79+DP55+DP82)*(DP$4&gt;In_COD)</f>
        <v>2118.45498318408</v>
      </c>
      <c r="DQ83" s="47" t="n">
        <f aca="false">(DQ79+DQ55+DQ82)*(DQ$4&gt;In_COD)</f>
        <v>2141.73470827402</v>
      </c>
      <c r="DR83" s="47" t="n">
        <f aca="false">(DR79+DR55+DR82)*(DR$4&gt;In_COD)</f>
        <v>2133.4479869401</v>
      </c>
      <c r="DS83" s="47" t="n">
        <f aca="false">(DS79+DS55+DS82)*(DS$4&gt;In_COD)</f>
        <v>2095.77535956</v>
      </c>
      <c r="DT83" s="47" t="n">
        <f aca="false">(DT79+DT55+DT82)*(DT$4&gt;In_COD)</f>
        <v>2119.061752444</v>
      </c>
      <c r="DU83" s="47" t="n">
        <f aca="false">(DU79+DU55+DU82)*(DU$4&gt;In_COD)</f>
        <v>2142.348145328</v>
      </c>
      <c r="DV83" s="47" t="n">
        <f aca="false">(DV79+DV55+DV82)*(DV$4&gt;In_COD)</f>
        <v>2134.01304575269</v>
      </c>
      <c r="DW83" s="47" t="n">
        <f aca="false">(DW79+DW55+DW82)*(DW$4&gt;In_COD)</f>
        <v>2119.30772157993</v>
      </c>
      <c r="DX83" s="47" t="n">
        <f aca="false">(DX79+DX55+DX82)*(DX$4&gt;In_COD)</f>
        <v>2119.30772157993</v>
      </c>
      <c r="DY83" s="47" t="n">
        <f aca="false">(DY79+DY55+DY82)*(DY$4&gt;In_COD)</f>
        <v>2142.59681742147</v>
      </c>
      <c r="DZ83" s="47" t="n">
        <f aca="false">(DZ79+DZ55+DZ82)*(DZ$4&gt;In_COD)</f>
        <v>2134.2132704514</v>
      </c>
      <c r="EA83" s="47" t="n">
        <f aca="false">(EA79+EA55+EA82)*(EA$4&gt;In_COD)</f>
        <v>2095.89387383467</v>
      </c>
      <c r="EB83" s="47" t="n">
        <f aca="false">(EB79+EB55+EB82)*(EB$4&gt;In_COD)</f>
        <v>2119.18158354395</v>
      </c>
      <c r="EC83" s="47" t="n">
        <f aca="false">(EC79+EC55+EC82)*(EC$4&gt;In_COD)</f>
        <v>2142.46929325322</v>
      </c>
      <c r="ED83" s="47" t="n">
        <f aca="false">(ED79+ED55+ED82)*(ED$4&gt;In_COD)</f>
        <v>2134.03723494271</v>
      </c>
      <c r="EE83" s="47" t="n">
        <f aca="false">(EE79+EE55+EE82)*(EE$4&gt;In_COD)</f>
        <v>2095.38963124086</v>
      </c>
      <c r="EF83" s="47" t="n">
        <f aca="false">(EF79+EF55+EF82)*(EF$4&gt;In_COD)</f>
        <v>2118.67173825464</v>
      </c>
      <c r="EG83" s="47" t="n">
        <f aca="false">(EG79+EG55+EG82)*(EG$4&gt;In_COD)</f>
        <v>2141.95384526843</v>
      </c>
      <c r="EH83" s="47" t="n">
        <f aca="false">(EH79+EH55+EH82)*(EH$4&gt;In_COD)</f>
        <v>2133.47321704111</v>
      </c>
      <c r="EI83" s="47" t="n">
        <f aca="false">(EI79+EI55+EI82)*(EI$4&gt;In_COD)</f>
        <v>2094.49412834513</v>
      </c>
      <c r="EJ83" s="47" t="n">
        <f aca="false">(EJ79+EJ55+EJ82)*(EJ$4&gt;In_COD)</f>
        <v>2117.76628532674</v>
      </c>
      <c r="EK83" s="47" t="n">
        <f aca="false">(EK79+EK55+EK82)*(EK$4&gt;In_COD)</f>
        <v>2141.03844230835</v>
      </c>
      <c r="EL83" s="47" t="n">
        <f aca="false">(EL79+EL55+EL82)*(EL$4&gt;In_COD)</f>
        <v>2132.50919112262</v>
      </c>
      <c r="EM83" s="47" t="n">
        <f aca="false">(EM79+EM55+EM82)*(EM$4&gt;In_COD)</f>
        <v>2116.45301662203</v>
      </c>
      <c r="EN83" s="47" t="n">
        <f aca="false">(EN79+EN55+EN82)*(EN$4&gt;In_COD)</f>
        <v>2116.45301662203</v>
      </c>
      <c r="EO83" s="47" t="n">
        <f aca="false">(EO79+EO55+EO82)*(EO$4&gt;In_COD)</f>
        <v>2139.71074207941</v>
      </c>
    </row>
    <row r="84" customFormat="false" ht="15" hidden="false" customHeight="false" outlineLevel="0" collapsed="false">
      <c r="C84" s="0" t="s">
        <v>447</v>
      </c>
      <c r="D84" s="11" t="s">
        <v>33</v>
      </c>
      <c r="E84" s="47" t="n">
        <f aca="false">SUMPRODUCT($J84:$EO84/$J21:$EO21)*$E21</f>
        <v>89663.7581285872</v>
      </c>
      <c r="I84" s="47" t="n">
        <f aca="false">SUM(J84:EO84)</f>
        <v>136546.338941852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1917.45549230848</v>
      </c>
      <c r="AA84" s="47" t="n">
        <f aca="false">AA83/In_DSCR*AA17</f>
        <v>1888.39915692817</v>
      </c>
      <c r="AB84" s="47" t="n">
        <f aca="false">AB83/In_DSCR*AB17</f>
        <v>1908.72812817688</v>
      </c>
      <c r="AC84" s="47" t="n">
        <f aca="false">AC83/In_DSCR*AC17</f>
        <v>1929.04597805484</v>
      </c>
      <c r="AD84" s="47" t="n">
        <f aca="false">AD83/In_DSCR*AD17</f>
        <v>1914.33953467168</v>
      </c>
      <c r="AE84" s="47" t="n">
        <f aca="false">AE83/In_DSCR*AE17</f>
        <v>1861.22941717822</v>
      </c>
      <c r="AF84" s="47" t="n">
        <f aca="false">AF83/In_DSCR*AF17</f>
        <v>1860.64382015586</v>
      </c>
      <c r="AG84" s="47" t="n">
        <f aca="false">AG83/In_DSCR*AG17</f>
        <v>1879.80802191963</v>
      </c>
      <c r="AH84" s="47" t="n">
        <f aca="false">AH83/In_DSCR*AH17</f>
        <v>1873.15342739005</v>
      </c>
      <c r="AI84" s="47" t="n">
        <f aca="false">AI83/In_DSCR*AI17</f>
        <v>1844.16983734244</v>
      </c>
      <c r="AJ84" s="47" t="n">
        <f aca="false">AJ83/In_DSCR*AJ17</f>
        <v>1886.86531353738</v>
      </c>
      <c r="AK84" s="47" t="n">
        <f aca="false">AK83/In_DSCR*AK17</f>
        <v>1906.29458731781</v>
      </c>
      <c r="AL84" s="47" t="n">
        <f aca="false">AL83/In_DSCR*AL17</f>
        <v>1899.55124856198</v>
      </c>
      <c r="AM84" s="47" t="n">
        <f aca="false">AM83/In_DSCR*AM17</f>
        <v>1869.78212616283</v>
      </c>
      <c r="AN84" s="47" t="n">
        <f aca="false">AN83/In_DSCR*AN17</f>
        <v>1889.25450606856</v>
      </c>
      <c r="AO84" s="47" t="n">
        <f aca="false">AO83/In_DSCR*AO17</f>
        <v>1908.70429366339</v>
      </c>
      <c r="AP84" s="47" t="n">
        <f aca="false">AP83/In_DSCR*AP17</f>
        <v>1901.88756459502</v>
      </c>
      <c r="AQ84" s="47" t="n">
        <f aca="false">AQ83/In_DSCR*AQ17</f>
        <v>1871.86276500847</v>
      </c>
      <c r="AR84" s="47" t="n">
        <f aca="false">AR83/In_DSCR*AR17</f>
        <v>1891.3529254073</v>
      </c>
      <c r="AS84" s="47" t="n">
        <f aca="false">AS83/In_DSCR*AS17</f>
        <v>1910.82003385535</v>
      </c>
      <c r="AT84" s="47" t="n">
        <f aca="false">AT83/In_DSCR*AT17</f>
        <v>1903.92822889763</v>
      </c>
      <c r="AU84" s="47" t="n">
        <f aca="false">AU83/In_DSCR*AU17</f>
        <v>1893.8761169755</v>
      </c>
      <c r="AV84" s="47" t="n">
        <f aca="false">AV83/In_DSCR*AV17</f>
        <v>1893.13384200871</v>
      </c>
      <c r="AW84" s="47" t="n">
        <f aca="false">AW83/In_DSCR*AW17</f>
        <v>1912.61477227292</v>
      </c>
      <c r="AX84" s="47" t="n">
        <f aca="false">AX83/In_DSCR*AX17</f>
        <v>1905.6459591224</v>
      </c>
      <c r="AY84" s="47" t="n">
        <f aca="false">AY83/In_DSCR*AY17</f>
        <v>1875.09881911759</v>
      </c>
      <c r="AZ84" s="47" t="n">
        <f aca="false">AZ83/In_DSCR*AZ17</f>
        <v>1894.61430794416</v>
      </c>
      <c r="BA84" s="47" t="n">
        <f aca="false">BA83/In_DSCR*BA17</f>
        <v>1914.10576999358</v>
      </c>
      <c r="BB84" s="47" t="n">
        <f aca="false">BB83/In_DSCR*BB17</f>
        <v>1907.05829246197</v>
      </c>
      <c r="BC84" s="47" t="n">
        <f aca="false">BC83/In_DSCR*BC17</f>
        <v>1876.24446174881</v>
      </c>
      <c r="BD84" s="47" t="n">
        <f aca="false">BD83/In_DSCR*BD17</f>
        <v>1895.76739920515</v>
      </c>
      <c r="BE84" s="47" t="n">
        <f aca="false">BE83/In_DSCR*BE17</f>
        <v>1915.26579509197</v>
      </c>
      <c r="BF84" s="47" t="n">
        <f aca="false">BF83/In_DSCR*BF17</f>
        <v>1908.13775184931</v>
      </c>
      <c r="BG84" s="47" t="n">
        <f aca="false">BG83/In_DSCR*BG17</f>
        <v>1877.05335610505</v>
      </c>
      <c r="BH84" s="47" t="n">
        <f aca="false">BH83/In_DSCR*BH17</f>
        <v>1896.58001923403</v>
      </c>
      <c r="BI84" s="47" t="n">
        <f aca="false">BI83/In_DSCR*BI17</f>
        <v>1916.08160593254</v>
      </c>
      <c r="BJ84" s="47" t="n">
        <f aca="false">BJ83/In_DSCR*BJ17</f>
        <v>1908.87101704972</v>
      </c>
      <c r="BK84" s="47" t="n">
        <f aca="false">BK83/In_DSCR*BK17</f>
        <v>1897.93284460959</v>
      </c>
      <c r="BL84" s="47" t="n">
        <f aca="false">BL83/In_DSCR*BL17</f>
        <v>1897.02347259698</v>
      </c>
      <c r="BM84" s="47" t="n">
        <f aca="false">BM83/In_DSCR*BM17</f>
        <v>1916.52417880148</v>
      </c>
      <c r="BN84" s="47" t="n">
        <f aca="false">BN83/In_DSCR*BN17</f>
        <v>1909.22880222687</v>
      </c>
      <c r="BO84" s="47" t="n">
        <f aca="false">BO83/In_DSCR*BO17</f>
        <v>1877.59102890805</v>
      </c>
      <c r="BP84" s="47" t="n">
        <f aca="false">BP83/In_DSCR*BP17</f>
        <v>1897.1131864156</v>
      </c>
      <c r="BQ84" s="47" t="n">
        <f aca="false">BQ83/In_DSCR*BQ17</f>
        <v>1916.60913165453</v>
      </c>
      <c r="BR84" s="47" t="n">
        <f aca="false">BR83/In_DSCR*BR17</f>
        <v>1909.22699031175</v>
      </c>
      <c r="BS84" s="47" t="n">
        <f aca="false">BS83/In_DSCR*BS17</f>
        <v>1877.30634544258</v>
      </c>
      <c r="BT84" s="47" t="n">
        <f aca="false">BT83/In_DSCR*BT17</f>
        <v>1896.82013069115</v>
      </c>
      <c r="BU84" s="47" t="n">
        <f aca="false">BU83/In_DSCR*BU17</f>
        <v>1916.3071027706</v>
      </c>
      <c r="BV84" s="47" t="n">
        <f aca="false">BV83/In_DSCR*BV17</f>
        <v>1908.83595778258</v>
      </c>
      <c r="BW84" s="47" t="n">
        <f aca="false">BW83/In_DSCR*BW17</f>
        <v>1876.62810171008</v>
      </c>
      <c r="BX84" s="47" t="n">
        <f aca="false">BX83/In_DSCR*BX17</f>
        <v>1896.12915834587</v>
      </c>
      <c r="BY84" s="47" t="n">
        <f aca="false">BY83/In_DSCR*BY17</f>
        <v>1915.60277686481</v>
      </c>
      <c r="BZ84" s="47" t="n">
        <f aca="false">BZ83/In_DSCR*BZ17</f>
        <v>1908.04029496563</v>
      </c>
      <c r="CA84" s="47" t="n">
        <f aca="false">CA83/In_DSCR*CA17</f>
        <v>1896.11781915285</v>
      </c>
      <c r="CB84" s="47" t="n">
        <f aca="false">CB83/In_DSCR*CB17</f>
        <v>1895.00932649771</v>
      </c>
      <c r="CC84" s="47" t="n">
        <f aca="false">CC83/In_DSCR*CC17</f>
        <v>1914.46485735459</v>
      </c>
      <c r="CD84" s="47" t="n">
        <f aca="false">CD83/In_DSCR*CD17</f>
        <v>1906.80842523755</v>
      </c>
      <c r="CE84" s="47" t="n">
        <f aca="false">CE83/In_DSCR*CE17</f>
        <v>1874.01242724543</v>
      </c>
      <c r="CF84" s="47" t="n">
        <f aca="false">CF83/In_DSCR*CF17</f>
        <v>1893.47407164377</v>
      </c>
      <c r="CG84" s="47" t="n">
        <f aca="false">CG83/In_DSCR*CG17</f>
        <v>1912.90694919601</v>
      </c>
      <c r="CH84" s="47" t="n">
        <f aca="false">CH83/In_DSCR*CH17</f>
        <v>1905.15420388681</v>
      </c>
      <c r="CI84" s="47" t="n">
        <f aca="false">CI83/In_DSCR*CI17</f>
        <v>1872.05717810909</v>
      </c>
      <c r="CJ84" s="47" t="n">
        <f aca="false">CJ83/In_DSCR*CJ17</f>
        <v>1891.49194859014</v>
      </c>
      <c r="CK84" s="47" t="n">
        <f aca="false">CK83/In_DSCR*CK17</f>
        <v>1910.8972481305</v>
      </c>
      <c r="CL84" s="47" t="n">
        <f aca="false">CL83/In_DSCR*CL17</f>
        <v>1903.04554538486</v>
      </c>
      <c r="CM84" s="47" t="n">
        <f aca="false">CM83/In_DSCR*CM17</f>
        <v>1869.64260798124</v>
      </c>
      <c r="CN84" s="47" t="n">
        <f aca="false">CN83/In_DSCR*CN17</f>
        <v>1889.04541336783</v>
      </c>
      <c r="CO84" s="47" t="n">
        <f aca="false">CO83/In_DSCR*CO17</f>
        <v>1908.41801488136</v>
      </c>
      <c r="CP84" s="47" t="n">
        <f aca="false">CP83/In_DSCR*CP17</f>
        <v>1900.46459704526</v>
      </c>
      <c r="CQ84" s="47" t="n">
        <f aca="false">CQ83/In_DSCR*CQ17</f>
        <v>1887.44682614204</v>
      </c>
      <c r="CR84" s="47" t="n">
        <f aca="false">CR83/In_DSCR*CR17</f>
        <v>1886.10094202972</v>
      </c>
      <c r="CS84" s="47" t="n">
        <f aca="false">CS83/In_DSCR*CS17</f>
        <v>1905.4353425615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448</v>
      </c>
      <c r="D85" s="11" t="s">
        <v>27</v>
      </c>
      <c r="E85" s="33" t="n">
        <f aca="false">MIN(In_Gearing,$E84/-$E66)</f>
        <v>0.55</v>
      </c>
      <c r="F85" s="33" t="n">
        <f aca="false">$E85*-$E66/$E84</f>
        <v>0.473746301595619</v>
      </c>
    </row>
    <row r="87" customFormat="false" ht="15" hidden="false" customHeight="false" outlineLevel="0" collapsed="false">
      <c r="A87" s="9" t="s">
        <v>13</v>
      </c>
      <c r="B87" s="9"/>
      <c r="C87" s="9" t="s">
        <v>335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449</v>
      </c>
      <c r="D88" s="11" t="s">
        <v>33</v>
      </c>
      <c r="I88" s="47" t="n">
        <f aca="false">SUM(J88:EO88)</f>
        <v>-22210.4492695421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-530.973422507279</v>
      </c>
      <c r="AA88" s="47" t="n">
        <f aca="false">-Z94*$F21*(AA$4&gt;In_COD)</f>
        <v>-526.255747189178</v>
      </c>
      <c r="AB88" s="47" t="n">
        <f aca="false">-AA94*$F21*(AB$4&gt;In_COD)</f>
        <v>-521.651167572405</v>
      </c>
      <c r="AC88" s="47" t="n">
        <f aca="false">-AB94*$F21*(AC$4&gt;In_COD)</f>
        <v>-516.868646023619</v>
      </c>
      <c r="AD88" s="47" t="n">
        <f aca="false">-AC94*$F21*(AD$4&gt;In_COD)</f>
        <v>-511.906024127522</v>
      </c>
      <c r="AE88" s="47" t="n">
        <f aca="false">-AD94*$F21*(AE$4&gt;In_COD)</f>
        <v>-506.968458497254</v>
      </c>
      <c r="AF88" s="47" t="n">
        <f aca="false">-AE94*$F21*(AF$4&gt;In_COD)</f>
        <v>-502.283682318355</v>
      </c>
      <c r="AG88" s="47" t="n">
        <f aca="false">-AF94*$F21*(AG$4&gt;In_COD)</f>
        <v>-497.543814242514</v>
      </c>
      <c r="AH88" s="47" t="n">
        <f aca="false">-AG94*$F21*(AH$4&gt;In_COD)</f>
        <v>-492.631210694368</v>
      </c>
      <c r="AI88" s="47" t="n">
        <f aca="false">-AH94*$F21*(AI$4&gt;In_COD)</f>
        <v>-487.696606971208</v>
      </c>
      <c r="AJ88" s="47" t="n">
        <f aca="false">-AI94*$F21*(AJ$4&gt;In_COD)</f>
        <v>-482.871956558908</v>
      </c>
      <c r="AK88" s="47" t="n">
        <f aca="false">-AJ94*$F21*(AK$4&gt;In_COD)</f>
        <v>-477.734162717177</v>
      </c>
      <c r="AL88" s="47" t="n">
        <f aca="false">-AK94*$F21*(AL$4&gt;In_COD)</f>
        <v>-472.417089619973</v>
      </c>
      <c r="AM88" s="47" t="n">
        <f aca="false">-AL94*$F21*(AM$4&gt;In_COD)</f>
        <v>-467.073486006503</v>
      </c>
      <c r="AN88" s="47" t="n">
        <f aca="false">-AM94*$F21*(AN$4&gt;In_COD)</f>
        <v>-461.839374993343</v>
      </c>
      <c r="AO88" s="47" t="n">
        <f aca="false">-AN94*$F21*(AO$4&gt;In_COD)</f>
        <v>-456.424525492975</v>
      </c>
      <c r="AP88" s="47" t="n">
        <f aca="false">-AO94*$F21*(AP$4&gt;In_COD)</f>
        <v>-450.826812062103</v>
      </c>
      <c r="AQ88" s="47" t="n">
        <f aca="false">-AP94*$F21*(AQ$4&gt;In_COD)</f>
        <v>-445.19949471566</v>
      </c>
      <c r="AR88" s="47" t="n">
        <f aca="false">-AQ94*$F21*(AR$4&gt;In_COD)</f>
        <v>-439.679637624389</v>
      </c>
      <c r="AS88" s="47" t="n">
        <f aca="false">-AR94*$F21*(AS$4&gt;In_COD)</f>
        <v>-433.975364926897</v>
      </c>
      <c r="AT88" s="47" t="n">
        <f aca="false">-AS94*$F21*(AT$4&gt;In_COD)</f>
        <v>-428.084507937811</v>
      </c>
      <c r="AU88" s="47" t="n">
        <f aca="false">-AT94*$F21*(AU$4&gt;In_COD)</f>
        <v>-422.160827325236</v>
      </c>
      <c r="AV88" s="47" t="n">
        <f aca="false">-AU94*$F21*(AV$4&gt;In_COD)</f>
        <v>-416.222627590584</v>
      </c>
      <c r="AW88" s="47" t="n">
        <f aca="false">-AV94*$F21*(AW$4&gt;In_COD)</f>
        <v>-410.214595984502</v>
      </c>
      <c r="AX88" s="47" t="n">
        <f aca="false">-AW94*$F21*(AX$4&gt;In_COD)</f>
        <v>-404.016101250041</v>
      </c>
      <c r="AY88" s="47" t="n">
        <f aca="false">-AX94*$F21*(AY$4&gt;In_COD)</f>
        <v>-397.781393449605</v>
      </c>
      <c r="AZ88" s="47" t="n">
        <f aca="false">-AY94*$F21*(AZ$4&gt;In_COD)</f>
        <v>-391.649646734184</v>
      </c>
      <c r="BA88" s="47" t="n">
        <f aca="false">-AZ94*$F21*(BA$4&gt;In_COD)</f>
        <v>-385.325685801628</v>
      </c>
      <c r="BB88" s="47" t="n">
        <f aca="false">-BA94*$F21*(BB$4&gt;In_COD)</f>
        <v>-378.807250256682</v>
      </c>
      <c r="BC88" s="47" t="n">
        <f aca="false">-BB94*$F21*(BC$4&gt;In_COD)</f>
        <v>-372.249068222627</v>
      </c>
      <c r="BD88" s="47" t="n">
        <f aca="false">-BC94*$F21*(BD$4&gt;In_COD)</f>
        <v>-365.791383142375</v>
      </c>
      <c r="BE88" s="47" t="n">
        <f aca="false">-BD94*$F21*(BE$4&gt;In_COD)</f>
        <v>-359.137365505917</v>
      </c>
      <c r="BF88" s="47" t="n">
        <f aca="false">-BE94*$F21*(BF$4&gt;In_COD)</f>
        <v>-352.284706487274</v>
      </c>
      <c r="BG88" s="47" t="n">
        <f aca="false">-BF94*$F21*(BG$4&gt;In_COD)</f>
        <v>-345.388600282445</v>
      </c>
      <c r="BH88" s="47" t="n">
        <f aca="false">-BG94*$F21*(BH$4&gt;In_COD)</f>
        <v>-338.59036921907</v>
      </c>
      <c r="BI88" s="47" t="n">
        <f aca="false">-BH94*$F21*(BI$4&gt;In_COD)</f>
        <v>-331.591526711905</v>
      </c>
      <c r="BJ88" s="47" t="n">
        <f aca="false">-BI94*$F21*(BJ$4&gt;In_COD)</f>
        <v>-324.38971361623</v>
      </c>
      <c r="BK88" s="47" t="n">
        <f aca="false">-BJ94*$F21*(BK$4&gt;In_COD)</f>
        <v>-317.140577729553</v>
      </c>
      <c r="BL88" s="47" t="n">
        <f aca="false">-BK94*$F21*(BL$4&gt;In_COD)</f>
        <v>-309.865601628539</v>
      </c>
      <c r="BM88" s="47" t="n">
        <f aca="false">-BL94*$F21*(BM$4&gt;In_COD)</f>
        <v>-302.50507347161</v>
      </c>
      <c r="BN88" s="47" t="n">
        <f aca="false">-BM94*$F21*(BN$4&gt;In_COD)</f>
        <v>-294.937058869683</v>
      </c>
      <c r="BO88" s="47" t="n">
        <f aca="false">-BN94*$F21*(BO$4&gt;In_COD)</f>
        <v>-287.317646056118</v>
      </c>
      <c r="BP88" s="47" t="n">
        <f aca="false">-BO94*$F21*(BP$4&gt;In_COD)</f>
        <v>-279.790344058641</v>
      </c>
      <c r="BQ88" s="47" t="n">
        <f aca="false">-BP94*$F21*(BQ$4&gt;In_COD)</f>
        <v>-272.053343912216</v>
      </c>
      <c r="BR88" s="47" t="n">
        <f aca="false">-BQ94*$F21*(BR$4&gt;In_COD)</f>
        <v>-264.104179614547</v>
      </c>
      <c r="BS88" s="47" t="n">
        <f aca="false">-BR94*$F21*(BS$4&gt;In_COD)</f>
        <v>-256.099366540145</v>
      </c>
      <c r="BT88" s="47" t="n">
        <f aca="false">-BS94*$F21*(BT$4&gt;In_COD)</f>
        <v>-248.183521895454</v>
      </c>
      <c r="BU88" s="47" t="n">
        <f aca="false">-BT94*$F21*(BU$4&gt;In_COD)</f>
        <v>-240.053171897809</v>
      </c>
      <c r="BV88" s="47" t="n">
        <f aca="false">-BU94*$F21*(BV$4&gt;In_COD)</f>
        <v>-231.705794013294</v>
      </c>
      <c r="BW88" s="47" t="n">
        <f aca="false">-BV94*$F21*(BW$4&gt;In_COD)</f>
        <v>-223.298316746557</v>
      </c>
      <c r="BX88" s="47" t="n">
        <f aca="false">-BW94*$F21*(BX$4&gt;In_COD)</f>
        <v>-214.976475422695</v>
      </c>
      <c r="BY88" s="47" t="n">
        <f aca="false">-BX94*$F21*(BY$4&gt;In_COD)</f>
        <v>-206.435129164054</v>
      </c>
      <c r="BZ88" s="47" t="n">
        <f aca="false">-BY94*$F21*(BZ$4&gt;In_COD)</f>
        <v>-197.67169664278</v>
      </c>
      <c r="CA88" s="47" t="n">
        <f aca="false">-BZ94*$F21*(CA$4&gt;In_COD)</f>
        <v>-188.843504937872</v>
      </c>
      <c r="CB88" s="47" t="n">
        <f aca="false">-CA94*$F21*(CB$4&gt;In_COD)</f>
        <v>-179.97556369693</v>
      </c>
      <c r="CC88" s="47" t="n">
        <f aca="false">-CB94*$F21*(CC$4&gt;In_COD)</f>
        <v>-171.003337494173</v>
      </c>
      <c r="CD88" s="47" t="n">
        <f aca="false">-CC94*$F21*(CD$4&gt;In_COD)</f>
        <v>-161.803746141519</v>
      </c>
      <c r="CE88" s="47" t="n">
        <f aca="false">-CD94*$F21*(CE$4&gt;In_COD)</f>
        <v>-152.534499976942</v>
      </c>
      <c r="CF88" s="47" t="n">
        <f aca="false">-CE94*$F21*(CF$4&gt;In_COD)</f>
        <v>-143.343600519757</v>
      </c>
      <c r="CG88" s="47" t="n">
        <f aca="false">-CF94*$F21*(CG$4&gt;In_COD)</f>
        <v>-133.922566293649</v>
      </c>
      <c r="CH88" s="47" t="n">
        <f aca="false">-CG94*$F21*(CH$4&gt;In_COD)</f>
        <v>-124.268690966342</v>
      </c>
      <c r="CI88" s="47" t="n">
        <f aca="false">-CH94*$F21*(CI$4&gt;In_COD)</f>
        <v>-114.540052627662</v>
      </c>
      <c r="CJ88" s="47" t="n">
        <f aca="false">-CI94*$F21*(CJ$4&gt;In_COD)</f>
        <v>-104.885801229199</v>
      </c>
      <c r="CK88" s="47" t="n">
        <f aca="false">-CJ94*$F21*(CK$4&gt;In_COD)</f>
        <v>-94.9957823052834</v>
      </c>
      <c r="CL88" s="47" t="n">
        <f aca="false">-CK94*$F21*(CL$4&gt;In_COD)</f>
        <v>-84.867223283711</v>
      </c>
      <c r="CM88" s="47" t="n">
        <f aca="false">-CL94*$F21*(CM$4&gt;In_COD)</f>
        <v>-74.6585537135812</v>
      </c>
      <c r="CN88" s="47" t="n">
        <f aca="false">-CM94*$F21*(CN$4&gt;In_COD)</f>
        <v>-64.5200822495423</v>
      </c>
      <c r="CO88" s="47" t="n">
        <f aca="false">-CN94*$F21*(CO$4&gt;In_COD)</f>
        <v>-54.1399798010468</v>
      </c>
      <c r="CP88" s="47" t="n">
        <f aca="false">-CO94*$F21*(CP$4&gt;In_COD)</f>
        <v>-43.5154048429537</v>
      </c>
      <c r="CQ88" s="47" t="n">
        <f aca="false">-CP94*$F21*(CQ$4&gt;In_COD)</f>
        <v>-32.8051214764456</v>
      </c>
      <c r="CR88" s="47" t="n">
        <f aca="false">-CQ94*$F21*(CR$4&gt;In_COD)</f>
        <v>-22.0380485781114</v>
      </c>
      <c r="CS88" s="47" t="n">
        <f aca="false">-CR94*$F21*(CS$4&gt;In_COD)</f>
        <v>-11.1443573638054</v>
      </c>
      <c r="CT88" s="47" t="n">
        <f aca="false">-CS94*$F21*(CT$4&gt;In_COD)</f>
        <v>-1.86872739504906E-012</v>
      </c>
      <c r="CU88" s="47" t="n">
        <f aca="false">-CT94*$F21*(CU$4&gt;In_COD)</f>
        <v>-1.89208648748718E-012</v>
      </c>
      <c r="CV88" s="47" t="n">
        <f aca="false">-CU94*$F21*(CV$4&gt;In_COD)</f>
        <v>-1.91573756858077E-012</v>
      </c>
      <c r="CW88" s="47" t="n">
        <f aca="false">-CV94*$F21*(CW$4&gt;In_COD)</f>
        <v>-1.93968428818803E-012</v>
      </c>
      <c r="CX88" s="47" t="n">
        <f aca="false">-CW94*$F21*(CX$4&gt;In_COD)</f>
        <v>-1.96393034179038E-012</v>
      </c>
      <c r="CY88" s="47" t="n">
        <f aca="false">-CX94*$F21*(CY$4&gt;In_COD)</f>
        <v>-1.98847947106276E-012</v>
      </c>
      <c r="CZ88" s="47" t="n">
        <f aca="false">-CY94*$F21*(CZ$4&gt;In_COD)</f>
        <v>-2.01333546445104E-012</v>
      </c>
      <c r="DA88" s="47" t="n">
        <f aca="false">-CZ94*$F21*(DA$4&gt;In_COD)</f>
        <v>-2.03850215775668E-012</v>
      </c>
      <c r="DB88" s="47" t="n">
        <f aca="false">-DA94*$F21*(DB$4&gt;In_COD)</f>
        <v>-2.06398343472864E-012</v>
      </c>
      <c r="DC88" s="47" t="n">
        <f aca="false">-DB94*$F21*(DC$4&gt;In_COD)</f>
        <v>-2.08978322766275E-012</v>
      </c>
      <c r="DD88" s="47" t="n">
        <f aca="false">-DC94*$F21*(DD$4&gt;In_COD)</f>
        <v>-2.11590551800853E-012</v>
      </c>
      <c r="DE88" s="47" t="n">
        <f aca="false">-DD94*$F21*(DE$4&gt;In_COD)</f>
        <v>-2.14235433698364E-012</v>
      </c>
      <c r="DF88" s="47" t="n">
        <f aca="false">-DE94*$F21*(DF$4&gt;In_COD)</f>
        <v>-2.16913376619593E-012</v>
      </c>
      <c r="DG88" s="47" t="n">
        <f aca="false">-DF94*$F21*(DG$4&gt;In_COD)</f>
        <v>-2.19624793827338E-012</v>
      </c>
      <c r="DH88" s="47" t="n">
        <f aca="false">-DG94*$F21*(DH$4&gt;In_COD)</f>
        <v>-2.2237010375018E-012</v>
      </c>
      <c r="DI88" s="47" t="n">
        <f aca="false">-DH94*$F21*(DI$4&gt;In_COD)</f>
        <v>-2.25149730047057E-012</v>
      </c>
      <c r="DJ88" s="47" t="n">
        <f aca="false">-DI94*$F21*(DJ$4&gt;In_COD)</f>
        <v>-2.27964101672645E-012</v>
      </c>
      <c r="DK88" s="47" t="n">
        <f aca="false">-DJ94*$F21*(DK$4&gt;In_COD)</f>
        <v>-2.30813652943553E-012</v>
      </c>
      <c r="DL88" s="47" t="n">
        <f aca="false">-DK94*$F21*(DL$4&gt;In_COD)</f>
        <v>-2.33698823605348E-012</v>
      </c>
      <c r="DM88" s="47" t="n">
        <f aca="false">-DL94*$F21*(DM$4&gt;In_COD)</f>
        <v>-2.36620058900415E-012</v>
      </c>
      <c r="DN88" s="47" t="n">
        <f aca="false">-DM94*$F21*(DN$4&gt;In_COD)</f>
        <v>-2.3957780963667E-012</v>
      </c>
      <c r="DO88" s="47" t="n">
        <f aca="false">-DN94*$F21*(DO$4&gt;In_COD)</f>
        <v>-2.42572532257128E-012</v>
      </c>
      <c r="DP88" s="47" t="n">
        <f aca="false">-DO94*$F21*(DP$4&gt;In_COD)</f>
        <v>-2.45604688910342E-012</v>
      </c>
      <c r="DQ88" s="47" t="n">
        <f aca="false">-DP94*$F21*(DQ$4&gt;In_COD)</f>
        <v>-2.48674747521722E-012</v>
      </c>
      <c r="DR88" s="47" t="n">
        <f aca="false">-DQ94*$F21*(DR$4&gt;In_COD)</f>
        <v>-2.51783181865743E-012</v>
      </c>
      <c r="DS88" s="47" t="n">
        <f aca="false">-DR94*$F21*(DS$4&gt;In_COD)</f>
        <v>-2.54930471639065E-012</v>
      </c>
      <c r="DT88" s="47" t="n">
        <f aca="false">-DS94*$F21*(DT$4&gt;In_COD)</f>
        <v>-2.58117102534553E-012</v>
      </c>
      <c r="DU88" s="47" t="n">
        <f aca="false">-DT94*$F21*(DU$4&gt;In_COD)</f>
        <v>-2.61343566316235E-012</v>
      </c>
      <c r="DV88" s="47" t="n">
        <f aca="false">-DU94*$F21*(DV$4&gt;In_COD)</f>
        <v>-2.64610360895188E-012</v>
      </c>
      <c r="DW88" s="47" t="n">
        <f aca="false">-DV94*$F21*(DW$4&gt;In_COD)</f>
        <v>-2.67917990406378E-012</v>
      </c>
      <c r="DX88" s="47" t="n">
        <f aca="false">-DW94*$F21*(DX$4&gt;In_COD)</f>
        <v>-2.71266965286458E-012</v>
      </c>
      <c r="DY88" s="47" t="n">
        <f aca="false">-DX94*$F21*(DY$4&gt;In_COD)</f>
        <v>-2.74657802352538E-012</v>
      </c>
      <c r="DZ88" s="47" t="n">
        <f aca="false">-DY94*$F21*(DZ$4&gt;In_COD)</f>
        <v>-2.78091024881945E-012</v>
      </c>
      <c r="EA88" s="47" t="n">
        <f aca="false">-DZ94*$F21*(EA$4&gt;In_COD)</f>
        <v>-2.81567162692969E-012</v>
      </c>
      <c r="EB88" s="47" t="n">
        <f aca="false">-EA94*$F21*(EB$4&gt;In_COD)</f>
        <v>-2.85086752226632E-012</v>
      </c>
      <c r="EC88" s="47" t="n">
        <f aca="false">-EB94*$F21*(EC$4&gt;In_COD)</f>
        <v>-2.88650336629464E-012</v>
      </c>
      <c r="ED88" s="47" t="n">
        <f aca="false">-EC94*$F21*(ED$4&gt;In_COD)</f>
        <v>-2.92258465837333E-012</v>
      </c>
      <c r="EE88" s="47" t="n">
        <f aca="false">-ED94*$F21*(EE$4&gt;In_COD)</f>
        <v>-2.95911696660299E-012</v>
      </c>
      <c r="EF88" s="47" t="n">
        <f aca="false">-EE94*$F21*(EF$4&gt;In_COD)</f>
        <v>-2.99610592868553E-012</v>
      </c>
      <c r="EG88" s="47" t="n">
        <f aca="false">-EF94*$F21*(EG$4&gt;In_COD)</f>
        <v>-3.0335572527941E-012</v>
      </c>
      <c r="EH88" s="47" t="n">
        <f aca="false">-EG94*$F21*(EH$4&gt;In_COD)</f>
        <v>-3.07147671845403E-012</v>
      </c>
      <c r="EI88" s="47" t="n">
        <f aca="false">-EH94*$F21*(EI$4&gt;In_COD)</f>
        <v>-3.1098701774347E-012</v>
      </c>
      <c r="EJ88" s="47" t="n">
        <f aca="false">-EI94*$F21*(EJ$4&gt;In_COD)</f>
        <v>-3.14874355465263E-012</v>
      </c>
      <c r="EK88" s="47" t="n">
        <f aca="false">-EJ94*$F21*(EK$4&gt;In_COD)</f>
        <v>-3.18810284908579E-012</v>
      </c>
      <c r="EL88" s="47" t="n">
        <f aca="false">-EK94*$F21*(EL$4&gt;In_COD)</f>
        <v>-3.22795413469936E-012</v>
      </c>
      <c r="EM88" s="47" t="n">
        <f aca="false">-EL94*$F21*(EM$4&gt;In_COD)</f>
        <v>-3.26830356138311E-012</v>
      </c>
      <c r="EN88" s="47" t="n">
        <f aca="false">-EM94*$F21*(EN$4&gt;In_COD)</f>
        <v>-3.3091573559004E-012</v>
      </c>
      <c r="EO88" s="47" t="n">
        <f aca="false">-EN94*$F21*(EO$4&gt;In_COD)</f>
        <v>-3.35052182284915E-012</v>
      </c>
    </row>
    <row r="89" customFormat="false" ht="15" hidden="false" customHeight="false" outlineLevel="0" collapsed="false">
      <c r="C89" s="0" t="s">
        <v>450</v>
      </c>
      <c r="D89" s="11" t="s">
        <v>33</v>
      </c>
      <c r="I89" s="47" t="n">
        <f aca="false">SUM(J89:EO89)</f>
        <v>-64688.3230701241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-908.387447955351</v>
      </c>
      <c r="AA89" s="47" t="n">
        <f aca="false">-AA84*$F85</f>
        <v>-894.622116531008</v>
      </c>
      <c r="AB89" s="47" t="n">
        <f aca="false">-AB84*$F85</f>
        <v>-904.252891475325</v>
      </c>
      <c r="AC89" s="47" t="n">
        <f aca="false">-AC84*$F85</f>
        <v>-913.878397711382</v>
      </c>
      <c r="AD89" s="47" t="n">
        <f aca="false">-AD84*$F85</f>
        <v>-906.911274548986</v>
      </c>
      <c r="AE89" s="47" t="n">
        <f aca="false">-AE84*$F85</f>
        <v>-881.750552809154</v>
      </c>
      <c r="AF89" s="47" t="n">
        <f aca="false">-AF84*$F85</f>
        <v>-881.473128385581</v>
      </c>
      <c r="AG89" s="47" t="n">
        <f aca="false">-AG84*$F85</f>
        <v>-890.5520980942</v>
      </c>
      <c r="AH89" s="47" t="n">
        <f aca="false">-AH84*$F85</f>
        <v>-887.399508547193</v>
      </c>
      <c r="AI89" s="47" t="n">
        <f aca="false">-AI84*$F85</f>
        <v>-873.668639955177</v>
      </c>
      <c r="AJ89" s="47" t="n">
        <f aca="false">-AJ84*$F85</f>
        <v>-893.895463897392</v>
      </c>
      <c r="AK89" s="47" t="n">
        <f aca="false">-AK84*$F85</f>
        <v>-903.100010493558</v>
      </c>
      <c r="AL89" s="47" t="n">
        <f aca="false">-AL84*$F85</f>
        <v>-899.905378697579</v>
      </c>
      <c r="AM89" s="47" t="n">
        <f aca="false">-AM84*$F85</f>
        <v>-885.802367059232</v>
      </c>
      <c r="AN89" s="47" t="n">
        <f aca="false">-AN84*$F85</f>
        <v>-895.027335022836</v>
      </c>
      <c r="AO89" s="47" t="n">
        <f aca="false">-AO84*$F85</f>
        <v>-904.241599962708</v>
      </c>
      <c r="AP89" s="47" t="n">
        <f aca="false">-AP84*$F85</f>
        <v>-901.012199777588</v>
      </c>
      <c r="AQ89" s="47" t="n">
        <f aca="false">-AQ84*$F85</f>
        <v>-886.788062017312</v>
      </c>
      <c r="AR89" s="47" t="n">
        <f aca="false">-AR84*$F85</f>
        <v>-896.021453423763</v>
      </c>
      <c r="AS89" s="47" t="n">
        <f aca="false">-AS84*$F85</f>
        <v>-905.243924053789</v>
      </c>
      <c r="AT89" s="47" t="n">
        <f aca="false">-AT84*$F85</f>
        <v>-901.978956943747</v>
      </c>
      <c r="AU89" s="47" t="n">
        <f aca="false">-AU84*$F85</f>
        <v>-897.216806097417</v>
      </c>
      <c r="AV89" s="47" t="n">
        <f aca="false">-AV84*$F85</f>
        <v>-896.865156077129</v>
      </c>
      <c r="AW89" s="47" t="n">
        <f aca="false">-AW84*$F85</f>
        <v>-906.094174741444</v>
      </c>
      <c r="AX89" s="47" t="n">
        <f aca="false">-AX84*$F85</f>
        <v>-902.792725284875</v>
      </c>
      <c r="AY89" s="47" t="n">
        <f aca="false">-AY84*$F85</f>
        <v>-888.321130683272</v>
      </c>
      <c r="AZ89" s="47" t="n">
        <f aca="false">-AZ84*$F85</f>
        <v>-897.566521338687</v>
      </c>
      <c r="BA89" s="47" t="n">
        <f aca="false">-BA84*$F85</f>
        <v>-906.800529397293</v>
      </c>
      <c r="BB89" s="47" t="n">
        <f aca="false">-BB84*$F85</f>
        <v>-903.461812981117</v>
      </c>
      <c r="BC89" s="47" t="n">
        <f aca="false">-BC84*$F85</f>
        <v>-888.863874642762</v>
      </c>
      <c r="BD89" s="47" t="n">
        <f aca="false">-BD84*$F85</f>
        <v>-898.112794058986</v>
      </c>
      <c r="BE89" s="47" t="n">
        <f aca="false">-BE84*$F85</f>
        <v>-907.350086997412</v>
      </c>
      <c r="BF89" s="47" t="n">
        <f aca="false">-BF84*$F85</f>
        <v>-903.973202873592</v>
      </c>
      <c r="BG89" s="47" t="n">
        <f aca="false">-BG84*$F85</f>
        <v>-889.24708535241</v>
      </c>
      <c r="BH89" s="47" t="n">
        <f aca="false">-BH84*$F85</f>
        <v>-898.49776979227</v>
      </c>
      <c r="BI89" s="47" t="n">
        <f aca="false">-BI84*$F85</f>
        <v>-907.736574365936</v>
      </c>
      <c r="BJ89" s="47" t="n">
        <f aca="false">-BJ84*$F85</f>
        <v>-904.320584550374</v>
      </c>
      <c r="BK89" s="47" t="n">
        <f aca="false">-BK84*$F85</f>
        <v>-899.138665810645</v>
      </c>
      <c r="BL89" s="47" t="n">
        <f aca="false">-BL84*$F85</f>
        <v>-898.707854182898</v>
      </c>
      <c r="BM89" s="47" t="n">
        <f aca="false">-BM84*$F85</f>
        <v>-907.946241625782</v>
      </c>
      <c r="BN89" s="47" t="n">
        <f aca="false">-BN84*$F85</f>
        <v>-904.490083954814</v>
      </c>
      <c r="BO89" s="47" t="n">
        <f aca="false">-BO84*$F85</f>
        <v>-889.501805854301</v>
      </c>
      <c r="BP89" s="47" t="n">
        <f aca="false">-BP84*$F85</f>
        <v>-898.75035577267</v>
      </c>
      <c r="BQ89" s="47" t="n">
        <f aca="false">-BQ84*$F85</f>
        <v>-907.986487725723</v>
      </c>
      <c r="BR89" s="47" t="n">
        <f aca="false">-BR84*$F85</f>
        <v>-904.489225566727</v>
      </c>
      <c r="BS89" s="47" t="n">
        <f aca="false">-BS84*$F85</f>
        <v>-889.366938115412</v>
      </c>
      <c r="BT89" s="47" t="n">
        <f aca="false">-BT84*$F85</f>
        <v>-898.611521707053</v>
      </c>
      <c r="BU89" s="47" t="n">
        <f aca="false">-BU84*$F85</f>
        <v>-907.843402658988</v>
      </c>
      <c r="BV89" s="47" t="n">
        <f aca="false">-BV84*$F85</f>
        <v>-904.303975352227</v>
      </c>
      <c r="BW89" s="47" t="n">
        <f aca="false">-BW84*$F85</f>
        <v>-889.045622655557</v>
      </c>
      <c r="BX89" s="47" t="n">
        <f aca="false">-BX84*$F85</f>
        <v>-898.28417611397</v>
      </c>
      <c r="BY89" s="47" t="n">
        <f aca="false">-BY84*$F85</f>
        <v>-907.509730866002</v>
      </c>
      <c r="BZ89" s="47" t="n">
        <f aca="false">-BZ84*$F85</f>
        <v>-903.92703303538</v>
      </c>
      <c r="CA89" s="47" t="n">
        <f aca="false">-CA84*$F85</f>
        <v>-898.278804213215</v>
      </c>
      <c r="CB89" s="47" t="n">
        <f aca="false">-CB84*$F85</f>
        <v>-897.753659917495</v>
      </c>
      <c r="CC89" s="47" t="n">
        <f aca="false">-CC84*$F85</f>
        <v>-906.970645706521</v>
      </c>
      <c r="CD89" s="47" t="n">
        <f aca="false">-CD84*$F85</f>
        <v>-903.343439307654</v>
      </c>
      <c r="CE89" s="47" t="n">
        <f aca="false">-CE84*$F85</f>
        <v>-887.80645655175</v>
      </c>
      <c r="CF89" s="47" t="n">
        <f aca="false">-CF84*$F85</f>
        <v>-897.026338608437</v>
      </c>
      <c r="CG89" s="47" t="n">
        <f aca="false">-CG84*$F85</f>
        <v>-906.232592478167</v>
      </c>
      <c r="CH89" s="47" t="n">
        <f aca="false">-CH84*$F85</f>
        <v>-902.559758060722</v>
      </c>
      <c r="CI89" s="47" t="n">
        <f aca="false">-CI84*$F85</f>
        <v>-886.880164504712</v>
      </c>
      <c r="CJ89" s="47" t="n">
        <f aca="false">-CJ84*$F85</f>
        <v>-896.087315142468</v>
      </c>
      <c r="CK89" s="47" t="n">
        <f aca="false">-CK84*$F85</f>
        <v>-905.280504031071</v>
      </c>
      <c r="CL89" s="47" t="n">
        <f aca="false">-CL84*$F85</f>
        <v>-901.560788894095</v>
      </c>
      <c r="CM89" s="47" t="n">
        <f aca="false">-CM84*$F85</f>
        <v>-885.736270836699</v>
      </c>
      <c r="CN89" s="47" t="n">
        <f aca="false">-CN84*$F85</f>
        <v>-894.928278129176</v>
      </c>
      <c r="CO89" s="47" t="n">
        <f aca="false">-CO84*$F85</f>
        <v>-904.105976448498</v>
      </c>
      <c r="CP89" s="47" t="n">
        <f aca="false">-CP84*$F85</f>
        <v>-900.338074163601</v>
      </c>
      <c r="CQ89" s="47" t="n">
        <f aca="false">-CQ84*$F85</f>
        <v>-894.17095334318</v>
      </c>
      <c r="CR89" s="47" t="n">
        <f aca="false">-CR84*$F85</f>
        <v>-893.533345722591</v>
      </c>
      <c r="CS89" s="47" t="n">
        <f aca="false">-CS84*$F85</f>
        <v>-902.692946468091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451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4374.90719178082</v>
      </c>
      <c r="T90" s="18" t="n">
        <f aca="false">S94</f>
        <v>13194.5467782534</v>
      </c>
      <c r="U90" s="18" t="n">
        <f aca="false">T94</f>
        <v>17686.8324657213</v>
      </c>
      <c r="V90" s="18" t="n">
        <f aca="false">U94</f>
        <v>22282.8250633237</v>
      </c>
      <c r="W90" s="18" t="n">
        <f aca="false">V94</f>
        <v>26936.267568396</v>
      </c>
      <c r="X90" s="18" t="n">
        <f aca="false">W94</f>
        <v>31552.7714266996</v>
      </c>
      <c r="Y90" s="18" t="n">
        <f aca="false">X94</f>
        <v>36274.5349222731</v>
      </c>
      <c r="Z90" s="18" t="n">
        <f aca="false">Y94</f>
        <v>42477.8738005823</v>
      </c>
      <c r="AA90" s="18" t="n">
        <f aca="false">Z94</f>
        <v>42100.4597751342</v>
      </c>
      <c r="AB90" s="18" t="n">
        <f aca="false">AA94</f>
        <v>41732.0934057924</v>
      </c>
      <c r="AC90" s="18" t="n">
        <f aca="false">AB94</f>
        <v>41349.4916818895</v>
      </c>
      <c r="AD90" s="18" t="n">
        <f aca="false">AC94</f>
        <v>40952.4819302017</v>
      </c>
      <c r="AE90" s="18" t="n">
        <f aca="false">AD94</f>
        <v>40557.4766797803</v>
      </c>
      <c r="AF90" s="18" t="n">
        <f aca="false">AE94</f>
        <v>40182.6945854684</v>
      </c>
      <c r="AG90" s="18" t="n">
        <f aca="false">AF94</f>
        <v>39803.5051394011</v>
      </c>
      <c r="AH90" s="18" t="n">
        <f aca="false">AG94</f>
        <v>39410.4968555495</v>
      </c>
      <c r="AI90" s="18" t="n">
        <f aca="false">AH94</f>
        <v>39015.7285576966</v>
      </c>
      <c r="AJ90" s="18" t="n">
        <f aca="false">AI94</f>
        <v>38629.7565247127</v>
      </c>
      <c r="AK90" s="18" t="n">
        <f aca="false">AJ94</f>
        <v>38218.7330173742</v>
      </c>
      <c r="AL90" s="18" t="n">
        <f aca="false">AK94</f>
        <v>37793.3671695978</v>
      </c>
      <c r="AM90" s="18" t="n">
        <f aca="false">AL94</f>
        <v>37365.8788805202</v>
      </c>
      <c r="AN90" s="18" t="n">
        <f aca="false">AM94</f>
        <v>36947.1499994675</v>
      </c>
      <c r="AO90" s="18" t="n">
        <f aca="false">AN94</f>
        <v>36513.962039438</v>
      </c>
      <c r="AP90" s="18" t="n">
        <f aca="false">AO94</f>
        <v>36066.1449649682</v>
      </c>
      <c r="AQ90" s="18" t="n">
        <f aca="false">AP94</f>
        <v>35615.9595772528</v>
      </c>
      <c r="AR90" s="18" t="n">
        <f aca="false">AQ94</f>
        <v>35174.3710099511</v>
      </c>
      <c r="AS90" s="18" t="n">
        <f aca="false">AR94</f>
        <v>34718.0291941517</v>
      </c>
      <c r="AT90" s="18" t="n">
        <f aca="false">AS94</f>
        <v>34246.7606350248</v>
      </c>
      <c r="AU90" s="18" t="n">
        <f aca="false">AT94</f>
        <v>33772.8661860189</v>
      </c>
      <c r="AV90" s="18" t="n">
        <f aca="false">AU94</f>
        <v>33297.8102072467</v>
      </c>
      <c r="AW90" s="18" t="n">
        <f aca="false">AV94</f>
        <v>32817.1676787602</v>
      </c>
      <c r="AX90" s="18" t="n">
        <f aca="false">AW94</f>
        <v>32321.2881000032</v>
      </c>
      <c r="AY90" s="18" t="n">
        <f aca="false">AX94</f>
        <v>31822.5114759684</v>
      </c>
      <c r="AZ90" s="18" t="n">
        <f aca="false">AY94</f>
        <v>31331.9717387347</v>
      </c>
      <c r="BA90" s="18" t="n">
        <f aca="false">AZ94</f>
        <v>30826.0548641302</v>
      </c>
      <c r="BB90" s="18" t="n">
        <f aca="false">BA94</f>
        <v>30304.5800205346</v>
      </c>
      <c r="BC90" s="18" t="n">
        <f aca="false">BB94</f>
        <v>29779.9254578101</v>
      </c>
      <c r="BD90" s="18" t="n">
        <f aca="false">BC94</f>
        <v>29263.31065139</v>
      </c>
      <c r="BE90" s="18" t="n">
        <f aca="false">BD94</f>
        <v>28730.9892404734</v>
      </c>
      <c r="BF90" s="18" t="n">
        <f aca="false">BE94</f>
        <v>28182.7765189819</v>
      </c>
      <c r="BG90" s="18" t="n">
        <f aca="false">BF94</f>
        <v>27631.0880225956</v>
      </c>
      <c r="BH90" s="18" t="n">
        <f aca="false">BG94</f>
        <v>27087.2295375256</v>
      </c>
      <c r="BI90" s="18" t="n">
        <f aca="false">BH94</f>
        <v>26527.3221369524</v>
      </c>
      <c r="BJ90" s="18" t="n">
        <f aca="false">BI94</f>
        <v>25951.1770892984</v>
      </c>
      <c r="BK90" s="18" t="n">
        <f aca="false">BJ94</f>
        <v>25371.2462183642</v>
      </c>
      <c r="BL90" s="18" t="n">
        <f aca="false">BK94</f>
        <v>24789.2481302831</v>
      </c>
      <c r="BM90" s="18" t="n">
        <f aca="false">BL94</f>
        <v>24200.4058777288</v>
      </c>
      <c r="BN90" s="18" t="n">
        <f aca="false">BM94</f>
        <v>23594.9647095746</v>
      </c>
      <c r="BO90" s="18" t="n">
        <f aca="false">BN94</f>
        <v>22985.4116844895</v>
      </c>
      <c r="BP90" s="18" t="n">
        <f aca="false">BO94</f>
        <v>22383.2275246913</v>
      </c>
      <c r="BQ90" s="18" t="n">
        <f aca="false">BP94</f>
        <v>21764.2675129773</v>
      </c>
      <c r="BR90" s="18" t="n">
        <f aca="false">BQ94</f>
        <v>21128.3343691638</v>
      </c>
      <c r="BS90" s="18" t="n">
        <f aca="false">BR94</f>
        <v>20487.9493232116</v>
      </c>
      <c r="BT90" s="18" t="n">
        <f aca="false">BS94</f>
        <v>19854.6817516363</v>
      </c>
      <c r="BU90" s="18" t="n">
        <f aca="false">BT94</f>
        <v>19204.2537518247</v>
      </c>
      <c r="BV90" s="18" t="n">
        <f aca="false">BU94</f>
        <v>18536.4635210635</v>
      </c>
      <c r="BW90" s="18" t="n">
        <f aca="false">BV94</f>
        <v>17863.8653397246</v>
      </c>
      <c r="BX90" s="18" t="n">
        <f aca="false">BW94</f>
        <v>17198.1180338156</v>
      </c>
      <c r="BY90" s="18" t="n">
        <f aca="false">BX94</f>
        <v>16514.8103331243</v>
      </c>
      <c r="BZ90" s="18" t="n">
        <f aca="false">BY94</f>
        <v>15813.7357314224</v>
      </c>
      <c r="CA90" s="18" t="n">
        <f aca="false">BZ94</f>
        <v>15107.4803950298</v>
      </c>
      <c r="CB90" s="18" t="n">
        <f aca="false">CA94</f>
        <v>14398.0450957544</v>
      </c>
      <c r="CC90" s="18" t="n">
        <f aca="false">CB94</f>
        <v>13680.2669995339</v>
      </c>
      <c r="CD90" s="18" t="n">
        <f aca="false">CC94</f>
        <v>12944.2996913215</v>
      </c>
      <c r="CE90" s="18" t="n">
        <f aca="false">CD94</f>
        <v>12202.7599981554</v>
      </c>
      <c r="CF90" s="18" t="n">
        <f aca="false">CE94</f>
        <v>11467.4880415806</v>
      </c>
      <c r="CG90" s="18" t="n">
        <f aca="false">CF94</f>
        <v>10713.8053034919</v>
      </c>
      <c r="CH90" s="18" t="n">
        <f aca="false">CG94</f>
        <v>9941.49527730737</v>
      </c>
      <c r="CI90" s="18" t="n">
        <f aca="false">CH94</f>
        <v>9163.20421021299</v>
      </c>
      <c r="CJ90" s="18" t="n">
        <f aca="false">CI94</f>
        <v>8390.86409833594</v>
      </c>
      <c r="CK90" s="18" t="n">
        <f aca="false">CJ94</f>
        <v>7599.66258442267</v>
      </c>
      <c r="CL90" s="18" t="n">
        <f aca="false">CK94</f>
        <v>6789.37786269688</v>
      </c>
      <c r="CM90" s="18" t="n">
        <f aca="false">CL94</f>
        <v>5972.6842970865</v>
      </c>
      <c r="CN90" s="18" t="n">
        <f aca="false">CM94</f>
        <v>5161.60657996338</v>
      </c>
      <c r="CO90" s="18" t="n">
        <f aca="false">CN94</f>
        <v>4331.19838408375</v>
      </c>
      <c r="CP90" s="18" t="n">
        <f aca="false">CO94</f>
        <v>3481.2323874363</v>
      </c>
      <c r="CQ90" s="18" t="n">
        <f aca="false">CP94</f>
        <v>2624.40971811565</v>
      </c>
      <c r="CR90" s="18" t="n">
        <f aca="false">CQ94</f>
        <v>1763.04388624891</v>
      </c>
      <c r="CS90" s="18" t="n">
        <f aca="false">CR94</f>
        <v>891.548589104435</v>
      </c>
      <c r="CT90" s="18" t="n">
        <f aca="false">CS94</f>
        <v>1.49498191603925E-010</v>
      </c>
      <c r="CU90" s="18" t="n">
        <f aca="false">CT94</f>
        <v>1.51366918998974E-010</v>
      </c>
      <c r="CV90" s="18" t="n">
        <f aca="false">CU94</f>
        <v>1.53259005486461E-010</v>
      </c>
      <c r="CW90" s="18" t="n">
        <f aca="false">CV94</f>
        <v>1.55174743055042E-010</v>
      </c>
      <c r="CX90" s="18" t="n">
        <f aca="false">CW94</f>
        <v>1.5711442734323E-010</v>
      </c>
      <c r="CY90" s="18" t="n">
        <f aca="false">CX94</f>
        <v>1.5907835768502E-010</v>
      </c>
      <c r="CZ90" s="18" t="n">
        <f aca="false">CY94</f>
        <v>1.61066837156083E-010</v>
      </c>
      <c r="DA90" s="18" t="n">
        <f aca="false">CZ94</f>
        <v>1.63080172620534E-010</v>
      </c>
      <c r="DB90" s="18" t="n">
        <f aca="false">DA94</f>
        <v>1.65118674778291E-010</v>
      </c>
      <c r="DC90" s="18" t="n">
        <f aca="false">DB94</f>
        <v>1.6718265821302E-010</v>
      </c>
      <c r="DD90" s="18" t="n">
        <f aca="false">DC94</f>
        <v>1.69272441440682E-010</v>
      </c>
      <c r="DE90" s="18" t="n">
        <f aca="false">DD94</f>
        <v>1.71388346958691E-010</v>
      </c>
      <c r="DF90" s="18" t="n">
        <f aca="false">DE94</f>
        <v>1.73530701295675E-010</v>
      </c>
      <c r="DG90" s="18" t="n">
        <f aca="false">DF94</f>
        <v>1.7569983506187E-010</v>
      </c>
      <c r="DH90" s="18" t="n">
        <f aca="false">DG94</f>
        <v>1.77896083000144E-010</v>
      </c>
      <c r="DI90" s="18" t="n">
        <f aca="false">DH94</f>
        <v>1.80119784037646E-010</v>
      </c>
      <c r="DJ90" s="18" t="n">
        <f aca="false">DI94</f>
        <v>1.82371281338116E-010</v>
      </c>
      <c r="DK90" s="18" t="n">
        <f aca="false">DJ94</f>
        <v>1.84650922354843E-010</v>
      </c>
      <c r="DL90" s="18" t="n">
        <f aca="false">DK94</f>
        <v>1.86959058884278E-010</v>
      </c>
      <c r="DM90" s="18" t="n">
        <f aca="false">DL94</f>
        <v>1.89296047120332E-010</v>
      </c>
      <c r="DN90" s="18" t="n">
        <f aca="false">DM94</f>
        <v>1.91662247709336E-010</v>
      </c>
      <c r="DO90" s="18" t="n">
        <f aca="false">DN94</f>
        <v>1.94058025805703E-010</v>
      </c>
      <c r="DP90" s="18" t="n">
        <f aca="false">DO94</f>
        <v>1.96483751128274E-010</v>
      </c>
      <c r="DQ90" s="18" t="n">
        <f aca="false">DP94</f>
        <v>1.98939798017377E-010</v>
      </c>
      <c r="DR90" s="18" t="n">
        <f aca="false">DQ94</f>
        <v>2.01426545492594E-010</v>
      </c>
      <c r="DS90" s="18" t="n">
        <f aca="false">DR94</f>
        <v>2.03944377311252E-010</v>
      </c>
      <c r="DT90" s="18" t="n">
        <f aca="false">DS94</f>
        <v>2.06493682027643E-010</v>
      </c>
      <c r="DU90" s="18" t="n">
        <f aca="false">DT94</f>
        <v>2.09074853052988E-010</v>
      </c>
      <c r="DV90" s="18" t="n">
        <f aca="false">DU94</f>
        <v>2.1168828871615E-010</v>
      </c>
      <c r="DW90" s="18" t="n">
        <f aca="false">DV94</f>
        <v>2.14334392325102E-010</v>
      </c>
      <c r="DX90" s="18" t="n">
        <f aca="false">DW94</f>
        <v>2.17013572229166E-010</v>
      </c>
      <c r="DY90" s="18" t="n">
        <f aca="false">DX94</f>
        <v>2.19726241882031E-010</v>
      </c>
      <c r="DZ90" s="18" t="n">
        <f aca="false">DY94</f>
        <v>2.22472819905556E-010</v>
      </c>
      <c r="EA90" s="18" t="n">
        <f aca="false">DZ94</f>
        <v>2.25253730154375E-010</v>
      </c>
      <c r="EB90" s="18" t="n">
        <f aca="false">EA94</f>
        <v>2.28069401781305E-010</v>
      </c>
      <c r="EC90" s="18" t="n">
        <f aca="false">EB94</f>
        <v>2.30920269303571E-010</v>
      </c>
      <c r="ED90" s="18" t="n">
        <f aca="false">EC94</f>
        <v>2.33806772669866E-010</v>
      </c>
      <c r="EE90" s="18" t="n">
        <f aca="false">ED94</f>
        <v>2.36729357328239E-010</v>
      </c>
      <c r="EF90" s="18" t="n">
        <f aca="false">EE94</f>
        <v>2.39688474294842E-010</v>
      </c>
      <c r="EG90" s="18" t="n">
        <f aca="false">EF94</f>
        <v>2.42684580223528E-010</v>
      </c>
      <c r="EH90" s="18" t="n">
        <f aca="false">EG94</f>
        <v>2.45718137476322E-010</v>
      </c>
      <c r="EI90" s="18" t="n">
        <f aca="false">EH94</f>
        <v>2.48789614194776E-010</v>
      </c>
      <c r="EJ90" s="18" t="n">
        <f aca="false">EI94</f>
        <v>2.51899484372211E-010</v>
      </c>
      <c r="EK90" s="18" t="n">
        <f aca="false">EJ94</f>
        <v>2.55048227926863E-010</v>
      </c>
      <c r="EL90" s="18" t="n">
        <f aca="false">EK94</f>
        <v>2.58236330775949E-010</v>
      </c>
      <c r="EM90" s="18" t="n">
        <f aca="false">EL94</f>
        <v>2.61464284910648E-010</v>
      </c>
      <c r="EN90" s="18" t="n">
        <f aca="false">EM94</f>
        <v>2.64732588472032E-010</v>
      </c>
      <c r="EO90" s="18" t="n">
        <f aca="false">EN94</f>
        <v>2.68041745827932E-010</v>
      </c>
    </row>
    <row r="91" customFormat="false" ht="15" hidden="false" customHeight="false" outlineLevel="0" collapsed="false">
      <c r="C91" s="0" t="s">
        <v>452</v>
      </c>
      <c r="D91" s="11" t="s">
        <v>33</v>
      </c>
      <c r="I91" s="47" t="n">
        <f aca="false">SUM(J91:EO91)</f>
        <v>40574.0902328767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4374.90719178082</v>
      </c>
      <c r="S91" s="47" t="n">
        <f aca="false">-$E85*S66</f>
        <v>8764.95324657534</v>
      </c>
      <c r="T91" s="47" t="n">
        <f aca="false">-$E85*T66</f>
        <v>4327.35385273973</v>
      </c>
      <c r="U91" s="47" t="n">
        <f aca="false">-$E85*U66</f>
        <v>4374.90719178082</v>
      </c>
      <c r="V91" s="47" t="n">
        <f aca="false">-$E85*V66</f>
        <v>4374.90719178082</v>
      </c>
      <c r="W91" s="47" t="n">
        <f aca="false">-$E85*W66</f>
        <v>4279.80051369863</v>
      </c>
      <c r="X91" s="47" t="n">
        <f aca="false">-$E85*X66</f>
        <v>4327.35385273973</v>
      </c>
      <c r="Y91" s="47" t="n">
        <f aca="false">-$E85*Y66</f>
        <v>5749.90719178082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453</v>
      </c>
      <c r="D92" s="11" t="s">
        <v>33</v>
      </c>
      <c r="I92" s="47" t="n">
        <f aca="false">SUM(J92:EO92)</f>
        <v>1903.7835677056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54.6863398972603</v>
      </c>
      <c r="T92" s="47" t="n">
        <f aca="false">T90*$F21*(T$4&lt;=In_COD)</f>
        <v>164.931834728168</v>
      </c>
      <c r="U92" s="47" t="n">
        <f aca="false">U90*$F21*(U$4&lt;=In_COD)</f>
        <v>221.085405821517</v>
      </c>
      <c r="V92" s="47" t="n">
        <f aca="false">V90*$F21*(V$4&lt;=In_COD)</f>
        <v>278.535313291546</v>
      </c>
      <c r="W92" s="47" t="n">
        <f aca="false">W90*$F21*(W$4&lt;=In_COD)</f>
        <v>336.70334460495</v>
      </c>
      <c r="X92" s="47" t="n">
        <f aca="false">X90*$F21*(X$4&lt;=In_COD)</f>
        <v>394.409642833745</v>
      </c>
      <c r="Y92" s="47" t="n">
        <f aca="false">Y90*$F21*(Y$4&lt;=In_COD)</f>
        <v>453.431686528414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454</v>
      </c>
      <c r="D93" s="11" t="s">
        <v>33</v>
      </c>
      <c r="I93" s="47" t="n">
        <f aca="false">SUM(J93:EO93)</f>
        <v>-42477.873800582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-377.414025448072</v>
      </c>
      <c r="AA93" s="47" t="n">
        <f aca="false">AA89-AA88</f>
        <v>-368.366369341829</v>
      </c>
      <c r="AB93" s="47" t="n">
        <f aca="false">AB89-AB88</f>
        <v>-382.60172390292</v>
      </c>
      <c r="AC93" s="47" t="n">
        <f aca="false">AC89-AC88</f>
        <v>-397.009751687763</v>
      </c>
      <c r="AD93" s="47" t="n">
        <f aca="false">AD89-AD88</f>
        <v>-395.005250421464</v>
      </c>
      <c r="AE93" s="47" t="n">
        <f aca="false">AE89-AE88</f>
        <v>-374.7820943119</v>
      </c>
      <c r="AF93" s="47" t="n">
        <f aca="false">AF89-AF88</f>
        <v>-379.189446067227</v>
      </c>
      <c r="AG93" s="47" t="n">
        <f aca="false">AG89-AG88</f>
        <v>-393.008283851686</v>
      </c>
      <c r="AH93" s="47" t="n">
        <f aca="false">AH89-AH88</f>
        <v>-394.768297852825</v>
      </c>
      <c r="AI93" s="47" t="n">
        <f aca="false">AI89-AI88</f>
        <v>-385.972032983969</v>
      </c>
      <c r="AJ93" s="47" t="n">
        <f aca="false">AJ89-AJ88</f>
        <v>-411.023507338483</v>
      </c>
      <c r="AK93" s="47" t="n">
        <f aca="false">AK89-AK88</f>
        <v>-425.36584777638</v>
      </c>
      <c r="AL93" s="47" t="n">
        <f aca="false">AL89-AL88</f>
        <v>-427.488289077606</v>
      </c>
      <c r="AM93" s="47" t="n">
        <f aca="false">AM89-AM88</f>
        <v>-418.728881052729</v>
      </c>
      <c r="AN93" s="47" t="n">
        <f aca="false">AN89-AN88</f>
        <v>-433.187960029493</v>
      </c>
      <c r="AO93" s="47" t="n">
        <f aca="false">AO89-AO88</f>
        <v>-447.817074469733</v>
      </c>
      <c r="AP93" s="47" t="n">
        <f aca="false">AP89-AP88</f>
        <v>-450.185387715485</v>
      </c>
      <c r="AQ93" s="47" t="n">
        <f aca="false">AQ89-AQ88</f>
        <v>-441.588567301652</v>
      </c>
      <c r="AR93" s="47" t="n">
        <f aca="false">AR89-AR88</f>
        <v>-456.341815799374</v>
      </c>
      <c r="AS93" s="47" t="n">
        <f aca="false">AS89-AS88</f>
        <v>-471.268559126892</v>
      </c>
      <c r="AT93" s="47" t="n">
        <f aca="false">AT89-AT88</f>
        <v>-473.894449005937</v>
      </c>
      <c r="AU93" s="47" t="n">
        <f aca="false">AU89-AU88</f>
        <v>-475.055978772181</v>
      </c>
      <c r="AV93" s="47" t="n">
        <f aca="false">AV89-AV88</f>
        <v>-480.642528486545</v>
      </c>
      <c r="AW93" s="47" t="n">
        <f aca="false">AW89-AW88</f>
        <v>-495.879578756942</v>
      </c>
      <c r="AX93" s="47" t="n">
        <f aca="false">AX89-AX88</f>
        <v>-498.776624034834</v>
      </c>
      <c r="AY93" s="47" t="n">
        <f aca="false">AY89-AY88</f>
        <v>-490.539737233667</v>
      </c>
      <c r="AZ93" s="47" t="n">
        <f aca="false">AZ89-AZ88</f>
        <v>-505.916874604503</v>
      </c>
      <c r="BA93" s="47" t="n">
        <f aca="false">BA89-BA88</f>
        <v>-521.474843595665</v>
      </c>
      <c r="BB93" s="47" t="n">
        <f aca="false">BB89-BB88</f>
        <v>-524.654562724435</v>
      </c>
      <c r="BC93" s="47" t="n">
        <f aca="false">BC89-BC88</f>
        <v>-516.614806420135</v>
      </c>
      <c r="BD93" s="47" t="n">
        <f aca="false">BD89-BD88</f>
        <v>-532.321410916612</v>
      </c>
      <c r="BE93" s="47" t="n">
        <f aca="false">BE89-BE88</f>
        <v>-548.212721491494</v>
      </c>
      <c r="BF93" s="47" t="n">
        <f aca="false">BF89-BF88</f>
        <v>-551.688496386319</v>
      </c>
      <c r="BG93" s="47" t="n">
        <f aca="false">BG89-BG88</f>
        <v>-543.858485069965</v>
      </c>
      <c r="BH93" s="47" t="n">
        <f aca="false">BH89-BH88</f>
        <v>-559.9074005732</v>
      </c>
      <c r="BI93" s="47" t="n">
        <f aca="false">BI89-BI88</f>
        <v>-576.145047654031</v>
      </c>
      <c r="BJ93" s="47" t="n">
        <f aca="false">BJ89-BJ88</f>
        <v>-579.930870934144</v>
      </c>
      <c r="BK93" s="47" t="n">
        <f aca="false">BK89-BK88</f>
        <v>-581.998088081093</v>
      </c>
      <c r="BL93" s="47" t="n">
        <f aca="false">BL89-BL88</f>
        <v>-588.842252554359</v>
      </c>
      <c r="BM93" s="47" t="n">
        <f aca="false">BM89-BM88</f>
        <v>-605.441168154172</v>
      </c>
      <c r="BN93" s="47" t="n">
        <f aca="false">BN89-BN88</f>
        <v>-609.553025085132</v>
      </c>
      <c r="BO93" s="47" t="n">
        <f aca="false">BO89-BO88</f>
        <v>-602.184159798183</v>
      </c>
      <c r="BP93" s="47" t="n">
        <f aca="false">BP89-BP88</f>
        <v>-618.960011714029</v>
      </c>
      <c r="BQ93" s="47" t="n">
        <f aca="false">BQ89-BQ88</f>
        <v>-635.933143813508</v>
      </c>
      <c r="BR93" s="47" t="n">
        <f aca="false">BR89-BR88</f>
        <v>-640.38504595218</v>
      </c>
      <c r="BS93" s="47" t="n">
        <f aca="false">BS89-BS88</f>
        <v>-633.267571575267</v>
      </c>
      <c r="BT93" s="47" t="n">
        <f aca="false">BT89-BT88</f>
        <v>-650.427999811599</v>
      </c>
      <c r="BU93" s="47" t="n">
        <f aca="false">BU89-BU88</f>
        <v>-667.790230761179</v>
      </c>
      <c r="BV93" s="47" t="n">
        <f aca="false">BV89-BV88</f>
        <v>-672.598181338933</v>
      </c>
      <c r="BW93" s="47" t="n">
        <f aca="false">BW89-BW88</f>
        <v>-665.747305909</v>
      </c>
      <c r="BX93" s="47" t="n">
        <f aca="false">BX89-BX88</f>
        <v>-683.307700691275</v>
      </c>
      <c r="BY93" s="47" t="n">
        <f aca="false">BY89-BY88</f>
        <v>-701.074601701948</v>
      </c>
      <c r="BZ93" s="47" t="n">
        <f aca="false">BZ89-BZ88</f>
        <v>-706.2553363926</v>
      </c>
      <c r="CA93" s="47" t="n">
        <f aca="false">CA89-CA88</f>
        <v>-709.435299275343</v>
      </c>
      <c r="CB93" s="47" t="n">
        <f aca="false">CB89-CB88</f>
        <v>-717.778096220564</v>
      </c>
      <c r="CC93" s="47" t="n">
        <f aca="false">CC89-CC88</f>
        <v>-735.967308212348</v>
      </c>
      <c r="CD93" s="47" t="n">
        <f aca="false">CD89-CD88</f>
        <v>-741.539693166135</v>
      </c>
      <c r="CE93" s="47" t="n">
        <f aca="false">CE89-CE88</f>
        <v>-735.271956574808</v>
      </c>
      <c r="CF93" s="47" t="n">
        <f aca="false">CF89-CF88</f>
        <v>-753.68273808868</v>
      </c>
      <c r="CG93" s="47" t="n">
        <f aca="false">CG89-CG88</f>
        <v>-772.310026184519</v>
      </c>
      <c r="CH93" s="47" t="n">
        <f aca="false">CH89-CH88</f>
        <v>-778.29106709438</v>
      </c>
      <c r="CI93" s="47" t="n">
        <f aca="false">CI89-CI88</f>
        <v>-772.34011187705</v>
      </c>
      <c r="CJ93" s="47" t="n">
        <f aca="false">CJ89-CJ88</f>
        <v>-791.201513913269</v>
      </c>
      <c r="CK93" s="47" t="n">
        <f aca="false">CK89-CK88</f>
        <v>-810.284721725787</v>
      </c>
      <c r="CL93" s="47" t="n">
        <f aca="false">CL89-CL88</f>
        <v>-816.693565610383</v>
      </c>
      <c r="CM93" s="47" t="n">
        <f aca="false">CM89-CM88</f>
        <v>-811.077717123118</v>
      </c>
      <c r="CN93" s="47" t="n">
        <f aca="false">CN89-CN88</f>
        <v>-830.408195879634</v>
      </c>
      <c r="CO93" s="47" t="n">
        <f aca="false">CO89-CO88</f>
        <v>-849.965996647452</v>
      </c>
      <c r="CP93" s="47" t="n">
        <f aca="false">CP89-CP88</f>
        <v>-856.822669320647</v>
      </c>
      <c r="CQ93" s="47" t="n">
        <f aca="false">CQ89-CQ88</f>
        <v>-861.365831866734</v>
      </c>
      <c r="CR93" s="47" t="n">
        <f aca="false">CR89-CR88</f>
        <v>-871.495297144479</v>
      </c>
      <c r="CS93" s="47" t="n">
        <f aca="false">CS89-CS88</f>
        <v>-891.548589104285</v>
      </c>
      <c r="CT93" s="47" t="n">
        <f aca="false">CT89-CT88</f>
        <v>1.86872739504906E-012</v>
      </c>
      <c r="CU93" s="47" t="n">
        <f aca="false">CU89-CU88</f>
        <v>1.89208648748718E-012</v>
      </c>
      <c r="CV93" s="47" t="n">
        <f aca="false">CV89-CV88</f>
        <v>1.91573756858077E-012</v>
      </c>
      <c r="CW93" s="47" t="n">
        <f aca="false">CW89-CW88</f>
        <v>1.93968428818803E-012</v>
      </c>
      <c r="CX93" s="47" t="n">
        <f aca="false">CX89-CX88</f>
        <v>1.96393034179038E-012</v>
      </c>
      <c r="CY93" s="47" t="n">
        <f aca="false">CY89-CY88</f>
        <v>1.98847947106276E-012</v>
      </c>
      <c r="CZ93" s="47" t="n">
        <f aca="false">CZ89-CZ88</f>
        <v>2.01333546445104E-012</v>
      </c>
      <c r="DA93" s="47" t="n">
        <f aca="false">DA89-DA88</f>
        <v>2.03850215775668E-012</v>
      </c>
      <c r="DB93" s="47" t="n">
        <f aca="false">DB89-DB88</f>
        <v>2.06398343472864E-012</v>
      </c>
      <c r="DC93" s="47" t="n">
        <f aca="false">DC89-DC88</f>
        <v>2.08978322766275E-012</v>
      </c>
      <c r="DD93" s="47" t="n">
        <f aca="false">DD89-DD88</f>
        <v>2.11590551800853E-012</v>
      </c>
      <c r="DE93" s="47" t="n">
        <f aca="false">DE89-DE88</f>
        <v>2.14235433698364E-012</v>
      </c>
      <c r="DF93" s="47" t="n">
        <f aca="false">DF89-DF88</f>
        <v>2.16913376619593E-012</v>
      </c>
      <c r="DG93" s="47" t="n">
        <f aca="false">DG89-DG88</f>
        <v>2.19624793827338E-012</v>
      </c>
      <c r="DH93" s="47" t="n">
        <f aca="false">DH89-DH88</f>
        <v>2.2237010375018E-012</v>
      </c>
      <c r="DI93" s="47" t="n">
        <f aca="false">DI89-DI88</f>
        <v>2.25149730047057E-012</v>
      </c>
      <c r="DJ93" s="47" t="n">
        <f aca="false">DJ89-DJ88</f>
        <v>2.27964101672645E-012</v>
      </c>
      <c r="DK93" s="47" t="n">
        <f aca="false">DK89-DK88</f>
        <v>2.30813652943553E-012</v>
      </c>
      <c r="DL93" s="47" t="n">
        <f aca="false">DL89-DL88</f>
        <v>2.33698823605348E-012</v>
      </c>
      <c r="DM93" s="47" t="n">
        <f aca="false">DM89-DM88</f>
        <v>2.36620058900415E-012</v>
      </c>
      <c r="DN93" s="47" t="n">
        <f aca="false">DN89-DN88</f>
        <v>2.3957780963667E-012</v>
      </c>
      <c r="DO93" s="47" t="n">
        <f aca="false">DO89-DO88</f>
        <v>2.42572532257128E-012</v>
      </c>
      <c r="DP93" s="47" t="n">
        <f aca="false">DP89-DP88</f>
        <v>2.45604688910342E-012</v>
      </c>
      <c r="DQ93" s="47" t="n">
        <f aca="false">DQ89-DQ88</f>
        <v>2.48674747521722E-012</v>
      </c>
      <c r="DR93" s="47" t="n">
        <f aca="false">DR89-DR88</f>
        <v>2.51783181865743E-012</v>
      </c>
      <c r="DS93" s="47" t="n">
        <f aca="false">DS89-DS88</f>
        <v>2.54930471639065E-012</v>
      </c>
      <c r="DT93" s="47" t="n">
        <f aca="false">DT89-DT88</f>
        <v>2.58117102534553E-012</v>
      </c>
      <c r="DU93" s="47" t="n">
        <f aca="false">DU89-DU88</f>
        <v>2.61343566316235E-012</v>
      </c>
      <c r="DV93" s="47" t="n">
        <f aca="false">DV89-DV88</f>
        <v>2.64610360895188E-012</v>
      </c>
      <c r="DW93" s="47" t="n">
        <f aca="false">DW89-DW88</f>
        <v>2.67917990406378E-012</v>
      </c>
      <c r="DX93" s="47" t="n">
        <f aca="false">DX89-DX88</f>
        <v>2.71266965286458E-012</v>
      </c>
      <c r="DY93" s="47" t="n">
        <f aca="false">DY89-DY88</f>
        <v>2.74657802352538E-012</v>
      </c>
      <c r="DZ93" s="47" t="n">
        <f aca="false">DZ89-DZ88</f>
        <v>2.78091024881945E-012</v>
      </c>
      <c r="EA93" s="47" t="n">
        <f aca="false">EA89-EA88</f>
        <v>2.81567162692969E-012</v>
      </c>
      <c r="EB93" s="47" t="n">
        <f aca="false">EB89-EB88</f>
        <v>2.85086752226632E-012</v>
      </c>
      <c r="EC93" s="47" t="n">
        <f aca="false">EC89-EC88</f>
        <v>2.88650336629464E-012</v>
      </c>
      <c r="ED93" s="47" t="n">
        <f aca="false">ED89-ED88</f>
        <v>2.92258465837333E-012</v>
      </c>
      <c r="EE93" s="47" t="n">
        <f aca="false">EE89-EE88</f>
        <v>2.95911696660299E-012</v>
      </c>
      <c r="EF93" s="47" t="n">
        <f aca="false">EF89-EF88</f>
        <v>2.99610592868553E-012</v>
      </c>
      <c r="EG93" s="47" t="n">
        <f aca="false">EG89-EG88</f>
        <v>3.0335572527941E-012</v>
      </c>
      <c r="EH93" s="47" t="n">
        <f aca="false">EH89-EH88</f>
        <v>3.07147671845403E-012</v>
      </c>
      <c r="EI93" s="47" t="n">
        <f aca="false">EI89-EI88</f>
        <v>3.1098701774347E-012</v>
      </c>
      <c r="EJ93" s="47" t="n">
        <f aca="false">EJ89-EJ88</f>
        <v>3.14874355465263E-012</v>
      </c>
      <c r="EK93" s="47" t="n">
        <f aca="false">EK89-EK88</f>
        <v>3.18810284908579E-012</v>
      </c>
      <c r="EL93" s="47" t="n">
        <f aca="false">EL89-EL88</f>
        <v>3.22795413469936E-012</v>
      </c>
      <c r="EM93" s="47" t="n">
        <f aca="false">EM89-EM88</f>
        <v>3.26830356138311E-012</v>
      </c>
      <c r="EN93" s="47" t="n">
        <f aca="false">EN89-EN88</f>
        <v>3.3091573559004E-012</v>
      </c>
      <c r="EO93" s="47" t="n">
        <f aca="false">EO89-EO88</f>
        <v>3.35052182284915E-012</v>
      </c>
    </row>
    <row r="94" customFormat="false" ht="15" hidden="false" customHeight="false" outlineLevel="0" collapsed="false">
      <c r="C94" s="25" t="s">
        <v>455</v>
      </c>
      <c r="D94" s="11" t="s">
        <v>33</v>
      </c>
      <c r="E94" s="56" t="n">
        <f aca="false">SUMIF($J$4:$EO$4,In_COD,$J94:$EO94)</f>
        <v>42477.8738005823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4374.90719178082</v>
      </c>
      <c r="S94" s="56" t="n">
        <f aca="false">SUM(S90:S93)</f>
        <v>13194.5467782534</v>
      </c>
      <c r="T94" s="56" t="n">
        <f aca="false">SUM(T90:T93)</f>
        <v>17686.8324657213</v>
      </c>
      <c r="U94" s="56" t="n">
        <f aca="false">SUM(U90:U93)</f>
        <v>22282.8250633237</v>
      </c>
      <c r="V94" s="56" t="n">
        <f aca="false">SUM(V90:V93)</f>
        <v>26936.267568396</v>
      </c>
      <c r="W94" s="56" t="n">
        <f aca="false">SUM(W90:W93)</f>
        <v>31552.7714266996</v>
      </c>
      <c r="X94" s="56" t="n">
        <f aca="false">SUM(X90:X93)</f>
        <v>36274.5349222731</v>
      </c>
      <c r="Y94" s="56" t="n">
        <f aca="false">SUM(Y90:Y93)</f>
        <v>42477.8738005823</v>
      </c>
      <c r="Z94" s="56" t="n">
        <f aca="false">SUM(Z90:Z93)</f>
        <v>42100.4597751342</v>
      </c>
      <c r="AA94" s="56" t="n">
        <f aca="false">SUM(AA90:AA93)</f>
        <v>41732.0934057924</v>
      </c>
      <c r="AB94" s="56" t="n">
        <f aca="false">SUM(AB90:AB93)</f>
        <v>41349.4916818895</v>
      </c>
      <c r="AC94" s="56" t="n">
        <f aca="false">SUM(AC90:AC93)</f>
        <v>40952.4819302017</v>
      </c>
      <c r="AD94" s="56" t="n">
        <f aca="false">SUM(AD90:AD93)</f>
        <v>40557.4766797803</v>
      </c>
      <c r="AE94" s="56" t="n">
        <f aca="false">SUM(AE90:AE93)</f>
        <v>40182.6945854684</v>
      </c>
      <c r="AF94" s="56" t="n">
        <f aca="false">SUM(AF90:AF93)</f>
        <v>39803.5051394011</v>
      </c>
      <c r="AG94" s="56" t="n">
        <f aca="false">SUM(AG90:AG93)</f>
        <v>39410.4968555495</v>
      </c>
      <c r="AH94" s="56" t="n">
        <f aca="false">SUM(AH90:AH93)</f>
        <v>39015.7285576966</v>
      </c>
      <c r="AI94" s="56" t="n">
        <f aca="false">SUM(AI90:AI93)</f>
        <v>38629.7565247127</v>
      </c>
      <c r="AJ94" s="56" t="n">
        <f aca="false">SUM(AJ90:AJ93)</f>
        <v>38218.7330173742</v>
      </c>
      <c r="AK94" s="56" t="n">
        <f aca="false">SUM(AK90:AK93)</f>
        <v>37793.3671695978</v>
      </c>
      <c r="AL94" s="56" t="n">
        <f aca="false">SUM(AL90:AL93)</f>
        <v>37365.8788805202</v>
      </c>
      <c r="AM94" s="56" t="n">
        <f aca="false">SUM(AM90:AM93)</f>
        <v>36947.1499994675</v>
      </c>
      <c r="AN94" s="56" t="n">
        <f aca="false">SUM(AN90:AN93)</f>
        <v>36513.962039438</v>
      </c>
      <c r="AO94" s="56" t="n">
        <f aca="false">SUM(AO90:AO93)</f>
        <v>36066.1449649682</v>
      </c>
      <c r="AP94" s="56" t="n">
        <f aca="false">SUM(AP90:AP93)</f>
        <v>35615.9595772528</v>
      </c>
      <c r="AQ94" s="56" t="n">
        <f aca="false">SUM(AQ90:AQ93)</f>
        <v>35174.3710099511</v>
      </c>
      <c r="AR94" s="56" t="n">
        <f aca="false">SUM(AR90:AR93)</f>
        <v>34718.0291941517</v>
      </c>
      <c r="AS94" s="56" t="n">
        <f aca="false">SUM(AS90:AS93)</f>
        <v>34246.7606350248</v>
      </c>
      <c r="AT94" s="56" t="n">
        <f aca="false">SUM(AT90:AT93)</f>
        <v>33772.8661860189</v>
      </c>
      <c r="AU94" s="56" t="n">
        <f aca="false">SUM(AU90:AU93)</f>
        <v>33297.8102072467</v>
      </c>
      <c r="AV94" s="56" t="n">
        <f aca="false">SUM(AV90:AV93)</f>
        <v>32817.1676787602</v>
      </c>
      <c r="AW94" s="56" t="n">
        <f aca="false">SUM(AW90:AW93)</f>
        <v>32321.2881000032</v>
      </c>
      <c r="AX94" s="56" t="n">
        <f aca="false">SUM(AX90:AX93)</f>
        <v>31822.5114759684</v>
      </c>
      <c r="AY94" s="56" t="n">
        <f aca="false">SUM(AY90:AY93)</f>
        <v>31331.9717387347</v>
      </c>
      <c r="AZ94" s="56" t="n">
        <f aca="false">SUM(AZ90:AZ93)</f>
        <v>30826.0548641302</v>
      </c>
      <c r="BA94" s="56" t="n">
        <f aca="false">SUM(BA90:BA93)</f>
        <v>30304.5800205346</v>
      </c>
      <c r="BB94" s="56" t="n">
        <f aca="false">SUM(BB90:BB93)</f>
        <v>29779.9254578101</v>
      </c>
      <c r="BC94" s="56" t="n">
        <f aca="false">SUM(BC90:BC93)</f>
        <v>29263.31065139</v>
      </c>
      <c r="BD94" s="56" t="n">
        <f aca="false">SUM(BD90:BD93)</f>
        <v>28730.9892404734</v>
      </c>
      <c r="BE94" s="56" t="n">
        <f aca="false">SUM(BE90:BE93)</f>
        <v>28182.7765189819</v>
      </c>
      <c r="BF94" s="56" t="n">
        <f aca="false">SUM(BF90:BF93)</f>
        <v>27631.0880225956</v>
      </c>
      <c r="BG94" s="56" t="n">
        <f aca="false">SUM(BG90:BG93)</f>
        <v>27087.2295375256</v>
      </c>
      <c r="BH94" s="56" t="n">
        <f aca="false">SUM(BH90:BH93)</f>
        <v>26527.3221369524</v>
      </c>
      <c r="BI94" s="56" t="n">
        <f aca="false">SUM(BI90:BI93)</f>
        <v>25951.1770892984</v>
      </c>
      <c r="BJ94" s="56" t="n">
        <f aca="false">SUM(BJ90:BJ93)</f>
        <v>25371.2462183642</v>
      </c>
      <c r="BK94" s="56" t="n">
        <f aca="false">SUM(BK90:BK93)</f>
        <v>24789.2481302831</v>
      </c>
      <c r="BL94" s="56" t="n">
        <f aca="false">SUM(BL90:BL93)</f>
        <v>24200.4058777288</v>
      </c>
      <c r="BM94" s="56" t="n">
        <f aca="false">SUM(BM90:BM93)</f>
        <v>23594.9647095746</v>
      </c>
      <c r="BN94" s="56" t="n">
        <f aca="false">SUM(BN90:BN93)</f>
        <v>22985.4116844895</v>
      </c>
      <c r="BO94" s="56" t="n">
        <f aca="false">SUM(BO90:BO93)</f>
        <v>22383.2275246913</v>
      </c>
      <c r="BP94" s="56" t="n">
        <f aca="false">SUM(BP90:BP93)</f>
        <v>21764.2675129773</v>
      </c>
      <c r="BQ94" s="56" t="n">
        <f aca="false">SUM(BQ90:BQ93)</f>
        <v>21128.3343691638</v>
      </c>
      <c r="BR94" s="56" t="n">
        <f aca="false">SUM(BR90:BR93)</f>
        <v>20487.9493232116</v>
      </c>
      <c r="BS94" s="56" t="n">
        <f aca="false">SUM(BS90:BS93)</f>
        <v>19854.6817516363</v>
      </c>
      <c r="BT94" s="56" t="n">
        <f aca="false">SUM(BT90:BT93)</f>
        <v>19204.2537518247</v>
      </c>
      <c r="BU94" s="56" t="n">
        <f aca="false">SUM(BU90:BU93)</f>
        <v>18536.4635210635</v>
      </c>
      <c r="BV94" s="56" t="n">
        <f aca="false">SUM(BV90:BV93)</f>
        <v>17863.8653397246</v>
      </c>
      <c r="BW94" s="56" t="n">
        <f aca="false">SUM(BW90:BW93)</f>
        <v>17198.1180338156</v>
      </c>
      <c r="BX94" s="56" t="n">
        <f aca="false">SUM(BX90:BX93)</f>
        <v>16514.8103331243</v>
      </c>
      <c r="BY94" s="56" t="n">
        <f aca="false">SUM(BY90:BY93)</f>
        <v>15813.7357314224</v>
      </c>
      <c r="BZ94" s="56" t="n">
        <f aca="false">SUM(BZ90:BZ93)</f>
        <v>15107.4803950298</v>
      </c>
      <c r="CA94" s="56" t="n">
        <f aca="false">SUM(CA90:CA93)</f>
        <v>14398.0450957544</v>
      </c>
      <c r="CB94" s="56" t="n">
        <f aca="false">SUM(CB90:CB93)</f>
        <v>13680.2669995339</v>
      </c>
      <c r="CC94" s="56" t="n">
        <f aca="false">SUM(CC90:CC93)</f>
        <v>12944.2996913215</v>
      </c>
      <c r="CD94" s="56" t="n">
        <f aca="false">SUM(CD90:CD93)</f>
        <v>12202.7599981554</v>
      </c>
      <c r="CE94" s="56" t="n">
        <f aca="false">SUM(CE90:CE93)</f>
        <v>11467.4880415806</v>
      </c>
      <c r="CF94" s="56" t="n">
        <f aca="false">SUM(CF90:CF93)</f>
        <v>10713.8053034919</v>
      </c>
      <c r="CG94" s="56" t="n">
        <f aca="false">SUM(CG90:CG93)</f>
        <v>9941.49527730737</v>
      </c>
      <c r="CH94" s="56" t="n">
        <f aca="false">SUM(CH90:CH93)</f>
        <v>9163.20421021299</v>
      </c>
      <c r="CI94" s="56" t="n">
        <f aca="false">SUM(CI90:CI93)</f>
        <v>8390.86409833594</v>
      </c>
      <c r="CJ94" s="56" t="n">
        <f aca="false">SUM(CJ90:CJ93)</f>
        <v>7599.66258442267</v>
      </c>
      <c r="CK94" s="56" t="n">
        <f aca="false">SUM(CK90:CK93)</f>
        <v>6789.37786269688</v>
      </c>
      <c r="CL94" s="56" t="n">
        <f aca="false">SUM(CL90:CL93)</f>
        <v>5972.6842970865</v>
      </c>
      <c r="CM94" s="56" t="n">
        <f aca="false">SUM(CM90:CM93)</f>
        <v>5161.60657996338</v>
      </c>
      <c r="CN94" s="56" t="n">
        <f aca="false">SUM(CN90:CN93)</f>
        <v>4331.19838408375</v>
      </c>
      <c r="CO94" s="56" t="n">
        <f aca="false">SUM(CO90:CO93)</f>
        <v>3481.2323874363</v>
      </c>
      <c r="CP94" s="56" t="n">
        <f aca="false">SUM(CP90:CP93)</f>
        <v>2624.40971811565</v>
      </c>
      <c r="CQ94" s="56" t="n">
        <f aca="false">SUM(CQ90:CQ93)</f>
        <v>1763.04388624891</v>
      </c>
      <c r="CR94" s="56" t="n">
        <f aca="false">SUM(CR90:CR93)</f>
        <v>891.548589104435</v>
      </c>
      <c r="CS94" s="56" t="n">
        <f aca="false">SUM(CS90:CS93)</f>
        <v>1.49498191603925E-010</v>
      </c>
      <c r="CT94" s="56" t="n">
        <f aca="false">SUM(CT90:CT93)</f>
        <v>1.51366918998974E-010</v>
      </c>
      <c r="CU94" s="56" t="n">
        <f aca="false">SUM(CU90:CU93)</f>
        <v>1.53259005486461E-010</v>
      </c>
      <c r="CV94" s="56" t="n">
        <f aca="false">SUM(CV90:CV93)</f>
        <v>1.55174743055042E-010</v>
      </c>
      <c r="CW94" s="56" t="n">
        <f aca="false">SUM(CW90:CW93)</f>
        <v>1.5711442734323E-010</v>
      </c>
      <c r="CX94" s="56" t="n">
        <f aca="false">SUM(CX90:CX93)</f>
        <v>1.5907835768502E-010</v>
      </c>
      <c r="CY94" s="56" t="n">
        <f aca="false">SUM(CY90:CY93)</f>
        <v>1.61066837156083E-010</v>
      </c>
      <c r="CZ94" s="56" t="n">
        <f aca="false">SUM(CZ90:CZ93)</f>
        <v>1.63080172620534E-010</v>
      </c>
      <c r="DA94" s="56" t="n">
        <f aca="false">SUM(DA90:DA93)</f>
        <v>1.65118674778291E-010</v>
      </c>
      <c r="DB94" s="56" t="n">
        <f aca="false">SUM(DB90:DB93)</f>
        <v>1.6718265821302E-010</v>
      </c>
      <c r="DC94" s="56" t="n">
        <f aca="false">SUM(DC90:DC93)</f>
        <v>1.69272441440682E-010</v>
      </c>
      <c r="DD94" s="56" t="n">
        <f aca="false">SUM(DD90:DD93)</f>
        <v>1.71388346958691E-010</v>
      </c>
      <c r="DE94" s="56" t="n">
        <f aca="false">SUM(DE90:DE93)</f>
        <v>1.73530701295675E-010</v>
      </c>
      <c r="DF94" s="56" t="n">
        <f aca="false">SUM(DF90:DF93)</f>
        <v>1.7569983506187E-010</v>
      </c>
      <c r="DG94" s="56" t="n">
        <f aca="false">SUM(DG90:DG93)</f>
        <v>1.77896083000144E-010</v>
      </c>
      <c r="DH94" s="56" t="n">
        <f aca="false">SUM(DH90:DH93)</f>
        <v>1.80119784037646E-010</v>
      </c>
      <c r="DI94" s="56" t="n">
        <f aca="false">SUM(DI90:DI93)</f>
        <v>1.82371281338116E-010</v>
      </c>
      <c r="DJ94" s="56" t="n">
        <f aca="false">SUM(DJ90:DJ93)</f>
        <v>1.84650922354843E-010</v>
      </c>
      <c r="DK94" s="56" t="n">
        <f aca="false">SUM(DK90:DK93)</f>
        <v>1.86959058884278E-010</v>
      </c>
      <c r="DL94" s="56" t="n">
        <f aca="false">SUM(DL90:DL93)</f>
        <v>1.89296047120332E-010</v>
      </c>
      <c r="DM94" s="56" t="n">
        <f aca="false">SUM(DM90:DM93)</f>
        <v>1.91662247709336E-010</v>
      </c>
      <c r="DN94" s="56" t="n">
        <f aca="false">SUM(DN90:DN93)</f>
        <v>1.94058025805703E-010</v>
      </c>
      <c r="DO94" s="56" t="n">
        <f aca="false">SUM(DO90:DO93)</f>
        <v>1.96483751128274E-010</v>
      </c>
      <c r="DP94" s="56" t="n">
        <f aca="false">SUM(DP90:DP93)</f>
        <v>1.98939798017377E-010</v>
      </c>
      <c r="DQ94" s="56" t="n">
        <f aca="false">SUM(DQ90:DQ93)</f>
        <v>2.01426545492594E-010</v>
      </c>
      <c r="DR94" s="56" t="n">
        <f aca="false">SUM(DR90:DR93)</f>
        <v>2.03944377311252E-010</v>
      </c>
      <c r="DS94" s="56" t="n">
        <f aca="false">SUM(DS90:DS93)</f>
        <v>2.06493682027643E-010</v>
      </c>
      <c r="DT94" s="56" t="n">
        <f aca="false">SUM(DT90:DT93)</f>
        <v>2.09074853052988E-010</v>
      </c>
      <c r="DU94" s="56" t="n">
        <f aca="false">SUM(DU90:DU93)</f>
        <v>2.1168828871615E-010</v>
      </c>
      <c r="DV94" s="56" t="n">
        <f aca="false">SUM(DV90:DV93)</f>
        <v>2.14334392325102E-010</v>
      </c>
      <c r="DW94" s="56" t="n">
        <f aca="false">SUM(DW90:DW93)</f>
        <v>2.17013572229166E-010</v>
      </c>
      <c r="DX94" s="56" t="n">
        <f aca="false">SUM(DX90:DX93)</f>
        <v>2.19726241882031E-010</v>
      </c>
      <c r="DY94" s="56" t="n">
        <f aca="false">SUM(DY90:DY93)</f>
        <v>2.22472819905556E-010</v>
      </c>
      <c r="DZ94" s="56" t="n">
        <f aca="false">SUM(DZ90:DZ93)</f>
        <v>2.25253730154375E-010</v>
      </c>
      <c r="EA94" s="56" t="n">
        <f aca="false">SUM(EA90:EA93)</f>
        <v>2.28069401781305E-010</v>
      </c>
      <c r="EB94" s="56" t="n">
        <f aca="false">SUM(EB90:EB93)</f>
        <v>2.30920269303571E-010</v>
      </c>
      <c r="EC94" s="56" t="n">
        <f aca="false">SUM(EC90:EC93)</f>
        <v>2.33806772669866E-010</v>
      </c>
      <c r="ED94" s="56" t="n">
        <f aca="false">SUM(ED90:ED93)</f>
        <v>2.36729357328239E-010</v>
      </c>
      <c r="EE94" s="56" t="n">
        <f aca="false">SUM(EE90:EE93)</f>
        <v>2.39688474294842E-010</v>
      </c>
      <c r="EF94" s="56" t="n">
        <f aca="false">SUM(EF90:EF93)</f>
        <v>2.42684580223528E-010</v>
      </c>
      <c r="EG94" s="56" t="n">
        <f aca="false">SUM(EG90:EG93)</f>
        <v>2.45718137476322E-010</v>
      </c>
      <c r="EH94" s="56" t="n">
        <f aca="false">SUM(EH90:EH93)</f>
        <v>2.48789614194776E-010</v>
      </c>
      <c r="EI94" s="56" t="n">
        <f aca="false">SUM(EI90:EI93)</f>
        <v>2.51899484372211E-010</v>
      </c>
      <c r="EJ94" s="56" t="n">
        <f aca="false">SUM(EJ90:EJ93)</f>
        <v>2.55048227926863E-010</v>
      </c>
      <c r="EK94" s="56" t="n">
        <f aca="false">SUM(EK90:EK93)</f>
        <v>2.58236330775949E-010</v>
      </c>
      <c r="EL94" s="56" t="n">
        <f aca="false">SUM(EL90:EL93)</f>
        <v>2.61464284910648E-010</v>
      </c>
      <c r="EM94" s="56" t="n">
        <f aca="false">SUM(EM90:EM93)</f>
        <v>2.64732588472032E-010</v>
      </c>
      <c r="EN94" s="56" t="n">
        <f aca="false">SUM(EN90:EN93)</f>
        <v>2.68041745827932E-010</v>
      </c>
      <c r="EO94" s="56" t="n">
        <f aca="false">SUM(EO90:EO93)</f>
        <v>2.71392267650781E-010</v>
      </c>
    </row>
    <row r="95" customFormat="false" ht="15" hidden="false" customHeight="false" outlineLevel="0" collapsed="false">
      <c r="C95" s="0" t="s">
        <v>456</v>
      </c>
      <c r="D95" s="11" t="s">
        <v>33</v>
      </c>
      <c r="I95" s="47" t="n">
        <f aca="false">SUM(J95:EO95)</f>
        <v>-743.362791510191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-743.362791510191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457</v>
      </c>
      <c r="D96" s="11" t="s">
        <v>33</v>
      </c>
      <c r="I96" s="47" t="n">
        <f aca="false">SUM(J96:EO96)</f>
        <v>-396.359732589126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-92.0420457885532</v>
      </c>
      <c r="S96" s="47" t="n">
        <f aca="false">-In_Commitment_Fee*($I91-SUM($J91:S91)+S91)*S$6*(S12&gt;0)</f>
        <v>-80.3324335980484</v>
      </c>
      <c r="T96" s="47" t="n">
        <f aca="false">-In_Commitment_Fee*($I91-SUM($J91:T91)+T91)*T$6*(T12&gt;0)</f>
        <v>-61.5579019224996</v>
      </c>
      <c r="U96" s="47" t="n">
        <f aca="false">-In_Commitment_Fee*($I91-SUM($J91:U91)+U91)*U$6*(U12&gt;0)</f>
        <v>-52.4177898076563</v>
      </c>
      <c r="V96" s="47" t="n">
        <f aca="false">-In_Commitment_Fee*($I91-SUM($J91:V91)+V91)*V$6*(V12&gt;0)</f>
        <v>-42.4933428082192</v>
      </c>
      <c r="W96" s="47" t="n">
        <f aca="false">-In_Commitment_Fee*($I91-SUM($J91:W91)+W91)*W$6*(W12&gt;0)</f>
        <v>-31.8608763346782</v>
      </c>
      <c r="X96" s="47" t="n">
        <f aca="false">-In_Commitment_Fee*($I91-SUM($J91:X91)+X91)*X$6*(X12&gt;0)</f>
        <v>-22.611717247842</v>
      </c>
      <c r="Y96" s="47" t="n">
        <f aca="false">-In_Commitment_Fee*($I91-SUM($J91:Y91)+Y91)*Y$6*(Y12&gt;0)</f>
        <v>-13.0436250816288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458</v>
      </c>
      <c r="D97" s="11" t="s">
        <v>33</v>
      </c>
      <c r="E97" s="47" t="n">
        <f aca="false">-SUMIFS($J89:$EO89,$J$4:$EO$4,"&gt;"&amp;In_COD,$J$4:$EO$4,"&lt;="&amp;EDATE(In_COD,In_DSRA_Months))</f>
        <v>908.387447955351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-908.387447955351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908.387447955351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459</v>
      </c>
      <c r="D98" s="11" t="s">
        <v>13</v>
      </c>
      <c r="E98" s="52" t="n">
        <f aca="false">MIN($J98:$EO98)</f>
        <v>2.53300130461873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2.53300130461873</v>
      </c>
      <c r="AA98" s="52" t="n">
        <f aca="false">IF(AA89&lt;0,AA83/-AA89,"")</f>
        <v>2.53300130461873</v>
      </c>
      <c r="AB98" s="52" t="n">
        <f aca="false">IF(AB89&lt;0,AB83/-AB89,"")</f>
        <v>2.53300130461873</v>
      </c>
      <c r="AC98" s="52" t="n">
        <f aca="false">IF(AC89&lt;0,AC83/-AC89,"")</f>
        <v>2.53300130461873</v>
      </c>
      <c r="AD98" s="52" t="n">
        <f aca="false">IF(AD89&lt;0,AD83/-AD89,"")</f>
        <v>2.53300130461873</v>
      </c>
      <c r="AE98" s="52" t="n">
        <f aca="false">IF(AE89&lt;0,AE83/-AE89,"")</f>
        <v>2.53300130461873</v>
      </c>
      <c r="AF98" s="52" t="n">
        <f aca="false">IF(AF89&lt;0,AF83/-AF89,"")</f>
        <v>2.53300130461873</v>
      </c>
      <c r="AG98" s="52" t="n">
        <f aca="false">IF(AG89&lt;0,AG83/-AG89,"")</f>
        <v>2.53300130461873</v>
      </c>
      <c r="AH98" s="52" t="n">
        <f aca="false">IF(AH89&lt;0,AH83/-AH89,"")</f>
        <v>2.53300130461873</v>
      </c>
      <c r="AI98" s="52" t="n">
        <f aca="false">IF(AI89&lt;0,AI83/-AI89,"")</f>
        <v>2.53300130461873</v>
      </c>
      <c r="AJ98" s="52" t="n">
        <f aca="false">IF(AJ89&lt;0,AJ83/-AJ89,"")</f>
        <v>2.53300130461873</v>
      </c>
      <c r="AK98" s="52" t="n">
        <f aca="false">IF(AK89&lt;0,AK83/-AK89,"")</f>
        <v>2.53300130461873</v>
      </c>
      <c r="AL98" s="52" t="n">
        <f aca="false">IF(AL89&lt;0,AL83/-AL89,"")</f>
        <v>2.53300130461873</v>
      </c>
      <c r="AM98" s="52" t="n">
        <f aca="false">IF(AM89&lt;0,AM83/-AM89,"")</f>
        <v>2.53300130461873</v>
      </c>
      <c r="AN98" s="52" t="n">
        <f aca="false">IF(AN89&lt;0,AN83/-AN89,"")</f>
        <v>2.53300130461873</v>
      </c>
      <c r="AO98" s="52" t="n">
        <f aca="false">IF(AO89&lt;0,AO83/-AO89,"")</f>
        <v>2.53300130461873</v>
      </c>
      <c r="AP98" s="52" t="n">
        <f aca="false">IF(AP89&lt;0,AP83/-AP89,"")</f>
        <v>2.53300130461873</v>
      </c>
      <c r="AQ98" s="52" t="n">
        <f aca="false">IF(AQ89&lt;0,AQ83/-AQ89,"")</f>
        <v>2.53300130461873</v>
      </c>
      <c r="AR98" s="52" t="n">
        <f aca="false">IF(AR89&lt;0,AR83/-AR89,"")</f>
        <v>2.53300130461873</v>
      </c>
      <c r="AS98" s="52" t="n">
        <f aca="false">IF(AS89&lt;0,AS83/-AS89,"")</f>
        <v>2.53300130461873</v>
      </c>
      <c r="AT98" s="52" t="n">
        <f aca="false">IF(AT89&lt;0,AT83/-AT89,"")</f>
        <v>2.53300130461873</v>
      </c>
      <c r="AU98" s="52" t="n">
        <f aca="false">IF(AU89&lt;0,AU83/-AU89,"")</f>
        <v>2.53300130461873</v>
      </c>
      <c r="AV98" s="52" t="n">
        <f aca="false">IF(AV89&lt;0,AV83/-AV89,"")</f>
        <v>2.53300130461873</v>
      </c>
      <c r="AW98" s="52" t="n">
        <f aca="false">IF(AW89&lt;0,AW83/-AW89,"")</f>
        <v>2.53300130461873</v>
      </c>
      <c r="AX98" s="52" t="n">
        <f aca="false">IF(AX89&lt;0,AX83/-AX89,"")</f>
        <v>2.53300130461873</v>
      </c>
      <c r="AY98" s="52" t="n">
        <f aca="false">IF(AY89&lt;0,AY83/-AY89,"")</f>
        <v>2.53300130461873</v>
      </c>
      <c r="AZ98" s="52" t="n">
        <f aca="false">IF(AZ89&lt;0,AZ83/-AZ89,"")</f>
        <v>2.53300130461873</v>
      </c>
      <c r="BA98" s="52" t="n">
        <f aca="false">IF(BA89&lt;0,BA83/-BA89,"")</f>
        <v>2.53300130461873</v>
      </c>
      <c r="BB98" s="52" t="n">
        <f aca="false">IF(BB89&lt;0,BB83/-BB89,"")</f>
        <v>2.53300130461873</v>
      </c>
      <c r="BC98" s="52" t="n">
        <f aca="false">IF(BC89&lt;0,BC83/-BC89,"")</f>
        <v>2.53300130461873</v>
      </c>
      <c r="BD98" s="52" t="n">
        <f aca="false">IF(BD89&lt;0,BD83/-BD89,"")</f>
        <v>2.53300130461873</v>
      </c>
      <c r="BE98" s="52" t="n">
        <f aca="false">IF(BE89&lt;0,BE83/-BE89,"")</f>
        <v>2.53300130461873</v>
      </c>
      <c r="BF98" s="52" t="n">
        <f aca="false">IF(BF89&lt;0,BF83/-BF89,"")</f>
        <v>2.53300130461873</v>
      </c>
      <c r="BG98" s="52" t="n">
        <f aca="false">IF(BG89&lt;0,BG83/-BG89,"")</f>
        <v>2.53300130461873</v>
      </c>
      <c r="BH98" s="52" t="n">
        <f aca="false">IF(BH89&lt;0,BH83/-BH89,"")</f>
        <v>2.53300130461873</v>
      </c>
      <c r="BI98" s="52" t="n">
        <f aca="false">IF(BI89&lt;0,BI83/-BI89,"")</f>
        <v>2.53300130461873</v>
      </c>
      <c r="BJ98" s="52" t="n">
        <f aca="false">IF(BJ89&lt;0,BJ83/-BJ89,"")</f>
        <v>2.53300130461873</v>
      </c>
      <c r="BK98" s="52" t="n">
        <f aca="false">IF(BK89&lt;0,BK83/-BK89,"")</f>
        <v>2.53300130461873</v>
      </c>
      <c r="BL98" s="52" t="n">
        <f aca="false">IF(BL89&lt;0,BL83/-BL89,"")</f>
        <v>2.53300130461873</v>
      </c>
      <c r="BM98" s="52" t="n">
        <f aca="false">IF(BM89&lt;0,BM83/-BM89,"")</f>
        <v>2.53300130461873</v>
      </c>
      <c r="BN98" s="52" t="n">
        <f aca="false">IF(BN89&lt;0,BN83/-BN89,"")</f>
        <v>2.53300130461873</v>
      </c>
      <c r="BO98" s="52" t="n">
        <f aca="false">IF(BO89&lt;0,BO83/-BO89,"")</f>
        <v>2.53300130461873</v>
      </c>
      <c r="BP98" s="52" t="n">
        <f aca="false">IF(BP89&lt;0,BP83/-BP89,"")</f>
        <v>2.53300130461873</v>
      </c>
      <c r="BQ98" s="52" t="n">
        <f aca="false">IF(BQ89&lt;0,BQ83/-BQ89,"")</f>
        <v>2.53300130461873</v>
      </c>
      <c r="BR98" s="52" t="n">
        <f aca="false">IF(BR89&lt;0,BR83/-BR89,"")</f>
        <v>2.53300130461873</v>
      </c>
      <c r="BS98" s="52" t="n">
        <f aca="false">IF(BS89&lt;0,BS83/-BS89,"")</f>
        <v>2.53300130461873</v>
      </c>
      <c r="BT98" s="52" t="n">
        <f aca="false">IF(BT89&lt;0,BT83/-BT89,"")</f>
        <v>2.53300130461873</v>
      </c>
      <c r="BU98" s="52" t="n">
        <f aca="false">IF(BU89&lt;0,BU83/-BU89,"")</f>
        <v>2.53300130461873</v>
      </c>
      <c r="BV98" s="52" t="n">
        <f aca="false">IF(BV89&lt;0,BV83/-BV89,"")</f>
        <v>2.53300130461873</v>
      </c>
      <c r="BW98" s="52" t="n">
        <f aca="false">IF(BW89&lt;0,BW83/-BW89,"")</f>
        <v>2.53300130461873</v>
      </c>
      <c r="BX98" s="52" t="n">
        <f aca="false">IF(BX89&lt;0,BX83/-BX89,"")</f>
        <v>2.53300130461873</v>
      </c>
      <c r="BY98" s="52" t="n">
        <f aca="false">IF(BY89&lt;0,BY83/-BY89,"")</f>
        <v>2.53300130461873</v>
      </c>
      <c r="BZ98" s="52" t="n">
        <f aca="false">IF(BZ89&lt;0,BZ83/-BZ89,"")</f>
        <v>2.53300130461873</v>
      </c>
      <c r="CA98" s="52" t="n">
        <f aca="false">IF(CA89&lt;0,CA83/-CA89,"")</f>
        <v>2.53300130461873</v>
      </c>
      <c r="CB98" s="52" t="n">
        <f aca="false">IF(CB89&lt;0,CB83/-CB89,"")</f>
        <v>2.53300130461873</v>
      </c>
      <c r="CC98" s="52" t="n">
        <f aca="false">IF(CC89&lt;0,CC83/-CC89,"")</f>
        <v>2.53300130461873</v>
      </c>
      <c r="CD98" s="52" t="n">
        <f aca="false">IF(CD89&lt;0,CD83/-CD89,"")</f>
        <v>2.53300130461873</v>
      </c>
      <c r="CE98" s="52" t="n">
        <f aca="false">IF(CE89&lt;0,CE83/-CE89,"")</f>
        <v>2.53300130461873</v>
      </c>
      <c r="CF98" s="52" t="n">
        <f aca="false">IF(CF89&lt;0,CF83/-CF89,"")</f>
        <v>2.53300130461873</v>
      </c>
      <c r="CG98" s="52" t="n">
        <f aca="false">IF(CG89&lt;0,CG83/-CG89,"")</f>
        <v>2.53300130461873</v>
      </c>
      <c r="CH98" s="52" t="n">
        <f aca="false">IF(CH89&lt;0,CH83/-CH89,"")</f>
        <v>2.53300130461873</v>
      </c>
      <c r="CI98" s="52" t="n">
        <f aca="false">IF(CI89&lt;0,CI83/-CI89,"")</f>
        <v>2.53300130461873</v>
      </c>
      <c r="CJ98" s="52" t="n">
        <f aca="false">IF(CJ89&lt;0,CJ83/-CJ89,"")</f>
        <v>2.53300130461873</v>
      </c>
      <c r="CK98" s="52" t="n">
        <f aca="false">IF(CK89&lt;0,CK83/-CK89,"")</f>
        <v>2.53300130461873</v>
      </c>
      <c r="CL98" s="52" t="n">
        <f aca="false">IF(CL89&lt;0,CL83/-CL89,"")</f>
        <v>2.53300130461873</v>
      </c>
      <c r="CM98" s="52" t="n">
        <f aca="false">IF(CM89&lt;0,CM83/-CM89,"")</f>
        <v>2.53300130461873</v>
      </c>
      <c r="CN98" s="52" t="n">
        <f aca="false">IF(CN89&lt;0,CN83/-CN89,"")</f>
        <v>2.53300130461873</v>
      </c>
      <c r="CO98" s="52" t="n">
        <f aca="false">IF(CO89&lt;0,CO83/-CO89,"")</f>
        <v>2.53300130461873</v>
      </c>
      <c r="CP98" s="52" t="n">
        <f aca="false">IF(CP89&lt;0,CP83/-CP89,"")</f>
        <v>2.53300130461873</v>
      </c>
      <c r="CQ98" s="52" t="n">
        <f aca="false">IF(CQ89&lt;0,CQ83/-CQ89,"")</f>
        <v>2.53300130461873</v>
      </c>
      <c r="CR98" s="52" t="n">
        <f aca="false">IF(CR89&lt;0,CR83/-CR89,"")</f>
        <v>2.53300130461873</v>
      </c>
      <c r="CS98" s="52" t="n">
        <f aca="false">IF(CS89&lt;0,CS83/-CS89,"")</f>
        <v>2.53300130461873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460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461</v>
      </c>
      <c r="D101" s="11" t="s">
        <v>33</v>
      </c>
      <c r="E101" s="47" t="n">
        <f aca="false">$I92-($I64+$I54+$I65+$I51+$I44+$I45+$I46)</f>
        <v>81441.2950745549</v>
      </c>
      <c r="I101" s="47" t="n">
        <f aca="false">SUM(J101:EO101)</f>
        <v>-81441.2950745549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-1025.68092359467</v>
      </c>
      <c r="AA101" s="47" t="n">
        <f aca="false">-$E101*AA19</f>
        <v>-1003.38351221218</v>
      </c>
      <c r="AB101" s="47" t="n">
        <f aca="false">-$E101*AB19</f>
        <v>-1014.53221790342</v>
      </c>
      <c r="AC101" s="47" t="n">
        <f aca="false">-$E101*AC19</f>
        <v>-1025.68092359467</v>
      </c>
      <c r="AD101" s="47" t="n">
        <f aca="false">-$E101*AD19</f>
        <v>-1025.68092359467</v>
      </c>
      <c r="AE101" s="47" t="n">
        <f aca="false">-$E101*AE19</f>
        <v>-1014.53221790342</v>
      </c>
      <c r="AF101" s="47" t="n">
        <f aca="false">-$E101*AF19</f>
        <v>-1014.53221790342</v>
      </c>
      <c r="AG101" s="47" t="n">
        <f aca="false">-$E101*AG19</f>
        <v>-1025.68092359467</v>
      </c>
      <c r="AH101" s="47" t="n">
        <f aca="false">-$E101*AH19</f>
        <v>-1025.68092359467</v>
      </c>
      <c r="AI101" s="47" t="n">
        <f aca="false">-$E101*AI19</f>
        <v>-1003.38351221218</v>
      </c>
      <c r="AJ101" s="47" t="n">
        <f aca="false">-$E101*AJ19</f>
        <v>-1014.53221790342</v>
      </c>
      <c r="AK101" s="47" t="n">
        <f aca="false">-$E101*AK19</f>
        <v>-1025.68092359467</v>
      </c>
      <c r="AL101" s="47" t="n">
        <f aca="false">-$E101*AL19</f>
        <v>-1025.68092359467</v>
      </c>
      <c r="AM101" s="47" t="n">
        <f aca="false">-$E101*AM19</f>
        <v>-1003.38351221218</v>
      </c>
      <c r="AN101" s="47" t="n">
        <f aca="false">-$E101*AN19</f>
        <v>-1014.53221790342</v>
      </c>
      <c r="AO101" s="47" t="n">
        <f aca="false">-$E101*AO19</f>
        <v>-1025.68092359467</v>
      </c>
      <c r="AP101" s="47" t="n">
        <f aca="false">-$E101*AP19</f>
        <v>-1025.68092359467</v>
      </c>
      <c r="AQ101" s="47" t="n">
        <f aca="false">-$E101*AQ19</f>
        <v>-1003.38351221218</v>
      </c>
      <c r="AR101" s="47" t="n">
        <f aca="false">-$E101*AR19</f>
        <v>-1014.53221790342</v>
      </c>
      <c r="AS101" s="47" t="n">
        <f aca="false">-$E101*AS19</f>
        <v>-1025.68092359467</v>
      </c>
      <c r="AT101" s="47" t="n">
        <f aca="false">-$E101*AT19</f>
        <v>-1025.68092359467</v>
      </c>
      <c r="AU101" s="47" t="n">
        <f aca="false">-$E101*AU19</f>
        <v>-1014.53221790342</v>
      </c>
      <c r="AV101" s="47" t="n">
        <f aca="false">-$E101*AV19</f>
        <v>-1014.53221790342</v>
      </c>
      <c r="AW101" s="47" t="n">
        <f aca="false">-$E101*AW19</f>
        <v>-1025.68092359467</v>
      </c>
      <c r="AX101" s="47" t="n">
        <f aca="false">-$E101*AX19</f>
        <v>-1025.68092359467</v>
      </c>
      <c r="AY101" s="47" t="n">
        <f aca="false">-$E101*AY19</f>
        <v>-1003.38351221218</v>
      </c>
      <c r="AZ101" s="47" t="n">
        <f aca="false">-$E101*AZ19</f>
        <v>-1014.53221790342</v>
      </c>
      <c r="BA101" s="47" t="n">
        <f aca="false">-$E101*BA19</f>
        <v>-1025.68092359467</v>
      </c>
      <c r="BB101" s="47" t="n">
        <f aca="false">-$E101*BB19</f>
        <v>-1025.68092359467</v>
      </c>
      <c r="BC101" s="47" t="n">
        <f aca="false">-$E101*BC19</f>
        <v>-1003.38351221218</v>
      </c>
      <c r="BD101" s="47" t="n">
        <f aca="false">-$E101*BD19</f>
        <v>-1014.53221790342</v>
      </c>
      <c r="BE101" s="47" t="n">
        <f aca="false">-$E101*BE19</f>
        <v>-1025.68092359467</v>
      </c>
      <c r="BF101" s="47" t="n">
        <f aca="false">-$E101*BF19</f>
        <v>-1025.68092359467</v>
      </c>
      <c r="BG101" s="47" t="n">
        <f aca="false">-$E101*BG19</f>
        <v>-1003.38351221218</v>
      </c>
      <c r="BH101" s="47" t="n">
        <f aca="false">-$E101*BH19</f>
        <v>-1014.53221790342</v>
      </c>
      <c r="BI101" s="47" t="n">
        <f aca="false">-$E101*BI19</f>
        <v>-1025.68092359467</v>
      </c>
      <c r="BJ101" s="47" t="n">
        <f aca="false">-$E101*BJ19</f>
        <v>-1025.68092359467</v>
      </c>
      <c r="BK101" s="47" t="n">
        <f aca="false">-$E101*BK19</f>
        <v>-1014.53221790342</v>
      </c>
      <c r="BL101" s="47" t="n">
        <f aca="false">-$E101*BL19</f>
        <v>-1014.53221790342</v>
      </c>
      <c r="BM101" s="47" t="n">
        <f aca="false">-$E101*BM19</f>
        <v>-1025.68092359467</v>
      </c>
      <c r="BN101" s="47" t="n">
        <f aca="false">-$E101*BN19</f>
        <v>-1025.68092359467</v>
      </c>
      <c r="BO101" s="47" t="n">
        <f aca="false">-$E101*BO19</f>
        <v>-1003.38351221218</v>
      </c>
      <c r="BP101" s="47" t="n">
        <f aca="false">-$E101*BP19</f>
        <v>-1014.53221790342</v>
      </c>
      <c r="BQ101" s="47" t="n">
        <f aca="false">-$E101*BQ19</f>
        <v>-1025.68092359467</v>
      </c>
      <c r="BR101" s="47" t="n">
        <f aca="false">-$E101*BR19</f>
        <v>-1025.68092359467</v>
      </c>
      <c r="BS101" s="47" t="n">
        <f aca="false">-$E101*BS19</f>
        <v>-1003.38351221218</v>
      </c>
      <c r="BT101" s="47" t="n">
        <f aca="false">-$E101*BT19</f>
        <v>-1014.53221790342</v>
      </c>
      <c r="BU101" s="47" t="n">
        <f aca="false">-$E101*BU19</f>
        <v>-1025.68092359467</v>
      </c>
      <c r="BV101" s="47" t="n">
        <f aca="false">-$E101*BV19</f>
        <v>-1025.68092359467</v>
      </c>
      <c r="BW101" s="47" t="n">
        <f aca="false">-$E101*BW19</f>
        <v>-1003.38351221218</v>
      </c>
      <c r="BX101" s="47" t="n">
        <f aca="false">-$E101*BX19</f>
        <v>-1014.53221790342</v>
      </c>
      <c r="BY101" s="47" t="n">
        <f aca="false">-$E101*BY19</f>
        <v>-1025.68092359467</v>
      </c>
      <c r="BZ101" s="47" t="n">
        <f aca="false">-$E101*BZ19</f>
        <v>-1025.68092359467</v>
      </c>
      <c r="CA101" s="47" t="n">
        <f aca="false">-$E101*CA19</f>
        <v>-1014.53221790342</v>
      </c>
      <c r="CB101" s="47" t="n">
        <f aca="false">-$E101*CB19</f>
        <v>-1014.53221790342</v>
      </c>
      <c r="CC101" s="47" t="n">
        <f aca="false">-$E101*CC19</f>
        <v>-1025.68092359467</v>
      </c>
      <c r="CD101" s="47" t="n">
        <f aca="false">-$E101*CD19</f>
        <v>-1025.68092359467</v>
      </c>
      <c r="CE101" s="47" t="n">
        <f aca="false">-$E101*CE19</f>
        <v>-1003.38351221218</v>
      </c>
      <c r="CF101" s="47" t="n">
        <f aca="false">-$E101*CF19</f>
        <v>-1014.53221790342</v>
      </c>
      <c r="CG101" s="47" t="n">
        <f aca="false">-$E101*CG19</f>
        <v>-1025.68092359467</v>
      </c>
      <c r="CH101" s="47" t="n">
        <f aca="false">-$E101*CH19</f>
        <v>-1025.68092359467</v>
      </c>
      <c r="CI101" s="47" t="n">
        <f aca="false">-$E101*CI19</f>
        <v>-1003.38351221218</v>
      </c>
      <c r="CJ101" s="47" t="n">
        <f aca="false">-$E101*CJ19</f>
        <v>-1014.53221790342</v>
      </c>
      <c r="CK101" s="47" t="n">
        <f aca="false">-$E101*CK19</f>
        <v>-1025.68092359467</v>
      </c>
      <c r="CL101" s="47" t="n">
        <f aca="false">-$E101*CL19</f>
        <v>-1025.68092359467</v>
      </c>
      <c r="CM101" s="47" t="n">
        <f aca="false">-$E101*CM19</f>
        <v>-1003.38351221218</v>
      </c>
      <c r="CN101" s="47" t="n">
        <f aca="false">-$E101*CN19</f>
        <v>-1014.53221790342</v>
      </c>
      <c r="CO101" s="47" t="n">
        <f aca="false">-$E101*CO19</f>
        <v>-1025.68092359467</v>
      </c>
      <c r="CP101" s="47" t="n">
        <f aca="false">-$E101*CP19</f>
        <v>-1025.68092359467</v>
      </c>
      <c r="CQ101" s="47" t="n">
        <f aca="false">-$E101*CQ19</f>
        <v>-1014.53221790342</v>
      </c>
      <c r="CR101" s="47" t="n">
        <f aca="false">-$E101*CR19</f>
        <v>-1014.53221790342</v>
      </c>
      <c r="CS101" s="47" t="n">
        <f aca="false">-$E101*CS19</f>
        <v>-1025.68092359467</v>
      </c>
      <c r="CT101" s="47" t="n">
        <f aca="false">-$E101*CT19</f>
        <v>-1025.68092359467</v>
      </c>
      <c r="CU101" s="47" t="n">
        <f aca="false">-$E101*CU19</f>
        <v>-1003.38351221218</v>
      </c>
      <c r="CV101" s="47" t="n">
        <f aca="false">-$E101*CV19</f>
        <v>-1014.53221790342</v>
      </c>
      <c r="CW101" s="47" t="n">
        <f aca="false">-$E101*CW19</f>
        <v>-1025.68092359467</v>
      </c>
      <c r="CX101" s="47" t="n">
        <f aca="false">-$E101*CX19</f>
        <v>-1025.68092359467</v>
      </c>
      <c r="CY101" s="47" t="n">
        <f aca="false">-$E101*CY19</f>
        <v>-1003.38351221218</v>
      </c>
      <c r="CZ101" s="47" t="n">
        <f aca="false">-$E101*CZ19</f>
        <v>-1014.53221790342</v>
      </c>
      <c r="DA101" s="47" t="n">
        <f aca="false">-$E101*DA19</f>
        <v>-1025.68092359467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462</v>
      </c>
      <c r="D102" s="11" t="s">
        <v>33</v>
      </c>
      <c r="I102" s="47" t="n">
        <f aca="false">SUM(J102:EO102)</f>
        <v>189750.729733605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-910.488972605438</v>
      </c>
      <c r="S102" s="47" t="n">
        <f aca="false">S79+S101+S88+S95+S96+S48+S55</f>
        <v>-154.800823311032</v>
      </c>
      <c r="T102" s="47" t="n">
        <f aca="false">T79+T101+T88+T95+T96+T48+T55</f>
        <v>-136.853718187849</v>
      </c>
      <c r="U102" s="47" t="n">
        <f aca="false">U79+U101+U88+U95+U96+U48+U55</f>
        <v>-128.541032625373</v>
      </c>
      <c r="V102" s="47" t="n">
        <f aca="false">V79+V101+V88+V95+V96+V48+V55</f>
        <v>-118.616585625935</v>
      </c>
      <c r="W102" s="47" t="n">
        <f aca="false">W79+W101+W88+W95+W96+W48+W55</f>
        <v>-107.371197220398</v>
      </c>
      <c r="X102" s="47" t="n">
        <f aca="false">X79+X101+X88+X95+X96+X48+X55</f>
        <v>-98.9610416989586</v>
      </c>
      <c r="Y102" s="47" t="n">
        <f aca="false">Y79+Y101+Y88+Y95+Y96+Y48+Y55</f>
        <v>-90.2319530981423</v>
      </c>
      <c r="Z102" s="47" t="n">
        <f aca="false">Z79+Z101+Z88+Z95+Z96+Z48+Z55</f>
        <v>804.640264506197</v>
      </c>
      <c r="AA102" s="47" t="n">
        <f aca="false">AA79+AA101+AA88+AA95+AA96+AA48+AA55</f>
        <v>796.151058283749</v>
      </c>
      <c r="AB102" s="47" t="n">
        <f aca="false">AB79+AB101+AB88+AB95+AB96+AB48+AB55</f>
        <v>815.449046850221</v>
      </c>
      <c r="AC102" s="47" t="n">
        <f aca="false">AC79+AC101+AC88+AC95+AC96+AC48+AC55</f>
        <v>834.924977348707</v>
      </c>
      <c r="AD102" s="47" t="n">
        <f aca="false">AD79+AD101+AD88+AD95+AD96+AD48+AD55</f>
        <v>831.413537674649</v>
      </c>
      <c r="AE102" s="47" t="n">
        <f aca="false">AE79+AE101+AE88+AE95+AE96+AE48+AE55</f>
        <v>837.617204956817</v>
      </c>
      <c r="AF102" s="47" t="n">
        <f aca="false">AF79+AF101+AF88+AF95+AF96+AF48+AF55</f>
        <v>842.301981135716</v>
      </c>
      <c r="AG102" s="47" t="n">
        <f aca="false">AG79+AG101+AG88+AG95+AG96+AG48+AG55</f>
        <v>861.817515842919</v>
      </c>
      <c r="AH102" s="47" t="n">
        <f aca="false">AH79+AH101+AH88+AH95+AH96+AH48+AH55</f>
        <v>858.202327740154</v>
      </c>
      <c r="AI102" s="47" t="n">
        <f aca="false">AI79+AI101+AI88+AI95+AI96+AI48+AI55</f>
        <v>849.321983091357</v>
      </c>
      <c r="AJ102" s="47" t="n">
        <f aca="false">AJ79+AJ101+AJ88+AJ95+AJ96+AJ48+AJ55</f>
        <v>902.157884450141</v>
      </c>
      <c r="AK102" s="47" t="n">
        <f aca="false">AK79+AK101+AK88+AK95+AK96+AK48+AK55</f>
        <v>922.515786434829</v>
      </c>
      <c r="AL102" s="47" t="n">
        <f aca="false">AL79+AL101+AL88+AL95+AL96+AL48+AL55</f>
        <v>919.251158893887</v>
      </c>
      <c r="AM102" s="47" t="n">
        <f aca="false">AM79+AM101+AM88+AM95+AM96+AM48+AM55</f>
        <v>909.743003737367</v>
      </c>
      <c r="AN102" s="47" t="n">
        <f aca="false">AN79+AN101+AN88+AN95+AN96+AN48+AN55</f>
        <v>930.27507574768</v>
      </c>
      <c r="AO102" s="47" t="n">
        <f aca="false">AO79+AO101+AO88+AO95+AO96+AO48+AO55</f>
        <v>950.987886245204</v>
      </c>
      <c r="AP102" s="47" t="n">
        <f aca="false">AP79+AP101+AP88+AP95+AP96+AP48+AP55</f>
        <v>947.949813949673</v>
      </c>
      <c r="AQ102" s="47" t="n">
        <f aca="false">AQ79+AQ101+AQ88+AQ95+AQ96+AQ48+AQ55</f>
        <v>938.414483626201</v>
      </c>
      <c r="AR102" s="47" t="n">
        <f aca="false">AR79+AR101+AR88+AR95+AR96+AR48+AR55</f>
        <v>959.307829365714</v>
      </c>
      <c r="AS102" s="47" t="n">
        <f aca="false">AS79+AS101+AS88+AS95+AS96+AS48+AS55</f>
        <v>980.385590711449</v>
      </c>
      <c r="AT102" s="47" t="n">
        <f aca="false">AT79+AT101+AT88+AT95+AT96+AT48+AT55</f>
        <v>977.586403699423</v>
      </c>
      <c r="AU102" s="47" t="n">
        <f aca="false">AU79+AU101+AU88+AU95+AU96+AU48+AU55</f>
        <v>983.480347225583</v>
      </c>
      <c r="AV102" s="47" t="n">
        <f aca="false">AV79+AV101+AV88+AV95+AV96+AV48+AV55</f>
        <v>989.418546960235</v>
      </c>
      <c r="AW102" s="47" t="n">
        <f aca="false">AW79+AW101+AW88+AW95+AW96+AW48+AW55</f>
        <v>1010.87318488006</v>
      </c>
      <c r="AX102" s="47" t="n">
        <f aca="false">AX79+AX101+AX88+AX95+AX96+AX48+AX55</f>
        <v>1008.32720717865</v>
      </c>
      <c r="AY102" s="47" t="n">
        <f aca="false">AY79+AY101+AY88+AY95+AY96+AY48+AY55</f>
        <v>998.769032092897</v>
      </c>
      <c r="AZ102" s="47" t="n">
        <f aca="false">AZ79+AZ101+AZ88+AZ95+AZ96+AZ48+AZ55</f>
        <v>1020.41800575879</v>
      </c>
      <c r="BA102" s="47" t="n">
        <f aca="false">BA79+BA101+BA88+BA95+BA96+BA48+BA55</f>
        <v>1042.25919364182</v>
      </c>
      <c r="BB102" s="47" t="n">
        <f aca="false">BB79+BB101+BB88+BB95+BB96+BB48+BB55</f>
        <v>1039.97856129709</v>
      </c>
      <c r="BC102" s="47" t="n">
        <f aca="false">BC79+BC101+BC88+BC95+BC96+BC48+BC55</f>
        <v>1030.42443960381</v>
      </c>
      <c r="BD102" s="47" t="n">
        <f aca="false">BD79+BD101+BD88+BD95+BD96+BD48+BD55</f>
        <v>1052.46738588213</v>
      </c>
      <c r="BE102" s="47" t="n">
        <f aca="false">BE79+BE101+BE88+BE95+BE96+BE48+BE55</f>
        <v>1074.70666471666</v>
      </c>
      <c r="BF102" s="47" t="n">
        <f aca="false">BF79+BF101+BF88+BF95+BF96+BF48+BF55</f>
        <v>1072.70549663127</v>
      </c>
      <c r="BG102" s="47" t="n">
        <f aca="false">BG79+BG101+BG88+BG95+BG96+BG48+BG55</f>
        <v>1063.16695862441</v>
      </c>
      <c r="BH102" s="47" t="n">
        <f aca="false">BH79+BH101+BH88+BH95+BH96+BH48+BH55</f>
        <v>1085.61580700897</v>
      </c>
      <c r="BI102" s="47" t="n">
        <f aca="false">BI79+BI101+BI88+BI95+BI96+BI48+BI55</f>
        <v>1108.26526683732</v>
      </c>
      <c r="BJ102" s="47" t="n">
        <f aca="false">BJ79+BJ101+BJ88+BJ95+BJ96+BJ48+BJ55</f>
        <v>1106.55833323293</v>
      </c>
      <c r="BK102" s="47" t="n">
        <f aca="false">BK79+BK101+BK88+BK95+BK96+BK48+BK55</f>
        <v>1112.7607269385</v>
      </c>
      <c r="BL102" s="47" t="n">
        <f aca="false">BL79+BL101+BL88+BL95+BL96+BL48+BL55</f>
        <v>1120.03570303951</v>
      </c>
      <c r="BM102" s="47" t="n">
        <f aca="false">BM79+BM101+BM88+BM95+BM96+BM48+BM55</f>
        <v>1143.10943234664</v>
      </c>
      <c r="BN102" s="47" t="n">
        <f aca="false">BN79+BN101+BN88+BN95+BN96+BN48+BN55</f>
        <v>1141.71362377297</v>
      </c>
      <c r="BO102" s="47" t="n">
        <f aca="false">BO79+BO101+BO88+BO95+BO96+BO48+BO55</f>
        <v>1132.2447957888</v>
      </c>
      <c r="BP102" s="47" t="n">
        <f aca="false">BP79+BP101+BP88+BP95+BP96+BP48+BP55</f>
        <v>1155.54501380678</v>
      </c>
      <c r="BQ102" s="47" t="n">
        <f aca="false">BQ79+BQ101+BQ88+BQ95+BQ96+BQ48+BQ55</f>
        <v>1179.0549299737</v>
      </c>
      <c r="BR102" s="47" t="n">
        <f aca="false">BR79+BR101+BR88+BR95+BR96+BR48+BR55</f>
        <v>1177.98504136939</v>
      </c>
      <c r="BS102" s="47" t="n">
        <f aca="false">BS79+BS101+BS88+BS95+BS96+BS48+BS55</f>
        <v>1168.57027738574</v>
      </c>
      <c r="BT102" s="47" t="n">
        <f aca="false">BT79+BT101+BT88+BT95+BT96+BT48+BT55</f>
        <v>1192.31578474072</v>
      </c>
      <c r="BU102" s="47" t="n">
        <f aca="false">BU79+BU101+BU88+BU95+BU96+BU48+BU55</f>
        <v>1216.27579744865</v>
      </c>
      <c r="BV102" s="47" t="n">
        <f aca="false">BV79+BV101+BV88+BV95+BV96+BV48+BV55</f>
        <v>1215.54874321206</v>
      </c>
      <c r="BW102" s="47" t="n">
        <f aca="false">BW79+BW101+BW88+BW95+BW96+BW48+BW55</f>
        <v>1206.20222716765</v>
      </c>
      <c r="BX102" s="47" t="n">
        <f aca="false">BX79+BX101+BX88+BX95+BX96+BX48+BX55</f>
        <v>1230.40740786833</v>
      </c>
      <c r="BY102" s="47" t="n">
        <f aca="false">BY79+BY101+BY88+BY95+BY96+BY48+BY55</f>
        <v>1254.8320935038</v>
      </c>
      <c r="BZ102" s="47" t="n">
        <f aca="false">BZ79+BZ101+BZ88+BZ95+BZ96+BZ48+BZ55</f>
        <v>1254.46556908295</v>
      </c>
      <c r="CA102" s="47" t="n">
        <f aca="false">CA79+CA101+CA88+CA95+CA96+CA48+CA55</f>
        <v>1261.13607075455</v>
      </c>
      <c r="CB102" s="47" t="n">
        <f aca="false">CB79+CB101+CB88+CB95+CB96+CB48+CB55</f>
        <v>1270.00401199549</v>
      </c>
      <c r="CC102" s="47" t="n">
        <f aca="false">CC79+CC101+CC88+CC95+CC96+CC48+CC55</f>
        <v>1294.91007968937</v>
      </c>
      <c r="CD102" s="47" t="n">
        <f aca="false">CD79+CD101+CD88+CD95+CD96+CD48+CD55</f>
        <v>1294.92404770377</v>
      </c>
      <c r="CE102" s="47" t="n">
        <f aca="false">CE79+CE101+CE88+CE95+CE96+CE48+CE55</f>
        <v>1285.76105941738</v>
      </c>
      <c r="CF102" s="47" t="n">
        <f aca="false">CF79+CF101+CF88+CF95+CF96+CF48+CF55</f>
        <v>1310.93302064561</v>
      </c>
      <c r="CG102" s="47" t="n">
        <f aca="false">CG79+CG101+CG88+CG95+CG96+CG48+CG55</f>
        <v>1336.33511664277</v>
      </c>
      <c r="CH102" s="47" t="n">
        <f aca="false">CH79+CH101+CH88+CH95+CH96+CH48+CH55</f>
        <v>1336.74756482666</v>
      </c>
      <c r="CI102" s="47" t="n">
        <f aca="false">CI79+CI101+CI88+CI95+CI96+CI48+CI55</f>
        <v>1327.70005751838</v>
      </c>
      <c r="CJ102" s="47" t="n">
        <f aca="false">CJ79+CJ101+CJ88+CJ95+CJ96+CJ48+CJ55</f>
        <v>1353.37919902957</v>
      </c>
      <c r="CK102" s="47" t="n">
        <f aca="false">CK79+CK101+CK88+CK95+CK96+CK48+CK55</f>
        <v>1379.29410806622</v>
      </c>
      <c r="CL102" s="47" t="n">
        <f aca="false">CL79+CL101+CL88+CL95+CL96+CL48+CL55</f>
        <v>1380.12530303898</v>
      </c>
      <c r="CM102" s="47" t="n">
        <f aca="false">CM79+CM101+CM88+CM95+CM96+CM48+CM55</f>
        <v>1371.21066311936</v>
      </c>
      <c r="CN102" s="47" t="n">
        <f aca="false">CN79+CN101+CN88+CN95+CN96+CN48+CN55</f>
        <v>1397.41434810377</v>
      </c>
      <c r="CO102" s="47" t="n">
        <f aca="false">CO79+CO101+CO88+CO95+CO96+CO48+CO55</f>
        <v>1423.85966407263</v>
      </c>
      <c r="CP102" s="47" t="n">
        <f aca="false">CP79+CP101+CP88+CP95+CP96+CP48+CP55</f>
        <v>1425.13080943123</v>
      </c>
      <c r="CQ102" s="47" t="n">
        <f aca="false">CQ79+CQ101+CQ88+CQ95+CQ96+CQ48+CQ55</f>
        <v>1432.46923763585</v>
      </c>
      <c r="CR102" s="47" t="n">
        <f aca="false">CR79+CR101+CR88+CR95+CR96+CR48+CR55</f>
        <v>1443.23631053419</v>
      </c>
      <c r="CS102" s="47" t="n">
        <f aca="false">CS79+CS101+CS88+CS95+CS96+CS48+CS55</f>
        <v>1470.23191778269</v>
      </c>
      <c r="CT102" s="47" t="n">
        <f aca="false">CT79+CT101+CT88+CT95+CT96+CT48+CT55</f>
        <v>1471.96665595576</v>
      </c>
      <c r="CU102" s="47" t="n">
        <f aca="false">CU79+CU101+CU88+CU95+CU96+CU48+CU55</f>
        <v>1452.13907911473</v>
      </c>
      <c r="CV102" s="47" t="n">
        <f aca="false">CV79+CV101+CV88+CV95+CV96+CV48+CV55</f>
        <v>1468.27395777156</v>
      </c>
      <c r="CW102" s="47" t="n">
        <f aca="false">CW79+CW101+CW88+CW95+CW96+CW48+CW55</f>
        <v>1484.40883642839</v>
      </c>
      <c r="CX102" s="47" t="n">
        <f aca="false">CX79+CX101+CX88+CX95+CX96+CX48+CX55</f>
        <v>1474.94290836395</v>
      </c>
      <c r="CY102" s="47" t="n">
        <f aca="false">CY79+CY101+CY88+CY95+CY96+CY48+CY55</f>
        <v>1454.75813498684</v>
      </c>
      <c r="CZ102" s="47" t="n">
        <f aca="false">CZ79+CZ101+CZ88+CZ95+CZ96+CZ48+CZ55</f>
        <v>1470.92211426447</v>
      </c>
      <c r="DA102" s="47" t="n">
        <f aca="false">DA79+DA101+DA88+DA95+DA96+DA48+DA55</f>
        <v>1487.0860935421</v>
      </c>
      <c r="DB102" s="47" t="n">
        <f aca="false">DB79+DB101+DB88+DB95+DB96+DB48+DB55</f>
        <v>2503.24466583138</v>
      </c>
      <c r="DC102" s="47" t="n">
        <f aca="false">DC79+DC101+DC88+DC95+DC96+DC48+DC55</f>
        <v>2460.4018457948</v>
      </c>
      <c r="DD102" s="47" t="n">
        <f aca="false">DD79+DD101+DD88+DD95+DD96+DD48+DD55</f>
        <v>2487.73964408141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2491.17462930678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2464.91206834606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2465.61807007059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2510.83914170753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2510.63204110907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2464.11073922956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463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1142.99956746376</v>
      </c>
      <c r="T103" s="18" t="n">
        <f aca="false">S107</f>
        <v>1297.80039077479</v>
      </c>
      <c r="U103" s="18" t="n">
        <f aca="false">T107</f>
        <v>1434.65410896264</v>
      </c>
      <c r="V103" s="18" t="n">
        <f aca="false">U107</f>
        <v>1563.19514158801</v>
      </c>
      <c r="W103" s="18" t="n">
        <f aca="false">V107</f>
        <v>1681.81172721395</v>
      </c>
      <c r="X103" s="18" t="n">
        <f aca="false">W107</f>
        <v>1789.18292443435</v>
      </c>
      <c r="Y103" s="18" t="n">
        <f aca="false">X107</f>
        <v>1888.14396613331</v>
      </c>
      <c r="Z103" s="18" t="n">
        <f aca="false">Y107</f>
        <v>1978.37591923145</v>
      </c>
      <c r="AA103" s="18" t="n">
        <f aca="false">Z107</f>
        <v>1576.05578697835</v>
      </c>
      <c r="AB103" s="18" t="n">
        <f aca="false">AA107</f>
        <v>1177.98025783648</v>
      </c>
      <c r="AC103" s="18" t="n">
        <f aca="false">AB107</f>
        <v>770.255734411364</v>
      </c>
      <c r="AD103" s="18" t="n">
        <f aca="false">AC107</f>
        <v>352.793245737011</v>
      </c>
      <c r="AE103" s="18" t="n">
        <f aca="false">AD107</f>
        <v>0</v>
      </c>
      <c r="AF103" s="18" t="n">
        <f aca="false">AE107</f>
        <v>0</v>
      </c>
      <c r="AG103" s="18" t="n">
        <f aca="false">AF107</f>
        <v>0</v>
      </c>
      <c r="AH103" s="18" t="n">
        <f aca="false">AG107</f>
        <v>0</v>
      </c>
      <c r="AI103" s="18" t="n">
        <f aca="false">AH107</f>
        <v>0</v>
      </c>
      <c r="AJ103" s="18" t="n">
        <f aca="false">AI107</f>
        <v>0</v>
      </c>
      <c r="AK103" s="18" t="n">
        <f aca="false">AJ107</f>
        <v>0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464</v>
      </c>
      <c r="D104" s="11" t="s">
        <v>33</v>
      </c>
      <c r="I104" s="47" t="n">
        <f aca="false">SUM(J104:EO104)</f>
        <v>1978.37591923145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910.488972605438</v>
      </c>
      <c r="S104" s="47" t="n">
        <f aca="false">MAX(0,-S102)</f>
        <v>154.800823311032</v>
      </c>
      <c r="T104" s="47" t="n">
        <f aca="false">MAX(0,-T102)</f>
        <v>136.853718187849</v>
      </c>
      <c r="U104" s="47" t="n">
        <f aca="false">MAX(0,-U102)</f>
        <v>128.541032625373</v>
      </c>
      <c r="V104" s="47" t="n">
        <f aca="false">MAX(0,-V102)</f>
        <v>118.616585625935</v>
      </c>
      <c r="W104" s="47" t="n">
        <f aca="false">MAX(0,-W102)</f>
        <v>107.371197220398</v>
      </c>
      <c r="X104" s="47" t="n">
        <f aca="false">MAX(0,-X102)</f>
        <v>98.9610416989586</v>
      </c>
      <c r="Y104" s="47" t="n">
        <f aca="false">MAX(0,-Y102)</f>
        <v>90.2319530981423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465</v>
      </c>
      <c r="D105" s="11" t="s">
        <v>33</v>
      </c>
      <c r="I105" s="47" t="n">
        <f aca="false">SUM(J105:EO105)</f>
        <v>-1978.37591923145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-402.320132253099</v>
      </c>
      <c r="AA105" s="47" t="n">
        <f aca="false">-MIN(AA103,In_Loss_Cap*MAX(0,AA102))</f>
        <v>-398.075529141875</v>
      </c>
      <c r="AB105" s="47" t="n">
        <f aca="false">-MIN(AB103,In_Loss_Cap*MAX(0,AB102))</f>
        <v>-407.724523425111</v>
      </c>
      <c r="AC105" s="47" t="n">
        <f aca="false">-MIN(AC103,In_Loss_Cap*MAX(0,AC102))</f>
        <v>-417.462488674354</v>
      </c>
      <c r="AD105" s="47" t="n">
        <f aca="false">-MIN(AD103,In_Loss_Cap*MAX(0,AD102))</f>
        <v>-352.793245737011</v>
      </c>
      <c r="AE105" s="47" t="n">
        <f aca="false">-MIN(AE103,In_Loss_Cap*MAX(0,AE102))</f>
        <v>-0</v>
      </c>
      <c r="AF105" s="47" t="n">
        <f aca="false">-MIN(AF103,In_Loss_Cap*MAX(0,AF102))</f>
        <v>-0</v>
      </c>
      <c r="AG105" s="47" t="n">
        <f aca="false">-MIN(AG103,In_Loss_Cap*MAX(0,AG102))</f>
        <v>-0</v>
      </c>
      <c r="AH105" s="47" t="n">
        <f aca="false">-MIN(AH103,In_Loss_Cap*MAX(0,AH102))</f>
        <v>-0</v>
      </c>
      <c r="AI105" s="47" t="n">
        <f aca="false">-MIN(AI103,In_Loss_Cap*MAX(0,AI102))</f>
        <v>-0</v>
      </c>
      <c r="AJ105" s="47" t="n">
        <f aca="false">-MIN(AJ103,In_Loss_Cap*MAX(0,AJ102))</f>
        <v>-0</v>
      </c>
      <c r="AK105" s="47" t="n">
        <f aca="false">-MIN(AK103,In_Loss_Cap*MAX(0,AK102))</f>
        <v>-0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466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0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-0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467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1142.99956746376</v>
      </c>
      <c r="S107" s="47" t="n">
        <f aca="false">SUM(S103:S106)</f>
        <v>1297.80039077479</v>
      </c>
      <c r="T107" s="47" t="n">
        <f aca="false">SUM(T103:T106)</f>
        <v>1434.65410896264</v>
      </c>
      <c r="U107" s="47" t="n">
        <f aca="false">SUM(U103:U106)</f>
        <v>1563.19514158801</v>
      </c>
      <c r="V107" s="47" t="n">
        <f aca="false">SUM(V103:V106)</f>
        <v>1681.81172721395</v>
      </c>
      <c r="W107" s="47" t="n">
        <f aca="false">SUM(W103:W106)</f>
        <v>1789.18292443435</v>
      </c>
      <c r="X107" s="47" t="n">
        <f aca="false">SUM(X103:X106)</f>
        <v>1888.14396613331</v>
      </c>
      <c r="Y107" s="47" t="n">
        <f aca="false">SUM(Y103:Y106)</f>
        <v>1978.37591923145</v>
      </c>
      <c r="Z107" s="47" t="n">
        <f aca="false">SUM(Z103:Z106)</f>
        <v>1576.05578697835</v>
      </c>
      <c r="AA107" s="47" t="n">
        <f aca="false">SUM(AA103:AA106)</f>
        <v>1177.98025783648</v>
      </c>
      <c r="AB107" s="47" t="n">
        <f aca="false">SUM(AB103:AB106)</f>
        <v>770.255734411364</v>
      </c>
      <c r="AC107" s="47" t="n">
        <f aca="false">SUM(AC103:AC106)</f>
        <v>352.793245737011</v>
      </c>
      <c r="AD107" s="47" t="n">
        <f aca="false">SUM(AD103:AD106)</f>
        <v>0</v>
      </c>
      <c r="AE107" s="47" t="n">
        <f aca="false">SUM(AE103:AE106)</f>
        <v>0</v>
      </c>
      <c r="AF107" s="47" t="n">
        <f aca="false">SUM(AF103:AF106)</f>
        <v>0</v>
      </c>
      <c r="AG107" s="47" t="n">
        <f aca="false">SUM(AG103:AG106)</f>
        <v>0</v>
      </c>
      <c r="AH107" s="47" t="n">
        <f aca="false">SUM(AH103:AH106)</f>
        <v>0</v>
      </c>
      <c r="AI107" s="47" t="n">
        <f aca="false">SUM(AI103:AI106)</f>
        <v>0</v>
      </c>
      <c r="AJ107" s="47" t="n">
        <f aca="false">SUM(AJ103:AJ106)</f>
        <v>0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468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-60.3480198379648</v>
      </c>
      <c r="AA108" s="47" t="n">
        <f aca="false">-In_CIT*(MAX(0,AA102)+AA105)-In_RH_On*In_RH_Rate*MAX(0,AA102)</f>
        <v>-59.7113293712812</v>
      </c>
      <c r="AB108" s="47" t="n">
        <f aca="false">-In_CIT*(MAX(0,AB102)+AB105)-In_RH_On*In_RH_Rate*MAX(0,AB102)</f>
        <v>-61.1586785137666</v>
      </c>
      <c r="AC108" s="47" t="n">
        <f aca="false">-In_CIT*(MAX(0,AC102)+AC105)-In_RH_On*In_RH_Rate*MAX(0,AC102)</f>
        <v>-62.619373301153</v>
      </c>
      <c r="AD108" s="47" t="n">
        <f aca="false">-In_CIT*(MAX(0,AD102)+AD105)-In_RH_On*In_RH_Rate*MAX(0,AD102)</f>
        <v>-71.7930437906457</v>
      </c>
      <c r="AE108" s="47" t="n">
        <f aca="false">-In_CIT*(MAX(0,AE102)+AE105)-In_RH_On*In_RH_Rate*MAX(0,AE102)</f>
        <v>-125.642580743523</v>
      </c>
      <c r="AF108" s="47" t="n">
        <f aca="false">-In_CIT*(MAX(0,AF102)+AF105)-In_RH_On*In_RH_Rate*MAX(0,AF102)</f>
        <v>-126.345297170357</v>
      </c>
      <c r="AG108" s="47" t="n">
        <f aca="false">-In_CIT*(MAX(0,AG102)+AG105)-In_RH_On*In_RH_Rate*MAX(0,AG102)</f>
        <v>-129.272627376438</v>
      </c>
      <c r="AH108" s="47" t="n">
        <f aca="false">-In_CIT*(MAX(0,AH102)+AH105)-In_RH_On*In_RH_Rate*MAX(0,AH102)</f>
        <v>-128.730349161023</v>
      </c>
      <c r="AI108" s="47" t="n">
        <f aca="false">-In_CIT*(MAX(0,AI102)+AI105)-In_RH_On*In_RH_Rate*MAX(0,AI102)</f>
        <v>-127.398297463704</v>
      </c>
      <c r="AJ108" s="47" t="n">
        <f aca="false">-In_CIT*(MAX(0,AJ102)+AJ105)-In_RH_On*In_RH_Rate*MAX(0,AJ102)</f>
        <v>-135.323682667521</v>
      </c>
      <c r="AK108" s="47" t="n">
        <f aca="false">-In_CIT*(MAX(0,AK102)+AK105)-In_RH_On*In_RH_Rate*MAX(0,AK102)</f>
        <v>-138.377367965224</v>
      </c>
      <c r="AL108" s="47" t="n">
        <f aca="false">-In_CIT*(MAX(0,AL102)+AL105)-In_RH_On*In_RH_Rate*MAX(0,AL102)</f>
        <v>-137.887673834083</v>
      </c>
      <c r="AM108" s="47" t="n">
        <f aca="false">-In_CIT*(MAX(0,AM102)+AM105)-In_RH_On*In_RH_Rate*MAX(0,AM102)</f>
        <v>-136.461450560605</v>
      </c>
      <c r="AN108" s="47" t="n">
        <f aca="false">-In_CIT*(MAX(0,AN102)+AN105)-In_RH_On*In_RH_Rate*MAX(0,AN102)</f>
        <v>-139.541261362152</v>
      </c>
      <c r="AO108" s="47" t="n">
        <f aca="false">-In_CIT*(MAX(0,AO102)+AO105)-In_RH_On*In_RH_Rate*MAX(0,AO102)</f>
        <v>-142.648182936781</v>
      </c>
      <c r="AP108" s="47" t="n">
        <f aca="false">-In_CIT*(MAX(0,AP102)+AP105)-In_RH_On*In_RH_Rate*MAX(0,AP102)</f>
        <v>-142.192472092451</v>
      </c>
      <c r="AQ108" s="47" t="n">
        <f aca="false">-In_CIT*(MAX(0,AQ102)+AQ105)-In_RH_On*In_RH_Rate*MAX(0,AQ102)</f>
        <v>-140.76217254393</v>
      </c>
      <c r="AR108" s="47" t="n">
        <f aca="false">-In_CIT*(MAX(0,AR102)+AR105)-In_RH_On*In_RH_Rate*MAX(0,AR102)</f>
        <v>-143.896174404857</v>
      </c>
      <c r="AS108" s="47" t="n">
        <f aca="false">-In_CIT*(MAX(0,AS102)+AS105)-In_RH_On*In_RH_Rate*MAX(0,AS102)</f>
        <v>-147.057838606717</v>
      </c>
      <c r="AT108" s="47" t="n">
        <f aca="false">-In_CIT*(MAX(0,AT102)+AT105)-In_RH_On*In_RH_Rate*MAX(0,AT102)</f>
        <v>-146.637960554913</v>
      </c>
      <c r="AU108" s="47" t="n">
        <f aca="false">-In_CIT*(MAX(0,AU102)+AU105)-In_RH_On*In_RH_Rate*MAX(0,AU102)</f>
        <v>-147.522052083837</v>
      </c>
      <c r="AV108" s="47" t="n">
        <f aca="false">-In_CIT*(MAX(0,AV102)+AV105)-In_RH_On*In_RH_Rate*MAX(0,AV102)</f>
        <v>-148.412782044035</v>
      </c>
      <c r="AW108" s="47" t="n">
        <f aca="false">-In_CIT*(MAX(0,AW102)+AW105)-In_RH_On*In_RH_Rate*MAX(0,AW102)</f>
        <v>-151.630977732009</v>
      </c>
      <c r="AX108" s="47" t="n">
        <f aca="false">-In_CIT*(MAX(0,AX102)+AX105)-In_RH_On*In_RH_Rate*MAX(0,AX102)</f>
        <v>-151.249081076797</v>
      </c>
      <c r="AY108" s="47" t="n">
        <f aca="false">-In_CIT*(MAX(0,AY102)+AY105)-In_RH_On*In_RH_Rate*MAX(0,AY102)</f>
        <v>-149.815354813935</v>
      </c>
      <c r="AZ108" s="47" t="n">
        <f aca="false">-In_CIT*(MAX(0,AZ102)+AZ105)-In_RH_On*In_RH_Rate*MAX(0,AZ102)</f>
        <v>-153.062700863818</v>
      </c>
      <c r="BA108" s="47" t="n">
        <f aca="false">-In_CIT*(MAX(0,BA102)+BA105)-In_RH_On*In_RH_Rate*MAX(0,BA102)</f>
        <v>-156.338879046273</v>
      </c>
      <c r="BB108" s="47" t="n">
        <f aca="false">-In_CIT*(MAX(0,BB102)+BB105)-In_RH_On*In_RH_Rate*MAX(0,BB102)</f>
        <v>-155.996784194563</v>
      </c>
      <c r="BC108" s="47" t="n">
        <f aca="false">-In_CIT*(MAX(0,BC102)+BC105)-In_RH_On*In_RH_Rate*MAX(0,BC102)</f>
        <v>-154.563665940571</v>
      </c>
      <c r="BD108" s="47" t="n">
        <f aca="false">-In_CIT*(MAX(0,BD102)+BD105)-In_RH_On*In_RH_Rate*MAX(0,BD102)</f>
        <v>-157.870107882319</v>
      </c>
      <c r="BE108" s="47" t="n">
        <f aca="false">-In_CIT*(MAX(0,BE102)+BE105)-In_RH_On*In_RH_Rate*MAX(0,BE102)</f>
        <v>-161.205999707499</v>
      </c>
      <c r="BF108" s="47" t="n">
        <f aca="false">-In_CIT*(MAX(0,BF102)+BF105)-In_RH_On*In_RH_Rate*MAX(0,BF102)</f>
        <v>-160.905824494691</v>
      </c>
      <c r="BG108" s="47" t="n">
        <f aca="false">-In_CIT*(MAX(0,BG102)+BG105)-In_RH_On*In_RH_Rate*MAX(0,BG102)</f>
        <v>-159.475043793661</v>
      </c>
      <c r="BH108" s="47" t="n">
        <f aca="false">-In_CIT*(MAX(0,BH102)+BH105)-In_RH_On*In_RH_Rate*MAX(0,BH102)</f>
        <v>-162.842371051345</v>
      </c>
      <c r="BI108" s="47" t="n">
        <f aca="false">-In_CIT*(MAX(0,BI102)+BI105)-In_RH_On*In_RH_Rate*MAX(0,BI102)</f>
        <v>-166.239790025598</v>
      </c>
      <c r="BJ108" s="47" t="n">
        <f aca="false">-In_CIT*(MAX(0,BJ102)+BJ105)-In_RH_On*In_RH_Rate*MAX(0,BJ102)</f>
        <v>-165.983749984939</v>
      </c>
      <c r="BK108" s="47" t="n">
        <f aca="false">-In_CIT*(MAX(0,BK102)+BK105)-In_RH_On*In_RH_Rate*MAX(0,BK102)</f>
        <v>-166.914109040775</v>
      </c>
      <c r="BL108" s="47" t="n">
        <f aca="false">-In_CIT*(MAX(0,BL102)+BL105)-In_RH_On*In_RH_Rate*MAX(0,BL102)</f>
        <v>-168.005355455927</v>
      </c>
      <c r="BM108" s="47" t="n">
        <f aca="false">-In_CIT*(MAX(0,BM102)+BM105)-In_RH_On*In_RH_Rate*MAX(0,BM102)</f>
        <v>-171.466414851996</v>
      </c>
      <c r="BN108" s="47" t="n">
        <f aca="false">-In_CIT*(MAX(0,BN102)+BN105)-In_RH_On*In_RH_Rate*MAX(0,BN102)</f>
        <v>-171.257043565946</v>
      </c>
      <c r="BO108" s="47" t="n">
        <f aca="false">-In_CIT*(MAX(0,BO102)+BO105)-In_RH_On*In_RH_Rate*MAX(0,BO102)</f>
        <v>-169.83671936832</v>
      </c>
      <c r="BP108" s="47" t="n">
        <f aca="false">-In_CIT*(MAX(0,BP102)+BP105)-In_RH_On*In_RH_Rate*MAX(0,BP102)</f>
        <v>-173.331752071017</v>
      </c>
      <c r="BQ108" s="47" t="n">
        <f aca="false">-In_CIT*(MAX(0,BQ102)+BQ105)-In_RH_On*In_RH_Rate*MAX(0,BQ102)</f>
        <v>-176.858239496056</v>
      </c>
      <c r="BR108" s="47" t="n">
        <f aca="false">-In_CIT*(MAX(0,BR102)+BR105)-In_RH_On*In_RH_Rate*MAX(0,BR102)</f>
        <v>-176.697756205409</v>
      </c>
      <c r="BS108" s="47" t="n">
        <f aca="false">-In_CIT*(MAX(0,BS102)+BS105)-In_RH_On*In_RH_Rate*MAX(0,BS102)</f>
        <v>-175.285541607861</v>
      </c>
      <c r="BT108" s="47" t="n">
        <f aca="false">-In_CIT*(MAX(0,BT102)+BT105)-In_RH_On*In_RH_Rate*MAX(0,BT102)</f>
        <v>-178.847367711108</v>
      </c>
      <c r="BU108" s="47" t="n">
        <f aca="false">-In_CIT*(MAX(0,BU102)+BU105)-In_RH_On*In_RH_Rate*MAX(0,BU102)</f>
        <v>-182.441369617298</v>
      </c>
      <c r="BV108" s="47" t="n">
        <f aca="false">-In_CIT*(MAX(0,BV102)+BV105)-In_RH_On*In_RH_Rate*MAX(0,BV102)</f>
        <v>-182.332311481809</v>
      </c>
      <c r="BW108" s="47" t="n">
        <f aca="false">-In_CIT*(MAX(0,BW102)+BW105)-In_RH_On*In_RH_Rate*MAX(0,BW102)</f>
        <v>-180.930334075147</v>
      </c>
      <c r="BX108" s="47" t="n">
        <f aca="false">-In_CIT*(MAX(0,BX102)+BX105)-In_RH_On*In_RH_Rate*MAX(0,BX102)</f>
        <v>-184.56111118025</v>
      </c>
      <c r="BY108" s="47" t="n">
        <f aca="false">-In_CIT*(MAX(0,BY102)+BY105)-In_RH_On*In_RH_Rate*MAX(0,BY102)</f>
        <v>-188.22481402557</v>
      </c>
      <c r="BZ108" s="47" t="n">
        <f aca="false">-In_CIT*(MAX(0,BZ102)+BZ105)-In_RH_On*In_RH_Rate*MAX(0,BZ102)</f>
        <v>-188.169835362443</v>
      </c>
      <c r="CA108" s="47" t="n">
        <f aca="false">-In_CIT*(MAX(0,CA102)+CA105)-In_RH_On*In_RH_Rate*MAX(0,CA102)</f>
        <v>-189.170410613182</v>
      </c>
      <c r="CB108" s="47" t="n">
        <f aca="false">-In_CIT*(MAX(0,CB102)+CB105)-In_RH_On*In_RH_Rate*MAX(0,CB102)</f>
        <v>-190.500601799323</v>
      </c>
      <c r="CC108" s="47" t="n">
        <f aca="false">-In_CIT*(MAX(0,CC102)+CC105)-In_RH_On*In_RH_Rate*MAX(0,CC102)</f>
        <v>-194.236511953406</v>
      </c>
      <c r="CD108" s="47" t="n">
        <f aca="false">-In_CIT*(MAX(0,CD102)+CD105)-In_RH_On*In_RH_Rate*MAX(0,CD102)</f>
        <v>-194.238607155566</v>
      </c>
      <c r="CE108" s="47" t="n">
        <f aca="false">-In_CIT*(MAX(0,CE102)+CE105)-In_RH_On*In_RH_Rate*MAX(0,CE102)</f>
        <v>-192.864158912607</v>
      </c>
      <c r="CF108" s="47" t="n">
        <f aca="false">-In_CIT*(MAX(0,CF102)+CF105)-In_RH_On*In_RH_Rate*MAX(0,CF102)</f>
        <v>-196.639953096841</v>
      </c>
      <c r="CG108" s="47" t="n">
        <f aca="false">-In_CIT*(MAX(0,CG102)+CG105)-In_RH_On*In_RH_Rate*MAX(0,CG102)</f>
        <v>-200.450267496415</v>
      </c>
      <c r="CH108" s="47" t="n">
        <f aca="false">-In_CIT*(MAX(0,CH102)+CH105)-In_RH_On*In_RH_Rate*MAX(0,CH102)</f>
        <v>-200.512134724</v>
      </c>
      <c r="CI108" s="47" t="n">
        <f aca="false">-In_CIT*(MAX(0,CI102)+CI105)-In_RH_On*In_RH_Rate*MAX(0,CI102)</f>
        <v>-199.155008627756</v>
      </c>
      <c r="CJ108" s="47" t="n">
        <f aca="false">-In_CIT*(MAX(0,CJ102)+CJ105)-In_RH_On*In_RH_Rate*MAX(0,CJ102)</f>
        <v>-203.006879854436</v>
      </c>
      <c r="CK108" s="47" t="n">
        <f aca="false">-In_CIT*(MAX(0,CK102)+CK105)-In_RH_On*In_RH_Rate*MAX(0,CK102)</f>
        <v>-206.894116209933</v>
      </c>
      <c r="CL108" s="47" t="n">
        <f aca="false">-In_CIT*(MAX(0,CL102)+CL105)-In_RH_On*In_RH_Rate*MAX(0,CL102)</f>
        <v>-207.018795455848</v>
      </c>
      <c r="CM108" s="47" t="n">
        <f aca="false">-In_CIT*(MAX(0,CM102)+CM105)-In_RH_On*In_RH_Rate*MAX(0,CM102)</f>
        <v>-205.681599467905</v>
      </c>
      <c r="CN108" s="47" t="n">
        <f aca="false">-In_CIT*(MAX(0,CN102)+CN105)-In_RH_On*In_RH_Rate*MAX(0,CN102)</f>
        <v>-209.612152215566</v>
      </c>
      <c r="CO108" s="47" t="n">
        <f aca="false">-In_CIT*(MAX(0,CO102)+CO105)-In_RH_On*In_RH_Rate*MAX(0,CO102)</f>
        <v>-213.578949610895</v>
      </c>
      <c r="CP108" s="47" t="n">
        <f aca="false">-In_CIT*(MAX(0,CP102)+CP105)-In_RH_On*In_RH_Rate*MAX(0,CP102)</f>
        <v>-213.769621414685</v>
      </c>
      <c r="CQ108" s="47" t="n">
        <f aca="false">-In_CIT*(MAX(0,CQ102)+CQ105)-In_RH_On*In_RH_Rate*MAX(0,CQ102)</f>
        <v>-214.870385645378</v>
      </c>
      <c r="CR108" s="47" t="n">
        <f aca="false">-In_CIT*(MAX(0,CR102)+CR105)-In_RH_On*In_RH_Rate*MAX(0,CR102)</f>
        <v>-216.485446580128</v>
      </c>
      <c r="CS108" s="47" t="n">
        <f aca="false">-In_CIT*(MAX(0,CS102)+CS105)-In_RH_On*In_RH_Rate*MAX(0,CS102)</f>
        <v>-220.534787667404</v>
      </c>
      <c r="CT108" s="47" t="n">
        <f aca="false">-In_CIT*(MAX(0,CT102)+CT105)-In_RH_On*In_RH_Rate*MAX(0,CT102)</f>
        <v>-220.794998393365</v>
      </c>
      <c r="CU108" s="47" t="n">
        <f aca="false">-In_CIT*(MAX(0,CU102)+CU105)-In_RH_On*In_RH_Rate*MAX(0,CU102)</f>
        <v>-217.82086186721</v>
      </c>
      <c r="CV108" s="47" t="n">
        <f aca="false">-In_CIT*(MAX(0,CV102)+CV105)-In_RH_On*In_RH_Rate*MAX(0,CV102)</f>
        <v>-220.241093665735</v>
      </c>
      <c r="CW108" s="47" t="n">
        <f aca="false">-In_CIT*(MAX(0,CW102)+CW105)-In_RH_On*In_RH_Rate*MAX(0,CW102)</f>
        <v>-222.661325464259</v>
      </c>
      <c r="CX108" s="47" t="n">
        <f aca="false">-In_CIT*(MAX(0,CX102)+CX105)-In_RH_On*In_RH_Rate*MAX(0,CX102)</f>
        <v>-221.241436254592</v>
      </c>
      <c r="CY108" s="47" t="n">
        <f aca="false">-In_CIT*(MAX(0,CY102)+CY105)-In_RH_On*In_RH_Rate*MAX(0,CY102)</f>
        <v>-218.213720248026</v>
      </c>
      <c r="CZ108" s="47" t="n">
        <f aca="false">-In_CIT*(MAX(0,CZ102)+CZ105)-In_RH_On*In_RH_Rate*MAX(0,CZ102)</f>
        <v>-220.63831713967</v>
      </c>
      <c r="DA108" s="47" t="n">
        <f aca="false">-In_CIT*(MAX(0,DA102)+DA105)-In_RH_On*In_RH_Rate*MAX(0,DA102)</f>
        <v>-223.062914031315</v>
      </c>
      <c r="DB108" s="47" t="n">
        <f aca="false">-In_CIT*(MAX(0,DB102)+DB105)-In_RH_On*In_RH_Rate*MAX(0,DB102)</f>
        <v>-375.486699874706</v>
      </c>
      <c r="DC108" s="47" t="n">
        <f aca="false">-In_CIT*(MAX(0,DC102)+DC105)-In_RH_On*In_RH_Rate*MAX(0,DC102)</f>
        <v>-369.060276869219</v>
      </c>
      <c r="DD108" s="47" t="n">
        <f aca="false">-In_CIT*(MAX(0,DD102)+DD105)-In_RH_On*In_RH_Rate*MAX(0,DD102)</f>
        <v>-373.160946612211</v>
      </c>
      <c r="DE108" s="47" t="n">
        <f aca="false">-In_CIT*(MAX(0,DE102)+DE105)-In_RH_On*In_RH_Rate*MAX(0,DE102)</f>
        <v>-377.261616355202</v>
      </c>
      <c r="DF108" s="47" t="n">
        <f aca="false">-In_CIT*(MAX(0,DF102)+DF105)-In_RH_On*In_RH_Rate*MAX(0,DF102)</f>
        <v>-375.824783779587</v>
      </c>
      <c r="DG108" s="47" t="n">
        <f aca="false">-In_CIT*(MAX(0,DG102)+DG105)-In_RH_On*In_RH_Rate*MAX(0,DG102)</f>
        <v>-373.447561715863</v>
      </c>
      <c r="DH108" s="47" t="n">
        <f aca="false">-In_CIT*(MAX(0,DH102)+DH105)-In_RH_On*In_RH_Rate*MAX(0,DH102)</f>
        <v>-373.447561715863</v>
      </c>
      <c r="DI108" s="47" t="n">
        <f aca="false">-In_CIT*(MAX(0,DI102)+DI105)-In_RH_On*In_RH_Rate*MAX(0,DI102)</f>
        <v>-377.551381075378</v>
      </c>
      <c r="DJ108" s="47" t="n">
        <f aca="false">-In_CIT*(MAX(0,DJ102)+DJ105)-In_RH_On*In_RH_Rate*MAX(0,DJ102)</f>
        <v>-376.106053012438</v>
      </c>
      <c r="DK108" s="47" t="n">
        <f aca="false">-In_CIT*(MAX(0,DK102)+DK105)-In_RH_On*In_RH_Rate*MAX(0,DK102)</f>
        <v>-369.569862589467</v>
      </c>
      <c r="DL108" s="47" t="n">
        <f aca="false">-In_CIT*(MAX(0,DL102)+DL105)-In_RH_On*In_RH_Rate*MAX(0,DL102)</f>
        <v>-373.676194396016</v>
      </c>
      <c r="DM108" s="47" t="n">
        <f aca="false">-In_CIT*(MAX(0,DM102)+DM105)-In_RH_On*In_RH_Rate*MAX(0,DM102)</f>
        <v>-377.782526202566</v>
      </c>
      <c r="DN108" s="47" t="n">
        <f aca="false">-In_CIT*(MAX(0,DN102)+DN105)-In_RH_On*In_RH_Rate*MAX(0,DN102)</f>
        <v>-376.328687856252</v>
      </c>
      <c r="DO108" s="47" t="n">
        <f aca="false">-In_CIT*(MAX(0,DO102)+DO105)-In_RH_On*In_RH_Rate*MAX(0,DO102)</f>
        <v>-369.736810251908</v>
      </c>
      <c r="DP108" s="47" t="n">
        <f aca="false">-In_CIT*(MAX(0,DP102)+DP105)-In_RH_On*In_RH_Rate*MAX(0,DP102)</f>
        <v>-373.844997032485</v>
      </c>
      <c r="DQ108" s="47" t="n">
        <f aca="false">-In_CIT*(MAX(0,DQ102)+DQ105)-In_RH_On*In_RH_Rate*MAX(0,DQ102)</f>
        <v>-377.953183813062</v>
      </c>
      <c r="DR108" s="47" t="n">
        <f aca="false">-In_CIT*(MAX(0,DR102)+DR105)-In_RH_On*In_RH_Rate*MAX(0,DR102)</f>
        <v>-376.490821224723</v>
      </c>
      <c r="DS108" s="47" t="n">
        <f aca="false">-In_CIT*(MAX(0,DS102)+DS105)-In_RH_On*In_RH_Rate*MAX(0,DS102)</f>
        <v>-369.842710510588</v>
      </c>
      <c r="DT108" s="47" t="n">
        <f aca="false">-In_CIT*(MAX(0,DT102)+DT105)-In_RH_On*In_RH_Rate*MAX(0,DT102)</f>
        <v>-373.952073960706</v>
      </c>
      <c r="DU108" s="47" t="n">
        <f aca="false">-In_CIT*(MAX(0,DU102)+DU105)-In_RH_On*In_RH_Rate*MAX(0,DU102)</f>
        <v>-378.061437410823</v>
      </c>
      <c r="DV108" s="47" t="n">
        <f aca="false">-In_CIT*(MAX(0,DV102)+DV105)-In_RH_On*In_RH_Rate*MAX(0,DV102)</f>
        <v>-376.590537485769</v>
      </c>
      <c r="DW108" s="47" t="n">
        <f aca="false">-In_CIT*(MAX(0,DW102)+DW105)-In_RH_On*In_RH_Rate*MAX(0,DW102)</f>
        <v>-373.995480278811</v>
      </c>
      <c r="DX108" s="47" t="n">
        <f aca="false">-In_CIT*(MAX(0,DX102)+DX105)-In_RH_On*In_RH_Rate*MAX(0,DX102)</f>
        <v>-373.995480278811</v>
      </c>
      <c r="DY108" s="47" t="n">
        <f aca="false">-In_CIT*(MAX(0,DY102)+DY105)-In_RH_On*In_RH_Rate*MAX(0,DY102)</f>
        <v>-378.105320721436</v>
      </c>
      <c r="DZ108" s="47" t="n">
        <f aca="false">-In_CIT*(MAX(0,DZ102)+DZ105)-In_RH_On*In_RH_Rate*MAX(0,DZ102)</f>
        <v>-376.625871256129</v>
      </c>
      <c r="EA108" s="47" t="n">
        <f aca="false">-In_CIT*(MAX(0,EA102)+EA105)-In_RH_On*In_RH_Rate*MAX(0,EA102)</f>
        <v>-369.863624794353</v>
      </c>
      <c r="EB108" s="47" t="n">
        <f aca="false">-In_CIT*(MAX(0,EB102)+EB105)-In_RH_On*In_RH_Rate*MAX(0,EB102)</f>
        <v>-373.973220625402</v>
      </c>
      <c r="EC108" s="47" t="n">
        <f aca="false">-In_CIT*(MAX(0,EC102)+EC105)-In_RH_On*In_RH_Rate*MAX(0,EC102)</f>
        <v>-378.08281645645</v>
      </c>
      <c r="ED108" s="47" t="n">
        <f aca="false">-In_CIT*(MAX(0,ED102)+ED105)-In_RH_On*In_RH_Rate*MAX(0,ED102)</f>
        <v>-376.59480616636</v>
      </c>
      <c r="EE108" s="47" t="n">
        <f aca="false">-In_CIT*(MAX(0,EE102)+EE105)-In_RH_On*In_RH_Rate*MAX(0,EE102)</f>
        <v>-369.774640807209</v>
      </c>
      <c r="EF108" s="47" t="n">
        <f aca="false">-In_CIT*(MAX(0,EF102)+EF105)-In_RH_On*In_RH_Rate*MAX(0,EF102)</f>
        <v>-373.883247927289</v>
      </c>
      <c r="EG108" s="47" t="n">
        <f aca="false">-In_CIT*(MAX(0,EG102)+EG105)-In_RH_On*In_RH_Rate*MAX(0,EG102)</f>
        <v>-377.99185504737</v>
      </c>
      <c r="EH108" s="47" t="n">
        <f aca="false">-In_CIT*(MAX(0,EH102)+EH105)-In_RH_On*In_RH_Rate*MAX(0,EH102)</f>
        <v>-376.495273595489</v>
      </c>
      <c r="EI108" s="47" t="n">
        <f aca="false">-In_CIT*(MAX(0,EI102)+EI105)-In_RH_On*In_RH_Rate*MAX(0,EI102)</f>
        <v>-369.616610884433</v>
      </c>
      <c r="EJ108" s="47" t="n">
        <f aca="false">-In_CIT*(MAX(0,EJ102)+EJ105)-In_RH_On*In_RH_Rate*MAX(0,EJ102)</f>
        <v>-373.723462116483</v>
      </c>
      <c r="EK108" s="47" t="n">
        <f aca="false">-In_CIT*(MAX(0,EK102)+EK105)-In_RH_On*In_RH_Rate*MAX(0,EK102)</f>
        <v>-377.830313348532</v>
      </c>
      <c r="EL108" s="47" t="n">
        <f aca="false">-In_CIT*(MAX(0,EL102)+EL105)-In_RH_On*In_RH_Rate*MAX(0,EL102)</f>
        <v>-376.325151374579</v>
      </c>
      <c r="EM108" s="47" t="n">
        <f aca="false">-In_CIT*(MAX(0,EM102)+EM105)-In_RH_On*In_RH_Rate*MAX(0,EM102)</f>
        <v>-373.491708815652</v>
      </c>
      <c r="EN108" s="47" t="n">
        <f aca="false">-In_CIT*(MAX(0,EN102)+EN105)-In_RH_On*In_RH_Rate*MAX(0,EN102)</f>
        <v>-373.491708815652</v>
      </c>
      <c r="EO108" s="47" t="n">
        <f aca="false">-In_CIT*(MAX(0,EO102)+EO105)-In_RH_On*In_RH_Rate*MAX(0,EO102)</f>
        <v>-377.596013308131</v>
      </c>
    </row>
    <row r="109" customFormat="false" ht="15" hidden="false" customHeight="false" outlineLevel="0" collapsed="false">
      <c r="C109" s="0" t="s">
        <v>469</v>
      </c>
      <c r="D109" s="11" t="s">
        <v>33</v>
      </c>
      <c r="I109" s="47" t="n">
        <f aca="false">SUM(J109:EO109)</f>
        <v>3.11274703790332E-008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1.38413724926068E-011</v>
      </c>
      <c r="AB109" s="47" t="n">
        <f aca="false">ABS(AB108-AB82)</f>
        <v>2.66382471636462E-011</v>
      </c>
      <c r="AC109" s="47" t="n">
        <f aca="false">ABS(AC108-AC82)</f>
        <v>3.87458953809983E-011</v>
      </c>
      <c r="AD109" s="47" t="n">
        <f aca="false">ABS(AD108-AD82)</f>
        <v>1.7936940821528E-010</v>
      </c>
      <c r="AE109" s="47" t="n">
        <f aca="false">ABS(AE108-AE82)</f>
        <v>1.00399688562902E-010</v>
      </c>
      <c r="AF109" s="47" t="n">
        <f aca="false">ABS(AF108-AF82)</f>
        <v>1.07334585663921E-010</v>
      </c>
      <c r="AG109" s="47" t="n">
        <f aca="false">ABS(AG108-AG82)</f>
        <v>1.10276232589968E-010</v>
      </c>
      <c r="AH109" s="47" t="n">
        <f aca="false">ABS(AH108-AH82)</f>
        <v>1.09565689854207E-010</v>
      </c>
      <c r="AI109" s="47" t="n">
        <f aca="false">ABS(AI108-AI82)</f>
        <v>1.0481926437933E-010</v>
      </c>
      <c r="AJ109" s="47" t="n">
        <f aca="false">ABS(AJ108-AJ82)</f>
        <v>9.58664259087527E-011</v>
      </c>
      <c r="AK109" s="47" t="n">
        <f aca="false">ABS(AK108-AK82)</f>
        <v>8.39008862385526E-011</v>
      </c>
      <c r="AL109" s="47" t="n">
        <f aca="false">ABS(AL108-AL82)</f>
        <v>6.86100065649953E-011</v>
      </c>
      <c r="AM109" s="47" t="n">
        <f aca="false">ABS(AM108-AM82)</f>
        <v>4.97664132126374E-011</v>
      </c>
      <c r="AN109" s="47" t="n">
        <f aca="false">ABS(AN108-AN82)</f>
        <v>2.71995759248966E-011</v>
      </c>
      <c r="AO109" s="47" t="n">
        <f aca="false">ABS(AO108-AO82)</f>
        <v>1.93267624126747E-012</v>
      </c>
      <c r="AP109" s="47" t="n">
        <f aca="false">ABS(AP108-AP82)</f>
        <v>2.59490207099589E-011</v>
      </c>
      <c r="AQ109" s="47" t="n">
        <f aca="false">ABS(AQ108-AQ82)</f>
        <v>5.65876234759344E-011</v>
      </c>
      <c r="AR109" s="47" t="n">
        <f aca="false">ABS(AR108-AR82)</f>
        <v>9.00399754755199E-011</v>
      </c>
      <c r="AS109" s="47" t="n">
        <f aca="false">ABS(AS108-AS82)</f>
        <v>1.25339738588082E-010</v>
      </c>
      <c r="AT109" s="47" t="n">
        <f aca="false">ABS(AT108-AT82)</f>
        <v>1.62231117428746E-010</v>
      </c>
      <c r="AU109" s="47" t="n">
        <f aca="false">ABS(AU108-AU82)</f>
        <v>2.00884642254096E-010</v>
      </c>
      <c r="AV109" s="47" t="n">
        <f aca="false">ABS(AV108-AV82)</f>
        <v>2.40987674260396E-010</v>
      </c>
      <c r="AW109" s="47" t="n">
        <f aca="false">ABS(AW108-AW82)</f>
        <v>2.82227574643912E-010</v>
      </c>
      <c r="AX109" s="47" t="n">
        <f aca="false">ABS(AX108-AX82)</f>
        <v>3.23922222378314E-010</v>
      </c>
      <c r="AY109" s="47" t="n">
        <f aca="false">ABS(AY108-AY82)</f>
        <v>3.66213726010756E-010</v>
      </c>
      <c r="AZ109" s="47" t="n">
        <f aca="false">ABS(AZ108-AZ82)</f>
        <v>4.09130507250666E-010</v>
      </c>
      <c r="BA109" s="47" t="n">
        <f aca="false">ABS(BA108-BA82)</f>
        <v>4.5162096284912E-010</v>
      </c>
      <c r="BB109" s="47" t="n">
        <f aca="false">ABS(BB108-BB82)</f>
        <v>4.93457719130674E-010</v>
      </c>
      <c r="BC109" s="47" t="n">
        <f aca="false">ABS(BC108-BC82)</f>
        <v>5.34697619514191E-010</v>
      </c>
      <c r="BD109" s="47" t="n">
        <f aca="false">ABS(BD108-BD82)</f>
        <v>5.75397507418529E-010</v>
      </c>
      <c r="BE109" s="47" t="n">
        <f aca="false">ABS(BE108-BE82)</f>
        <v>6.14505779594765E-010</v>
      </c>
      <c r="BF109" s="47" t="n">
        <f aca="false">ABS(BF108-BF82)</f>
        <v>6.51908749205177E-010</v>
      </c>
      <c r="BG109" s="47" t="n">
        <f aca="false">ABS(BG108-BG82)</f>
        <v>6.87549572830903E-010</v>
      </c>
      <c r="BH109" s="47" t="n">
        <f aca="false">ABS(BH108-BH82)</f>
        <v>7.21627202437958E-010</v>
      </c>
      <c r="BI109" s="47" t="n">
        <f aca="false">ABS(BI108-BI82)</f>
        <v>7.53146878196276E-010</v>
      </c>
      <c r="BJ109" s="47" t="n">
        <f aca="false">ABS(BJ108-BJ82)</f>
        <v>7.81824383011553E-010</v>
      </c>
      <c r="BK109" s="47" t="n">
        <f aca="false">ABS(BK108-BK82)</f>
        <v>8.07972355687525E-010</v>
      </c>
      <c r="BL109" s="47" t="n">
        <f aca="false">ABS(BL108-BL82)</f>
        <v>8.31391844258178E-010</v>
      </c>
      <c r="BM109" s="47" t="n">
        <f aca="false">ABS(BM108-BM82)</f>
        <v>8.51741788210347E-010</v>
      </c>
      <c r="BN109" s="47" t="n">
        <f aca="false">ABS(BN108-BN82)</f>
        <v>8.68567440193147E-010</v>
      </c>
      <c r="BO109" s="47" t="n">
        <f aca="false">ABS(BO108-BO82)</f>
        <v>8.82096173882019E-010</v>
      </c>
      <c r="BP109" s="47" t="n">
        <f aca="false">ABS(BP108-BP82)</f>
        <v>8.9269747149956E-010</v>
      </c>
      <c r="BQ109" s="47" t="n">
        <f aca="false">ABS(BQ108-BQ82)</f>
        <v>8.99348151506274E-010</v>
      </c>
      <c r="BR109" s="47" t="n">
        <f aca="false">ABS(BR108-BR82)</f>
        <v>9.02076635611593E-010</v>
      </c>
      <c r="BS109" s="47" t="n">
        <f aca="false">ABS(BS108-BS82)</f>
        <v>9.01223984328681E-010</v>
      </c>
      <c r="BT109" s="47" t="n">
        <f aca="false">ABS(BT108-BT82)</f>
        <v>8.97159679880133E-010</v>
      </c>
      <c r="BU109" s="47" t="n">
        <f aca="false">ABS(BU108-BU82)</f>
        <v>8.89059492692468E-010</v>
      </c>
      <c r="BV109" s="47" t="n">
        <f aca="false">ABS(BV108-BV82)</f>
        <v>8.77008687893977E-010</v>
      </c>
      <c r="BW109" s="47" t="n">
        <f aca="false">ABS(BW108-BW82)</f>
        <v>8.61462012835546E-010</v>
      </c>
      <c r="BX109" s="47" t="n">
        <f aca="false">ABS(BX108-BX82)</f>
        <v>8.428173714492E-010</v>
      </c>
      <c r="BY109" s="47" t="n">
        <f aca="false">ABS(BY108-BY82)</f>
        <v>8.20449486127473E-010</v>
      </c>
      <c r="BZ109" s="47" t="n">
        <f aca="false">ABS(BZ108-BZ82)</f>
        <v>7.94500465417514E-010</v>
      </c>
      <c r="CA109" s="47" t="n">
        <f aca="false">ABS(CA108-CA82)</f>
        <v>7.65538743507932E-010</v>
      </c>
      <c r="CB109" s="47" t="n">
        <f aca="false">ABS(CB108-CB82)</f>
        <v>7.33848537493032E-010</v>
      </c>
      <c r="CC109" s="47" t="n">
        <f aca="false">ABS(CC108-CC82)</f>
        <v>6.99458269082243E-010</v>
      </c>
      <c r="CD109" s="47" t="n">
        <f aca="false">ABS(CD108-CD82)</f>
        <v>6.62254251437844E-010</v>
      </c>
      <c r="CE109" s="47" t="n">
        <f aca="false">ABS(CE108-CE82)</f>
        <v>6.22975449005025E-010</v>
      </c>
      <c r="CF109" s="47" t="n">
        <f aca="false">ABS(CF108-CF82)</f>
        <v>5.82247139391257E-010</v>
      </c>
      <c r="CG109" s="47" t="n">
        <f aca="false">ABS(CG108-CG82)</f>
        <v>5.3955773182679E-010</v>
      </c>
      <c r="CH109" s="47" t="n">
        <f aca="false">ABS(CH108-CH82)</f>
        <v>4.95333551953081E-010</v>
      </c>
      <c r="CI109" s="47" t="n">
        <f aca="false">ABS(CI108-CI82)</f>
        <v>4.5022829908703E-010</v>
      </c>
      <c r="CJ109" s="47" t="n">
        <f aca="false">ABS(CJ108-CJ82)</f>
        <v>4.05094624511548E-010</v>
      </c>
      <c r="CK109" s="47" t="n">
        <f aca="false">ABS(CK108-CK82)</f>
        <v>3.59278828909737E-010</v>
      </c>
      <c r="CL109" s="47" t="n">
        <f aca="false">ABS(CL108-CL82)</f>
        <v>3.13406189889065E-010</v>
      </c>
      <c r="CM109" s="47" t="n">
        <f aca="false">ABS(CM108-CM82)</f>
        <v>2.68187250185292E-010</v>
      </c>
      <c r="CN109" s="47" t="n">
        <f aca="false">ABS(CN108-CN82)</f>
        <v>2.244462393719E-010</v>
      </c>
      <c r="CO109" s="47" t="n">
        <f aca="false">ABS(CO108-CO82)</f>
        <v>1.81643144969712E-010</v>
      </c>
      <c r="CP109" s="47" t="n">
        <f aca="false">ABS(CP108-CP82)</f>
        <v>1.40232714329613E-010</v>
      </c>
      <c r="CQ109" s="47" t="n">
        <f aca="false">ABS(CQ108-CQ82)</f>
        <v>1.01124442153377E-010</v>
      </c>
      <c r="CR109" s="47" t="n">
        <f aca="false">ABS(CR108-CR82)</f>
        <v>6.46309672447387E-011</v>
      </c>
      <c r="CS109" s="47" t="n">
        <f aca="false">ABS(CS108-CS82)</f>
        <v>3.08943981508492E-011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470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63116.25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3043.50609180492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83419.6709937864</v>
      </c>
    </row>
    <row r="120" customFormat="false" ht="15" hidden="false" customHeight="false" outlineLevel="0" collapsed="false">
      <c r="C120" s="0" t="s">
        <v>471</v>
      </c>
      <c r="D120" s="11" t="s">
        <v>33</v>
      </c>
      <c r="E120" s="47" t="n">
        <f aca="false">$E119-$E94</f>
        <v>40941.7971932041</v>
      </c>
      <c r="F120" s="47" t="n">
        <f aca="false">$E120+$E97</f>
        <v>41850.1846411594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0.509206920796251</v>
      </c>
    </row>
    <row r="122" customFormat="false" ht="15" hidden="false" customHeight="false" outlineLevel="0" collapsed="false">
      <c r="C122" s="0" t="s">
        <v>472</v>
      </c>
      <c r="D122" s="11" t="s">
        <v>33</v>
      </c>
      <c r="E122" s="47" t="n">
        <f aca="false">$E84*In_DSCR/In_DSCR_Max_Low</f>
        <v>97815.0088675497</v>
      </c>
      <c r="F122" s="47" t="n">
        <f aca="false">$E84*In_DSCR/In_DSCR_Max_High</f>
        <v>89663.7581285872</v>
      </c>
    </row>
    <row r="123" customFormat="false" ht="15" hidden="false" customHeight="false" outlineLevel="0" collapsed="false">
      <c r="C123" s="0" t="s">
        <v>473</v>
      </c>
      <c r="D123" s="11" t="s">
        <v>27</v>
      </c>
      <c r="E123" s="48" t="n">
        <f aca="false">$E122/$E119</f>
        <v>1.17256526790708</v>
      </c>
      <c r="F123" s="48" t="n">
        <f aca="false">$F122/$E119</f>
        <v>1.07485149558149</v>
      </c>
    </row>
    <row r="125" customFormat="false" ht="15" hidden="false" customHeight="false" outlineLevel="0" collapsed="false">
      <c r="A125" s="9" t="s">
        <v>13</v>
      </c>
      <c r="B125" s="9"/>
      <c r="C125" s="9" t="s">
        <v>120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</row>
    <row r="126" customFormat="false" ht="15" hidden="false" customHeight="false" outlineLevel="0" collapsed="false">
      <c r="C126" s="0" t="s">
        <v>474</v>
      </c>
      <c r="D126" s="11" t="s">
        <v>33</v>
      </c>
      <c r="I126" s="47" t="n">
        <f aca="false">SUM(J126:EO126)</f>
        <v>-40941.7971932041</v>
      </c>
      <c r="J126" s="47" t="n">
        <f aca="false">(J59+J66+J91+J95+J96+J79)*(J$4&lt;=In_COD)</f>
        <v>-4662.80993807469</v>
      </c>
      <c r="K126" s="47" t="n">
        <f aca="false">(K59+K66+K91+K95+K96+K79)*(K$4&lt;=In_COD)</f>
        <v>-706.535577057768</v>
      </c>
      <c r="L126" s="47" t="n">
        <f aca="false">(L59+L66+L91+L95+L96+L79)*(L$4&lt;=In_COD)</f>
        <v>-104.360496659404</v>
      </c>
      <c r="M126" s="47" t="n">
        <f aca="false">(M59+M66+M91+M95+M96+M79)*(M$4&lt;=In_COD)</f>
        <v>-105.507315304013</v>
      </c>
      <c r="N126" s="47" t="n">
        <f aca="false">(N59+N66+N91+N95+N96+N79)*(N$4&lt;=In_COD)</f>
        <v>-105.507315304013</v>
      </c>
      <c r="O126" s="47" t="n">
        <f aca="false">(O59+O66+O91+O95+O96+O79)*(O$4&lt;=In_COD)</f>
        <v>-104.360496659404</v>
      </c>
      <c r="P126" s="47" t="n">
        <f aca="false">(P59+P66+P91+P95+P96+P79)*(P$4&lt;=In_COD)</f>
        <v>-104.360496659404</v>
      </c>
      <c r="Q126" s="47" t="n">
        <f aca="false">(Q59+Q66+Q91+Q95+Q96+Q79)*(Q$4&lt;=In_COD)</f>
        <v>-105.507315304013</v>
      </c>
      <c r="R126" s="47" t="n">
        <f aca="false">(R59+R66+R91+R95+R96+R79)*(R$4&lt;=In_COD)</f>
        <v>-4489.95849315338</v>
      </c>
      <c r="S126" s="47" t="n">
        <f aca="false">(S59+S66+S91+S95+S96+S79)*(S$4&lt;=In_COD)</f>
        <v>-7326.12620687268</v>
      </c>
      <c r="T126" s="47" t="n">
        <f aca="false">(T59+T66+T91+T95+T96+T79)*(T$4&lt;=In_COD)</f>
        <v>-3677.41596133854</v>
      </c>
      <c r="U126" s="47" t="n">
        <f aca="false">(U59+U66+U91+U95+U96+U79)*(U$4&lt;=In_COD)</f>
        <v>-3708.01055317332</v>
      </c>
      <c r="V126" s="47" t="n">
        <f aca="false">(V59+V66+V91+V95+V96+V79)*(V$4&lt;=In_COD)</f>
        <v>-3698.08610617388</v>
      </c>
      <c r="W126" s="47" t="n">
        <f aca="false">(W59+W66+W91+W95+W96+W79)*(W$4&lt;=In_COD)</f>
        <v>-3609.02616297382</v>
      </c>
      <c r="X126" s="47" t="n">
        <f aca="false">(X59+X66+X91+X95+X96+X79)*(X$4&lt;=In_COD)</f>
        <v>-3639.52328484964</v>
      </c>
      <c r="Y126" s="47" t="n">
        <f aca="false">(Y59+Y66+Y91+Y95+Y96+Y79)*(Y$4&lt;=In_COD)</f>
        <v>-4794.70147364609</v>
      </c>
      <c r="Z126" s="47" t="n">
        <f aca="false">(Z59+Z66+Z91+Z95+Z96+Z79)*(Z$4&lt;=In_COD)</f>
        <v>0</v>
      </c>
      <c r="AA126" s="47" t="n">
        <f aca="false">(AA59+AA66+AA91+AA95+AA96+AA79)*(AA$4&lt;=In_COD)</f>
        <v>0</v>
      </c>
      <c r="AB126" s="47" t="n">
        <f aca="false">(AB59+AB66+AB91+AB95+AB96+AB79)*(AB$4&lt;=In_COD)</f>
        <v>0</v>
      </c>
      <c r="AC126" s="47" t="n">
        <f aca="false">(AC59+AC66+AC91+AC95+AC96+AC79)*(AC$4&lt;=In_COD)</f>
        <v>0</v>
      </c>
      <c r="AD126" s="47" t="n">
        <f aca="false">(AD59+AD66+AD91+AD95+AD96+AD79)*(AD$4&lt;=In_COD)</f>
        <v>0</v>
      </c>
      <c r="AE126" s="47" t="n">
        <f aca="false">(AE59+AE66+AE91+AE95+AE96+AE79)*(AE$4&lt;=In_COD)</f>
        <v>0</v>
      </c>
      <c r="AF126" s="47" t="n">
        <f aca="false">(AF59+AF66+AF91+AF95+AF96+AF79)*(AF$4&lt;=In_COD)</f>
        <v>0</v>
      </c>
      <c r="AG126" s="47" t="n">
        <f aca="false">(AG59+AG66+AG91+AG95+AG96+AG79)*(AG$4&lt;=In_COD)</f>
        <v>0</v>
      </c>
      <c r="AH126" s="47" t="n">
        <f aca="false">(AH59+AH66+AH91+AH95+AH96+AH79)*(AH$4&lt;=In_COD)</f>
        <v>0</v>
      </c>
      <c r="AI126" s="47" t="n">
        <f aca="false">(AI59+AI66+AI91+AI95+AI96+AI79)*(AI$4&lt;=In_COD)</f>
        <v>0</v>
      </c>
      <c r="AJ126" s="47" t="n">
        <f aca="false">(AJ59+AJ66+AJ91+AJ95+AJ96+AJ79)*(AJ$4&lt;=In_COD)</f>
        <v>0</v>
      </c>
      <c r="AK126" s="47" t="n">
        <f aca="false">(AK59+AK66+AK91+AK95+AK96+AK79)*(AK$4&lt;=In_COD)</f>
        <v>0</v>
      </c>
      <c r="AL126" s="47" t="n">
        <f aca="false">(AL59+AL66+AL91+AL95+AL96+AL79)*(AL$4&lt;=In_COD)</f>
        <v>0</v>
      </c>
      <c r="AM126" s="47" t="n">
        <f aca="false">(AM59+AM66+AM91+AM95+AM96+AM79)*(AM$4&lt;=In_COD)</f>
        <v>0</v>
      </c>
      <c r="AN126" s="47" t="n">
        <f aca="false">(AN59+AN66+AN91+AN95+AN96+AN79)*(AN$4&lt;=In_COD)</f>
        <v>0</v>
      </c>
      <c r="AO126" s="47" t="n">
        <f aca="false">(AO59+AO66+AO91+AO95+AO96+AO79)*(AO$4&lt;=In_COD)</f>
        <v>0</v>
      </c>
      <c r="AP126" s="47" t="n">
        <f aca="false">(AP59+AP66+AP91+AP95+AP96+AP79)*(AP$4&lt;=In_COD)</f>
        <v>0</v>
      </c>
      <c r="AQ126" s="47" t="n">
        <f aca="false">(AQ59+AQ66+AQ91+AQ95+AQ96+AQ79)*(AQ$4&lt;=In_COD)</f>
        <v>0</v>
      </c>
      <c r="AR126" s="47" t="n">
        <f aca="false">(AR59+AR66+AR91+AR95+AR96+AR79)*(AR$4&lt;=In_COD)</f>
        <v>0</v>
      </c>
      <c r="AS126" s="47" t="n">
        <f aca="false">(AS59+AS66+AS91+AS95+AS96+AS79)*(AS$4&lt;=In_COD)</f>
        <v>0</v>
      </c>
      <c r="AT126" s="47" t="n">
        <f aca="false">(AT59+AT66+AT91+AT95+AT96+AT79)*(AT$4&lt;=In_COD)</f>
        <v>0</v>
      </c>
      <c r="AU126" s="47" t="n">
        <f aca="false">(AU59+AU66+AU91+AU95+AU96+AU79)*(AU$4&lt;=In_COD)</f>
        <v>0</v>
      </c>
      <c r="AV126" s="47" t="n">
        <f aca="false">(AV59+AV66+AV91+AV95+AV96+AV79)*(AV$4&lt;=In_COD)</f>
        <v>0</v>
      </c>
      <c r="AW126" s="47" t="n">
        <f aca="false">(AW59+AW66+AW91+AW95+AW96+AW79)*(AW$4&lt;=In_COD)</f>
        <v>0</v>
      </c>
      <c r="AX126" s="47" t="n">
        <f aca="false">(AX59+AX66+AX91+AX95+AX96+AX79)*(AX$4&lt;=In_COD)</f>
        <v>0</v>
      </c>
      <c r="AY126" s="47" t="n">
        <f aca="false">(AY59+AY66+AY91+AY95+AY96+AY79)*(AY$4&lt;=In_COD)</f>
        <v>0</v>
      </c>
      <c r="AZ126" s="47" t="n">
        <f aca="false">(AZ59+AZ66+AZ91+AZ95+AZ96+AZ79)*(AZ$4&lt;=In_COD)</f>
        <v>0</v>
      </c>
      <c r="BA126" s="47" t="n">
        <f aca="false">(BA59+BA66+BA91+BA95+BA96+BA79)*(BA$4&lt;=In_COD)</f>
        <v>0</v>
      </c>
      <c r="BB126" s="47" t="n">
        <f aca="false">(BB59+BB66+BB91+BB95+BB96+BB79)*(BB$4&lt;=In_COD)</f>
        <v>0</v>
      </c>
      <c r="BC126" s="47" t="n">
        <f aca="false">(BC59+BC66+BC91+BC95+BC96+BC79)*(BC$4&lt;=In_COD)</f>
        <v>0</v>
      </c>
      <c r="BD126" s="47" t="n">
        <f aca="false">(BD59+BD66+BD91+BD95+BD96+BD79)*(BD$4&lt;=In_COD)</f>
        <v>0</v>
      </c>
      <c r="BE126" s="47" t="n">
        <f aca="false">(BE59+BE66+BE91+BE95+BE96+BE79)*(BE$4&lt;=In_COD)</f>
        <v>0</v>
      </c>
      <c r="BF126" s="47" t="n">
        <f aca="false">(BF59+BF66+BF91+BF95+BF96+BF79)*(BF$4&lt;=In_COD)</f>
        <v>0</v>
      </c>
      <c r="BG126" s="47" t="n">
        <f aca="false">(BG59+BG66+BG91+BG95+BG96+BG79)*(BG$4&lt;=In_COD)</f>
        <v>0</v>
      </c>
      <c r="BH126" s="47" t="n">
        <f aca="false">(BH59+BH66+BH91+BH95+BH96+BH79)*(BH$4&lt;=In_COD)</f>
        <v>0</v>
      </c>
      <c r="BI126" s="47" t="n">
        <f aca="false">(BI59+BI66+BI91+BI95+BI96+BI79)*(BI$4&lt;=In_COD)</f>
        <v>0</v>
      </c>
      <c r="BJ126" s="47" t="n">
        <f aca="false">(BJ59+BJ66+BJ91+BJ95+BJ96+BJ79)*(BJ$4&lt;=In_COD)</f>
        <v>0</v>
      </c>
      <c r="BK126" s="47" t="n">
        <f aca="false">(BK59+BK66+BK91+BK95+BK96+BK79)*(BK$4&lt;=In_COD)</f>
        <v>0</v>
      </c>
      <c r="BL126" s="47" t="n">
        <f aca="false">(BL59+BL66+BL91+BL95+BL96+BL79)*(BL$4&lt;=In_COD)</f>
        <v>0</v>
      </c>
      <c r="BM126" s="47" t="n">
        <f aca="false">(BM59+BM66+BM91+BM95+BM96+BM79)*(BM$4&lt;=In_COD)</f>
        <v>0</v>
      </c>
      <c r="BN126" s="47" t="n">
        <f aca="false">(BN59+BN66+BN91+BN95+BN96+BN79)*(BN$4&lt;=In_COD)</f>
        <v>0</v>
      </c>
      <c r="BO126" s="47" t="n">
        <f aca="false">(BO59+BO66+BO91+BO95+BO96+BO79)*(BO$4&lt;=In_COD)</f>
        <v>0</v>
      </c>
      <c r="BP126" s="47" t="n">
        <f aca="false">(BP59+BP66+BP91+BP95+BP96+BP79)*(BP$4&lt;=In_COD)</f>
        <v>0</v>
      </c>
      <c r="BQ126" s="47" t="n">
        <f aca="false">(BQ59+BQ66+BQ91+BQ95+BQ96+BQ79)*(BQ$4&lt;=In_COD)</f>
        <v>0</v>
      </c>
      <c r="BR126" s="47" t="n">
        <f aca="false">(BR59+BR66+BR91+BR95+BR96+BR79)*(BR$4&lt;=In_COD)</f>
        <v>0</v>
      </c>
      <c r="BS126" s="47" t="n">
        <f aca="false">(BS59+BS66+BS91+BS95+BS96+BS79)*(BS$4&lt;=In_COD)</f>
        <v>0</v>
      </c>
      <c r="BT126" s="47" t="n">
        <f aca="false">(BT59+BT66+BT91+BT95+BT96+BT79)*(BT$4&lt;=In_COD)</f>
        <v>0</v>
      </c>
      <c r="BU126" s="47" t="n">
        <f aca="false">(BU59+BU66+BU91+BU95+BU96+BU79)*(BU$4&lt;=In_COD)</f>
        <v>0</v>
      </c>
      <c r="BV126" s="47" t="n">
        <f aca="false">(BV59+BV66+BV91+BV95+BV96+BV79)*(BV$4&lt;=In_COD)</f>
        <v>0</v>
      </c>
      <c r="BW126" s="47" t="n">
        <f aca="false">(BW59+BW66+BW91+BW95+BW96+BW79)*(BW$4&lt;=In_COD)</f>
        <v>0</v>
      </c>
      <c r="BX126" s="47" t="n">
        <f aca="false">(BX59+BX66+BX91+BX95+BX96+BX79)*(BX$4&lt;=In_COD)</f>
        <v>0</v>
      </c>
      <c r="BY126" s="47" t="n">
        <f aca="false">(BY59+BY66+BY91+BY95+BY96+BY79)*(BY$4&lt;=In_COD)</f>
        <v>0</v>
      </c>
      <c r="BZ126" s="47" t="n">
        <f aca="false">(BZ59+BZ66+BZ91+BZ95+BZ96+BZ79)*(BZ$4&lt;=In_COD)</f>
        <v>0</v>
      </c>
      <c r="CA126" s="47" t="n">
        <f aca="false">(CA59+CA66+CA91+CA95+CA96+CA79)*(CA$4&lt;=In_COD)</f>
        <v>0</v>
      </c>
      <c r="CB126" s="47" t="n">
        <f aca="false">(CB59+CB66+CB91+CB95+CB96+CB79)*(CB$4&lt;=In_COD)</f>
        <v>0</v>
      </c>
      <c r="CC126" s="47" t="n">
        <f aca="false">(CC59+CC66+CC91+CC95+CC96+CC79)*(CC$4&lt;=In_COD)</f>
        <v>0</v>
      </c>
      <c r="CD126" s="47" t="n">
        <f aca="false">(CD59+CD66+CD91+CD95+CD96+CD79)*(CD$4&lt;=In_COD)</f>
        <v>0</v>
      </c>
      <c r="CE126" s="47" t="n">
        <f aca="false">(CE59+CE66+CE91+CE95+CE96+CE79)*(CE$4&lt;=In_COD)</f>
        <v>0</v>
      </c>
      <c r="CF126" s="47" t="n">
        <f aca="false">(CF59+CF66+CF91+CF95+CF96+CF79)*(CF$4&lt;=In_COD)</f>
        <v>0</v>
      </c>
      <c r="CG126" s="47" t="n">
        <f aca="false">(CG59+CG66+CG91+CG95+CG96+CG79)*(CG$4&lt;=In_COD)</f>
        <v>0</v>
      </c>
      <c r="CH126" s="47" t="n">
        <f aca="false">(CH59+CH66+CH91+CH95+CH96+CH79)*(CH$4&lt;=In_COD)</f>
        <v>0</v>
      </c>
      <c r="CI126" s="47" t="n">
        <f aca="false">(CI59+CI66+CI91+CI95+CI96+CI79)*(CI$4&lt;=In_COD)</f>
        <v>0</v>
      </c>
      <c r="CJ126" s="47" t="n">
        <f aca="false">(CJ59+CJ66+CJ91+CJ95+CJ96+CJ79)*(CJ$4&lt;=In_COD)</f>
        <v>0</v>
      </c>
      <c r="CK126" s="47" t="n">
        <f aca="false">(CK59+CK66+CK91+CK95+CK96+CK79)*(CK$4&lt;=In_COD)</f>
        <v>0</v>
      </c>
      <c r="CL126" s="47" t="n">
        <f aca="false">(CL59+CL66+CL91+CL95+CL96+CL79)*(CL$4&lt;=In_COD)</f>
        <v>0</v>
      </c>
      <c r="CM126" s="47" t="n">
        <f aca="false">(CM59+CM66+CM91+CM95+CM96+CM79)*(CM$4&lt;=In_COD)</f>
        <v>0</v>
      </c>
      <c r="CN126" s="47" t="n">
        <f aca="false">(CN59+CN66+CN91+CN95+CN96+CN79)*(CN$4&lt;=In_COD)</f>
        <v>0</v>
      </c>
      <c r="CO126" s="47" t="n">
        <f aca="false">(CO59+CO66+CO91+CO95+CO96+CO79)*(CO$4&lt;=In_COD)</f>
        <v>0</v>
      </c>
      <c r="CP126" s="47" t="n">
        <f aca="false">(CP59+CP66+CP91+CP95+CP96+CP79)*(CP$4&lt;=In_COD)</f>
        <v>0</v>
      </c>
      <c r="CQ126" s="47" t="n">
        <f aca="false">(CQ59+CQ66+CQ91+CQ95+CQ96+CQ79)*(CQ$4&lt;=In_COD)</f>
        <v>0</v>
      </c>
      <c r="CR126" s="47" t="n">
        <f aca="false">(CR59+CR66+CR91+CR95+CR96+CR79)*(CR$4&lt;=In_COD)</f>
        <v>0</v>
      </c>
      <c r="CS126" s="47" t="n">
        <f aca="false">(CS59+CS66+CS91+CS95+CS96+CS79)*(CS$4&lt;=In_COD)</f>
        <v>0</v>
      </c>
      <c r="CT126" s="47" t="n">
        <f aca="false">(CT59+CT66+CT91+CT95+CT96+CT79)*(CT$4&lt;=In_COD)</f>
        <v>0</v>
      </c>
      <c r="CU126" s="47" t="n">
        <f aca="false">(CU59+CU66+CU91+CU95+CU96+CU79)*(CU$4&lt;=In_COD)</f>
        <v>0</v>
      </c>
      <c r="CV126" s="47" t="n">
        <f aca="false">(CV59+CV66+CV91+CV95+CV96+CV79)*(CV$4&lt;=In_COD)</f>
        <v>0</v>
      </c>
      <c r="CW126" s="47" t="n">
        <f aca="false">(CW59+CW66+CW91+CW95+CW96+CW79)*(CW$4&lt;=In_COD)</f>
        <v>0</v>
      </c>
      <c r="CX126" s="47" t="n">
        <f aca="false">(CX59+CX66+CX91+CX95+CX96+CX79)*(CX$4&lt;=In_COD)</f>
        <v>0</v>
      </c>
      <c r="CY126" s="47" t="n">
        <f aca="false">(CY59+CY66+CY91+CY95+CY96+CY79)*(CY$4&lt;=In_COD)</f>
        <v>0</v>
      </c>
      <c r="CZ126" s="47" t="n">
        <f aca="false">(CZ59+CZ66+CZ91+CZ95+CZ96+CZ79)*(CZ$4&lt;=In_COD)</f>
        <v>0</v>
      </c>
      <c r="DA126" s="47" t="n">
        <f aca="false">(DA59+DA66+DA91+DA95+DA96+DA79)*(DA$4&lt;=In_COD)</f>
        <v>0</v>
      </c>
      <c r="DB126" s="47" t="n">
        <f aca="false">(DB59+DB66+DB91+DB95+DB96+DB79)*(DB$4&lt;=In_COD)</f>
        <v>0</v>
      </c>
      <c r="DC126" s="47" t="n">
        <f aca="false">(DC59+DC66+DC91+DC95+DC96+DC79)*(DC$4&lt;=In_COD)</f>
        <v>0</v>
      </c>
      <c r="DD126" s="47" t="n">
        <f aca="false">(DD59+DD66+DD91+DD95+DD96+DD79)*(DD$4&lt;=In_COD)</f>
        <v>0</v>
      </c>
      <c r="DE126" s="47" t="n">
        <f aca="false">(DE59+DE66+DE91+DE95+DE96+DE79)*(DE$4&lt;=In_COD)</f>
        <v>0</v>
      </c>
      <c r="DF126" s="47" t="n">
        <f aca="false">(DF59+DF66+DF91+DF95+DF96+DF79)*(DF$4&lt;=In_COD)</f>
        <v>0</v>
      </c>
      <c r="DG126" s="47" t="n">
        <f aca="false">(DG59+DG66+DG91+DG95+DG96+DG79)*(DG$4&lt;=In_COD)</f>
        <v>0</v>
      </c>
      <c r="DH126" s="47" t="n">
        <f aca="false">(DH59+DH66+DH91+DH95+DH96+DH79)*(DH$4&lt;=In_COD)</f>
        <v>0</v>
      </c>
      <c r="DI126" s="47" t="n">
        <f aca="false">(DI59+DI66+DI91+DI95+DI96+DI79)*(DI$4&lt;=In_COD)</f>
        <v>0</v>
      </c>
      <c r="DJ126" s="47" t="n">
        <f aca="false">(DJ59+DJ66+DJ91+DJ95+DJ96+DJ79)*(DJ$4&lt;=In_COD)</f>
        <v>0</v>
      </c>
      <c r="DK126" s="47" t="n">
        <f aca="false">(DK59+DK66+DK91+DK95+DK96+DK79)*(DK$4&lt;=In_COD)</f>
        <v>0</v>
      </c>
      <c r="DL126" s="47" t="n">
        <f aca="false">(DL59+DL66+DL91+DL95+DL96+DL79)*(DL$4&lt;=In_COD)</f>
        <v>0</v>
      </c>
      <c r="DM126" s="47" t="n">
        <f aca="false">(DM59+DM66+DM91+DM95+DM96+DM79)*(DM$4&lt;=In_COD)</f>
        <v>0</v>
      </c>
      <c r="DN126" s="47" t="n">
        <f aca="false">(DN59+DN66+DN91+DN95+DN96+DN79)*(DN$4&lt;=In_COD)</f>
        <v>0</v>
      </c>
      <c r="DO126" s="47" t="n">
        <f aca="false">(DO59+DO66+DO91+DO95+DO96+DO79)*(DO$4&lt;=In_COD)</f>
        <v>0</v>
      </c>
      <c r="DP126" s="47" t="n">
        <f aca="false">(DP59+DP66+DP91+DP95+DP96+DP79)*(DP$4&lt;=In_COD)</f>
        <v>0</v>
      </c>
      <c r="DQ126" s="47" t="n">
        <f aca="false">(DQ59+DQ66+DQ91+DQ95+DQ96+DQ79)*(DQ$4&lt;=In_COD)</f>
        <v>0</v>
      </c>
      <c r="DR126" s="47" t="n">
        <f aca="false">(DR59+DR66+DR91+DR95+DR96+DR79)*(DR$4&lt;=In_COD)</f>
        <v>0</v>
      </c>
      <c r="DS126" s="47" t="n">
        <f aca="false">(DS59+DS66+DS91+DS95+DS96+DS79)*(DS$4&lt;=In_COD)</f>
        <v>0</v>
      </c>
      <c r="DT126" s="47" t="n">
        <f aca="false">(DT59+DT66+DT91+DT95+DT96+DT79)*(DT$4&lt;=In_COD)</f>
        <v>0</v>
      </c>
      <c r="DU126" s="47" t="n">
        <f aca="false">(DU59+DU66+DU91+DU95+DU96+DU79)*(DU$4&lt;=In_COD)</f>
        <v>0</v>
      </c>
      <c r="DV126" s="47" t="n">
        <f aca="false">(DV59+DV66+DV91+DV95+DV96+DV79)*(DV$4&lt;=In_COD)</f>
        <v>0</v>
      </c>
      <c r="DW126" s="47" t="n">
        <f aca="false">(DW59+DW66+DW91+DW95+DW96+DW79)*(DW$4&lt;=In_COD)</f>
        <v>0</v>
      </c>
      <c r="DX126" s="47" t="n">
        <f aca="false">(DX59+DX66+DX91+DX95+DX96+DX79)*(DX$4&lt;=In_COD)</f>
        <v>0</v>
      </c>
      <c r="DY126" s="47" t="n">
        <f aca="false">(DY59+DY66+DY91+DY95+DY96+DY79)*(DY$4&lt;=In_COD)</f>
        <v>0</v>
      </c>
      <c r="DZ126" s="47" t="n">
        <f aca="false">(DZ59+DZ66+DZ91+DZ95+DZ96+DZ79)*(DZ$4&lt;=In_COD)</f>
        <v>0</v>
      </c>
      <c r="EA126" s="47" t="n">
        <f aca="false">(EA59+EA66+EA91+EA95+EA96+EA79)*(EA$4&lt;=In_COD)</f>
        <v>0</v>
      </c>
      <c r="EB126" s="47" t="n">
        <f aca="false">(EB59+EB66+EB91+EB95+EB96+EB79)*(EB$4&lt;=In_COD)</f>
        <v>0</v>
      </c>
      <c r="EC126" s="47" t="n">
        <f aca="false">(EC59+EC66+EC91+EC95+EC96+EC79)*(EC$4&lt;=In_COD)</f>
        <v>0</v>
      </c>
      <c r="ED126" s="47" t="n">
        <f aca="false">(ED59+ED66+ED91+ED95+ED96+ED79)*(ED$4&lt;=In_COD)</f>
        <v>0</v>
      </c>
      <c r="EE126" s="47" t="n">
        <f aca="false">(EE59+EE66+EE91+EE95+EE96+EE79)*(EE$4&lt;=In_COD)</f>
        <v>0</v>
      </c>
      <c r="EF126" s="47" t="n">
        <f aca="false">(EF59+EF66+EF91+EF95+EF96+EF79)*(EF$4&lt;=In_COD)</f>
        <v>0</v>
      </c>
      <c r="EG126" s="47" t="n">
        <f aca="false">(EG59+EG66+EG91+EG95+EG96+EG79)*(EG$4&lt;=In_COD)</f>
        <v>0</v>
      </c>
      <c r="EH126" s="47" t="n">
        <f aca="false">(EH59+EH66+EH91+EH95+EH96+EH79)*(EH$4&lt;=In_COD)</f>
        <v>0</v>
      </c>
      <c r="EI126" s="47" t="n">
        <f aca="false">(EI59+EI66+EI91+EI95+EI96+EI79)*(EI$4&lt;=In_COD)</f>
        <v>0</v>
      </c>
      <c r="EJ126" s="47" t="n">
        <f aca="false">(EJ59+EJ66+EJ91+EJ95+EJ96+EJ79)*(EJ$4&lt;=In_COD)</f>
        <v>0</v>
      </c>
      <c r="EK126" s="47" t="n">
        <f aca="false">(EK59+EK66+EK91+EK95+EK96+EK79)*(EK$4&lt;=In_COD)</f>
        <v>0</v>
      </c>
      <c r="EL126" s="47" t="n">
        <f aca="false">(EL59+EL66+EL91+EL95+EL96+EL79)*(EL$4&lt;=In_COD)</f>
        <v>0</v>
      </c>
      <c r="EM126" s="47" t="n">
        <f aca="false">(EM59+EM66+EM91+EM95+EM96+EM79)*(EM$4&lt;=In_COD)</f>
        <v>0</v>
      </c>
      <c r="EN126" s="47" t="n">
        <f aca="false">(EN59+EN66+EN91+EN95+EN96+EN79)*(EN$4&lt;=In_COD)</f>
        <v>0</v>
      </c>
      <c r="EO126" s="47" t="n">
        <f aca="false">(EO59+EO66+EO91+EO95+EO96+EO79)*(EO$4&lt;=In_COD)</f>
        <v>0</v>
      </c>
    </row>
    <row r="127" customFormat="false" ht="15" hidden="false" customHeight="false" outlineLevel="0" collapsed="false">
      <c r="C127" s="0" t="s">
        <v>475</v>
      </c>
      <c r="D127" s="11" t="s">
        <v>33</v>
      </c>
      <c r="E127" s="47" t="n">
        <f aca="false">IF($E38=1,In_COD_Price,In_COD_Price_CN)*$F24*(1-$E27)</f>
        <v>114975</v>
      </c>
    </row>
    <row r="128" customFormat="false" ht="15" hidden="false" customHeight="false" outlineLevel="0" collapsed="false">
      <c r="C128" s="0" t="s">
        <v>476</v>
      </c>
      <c r="D128" s="11" t="s">
        <v>33</v>
      </c>
      <c r="E128" s="47" t="n">
        <f aca="false">$E127+$I58-$E94-In_Sale_Costs</f>
        <v>71997.1261994177</v>
      </c>
    </row>
    <row r="129" customFormat="false" ht="15" hidden="false" customHeight="false" outlineLevel="0" collapsed="false">
      <c r="C129" s="0" t="s">
        <v>123</v>
      </c>
      <c r="D129" s="11" t="s">
        <v>33</v>
      </c>
      <c r="E129" s="47" t="n">
        <f aca="false">-In_CIT*In_Sale_Gain_Taxed*MAX(0,$E128+$I126)</f>
        <v>-0</v>
      </c>
    </row>
    <row r="130" customFormat="false" ht="15" hidden="false" customHeight="false" outlineLevel="0" collapsed="false">
      <c r="C130" s="25" t="s">
        <v>477</v>
      </c>
      <c r="D130" s="11" t="s">
        <v>33</v>
      </c>
      <c r="I130" s="56" t="n">
        <f aca="false">SUM(J130:EO130)</f>
        <v>31055.3290062136</v>
      </c>
      <c r="J130" s="56" t="n">
        <f aca="false">J126+($E128+$E129)*J14</f>
        <v>-4662.80993807469</v>
      </c>
      <c r="K130" s="56" t="n">
        <f aca="false">K126+($E128+$E129)*K14</f>
        <v>-706.535577057768</v>
      </c>
      <c r="L130" s="56" t="n">
        <f aca="false">L126+($E128+$E129)*L14</f>
        <v>-104.360496659404</v>
      </c>
      <c r="M130" s="56" t="n">
        <f aca="false">M126+($E128+$E129)*M14</f>
        <v>-105.507315304013</v>
      </c>
      <c r="N130" s="56" t="n">
        <f aca="false">N126+($E128+$E129)*N14</f>
        <v>-105.507315304013</v>
      </c>
      <c r="O130" s="56" t="n">
        <f aca="false">O126+($E128+$E129)*O14</f>
        <v>-104.360496659404</v>
      </c>
      <c r="P130" s="56" t="n">
        <f aca="false">P126+($E128+$E129)*P14</f>
        <v>-104.360496659404</v>
      </c>
      <c r="Q130" s="56" t="n">
        <f aca="false">Q126+($E128+$E129)*Q14</f>
        <v>-105.507315304013</v>
      </c>
      <c r="R130" s="56" t="n">
        <f aca="false">R126+($E128+$E129)*R14</f>
        <v>-4489.95849315338</v>
      </c>
      <c r="S130" s="56" t="n">
        <f aca="false">S126+($E128+$E129)*S14</f>
        <v>-7326.12620687268</v>
      </c>
      <c r="T130" s="56" t="n">
        <f aca="false">T126+($E128+$E129)*T14</f>
        <v>-3677.41596133854</v>
      </c>
      <c r="U130" s="56" t="n">
        <f aca="false">U126+($E128+$E129)*U14</f>
        <v>-3708.01055317332</v>
      </c>
      <c r="V130" s="56" t="n">
        <f aca="false">V126+($E128+$E129)*V14</f>
        <v>-3698.08610617388</v>
      </c>
      <c r="W130" s="56" t="n">
        <f aca="false">W126+($E128+$E129)*W14</f>
        <v>-3609.02616297382</v>
      </c>
      <c r="X130" s="56" t="n">
        <f aca="false">X126+($E128+$E129)*X14</f>
        <v>-3639.52328484964</v>
      </c>
      <c r="Y130" s="56" t="n">
        <f aca="false">Y126+($E128+$E129)*Y14</f>
        <v>67202.4247257716</v>
      </c>
      <c r="Z130" s="56" t="n">
        <f aca="false">Z126+($E128+$E129)*Z14</f>
        <v>0</v>
      </c>
      <c r="AA130" s="56" t="n">
        <f aca="false">AA126+($E128+$E129)*AA14</f>
        <v>0</v>
      </c>
      <c r="AB130" s="56" t="n">
        <f aca="false">AB126+($E128+$E129)*AB14</f>
        <v>0</v>
      </c>
      <c r="AC130" s="56" t="n">
        <f aca="false">AC126+($E128+$E129)*AC14</f>
        <v>0</v>
      </c>
      <c r="AD130" s="56" t="n">
        <f aca="false">AD126+($E128+$E129)*AD14</f>
        <v>0</v>
      </c>
      <c r="AE130" s="56" t="n">
        <f aca="false">AE126+($E128+$E129)*AE14</f>
        <v>0</v>
      </c>
      <c r="AF130" s="56" t="n">
        <f aca="false">AF126+($E128+$E129)*AF14</f>
        <v>0</v>
      </c>
      <c r="AG130" s="56" t="n">
        <f aca="false">AG126+($E128+$E129)*AG14</f>
        <v>0</v>
      </c>
      <c r="AH130" s="56" t="n">
        <f aca="false">AH126+($E128+$E129)*AH14</f>
        <v>0</v>
      </c>
      <c r="AI130" s="56" t="n">
        <f aca="false">AI126+($E128+$E129)*AI14</f>
        <v>0</v>
      </c>
      <c r="AJ130" s="56" t="n">
        <f aca="false">AJ126+($E128+$E129)*AJ14</f>
        <v>0</v>
      </c>
      <c r="AK130" s="56" t="n">
        <f aca="false">AK126+($E128+$E129)*AK14</f>
        <v>0</v>
      </c>
      <c r="AL130" s="56" t="n">
        <f aca="false">AL126+($E128+$E129)*AL14</f>
        <v>0</v>
      </c>
      <c r="AM130" s="56" t="n">
        <f aca="false">AM126+($E128+$E129)*AM14</f>
        <v>0</v>
      </c>
      <c r="AN130" s="56" t="n">
        <f aca="false">AN126+($E128+$E129)*AN14</f>
        <v>0</v>
      </c>
      <c r="AO130" s="56" t="n">
        <f aca="false">AO126+($E128+$E129)*AO14</f>
        <v>0</v>
      </c>
      <c r="AP130" s="56" t="n">
        <f aca="false">AP126+($E128+$E129)*AP14</f>
        <v>0</v>
      </c>
      <c r="AQ130" s="56" t="n">
        <f aca="false">AQ126+($E128+$E129)*AQ14</f>
        <v>0</v>
      </c>
      <c r="AR130" s="56" t="n">
        <f aca="false">AR126+($E128+$E129)*AR14</f>
        <v>0</v>
      </c>
      <c r="AS130" s="56" t="n">
        <f aca="false">AS126+($E128+$E129)*AS14</f>
        <v>0</v>
      </c>
      <c r="AT130" s="56" t="n">
        <f aca="false">AT126+($E128+$E129)*AT14</f>
        <v>0</v>
      </c>
      <c r="AU130" s="56" t="n">
        <f aca="false">AU126+($E128+$E129)*AU14</f>
        <v>0</v>
      </c>
      <c r="AV130" s="56" t="n">
        <f aca="false">AV126+($E128+$E129)*AV14</f>
        <v>0</v>
      </c>
      <c r="AW130" s="56" t="n">
        <f aca="false">AW126+($E128+$E129)*AW14</f>
        <v>0</v>
      </c>
      <c r="AX130" s="56" t="n">
        <f aca="false">AX126+($E128+$E129)*AX14</f>
        <v>0</v>
      </c>
      <c r="AY130" s="56" t="n">
        <f aca="false">AY126+($E128+$E129)*AY14</f>
        <v>0</v>
      </c>
      <c r="AZ130" s="56" t="n">
        <f aca="false">AZ126+($E128+$E129)*AZ14</f>
        <v>0</v>
      </c>
      <c r="BA130" s="56" t="n">
        <f aca="false">BA126+($E128+$E129)*BA14</f>
        <v>0</v>
      </c>
      <c r="BB130" s="56" t="n">
        <f aca="false">BB126+($E128+$E129)*BB14</f>
        <v>0</v>
      </c>
      <c r="BC130" s="56" t="n">
        <f aca="false">BC126+($E128+$E129)*BC14</f>
        <v>0</v>
      </c>
      <c r="BD130" s="56" t="n">
        <f aca="false">BD126+($E128+$E129)*BD14</f>
        <v>0</v>
      </c>
      <c r="BE130" s="56" t="n">
        <f aca="false">BE126+($E128+$E129)*BE14</f>
        <v>0</v>
      </c>
      <c r="BF130" s="56" t="n">
        <f aca="false">BF126+($E128+$E129)*BF14</f>
        <v>0</v>
      </c>
      <c r="BG130" s="56" t="n">
        <f aca="false">BG126+($E128+$E129)*BG14</f>
        <v>0</v>
      </c>
      <c r="BH130" s="56" t="n">
        <f aca="false">BH126+($E128+$E129)*BH14</f>
        <v>0</v>
      </c>
      <c r="BI130" s="56" t="n">
        <f aca="false">BI126+($E128+$E129)*BI14</f>
        <v>0</v>
      </c>
      <c r="BJ130" s="56" t="n">
        <f aca="false">BJ126+($E128+$E129)*BJ14</f>
        <v>0</v>
      </c>
      <c r="BK130" s="56" t="n">
        <f aca="false">BK126+($E128+$E129)*BK14</f>
        <v>0</v>
      </c>
      <c r="BL130" s="56" t="n">
        <f aca="false">BL126+($E128+$E129)*BL14</f>
        <v>0</v>
      </c>
      <c r="BM130" s="56" t="n">
        <f aca="false">BM126+($E128+$E129)*BM14</f>
        <v>0</v>
      </c>
      <c r="BN130" s="56" t="n">
        <f aca="false">BN126+($E128+$E129)*BN14</f>
        <v>0</v>
      </c>
      <c r="BO130" s="56" t="n">
        <f aca="false">BO126+($E128+$E129)*BO14</f>
        <v>0</v>
      </c>
      <c r="BP130" s="56" t="n">
        <f aca="false">BP126+($E128+$E129)*BP14</f>
        <v>0</v>
      </c>
      <c r="BQ130" s="56" t="n">
        <f aca="false">BQ126+($E128+$E129)*BQ14</f>
        <v>0</v>
      </c>
      <c r="BR130" s="56" t="n">
        <f aca="false">BR126+($E128+$E129)*BR14</f>
        <v>0</v>
      </c>
      <c r="BS130" s="56" t="n">
        <f aca="false">BS126+($E128+$E129)*BS14</f>
        <v>0</v>
      </c>
      <c r="BT130" s="56" t="n">
        <f aca="false">BT126+($E128+$E129)*BT14</f>
        <v>0</v>
      </c>
      <c r="BU130" s="56" t="n">
        <f aca="false">BU126+($E128+$E129)*BU14</f>
        <v>0</v>
      </c>
      <c r="BV130" s="56" t="n">
        <f aca="false">BV126+($E128+$E129)*BV14</f>
        <v>0</v>
      </c>
      <c r="BW130" s="56" t="n">
        <f aca="false">BW126+($E128+$E129)*BW14</f>
        <v>0</v>
      </c>
      <c r="BX130" s="56" t="n">
        <f aca="false">BX126+($E128+$E129)*BX14</f>
        <v>0</v>
      </c>
      <c r="BY130" s="56" t="n">
        <f aca="false">BY126+($E128+$E129)*BY14</f>
        <v>0</v>
      </c>
      <c r="BZ130" s="56" t="n">
        <f aca="false">BZ126+($E128+$E129)*BZ14</f>
        <v>0</v>
      </c>
      <c r="CA130" s="56" t="n">
        <f aca="false">CA126+($E128+$E129)*CA14</f>
        <v>0</v>
      </c>
      <c r="CB130" s="56" t="n">
        <f aca="false">CB126+($E128+$E129)*CB14</f>
        <v>0</v>
      </c>
      <c r="CC130" s="56" t="n">
        <f aca="false">CC126+($E128+$E129)*CC14</f>
        <v>0</v>
      </c>
      <c r="CD130" s="56" t="n">
        <f aca="false">CD126+($E128+$E129)*CD14</f>
        <v>0</v>
      </c>
      <c r="CE130" s="56" t="n">
        <f aca="false">CE126+($E128+$E129)*CE14</f>
        <v>0</v>
      </c>
      <c r="CF130" s="56" t="n">
        <f aca="false">CF126+($E128+$E129)*CF14</f>
        <v>0</v>
      </c>
      <c r="CG130" s="56" t="n">
        <f aca="false">CG126+($E128+$E129)*CG14</f>
        <v>0</v>
      </c>
      <c r="CH130" s="56" t="n">
        <f aca="false">CH126+($E128+$E129)*CH14</f>
        <v>0</v>
      </c>
      <c r="CI130" s="56" t="n">
        <f aca="false">CI126+($E128+$E129)*CI14</f>
        <v>0</v>
      </c>
      <c r="CJ130" s="56" t="n">
        <f aca="false">CJ126+($E128+$E129)*CJ14</f>
        <v>0</v>
      </c>
      <c r="CK130" s="56" t="n">
        <f aca="false">CK126+($E128+$E129)*CK14</f>
        <v>0</v>
      </c>
      <c r="CL130" s="56" t="n">
        <f aca="false">CL126+($E128+$E129)*CL14</f>
        <v>0</v>
      </c>
      <c r="CM130" s="56" t="n">
        <f aca="false">CM126+($E128+$E129)*CM14</f>
        <v>0</v>
      </c>
      <c r="CN130" s="56" t="n">
        <f aca="false">CN126+($E128+$E129)*CN14</f>
        <v>0</v>
      </c>
      <c r="CO130" s="56" t="n">
        <f aca="false">CO126+($E128+$E129)*CO14</f>
        <v>0</v>
      </c>
      <c r="CP130" s="56" t="n">
        <f aca="false">CP126+($E128+$E129)*CP14</f>
        <v>0</v>
      </c>
      <c r="CQ130" s="56" t="n">
        <f aca="false">CQ126+($E128+$E129)*CQ14</f>
        <v>0</v>
      </c>
      <c r="CR130" s="56" t="n">
        <f aca="false">CR126+($E128+$E129)*CR14</f>
        <v>0</v>
      </c>
      <c r="CS130" s="56" t="n">
        <f aca="false">CS126+($E128+$E129)*CS14</f>
        <v>0</v>
      </c>
      <c r="CT130" s="56" t="n">
        <f aca="false">CT126+($E128+$E129)*CT14</f>
        <v>0</v>
      </c>
      <c r="CU130" s="56" t="n">
        <f aca="false">CU126+($E128+$E129)*CU14</f>
        <v>0</v>
      </c>
      <c r="CV130" s="56" t="n">
        <f aca="false">CV126+($E128+$E129)*CV14</f>
        <v>0</v>
      </c>
      <c r="CW130" s="56" t="n">
        <f aca="false">CW126+($E128+$E129)*CW14</f>
        <v>0</v>
      </c>
      <c r="CX130" s="56" t="n">
        <f aca="false">CX126+($E128+$E129)*CX14</f>
        <v>0</v>
      </c>
      <c r="CY130" s="56" t="n">
        <f aca="false">CY126+($E128+$E129)*CY14</f>
        <v>0</v>
      </c>
      <c r="CZ130" s="56" t="n">
        <f aca="false">CZ126+($E128+$E129)*CZ14</f>
        <v>0</v>
      </c>
      <c r="DA130" s="56" t="n">
        <f aca="false">DA126+($E128+$E129)*DA14</f>
        <v>0</v>
      </c>
      <c r="DB130" s="56" t="n">
        <f aca="false">DB126+($E128+$E129)*DB14</f>
        <v>0</v>
      </c>
      <c r="DC130" s="56" t="n">
        <f aca="false">DC126+($E128+$E129)*DC14</f>
        <v>0</v>
      </c>
      <c r="DD130" s="56" t="n">
        <f aca="false">DD126+($E128+$E129)*DD14</f>
        <v>0</v>
      </c>
      <c r="DE130" s="56" t="n">
        <f aca="false">DE126+($E128+$E129)*DE14</f>
        <v>0</v>
      </c>
      <c r="DF130" s="56" t="n">
        <f aca="false">DF126+($E128+$E129)*DF14</f>
        <v>0</v>
      </c>
      <c r="DG130" s="56" t="n">
        <f aca="false">DG126+($E128+$E129)*DG14</f>
        <v>0</v>
      </c>
      <c r="DH130" s="56" t="n">
        <f aca="false">DH126+($E128+$E129)*DH14</f>
        <v>0</v>
      </c>
      <c r="DI130" s="56" t="n">
        <f aca="false">DI126+($E128+$E129)*DI14</f>
        <v>0</v>
      </c>
      <c r="DJ130" s="56" t="n">
        <f aca="false">DJ126+($E128+$E129)*DJ14</f>
        <v>0</v>
      </c>
      <c r="DK130" s="56" t="n">
        <f aca="false">DK126+($E128+$E129)*DK14</f>
        <v>0</v>
      </c>
      <c r="DL130" s="56" t="n">
        <f aca="false">DL126+($E128+$E129)*DL14</f>
        <v>0</v>
      </c>
      <c r="DM130" s="56" t="n">
        <f aca="false">DM126+($E128+$E129)*DM14</f>
        <v>0</v>
      </c>
      <c r="DN130" s="56" t="n">
        <f aca="false">DN126+($E128+$E129)*DN14</f>
        <v>0</v>
      </c>
      <c r="DO130" s="56" t="n">
        <f aca="false">DO126+($E128+$E129)*DO14</f>
        <v>0</v>
      </c>
      <c r="DP130" s="56" t="n">
        <f aca="false">DP126+($E128+$E129)*DP14</f>
        <v>0</v>
      </c>
      <c r="DQ130" s="56" t="n">
        <f aca="false">DQ126+($E128+$E129)*DQ14</f>
        <v>0</v>
      </c>
      <c r="DR130" s="56" t="n">
        <f aca="false">DR126+($E128+$E129)*DR14</f>
        <v>0</v>
      </c>
      <c r="DS130" s="56" t="n">
        <f aca="false">DS126+($E128+$E129)*DS14</f>
        <v>0</v>
      </c>
      <c r="DT130" s="56" t="n">
        <f aca="false">DT126+($E128+$E129)*DT14</f>
        <v>0</v>
      </c>
      <c r="DU130" s="56" t="n">
        <f aca="false">DU126+($E128+$E129)*DU14</f>
        <v>0</v>
      </c>
      <c r="DV130" s="56" t="n">
        <f aca="false">DV126+($E128+$E129)*DV14</f>
        <v>0</v>
      </c>
      <c r="DW130" s="56" t="n">
        <f aca="false">DW126+($E128+$E129)*DW14</f>
        <v>0</v>
      </c>
      <c r="DX130" s="56" t="n">
        <f aca="false">DX126+($E128+$E129)*DX14</f>
        <v>0</v>
      </c>
      <c r="DY130" s="56" t="n">
        <f aca="false">DY126+($E128+$E129)*DY14</f>
        <v>0</v>
      </c>
      <c r="DZ130" s="56" t="n">
        <f aca="false">DZ126+($E128+$E129)*DZ14</f>
        <v>0</v>
      </c>
      <c r="EA130" s="56" t="n">
        <f aca="false">EA126+($E128+$E129)*EA14</f>
        <v>0</v>
      </c>
      <c r="EB130" s="56" t="n">
        <f aca="false">EB126+($E128+$E129)*EB14</f>
        <v>0</v>
      </c>
      <c r="EC130" s="56" t="n">
        <f aca="false">EC126+($E128+$E129)*EC14</f>
        <v>0</v>
      </c>
      <c r="ED130" s="56" t="n">
        <f aca="false">ED126+($E128+$E129)*ED14</f>
        <v>0</v>
      </c>
      <c r="EE130" s="56" t="n">
        <f aca="false">EE126+($E128+$E129)*EE14</f>
        <v>0</v>
      </c>
      <c r="EF130" s="56" t="n">
        <f aca="false">EF126+($E128+$E129)*EF14</f>
        <v>0</v>
      </c>
      <c r="EG130" s="56" t="n">
        <f aca="false">EG126+($E128+$E129)*EG14</f>
        <v>0</v>
      </c>
      <c r="EH130" s="56" t="n">
        <f aca="false">EH126+($E128+$E129)*EH14</f>
        <v>0</v>
      </c>
      <c r="EI130" s="56" t="n">
        <f aca="false">EI126+($E128+$E129)*EI14</f>
        <v>0</v>
      </c>
      <c r="EJ130" s="56" t="n">
        <f aca="false">EJ126+($E128+$E129)*EJ14</f>
        <v>0</v>
      </c>
      <c r="EK130" s="56" t="n">
        <f aca="false">EK126+($E128+$E129)*EK14</f>
        <v>0</v>
      </c>
      <c r="EL130" s="56" t="n">
        <f aca="false">EL126+($E128+$E129)*EL14</f>
        <v>0</v>
      </c>
      <c r="EM130" s="56" t="n">
        <f aca="false">EM126+($E128+$E129)*EM14</f>
        <v>0</v>
      </c>
      <c r="EN130" s="56" t="n">
        <f aca="false">EN126+($E128+$E129)*EN14</f>
        <v>0</v>
      </c>
      <c r="EO130" s="56" t="n">
        <f aca="false">EO126+($E128+$E129)*EO14</f>
        <v>0</v>
      </c>
    </row>
    <row r="131" customFormat="false" ht="15" hidden="false" customHeight="false" outlineLevel="0" collapsed="false">
      <c r="C131" s="25" t="s">
        <v>84</v>
      </c>
      <c r="D131" s="11" t="s">
        <v>27</v>
      </c>
      <c r="E131" s="33" t="n">
        <f aca="false">XIRR($J130:$EO130,$J$4:$EO$4)</f>
        <v>0.431605205102548</v>
      </c>
    </row>
    <row r="132" customFormat="false" ht="15" hidden="false" customHeight="false" outlineLevel="0" collapsed="false">
      <c r="C132" s="25" t="s">
        <v>85</v>
      </c>
      <c r="D132" s="11" t="s">
        <v>13</v>
      </c>
      <c r="E132" s="59" t="n">
        <f aca="false">($E128+$E129)/-$I126</f>
        <v>1.75852383469303</v>
      </c>
    </row>
    <row r="133" customFormat="false" ht="15" hidden="false" customHeight="false" outlineLevel="0" collapsed="false">
      <c r="C133" s="25" t="s">
        <v>86</v>
      </c>
      <c r="D133" s="11" t="s">
        <v>33</v>
      </c>
      <c r="E133" s="56" t="n">
        <f aca="false">XNPV(In_Discount_Rate,$J130:$EO130,$J$4:$EO$4)</f>
        <v>19848.0948232429</v>
      </c>
    </row>
    <row r="134" customFormat="false" ht="15" hidden="false" customHeight="false" outlineLevel="0" collapsed="false">
      <c r="A134" s="60"/>
      <c r="B134" s="60"/>
      <c r="C134" s="60" t="s">
        <v>478</v>
      </c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  <c r="DR134" s="60"/>
      <c r="DS134" s="60"/>
      <c r="DT134" s="60"/>
      <c r="DU134" s="60"/>
      <c r="DV134" s="60"/>
      <c r="DW134" s="60"/>
      <c r="DX134" s="60"/>
      <c r="DY134" s="60"/>
      <c r="DZ134" s="60"/>
      <c r="EA134" s="60"/>
      <c r="EB134" s="60"/>
      <c r="EC134" s="60"/>
      <c r="ED134" s="60"/>
      <c r="EE134" s="60"/>
      <c r="EF134" s="60"/>
      <c r="EG134" s="60"/>
      <c r="EH134" s="60"/>
      <c r="EI134" s="60"/>
      <c r="EJ134" s="60"/>
      <c r="EK134" s="60"/>
      <c r="EL134" s="60"/>
      <c r="EM134" s="60"/>
      <c r="EN134" s="60"/>
      <c r="EO134" s="60"/>
    </row>
    <row r="135" customFormat="false" ht="15" hidden="false" customHeight="false" outlineLevel="0" collapsed="false">
      <c r="C135" s="0" t="s">
        <v>479</v>
      </c>
      <c r="D135" s="11" t="s">
        <v>33</v>
      </c>
      <c r="I135" s="47" t="n">
        <f aca="false">SUM(J135:EO135)</f>
        <v>151943.240536893</v>
      </c>
      <c r="J135" s="47" t="n">
        <f aca="false">(J79+J55+J58+J108)*(J$4&gt;In_COD)-($E127+$I58)*J14</f>
        <v>-0</v>
      </c>
      <c r="K135" s="47" t="n">
        <f aca="false">(K79+K55+K58+K108)*(K$4&gt;In_COD)-($E127+$I58)*K14</f>
        <v>-0</v>
      </c>
      <c r="L135" s="47" t="n">
        <f aca="false">(L79+L55+L58+L108)*(L$4&gt;In_COD)-($E127+$I58)*L14</f>
        <v>-0</v>
      </c>
      <c r="M135" s="47" t="n">
        <f aca="false">(M79+M55+M58+M108)*(M$4&gt;In_COD)-($E127+$I58)*M14</f>
        <v>-0</v>
      </c>
      <c r="N135" s="47" t="n">
        <f aca="false">(N79+N55+N58+N108)*(N$4&gt;In_COD)-($E127+$I58)*N14</f>
        <v>-0</v>
      </c>
      <c r="O135" s="47" t="n">
        <f aca="false">(O79+O55+O58+O108)*(O$4&gt;In_COD)-($E127+$I58)*O14</f>
        <v>-0</v>
      </c>
      <c r="P135" s="47" t="n">
        <f aca="false">(P79+P55+P58+P108)*(P$4&gt;In_COD)-($E127+$I58)*P14</f>
        <v>-0</v>
      </c>
      <c r="Q135" s="47" t="n">
        <f aca="false">(Q79+Q55+Q58+Q108)*(Q$4&gt;In_COD)-($E127+$I58)*Q14</f>
        <v>-0</v>
      </c>
      <c r="R135" s="47" t="n">
        <f aca="false">(R79+R55+R58+R108)*(R$4&gt;In_COD)-($E127+$I58)*R14</f>
        <v>-0</v>
      </c>
      <c r="S135" s="47" t="n">
        <f aca="false">(S79+S55+S58+S108)*(S$4&gt;In_COD)-($E127+$I58)*S14</f>
        <v>-0</v>
      </c>
      <c r="T135" s="47" t="n">
        <f aca="false">(T79+T55+T58+T108)*(T$4&gt;In_COD)-($E127+$I58)*T14</f>
        <v>-0</v>
      </c>
      <c r="U135" s="47" t="n">
        <f aca="false">(U79+U55+U58+U108)*(U$4&gt;In_COD)-($E127+$I58)*U14</f>
        <v>-0</v>
      </c>
      <c r="V135" s="47" t="n">
        <f aca="false">(V79+V55+V58+V108)*(V$4&gt;In_COD)-($E127+$I58)*V14</f>
        <v>-0</v>
      </c>
      <c r="W135" s="47" t="n">
        <f aca="false">(W79+W55+W58+W108)*(W$4&gt;In_COD)-($E127+$I58)*W14</f>
        <v>-0</v>
      </c>
      <c r="X135" s="47" t="n">
        <f aca="false">(X79+X55+X58+X108)*(X$4&gt;In_COD)-($E127+$I58)*X14</f>
        <v>-0</v>
      </c>
      <c r="Y135" s="47" t="n">
        <f aca="false">(Y79+Y55+Y58+Y108)*(Y$4&gt;In_COD)-($E127+$I58)*Y14</f>
        <v>-114975</v>
      </c>
      <c r="Z135" s="47" t="n">
        <f aca="false">(Z79+Z55+Z58+Z108)*(Z$4&gt;In_COD)-($E127+$I58)*Z14</f>
        <v>2300.94659077018</v>
      </c>
      <c r="AA135" s="47" t="n">
        <f aca="false">(AA79+AA55+AA58+AA108)*(AA$4&gt;In_COD)-($E127+$I58)*AA14</f>
        <v>2266.07898831382</v>
      </c>
      <c r="AB135" s="47" t="n">
        <f aca="false">(AB79+AB55+AB58+AB108)*(AB$4&gt;In_COD)-($E127+$I58)*AB14</f>
        <v>2290.47375381228</v>
      </c>
      <c r="AC135" s="47" t="n">
        <f aca="false">(AC79+AC55+AC58+AC108)*(AC$4&gt;In_COD)-($E127+$I58)*AC14</f>
        <v>2314.85517366584</v>
      </c>
      <c r="AD135" s="47" t="n">
        <f aca="false">(AD79+AD55+AD58+AD108)*(AD$4&gt;In_COD)-($E127+$I58)*AD14</f>
        <v>2297.20744160619</v>
      </c>
      <c r="AE135" s="47" t="n">
        <f aca="false">(AE79+AE55+AE58+AE108)*(AE$4&gt;In_COD)-($E127+$I58)*AE14</f>
        <v>2233.47530061397</v>
      </c>
      <c r="AF135" s="47" t="n">
        <f aca="false">(AF79+AF55+AF58+AF108)*(AF$4&gt;In_COD)-($E127+$I58)*AF14</f>
        <v>2232.77258418714</v>
      </c>
      <c r="AG135" s="47" t="n">
        <f aca="false">(AG79+AG55+AG58+AG108)*(AG$4&gt;In_COD)-($E127+$I58)*AG14</f>
        <v>2255.76962630366</v>
      </c>
      <c r="AH135" s="47" t="n">
        <f aca="false">(AH79+AH55+AH58+AH108)*(AH$4&gt;In_COD)-($E127+$I58)*AH14</f>
        <v>2247.78411286817</v>
      </c>
      <c r="AI135" s="47" t="n">
        <f aca="false">(AI79+AI55+AI58+AI108)*(AI$4&gt;In_COD)-($E127+$I58)*AI14</f>
        <v>2213.00380481104</v>
      </c>
      <c r="AJ135" s="47" t="n">
        <f aca="false">(AJ79+AJ55+AJ58+AJ108)*(AJ$4&gt;In_COD)-($E127+$I58)*AJ14</f>
        <v>2264.23837624495</v>
      </c>
      <c r="AK135" s="47" t="n">
        <f aca="false">(AK79+AK55+AK58+AK108)*(AK$4&gt;In_COD)-($E127+$I58)*AK14</f>
        <v>2287.55350478145</v>
      </c>
      <c r="AL135" s="47" t="n">
        <f aca="false">(AL79+AL55+AL58+AL108)*(AL$4&gt;In_COD)-($E127+$I58)*AL14</f>
        <v>2279.46149827445</v>
      </c>
      <c r="AM135" s="47" t="n">
        <f aca="false">(AM79+AM55+AM58+AM108)*(AM$4&gt;In_COD)-($E127+$I58)*AM14</f>
        <v>2243.73855139544</v>
      </c>
      <c r="AN135" s="47" t="n">
        <f aca="false">(AN79+AN55+AN58+AN108)*(AN$4&gt;In_COD)-($E127+$I58)*AN14</f>
        <v>2267.10540728229</v>
      </c>
      <c r="AO135" s="47" t="n">
        <f aca="false">(AO79+AO55+AO58+AO108)*(AO$4&gt;In_COD)-($E127+$I58)*AO14</f>
        <v>2290.44515239607</v>
      </c>
      <c r="AP135" s="47" t="n">
        <f aca="false">(AP79+AP55+AP58+AP108)*(AP$4&gt;In_COD)-($E127+$I58)*AP14</f>
        <v>2282.26507751399</v>
      </c>
      <c r="AQ135" s="47" t="n">
        <f aca="false">(AQ79+AQ55+AQ58+AQ108)*(AQ$4&gt;In_COD)-($E127+$I58)*AQ14</f>
        <v>2246.23531801011</v>
      </c>
      <c r="AR135" s="47" t="n">
        <f aca="false">(AR79+AR55+AR58+AR108)*(AR$4&gt;In_COD)-($E127+$I58)*AR14</f>
        <v>2269.62351048867</v>
      </c>
      <c r="AS135" s="47" t="n">
        <f aca="false">(AS79+AS55+AS58+AS108)*(AS$4&gt;In_COD)-($E127+$I58)*AS14</f>
        <v>2292.9840406263</v>
      </c>
      <c r="AT135" s="47" t="n">
        <f aca="false">(AT79+AT55+AT58+AT108)*(AT$4&gt;In_COD)-($E127+$I58)*AT14</f>
        <v>2284.71387467699</v>
      </c>
      <c r="AU135" s="47" t="n">
        <f aca="false">(AU79+AU55+AU58+AU108)*(AU$4&gt;In_COD)-($E127+$I58)*AU14</f>
        <v>2272.6513403704</v>
      </c>
      <c r="AV135" s="47" t="n">
        <f aca="false">(AV79+AV55+AV58+AV108)*(AV$4&gt;In_COD)-($E127+$I58)*AV14</f>
        <v>2271.76061041021</v>
      </c>
      <c r="AW135" s="47" t="n">
        <f aca="false">(AW79+AW55+AW58+AW108)*(AW$4&gt;In_COD)-($E127+$I58)*AW14</f>
        <v>2295.13772672722</v>
      </c>
      <c r="AX135" s="47" t="n">
        <f aca="false">(AX79+AX55+AX58+AX108)*(AX$4&gt;In_COD)-($E127+$I58)*AX14</f>
        <v>2286.77515094656</v>
      </c>
      <c r="AY135" s="47" t="n">
        <f aca="false">(AY79+AY55+AY58+AY108)*(AY$4&gt;In_COD)-($E127+$I58)*AY14</f>
        <v>2250.11858294074</v>
      </c>
      <c r="AZ135" s="47" t="n">
        <f aca="false">(AZ79+AZ55+AZ58+AZ108)*(AZ$4&gt;In_COD)-($E127+$I58)*AZ14</f>
        <v>2273.53716953258</v>
      </c>
      <c r="BA135" s="47" t="n">
        <f aca="false">(BA79+BA55+BA58+BA108)*(BA$4&gt;In_COD)-($E127+$I58)*BA14</f>
        <v>2296.92692399184</v>
      </c>
      <c r="BB135" s="47" t="n">
        <f aca="false">(BB79+BB55+BB58+BB108)*(BB$4&gt;In_COD)-($E127+$I58)*BB14</f>
        <v>2288.46995095388</v>
      </c>
      <c r="BC135" s="47" t="n">
        <f aca="false">(BC79+BC55+BC58+BC108)*(BC$4&gt;In_COD)-($E127+$I58)*BC14</f>
        <v>2251.49335409804</v>
      </c>
      <c r="BD135" s="47" t="n">
        <f aca="false">(BD79+BD55+BD58+BD108)*(BD$4&gt;In_COD)-($E127+$I58)*BD14</f>
        <v>2274.92087904561</v>
      </c>
      <c r="BE135" s="47" t="n">
        <f aca="false">(BE79+BE55+BE58+BE108)*(BE$4&gt;In_COD)-($E127+$I58)*BE14</f>
        <v>2298.31895410975</v>
      </c>
      <c r="BF135" s="47" t="n">
        <f aca="false">(BF79+BF55+BF58+BF108)*(BF$4&gt;In_COD)-($E127+$I58)*BF14</f>
        <v>2289.76530221853</v>
      </c>
      <c r="BG135" s="47" t="n">
        <f aca="false">(BG79+BG55+BG58+BG108)*(BG$4&gt;In_COD)-($E127+$I58)*BG14</f>
        <v>2252.46402732537</v>
      </c>
      <c r="BH135" s="47" t="n">
        <f aca="false">(BH79+BH55+BH58+BH108)*(BH$4&gt;In_COD)-($E127+$I58)*BH14</f>
        <v>2275.89602308012</v>
      </c>
      <c r="BI135" s="47" t="n">
        <f aca="false">(BI79+BI55+BI58+BI108)*(BI$4&gt;In_COD)-($E127+$I58)*BI14</f>
        <v>2299.2979271183</v>
      </c>
      <c r="BJ135" s="47" t="n">
        <f aca="false">(BJ79+BJ55+BJ58+BJ108)*(BJ$4&gt;In_COD)-($E127+$I58)*BJ14</f>
        <v>2290.64522045888</v>
      </c>
      <c r="BK135" s="47" t="n">
        <f aca="false">(BK79+BK55+BK58+BK108)*(BK$4&gt;In_COD)-($E127+$I58)*BK14</f>
        <v>2277.5194135307</v>
      </c>
      <c r="BL135" s="47" t="n">
        <f aca="false">(BL79+BL55+BL58+BL108)*(BL$4&gt;In_COD)-($E127+$I58)*BL14</f>
        <v>2276.42816711555</v>
      </c>
      <c r="BM135" s="47" t="n">
        <f aca="false">(BM79+BM55+BM58+BM108)*(BM$4&gt;In_COD)-($E127+$I58)*BM14</f>
        <v>2299.82901456092</v>
      </c>
      <c r="BN135" s="47" t="n">
        <f aca="false">(BN79+BN55+BN58+BN108)*(BN$4&gt;In_COD)-($E127+$I58)*BN14</f>
        <v>2291.07456267138</v>
      </c>
      <c r="BO135" s="47" t="n">
        <f aca="false">(BO79+BO55+BO58+BO108)*(BO$4&gt;In_COD)-($E127+$I58)*BO14</f>
        <v>2253.10923468878</v>
      </c>
      <c r="BP135" s="47" t="n">
        <f aca="false">(BP79+BP55+BP58+BP108)*(BP$4&gt;In_COD)-($E127+$I58)*BP14</f>
        <v>2276.53582369783</v>
      </c>
      <c r="BQ135" s="47" t="n">
        <f aca="false">(BQ79+BQ55+BQ58+BQ108)*(BQ$4&gt;In_COD)-($E127+$I58)*BQ14</f>
        <v>2299.93095798453</v>
      </c>
      <c r="BR135" s="47" t="n">
        <f aca="false">(BR79+BR55+BR58+BR108)*(BR$4&gt;In_COD)-($E127+$I58)*BR14</f>
        <v>2291.0723883732</v>
      </c>
      <c r="BS135" s="47" t="n">
        <f aca="false">(BS79+BS55+BS58+BS108)*(BS$4&gt;In_COD)-($E127+$I58)*BS14</f>
        <v>2252.7676145302</v>
      </c>
      <c r="BT135" s="47" t="n">
        <f aca="false">(BT79+BT55+BT58+BT108)*(BT$4&gt;In_COD)-($E127+$I58)*BT14</f>
        <v>2276.18415682849</v>
      </c>
      <c r="BU135" s="47" t="n">
        <f aca="false">(BU79+BU55+BU58+BU108)*(BU$4&gt;In_COD)-($E127+$I58)*BU14</f>
        <v>2299.56852332383</v>
      </c>
      <c r="BV135" s="47" t="n">
        <f aca="false">(BV79+BV55+BV58+BV108)*(BV$4&gt;In_COD)-($E127+$I58)*BV14</f>
        <v>2290.60314933822</v>
      </c>
      <c r="BW135" s="47" t="n">
        <f aca="false">(BW79+BW55+BW58+BW108)*(BW$4&gt;In_COD)-($E127+$I58)*BW14</f>
        <v>2251.95372205123</v>
      </c>
      <c r="BX135" s="47" t="n">
        <f aca="false">(BX79+BX55+BX58+BX108)*(BX$4&gt;In_COD)-($E127+$I58)*BX14</f>
        <v>2275.3549900142</v>
      </c>
      <c r="BY135" s="47" t="n">
        <f aca="false">(BY79+BY55+BY58+BY108)*(BY$4&gt;In_COD)-($E127+$I58)*BY14</f>
        <v>2298.72333223695</v>
      </c>
      <c r="BZ135" s="47" t="n">
        <f aca="false">(BZ79+BZ55+BZ58+BZ108)*(BZ$4&gt;In_COD)-($E127+$I58)*BZ14</f>
        <v>2289.64835395796</v>
      </c>
      <c r="CA135" s="47" t="n">
        <f aca="false">(CA79+CA55+CA58+CA108)*(CA$4&gt;In_COD)-($E127+$I58)*CA14</f>
        <v>2275.34138298266</v>
      </c>
      <c r="CB135" s="47" t="n">
        <f aca="false">(CB79+CB55+CB58+CB108)*(CB$4&gt;In_COD)-($E127+$I58)*CB14</f>
        <v>2274.01119179652</v>
      </c>
      <c r="CC135" s="47" t="n">
        <f aca="false">(CC79+CC55+CC58+CC108)*(CC$4&gt;In_COD)-($E127+$I58)*CC14</f>
        <v>2297.35782882481</v>
      </c>
      <c r="CD135" s="47" t="n">
        <f aca="false">(CD79+CD55+CD58+CD108)*(CD$4&gt;In_COD)-($E127+$I58)*CD14</f>
        <v>2288.17011028439</v>
      </c>
      <c r="CE135" s="47" t="n">
        <f aca="false">(CE79+CE55+CE58+CE108)*(CE$4&gt;In_COD)-($E127+$I58)*CE14</f>
        <v>2248.81491269389</v>
      </c>
      <c r="CF135" s="47" t="n">
        <f aca="false">(CF79+CF55+CF58+CF108)*(CF$4&gt;In_COD)-($E127+$I58)*CF14</f>
        <v>2272.16888597195</v>
      </c>
      <c r="CG135" s="47" t="n">
        <f aca="false">(CG79+CG55+CG58+CG108)*(CG$4&gt;In_COD)-($E127+$I58)*CG14</f>
        <v>2295.48833903467</v>
      </c>
      <c r="CH135" s="47" t="n">
        <f aca="false">(CH79+CH55+CH58+CH108)*(CH$4&gt;In_COD)-($E127+$I58)*CH14</f>
        <v>2286.18504466367</v>
      </c>
      <c r="CI135" s="47" t="n">
        <f aca="false">(CI79+CI55+CI58+CI108)*(CI$4&gt;In_COD)-($E127+$I58)*CI14</f>
        <v>2246.46861373046</v>
      </c>
      <c r="CJ135" s="47" t="n">
        <f aca="false">(CJ79+CJ55+CJ58+CJ108)*(CJ$4&gt;In_COD)-($E127+$I58)*CJ14</f>
        <v>2269.79033830776</v>
      </c>
      <c r="CK135" s="47" t="n">
        <f aca="false">(CK79+CK55+CK58+CK108)*(CK$4&gt;In_COD)-($E127+$I58)*CK14</f>
        <v>2293.07669775624</v>
      </c>
      <c r="CL135" s="47" t="n">
        <f aca="false">(CL79+CL55+CL58+CL108)*(CL$4&gt;In_COD)-($E127+$I58)*CL14</f>
        <v>2283.65465446152</v>
      </c>
      <c r="CM135" s="47" t="n">
        <f aca="false">(CM79+CM55+CM58+CM108)*(CM$4&gt;In_COD)-($E127+$I58)*CM14</f>
        <v>2243.57112957722</v>
      </c>
      <c r="CN135" s="47" t="n">
        <f aca="false">(CN79+CN55+CN58+CN108)*(CN$4&gt;In_COD)-($E127+$I58)*CN14</f>
        <v>2266.85449604117</v>
      </c>
      <c r="CO135" s="47" t="n">
        <f aca="false">(CO79+CO55+CO58+CO108)*(CO$4&gt;In_COD)-($E127+$I58)*CO14</f>
        <v>2290.10161785745</v>
      </c>
      <c r="CP135" s="47" t="n">
        <f aca="false">(CP79+CP55+CP58+CP108)*(CP$4&gt;In_COD)-($E127+$I58)*CP14</f>
        <v>2280.55751645417</v>
      </c>
      <c r="CQ135" s="47" t="n">
        <f aca="false">(CQ79+CQ55+CQ58+CQ108)*(CQ$4&gt;In_COD)-($E127+$I58)*CQ14</f>
        <v>2264.93619137034</v>
      </c>
      <c r="CR135" s="47" t="n">
        <f aca="false">(CR79+CR55+CR58+CR108)*(CR$4&gt;In_COD)-($E127+$I58)*CR14</f>
        <v>2263.32113043559</v>
      </c>
      <c r="CS135" s="47" t="n">
        <f aca="false">(CS79+CS55+CS58+CS108)*(CS$4&gt;In_COD)-($E127+$I58)*CS14</f>
        <v>2286.52241107376</v>
      </c>
      <c r="CT135" s="47" t="n">
        <f aca="false">(CT79+CT55+CT58+CT108)*(CT$4&gt;In_COD)-($E127+$I58)*CT14</f>
        <v>2276.85258115707</v>
      </c>
      <c r="CU135" s="47" t="n">
        <f aca="false">(CU79+CU55+CU58+CU108)*(CU$4&gt;In_COD)-($E127+$I58)*CU14</f>
        <v>2237.7017294597</v>
      </c>
      <c r="CV135" s="47" t="n">
        <f aca="false">(CV79+CV55+CV58+CV108)*(CV$4&gt;In_COD)-($E127+$I58)*CV14</f>
        <v>2262.56508200925</v>
      </c>
      <c r="CW135" s="47" t="n">
        <f aca="false">(CW79+CW55+CW58+CW108)*(CW$4&gt;In_COD)-($E127+$I58)*CW14</f>
        <v>2287.42843455881</v>
      </c>
      <c r="CX135" s="47" t="n">
        <f aca="false">(CX79+CX55+CX58+CX108)*(CX$4&gt;In_COD)-($E127+$I58)*CX14</f>
        <v>2279.38239570403</v>
      </c>
      <c r="CY135" s="47" t="n">
        <f aca="false">(CY79+CY55+CY58+CY108)*(CY$4&gt;In_COD)-($E127+$I58)*CY14</f>
        <v>2239.92792695099</v>
      </c>
      <c r="CZ135" s="47" t="n">
        <f aca="false">(CZ79+CZ55+CZ58+CZ108)*(CZ$4&gt;In_COD)-($E127+$I58)*CZ14</f>
        <v>2264.81601502822</v>
      </c>
      <c r="DA135" s="47" t="n">
        <f aca="false">(DA79+DA55+DA58+DA108)*(DA$4&gt;In_COD)-($E127+$I58)*DA14</f>
        <v>2289.70410310546</v>
      </c>
      <c r="DB135" s="47" t="n">
        <f aca="false">(DB79+DB55+DB58+DB108)*(DB$4&gt;In_COD)-($E127+$I58)*DB14</f>
        <v>2127.75796595667</v>
      </c>
      <c r="DC135" s="47" t="n">
        <f aca="false">(DC79+DC55+DC58+DC108)*(DC$4&gt;In_COD)-($E127+$I58)*DC14</f>
        <v>2091.34156892558</v>
      </c>
      <c r="DD135" s="47" t="n">
        <f aca="false">(DD79+DD55+DD58+DD108)*(DD$4&gt;In_COD)-($E127+$I58)*DD14</f>
        <v>2114.5786974692</v>
      </c>
      <c r="DE135" s="47" t="n">
        <f aca="false">(DE79+DE55+DE58+DE108)*(DE$4&gt;In_COD)-($E127+$I58)*DE14</f>
        <v>2137.81582601281</v>
      </c>
      <c r="DF135" s="47" t="n">
        <f aca="false">(DF79+DF55+DF58+DF108)*(DF$4&gt;In_COD)-($E127+$I58)*DF14</f>
        <v>2129.67377475099</v>
      </c>
      <c r="DG135" s="47" t="n">
        <f aca="false">(DG79+DG55+DG58+DG108)*(DG$4&gt;In_COD)-($E127+$I58)*DG14</f>
        <v>2116.20284972323</v>
      </c>
      <c r="DH135" s="47" t="n">
        <f aca="false">(DH79+DH55+DH58+DH108)*(DH$4&gt;In_COD)-($E127+$I58)*DH14</f>
        <v>2116.20284972323</v>
      </c>
      <c r="DI135" s="47" t="n">
        <f aca="false">(DI79+DI55+DI58+DI108)*(DI$4&gt;In_COD)-($E127+$I58)*DI14</f>
        <v>2139.45782609381</v>
      </c>
      <c r="DJ135" s="47" t="n">
        <f aca="false">(DJ79+DJ55+DJ58+DJ108)*(DJ$4&gt;In_COD)-($E127+$I58)*DJ14</f>
        <v>2131.26763373715</v>
      </c>
      <c r="DK135" s="47" t="n">
        <f aca="false">(DK79+DK55+DK58+DK108)*(DK$4&gt;In_COD)-($E127+$I58)*DK14</f>
        <v>2094.22922134031</v>
      </c>
      <c r="DL135" s="47" t="n">
        <f aca="false">(DL79+DL55+DL58+DL108)*(DL$4&gt;In_COD)-($E127+$I58)*DL14</f>
        <v>2117.49843491076</v>
      </c>
      <c r="DM135" s="47" t="n">
        <f aca="false">(DM79+DM55+DM58+DM108)*(DM$4&gt;In_COD)-($E127+$I58)*DM14</f>
        <v>2140.76764848121</v>
      </c>
      <c r="DN135" s="47" t="n">
        <f aca="false">(DN79+DN55+DN58+DN108)*(DN$4&gt;In_COD)-($E127+$I58)*DN14</f>
        <v>2132.52923118543</v>
      </c>
      <c r="DO135" s="47" t="n">
        <f aca="false">(DO79+DO55+DO58+DO108)*(DO$4&gt;In_COD)-($E127+$I58)*DO14</f>
        <v>2095.17525809415</v>
      </c>
      <c r="DP135" s="47" t="n">
        <f aca="false">(DP79+DP55+DP58+DP108)*(DP$4&gt;In_COD)-($E127+$I58)*DP14</f>
        <v>2118.45498318408</v>
      </c>
      <c r="DQ135" s="47" t="n">
        <f aca="false">(DQ79+DQ55+DQ58+DQ108)*(DQ$4&gt;In_COD)-($E127+$I58)*DQ14</f>
        <v>2141.73470827402</v>
      </c>
      <c r="DR135" s="47" t="n">
        <f aca="false">(DR79+DR55+DR58+DR108)*(DR$4&gt;In_COD)-($E127+$I58)*DR14</f>
        <v>2133.4479869401</v>
      </c>
      <c r="DS135" s="47" t="n">
        <f aca="false">(DS79+DS55+DS58+DS108)*(DS$4&gt;In_COD)-($E127+$I58)*DS14</f>
        <v>2095.77535956</v>
      </c>
      <c r="DT135" s="47" t="n">
        <f aca="false">(DT79+DT55+DT58+DT108)*(DT$4&gt;In_COD)-($E127+$I58)*DT14</f>
        <v>2119.061752444</v>
      </c>
      <c r="DU135" s="47" t="n">
        <f aca="false">(DU79+DU55+DU58+DU108)*(DU$4&gt;In_COD)-($E127+$I58)*DU14</f>
        <v>2142.348145328</v>
      </c>
      <c r="DV135" s="47" t="n">
        <f aca="false">(DV79+DV55+DV58+DV108)*(DV$4&gt;In_COD)-($E127+$I58)*DV14</f>
        <v>2134.01304575269</v>
      </c>
      <c r="DW135" s="47" t="n">
        <f aca="false">(DW79+DW55+DW58+DW108)*(DW$4&gt;In_COD)-($E127+$I58)*DW14</f>
        <v>2119.30772157993</v>
      </c>
      <c r="DX135" s="47" t="n">
        <f aca="false">(DX79+DX55+DX58+DX108)*(DX$4&gt;In_COD)-($E127+$I58)*DX14</f>
        <v>2119.30772157993</v>
      </c>
      <c r="DY135" s="47" t="n">
        <f aca="false">(DY79+DY55+DY58+DY108)*(DY$4&gt;In_COD)-($E127+$I58)*DY14</f>
        <v>2142.59681742147</v>
      </c>
      <c r="DZ135" s="47" t="n">
        <f aca="false">(DZ79+DZ55+DZ58+DZ108)*(DZ$4&gt;In_COD)-($E127+$I58)*DZ14</f>
        <v>2134.2132704514</v>
      </c>
      <c r="EA135" s="47" t="n">
        <f aca="false">(EA79+EA55+EA58+EA108)*(EA$4&gt;In_COD)-($E127+$I58)*EA14</f>
        <v>2095.89387383467</v>
      </c>
      <c r="EB135" s="47" t="n">
        <f aca="false">(EB79+EB55+EB58+EB108)*(EB$4&gt;In_COD)-($E127+$I58)*EB14</f>
        <v>2119.18158354395</v>
      </c>
      <c r="EC135" s="47" t="n">
        <f aca="false">(EC79+EC55+EC58+EC108)*(EC$4&gt;In_COD)-($E127+$I58)*EC14</f>
        <v>2142.46929325322</v>
      </c>
      <c r="ED135" s="47" t="n">
        <f aca="false">(ED79+ED55+ED58+ED108)*(ED$4&gt;In_COD)-($E127+$I58)*ED14</f>
        <v>2134.03723494271</v>
      </c>
      <c r="EE135" s="47" t="n">
        <f aca="false">(EE79+EE55+EE58+EE108)*(EE$4&gt;In_COD)-($E127+$I58)*EE14</f>
        <v>2095.38963124086</v>
      </c>
      <c r="EF135" s="47" t="n">
        <f aca="false">(EF79+EF55+EF58+EF108)*(EF$4&gt;In_COD)-($E127+$I58)*EF14</f>
        <v>2118.67173825464</v>
      </c>
      <c r="EG135" s="47" t="n">
        <f aca="false">(EG79+EG55+EG58+EG108)*(EG$4&gt;In_COD)-($E127+$I58)*EG14</f>
        <v>2141.95384526843</v>
      </c>
      <c r="EH135" s="47" t="n">
        <f aca="false">(EH79+EH55+EH58+EH108)*(EH$4&gt;In_COD)-($E127+$I58)*EH14</f>
        <v>2133.47321704111</v>
      </c>
      <c r="EI135" s="47" t="n">
        <f aca="false">(EI79+EI55+EI58+EI108)*(EI$4&gt;In_COD)-($E127+$I58)*EI14</f>
        <v>2094.49412834513</v>
      </c>
      <c r="EJ135" s="47" t="n">
        <f aca="false">(EJ79+EJ55+EJ58+EJ108)*(EJ$4&gt;In_COD)-($E127+$I58)*EJ14</f>
        <v>2117.76628532674</v>
      </c>
      <c r="EK135" s="47" t="n">
        <f aca="false">(EK79+EK55+EK58+EK108)*(EK$4&gt;In_COD)-($E127+$I58)*EK14</f>
        <v>2141.03844230835</v>
      </c>
      <c r="EL135" s="47" t="n">
        <f aca="false">(EL79+EL55+EL58+EL108)*(EL$4&gt;In_COD)-($E127+$I58)*EL14</f>
        <v>2132.50919112262</v>
      </c>
      <c r="EM135" s="47" t="n">
        <f aca="false">(EM79+EM55+EM58+EM108)*(EM$4&gt;In_COD)-($E127+$I58)*EM14</f>
        <v>2116.45301662203</v>
      </c>
      <c r="EN135" s="47" t="n">
        <f aca="false">(EN79+EN55+EN58+EN108)*(EN$4&gt;In_COD)-($E127+$I58)*EN14</f>
        <v>2116.45301662203</v>
      </c>
      <c r="EO135" s="47" t="n">
        <f aca="false">(EO79+EO55+EO58+EO108)*(EO$4&gt;In_COD)-($E127+$I58)*EO14</f>
        <v>2139.71074207941</v>
      </c>
    </row>
    <row r="136" customFormat="false" ht="15" hidden="false" customHeight="false" outlineLevel="0" collapsed="false">
      <c r="C136" s="25" t="s">
        <v>124</v>
      </c>
      <c r="D136" s="11" t="s">
        <v>27</v>
      </c>
      <c r="E136" s="33" t="n">
        <f aca="false">XIRR($J135:$EO135,$J$4:$EO$4)</f>
        <v>0.0696894448393209</v>
      </c>
    </row>
    <row r="137" customFormat="false" ht="15" hidden="false" customHeight="false" outlineLevel="0" collapsed="false">
      <c r="C137" s="0" t="s">
        <v>480</v>
      </c>
      <c r="D137" s="11" t="s">
        <v>33</v>
      </c>
      <c r="I137" s="47" t="n">
        <f aca="false">SUM(J137:EO137)</f>
        <v>129732.791267351</v>
      </c>
      <c r="J137" s="47" t="n">
        <f aca="false">J135+J89+J97+$E94*J14</f>
        <v>0</v>
      </c>
      <c r="K137" s="47" t="n">
        <f aca="false">K135+K89+K97+$E94*K14</f>
        <v>0</v>
      </c>
      <c r="L137" s="47" t="n">
        <f aca="false">L135+L89+L97+$E94*L14</f>
        <v>0</v>
      </c>
      <c r="M137" s="47" t="n">
        <f aca="false">M135+M89+M97+$E94*M14</f>
        <v>0</v>
      </c>
      <c r="N137" s="47" t="n">
        <f aca="false">N135+N89+N97+$E94*N14</f>
        <v>0</v>
      </c>
      <c r="O137" s="47" t="n">
        <f aca="false">O135+O89+O97+$E94*O14</f>
        <v>0</v>
      </c>
      <c r="P137" s="47" t="n">
        <f aca="false">P135+P89+P97+$E94*P14</f>
        <v>0</v>
      </c>
      <c r="Q137" s="47" t="n">
        <f aca="false">Q135+Q89+Q97+$E94*Q14</f>
        <v>0</v>
      </c>
      <c r="R137" s="47" t="n">
        <f aca="false">R135+R89+R97+$E94*R14</f>
        <v>0</v>
      </c>
      <c r="S137" s="47" t="n">
        <f aca="false">S135+S89+S97+$E94*S14</f>
        <v>0</v>
      </c>
      <c r="T137" s="47" t="n">
        <f aca="false">T135+T89+T97+$E94*T14</f>
        <v>0</v>
      </c>
      <c r="U137" s="47" t="n">
        <f aca="false">U135+U89+U97+$E94*U14</f>
        <v>0</v>
      </c>
      <c r="V137" s="47" t="n">
        <f aca="false">V135+V89+V97+$E94*V14</f>
        <v>0</v>
      </c>
      <c r="W137" s="47" t="n">
        <f aca="false">W135+W89+W97+$E94*W14</f>
        <v>0</v>
      </c>
      <c r="X137" s="47" t="n">
        <f aca="false">X135+X89+X97+$E94*X14</f>
        <v>0</v>
      </c>
      <c r="Y137" s="47" t="n">
        <f aca="false">Y135+Y89+Y97+$E94*Y14</f>
        <v>-73405.513647373</v>
      </c>
      <c r="Z137" s="47" t="n">
        <f aca="false">Z135+Z89+Z97+$E94*Z14</f>
        <v>1392.55914281483</v>
      </c>
      <c r="AA137" s="47" t="n">
        <f aca="false">AA135+AA89+AA97+$E94*AA14</f>
        <v>1371.45687178281</v>
      </c>
      <c r="AB137" s="47" t="n">
        <f aca="false">AB135+AB89+AB97+$E94*AB14</f>
        <v>1386.22086233696</v>
      </c>
      <c r="AC137" s="47" t="n">
        <f aca="false">AC135+AC89+AC97+$E94*AC14</f>
        <v>1400.97677595446</v>
      </c>
      <c r="AD137" s="47" t="n">
        <f aca="false">AD135+AD89+AD97+$E94*AD14</f>
        <v>1390.29616705721</v>
      </c>
      <c r="AE137" s="47" t="n">
        <f aca="false">AE135+AE89+AE97+$E94*AE14</f>
        <v>1351.72474780482</v>
      </c>
      <c r="AF137" s="47" t="n">
        <f aca="false">AF135+AF89+AF97+$E94*AF14</f>
        <v>1351.29945580155</v>
      </c>
      <c r="AG137" s="47" t="n">
        <f aca="false">AG135+AG89+AG97+$E94*AG14</f>
        <v>1365.21752820946</v>
      </c>
      <c r="AH137" s="47" t="n">
        <f aca="false">AH135+AH89+AH97+$E94*AH14</f>
        <v>1360.38460432097</v>
      </c>
      <c r="AI137" s="47" t="n">
        <f aca="false">AI135+AI89+AI97+$E94*AI14</f>
        <v>1339.33516485586</v>
      </c>
      <c r="AJ137" s="47" t="n">
        <f aca="false">AJ135+AJ89+AJ97+$E94*AJ14</f>
        <v>1370.34291234756</v>
      </c>
      <c r="AK137" s="47" t="n">
        <f aca="false">AK135+AK89+AK97+$E94*AK14</f>
        <v>1384.45349428789</v>
      </c>
      <c r="AL137" s="47" t="n">
        <f aca="false">AL135+AL89+AL97+$E94*AL14</f>
        <v>1379.55611957687</v>
      </c>
      <c r="AM137" s="47" t="n">
        <f aca="false">AM135+AM89+AM97+$E94*AM14</f>
        <v>1357.93618433621</v>
      </c>
      <c r="AN137" s="47" t="n">
        <f aca="false">AN135+AN89+AN97+$E94*AN14</f>
        <v>1372.07807225946</v>
      </c>
      <c r="AO137" s="47" t="n">
        <f aca="false">AO135+AO89+AO97+$E94*AO14</f>
        <v>1386.20355243336</v>
      </c>
      <c r="AP137" s="47" t="n">
        <f aca="false">AP135+AP89+AP97+$E94*AP14</f>
        <v>1381.25287773641</v>
      </c>
      <c r="AQ137" s="47" t="n">
        <f aca="false">AQ135+AQ89+AQ97+$E94*AQ14</f>
        <v>1359.44725599279</v>
      </c>
      <c r="AR137" s="47" t="n">
        <f aca="false">AR135+AR89+AR97+$E94*AR14</f>
        <v>1373.60205706491</v>
      </c>
      <c r="AS137" s="47" t="n">
        <f aca="false">AS135+AS89+AS97+$E94*AS14</f>
        <v>1387.74011657251</v>
      </c>
      <c r="AT137" s="47" t="n">
        <f aca="false">AT135+AT89+AT97+$E94*AT14</f>
        <v>1382.73491773324</v>
      </c>
      <c r="AU137" s="47" t="n">
        <f aca="false">AU135+AU89+AU97+$E94*AU14</f>
        <v>1375.43453427299</v>
      </c>
      <c r="AV137" s="47" t="n">
        <f aca="false">AV135+AV89+AV97+$E94*AV14</f>
        <v>1374.89545433308</v>
      </c>
      <c r="AW137" s="47" t="n">
        <f aca="false">AW135+AW89+AW97+$E94*AW14</f>
        <v>1389.04355198578</v>
      </c>
      <c r="AX137" s="47" t="n">
        <f aca="false">AX135+AX89+AX97+$E94*AX14</f>
        <v>1383.98242566168</v>
      </c>
      <c r="AY137" s="47" t="n">
        <f aca="false">AY135+AY89+AY97+$E94*AY14</f>
        <v>1361.79745225747</v>
      </c>
      <c r="AZ137" s="47" t="n">
        <f aca="false">AZ135+AZ89+AZ97+$E94*AZ14</f>
        <v>1375.97064819389</v>
      </c>
      <c r="BA137" s="47" t="n">
        <f aca="false">BA135+BA89+BA97+$E94*BA14</f>
        <v>1390.12639459455</v>
      </c>
      <c r="BB137" s="47" t="n">
        <f aca="false">BB135+BB89+BB97+$E94*BB14</f>
        <v>1385.00813797276</v>
      </c>
      <c r="BC137" s="47" t="n">
        <f aca="false">BC135+BC89+BC97+$E94*BC14</f>
        <v>1362.62947945528</v>
      </c>
      <c r="BD137" s="47" t="n">
        <f aca="false">BD135+BD89+BD97+$E94*BD14</f>
        <v>1376.80808498662</v>
      </c>
      <c r="BE137" s="47" t="n">
        <f aca="false">BE135+BE89+BE97+$E94*BE14</f>
        <v>1390.96886711233</v>
      </c>
      <c r="BF137" s="47" t="n">
        <f aca="false">BF135+BF89+BF97+$E94*BF14</f>
        <v>1385.79209934493</v>
      </c>
      <c r="BG137" s="47" t="n">
        <f aca="false">BG135+BG89+BG97+$E94*BG14</f>
        <v>1363.21694197296</v>
      </c>
      <c r="BH137" s="47" t="n">
        <f aca="false">BH135+BH89+BH97+$E94*BH14</f>
        <v>1377.39825328785</v>
      </c>
      <c r="BI137" s="47" t="n">
        <f aca="false">BI135+BI89+BI97+$E94*BI14</f>
        <v>1391.56135275236</v>
      </c>
      <c r="BJ137" s="47" t="n">
        <f aca="false">BJ135+BJ89+BJ97+$E94*BJ14</f>
        <v>1386.32463590851</v>
      </c>
      <c r="BK137" s="47" t="n">
        <f aca="false">BK135+BK89+BK97+$E94*BK14</f>
        <v>1378.38074772005</v>
      </c>
      <c r="BL137" s="47" t="n">
        <f aca="false">BL135+BL89+BL97+$E94*BL14</f>
        <v>1377.72031293265</v>
      </c>
      <c r="BM137" s="47" t="n">
        <f aca="false">BM135+BM89+BM97+$E94*BM14</f>
        <v>1391.88277293514</v>
      </c>
      <c r="BN137" s="47" t="n">
        <f aca="false">BN135+BN89+BN97+$E94*BN14</f>
        <v>1386.58447871656</v>
      </c>
      <c r="BO137" s="47" t="n">
        <f aca="false">BO135+BO89+BO97+$E94*BO14</f>
        <v>1363.60742883448</v>
      </c>
      <c r="BP137" s="47" t="n">
        <f aca="false">BP135+BP89+BP97+$E94*BP14</f>
        <v>1377.78546792516</v>
      </c>
      <c r="BQ137" s="47" t="n">
        <f aca="false">BQ135+BQ89+BQ97+$E94*BQ14</f>
        <v>1391.94447025881</v>
      </c>
      <c r="BR137" s="47" t="n">
        <f aca="false">BR135+BR89+BR97+$E94*BR14</f>
        <v>1386.58316280647</v>
      </c>
      <c r="BS137" s="47" t="n">
        <f aca="false">BS135+BS89+BS97+$E94*BS14</f>
        <v>1363.40067641479</v>
      </c>
      <c r="BT137" s="47" t="n">
        <f aca="false">BT135+BT89+BT97+$E94*BT14</f>
        <v>1377.57263512143</v>
      </c>
      <c r="BU137" s="47" t="n">
        <f aca="false">BU135+BU89+BU97+$E94*BU14</f>
        <v>1391.72512066484</v>
      </c>
      <c r="BV137" s="47" t="n">
        <f aca="false">BV135+BV89+BV97+$E94*BV14</f>
        <v>1386.29917398599</v>
      </c>
      <c r="BW137" s="47" t="n">
        <f aca="false">BW135+BW89+BW97+$E94*BW14</f>
        <v>1362.90809939568</v>
      </c>
      <c r="BX137" s="47" t="n">
        <f aca="false">BX135+BX89+BX97+$E94*BX14</f>
        <v>1377.07081390023</v>
      </c>
      <c r="BY137" s="47" t="n">
        <f aca="false">BY135+BY89+BY97+$E94*BY14</f>
        <v>1391.21360137095</v>
      </c>
      <c r="BZ137" s="47" t="n">
        <f aca="false">BZ135+BZ89+BZ97+$E94*BZ14</f>
        <v>1385.72132092258</v>
      </c>
      <c r="CA137" s="47" t="n">
        <f aca="false">CA135+CA89+CA97+$E94*CA14</f>
        <v>1377.06257876944</v>
      </c>
      <c r="CB137" s="47" t="n">
        <f aca="false">CB135+CB89+CB97+$E94*CB14</f>
        <v>1376.25753187902</v>
      </c>
      <c r="CC137" s="47" t="n">
        <f aca="false">CC135+CC89+CC97+$E94*CC14</f>
        <v>1390.38718311829</v>
      </c>
      <c r="CD137" s="47" t="n">
        <f aca="false">CD135+CD89+CD97+$E94*CD14</f>
        <v>1384.82667097674</v>
      </c>
      <c r="CE137" s="47" t="n">
        <f aca="false">CE135+CE89+CE97+$E94*CE14</f>
        <v>1361.00845614214</v>
      </c>
      <c r="CF137" s="47" t="n">
        <f aca="false">CF135+CF89+CF97+$E94*CF14</f>
        <v>1375.14254736351</v>
      </c>
      <c r="CG137" s="47" t="n">
        <f aca="false">CG135+CG89+CG97+$E94*CG14</f>
        <v>1389.2557465565</v>
      </c>
      <c r="CH137" s="47" t="n">
        <f aca="false">CH135+CH89+CH97+$E94*CH14</f>
        <v>1383.62528660295</v>
      </c>
      <c r="CI137" s="47" t="n">
        <f aca="false">CI135+CI89+CI97+$E94*CI14</f>
        <v>1359.58844922574</v>
      </c>
      <c r="CJ137" s="47" t="n">
        <f aca="false">CJ135+CJ89+CJ97+$E94*CJ14</f>
        <v>1373.70302316529</v>
      </c>
      <c r="CK137" s="47" t="n">
        <f aca="false">CK135+CK89+CK97+$E94*CK14</f>
        <v>1387.79619372517</v>
      </c>
      <c r="CL137" s="47" t="n">
        <f aca="false">CL135+CL89+CL97+$E94*CL14</f>
        <v>1382.09386556742</v>
      </c>
      <c r="CM137" s="47" t="n">
        <f aca="false">CM135+CM89+CM97+$E94*CM14</f>
        <v>1357.83485874052</v>
      </c>
      <c r="CN137" s="47" t="n">
        <f aca="false">CN135+CN89+CN97+$E94*CN14</f>
        <v>1371.92621791199</v>
      </c>
      <c r="CO137" s="47" t="n">
        <f aca="false">CO135+CO89+CO97+$E94*CO14</f>
        <v>1385.99564140895</v>
      </c>
      <c r="CP137" s="47" t="n">
        <f aca="false">CP135+CP89+CP97+$E94*CP14</f>
        <v>1380.21944229057</v>
      </c>
      <c r="CQ137" s="47" t="n">
        <f aca="false">CQ135+CQ89+CQ97+$E94*CQ14</f>
        <v>1370.76523802716</v>
      </c>
      <c r="CR137" s="47" t="n">
        <f aca="false">CR135+CR89+CR97+$E94*CR14</f>
        <v>1369.787784713</v>
      </c>
      <c r="CS137" s="47" t="n">
        <f aca="false">CS135+CS89+CS97+$E94*CS14</f>
        <v>2292.21691256103</v>
      </c>
      <c r="CT137" s="47" t="n">
        <f aca="false">CT135+CT89+CT97+$E94*CT14</f>
        <v>2276.85258115707</v>
      </c>
      <c r="CU137" s="47" t="n">
        <f aca="false">CU135+CU89+CU97+$E94*CU14</f>
        <v>2237.7017294597</v>
      </c>
      <c r="CV137" s="47" t="n">
        <f aca="false">CV135+CV89+CV97+$E94*CV14</f>
        <v>2262.56508200925</v>
      </c>
      <c r="CW137" s="47" t="n">
        <f aca="false">CW135+CW89+CW97+$E94*CW14</f>
        <v>2287.42843455881</v>
      </c>
      <c r="CX137" s="47" t="n">
        <f aca="false">CX135+CX89+CX97+$E94*CX14</f>
        <v>2279.38239570403</v>
      </c>
      <c r="CY137" s="47" t="n">
        <f aca="false">CY135+CY89+CY97+$E94*CY14</f>
        <v>2239.92792695099</v>
      </c>
      <c r="CZ137" s="47" t="n">
        <f aca="false">CZ135+CZ89+CZ97+$E94*CZ14</f>
        <v>2264.81601502822</v>
      </c>
      <c r="DA137" s="47" t="n">
        <f aca="false">DA135+DA89+DA97+$E94*DA14</f>
        <v>2289.70410310546</v>
      </c>
      <c r="DB137" s="47" t="n">
        <f aca="false">DB135+DB89+DB97+$E94*DB14</f>
        <v>2127.75796595667</v>
      </c>
      <c r="DC137" s="47" t="n">
        <f aca="false">DC135+DC89+DC97+$E94*DC14</f>
        <v>2091.34156892558</v>
      </c>
      <c r="DD137" s="47" t="n">
        <f aca="false">DD135+DD89+DD97+$E94*DD14</f>
        <v>2114.5786974692</v>
      </c>
      <c r="DE137" s="47" t="n">
        <f aca="false">DE135+DE89+DE97+$E94*DE14</f>
        <v>2137.81582601281</v>
      </c>
      <c r="DF137" s="47" t="n">
        <f aca="false">DF135+DF89+DF97+$E94*DF14</f>
        <v>2129.67377475099</v>
      </c>
      <c r="DG137" s="47" t="n">
        <f aca="false">DG135+DG89+DG97+$E94*DG14</f>
        <v>2116.20284972323</v>
      </c>
      <c r="DH137" s="47" t="n">
        <f aca="false">DH135+DH89+DH97+$E94*DH14</f>
        <v>2116.20284972323</v>
      </c>
      <c r="DI137" s="47" t="n">
        <f aca="false">DI135+DI89+DI97+$E94*DI14</f>
        <v>2139.45782609381</v>
      </c>
      <c r="DJ137" s="47" t="n">
        <f aca="false">DJ135+DJ89+DJ97+$E94*DJ14</f>
        <v>2131.26763373715</v>
      </c>
      <c r="DK137" s="47" t="n">
        <f aca="false">DK135+DK89+DK97+$E94*DK14</f>
        <v>2094.22922134031</v>
      </c>
      <c r="DL137" s="47" t="n">
        <f aca="false">DL135+DL89+DL97+$E94*DL14</f>
        <v>2117.49843491076</v>
      </c>
      <c r="DM137" s="47" t="n">
        <f aca="false">DM135+DM89+DM97+$E94*DM14</f>
        <v>2140.76764848121</v>
      </c>
      <c r="DN137" s="47" t="n">
        <f aca="false">DN135+DN89+DN97+$E94*DN14</f>
        <v>2132.52923118543</v>
      </c>
      <c r="DO137" s="47" t="n">
        <f aca="false">DO135+DO89+DO97+$E94*DO14</f>
        <v>2095.17525809415</v>
      </c>
      <c r="DP137" s="47" t="n">
        <f aca="false">DP135+DP89+DP97+$E94*DP14</f>
        <v>2118.45498318408</v>
      </c>
      <c r="DQ137" s="47" t="n">
        <f aca="false">DQ135+DQ89+DQ97+$E94*DQ14</f>
        <v>2141.73470827402</v>
      </c>
      <c r="DR137" s="47" t="n">
        <f aca="false">DR135+DR89+DR97+$E94*DR14</f>
        <v>2133.4479869401</v>
      </c>
      <c r="DS137" s="47" t="n">
        <f aca="false">DS135+DS89+DS97+$E94*DS14</f>
        <v>2095.77535956</v>
      </c>
      <c r="DT137" s="47" t="n">
        <f aca="false">DT135+DT89+DT97+$E94*DT14</f>
        <v>2119.061752444</v>
      </c>
      <c r="DU137" s="47" t="n">
        <f aca="false">DU135+DU89+DU97+$E94*DU14</f>
        <v>2142.348145328</v>
      </c>
      <c r="DV137" s="47" t="n">
        <f aca="false">DV135+DV89+DV97+$E94*DV14</f>
        <v>2134.01304575269</v>
      </c>
      <c r="DW137" s="47" t="n">
        <f aca="false">DW135+DW89+DW97+$E94*DW14</f>
        <v>2119.30772157993</v>
      </c>
      <c r="DX137" s="47" t="n">
        <f aca="false">DX135+DX89+DX97+$E94*DX14</f>
        <v>2119.30772157993</v>
      </c>
      <c r="DY137" s="47" t="n">
        <f aca="false">DY135+DY89+DY97+$E94*DY14</f>
        <v>2142.59681742147</v>
      </c>
      <c r="DZ137" s="47" t="n">
        <f aca="false">DZ135+DZ89+DZ97+$E94*DZ14</f>
        <v>2134.2132704514</v>
      </c>
      <c r="EA137" s="47" t="n">
        <f aca="false">EA135+EA89+EA97+$E94*EA14</f>
        <v>2095.89387383467</v>
      </c>
      <c r="EB137" s="47" t="n">
        <f aca="false">EB135+EB89+EB97+$E94*EB14</f>
        <v>2119.18158354395</v>
      </c>
      <c r="EC137" s="47" t="n">
        <f aca="false">EC135+EC89+EC97+$E94*EC14</f>
        <v>2142.46929325322</v>
      </c>
      <c r="ED137" s="47" t="n">
        <f aca="false">ED135+ED89+ED97+$E94*ED14</f>
        <v>2134.03723494271</v>
      </c>
      <c r="EE137" s="47" t="n">
        <f aca="false">EE135+EE89+EE97+$E94*EE14</f>
        <v>2095.38963124086</v>
      </c>
      <c r="EF137" s="47" t="n">
        <f aca="false">EF135+EF89+EF97+$E94*EF14</f>
        <v>2118.67173825464</v>
      </c>
      <c r="EG137" s="47" t="n">
        <f aca="false">EG135+EG89+EG97+$E94*EG14</f>
        <v>2141.95384526843</v>
      </c>
      <c r="EH137" s="47" t="n">
        <f aca="false">EH135+EH89+EH97+$E94*EH14</f>
        <v>2133.47321704111</v>
      </c>
      <c r="EI137" s="47" t="n">
        <f aca="false">EI135+EI89+EI97+$E94*EI14</f>
        <v>2094.49412834513</v>
      </c>
      <c r="EJ137" s="47" t="n">
        <f aca="false">EJ135+EJ89+EJ97+$E94*EJ14</f>
        <v>2117.76628532674</v>
      </c>
      <c r="EK137" s="47" t="n">
        <f aca="false">EK135+EK89+EK97+$E94*EK14</f>
        <v>2141.03844230835</v>
      </c>
      <c r="EL137" s="47" t="n">
        <f aca="false">EL135+EL89+EL97+$E94*EL14</f>
        <v>2132.50919112262</v>
      </c>
      <c r="EM137" s="47" t="n">
        <f aca="false">EM135+EM89+EM97+$E94*EM14</f>
        <v>2116.45301662203</v>
      </c>
      <c r="EN137" s="47" t="n">
        <f aca="false">EN135+EN89+EN97+$E94*EN14</f>
        <v>2116.45301662203</v>
      </c>
      <c r="EO137" s="47" t="n">
        <f aca="false">EO135+EO89+EO97+$E94*EO14</f>
        <v>2139.71074207941</v>
      </c>
    </row>
    <row r="138" customFormat="false" ht="15" hidden="false" customHeight="false" outlineLevel="0" collapsed="false">
      <c r="C138" s="25" t="s">
        <v>481</v>
      </c>
      <c r="D138" s="11" t="s">
        <v>27</v>
      </c>
      <c r="E138" s="33" t="n">
        <f aca="false">XIRR($J137:$EO137,$J$4:$EO$4)</f>
        <v>0.0754971888634913</v>
      </c>
    </row>
    <row r="140" customFormat="false" ht="15" hidden="false" customHeight="false" outlineLevel="0" collapsed="false">
      <c r="A140" s="9" t="s">
        <v>13</v>
      </c>
      <c r="B140" s="9"/>
      <c r="C140" s="9" t="s">
        <v>482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</row>
    <row r="141" customFormat="false" ht="15" hidden="false" customHeight="false" outlineLevel="0" collapsed="false">
      <c r="C141" s="0" t="s">
        <v>483</v>
      </c>
      <c r="D141" s="11" t="s">
        <v>33</v>
      </c>
      <c r="I141" s="47" t="n">
        <f aca="false">SUM(J141:EO141)</f>
        <v>186542.075634911</v>
      </c>
      <c r="J141" s="47" t="n">
        <f aca="false">J59+J66+J79+J58+J108</f>
        <v>-4662.80993807469</v>
      </c>
      <c r="K141" s="47" t="n">
        <f aca="false">K59+K66+K79+K58+K108</f>
        <v>-706.535577057768</v>
      </c>
      <c r="L141" s="47" t="n">
        <f aca="false">L59+L66+L79+L58+L108</f>
        <v>-104.360496659404</v>
      </c>
      <c r="M141" s="47" t="n">
        <f aca="false">M59+M66+M79+M58+M108</f>
        <v>-105.507315304013</v>
      </c>
      <c r="N141" s="47" t="n">
        <f aca="false">N59+N66+N79+N58+N108</f>
        <v>-105.507315304013</v>
      </c>
      <c r="O141" s="47" t="n">
        <f aca="false">O59+O66+O79+O58+O108</f>
        <v>-104.360496659404</v>
      </c>
      <c r="P141" s="47" t="n">
        <f aca="false">P59+P66+P79+P58+P108</f>
        <v>-104.360496659404</v>
      </c>
      <c r="Q141" s="47" t="n">
        <f aca="false">Q59+Q66+Q79+Q58+Q108</f>
        <v>-105.507315304013</v>
      </c>
      <c r="R141" s="47" t="n">
        <f aca="false">R59+R66+R79+R58+R108</f>
        <v>-8029.46084763546</v>
      </c>
      <c r="S141" s="47" t="n">
        <f aca="false">S59+S66+S79+S58+S108</f>
        <v>-16010.74701985</v>
      </c>
      <c r="T141" s="47" t="n">
        <f aca="false">T59+T66+T79+T58+T108</f>
        <v>-7943.21191215576</v>
      </c>
      <c r="U141" s="47" t="n">
        <f aca="false">U59+U66+U79+U58+U108</f>
        <v>-8030.49995514649</v>
      </c>
      <c r="V141" s="47" t="n">
        <f aca="false">V59+V66+V79+V58+V108</f>
        <v>-8030.49995514649</v>
      </c>
      <c r="W141" s="47" t="n">
        <f aca="false">W59+W66+W79+W58+W108</f>
        <v>-7856.96580033778</v>
      </c>
      <c r="X141" s="47" t="n">
        <f aca="false">X59+X66+X79+X58+X108</f>
        <v>-7944.26542034153</v>
      </c>
      <c r="Y141" s="47" t="n">
        <f aca="false">Y59+Y66+Y79+Y58+Y108</f>
        <v>-10531.5650403453</v>
      </c>
      <c r="Z141" s="47" t="n">
        <f aca="false">Z59+Z66+Z79+Z58+Z108</f>
        <v>2300.94659077018</v>
      </c>
      <c r="AA141" s="47" t="n">
        <f aca="false">AA59+AA66+AA79+AA58+AA108</f>
        <v>2266.07898831382</v>
      </c>
      <c r="AB141" s="47" t="n">
        <f aca="false">AB59+AB66+AB79+AB58+AB108</f>
        <v>2290.47375381228</v>
      </c>
      <c r="AC141" s="47" t="n">
        <f aca="false">AC59+AC66+AC79+AC58+AC108</f>
        <v>2314.85517366584</v>
      </c>
      <c r="AD141" s="47" t="n">
        <f aca="false">AD59+AD66+AD79+AD58+AD108</f>
        <v>2297.20744160619</v>
      </c>
      <c r="AE141" s="47" t="n">
        <f aca="false">AE59+AE66+AE79+AE58+AE108</f>
        <v>2233.47530061397</v>
      </c>
      <c r="AF141" s="47" t="n">
        <f aca="false">AF59+AF66+AF79+AF58+AF108</f>
        <v>2232.77258418714</v>
      </c>
      <c r="AG141" s="47" t="n">
        <f aca="false">AG59+AG66+AG79+AG58+AG108</f>
        <v>2255.76962630366</v>
      </c>
      <c r="AH141" s="47" t="n">
        <f aca="false">AH59+AH66+AH79+AH58+AH108</f>
        <v>2247.78411286817</v>
      </c>
      <c r="AI141" s="47" t="n">
        <f aca="false">AI59+AI66+AI79+AI58+AI108</f>
        <v>2213.00380481104</v>
      </c>
      <c r="AJ141" s="47" t="n">
        <f aca="false">AJ59+AJ66+AJ79+AJ58+AJ108</f>
        <v>2264.23837624495</v>
      </c>
      <c r="AK141" s="47" t="n">
        <f aca="false">AK59+AK66+AK79+AK58+AK108</f>
        <v>2287.55350478145</v>
      </c>
      <c r="AL141" s="47" t="n">
        <f aca="false">AL59+AL66+AL79+AL58+AL108</f>
        <v>2279.46149827445</v>
      </c>
      <c r="AM141" s="47" t="n">
        <f aca="false">AM59+AM66+AM79+AM58+AM108</f>
        <v>2243.73855139544</v>
      </c>
      <c r="AN141" s="47" t="n">
        <f aca="false">AN59+AN66+AN79+AN58+AN108</f>
        <v>2267.10540728229</v>
      </c>
      <c r="AO141" s="47" t="n">
        <f aca="false">AO59+AO66+AO79+AO58+AO108</f>
        <v>2290.44515239607</v>
      </c>
      <c r="AP141" s="47" t="n">
        <f aca="false">AP59+AP66+AP79+AP58+AP108</f>
        <v>2282.26507751399</v>
      </c>
      <c r="AQ141" s="47" t="n">
        <f aca="false">AQ59+AQ66+AQ79+AQ58+AQ108</f>
        <v>2246.23531801011</v>
      </c>
      <c r="AR141" s="47" t="n">
        <f aca="false">AR59+AR66+AR79+AR58+AR108</f>
        <v>2269.62351048867</v>
      </c>
      <c r="AS141" s="47" t="n">
        <f aca="false">AS59+AS66+AS79+AS58+AS108</f>
        <v>2292.9840406263</v>
      </c>
      <c r="AT141" s="47" t="n">
        <f aca="false">AT59+AT66+AT79+AT58+AT108</f>
        <v>2284.71387467699</v>
      </c>
      <c r="AU141" s="47" t="n">
        <f aca="false">AU59+AU66+AU79+AU58+AU108</f>
        <v>2272.6513403704</v>
      </c>
      <c r="AV141" s="47" t="n">
        <f aca="false">AV59+AV66+AV79+AV58+AV108</f>
        <v>2271.76061041021</v>
      </c>
      <c r="AW141" s="47" t="n">
        <f aca="false">AW59+AW66+AW79+AW58+AW108</f>
        <v>2295.13772672722</v>
      </c>
      <c r="AX141" s="47" t="n">
        <f aca="false">AX59+AX66+AX79+AX58+AX108</f>
        <v>2286.77515094656</v>
      </c>
      <c r="AY141" s="47" t="n">
        <f aca="false">AY59+AY66+AY79+AY58+AY108</f>
        <v>2250.11858294074</v>
      </c>
      <c r="AZ141" s="47" t="n">
        <f aca="false">AZ59+AZ66+AZ79+AZ58+AZ108</f>
        <v>2273.53716953258</v>
      </c>
      <c r="BA141" s="47" t="n">
        <f aca="false">BA59+BA66+BA79+BA58+BA108</f>
        <v>2296.92692399184</v>
      </c>
      <c r="BB141" s="47" t="n">
        <f aca="false">BB59+BB66+BB79+BB58+BB108</f>
        <v>2288.46995095388</v>
      </c>
      <c r="BC141" s="47" t="n">
        <f aca="false">BC59+BC66+BC79+BC58+BC108</f>
        <v>2251.49335409804</v>
      </c>
      <c r="BD141" s="47" t="n">
        <f aca="false">BD59+BD66+BD79+BD58+BD108</f>
        <v>2274.92087904561</v>
      </c>
      <c r="BE141" s="47" t="n">
        <f aca="false">BE59+BE66+BE79+BE58+BE108</f>
        <v>2298.31895410975</v>
      </c>
      <c r="BF141" s="47" t="n">
        <f aca="false">BF59+BF66+BF79+BF58+BF108</f>
        <v>2289.76530221853</v>
      </c>
      <c r="BG141" s="47" t="n">
        <f aca="false">BG59+BG66+BG79+BG58+BG108</f>
        <v>2252.46402732537</v>
      </c>
      <c r="BH141" s="47" t="n">
        <f aca="false">BH59+BH66+BH79+BH58+BH108</f>
        <v>2275.89602308012</v>
      </c>
      <c r="BI141" s="47" t="n">
        <f aca="false">BI59+BI66+BI79+BI58+BI108</f>
        <v>2299.2979271183</v>
      </c>
      <c r="BJ141" s="47" t="n">
        <f aca="false">BJ59+BJ66+BJ79+BJ58+BJ108</f>
        <v>2290.64522045888</v>
      </c>
      <c r="BK141" s="47" t="n">
        <f aca="false">BK59+BK66+BK79+BK58+BK108</f>
        <v>2277.5194135307</v>
      </c>
      <c r="BL141" s="47" t="n">
        <f aca="false">BL59+BL66+BL79+BL58+BL108</f>
        <v>2276.42816711555</v>
      </c>
      <c r="BM141" s="47" t="n">
        <f aca="false">BM59+BM66+BM79+BM58+BM108</f>
        <v>2299.82901456092</v>
      </c>
      <c r="BN141" s="47" t="n">
        <f aca="false">BN59+BN66+BN79+BN58+BN108</f>
        <v>2291.07456267138</v>
      </c>
      <c r="BO141" s="47" t="n">
        <f aca="false">BO59+BO66+BO79+BO58+BO108</f>
        <v>2253.10923468878</v>
      </c>
      <c r="BP141" s="47" t="n">
        <f aca="false">BP59+BP66+BP79+BP58+BP108</f>
        <v>2276.53582369783</v>
      </c>
      <c r="BQ141" s="47" t="n">
        <f aca="false">BQ59+BQ66+BQ79+BQ58+BQ108</f>
        <v>2299.93095798453</v>
      </c>
      <c r="BR141" s="47" t="n">
        <f aca="false">BR59+BR66+BR79+BR58+BR108</f>
        <v>2291.0723883732</v>
      </c>
      <c r="BS141" s="47" t="n">
        <f aca="false">BS59+BS66+BS79+BS58+BS108</f>
        <v>2252.7676145302</v>
      </c>
      <c r="BT141" s="47" t="n">
        <f aca="false">BT59+BT66+BT79+BT58+BT108</f>
        <v>2276.18415682849</v>
      </c>
      <c r="BU141" s="47" t="n">
        <f aca="false">BU59+BU66+BU79+BU58+BU108</f>
        <v>2299.56852332383</v>
      </c>
      <c r="BV141" s="47" t="n">
        <f aca="false">BV59+BV66+BV79+BV58+BV108</f>
        <v>2290.60314933822</v>
      </c>
      <c r="BW141" s="47" t="n">
        <f aca="false">BW59+BW66+BW79+BW58+BW108</f>
        <v>2251.95372205123</v>
      </c>
      <c r="BX141" s="47" t="n">
        <f aca="false">BX59+BX66+BX79+BX58+BX108</f>
        <v>2275.3549900142</v>
      </c>
      <c r="BY141" s="47" t="n">
        <f aca="false">BY59+BY66+BY79+BY58+BY108</f>
        <v>2298.72333223695</v>
      </c>
      <c r="BZ141" s="47" t="n">
        <f aca="false">BZ59+BZ66+BZ79+BZ58+BZ108</f>
        <v>2289.64835395796</v>
      </c>
      <c r="CA141" s="47" t="n">
        <f aca="false">CA59+CA66+CA79+CA58+CA108</f>
        <v>2275.34138298266</v>
      </c>
      <c r="CB141" s="47" t="n">
        <f aca="false">CB59+CB66+CB79+CB58+CB108</f>
        <v>2274.01119179652</v>
      </c>
      <c r="CC141" s="47" t="n">
        <f aca="false">CC59+CC66+CC79+CC58+CC108</f>
        <v>2297.35782882481</v>
      </c>
      <c r="CD141" s="47" t="n">
        <f aca="false">CD59+CD66+CD79+CD58+CD108</f>
        <v>2288.17011028439</v>
      </c>
      <c r="CE141" s="47" t="n">
        <f aca="false">CE59+CE66+CE79+CE58+CE108</f>
        <v>2248.81491269389</v>
      </c>
      <c r="CF141" s="47" t="n">
        <f aca="false">CF59+CF66+CF79+CF58+CF108</f>
        <v>2272.16888597195</v>
      </c>
      <c r="CG141" s="47" t="n">
        <f aca="false">CG59+CG66+CG79+CG58+CG108</f>
        <v>2295.48833903467</v>
      </c>
      <c r="CH141" s="47" t="n">
        <f aca="false">CH59+CH66+CH79+CH58+CH108</f>
        <v>2286.18504466367</v>
      </c>
      <c r="CI141" s="47" t="n">
        <f aca="false">CI59+CI66+CI79+CI58+CI108</f>
        <v>2246.46861373046</v>
      </c>
      <c r="CJ141" s="47" t="n">
        <f aca="false">CJ59+CJ66+CJ79+CJ58+CJ108</f>
        <v>2269.79033830776</v>
      </c>
      <c r="CK141" s="47" t="n">
        <f aca="false">CK59+CK66+CK79+CK58+CK108</f>
        <v>2293.07669775624</v>
      </c>
      <c r="CL141" s="47" t="n">
        <f aca="false">CL59+CL66+CL79+CL58+CL108</f>
        <v>2283.65465446152</v>
      </c>
      <c r="CM141" s="47" t="n">
        <f aca="false">CM59+CM66+CM79+CM58+CM108</f>
        <v>2243.57112957722</v>
      </c>
      <c r="CN141" s="47" t="n">
        <f aca="false">CN59+CN66+CN79+CN58+CN108</f>
        <v>2266.85449604117</v>
      </c>
      <c r="CO141" s="47" t="n">
        <f aca="false">CO59+CO66+CO79+CO58+CO108</f>
        <v>2290.10161785745</v>
      </c>
      <c r="CP141" s="47" t="n">
        <f aca="false">CP59+CP66+CP79+CP58+CP108</f>
        <v>2280.55751645417</v>
      </c>
      <c r="CQ141" s="47" t="n">
        <f aca="false">CQ59+CQ66+CQ79+CQ58+CQ108</f>
        <v>2264.93619137034</v>
      </c>
      <c r="CR141" s="47" t="n">
        <f aca="false">CR59+CR66+CR79+CR58+CR108</f>
        <v>2263.32113043559</v>
      </c>
      <c r="CS141" s="47" t="n">
        <f aca="false">CS59+CS66+CS79+CS58+CS108</f>
        <v>2286.52241107376</v>
      </c>
      <c r="CT141" s="47" t="n">
        <f aca="false">CT59+CT66+CT79+CT58+CT108</f>
        <v>2276.85258115707</v>
      </c>
      <c r="CU141" s="47" t="n">
        <f aca="false">CU59+CU66+CU79+CU58+CU108</f>
        <v>2237.7017294597</v>
      </c>
      <c r="CV141" s="47" t="n">
        <f aca="false">CV59+CV66+CV79+CV58+CV108</f>
        <v>2262.56508200925</v>
      </c>
      <c r="CW141" s="47" t="n">
        <f aca="false">CW59+CW66+CW79+CW58+CW108</f>
        <v>2287.42843455881</v>
      </c>
      <c r="CX141" s="47" t="n">
        <f aca="false">CX59+CX66+CX79+CX58+CX108</f>
        <v>2279.38239570403</v>
      </c>
      <c r="CY141" s="47" t="n">
        <f aca="false">CY59+CY66+CY79+CY58+CY108</f>
        <v>2239.92792695099</v>
      </c>
      <c r="CZ141" s="47" t="n">
        <f aca="false">CZ59+CZ66+CZ79+CZ58+CZ108</f>
        <v>2264.81601502822</v>
      </c>
      <c r="DA141" s="47" t="n">
        <f aca="false">DA59+DA66+DA79+DA58+DA108</f>
        <v>2289.70410310546</v>
      </c>
      <c r="DB141" s="47" t="n">
        <f aca="false">DB59+DB66+DB79+DB58+DB108</f>
        <v>2127.75796595667</v>
      </c>
      <c r="DC141" s="47" t="n">
        <f aca="false">DC59+DC66+DC79+DC58+DC108</f>
        <v>2091.34156892558</v>
      </c>
      <c r="DD141" s="47" t="n">
        <f aca="false">DD59+DD66+DD79+DD58+DD108</f>
        <v>2114.5786974692</v>
      </c>
      <c r="DE141" s="47" t="n">
        <f aca="false">DE59+DE66+DE79+DE58+DE108</f>
        <v>2137.81582601281</v>
      </c>
      <c r="DF141" s="47" t="n">
        <f aca="false">DF59+DF66+DF79+DF58+DF108</f>
        <v>2129.67377475099</v>
      </c>
      <c r="DG141" s="47" t="n">
        <f aca="false">DG59+DG66+DG79+DG58+DG108</f>
        <v>2116.20284972323</v>
      </c>
      <c r="DH141" s="47" t="n">
        <f aca="false">DH59+DH66+DH79+DH58+DH108</f>
        <v>2116.20284972323</v>
      </c>
      <c r="DI141" s="47" t="n">
        <f aca="false">DI59+DI66+DI79+DI58+DI108</f>
        <v>2139.45782609381</v>
      </c>
      <c r="DJ141" s="47" t="n">
        <f aca="false">DJ59+DJ66+DJ79+DJ58+DJ108</f>
        <v>2131.26763373715</v>
      </c>
      <c r="DK141" s="47" t="n">
        <f aca="false">DK59+DK66+DK79+DK58+DK108</f>
        <v>2094.22922134031</v>
      </c>
      <c r="DL141" s="47" t="n">
        <f aca="false">DL59+DL66+DL79+DL58+DL108</f>
        <v>2117.49843491076</v>
      </c>
      <c r="DM141" s="47" t="n">
        <f aca="false">DM59+DM66+DM79+DM58+DM108</f>
        <v>2140.76764848121</v>
      </c>
      <c r="DN141" s="47" t="n">
        <f aca="false">DN59+DN66+DN79+DN58+DN108</f>
        <v>2132.52923118543</v>
      </c>
      <c r="DO141" s="47" t="n">
        <f aca="false">DO59+DO66+DO79+DO58+DO108</f>
        <v>2095.17525809415</v>
      </c>
      <c r="DP141" s="47" t="n">
        <f aca="false">DP59+DP66+DP79+DP58+DP108</f>
        <v>2118.45498318408</v>
      </c>
      <c r="DQ141" s="47" t="n">
        <f aca="false">DQ59+DQ66+DQ79+DQ58+DQ108</f>
        <v>2141.73470827402</v>
      </c>
      <c r="DR141" s="47" t="n">
        <f aca="false">DR59+DR66+DR79+DR58+DR108</f>
        <v>2133.4479869401</v>
      </c>
      <c r="DS141" s="47" t="n">
        <f aca="false">DS59+DS66+DS79+DS58+DS108</f>
        <v>2095.77535956</v>
      </c>
      <c r="DT141" s="47" t="n">
        <f aca="false">DT59+DT66+DT79+DT58+DT108</f>
        <v>2119.061752444</v>
      </c>
      <c r="DU141" s="47" t="n">
        <f aca="false">DU59+DU66+DU79+DU58+DU108</f>
        <v>2142.348145328</v>
      </c>
      <c r="DV141" s="47" t="n">
        <f aca="false">DV59+DV66+DV79+DV58+DV108</f>
        <v>2134.01304575269</v>
      </c>
      <c r="DW141" s="47" t="n">
        <f aca="false">DW59+DW66+DW79+DW58+DW108</f>
        <v>2119.30772157993</v>
      </c>
      <c r="DX141" s="47" t="n">
        <f aca="false">DX59+DX66+DX79+DX58+DX108</f>
        <v>2119.30772157993</v>
      </c>
      <c r="DY141" s="47" t="n">
        <f aca="false">DY59+DY66+DY79+DY58+DY108</f>
        <v>2142.59681742147</v>
      </c>
      <c r="DZ141" s="47" t="n">
        <f aca="false">DZ59+DZ66+DZ79+DZ58+DZ108</f>
        <v>2134.2132704514</v>
      </c>
      <c r="EA141" s="47" t="n">
        <f aca="false">EA59+EA66+EA79+EA58+EA108</f>
        <v>2095.89387383467</v>
      </c>
      <c r="EB141" s="47" t="n">
        <f aca="false">EB59+EB66+EB79+EB58+EB108</f>
        <v>2119.18158354395</v>
      </c>
      <c r="EC141" s="47" t="n">
        <f aca="false">EC59+EC66+EC79+EC58+EC108</f>
        <v>2142.46929325322</v>
      </c>
      <c r="ED141" s="47" t="n">
        <f aca="false">ED59+ED66+ED79+ED58+ED108</f>
        <v>2134.03723494271</v>
      </c>
      <c r="EE141" s="47" t="n">
        <f aca="false">EE59+EE66+EE79+EE58+EE108</f>
        <v>2095.38963124086</v>
      </c>
      <c r="EF141" s="47" t="n">
        <f aca="false">EF59+EF66+EF79+EF58+EF108</f>
        <v>2118.67173825464</v>
      </c>
      <c r="EG141" s="47" t="n">
        <f aca="false">EG59+EG66+EG79+EG58+EG108</f>
        <v>2141.95384526843</v>
      </c>
      <c r="EH141" s="47" t="n">
        <f aca="false">EH59+EH66+EH79+EH58+EH108</f>
        <v>2133.47321704111</v>
      </c>
      <c r="EI141" s="47" t="n">
        <f aca="false">EI59+EI66+EI79+EI58+EI108</f>
        <v>2094.49412834513</v>
      </c>
      <c r="EJ141" s="47" t="n">
        <f aca="false">EJ59+EJ66+EJ79+EJ58+EJ108</f>
        <v>2117.76628532674</v>
      </c>
      <c r="EK141" s="47" t="n">
        <f aca="false">EK59+EK66+EK79+EK58+EK108</f>
        <v>2141.03844230835</v>
      </c>
      <c r="EL141" s="47" t="n">
        <f aca="false">EL59+EL66+EL79+EL58+EL108</f>
        <v>2132.50919112262</v>
      </c>
      <c r="EM141" s="47" t="n">
        <f aca="false">EM59+EM66+EM79+EM58+EM108</f>
        <v>2116.45301662203</v>
      </c>
      <c r="EN141" s="47" t="n">
        <f aca="false">EN59+EN66+EN79+EN58+EN108</f>
        <v>2116.45301662203</v>
      </c>
      <c r="EO141" s="47" t="n">
        <f aca="false">EO59+EO66+EO79+EO58+EO108</f>
        <v>2139.71074207941</v>
      </c>
    </row>
    <row r="142" customFormat="false" ht="15" hidden="false" customHeight="false" outlineLevel="0" collapsed="false">
      <c r="C142" s="25" t="s">
        <v>91</v>
      </c>
      <c r="D142" s="11" t="s">
        <v>27</v>
      </c>
      <c r="E142" s="33" t="n">
        <f aca="false">XIRR($J141:$EO141,$J$4:$EO$4)</f>
        <v>0.0981897026920008</v>
      </c>
    </row>
    <row r="143" customFormat="false" ht="15" hidden="false" customHeight="false" outlineLevel="0" collapsed="false">
      <c r="C143" s="25" t="s">
        <v>484</v>
      </c>
      <c r="D143" s="11" t="s">
        <v>33</v>
      </c>
      <c r="I143" s="56" t="n">
        <f aca="false">SUM(J143:EO143)</f>
        <v>161288.120273565</v>
      </c>
      <c r="J143" s="56" t="n">
        <f aca="false">J59+J66+J91+J95+J96+J79+J89+J97+J58+J108</f>
        <v>-4662.80993807469</v>
      </c>
      <c r="K143" s="56" t="n">
        <f aca="false">K59+K66+K91+K95+K96+K79+K89+K97+K58+K108</f>
        <v>-706.535577057768</v>
      </c>
      <c r="L143" s="56" t="n">
        <f aca="false">L59+L66+L91+L95+L96+L79+L89+L97+L58+L108</f>
        <v>-104.360496659404</v>
      </c>
      <c r="M143" s="56" t="n">
        <f aca="false">M59+M66+M91+M95+M96+M79+M89+M97+M58+M108</f>
        <v>-105.507315304013</v>
      </c>
      <c r="N143" s="56" t="n">
        <f aca="false">N59+N66+N91+N95+N96+N79+N89+N97+N58+N108</f>
        <v>-105.507315304013</v>
      </c>
      <c r="O143" s="56" t="n">
        <f aca="false">O59+O66+O91+O95+O96+O79+O89+O97+O58+O108</f>
        <v>-104.360496659404</v>
      </c>
      <c r="P143" s="56" t="n">
        <f aca="false">P59+P66+P91+P95+P96+P79+P89+P97+P58+P108</f>
        <v>-104.360496659404</v>
      </c>
      <c r="Q143" s="56" t="n">
        <f aca="false">Q59+Q66+Q91+Q95+Q96+Q79+Q89+Q97+Q58+Q108</f>
        <v>-105.507315304013</v>
      </c>
      <c r="R143" s="56" t="n">
        <f aca="false">R59+R66+R91+R95+R96+R79+R89+R97+R58+R108</f>
        <v>-4489.95849315338</v>
      </c>
      <c r="S143" s="56" t="n">
        <f aca="false">S59+S66+S91+S95+S96+S79+S89+S97+S58+S108</f>
        <v>-7326.12620687268</v>
      </c>
      <c r="T143" s="56" t="n">
        <f aca="false">T59+T66+T91+T95+T96+T79+T89+T97+T58+T108</f>
        <v>-3677.41596133854</v>
      </c>
      <c r="U143" s="56" t="n">
        <f aca="false">U59+U66+U91+U95+U96+U79+U89+U97+U58+U108</f>
        <v>-3708.01055317332</v>
      </c>
      <c r="V143" s="56" t="n">
        <f aca="false">V59+V66+V91+V95+V96+V79+V89+V97+V58+V108</f>
        <v>-3698.08610617388</v>
      </c>
      <c r="W143" s="56" t="n">
        <f aca="false">W59+W66+W91+W95+W96+W79+W89+W97+W58+W108</f>
        <v>-3609.02616297382</v>
      </c>
      <c r="X143" s="56" t="n">
        <f aca="false">X59+X66+X91+X95+X96+X79+X89+X97+X58+X108</f>
        <v>-3639.52328484964</v>
      </c>
      <c r="Y143" s="56" t="n">
        <f aca="false">Y59+Y66+Y91+Y95+Y96+Y79+Y89+Y97+Y58+Y108</f>
        <v>-5703.08892160144</v>
      </c>
      <c r="Z143" s="56" t="n">
        <f aca="false">Z59+Z66+Z91+Z95+Z96+Z79+Z89+Z97+Z58+Z108</f>
        <v>1392.55914281483</v>
      </c>
      <c r="AA143" s="56" t="n">
        <f aca="false">AA59+AA66+AA91+AA95+AA96+AA79+AA89+AA97+AA58+AA108</f>
        <v>1371.45687178281</v>
      </c>
      <c r="AB143" s="56" t="n">
        <f aca="false">AB59+AB66+AB91+AB95+AB96+AB79+AB89+AB97+AB58+AB108</f>
        <v>1386.22086233696</v>
      </c>
      <c r="AC143" s="56" t="n">
        <f aca="false">AC59+AC66+AC91+AC95+AC96+AC79+AC89+AC97+AC58+AC108</f>
        <v>1400.97677595446</v>
      </c>
      <c r="AD143" s="56" t="n">
        <f aca="false">AD59+AD66+AD91+AD95+AD96+AD79+AD89+AD97+AD58+AD108</f>
        <v>1390.29616705721</v>
      </c>
      <c r="AE143" s="56" t="n">
        <f aca="false">AE59+AE66+AE91+AE95+AE96+AE79+AE89+AE97+AE58+AE108</f>
        <v>1351.72474780482</v>
      </c>
      <c r="AF143" s="56" t="n">
        <f aca="false">AF59+AF66+AF91+AF95+AF96+AF79+AF89+AF97+AF58+AF108</f>
        <v>1351.29945580155</v>
      </c>
      <c r="AG143" s="56" t="n">
        <f aca="false">AG59+AG66+AG91+AG95+AG96+AG79+AG89+AG97+AG58+AG108</f>
        <v>1365.21752820946</v>
      </c>
      <c r="AH143" s="56" t="n">
        <f aca="false">AH59+AH66+AH91+AH95+AH96+AH79+AH89+AH97+AH58+AH108</f>
        <v>1360.38460432097</v>
      </c>
      <c r="AI143" s="56" t="n">
        <f aca="false">AI59+AI66+AI91+AI95+AI96+AI79+AI89+AI97+AI58+AI108</f>
        <v>1339.33516485586</v>
      </c>
      <c r="AJ143" s="56" t="n">
        <f aca="false">AJ59+AJ66+AJ91+AJ95+AJ96+AJ79+AJ89+AJ97+AJ58+AJ108</f>
        <v>1370.34291234756</v>
      </c>
      <c r="AK143" s="56" t="n">
        <f aca="false">AK59+AK66+AK91+AK95+AK96+AK79+AK89+AK97+AK58+AK108</f>
        <v>1384.45349428789</v>
      </c>
      <c r="AL143" s="56" t="n">
        <f aca="false">AL59+AL66+AL91+AL95+AL96+AL79+AL89+AL97+AL58+AL108</f>
        <v>1379.55611957687</v>
      </c>
      <c r="AM143" s="56" t="n">
        <f aca="false">AM59+AM66+AM91+AM95+AM96+AM79+AM89+AM97+AM58+AM108</f>
        <v>1357.93618433621</v>
      </c>
      <c r="AN143" s="56" t="n">
        <f aca="false">AN59+AN66+AN91+AN95+AN96+AN79+AN89+AN97+AN58+AN108</f>
        <v>1372.07807225946</v>
      </c>
      <c r="AO143" s="56" t="n">
        <f aca="false">AO59+AO66+AO91+AO95+AO96+AO79+AO89+AO97+AO58+AO108</f>
        <v>1386.20355243336</v>
      </c>
      <c r="AP143" s="56" t="n">
        <f aca="false">AP59+AP66+AP91+AP95+AP96+AP79+AP89+AP97+AP58+AP108</f>
        <v>1381.25287773641</v>
      </c>
      <c r="AQ143" s="56" t="n">
        <f aca="false">AQ59+AQ66+AQ91+AQ95+AQ96+AQ79+AQ89+AQ97+AQ58+AQ108</f>
        <v>1359.44725599279</v>
      </c>
      <c r="AR143" s="56" t="n">
        <f aca="false">AR59+AR66+AR91+AR95+AR96+AR79+AR89+AR97+AR58+AR108</f>
        <v>1373.60205706491</v>
      </c>
      <c r="AS143" s="56" t="n">
        <f aca="false">AS59+AS66+AS91+AS95+AS96+AS79+AS89+AS97+AS58+AS108</f>
        <v>1387.74011657251</v>
      </c>
      <c r="AT143" s="56" t="n">
        <f aca="false">AT59+AT66+AT91+AT95+AT96+AT79+AT89+AT97+AT58+AT108</f>
        <v>1382.73491773324</v>
      </c>
      <c r="AU143" s="56" t="n">
        <f aca="false">AU59+AU66+AU91+AU95+AU96+AU79+AU89+AU97+AU58+AU108</f>
        <v>1375.43453427299</v>
      </c>
      <c r="AV143" s="56" t="n">
        <f aca="false">AV59+AV66+AV91+AV95+AV96+AV79+AV89+AV97+AV58+AV108</f>
        <v>1374.89545433308</v>
      </c>
      <c r="AW143" s="56" t="n">
        <f aca="false">AW59+AW66+AW91+AW95+AW96+AW79+AW89+AW97+AW58+AW108</f>
        <v>1389.04355198578</v>
      </c>
      <c r="AX143" s="56" t="n">
        <f aca="false">AX59+AX66+AX91+AX95+AX96+AX79+AX89+AX97+AX58+AX108</f>
        <v>1383.98242566168</v>
      </c>
      <c r="AY143" s="56" t="n">
        <f aca="false">AY59+AY66+AY91+AY95+AY96+AY79+AY89+AY97+AY58+AY108</f>
        <v>1361.79745225747</v>
      </c>
      <c r="AZ143" s="56" t="n">
        <f aca="false">AZ59+AZ66+AZ91+AZ95+AZ96+AZ79+AZ89+AZ97+AZ58+AZ108</f>
        <v>1375.97064819389</v>
      </c>
      <c r="BA143" s="56" t="n">
        <f aca="false">BA59+BA66+BA91+BA95+BA96+BA79+BA89+BA97+BA58+BA108</f>
        <v>1390.12639459455</v>
      </c>
      <c r="BB143" s="56" t="n">
        <f aca="false">BB59+BB66+BB91+BB95+BB96+BB79+BB89+BB97+BB58+BB108</f>
        <v>1385.00813797276</v>
      </c>
      <c r="BC143" s="56" t="n">
        <f aca="false">BC59+BC66+BC91+BC95+BC96+BC79+BC89+BC97+BC58+BC108</f>
        <v>1362.62947945528</v>
      </c>
      <c r="BD143" s="56" t="n">
        <f aca="false">BD59+BD66+BD91+BD95+BD96+BD79+BD89+BD97+BD58+BD108</f>
        <v>1376.80808498662</v>
      </c>
      <c r="BE143" s="56" t="n">
        <f aca="false">BE59+BE66+BE91+BE95+BE96+BE79+BE89+BE97+BE58+BE108</f>
        <v>1390.96886711233</v>
      </c>
      <c r="BF143" s="56" t="n">
        <f aca="false">BF59+BF66+BF91+BF95+BF96+BF79+BF89+BF97+BF58+BF108</f>
        <v>1385.79209934493</v>
      </c>
      <c r="BG143" s="56" t="n">
        <f aca="false">BG59+BG66+BG91+BG95+BG96+BG79+BG89+BG97+BG58+BG108</f>
        <v>1363.21694197296</v>
      </c>
      <c r="BH143" s="56" t="n">
        <f aca="false">BH59+BH66+BH91+BH95+BH96+BH79+BH89+BH97+BH58+BH108</f>
        <v>1377.39825328785</v>
      </c>
      <c r="BI143" s="56" t="n">
        <f aca="false">BI59+BI66+BI91+BI95+BI96+BI79+BI89+BI97+BI58+BI108</f>
        <v>1391.56135275236</v>
      </c>
      <c r="BJ143" s="56" t="n">
        <f aca="false">BJ59+BJ66+BJ91+BJ95+BJ96+BJ79+BJ89+BJ97+BJ58+BJ108</f>
        <v>1386.32463590851</v>
      </c>
      <c r="BK143" s="56" t="n">
        <f aca="false">BK59+BK66+BK91+BK95+BK96+BK79+BK89+BK97+BK58+BK108</f>
        <v>1378.38074772005</v>
      </c>
      <c r="BL143" s="56" t="n">
        <f aca="false">BL59+BL66+BL91+BL95+BL96+BL79+BL89+BL97+BL58+BL108</f>
        <v>1377.72031293265</v>
      </c>
      <c r="BM143" s="56" t="n">
        <f aca="false">BM59+BM66+BM91+BM95+BM96+BM79+BM89+BM97+BM58+BM108</f>
        <v>1391.88277293514</v>
      </c>
      <c r="BN143" s="56" t="n">
        <f aca="false">BN59+BN66+BN91+BN95+BN96+BN79+BN89+BN97+BN58+BN108</f>
        <v>1386.58447871656</v>
      </c>
      <c r="BO143" s="56" t="n">
        <f aca="false">BO59+BO66+BO91+BO95+BO96+BO79+BO89+BO97+BO58+BO108</f>
        <v>1363.60742883447</v>
      </c>
      <c r="BP143" s="56" t="n">
        <f aca="false">BP59+BP66+BP91+BP95+BP96+BP79+BP89+BP97+BP58+BP108</f>
        <v>1377.78546792516</v>
      </c>
      <c r="BQ143" s="56" t="n">
        <f aca="false">BQ59+BQ66+BQ91+BQ95+BQ96+BQ79+BQ89+BQ97+BQ58+BQ108</f>
        <v>1391.94447025881</v>
      </c>
      <c r="BR143" s="56" t="n">
        <f aca="false">BR59+BR66+BR91+BR95+BR96+BR79+BR89+BR97+BR58+BR108</f>
        <v>1386.58316280647</v>
      </c>
      <c r="BS143" s="56" t="n">
        <f aca="false">BS59+BS66+BS91+BS95+BS96+BS79+BS89+BS97+BS58+BS108</f>
        <v>1363.40067641479</v>
      </c>
      <c r="BT143" s="56" t="n">
        <f aca="false">BT59+BT66+BT91+BT95+BT96+BT79+BT89+BT97+BT58+BT108</f>
        <v>1377.57263512143</v>
      </c>
      <c r="BU143" s="56" t="n">
        <f aca="false">BU59+BU66+BU91+BU95+BU96+BU79+BU89+BU97+BU58+BU108</f>
        <v>1391.72512066484</v>
      </c>
      <c r="BV143" s="56" t="n">
        <f aca="false">BV59+BV66+BV91+BV95+BV96+BV79+BV89+BV97+BV58+BV108</f>
        <v>1386.29917398599</v>
      </c>
      <c r="BW143" s="56" t="n">
        <f aca="false">BW59+BW66+BW91+BW95+BW96+BW79+BW89+BW97+BW58+BW108</f>
        <v>1362.90809939568</v>
      </c>
      <c r="BX143" s="56" t="n">
        <f aca="false">BX59+BX66+BX91+BX95+BX96+BX79+BX89+BX97+BX58+BX108</f>
        <v>1377.07081390023</v>
      </c>
      <c r="BY143" s="56" t="n">
        <f aca="false">BY59+BY66+BY91+BY95+BY96+BY79+BY89+BY97+BY58+BY108</f>
        <v>1391.21360137095</v>
      </c>
      <c r="BZ143" s="56" t="n">
        <f aca="false">BZ59+BZ66+BZ91+BZ95+BZ96+BZ79+BZ89+BZ97+BZ58+BZ108</f>
        <v>1385.72132092258</v>
      </c>
      <c r="CA143" s="56" t="n">
        <f aca="false">CA59+CA66+CA91+CA95+CA96+CA79+CA89+CA97+CA58+CA108</f>
        <v>1377.06257876944</v>
      </c>
      <c r="CB143" s="56" t="n">
        <f aca="false">CB59+CB66+CB91+CB95+CB96+CB79+CB89+CB97+CB58+CB108</f>
        <v>1376.25753187902</v>
      </c>
      <c r="CC143" s="56" t="n">
        <f aca="false">CC59+CC66+CC91+CC95+CC96+CC79+CC89+CC97+CC58+CC108</f>
        <v>1390.38718311829</v>
      </c>
      <c r="CD143" s="56" t="n">
        <f aca="false">CD59+CD66+CD91+CD95+CD96+CD79+CD89+CD97+CD58+CD108</f>
        <v>1384.82667097674</v>
      </c>
      <c r="CE143" s="56" t="n">
        <f aca="false">CE59+CE66+CE91+CE95+CE96+CE79+CE89+CE97+CE58+CE108</f>
        <v>1361.00845614214</v>
      </c>
      <c r="CF143" s="56" t="n">
        <f aca="false">CF59+CF66+CF91+CF95+CF96+CF79+CF89+CF97+CF58+CF108</f>
        <v>1375.14254736351</v>
      </c>
      <c r="CG143" s="56" t="n">
        <f aca="false">CG59+CG66+CG91+CG95+CG96+CG79+CG89+CG97+CG58+CG108</f>
        <v>1389.2557465565</v>
      </c>
      <c r="CH143" s="56" t="n">
        <f aca="false">CH59+CH66+CH91+CH95+CH96+CH79+CH89+CH97+CH58+CH108</f>
        <v>1383.62528660295</v>
      </c>
      <c r="CI143" s="56" t="n">
        <f aca="false">CI59+CI66+CI91+CI95+CI96+CI79+CI89+CI97+CI58+CI108</f>
        <v>1359.58844922574</v>
      </c>
      <c r="CJ143" s="56" t="n">
        <f aca="false">CJ59+CJ66+CJ91+CJ95+CJ96+CJ79+CJ89+CJ97+CJ58+CJ108</f>
        <v>1373.70302316529</v>
      </c>
      <c r="CK143" s="56" t="n">
        <f aca="false">CK59+CK66+CK91+CK95+CK96+CK79+CK89+CK97+CK58+CK108</f>
        <v>1387.79619372517</v>
      </c>
      <c r="CL143" s="56" t="n">
        <f aca="false">CL59+CL66+CL91+CL95+CL96+CL79+CL89+CL97+CL58+CL108</f>
        <v>1382.09386556742</v>
      </c>
      <c r="CM143" s="56" t="n">
        <f aca="false">CM59+CM66+CM91+CM95+CM96+CM79+CM89+CM97+CM58+CM108</f>
        <v>1357.83485874052</v>
      </c>
      <c r="CN143" s="56" t="n">
        <f aca="false">CN59+CN66+CN91+CN95+CN96+CN79+CN89+CN97+CN58+CN108</f>
        <v>1371.92621791199</v>
      </c>
      <c r="CO143" s="56" t="n">
        <f aca="false">CO59+CO66+CO91+CO95+CO96+CO79+CO89+CO97+CO58+CO108</f>
        <v>1385.99564140895</v>
      </c>
      <c r="CP143" s="56" t="n">
        <f aca="false">CP59+CP66+CP91+CP95+CP96+CP79+CP89+CP97+CP58+CP108</f>
        <v>1380.21944229057</v>
      </c>
      <c r="CQ143" s="56" t="n">
        <f aca="false">CQ59+CQ66+CQ91+CQ95+CQ96+CQ79+CQ89+CQ97+CQ58+CQ108</f>
        <v>1370.76523802716</v>
      </c>
      <c r="CR143" s="56" t="n">
        <f aca="false">CR59+CR66+CR91+CR95+CR96+CR79+CR89+CR97+CR58+CR108</f>
        <v>1369.787784713</v>
      </c>
      <c r="CS143" s="56" t="n">
        <f aca="false">CS59+CS66+CS91+CS95+CS96+CS79+CS89+CS97+CS58+CS108</f>
        <v>2292.21691256103</v>
      </c>
      <c r="CT143" s="56" t="n">
        <f aca="false">CT59+CT66+CT91+CT95+CT96+CT79+CT89+CT97+CT58+CT108</f>
        <v>2276.85258115707</v>
      </c>
      <c r="CU143" s="56" t="n">
        <f aca="false">CU59+CU66+CU91+CU95+CU96+CU79+CU89+CU97+CU58+CU108</f>
        <v>2237.7017294597</v>
      </c>
      <c r="CV143" s="56" t="n">
        <f aca="false">CV59+CV66+CV91+CV95+CV96+CV79+CV89+CV97+CV58+CV108</f>
        <v>2262.56508200925</v>
      </c>
      <c r="CW143" s="56" t="n">
        <f aca="false">CW59+CW66+CW91+CW95+CW96+CW79+CW89+CW97+CW58+CW108</f>
        <v>2287.42843455881</v>
      </c>
      <c r="CX143" s="56" t="n">
        <f aca="false">CX59+CX66+CX91+CX95+CX96+CX79+CX89+CX97+CX58+CX108</f>
        <v>2279.38239570403</v>
      </c>
      <c r="CY143" s="56" t="n">
        <f aca="false">CY59+CY66+CY91+CY95+CY96+CY79+CY89+CY97+CY58+CY108</f>
        <v>2239.92792695099</v>
      </c>
      <c r="CZ143" s="56" t="n">
        <f aca="false">CZ59+CZ66+CZ91+CZ95+CZ96+CZ79+CZ89+CZ97+CZ58+CZ108</f>
        <v>2264.81601502822</v>
      </c>
      <c r="DA143" s="56" t="n">
        <f aca="false">DA59+DA66+DA91+DA95+DA96+DA79+DA89+DA97+DA58+DA108</f>
        <v>2289.70410310546</v>
      </c>
      <c r="DB143" s="56" t="n">
        <f aca="false">DB59+DB66+DB91+DB95+DB96+DB79+DB89+DB97+DB58+DB108</f>
        <v>2127.75796595667</v>
      </c>
      <c r="DC143" s="56" t="n">
        <f aca="false">DC59+DC66+DC91+DC95+DC96+DC79+DC89+DC97+DC58+DC108</f>
        <v>2091.34156892558</v>
      </c>
      <c r="DD143" s="56" t="n">
        <f aca="false">DD59+DD66+DD91+DD95+DD96+DD79+DD89+DD97+DD58+DD108</f>
        <v>2114.5786974692</v>
      </c>
      <c r="DE143" s="56" t="n">
        <f aca="false">DE59+DE66+DE91+DE95+DE96+DE79+DE89+DE97+DE58+DE108</f>
        <v>2137.81582601281</v>
      </c>
      <c r="DF143" s="56" t="n">
        <f aca="false">DF59+DF66+DF91+DF95+DF96+DF79+DF89+DF97+DF58+DF108</f>
        <v>2129.67377475099</v>
      </c>
      <c r="DG143" s="56" t="n">
        <f aca="false">DG59+DG66+DG91+DG95+DG96+DG79+DG89+DG97+DG58+DG108</f>
        <v>2116.20284972323</v>
      </c>
      <c r="DH143" s="56" t="n">
        <f aca="false">DH59+DH66+DH91+DH95+DH96+DH79+DH89+DH97+DH58+DH108</f>
        <v>2116.20284972323</v>
      </c>
      <c r="DI143" s="56" t="n">
        <f aca="false">DI59+DI66+DI91+DI95+DI96+DI79+DI89+DI97+DI58+DI108</f>
        <v>2139.45782609381</v>
      </c>
      <c r="DJ143" s="56" t="n">
        <f aca="false">DJ59+DJ66+DJ91+DJ95+DJ96+DJ79+DJ89+DJ97+DJ58+DJ108</f>
        <v>2131.26763373715</v>
      </c>
      <c r="DK143" s="56" t="n">
        <f aca="false">DK59+DK66+DK91+DK95+DK96+DK79+DK89+DK97+DK58+DK108</f>
        <v>2094.22922134031</v>
      </c>
      <c r="DL143" s="56" t="n">
        <f aca="false">DL59+DL66+DL91+DL95+DL96+DL79+DL89+DL97+DL58+DL108</f>
        <v>2117.49843491076</v>
      </c>
      <c r="DM143" s="56" t="n">
        <f aca="false">DM59+DM66+DM91+DM95+DM96+DM79+DM89+DM97+DM58+DM108</f>
        <v>2140.76764848121</v>
      </c>
      <c r="DN143" s="56" t="n">
        <f aca="false">DN59+DN66+DN91+DN95+DN96+DN79+DN89+DN97+DN58+DN108</f>
        <v>2132.52923118543</v>
      </c>
      <c r="DO143" s="56" t="n">
        <f aca="false">DO59+DO66+DO91+DO95+DO96+DO79+DO89+DO97+DO58+DO108</f>
        <v>2095.17525809415</v>
      </c>
      <c r="DP143" s="56" t="n">
        <f aca="false">DP59+DP66+DP91+DP95+DP96+DP79+DP89+DP97+DP58+DP108</f>
        <v>2118.45498318408</v>
      </c>
      <c r="DQ143" s="56" t="n">
        <f aca="false">DQ59+DQ66+DQ91+DQ95+DQ96+DQ79+DQ89+DQ97+DQ58+DQ108</f>
        <v>2141.73470827402</v>
      </c>
      <c r="DR143" s="56" t="n">
        <f aca="false">DR59+DR66+DR91+DR95+DR96+DR79+DR89+DR97+DR58+DR108</f>
        <v>2133.4479869401</v>
      </c>
      <c r="DS143" s="56" t="n">
        <f aca="false">DS59+DS66+DS91+DS95+DS96+DS79+DS89+DS97+DS58+DS108</f>
        <v>2095.77535956</v>
      </c>
      <c r="DT143" s="56" t="n">
        <f aca="false">DT59+DT66+DT91+DT95+DT96+DT79+DT89+DT97+DT58+DT108</f>
        <v>2119.061752444</v>
      </c>
      <c r="DU143" s="56" t="n">
        <f aca="false">DU59+DU66+DU91+DU95+DU96+DU79+DU89+DU97+DU58+DU108</f>
        <v>2142.348145328</v>
      </c>
      <c r="DV143" s="56" t="n">
        <f aca="false">DV59+DV66+DV91+DV95+DV96+DV79+DV89+DV97+DV58+DV108</f>
        <v>2134.01304575269</v>
      </c>
      <c r="DW143" s="56" t="n">
        <f aca="false">DW59+DW66+DW91+DW95+DW96+DW79+DW89+DW97+DW58+DW108</f>
        <v>2119.30772157993</v>
      </c>
      <c r="DX143" s="56" t="n">
        <f aca="false">DX59+DX66+DX91+DX95+DX96+DX79+DX89+DX97+DX58+DX108</f>
        <v>2119.30772157993</v>
      </c>
      <c r="DY143" s="56" t="n">
        <f aca="false">DY59+DY66+DY91+DY95+DY96+DY79+DY89+DY97+DY58+DY108</f>
        <v>2142.59681742147</v>
      </c>
      <c r="DZ143" s="56" t="n">
        <f aca="false">DZ59+DZ66+DZ91+DZ95+DZ96+DZ79+DZ89+DZ97+DZ58+DZ108</f>
        <v>2134.2132704514</v>
      </c>
      <c r="EA143" s="56" t="n">
        <f aca="false">EA59+EA66+EA91+EA95+EA96+EA79+EA89+EA97+EA58+EA108</f>
        <v>2095.89387383467</v>
      </c>
      <c r="EB143" s="56" t="n">
        <f aca="false">EB59+EB66+EB91+EB95+EB96+EB79+EB89+EB97+EB58+EB108</f>
        <v>2119.18158354395</v>
      </c>
      <c r="EC143" s="56" t="n">
        <f aca="false">EC59+EC66+EC91+EC95+EC96+EC79+EC89+EC97+EC58+EC108</f>
        <v>2142.46929325322</v>
      </c>
      <c r="ED143" s="56" t="n">
        <f aca="false">ED59+ED66+ED91+ED95+ED96+ED79+ED89+ED97+ED58+ED108</f>
        <v>2134.03723494271</v>
      </c>
      <c r="EE143" s="56" t="n">
        <f aca="false">EE59+EE66+EE91+EE95+EE96+EE79+EE89+EE97+EE58+EE108</f>
        <v>2095.38963124086</v>
      </c>
      <c r="EF143" s="56" t="n">
        <f aca="false">EF59+EF66+EF91+EF95+EF96+EF79+EF89+EF97+EF58+EF108</f>
        <v>2118.67173825464</v>
      </c>
      <c r="EG143" s="56" t="n">
        <f aca="false">EG59+EG66+EG91+EG95+EG96+EG79+EG89+EG97+EG58+EG108</f>
        <v>2141.95384526843</v>
      </c>
      <c r="EH143" s="56" t="n">
        <f aca="false">EH59+EH66+EH91+EH95+EH96+EH79+EH89+EH97+EH58+EH108</f>
        <v>2133.47321704111</v>
      </c>
      <c r="EI143" s="56" t="n">
        <f aca="false">EI59+EI66+EI91+EI95+EI96+EI79+EI89+EI97+EI58+EI108</f>
        <v>2094.49412834513</v>
      </c>
      <c r="EJ143" s="56" t="n">
        <f aca="false">EJ59+EJ66+EJ91+EJ95+EJ96+EJ79+EJ89+EJ97+EJ58+EJ108</f>
        <v>2117.76628532674</v>
      </c>
      <c r="EK143" s="56" t="n">
        <f aca="false">EK59+EK66+EK91+EK95+EK96+EK79+EK89+EK97+EK58+EK108</f>
        <v>2141.03844230835</v>
      </c>
      <c r="EL143" s="56" t="n">
        <f aca="false">EL59+EL66+EL91+EL95+EL96+EL79+EL89+EL97+EL58+EL108</f>
        <v>2132.50919112262</v>
      </c>
      <c r="EM143" s="56" t="n">
        <f aca="false">EM59+EM66+EM91+EM95+EM96+EM79+EM89+EM97+EM58+EM108</f>
        <v>2116.45301662203</v>
      </c>
      <c r="EN143" s="56" t="n">
        <f aca="false">EN59+EN66+EN91+EN95+EN96+EN79+EN89+EN97+EN58+EN108</f>
        <v>2116.45301662203</v>
      </c>
      <c r="EO143" s="56" t="n">
        <f aca="false">EO59+EO66+EO91+EO95+EO96+EO79+EO89+EO97+EO58+EO108</f>
        <v>2139.71074207941</v>
      </c>
    </row>
    <row r="144" customFormat="false" ht="15" hidden="false" customHeight="false" outlineLevel="0" collapsed="false">
      <c r="C144" s="25" t="s">
        <v>88</v>
      </c>
      <c r="D144" s="11" t="s">
        <v>27</v>
      </c>
      <c r="E144" s="33" t="n">
        <f aca="false">XIRR($J143:$EO143,$J$4:$EO$4)</f>
        <v>0.120333275856183</v>
      </c>
    </row>
    <row r="145" customFormat="false" ht="15" hidden="false" customHeight="false" outlineLevel="0" collapsed="false">
      <c r="C145" s="25" t="s">
        <v>89</v>
      </c>
      <c r="D145" s="11" t="s">
        <v>13</v>
      </c>
      <c r="E145" s="59" t="n">
        <f aca="false">SUMIF($J143:$EO143,"&gt;0")/-SUMIF($J143:$EO143,"&lt;0")</f>
        <v>4.85394047019183</v>
      </c>
    </row>
    <row r="146" customFormat="false" ht="15" hidden="false" customHeight="false" outlineLevel="0" collapsed="false">
      <c r="C146" s="25" t="s">
        <v>90</v>
      </c>
      <c r="D146" s="11" t="s">
        <v>33</v>
      </c>
      <c r="E146" s="56" t="n">
        <f aca="false">XNPV(In_Discount_Rate,$J143:$EO143,$J$4:$EO$4)</f>
        <v>17723.4335623615</v>
      </c>
    </row>
    <row r="148" customFormat="false" ht="15" hidden="false" customHeight="false" outlineLevel="0" collapsed="false">
      <c r="C148" s="41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381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485</v>
      </c>
      <c r="F9" s="8" t="s">
        <v>486</v>
      </c>
    </row>
    <row r="11" customFormat="false" ht="15" hidden="false" customHeight="false" outlineLevel="0" collapsed="false">
      <c r="A11" s="9" t="s">
        <v>13</v>
      </c>
      <c r="B11" s="9"/>
      <c r="C11" s="9" t="s">
        <v>487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488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489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490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491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492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493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494</v>
      </c>
      <c r="D18" s="11" t="s">
        <v>43</v>
      </c>
      <c r="E18" s="27" t="str">
        <f aca="false">IF(F18=0,"OK","CHECK")</f>
        <v>OK</v>
      </c>
      <c r="F18" s="49" t="n">
        <f aca="false">N(Calc_1!$F85&gt;1+Tolerance)</f>
        <v>0</v>
      </c>
    </row>
    <row r="19" customFormat="false" ht="15" hidden="false" customHeight="false" outlineLevel="0" collapsed="false">
      <c r="C19" s="0" t="s">
        <v>495</v>
      </c>
      <c r="D19" s="11" t="s">
        <v>43</v>
      </c>
      <c r="E19" s="27" t="str">
        <f aca="false">IF(F19=0,"OK","CHECK")</f>
        <v>OK</v>
      </c>
      <c r="F19" s="49" t="n">
        <f aca="false">N(Calc_2!$F85&gt;1+Tolerance)</f>
        <v>0</v>
      </c>
    </row>
    <row r="20" customFormat="false" ht="15" hidden="false" customHeight="false" outlineLevel="0" collapsed="false">
      <c r="C20" s="0" t="s">
        <v>496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N((Calc_1!J$4&gt;=Calc_1!$F17)*ABS(Calc_1!J94)&gt;Tolerance)</f>
        <v>0</v>
      </c>
      <c r="K20" s="49" t="n">
        <f aca="false">N((Calc_1!K$4&gt;=Calc_1!$F17)*ABS(Calc_1!K94)&gt;Tolerance)</f>
        <v>0</v>
      </c>
      <c r="L20" s="49" t="n">
        <f aca="false">N((Calc_1!L$4&gt;=Calc_1!$F17)*ABS(Calc_1!L94)&gt;Tolerance)</f>
        <v>0</v>
      </c>
      <c r="M20" s="49" t="n">
        <f aca="false">N((Calc_1!M$4&gt;=Calc_1!$F17)*ABS(Calc_1!M94)&gt;Tolerance)</f>
        <v>0</v>
      </c>
      <c r="N20" s="49" t="n">
        <f aca="false">N((Calc_1!N$4&gt;=Calc_1!$F17)*ABS(Calc_1!N94)&gt;Tolerance)</f>
        <v>0</v>
      </c>
      <c r="O20" s="49" t="n">
        <f aca="false">N((Calc_1!O$4&gt;=Calc_1!$F17)*ABS(Calc_1!O94)&gt;Tolerance)</f>
        <v>0</v>
      </c>
      <c r="P20" s="49" t="n">
        <f aca="false">N((Calc_1!P$4&gt;=Calc_1!$F17)*ABS(Calc_1!P94)&gt;Tolerance)</f>
        <v>0</v>
      </c>
      <c r="Q20" s="49" t="n">
        <f aca="false">N((Calc_1!Q$4&gt;=Calc_1!$F17)*ABS(Calc_1!Q94)&gt;Tolerance)</f>
        <v>0</v>
      </c>
      <c r="R20" s="49" t="n">
        <f aca="false">N((Calc_1!R$4&gt;=Calc_1!$F17)*ABS(Calc_1!R94)&gt;Tolerance)</f>
        <v>0</v>
      </c>
      <c r="S20" s="49" t="n">
        <f aca="false">N((Calc_1!S$4&gt;=Calc_1!$F17)*ABS(Calc_1!S94)&gt;Tolerance)</f>
        <v>0</v>
      </c>
      <c r="T20" s="49" t="n">
        <f aca="false">N((Calc_1!T$4&gt;=Calc_1!$F17)*ABS(Calc_1!T94)&gt;Tolerance)</f>
        <v>0</v>
      </c>
      <c r="U20" s="49" t="n">
        <f aca="false">N((Calc_1!U$4&gt;=Calc_1!$F17)*ABS(Calc_1!U94)&gt;Tolerance)</f>
        <v>0</v>
      </c>
      <c r="V20" s="49" t="n">
        <f aca="false">N((Calc_1!V$4&gt;=Calc_1!$F17)*ABS(Calc_1!V94)&gt;Tolerance)</f>
        <v>0</v>
      </c>
      <c r="W20" s="49" t="n">
        <f aca="false">N((Calc_1!W$4&gt;=Calc_1!$F17)*ABS(Calc_1!W94)&gt;Tolerance)</f>
        <v>0</v>
      </c>
      <c r="X20" s="49" t="n">
        <f aca="false">N((Calc_1!X$4&gt;=Calc_1!$F17)*ABS(Calc_1!X94)&gt;Tolerance)</f>
        <v>0</v>
      </c>
      <c r="Y20" s="49" t="n">
        <f aca="false">N((Calc_1!Y$4&gt;=Calc_1!$F17)*ABS(Calc_1!Y94)&gt;Tolerance)</f>
        <v>0</v>
      </c>
      <c r="Z20" s="49" t="n">
        <f aca="false">N((Calc_1!Z$4&gt;=Calc_1!$F17)*ABS(Calc_1!Z94)&gt;Tolerance)</f>
        <v>0</v>
      </c>
      <c r="AA20" s="49" t="n">
        <f aca="false">N((Calc_1!AA$4&gt;=Calc_1!$F17)*ABS(Calc_1!AA94)&gt;Tolerance)</f>
        <v>0</v>
      </c>
      <c r="AB20" s="49" t="n">
        <f aca="false">N((Calc_1!AB$4&gt;=Calc_1!$F17)*ABS(Calc_1!AB94)&gt;Tolerance)</f>
        <v>0</v>
      </c>
      <c r="AC20" s="49" t="n">
        <f aca="false">N((Calc_1!AC$4&gt;=Calc_1!$F17)*ABS(Calc_1!AC94)&gt;Tolerance)</f>
        <v>0</v>
      </c>
      <c r="AD20" s="49" t="n">
        <f aca="false">N((Calc_1!AD$4&gt;=Calc_1!$F17)*ABS(Calc_1!AD94)&gt;Tolerance)</f>
        <v>0</v>
      </c>
      <c r="AE20" s="49" t="n">
        <f aca="false">N((Calc_1!AE$4&gt;=Calc_1!$F17)*ABS(Calc_1!AE94)&gt;Tolerance)</f>
        <v>0</v>
      </c>
      <c r="AF20" s="49" t="n">
        <f aca="false">N((Calc_1!AF$4&gt;=Calc_1!$F17)*ABS(Calc_1!AF94)&gt;Tolerance)</f>
        <v>0</v>
      </c>
      <c r="AG20" s="49" t="n">
        <f aca="false">N((Calc_1!AG$4&gt;=Calc_1!$F17)*ABS(Calc_1!AG94)&gt;Tolerance)</f>
        <v>0</v>
      </c>
      <c r="AH20" s="49" t="n">
        <f aca="false">N((Calc_1!AH$4&gt;=Calc_1!$F17)*ABS(Calc_1!AH94)&gt;Tolerance)</f>
        <v>0</v>
      </c>
      <c r="AI20" s="49" t="n">
        <f aca="false">N((Calc_1!AI$4&gt;=Calc_1!$F17)*ABS(Calc_1!AI94)&gt;Tolerance)</f>
        <v>0</v>
      </c>
      <c r="AJ20" s="49" t="n">
        <f aca="false">N((Calc_1!AJ$4&gt;=Calc_1!$F17)*ABS(Calc_1!AJ94)&gt;Tolerance)</f>
        <v>0</v>
      </c>
      <c r="AK20" s="49" t="n">
        <f aca="false">N((Calc_1!AK$4&gt;=Calc_1!$F17)*ABS(Calc_1!AK94)&gt;Tolerance)</f>
        <v>0</v>
      </c>
      <c r="AL20" s="49" t="n">
        <f aca="false">N((Calc_1!AL$4&gt;=Calc_1!$F17)*ABS(Calc_1!AL94)&gt;Tolerance)</f>
        <v>0</v>
      </c>
      <c r="AM20" s="49" t="n">
        <f aca="false">N((Calc_1!AM$4&gt;=Calc_1!$F17)*ABS(Calc_1!AM94)&gt;Tolerance)</f>
        <v>0</v>
      </c>
      <c r="AN20" s="49" t="n">
        <f aca="false">N((Calc_1!AN$4&gt;=Calc_1!$F17)*ABS(Calc_1!AN94)&gt;Tolerance)</f>
        <v>0</v>
      </c>
      <c r="AO20" s="49" t="n">
        <f aca="false">N((Calc_1!AO$4&gt;=Calc_1!$F17)*ABS(Calc_1!AO94)&gt;Tolerance)</f>
        <v>0</v>
      </c>
      <c r="AP20" s="49" t="n">
        <f aca="false">N((Calc_1!AP$4&gt;=Calc_1!$F17)*ABS(Calc_1!AP94)&gt;Tolerance)</f>
        <v>0</v>
      </c>
      <c r="AQ20" s="49" t="n">
        <f aca="false">N((Calc_1!AQ$4&gt;=Calc_1!$F17)*ABS(Calc_1!AQ94)&gt;Tolerance)</f>
        <v>0</v>
      </c>
      <c r="AR20" s="49" t="n">
        <f aca="false">N((Calc_1!AR$4&gt;=Calc_1!$F17)*ABS(Calc_1!AR94)&gt;Tolerance)</f>
        <v>0</v>
      </c>
      <c r="AS20" s="49" t="n">
        <f aca="false">N((Calc_1!AS$4&gt;=Calc_1!$F17)*ABS(Calc_1!AS94)&gt;Tolerance)</f>
        <v>0</v>
      </c>
      <c r="AT20" s="49" t="n">
        <f aca="false">N((Calc_1!AT$4&gt;=Calc_1!$F17)*ABS(Calc_1!AT94)&gt;Tolerance)</f>
        <v>0</v>
      </c>
      <c r="AU20" s="49" t="n">
        <f aca="false">N((Calc_1!AU$4&gt;=Calc_1!$F17)*ABS(Calc_1!AU94)&gt;Tolerance)</f>
        <v>0</v>
      </c>
      <c r="AV20" s="49" t="n">
        <f aca="false">N((Calc_1!AV$4&gt;=Calc_1!$F17)*ABS(Calc_1!AV94)&gt;Tolerance)</f>
        <v>0</v>
      </c>
      <c r="AW20" s="49" t="n">
        <f aca="false">N((Calc_1!AW$4&gt;=Calc_1!$F17)*ABS(Calc_1!AW94)&gt;Tolerance)</f>
        <v>0</v>
      </c>
      <c r="AX20" s="49" t="n">
        <f aca="false">N((Calc_1!AX$4&gt;=Calc_1!$F17)*ABS(Calc_1!AX94)&gt;Tolerance)</f>
        <v>0</v>
      </c>
      <c r="AY20" s="49" t="n">
        <f aca="false">N((Calc_1!AY$4&gt;=Calc_1!$F17)*ABS(Calc_1!AY94)&gt;Tolerance)</f>
        <v>0</v>
      </c>
      <c r="AZ20" s="49" t="n">
        <f aca="false">N((Calc_1!AZ$4&gt;=Calc_1!$F17)*ABS(Calc_1!AZ94)&gt;Tolerance)</f>
        <v>0</v>
      </c>
      <c r="BA20" s="49" t="n">
        <f aca="false">N((Calc_1!BA$4&gt;=Calc_1!$F17)*ABS(Calc_1!BA94)&gt;Tolerance)</f>
        <v>0</v>
      </c>
      <c r="BB20" s="49" t="n">
        <f aca="false">N((Calc_1!BB$4&gt;=Calc_1!$F17)*ABS(Calc_1!BB94)&gt;Tolerance)</f>
        <v>0</v>
      </c>
      <c r="BC20" s="49" t="n">
        <f aca="false">N((Calc_1!BC$4&gt;=Calc_1!$F17)*ABS(Calc_1!BC94)&gt;Tolerance)</f>
        <v>0</v>
      </c>
      <c r="BD20" s="49" t="n">
        <f aca="false">N((Calc_1!BD$4&gt;=Calc_1!$F17)*ABS(Calc_1!BD94)&gt;Tolerance)</f>
        <v>0</v>
      </c>
      <c r="BE20" s="49" t="n">
        <f aca="false">N((Calc_1!BE$4&gt;=Calc_1!$F17)*ABS(Calc_1!BE94)&gt;Tolerance)</f>
        <v>0</v>
      </c>
      <c r="BF20" s="49" t="n">
        <f aca="false">N((Calc_1!BF$4&gt;=Calc_1!$F17)*ABS(Calc_1!BF94)&gt;Tolerance)</f>
        <v>0</v>
      </c>
      <c r="BG20" s="49" t="n">
        <f aca="false">N((Calc_1!BG$4&gt;=Calc_1!$F17)*ABS(Calc_1!BG94)&gt;Tolerance)</f>
        <v>0</v>
      </c>
      <c r="BH20" s="49" t="n">
        <f aca="false">N((Calc_1!BH$4&gt;=Calc_1!$F17)*ABS(Calc_1!BH94)&gt;Tolerance)</f>
        <v>0</v>
      </c>
      <c r="BI20" s="49" t="n">
        <f aca="false">N((Calc_1!BI$4&gt;=Calc_1!$F17)*ABS(Calc_1!BI94)&gt;Tolerance)</f>
        <v>0</v>
      </c>
      <c r="BJ20" s="49" t="n">
        <f aca="false">N((Calc_1!BJ$4&gt;=Calc_1!$F17)*ABS(Calc_1!BJ94)&gt;Tolerance)</f>
        <v>0</v>
      </c>
      <c r="BK20" s="49" t="n">
        <f aca="false">N((Calc_1!BK$4&gt;=Calc_1!$F17)*ABS(Calc_1!BK94)&gt;Tolerance)</f>
        <v>0</v>
      </c>
      <c r="BL20" s="49" t="n">
        <f aca="false">N((Calc_1!BL$4&gt;=Calc_1!$F17)*ABS(Calc_1!BL94)&gt;Tolerance)</f>
        <v>0</v>
      </c>
      <c r="BM20" s="49" t="n">
        <f aca="false">N((Calc_1!BM$4&gt;=Calc_1!$F17)*ABS(Calc_1!BM94)&gt;Tolerance)</f>
        <v>0</v>
      </c>
      <c r="BN20" s="49" t="n">
        <f aca="false">N((Calc_1!BN$4&gt;=Calc_1!$F17)*ABS(Calc_1!BN94)&gt;Tolerance)</f>
        <v>0</v>
      </c>
      <c r="BO20" s="49" t="n">
        <f aca="false">N((Calc_1!BO$4&gt;=Calc_1!$F17)*ABS(Calc_1!BO94)&gt;Tolerance)</f>
        <v>0</v>
      </c>
      <c r="BP20" s="49" t="n">
        <f aca="false">N((Calc_1!BP$4&gt;=Calc_1!$F17)*ABS(Calc_1!BP94)&gt;Tolerance)</f>
        <v>0</v>
      </c>
      <c r="BQ20" s="49" t="n">
        <f aca="false">N((Calc_1!BQ$4&gt;=Calc_1!$F17)*ABS(Calc_1!BQ94)&gt;Tolerance)</f>
        <v>0</v>
      </c>
      <c r="BR20" s="49" t="n">
        <f aca="false">N((Calc_1!BR$4&gt;=Calc_1!$F17)*ABS(Calc_1!BR94)&gt;Tolerance)</f>
        <v>0</v>
      </c>
      <c r="BS20" s="49" t="n">
        <f aca="false">N((Calc_1!BS$4&gt;=Calc_1!$F17)*ABS(Calc_1!BS94)&gt;Tolerance)</f>
        <v>0</v>
      </c>
      <c r="BT20" s="49" t="n">
        <f aca="false">N((Calc_1!BT$4&gt;=Calc_1!$F17)*ABS(Calc_1!BT94)&gt;Tolerance)</f>
        <v>0</v>
      </c>
      <c r="BU20" s="49" t="n">
        <f aca="false">N((Calc_1!BU$4&gt;=Calc_1!$F17)*ABS(Calc_1!BU94)&gt;Tolerance)</f>
        <v>0</v>
      </c>
      <c r="BV20" s="49" t="n">
        <f aca="false">N((Calc_1!BV$4&gt;=Calc_1!$F17)*ABS(Calc_1!BV94)&gt;Tolerance)</f>
        <v>0</v>
      </c>
      <c r="BW20" s="49" t="n">
        <f aca="false">N((Calc_1!BW$4&gt;=Calc_1!$F17)*ABS(Calc_1!BW94)&gt;Tolerance)</f>
        <v>0</v>
      </c>
      <c r="BX20" s="49" t="n">
        <f aca="false">N((Calc_1!BX$4&gt;=Calc_1!$F17)*ABS(Calc_1!BX94)&gt;Tolerance)</f>
        <v>0</v>
      </c>
      <c r="BY20" s="49" t="n">
        <f aca="false">N((Calc_1!BY$4&gt;=Calc_1!$F17)*ABS(Calc_1!BY94)&gt;Tolerance)</f>
        <v>0</v>
      </c>
      <c r="BZ20" s="49" t="n">
        <f aca="false">N((Calc_1!BZ$4&gt;=Calc_1!$F17)*ABS(Calc_1!BZ94)&gt;Tolerance)</f>
        <v>0</v>
      </c>
      <c r="CA20" s="49" t="n">
        <f aca="false">N((Calc_1!CA$4&gt;=Calc_1!$F17)*ABS(Calc_1!CA94)&gt;Tolerance)</f>
        <v>0</v>
      </c>
      <c r="CB20" s="49" t="n">
        <f aca="false">N((Calc_1!CB$4&gt;=Calc_1!$F17)*ABS(Calc_1!CB94)&gt;Tolerance)</f>
        <v>0</v>
      </c>
      <c r="CC20" s="49" t="n">
        <f aca="false">N((Calc_1!CC$4&gt;=Calc_1!$F17)*ABS(Calc_1!CC94)&gt;Tolerance)</f>
        <v>0</v>
      </c>
      <c r="CD20" s="49" t="n">
        <f aca="false">N((Calc_1!CD$4&gt;=Calc_1!$F17)*ABS(Calc_1!CD94)&gt;Tolerance)</f>
        <v>0</v>
      </c>
      <c r="CE20" s="49" t="n">
        <f aca="false">N((Calc_1!CE$4&gt;=Calc_1!$F17)*ABS(Calc_1!CE94)&gt;Tolerance)</f>
        <v>0</v>
      </c>
      <c r="CF20" s="49" t="n">
        <f aca="false">N((Calc_1!CF$4&gt;=Calc_1!$F17)*ABS(Calc_1!CF94)&gt;Tolerance)</f>
        <v>0</v>
      </c>
      <c r="CG20" s="49" t="n">
        <f aca="false">N((Calc_1!CG$4&gt;=Calc_1!$F17)*ABS(Calc_1!CG94)&gt;Tolerance)</f>
        <v>0</v>
      </c>
      <c r="CH20" s="49" t="n">
        <f aca="false">N((Calc_1!CH$4&gt;=Calc_1!$F17)*ABS(Calc_1!CH94)&gt;Tolerance)</f>
        <v>0</v>
      </c>
      <c r="CI20" s="49" t="n">
        <f aca="false">N((Calc_1!CI$4&gt;=Calc_1!$F17)*ABS(Calc_1!CI94)&gt;Tolerance)</f>
        <v>0</v>
      </c>
      <c r="CJ20" s="49" t="n">
        <f aca="false">N((Calc_1!CJ$4&gt;=Calc_1!$F17)*ABS(Calc_1!CJ94)&gt;Tolerance)</f>
        <v>0</v>
      </c>
      <c r="CK20" s="49" t="n">
        <f aca="false">N((Calc_1!CK$4&gt;=Calc_1!$F17)*ABS(Calc_1!CK94)&gt;Tolerance)</f>
        <v>0</v>
      </c>
      <c r="CL20" s="49" t="n">
        <f aca="false">N((Calc_1!CL$4&gt;=Calc_1!$F17)*ABS(Calc_1!CL94)&gt;Tolerance)</f>
        <v>0</v>
      </c>
      <c r="CM20" s="49" t="n">
        <f aca="false">N((Calc_1!CM$4&gt;=Calc_1!$F17)*ABS(Calc_1!CM94)&gt;Tolerance)</f>
        <v>0</v>
      </c>
      <c r="CN20" s="49" t="n">
        <f aca="false">N((Calc_1!CN$4&gt;=Calc_1!$F17)*ABS(Calc_1!CN94)&gt;Tolerance)</f>
        <v>0</v>
      </c>
      <c r="CO20" s="49" t="n">
        <f aca="false">N((Calc_1!CO$4&gt;=Calc_1!$F17)*ABS(Calc_1!CO94)&gt;Tolerance)</f>
        <v>0</v>
      </c>
      <c r="CP20" s="49" t="n">
        <f aca="false">N((Calc_1!CP$4&gt;=Calc_1!$F17)*ABS(Calc_1!CP94)&gt;Tolerance)</f>
        <v>0</v>
      </c>
      <c r="CQ20" s="49" t="n">
        <f aca="false">N((Calc_1!CQ$4&gt;=Calc_1!$F17)*ABS(Calc_1!CQ94)&gt;Tolerance)</f>
        <v>0</v>
      </c>
      <c r="CR20" s="49" t="n">
        <f aca="false">N((Calc_1!CR$4&gt;=Calc_1!$F17)*ABS(Calc_1!CR94)&gt;Tolerance)</f>
        <v>0</v>
      </c>
      <c r="CS20" s="49" t="n">
        <f aca="false">N((Calc_1!CS$4&gt;=Calc_1!$F17)*ABS(Calc_1!CS94)&gt;Tolerance)</f>
        <v>0</v>
      </c>
      <c r="CT20" s="49" t="n">
        <f aca="false">N((Calc_1!CT$4&gt;=Calc_1!$F17)*ABS(Calc_1!CT94)&gt;Tolerance)</f>
        <v>0</v>
      </c>
      <c r="CU20" s="49" t="n">
        <f aca="false">N((Calc_1!CU$4&gt;=Calc_1!$F17)*ABS(Calc_1!CU94)&gt;Tolerance)</f>
        <v>0</v>
      </c>
      <c r="CV20" s="49" t="n">
        <f aca="false">N((Calc_1!CV$4&gt;=Calc_1!$F17)*ABS(Calc_1!CV94)&gt;Tolerance)</f>
        <v>0</v>
      </c>
      <c r="CW20" s="49" t="n">
        <f aca="false">N((Calc_1!CW$4&gt;=Calc_1!$F17)*ABS(Calc_1!CW94)&gt;Tolerance)</f>
        <v>0</v>
      </c>
      <c r="CX20" s="49" t="n">
        <f aca="false">N((Calc_1!CX$4&gt;=Calc_1!$F17)*ABS(Calc_1!CX94)&gt;Tolerance)</f>
        <v>0</v>
      </c>
      <c r="CY20" s="49" t="n">
        <f aca="false">N((Calc_1!CY$4&gt;=Calc_1!$F17)*ABS(Calc_1!CY94)&gt;Tolerance)</f>
        <v>0</v>
      </c>
      <c r="CZ20" s="49" t="n">
        <f aca="false">N((Calc_1!CZ$4&gt;=Calc_1!$F17)*ABS(Calc_1!CZ94)&gt;Tolerance)</f>
        <v>0</v>
      </c>
      <c r="DA20" s="49" t="n">
        <f aca="false">N((Calc_1!DA$4&gt;=Calc_1!$F17)*ABS(Calc_1!DA94)&gt;Tolerance)</f>
        <v>0</v>
      </c>
      <c r="DB20" s="49" t="n">
        <f aca="false">N((Calc_1!DB$4&gt;=Calc_1!$F17)*ABS(Calc_1!DB94)&gt;Tolerance)</f>
        <v>0</v>
      </c>
      <c r="DC20" s="49" t="n">
        <f aca="false">N((Calc_1!DC$4&gt;=Calc_1!$F17)*ABS(Calc_1!DC94)&gt;Tolerance)</f>
        <v>0</v>
      </c>
      <c r="DD20" s="49" t="n">
        <f aca="false">N((Calc_1!DD$4&gt;=Calc_1!$F17)*ABS(Calc_1!DD94)&gt;Tolerance)</f>
        <v>0</v>
      </c>
      <c r="DE20" s="49" t="n">
        <f aca="false">N((Calc_1!DE$4&gt;=Calc_1!$F17)*ABS(Calc_1!DE94)&gt;Tolerance)</f>
        <v>0</v>
      </c>
      <c r="DF20" s="49" t="n">
        <f aca="false">N((Calc_1!DF$4&gt;=Calc_1!$F17)*ABS(Calc_1!DF94)&gt;Tolerance)</f>
        <v>0</v>
      </c>
      <c r="DG20" s="49" t="n">
        <f aca="false">N((Calc_1!DG$4&gt;=Calc_1!$F17)*ABS(Calc_1!DG94)&gt;Tolerance)</f>
        <v>0</v>
      </c>
      <c r="DH20" s="49" t="n">
        <f aca="false">N((Calc_1!DH$4&gt;=Calc_1!$F17)*ABS(Calc_1!DH94)&gt;Tolerance)</f>
        <v>0</v>
      </c>
      <c r="DI20" s="49" t="n">
        <f aca="false">N((Calc_1!DI$4&gt;=Calc_1!$F17)*ABS(Calc_1!DI94)&gt;Tolerance)</f>
        <v>0</v>
      </c>
      <c r="DJ20" s="49" t="n">
        <f aca="false">N((Calc_1!DJ$4&gt;=Calc_1!$F17)*ABS(Calc_1!DJ94)&gt;Tolerance)</f>
        <v>0</v>
      </c>
      <c r="DK20" s="49" t="n">
        <f aca="false">N((Calc_1!DK$4&gt;=Calc_1!$F17)*ABS(Calc_1!DK94)&gt;Tolerance)</f>
        <v>0</v>
      </c>
      <c r="DL20" s="49" t="n">
        <f aca="false">N((Calc_1!DL$4&gt;=Calc_1!$F17)*ABS(Calc_1!DL94)&gt;Tolerance)</f>
        <v>0</v>
      </c>
      <c r="DM20" s="49" t="n">
        <f aca="false">N((Calc_1!DM$4&gt;=Calc_1!$F17)*ABS(Calc_1!DM94)&gt;Tolerance)</f>
        <v>0</v>
      </c>
      <c r="DN20" s="49" t="n">
        <f aca="false">N((Calc_1!DN$4&gt;=Calc_1!$F17)*ABS(Calc_1!DN94)&gt;Tolerance)</f>
        <v>0</v>
      </c>
      <c r="DO20" s="49" t="n">
        <f aca="false">N((Calc_1!DO$4&gt;=Calc_1!$F17)*ABS(Calc_1!DO94)&gt;Tolerance)</f>
        <v>0</v>
      </c>
      <c r="DP20" s="49" t="n">
        <f aca="false">N((Calc_1!DP$4&gt;=Calc_1!$F17)*ABS(Calc_1!DP94)&gt;Tolerance)</f>
        <v>0</v>
      </c>
      <c r="DQ20" s="49" t="n">
        <f aca="false">N((Calc_1!DQ$4&gt;=Calc_1!$F17)*ABS(Calc_1!DQ94)&gt;Tolerance)</f>
        <v>0</v>
      </c>
      <c r="DR20" s="49" t="n">
        <f aca="false">N((Calc_1!DR$4&gt;=Calc_1!$F17)*ABS(Calc_1!DR94)&gt;Tolerance)</f>
        <v>0</v>
      </c>
      <c r="DS20" s="49" t="n">
        <f aca="false">N((Calc_1!DS$4&gt;=Calc_1!$F17)*ABS(Calc_1!DS94)&gt;Tolerance)</f>
        <v>0</v>
      </c>
      <c r="DT20" s="49" t="n">
        <f aca="false">N((Calc_1!DT$4&gt;=Calc_1!$F17)*ABS(Calc_1!DT94)&gt;Tolerance)</f>
        <v>0</v>
      </c>
      <c r="DU20" s="49" t="n">
        <f aca="false">N((Calc_1!DU$4&gt;=Calc_1!$F17)*ABS(Calc_1!DU94)&gt;Tolerance)</f>
        <v>0</v>
      </c>
      <c r="DV20" s="49" t="n">
        <f aca="false">N((Calc_1!DV$4&gt;=Calc_1!$F17)*ABS(Calc_1!DV94)&gt;Tolerance)</f>
        <v>0</v>
      </c>
      <c r="DW20" s="49" t="n">
        <f aca="false">N((Calc_1!DW$4&gt;=Calc_1!$F17)*ABS(Calc_1!DW94)&gt;Tolerance)</f>
        <v>0</v>
      </c>
      <c r="DX20" s="49" t="n">
        <f aca="false">N((Calc_1!DX$4&gt;=Calc_1!$F17)*ABS(Calc_1!DX94)&gt;Tolerance)</f>
        <v>0</v>
      </c>
      <c r="DY20" s="49" t="n">
        <f aca="false">N((Calc_1!DY$4&gt;=Calc_1!$F17)*ABS(Calc_1!DY94)&gt;Tolerance)</f>
        <v>0</v>
      </c>
      <c r="DZ20" s="49" t="n">
        <f aca="false">N((Calc_1!DZ$4&gt;=Calc_1!$F17)*ABS(Calc_1!DZ94)&gt;Tolerance)</f>
        <v>0</v>
      </c>
      <c r="EA20" s="49" t="n">
        <f aca="false">N((Calc_1!EA$4&gt;=Calc_1!$F17)*ABS(Calc_1!EA94)&gt;Tolerance)</f>
        <v>0</v>
      </c>
      <c r="EB20" s="49" t="n">
        <f aca="false">N((Calc_1!EB$4&gt;=Calc_1!$F17)*ABS(Calc_1!EB94)&gt;Tolerance)</f>
        <v>0</v>
      </c>
      <c r="EC20" s="49" t="n">
        <f aca="false">N((Calc_1!EC$4&gt;=Calc_1!$F17)*ABS(Calc_1!EC94)&gt;Tolerance)</f>
        <v>0</v>
      </c>
      <c r="ED20" s="49" t="n">
        <f aca="false">N((Calc_1!ED$4&gt;=Calc_1!$F17)*ABS(Calc_1!ED94)&gt;Tolerance)</f>
        <v>0</v>
      </c>
      <c r="EE20" s="49" t="n">
        <f aca="false">N((Calc_1!EE$4&gt;=Calc_1!$F17)*ABS(Calc_1!EE94)&gt;Tolerance)</f>
        <v>0</v>
      </c>
      <c r="EF20" s="49" t="n">
        <f aca="false">N((Calc_1!EF$4&gt;=Calc_1!$F17)*ABS(Calc_1!EF94)&gt;Tolerance)</f>
        <v>0</v>
      </c>
      <c r="EG20" s="49" t="n">
        <f aca="false">N((Calc_1!EG$4&gt;=Calc_1!$F17)*ABS(Calc_1!EG94)&gt;Tolerance)</f>
        <v>0</v>
      </c>
      <c r="EH20" s="49" t="n">
        <f aca="false">N((Calc_1!EH$4&gt;=Calc_1!$F17)*ABS(Calc_1!EH94)&gt;Tolerance)</f>
        <v>0</v>
      </c>
      <c r="EI20" s="49" t="n">
        <f aca="false">N((Calc_1!EI$4&gt;=Calc_1!$F17)*ABS(Calc_1!EI94)&gt;Tolerance)</f>
        <v>0</v>
      </c>
      <c r="EJ20" s="49" t="n">
        <f aca="false">N((Calc_1!EJ$4&gt;=Calc_1!$F17)*ABS(Calc_1!EJ94)&gt;Tolerance)</f>
        <v>0</v>
      </c>
      <c r="EK20" s="49" t="n">
        <f aca="false">N((Calc_1!EK$4&gt;=Calc_1!$F17)*ABS(Calc_1!EK94)&gt;Tolerance)</f>
        <v>0</v>
      </c>
      <c r="EL20" s="49" t="n">
        <f aca="false">N((Calc_1!EL$4&gt;=Calc_1!$F17)*ABS(Calc_1!EL94)&gt;Tolerance)</f>
        <v>0</v>
      </c>
      <c r="EM20" s="49" t="n">
        <f aca="false">N((Calc_1!EM$4&gt;=Calc_1!$F17)*ABS(Calc_1!EM94)&gt;Tolerance)</f>
        <v>0</v>
      </c>
      <c r="EN20" s="49" t="n">
        <f aca="false">N((Calc_1!EN$4&gt;=Calc_1!$F17)*ABS(Calc_1!EN94)&gt;Tolerance)</f>
        <v>0</v>
      </c>
      <c r="EO20" s="49" t="n">
        <f aca="false">N((Calc_1!EO$4&gt;=Calc_1!$F17)*ABS(Calc_1!EO94)&gt;Tolerance)</f>
        <v>0</v>
      </c>
    </row>
    <row r="21" customFormat="false" ht="15" hidden="false" customHeight="false" outlineLevel="0" collapsed="false">
      <c r="C21" s="0" t="s">
        <v>497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N((Calc_2!J$4&gt;=Calc_2!$F17)*ABS(Calc_2!J94)&gt;Tolerance)</f>
        <v>0</v>
      </c>
      <c r="K21" s="49" t="n">
        <f aca="false">N((Calc_2!K$4&gt;=Calc_2!$F17)*ABS(Calc_2!K94)&gt;Tolerance)</f>
        <v>0</v>
      </c>
      <c r="L21" s="49" t="n">
        <f aca="false">N((Calc_2!L$4&gt;=Calc_2!$F17)*ABS(Calc_2!L94)&gt;Tolerance)</f>
        <v>0</v>
      </c>
      <c r="M21" s="49" t="n">
        <f aca="false">N((Calc_2!M$4&gt;=Calc_2!$F17)*ABS(Calc_2!M94)&gt;Tolerance)</f>
        <v>0</v>
      </c>
      <c r="N21" s="49" t="n">
        <f aca="false">N((Calc_2!N$4&gt;=Calc_2!$F17)*ABS(Calc_2!N94)&gt;Tolerance)</f>
        <v>0</v>
      </c>
      <c r="O21" s="49" t="n">
        <f aca="false">N((Calc_2!O$4&gt;=Calc_2!$F17)*ABS(Calc_2!O94)&gt;Tolerance)</f>
        <v>0</v>
      </c>
      <c r="P21" s="49" t="n">
        <f aca="false">N((Calc_2!P$4&gt;=Calc_2!$F17)*ABS(Calc_2!P94)&gt;Tolerance)</f>
        <v>0</v>
      </c>
      <c r="Q21" s="49" t="n">
        <f aca="false">N((Calc_2!Q$4&gt;=Calc_2!$F17)*ABS(Calc_2!Q94)&gt;Tolerance)</f>
        <v>0</v>
      </c>
      <c r="R21" s="49" t="n">
        <f aca="false">N((Calc_2!R$4&gt;=Calc_2!$F17)*ABS(Calc_2!R94)&gt;Tolerance)</f>
        <v>0</v>
      </c>
      <c r="S21" s="49" t="n">
        <f aca="false">N((Calc_2!S$4&gt;=Calc_2!$F17)*ABS(Calc_2!S94)&gt;Tolerance)</f>
        <v>0</v>
      </c>
      <c r="T21" s="49" t="n">
        <f aca="false">N((Calc_2!T$4&gt;=Calc_2!$F17)*ABS(Calc_2!T94)&gt;Tolerance)</f>
        <v>0</v>
      </c>
      <c r="U21" s="49" t="n">
        <f aca="false">N((Calc_2!U$4&gt;=Calc_2!$F17)*ABS(Calc_2!U94)&gt;Tolerance)</f>
        <v>0</v>
      </c>
      <c r="V21" s="49" t="n">
        <f aca="false">N((Calc_2!V$4&gt;=Calc_2!$F17)*ABS(Calc_2!V94)&gt;Tolerance)</f>
        <v>0</v>
      </c>
      <c r="W21" s="49" t="n">
        <f aca="false">N((Calc_2!W$4&gt;=Calc_2!$F17)*ABS(Calc_2!W94)&gt;Tolerance)</f>
        <v>0</v>
      </c>
      <c r="X21" s="49" t="n">
        <f aca="false">N((Calc_2!X$4&gt;=Calc_2!$F17)*ABS(Calc_2!X94)&gt;Tolerance)</f>
        <v>0</v>
      </c>
      <c r="Y21" s="49" t="n">
        <f aca="false">N((Calc_2!Y$4&gt;=Calc_2!$F17)*ABS(Calc_2!Y94)&gt;Tolerance)</f>
        <v>0</v>
      </c>
      <c r="Z21" s="49" t="n">
        <f aca="false">N((Calc_2!Z$4&gt;=Calc_2!$F17)*ABS(Calc_2!Z94)&gt;Tolerance)</f>
        <v>0</v>
      </c>
      <c r="AA21" s="49" t="n">
        <f aca="false">N((Calc_2!AA$4&gt;=Calc_2!$F17)*ABS(Calc_2!AA94)&gt;Tolerance)</f>
        <v>0</v>
      </c>
      <c r="AB21" s="49" t="n">
        <f aca="false">N((Calc_2!AB$4&gt;=Calc_2!$F17)*ABS(Calc_2!AB94)&gt;Tolerance)</f>
        <v>0</v>
      </c>
      <c r="AC21" s="49" t="n">
        <f aca="false">N((Calc_2!AC$4&gt;=Calc_2!$F17)*ABS(Calc_2!AC94)&gt;Tolerance)</f>
        <v>0</v>
      </c>
      <c r="AD21" s="49" t="n">
        <f aca="false">N((Calc_2!AD$4&gt;=Calc_2!$F17)*ABS(Calc_2!AD94)&gt;Tolerance)</f>
        <v>0</v>
      </c>
      <c r="AE21" s="49" t="n">
        <f aca="false">N((Calc_2!AE$4&gt;=Calc_2!$F17)*ABS(Calc_2!AE94)&gt;Tolerance)</f>
        <v>0</v>
      </c>
      <c r="AF21" s="49" t="n">
        <f aca="false">N((Calc_2!AF$4&gt;=Calc_2!$F17)*ABS(Calc_2!AF94)&gt;Tolerance)</f>
        <v>0</v>
      </c>
      <c r="AG21" s="49" t="n">
        <f aca="false">N((Calc_2!AG$4&gt;=Calc_2!$F17)*ABS(Calc_2!AG94)&gt;Tolerance)</f>
        <v>0</v>
      </c>
      <c r="AH21" s="49" t="n">
        <f aca="false">N((Calc_2!AH$4&gt;=Calc_2!$F17)*ABS(Calc_2!AH94)&gt;Tolerance)</f>
        <v>0</v>
      </c>
      <c r="AI21" s="49" t="n">
        <f aca="false">N((Calc_2!AI$4&gt;=Calc_2!$F17)*ABS(Calc_2!AI94)&gt;Tolerance)</f>
        <v>0</v>
      </c>
      <c r="AJ21" s="49" t="n">
        <f aca="false">N((Calc_2!AJ$4&gt;=Calc_2!$F17)*ABS(Calc_2!AJ94)&gt;Tolerance)</f>
        <v>0</v>
      </c>
      <c r="AK21" s="49" t="n">
        <f aca="false">N((Calc_2!AK$4&gt;=Calc_2!$F17)*ABS(Calc_2!AK94)&gt;Tolerance)</f>
        <v>0</v>
      </c>
      <c r="AL21" s="49" t="n">
        <f aca="false">N((Calc_2!AL$4&gt;=Calc_2!$F17)*ABS(Calc_2!AL94)&gt;Tolerance)</f>
        <v>0</v>
      </c>
      <c r="AM21" s="49" t="n">
        <f aca="false">N((Calc_2!AM$4&gt;=Calc_2!$F17)*ABS(Calc_2!AM94)&gt;Tolerance)</f>
        <v>0</v>
      </c>
      <c r="AN21" s="49" t="n">
        <f aca="false">N((Calc_2!AN$4&gt;=Calc_2!$F17)*ABS(Calc_2!AN94)&gt;Tolerance)</f>
        <v>0</v>
      </c>
      <c r="AO21" s="49" t="n">
        <f aca="false">N((Calc_2!AO$4&gt;=Calc_2!$F17)*ABS(Calc_2!AO94)&gt;Tolerance)</f>
        <v>0</v>
      </c>
      <c r="AP21" s="49" t="n">
        <f aca="false">N((Calc_2!AP$4&gt;=Calc_2!$F17)*ABS(Calc_2!AP94)&gt;Tolerance)</f>
        <v>0</v>
      </c>
      <c r="AQ21" s="49" t="n">
        <f aca="false">N((Calc_2!AQ$4&gt;=Calc_2!$F17)*ABS(Calc_2!AQ94)&gt;Tolerance)</f>
        <v>0</v>
      </c>
      <c r="AR21" s="49" t="n">
        <f aca="false">N((Calc_2!AR$4&gt;=Calc_2!$F17)*ABS(Calc_2!AR94)&gt;Tolerance)</f>
        <v>0</v>
      </c>
      <c r="AS21" s="49" t="n">
        <f aca="false">N((Calc_2!AS$4&gt;=Calc_2!$F17)*ABS(Calc_2!AS94)&gt;Tolerance)</f>
        <v>0</v>
      </c>
      <c r="AT21" s="49" t="n">
        <f aca="false">N((Calc_2!AT$4&gt;=Calc_2!$F17)*ABS(Calc_2!AT94)&gt;Tolerance)</f>
        <v>0</v>
      </c>
      <c r="AU21" s="49" t="n">
        <f aca="false">N((Calc_2!AU$4&gt;=Calc_2!$F17)*ABS(Calc_2!AU94)&gt;Tolerance)</f>
        <v>0</v>
      </c>
      <c r="AV21" s="49" t="n">
        <f aca="false">N((Calc_2!AV$4&gt;=Calc_2!$F17)*ABS(Calc_2!AV94)&gt;Tolerance)</f>
        <v>0</v>
      </c>
      <c r="AW21" s="49" t="n">
        <f aca="false">N((Calc_2!AW$4&gt;=Calc_2!$F17)*ABS(Calc_2!AW94)&gt;Tolerance)</f>
        <v>0</v>
      </c>
      <c r="AX21" s="49" t="n">
        <f aca="false">N((Calc_2!AX$4&gt;=Calc_2!$F17)*ABS(Calc_2!AX94)&gt;Tolerance)</f>
        <v>0</v>
      </c>
      <c r="AY21" s="49" t="n">
        <f aca="false">N((Calc_2!AY$4&gt;=Calc_2!$F17)*ABS(Calc_2!AY94)&gt;Tolerance)</f>
        <v>0</v>
      </c>
      <c r="AZ21" s="49" t="n">
        <f aca="false">N((Calc_2!AZ$4&gt;=Calc_2!$F17)*ABS(Calc_2!AZ94)&gt;Tolerance)</f>
        <v>0</v>
      </c>
      <c r="BA21" s="49" t="n">
        <f aca="false">N((Calc_2!BA$4&gt;=Calc_2!$F17)*ABS(Calc_2!BA94)&gt;Tolerance)</f>
        <v>0</v>
      </c>
      <c r="BB21" s="49" t="n">
        <f aca="false">N((Calc_2!BB$4&gt;=Calc_2!$F17)*ABS(Calc_2!BB94)&gt;Tolerance)</f>
        <v>0</v>
      </c>
      <c r="BC21" s="49" t="n">
        <f aca="false">N((Calc_2!BC$4&gt;=Calc_2!$F17)*ABS(Calc_2!BC94)&gt;Tolerance)</f>
        <v>0</v>
      </c>
      <c r="BD21" s="49" t="n">
        <f aca="false">N((Calc_2!BD$4&gt;=Calc_2!$F17)*ABS(Calc_2!BD94)&gt;Tolerance)</f>
        <v>0</v>
      </c>
      <c r="BE21" s="49" t="n">
        <f aca="false">N((Calc_2!BE$4&gt;=Calc_2!$F17)*ABS(Calc_2!BE94)&gt;Tolerance)</f>
        <v>0</v>
      </c>
      <c r="BF21" s="49" t="n">
        <f aca="false">N((Calc_2!BF$4&gt;=Calc_2!$F17)*ABS(Calc_2!BF94)&gt;Tolerance)</f>
        <v>0</v>
      </c>
      <c r="BG21" s="49" t="n">
        <f aca="false">N((Calc_2!BG$4&gt;=Calc_2!$F17)*ABS(Calc_2!BG94)&gt;Tolerance)</f>
        <v>0</v>
      </c>
      <c r="BH21" s="49" t="n">
        <f aca="false">N((Calc_2!BH$4&gt;=Calc_2!$F17)*ABS(Calc_2!BH94)&gt;Tolerance)</f>
        <v>0</v>
      </c>
      <c r="BI21" s="49" t="n">
        <f aca="false">N((Calc_2!BI$4&gt;=Calc_2!$F17)*ABS(Calc_2!BI94)&gt;Tolerance)</f>
        <v>0</v>
      </c>
      <c r="BJ21" s="49" t="n">
        <f aca="false">N((Calc_2!BJ$4&gt;=Calc_2!$F17)*ABS(Calc_2!BJ94)&gt;Tolerance)</f>
        <v>0</v>
      </c>
      <c r="BK21" s="49" t="n">
        <f aca="false">N((Calc_2!BK$4&gt;=Calc_2!$F17)*ABS(Calc_2!BK94)&gt;Tolerance)</f>
        <v>0</v>
      </c>
      <c r="BL21" s="49" t="n">
        <f aca="false">N((Calc_2!BL$4&gt;=Calc_2!$F17)*ABS(Calc_2!BL94)&gt;Tolerance)</f>
        <v>0</v>
      </c>
      <c r="BM21" s="49" t="n">
        <f aca="false">N((Calc_2!BM$4&gt;=Calc_2!$F17)*ABS(Calc_2!BM94)&gt;Tolerance)</f>
        <v>0</v>
      </c>
      <c r="BN21" s="49" t="n">
        <f aca="false">N((Calc_2!BN$4&gt;=Calc_2!$F17)*ABS(Calc_2!BN94)&gt;Tolerance)</f>
        <v>0</v>
      </c>
      <c r="BO21" s="49" t="n">
        <f aca="false">N((Calc_2!BO$4&gt;=Calc_2!$F17)*ABS(Calc_2!BO94)&gt;Tolerance)</f>
        <v>0</v>
      </c>
      <c r="BP21" s="49" t="n">
        <f aca="false">N((Calc_2!BP$4&gt;=Calc_2!$F17)*ABS(Calc_2!BP94)&gt;Tolerance)</f>
        <v>0</v>
      </c>
      <c r="BQ21" s="49" t="n">
        <f aca="false">N((Calc_2!BQ$4&gt;=Calc_2!$F17)*ABS(Calc_2!BQ94)&gt;Tolerance)</f>
        <v>0</v>
      </c>
      <c r="BR21" s="49" t="n">
        <f aca="false">N((Calc_2!BR$4&gt;=Calc_2!$F17)*ABS(Calc_2!BR94)&gt;Tolerance)</f>
        <v>0</v>
      </c>
      <c r="BS21" s="49" t="n">
        <f aca="false">N((Calc_2!BS$4&gt;=Calc_2!$F17)*ABS(Calc_2!BS94)&gt;Tolerance)</f>
        <v>0</v>
      </c>
      <c r="BT21" s="49" t="n">
        <f aca="false">N((Calc_2!BT$4&gt;=Calc_2!$F17)*ABS(Calc_2!BT94)&gt;Tolerance)</f>
        <v>0</v>
      </c>
      <c r="BU21" s="49" t="n">
        <f aca="false">N((Calc_2!BU$4&gt;=Calc_2!$F17)*ABS(Calc_2!BU94)&gt;Tolerance)</f>
        <v>0</v>
      </c>
      <c r="BV21" s="49" t="n">
        <f aca="false">N((Calc_2!BV$4&gt;=Calc_2!$F17)*ABS(Calc_2!BV94)&gt;Tolerance)</f>
        <v>0</v>
      </c>
      <c r="BW21" s="49" t="n">
        <f aca="false">N((Calc_2!BW$4&gt;=Calc_2!$F17)*ABS(Calc_2!BW94)&gt;Tolerance)</f>
        <v>0</v>
      </c>
      <c r="BX21" s="49" t="n">
        <f aca="false">N((Calc_2!BX$4&gt;=Calc_2!$F17)*ABS(Calc_2!BX94)&gt;Tolerance)</f>
        <v>0</v>
      </c>
      <c r="BY21" s="49" t="n">
        <f aca="false">N((Calc_2!BY$4&gt;=Calc_2!$F17)*ABS(Calc_2!BY94)&gt;Tolerance)</f>
        <v>0</v>
      </c>
      <c r="BZ21" s="49" t="n">
        <f aca="false">N((Calc_2!BZ$4&gt;=Calc_2!$F17)*ABS(Calc_2!BZ94)&gt;Tolerance)</f>
        <v>0</v>
      </c>
      <c r="CA21" s="49" t="n">
        <f aca="false">N((Calc_2!CA$4&gt;=Calc_2!$F17)*ABS(Calc_2!CA94)&gt;Tolerance)</f>
        <v>0</v>
      </c>
      <c r="CB21" s="49" t="n">
        <f aca="false">N((Calc_2!CB$4&gt;=Calc_2!$F17)*ABS(Calc_2!CB94)&gt;Tolerance)</f>
        <v>0</v>
      </c>
      <c r="CC21" s="49" t="n">
        <f aca="false">N((Calc_2!CC$4&gt;=Calc_2!$F17)*ABS(Calc_2!CC94)&gt;Tolerance)</f>
        <v>0</v>
      </c>
      <c r="CD21" s="49" t="n">
        <f aca="false">N((Calc_2!CD$4&gt;=Calc_2!$F17)*ABS(Calc_2!CD94)&gt;Tolerance)</f>
        <v>0</v>
      </c>
      <c r="CE21" s="49" t="n">
        <f aca="false">N((Calc_2!CE$4&gt;=Calc_2!$F17)*ABS(Calc_2!CE94)&gt;Tolerance)</f>
        <v>0</v>
      </c>
      <c r="CF21" s="49" t="n">
        <f aca="false">N((Calc_2!CF$4&gt;=Calc_2!$F17)*ABS(Calc_2!CF94)&gt;Tolerance)</f>
        <v>0</v>
      </c>
      <c r="CG21" s="49" t="n">
        <f aca="false">N((Calc_2!CG$4&gt;=Calc_2!$F17)*ABS(Calc_2!CG94)&gt;Tolerance)</f>
        <v>0</v>
      </c>
      <c r="CH21" s="49" t="n">
        <f aca="false">N((Calc_2!CH$4&gt;=Calc_2!$F17)*ABS(Calc_2!CH94)&gt;Tolerance)</f>
        <v>0</v>
      </c>
      <c r="CI21" s="49" t="n">
        <f aca="false">N((Calc_2!CI$4&gt;=Calc_2!$F17)*ABS(Calc_2!CI94)&gt;Tolerance)</f>
        <v>0</v>
      </c>
      <c r="CJ21" s="49" t="n">
        <f aca="false">N((Calc_2!CJ$4&gt;=Calc_2!$F17)*ABS(Calc_2!CJ94)&gt;Tolerance)</f>
        <v>0</v>
      </c>
      <c r="CK21" s="49" t="n">
        <f aca="false">N((Calc_2!CK$4&gt;=Calc_2!$F17)*ABS(Calc_2!CK94)&gt;Tolerance)</f>
        <v>0</v>
      </c>
      <c r="CL21" s="49" t="n">
        <f aca="false">N((Calc_2!CL$4&gt;=Calc_2!$F17)*ABS(Calc_2!CL94)&gt;Tolerance)</f>
        <v>0</v>
      </c>
      <c r="CM21" s="49" t="n">
        <f aca="false">N((Calc_2!CM$4&gt;=Calc_2!$F17)*ABS(Calc_2!CM94)&gt;Tolerance)</f>
        <v>0</v>
      </c>
      <c r="CN21" s="49" t="n">
        <f aca="false">N((Calc_2!CN$4&gt;=Calc_2!$F17)*ABS(Calc_2!CN94)&gt;Tolerance)</f>
        <v>0</v>
      </c>
      <c r="CO21" s="49" t="n">
        <f aca="false">N((Calc_2!CO$4&gt;=Calc_2!$F17)*ABS(Calc_2!CO94)&gt;Tolerance)</f>
        <v>0</v>
      </c>
      <c r="CP21" s="49" t="n">
        <f aca="false">N((Calc_2!CP$4&gt;=Calc_2!$F17)*ABS(Calc_2!CP94)&gt;Tolerance)</f>
        <v>0</v>
      </c>
      <c r="CQ21" s="49" t="n">
        <f aca="false">N((Calc_2!CQ$4&gt;=Calc_2!$F17)*ABS(Calc_2!CQ94)&gt;Tolerance)</f>
        <v>0</v>
      </c>
      <c r="CR21" s="49" t="n">
        <f aca="false">N((Calc_2!CR$4&gt;=Calc_2!$F17)*ABS(Calc_2!CR94)&gt;Tolerance)</f>
        <v>0</v>
      </c>
      <c r="CS21" s="49" t="n">
        <f aca="false">N((Calc_2!CS$4&gt;=Calc_2!$F17)*ABS(Calc_2!CS94)&gt;Tolerance)</f>
        <v>0</v>
      </c>
      <c r="CT21" s="49" t="n">
        <f aca="false">N((Calc_2!CT$4&gt;=Calc_2!$F17)*ABS(Calc_2!CT94)&gt;Tolerance)</f>
        <v>0</v>
      </c>
      <c r="CU21" s="49" t="n">
        <f aca="false">N((Calc_2!CU$4&gt;=Calc_2!$F17)*ABS(Calc_2!CU94)&gt;Tolerance)</f>
        <v>0</v>
      </c>
      <c r="CV21" s="49" t="n">
        <f aca="false">N((Calc_2!CV$4&gt;=Calc_2!$F17)*ABS(Calc_2!CV94)&gt;Tolerance)</f>
        <v>0</v>
      </c>
      <c r="CW21" s="49" t="n">
        <f aca="false">N((Calc_2!CW$4&gt;=Calc_2!$F17)*ABS(Calc_2!CW94)&gt;Tolerance)</f>
        <v>0</v>
      </c>
      <c r="CX21" s="49" t="n">
        <f aca="false">N((Calc_2!CX$4&gt;=Calc_2!$F17)*ABS(Calc_2!CX94)&gt;Tolerance)</f>
        <v>0</v>
      </c>
      <c r="CY21" s="49" t="n">
        <f aca="false">N((Calc_2!CY$4&gt;=Calc_2!$F17)*ABS(Calc_2!CY94)&gt;Tolerance)</f>
        <v>0</v>
      </c>
      <c r="CZ21" s="49" t="n">
        <f aca="false">N((Calc_2!CZ$4&gt;=Calc_2!$F17)*ABS(Calc_2!CZ94)&gt;Tolerance)</f>
        <v>0</v>
      </c>
      <c r="DA21" s="49" t="n">
        <f aca="false">N((Calc_2!DA$4&gt;=Calc_2!$F17)*ABS(Calc_2!DA94)&gt;Tolerance)</f>
        <v>0</v>
      </c>
      <c r="DB21" s="49" t="n">
        <f aca="false">N((Calc_2!DB$4&gt;=Calc_2!$F17)*ABS(Calc_2!DB94)&gt;Tolerance)</f>
        <v>0</v>
      </c>
      <c r="DC21" s="49" t="n">
        <f aca="false">N((Calc_2!DC$4&gt;=Calc_2!$F17)*ABS(Calc_2!DC94)&gt;Tolerance)</f>
        <v>0</v>
      </c>
      <c r="DD21" s="49" t="n">
        <f aca="false">N((Calc_2!DD$4&gt;=Calc_2!$F17)*ABS(Calc_2!DD94)&gt;Tolerance)</f>
        <v>0</v>
      </c>
      <c r="DE21" s="49" t="n">
        <f aca="false">N((Calc_2!DE$4&gt;=Calc_2!$F17)*ABS(Calc_2!DE94)&gt;Tolerance)</f>
        <v>0</v>
      </c>
      <c r="DF21" s="49" t="n">
        <f aca="false">N((Calc_2!DF$4&gt;=Calc_2!$F17)*ABS(Calc_2!DF94)&gt;Tolerance)</f>
        <v>0</v>
      </c>
      <c r="DG21" s="49" t="n">
        <f aca="false">N((Calc_2!DG$4&gt;=Calc_2!$F17)*ABS(Calc_2!DG94)&gt;Tolerance)</f>
        <v>0</v>
      </c>
      <c r="DH21" s="49" t="n">
        <f aca="false">N((Calc_2!DH$4&gt;=Calc_2!$F17)*ABS(Calc_2!DH94)&gt;Tolerance)</f>
        <v>0</v>
      </c>
      <c r="DI21" s="49" t="n">
        <f aca="false">N((Calc_2!DI$4&gt;=Calc_2!$F17)*ABS(Calc_2!DI94)&gt;Tolerance)</f>
        <v>0</v>
      </c>
      <c r="DJ21" s="49" t="n">
        <f aca="false">N((Calc_2!DJ$4&gt;=Calc_2!$F17)*ABS(Calc_2!DJ94)&gt;Tolerance)</f>
        <v>0</v>
      </c>
      <c r="DK21" s="49" t="n">
        <f aca="false">N((Calc_2!DK$4&gt;=Calc_2!$F17)*ABS(Calc_2!DK94)&gt;Tolerance)</f>
        <v>0</v>
      </c>
      <c r="DL21" s="49" t="n">
        <f aca="false">N((Calc_2!DL$4&gt;=Calc_2!$F17)*ABS(Calc_2!DL94)&gt;Tolerance)</f>
        <v>0</v>
      </c>
      <c r="DM21" s="49" t="n">
        <f aca="false">N((Calc_2!DM$4&gt;=Calc_2!$F17)*ABS(Calc_2!DM94)&gt;Tolerance)</f>
        <v>0</v>
      </c>
      <c r="DN21" s="49" t="n">
        <f aca="false">N((Calc_2!DN$4&gt;=Calc_2!$F17)*ABS(Calc_2!DN94)&gt;Tolerance)</f>
        <v>0</v>
      </c>
      <c r="DO21" s="49" t="n">
        <f aca="false">N((Calc_2!DO$4&gt;=Calc_2!$F17)*ABS(Calc_2!DO94)&gt;Tolerance)</f>
        <v>0</v>
      </c>
      <c r="DP21" s="49" t="n">
        <f aca="false">N((Calc_2!DP$4&gt;=Calc_2!$F17)*ABS(Calc_2!DP94)&gt;Tolerance)</f>
        <v>0</v>
      </c>
      <c r="DQ21" s="49" t="n">
        <f aca="false">N((Calc_2!DQ$4&gt;=Calc_2!$F17)*ABS(Calc_2!DQ94)&gt;Tolerance)</f>
        <v>0</v>
      </c>
      <c r="DR21" s="49" t="n">
        <f aca="false">N((Calc_2!DR$4&gt;=Calc_2!$F17)*ABS(Calc_2!DR94)&gt;Tolerance)</f>
        <v>0</v>
      </c>
      <c r="DS21" s="49" t="n">
        <f aca="false">N((Calc_2!DS$4&gt;=Calc_2!$F17)*ABS(Calc_2!DS94)&gt;Tolerance)</f>
        <v>0</v>
      </c>
      <c r="DT21" s="49" t="n">
        <f aca="false">N((Calc_2!DT$4&gt;=Calc_2!$F17)*ABS(Calc_2!DT94)&gt;Tolerance)</f>
        <v>0</v>
      </c>
      <c r="DU21" s="49" t="n">
        <f aca="false">N((Calc_2!DU$4&gt;=Calc_2!$F17)*ABS(Calc_2!DU94)&gt;Tolerance)</f>
        <v>0</v>
      </c>
      <c r="DV21" s="49" t="n">
        <f aca="false">N((Calc_2!DV$4&gt;=Calc_2!$F17)*ABS(Calc_2!DV94)&gt;Tolerance)</f>
        <v>0</v>
      </c>
      <c r="DW21" s="49" t="n">
        <f aca="false">N((Calc_2!DW$4&gt;=Calc_2!$F17)*ABS(Calc_2!DW94)&gt;Tolerance)</f>
        <v>0</v>
      </c>
      <c r="DX21" s="49" t="n">
        <f aca="false">N((Calc_2!DX$4&gt;=Calc_2!$F17)*ABS(Calc_2!DX94)&gt;Tolerance)</f>
        <v>0</v>
      </c>
      <c r="DY21" s="49" t="n">
        <f aca="false">N((Calc_2!DY$4&gt;=Calc_2!$F17)*ABS(Calc_2!DY94)&gt;Tolerance)</f>
        <v>0</v>
      </c>
      <c r="DZ21" s="49" t="n">
        <f aca="false">N((Calc_2!DZ$4&gt;=Calc_2!$F17)*ABS(Calc_2!DZ94)&gt;Tolerance)</f>
        <v>0</v>
      </c>
      <c r="EA21" s="49" t="n">
        <f aca="false">N((Calc_2!EA$4&gt;=Calc_2!$F17)*ABS(Calc_2!EA94)&gt;Tolerance)</f>
        <v>0</v>
      </c>
      <c r="EB21" s="49" t="n">
        <f aca="false">N((Calc_2!EB$4&gt;=Calc_2!$F17)*ABS(Calc_2!EB94)&gt;Tolerance)</f>
        <v>0</v>
      </c>
      <c r="EC21" s="49" t="n">
        <f aca="false">N((Calc_2!EC$4&gt;=Calc_2!$F17)*ABS(Calc_2!EC94)&gt;Tolerance)</f>
        <v>0</v>
      </c>
      <c r="ED21" s="49" t="n">
        <f aca="false">N((Calc_2!ED$4&gt;=Calc_2!$F17)*ABS(Calc_2!ED94)&gt;Tolerance)</f>
        <v>0</v>
      </c>
      <c r="EE21" s="49" t="n">
        <f aca="false">N((Calc_2!EE$4&gt;=Calc_2!$F17)*ABS(Calc_2!EE94)&gt;Tolerance)</f>
        <v>0</v>
      </c>
      <c r="EF21" s="49" t="n">
        <f aca="false">N((Calc_2!EF$4&gt;=Calc_2!$F17)*ABS(Calc_2!EF94)&gt;Tolerance)</f>
        <v>0</v>
      </c>
      <c r="EG21" s="49" t="n">
        <f aca="false">N((Calc_2!EG$4&gt;=Calc_2!$F17)*ABS(Calc_2!EG94)&gt;Tolerance)</f>
        <v>0</v>
      </c>
      <c r="EH21" s="49" t="n">
        <f aca="false">N((Calc_2!EH$4&gt;=Calc_2!$F17)*ABS(Calc_2!EH94)&gt;Tolerance)</f>
        <v>0</v>
      </c>
      <c r="EI21" s="49" t="n">
        <f aca="false">N((Calc_2!EI$4&gt;=Calc_2!$F17)*ABS(Calc_2!EI94)&gt;Tolerance)</f>
        <v>0</v>
      </c>
      <c r="EJ21" s="49" t="n">
        <f aca="false">N((Calc_2!EJ$4&gt;=Calc_2!$F17)*ABS(Calc_2!EJ94)&gt;Tolerance)</f>
        <v>0</v>
      </c>
      <c r="EK21" s="49" t="n">
        <f aca="false">N((Calc_2!EK$4&gt;=Calc_2!$F17)*ABS(Calc_2!EK94)&gt;Tolerance)</f>
        <v>0</v>
      </c>
      <c r="EL21" s="49" t="n">
        <f aca="false">N((Calc_2!EL$4&gt;=Calc_2!$F17)*ABS(Calc_2!EL94)&gt;Tolerance)</f>
        <v>0</v>
      </c>
      <c r="EM21" s="49" t="n">
        <f aca="false">N((Calc_2!EM$4&gt;=Calc_2!$F17)*ABS(Calc_2!EM94)&gt;Tolerance)</f>
        <v>0</v>
      </c>
      <c r="EN21" s="49" t="n">
        <f aca="false">N((Calc_2!EN$4&gt;=Calc_2!$F17)*ABS(Calc_2!EN94)&gt;Tolerance)</f>
        <v>0</v>
      </c>
      <c r="EO21" s="49" t="n">
        <f aca="false">N((Calc_2!EO$4&gt;=Calc_2!$F17)*ABS(Calc_2!EO94)&gt;Tolerance)</f>
        <v>0</v>
      </c>
    </row>
    <row r="22" customFormat="false" ht="15" hidden="false" customHeight="false" outlineLevel="0" collapsed="false">
      <c r="C22" s="0" t="s">
        <v>498</v>
      </c>
      <c r="D22" s="11" t="s">
        <v>43</v>
      </c>
      <c r="E22" s="27" t="str">
        <f aca="false">IF(F22=0,"OK","CHECK")</f>
        <v>OK</v>
      </c>
      <c r="F22" s="49" t="n">
        <f aca="false">N(Calc_1!$E98&lt;In_DSCR-Tolerance)</f>
        <v>0</v>
      </c>
    </row>
    <row r="23" customFormat="false" ht="15" hidden="false" customHeight="false" outlineLevel="0" collapsed="false">
      <c r="C23" s="0" t="s">
        <v>499</v>
      </c>
      <c r="D23" s="11" t="s">
        <v>43</v>
      </c>
      <c r="E23" s="27" t="str">
        <f aca="false">IF(F23=0,"OK","CHECK")</f>
        <v>OK</v>
      </c>
      <c r="F23" s="49" t="n">
        <f aca="false">N(Calc_2!$E98&lt;In_DSCR-Tolerance)</f>
        <v>0</v>
      </c>
    </row>
    <row r="24" customFormat="false" ht="15" hidden="false" customHeight="false" outlineLevel="0" collapsed="false">
      <c r="C24" s="0" t="s">
        <v>500</v>
      </c>
      <c r="D24" s="11" t="s">
        <v>43</v>
      </c>
      <c r="E24" s="27" t="str">
        <f aca="false">IF(F24=0,"OK","CHECK")</f>
        <v>OK</v>
      </c>
      <c r="F24" s="49" t="n">
        <f aca="false">N(ABS(Calc_1!$E119+Calc_1!$I126-Calc_1!$E94)&gt;Tolerance)</f>
        <v>0</v>
      </c>
    </row>
    <row r="25" customFormat="false" ht="15" hidden="false" customHeight="false" outlineLevel="0" collapsed="false">
      <c r="C25" s="0" t="s">
        <v>501</v>
      </c>
      <c r="D25" s="11" t="s">
        <v>43</v>
      </c>
      <c r="E25" s="27" t="str">
        <f aca="false">IF(F25=0,"OK","CHECK")</f>
        <v>OK</v>
      </c>
      <c r="F25" s="49" t="n">
        <f aca="false">N(ABS(Calc_2!$E119+Calc_2!$I126-Calc_2!$E94)&gt;Tolerance)</f>
        <v>0</v>
      </c>
    </row>
    <row r="26" customFormat="false" ht="15" hidden="false" customHeight="false" outlineLevel="0" collapsed="false">
      <c r="C26" s="0" t="s">
        <v>502</v>
      </c>
      <c r="D26" s="11" t="s">
        <v>43</v>
      </c>
      <c r="E26" s="27" t="str">
        <f aca="false">IF(F26=0,"OK","CHECK")</f>
        <v>OK</v>
      </c>
      <c r="F26" s="49" t="n">
        <f aca="false">N(ISERROR(Calc_1!$E131))+N(ISERROR(Calc_1!$E144))+N(ISERROR(Calc_1!$E142))+N(ISERROR(Calc_1!$E138))</f>
        <v>0</v>
      </c>
    </row>
    <row r="27" customFormat="false" ht="15" hidden="false" customHeight="false" outlineLevel="0" collapsed="false">
      <c r="C27" s="0" t="s">
        <v>503</v>
      </c>
      <c r="D27" s="11" t="s">
        <v>43</v>
      </c>
      <c r="E27" s="27" t="str">
        <f aca="false">IF(F27=0,"OK","CHECK")</f>
        <v>OK</v>
      </c>
      <c r="F27" s="49" t="n">
        <f aca="false">N(ISERROR(Calc_2!$E131))+N(ISERROR(Calc_2!$E144))+N(ISERROR(Calc_2!$E142))+N(ISERROR(Calc_2!$E138))</f>
        <v>0</v>
      </c>
    </row>
    <row r="28" customFormat="false" ht="15" hidden="false" customHeight="false" outlineLevel="0" collapsed="false">
      <c r="C28" s="0" t="s">
        <v>504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505</v>
      </c>
      <c r="F30" s="61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2" t="str">
        <f aca="false">IF(F32=0,"OK","CHECK")</f>
        <v>OK</v>
      </c>
      <c r="F32" s="61" t="n">
        <f aca="false">SUMPRODUCT(ABS(F12:F28))</f>
        <v>0</v>
      </c>
    </row>
    <row r="34" customFormat="false" ht="15" hidden="false" customHeight="false" outlineLevel="0" collapsed="false">
      <c r="C34" s="41" t="s">
        <v>169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2026-10-14T06:54:47Z</dcterms:created>
  <dc:creator>openpyxl</dc:creator>
  <dc:description/>
  <dc:language>en-US</dc:language>
  <cp:lastModifiedBy/>
  <dcterms:modified xsi:type="dcterms:W3CDTF">2026-10-14T06:54:53Z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